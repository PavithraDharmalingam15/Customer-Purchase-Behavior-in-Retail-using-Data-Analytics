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be637f17fe26604/Desktop/Excel/"/>
    </mc:Choice>
  </mc:AlternateContent>
  <xr:revisionPtr revIDLastSave="742" documentId="8_{46DBCF5E-B14C-4AB6-842E-8EEC81B9C068}" xr6:coauthVersionLast="47" xr6:coauthVersionMax="47" xr10:uidLastSave="{2B0D4123-D977-4F98-85BD-8C772CB7F94E}"/>
  <bookViews>
    <workbookView xWindow="-108" yWindow="-108" windowWidth="23256" windowHeight="12456" tabRatio="590" activeTab="3" xr2:uid="{728B846F-4A6B-4DCE-84AB-2BCD235A00A3}"/>
  </bookViews>
  <sheets>
    <sheet name="pivot " sheetId="3" r:id="rId1"/>
    <sheet name="Macro" sheetId="6" r:id="rId2"/>
    <sheet name="order item" sheetId="1" r:id="rId3"/>
    <sheet name="XIRR" sheetId="7" r:id="rId4"/>
  </sheets>
  <externalReferences>
    <externalReference r:id="rId5"/>
  </externalReferences>
  <definedNames>
    <definedName name="_xlnm._FilterDatabase" localSheetId="2" hidden="1">'order item'!$A$1:$K$4723</definedName>
    <definedName name="_xlnm._FilterDatabase" localSheetId="3" hidden="1">XIRR!$C$2:$C$17</definedName>
  </definedNames>
  <calcPr calcId="191029"/>
  <pivotCaches>
    <pivotCache cacheId="0" r:id="rId6"/>
    <pivotCache cacheId="1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" i="7" l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2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N8" i="1"/>
  <c r="N7" i="1"/>
  <c r="R16" i="1"/>
  <c r="R15" i="1"/>
  <c r="R14" i="1"/>
  <c r="R13" i="1"/>
  <c r="R12" i="1"/>
  <c r="R8" i="1"/>
  <c r="R9" i="1"/>
  <c r="R10" i="1"/>
  <c r="R11" i="1"/>
  <c r="R7" i="1"/>
  <c r="N6" i="1"/>
  <c r="N9" i="1" l="1"/>
  <c r="N12" i="1" s="1"/>
</calcChain>
</file>

<file path=xl/sharedStrings.xml><?xml version="1.0" encoding="utf-8"?>
<sst xmlns="http://schemas.openxmlformats.org/spreadsheetml/2006/main" count="19021" uniqueCount="1930">
  <si>
    <t>order_id</t>
  </si>
  <si>
    <t>item_id</t>
  </si>
  <si>
    <t>product_id</t>
  </si>
  <si>
    <t>quantity</t>
  </si>
  <si>
    <t>list_price</t>
  </si>
  <si>
    <t>discount</t>
  </si>
  <si>
    <t>Total sales</t>
  </si>
  <si>
    <t>Total amount</t>
  </si>
  <si>
    <t>Products</t>
  </si>
  <si>
    <t>Store_name</t>
  </si>
  <si>
    <t>Electra Townie Original 7D EQ - Women's - 2016</t>
  </si>
  <si>
    <t>Santa Cruz Bikes</t>
  </si>
  <si>
    <t>Trek Remedy 29 Carbon Frameset - 2016</t>
  </si>
  <si>
    <t>Surly Straggler - 2016</t>
  </si>
  <si>
    <t>Electra Townie Original 7D EQ - 2016</t>
  </si>
  <si>
    <t>Sample_discount</t>
  </si>
  <si>
    <t>Trek Fuel EX 8 29 - 2016</t>
  </si>
  <si>
    <t>average_totalsales</t>
  </si>
  <si>
    <t>Baldwin Bikes</t>
  </si>
  <si>
    <t>average_discount</t>
  </si>
  <si>
    <t>Surly Wednesday Frameset - 2016</t>
  </si>
  <si>
    <t>after_discount</t>
  </si>
  <si>
    <t>Ritchey Timberwolf Frameset - 2016</t>
  </si>
  <si>
    <t>Pure Cycles Vine 8-Speed - 2016</t>
  </si>
  <si>
    <t>Pure Cycles Western 3-Speed - Women's - 2015/2016</t>
  </si>
  <si>
    <t>Electra Townie Original 21D - 2016</t>
  </si>
  <si>
    <t>Trek Conduit+ - 2016</t>
  </si>
  <si>
    <t>Electra Moto 1 - 2016</t>
  </si>
  <si>
    <t>Electra Girl's Hawaii 1 (16-inch) - 2015/2016</t>
  </si>
  <si>
    <t>Trek Slash 8 27.5 - 2016</t>
  </si>
  <si>
    <t>Surly Straggler 650b - 2016</t>
  </si>
  <si>
    <t>Electra Cruiser 1 (24-Inch) - 2016</t>
  </si>
  <si>
    <t>Surly Ice Cream Truck Frameset - 2016</t>
  </si>
  <si>
    <t>Electra Girl's Hawaii 1 (20-inch) - 2015/2016</t>
  </si>
  <si>
    <t>Heller Shagamaw Frame - 2016</t>
  </si>
  <si>
    <t>Electra Townie Original 7D - 2015/2016</t>
  </si>
  <si>
    <t>Pure Cycles William 3-Speed - 2016</t>
  </si>
  <si>
    <t>Rowlett Bikes</t>
  </si>
  <si>
    <t>Haro Downtown 16 - 2017</t>
  </si>
  <si>
    <t>Sun Bicycles Cruz 3 - 2017</t>
  </si>
  <si>
    <t>Sun Bicycles Streamway 3 - 2017</t>
  </si>
  <si>
    <t>Trek Domane SLR 6 Disc - 2017</t>
  </si>
  <si>
    <t>Surly Ogre Frameset - 2017</t>
  </si>
  <si>
    <t>Sun Bicycles Brickell Tandem 7 - 2017</t>
  </si>
  <si>
    <t>Sun Bicycles Biscayne Tandem 7 - 2017</t>
  </si>
  <si>
    <t>Trek Powerfly 8 FS Plus - 2017</t>
  </si>
  <si>
    <t>Trek Farley Alloy Frameset - 2017</t>
  </si>
  <si>
    <t>Surly Ice Cream Truck Frameset - 2017</t>
  </si>
  <si>
    <t>Electra Girl's Hawaii 1 16" - 2017</t>
  </si>
  <si>
    <t>Sun Bicycles Cruz 7 - Women's - 2017</t>
  </si>
  <si>
    <t>Trek Boone 7 - 2017</t>
  </si>
  <si>
    <t>Electra Townie Original 7D - 2017</t>
  </si>
  <si>
    <t>Electra Sugar Skulls 1 (20-inch) - Girl's - 2017</t>
  </si>
  <si>
    <t>Trek Fuel EX 5 27.5 Plus - 2017</t>
  </si>
  <si>
    <t>Trek Remedy 9.8 - 2017</t>
  </si>
  <si>
    <t>Electra Savannah 3i (20-inch) - Girl's - 2017</t>
  </si>
  <si>
    <t>Trek Precaliber 16 Girls - 2017</t>
  </si>
  <si>
    <t>Sun Bicycles Biscayne Tandem CB - 2017</t>
  </si>
  <si>
    <t>Sun Bicycles Boardwalk (24-inch Wheels) - 2017</t>
  </si>
  <si>
    <t>Haro Shredder Pro 20 - 2017</t>
  </si>
  <si>
    <t>Sun Bicycles Revolutions 24 - Girl's - 2017</t>
  </si>
  <si>
    <t>Electra Cruiser Lux 1 - 2017</t>
  </si>
  <si>
    <t>Trek Fuel EX 9.8 27.5 Plus - 2017</t>
  </si>
  <si>
    <t>Sun Bicycles Brickell Tandem CB - 2017</t>
  </si>
  <si>
    <t>Trek Precaliber 12 Girls - 2017</t>
  </si>
  <si>
    <t>Sun Bicycles Drifter 7 - 2017</t>
  </si>
  <si>
    <t>Trek Boy's Kickster - 2015/2017</t>
  </si>
  <si>
    <t>Surly Wednesday Frameset - 2017</t>
  </si>
  <si>
    <t>Surly Steamroller - 2017</t>
  </si>
  <si>
    <t>Trek Domane SL Disc Frameset - 2017</t>
  </si>
  <si>
    <t>Trek Domane SL 6 - 2017</t>
  </si>
  <si>
    <t>Trek X-Caliber 8 - 2017</t>
  </si>
  <si>
    <t>Trek Stache 5 - 2017</t>
  </si>
  <si>
    <t>Electra Amsterdam Original 3i - 2015/2017</t>
  </si>
  <si>
    <t>Trek Domane S 5 Disc - 2017</t>
  </si>
  <si>
    <t>Trek Boone Race Shop Limited - 2017</t>
  </si>
  <si>
    <t>Trek Domane S 6 - 2017</t>
  </si>
  <si>
    <t>Haro Shift R3 - 2017</t>
  </si>
  <si>
    <t>Sun Bicycles Atlas X-Type - 2017</t>
  </si>
  <si>
    <t>Trek Silque SLR 7 Women's - 2017</t>
  </si>
  <si>
    <t>Electra Townie 7D (20-inch) - Boys' - 2017</t>
  </si>
  <si>
    <t>Trek Madone 9.2 - 2017</t>
  </si>
  <si>
    <t>Electra Straight 8 3i (20-inch) - Boy's - 2017</t>
  </si>
  <si>
    <t>Sun Bicycles Lil Kitt'n - 2017</t>
  </si>
  <si>
    <t>Trek Emonda S 4 - 2017</t>
  </si>
  <si>
    <t>Sun Bicycles Cruz 3 - Women's - 2017</t>
  </si>
  <si>
    <t>Surly Karate Monkey 27.5+ Frameset - 2017</t>
  </si>
  <si>
    <t>Sun Bicycles Streamway - 2017</t>
  </si>
  <si>
    <t>Haro SR 1.2 - 2017</t>
  </si>
  <si>
    <t>Sun Bicycles Cruz 7 - 2017</t>
  </si>
  <si>
    <t>Trek Silque SLR 8 Women's - 2017</t>
  </si>
  <si>
    <t>Electra Moto 3i (20-inch) - Boy's - 2017</t>
  </si>
  <si>
    <t>Sun Bicycles Revolutions 24 - 2017</t>
  </si>
  <si>
    <t>Haro Flightline Two 26 Plus - 2017</t>
  </si>
  <si>
    <t>Trek Precaliber 16 Boys - 2017</t>
  </si>
  <si>
    <t>Electra Cruiser Lux Fat Tire 1 Ladies - 2017</t>
  </si>
  <si>
    <t>Sun Bicycles Streamway 7 - 2017</t>
  </si>
  <si>
    <t>Trek Precaliber 24 (21-Speed) - Girls - 2017</t>
  </si>
  <si>
    <t>Haro Flightline One ST - 2017</t>
  </si>
  <si>
    <t>Electra Amsterdam Fashion 7i Ladies' - 2017</t>
  </si>
  <si>
    <t>Electra Amsterdam Original 3i Ladies' - 2017</t>
  </si>
  <si>
    <t>Sun Bicycles ElectroLite - 2017</t>
  </si>
  <si>
    <t>Surly Wednesday - 2017</t>
  </si>
  <si>
    <t>Trek Emonda S 5 - 2017</t>
  </si>
  <si>
    <t>Trek Fuel EX 9.8 29 - 2017</t>
  </si>
  <si>
    <t>Electra Townie 3i EQ (20-inch) - Boys' - 2017</t>
  </si>
  <si>
    <t>Surly Big Dummy Frameset - 2017</t>
  </si>
  <si>
    <t>Trek Session DH 27.5 Carbon Frameset - 2017</t>
  </si>
  <si>
    <t>Haro SR 1.1 - 2017</t>
  </si>
  <si>
    <t>Sun Bicycles Spider 3i - 2017</t>
  </si>
  <si>
    <t>Haro Shredder 20 Girls - 2017</t>
  </si>
  <si>
    <t>Haro Shredder 20 - 2017</t>
  </si>
  <si>
    <t>Sun Bicycles Drifter 7 - Women's - 2017</t>
  </si>
  <si>
    <t>Electra Glam Punk 3i Ladies' - 2017</t>
  </si>
  <si>
    <t>Sun Bicycles Lil Bolt Type-R - 2017</t>
  </si>
  <si>
    <t>Trek Girl's Kickster - 2017</t>
  </si>
  <si>
    <t>Surly Troll Frameset - 2017</t>
  </si>
  <si>
    <t>Trek Precaliber 12 Boys - 2017</t>
  </si>
  <si>
    <t>Haro SR 1.3 - 2017</t>
  </si>
  <si>
    <t>Trek Fuel EX 7 29 - 2018</t>
  </si>
  <si>
    <t>Electra Koa 3i Ladies' - 2018</t>
  </si>
  <si>
    <t>Trek Remedy 7 27.5 - 2018</t>
  </si>
  <si>
    <t>Electra Amsterdam Fashion 3i Ladies' - 2017/2018</t>
  </si>
  <si>
    <t>Trek Crockett 7 Disc - 2018</t>
  </si>
  <si>
    <t>Trek Dual Sport+ - 2018</t>
  </si>
  <si>
    <t>Trek Precaliber 12 Boy's - 2018</t>
  </si>
  <si>
    <t>Trek Domane ALR 4 Disc Women's - 2018</t>
  </si>
  <si>
    <t>Trek Domane AL 3 Women's - 2018</t>
  </si>
  <si>
    <t>Electra Townie Commute 8D - 2018</t>
  </si>
  <si>
    <t>Trek X-Caliber 7 - 2018</t>
  </si>
  <si>
    <t>Electra Cruiser 7D Tall - 2016/2018</t>
  </si>
  <si>
    <t>Electra Townie Original 7D EQ - 2018</t>
  </si>
  <si>
    <t>Trek Domane ALR 3 - 2018</t>
  </si>
  <si>
    <t>Electra Heartchya 1 (20-inch) - Girl's - 2018</t>
  </si>
  <si>
    <t>Electra Cruiser Lux 7D Ladies' - 2018</t>
  </si>
  <si>
    <t>Electra Townie Original 21D EQ Ladies' - 2018</t>
  </si>
  <si>
    <t>Electra Cruiser Lux 1 Ladies' - 2018</t>
  </si>
  <si>
    <t>Electra Cyclosaurus 1 (16-inch) - Boy's - 2018</t>
  </si>
  <si>
    <t>Electra Townie Go! 8i Ladies' - 2018</t>
  </si>
  <si>
    <t>Electra Superbolt 3i 20" - 2018</t>
  </si>
  <si>
    <t>Trek Domane ALR 5 Disc - 2018</t>
  </si>
  <si>
    <t>Electra Townie Balloon 3i EQ Ladies' - 2018</t>
  </si>
  <si>
    <t>Electra Treasure 3i 20" - 2018</t>
  </si>
  <si>
    <t>Trek Domane AL 3 - 2018</t>
  </si>
  <si>
    <t>Electra Water Lily 1 (16-inch) - Girl's - 2018</t>
  </si>
  <si>
    <t>Trek Super Commuter+ 8S - 2018</t>
  </si>
  <si>
    <t>Electra Townie Original 21D EQ - 2017/2018</t>
  </si>
  <si>
    <t>Trek Powerfly 7 FS - 2018</t>
  </si>
  <si>
    <t>Trek Emonda SLR 6 - 2018</t>
  </si>
  <si>
    <t>Trek Fuel EX 5 Plus - 2018</t>
  </si>
  <si>
    <t>Trek Domane SL Frameset Women's - 2018</t>
  </si>
  <si>
    <t>Trek Boone 7 Disc - 2018</t>
  </si>
  <si>
    <t>Trek Conduit+ - 2018</t>
  </si>
  <si>
    <t>Trek Domane SL 7 Women's - 2018</t>
  </si>
  <si>
    <t>Trek Emonda SLR 8 - 2018</t>
  </si>
  <si>
    <t>Trek Domane SLR Frameset - 2018</t>
  </si>
  <si>
    <t>Electra Relic 3i - 2018</t>
  </si>
  <si>
    <t>Electra Queen of Hearts 3i - 2018</t>
  </si>
  <si>
    <t>Electra Daydreamer 3i Ladies' - 2018</t>
  </si>
  <si>
    <t>Trek Precaliber 16 Boy's - 2018</t>
  </si>
  <si>
    <t>Electra Townie Original 21D Ladies' - 2018</t>
  </si>
  <si>
    <t>Trek Domane SL 6 Disc - 2018</t>
  </si>
  <si>
    <t>Trek Boone 5 Disc - 2018</t>
  </si>
  <si>
    <t>Trek Domane ALR Disc Frameset - 2018</t>
  </si>
  <si>
    <t>Surly Straggler 650b - 2018</t>
  </si>
  <si>
    <t>Trek Remedy 27.5 C Frameset - 2018</t>
  </si>
  <si>
    <t>Trek Emonda SL 7 - 2018</t>
  </si>
  <si>
    <t>Electra White Water 3i - 2018</t>
  </si>
  <si>
    <t>Strider Classic 12 Balance Bike - 2018</t>
  </si>
  <si>
    <t>Trek Domane SL 8 Disc - 2018</t>
  </si>
  <si>
    <t>Trek Domane ALR 5 Gravel - 2018</t>
  </si>
  <si>
    <t>Surly Straggler - 2018</t>
  </si>
  <si>
    <t>Electra Townie Balloon 3i EQ - 2017/2018</t>
  </si>
  <si>
    <t>Electra Townie Go! 8i - 2017/2018</t>
  </si>
  <si>
    <t>Trek Emonda ALR 6 - 2018</t>
  </si>
  <si>
    <t>Electra Under-The-Sea 1 16" - 2018</t>
  </si>
  <si>
    <t>Trek Procaliber Frameset - 2018</t>
  </si>
  <si>
    <t>Trek Procaliber 6 - 2018</t>
  </si>
  <si>
    <t>Electra Cruiser Lux Fat Tire 7D - 2018</t>
  </si>
  <si>
    <t>Trek Domane AL 2 Women's - 2018</t>
  </si>
  <si>
    <t>Trek Domane SLR 8 Disc - 2018</t>
  </si>
  <si>
    <t>Electra Townie Original 1 Ladies' - 2018</t>
  </si>
  <si>
    <t>Electra Townie Commute Go! Ladies' - 2018</t>
  </si>
  <si>
    <t>Trek Precaliber 24 (7-Speed) - Boys - 2018</t>
  </si>
  <si>
    <t>Trek Stache Carbon Frameset - 2018</t>
  </si>
  <si>
    <t>Electra Townie Balloon 8D EQ - 2016/2017/2018</t>
  </si>
  <si>
    <t>Surly Pack Rat - 2018</t>
  </si>
  <si>
    <t>Trek Super Commuter+ 7 - 2018</t>
  </si>
  <si>
    <t>Trek Domane SLR 9 Disc - 2018</t>
  </si>
  <si>
    <t>Trek Domane SL 5 Disc Women's - 2018</t>
  </si>
  <si>
    <t>Trek Domane ALR 4 Disc - 2018</t>
  </si>
  <si>
    <t>Electra Morningstar 3i Ladies' - 2018</t>
  </si>
  <si>
    <t>Trek Fuel EX 8 29 - 2018</t>
  </si>
  <si>
    <t>Surly ECR 27.5 - 2018</t>
  </si>
  <si>
    <t>Trek Powerfly 5 - 2018</t>
  </si>
  <si>
    <t>Trek Procal AL Frameset - 2018</t>
  </si>
  <si>
    <t>Heller Bloodhound Trail - 2018</t>
  </si>
  <si>
    <t>Surly Krampus - 2018</t>
  </si>
  <si>
    <t>Trek Marlin 5 - 2018</t>
  </si>
  <si>
    <t>Trek CrossRip+ - 2018</t>
  </si>
  <si>
    <t>Electra Cruiser 1 - 2016/2017/2018</t>
  </si>
  <si>
    <t>Trek Crockett 5 Disc - 2018</t>
  </si>
  <si>
    <t>Electra Cruiser Lux 3i - 2018</t>
  </si>
  <si>
    <t>Trek Domane SL 5 - 2018</t>
  </si>
  <si>
    <t>Trek Domane SL 5 Disc - 2018</t>
  </si>
  <si>
    <t>Trek XM700+ Lowstep - 2018</t>
  </si>
  <si>
    <t>Trek Fuel EX 8 29 XT - 2018</t>
  </si>
  <si>
    <t>Trek X-Caliber 8 - 2018</t>
  </si>
  <si>
    <t>Electra Townie Balloon 7i EQ Ladies' - 2017/2018</t>
  </si>
  <si>
    <t>Electra Cruiser Lux 1 - 2016/2018</t>
  </si>
  <si>
    <t>Trek Precaliber 20 Boy's - 2018</t>
  </si>
  <si>
    <t>Electra Tiger Shark 3i - 2018</t>
  </si>
  <si>
    <t>Electra Delivery 3i - 2016/2017/2018</t>
  </si>
  <si>
    <t>Trek X-Caliber Frameset - 2018</t>
  </si>
  <si>
    <t>Electra Sweet Ride 3i (20-inch) - Girls' - 2018</t>
  </si>
  <si>
    <t>Trek MT 201 - 2018</t>
  </si>
  <si>
    <t>Electra Townie Commute Go! - 2018</t>
  </si>
  <si>
    <t>Trek Domane SL 6 - 2018</t>
  </si>
  <si>
    <t>Electra Cruiser 7D (24-Inch) Ladies' - 2016/2018</t>
  </si>
  <si>
    <t>Electra Treasure 1 20" - 2018</t>
  </si>
  <si>
    <t>Trek Precaliber 24 21-speed Boy's - 2018</t>
  </si>
  <si>
    <t>Electra Townie Commute 27D Ladies - 2018</t>
  </si>
  <si>
    <t>Trek Kickster - 2018</t>
  </si>
  <si>
    <t>Trek 1120 - 2018</t>
  </si>
  <si>
    <t>Surly Pack Rat Frameset - 2018</t>
  </si>
  <si>
    <t>Electra Cruiser Lux 7D - 2018</t>
  </si>
  <si>
    <t>Electra Straight 8 3i - 2018</t>
  </si>
  <si>
    <t>Trek Precaliber 20 Girl's - 2018</t>
  </si>
  <si>
    <t>Trek 820 - 2018</t>
  </si>
  <si>
    <t>Trek Lift+ Lowstep - 2018</t>
  </si>
  <si>
    <t>Trek Precaliber 20 6-speed Girl's - 2018</t>
  </si>
  <si>
    <t>Electra Cruiser 1 Ladies' - 2018</t>
  </si>
  <si>
    <t>Trek Lift+ - 2018</t>
  </si>
  <si>
    <t>Trek Emonda SL 6 Disc - 2018</t>
  </si>
  <si>
    <t>Trek Superfly 20 - 2018</t>
  </si>
  <si>
    <t>Trek Marlin 6 - 2018</t>
  </si>
  <si>
    <t>Heller Shagamaw GX1 - 2018</t>
  </si>
  <si>
    <t>Electra Townie Balloon 7i EQ - 2018</t>
  </si>
  <si>
    <t>Trek CrossRip 2 - 2018</t>
  </si>
  <si>
    <t>Strider Strider 20 Sport - 2018</t>
  </si>
  <si>
    <t>Electra Cruiser 1 Tall - 2016/2018</t>
  </si>
  <si>
    <t>Electra Townie Balloon 8D EQ Ladies' - 2016/2017/2018</t>
  </si>
  <si>
    <t>Strider Sport 16 - 2018</t>
  </si>
  <si>
    <t>Electra Townie Original 3i EQ - 2017/2018</t>
  </si>
  <si>
    <t>Trek XM700+ - 2018</t>
  </si>
  <si>
    <t>Electra Townie Commute 8D Ladies' - 2018</t>
  </si>
  <si>
    <t>Electra Moto 3i - 2018</t>
  </si>
  <si>
    <t>Trek Verve+ Lowstep - 2018</t>
  </si>
  <si>
    <t>Electra Townie Original 1 - 2018</t>
  </si>
  <si>
    <t>Trek Remedy 9.8 27.5 - 2018</t>
  </si>
  <si>
    <t>Electra Super Moto 8i - 2018</t>
  </si>
  <si>
    <t>Surly Big Fat Dummy Frameset - 2018</t>
  </si>
  <si>
    <t>Trek Neko+ - 2018</t>
  </si>
  <si>
    <t>Electra Cruiser 7D Ladies' - 2016/2018</t>
  </si>
  <si>
    <t>Surly ECR - 2018</t>
  </si>
  <si>
    <t>Electra Starship 1 16" - 2018</t>
  </si>
  <si>
    <t>Trek Stache 5 - 2018</t>
  </si>
  <si>
    <t>Trek Marlin 7 - 2017/2018</t>
  </si>
  <si>
    <t>Trek Domane AL 2 - 2018</t>
  </si>
  <si>
    <t>Trek Precaliber 16 Girl's - 2018</t>
  </si>
  <si>
    <t>Trek Farley Carbon Frameset - 2018</t>
  </si>
  <si>
    <t>Trek Domane ALR Frameset - 2018</t>
  </si>
  <si>
    <t>Electra Townie Original 21D - 2018</t>
  </si>
  <si>
    <t>Trek Ticket S Frame - 2018</t>
  </si>
  <si>
    <t>Electra Townie Original 3i EQ Ladies' - 2018</t>
  </si>
  <si>
    <t>Trek Precaliber 20 6-speed Boy's - 2018</t>
  </si>
  <si>
    <t>Electra Amsterdam Royal 8i - 2017/2018</t>
  </si>
  <si>
    <t>Trek Powerfly 5 FS - 2018</t>
  </si>
  <si>
    <t>Surly ECR Frameset - 2018</t>
  </si>
  <si>
    <t>Electra Tiger Shark 3i (20-inch) - Boys' - 2018</t>
  </si>
  <si>
    <t>Trek Precaliber 24 21-speed Girl's - 2018</t>
  </si>
  <si>
    <t>Electra Straight 8 1 (16-inch) - Boy's - 2018</t>
  </si>
  <si>
    <t>Electra Townie Original 7D EQ Ladies' - 2017/2018</t>
  </si>
  <si>
    <t>Electra Loft Go! 8i - 2018</t>
  </si>
  <si>
    <t>Electra Townie Commute 27D - 2018</t>
  </si>
  <si>
    <t>Trek Superfly 24 - 2017/2018</t>
  </si>
  <si>
    <t>Surly Troll Frameset - 2018</t>
  </si>
  <si>
    <t>Trek Verve+ - 2018</t>
  </si>
  <si>
    <t>Electra Cruiser 7D - 2016/2017/2018</t>
  </si>
  <si>
    <t>Electra Tiger Shark 1 (20-inch) - Boys' - 2018</t>
  </si>
  <si>
    <t>Electra Cruiser Lux 3i Ladies' - 2018</t>
  </si>
  <si>
    <t>Electra Amsterdam Royal 8i Ladies - 2018</t>
  </si>
  <si>
    <t>Electra Straight 8 1 (20-inch) - Boy's - 2018</t>
  </si>
  <si>
    <t>Trek Powerfly 5 Women's - 2018</t>
  </si>
  <si>
    <t>Trek CrossRip 1 - 2018</t>
  </si>
  <si>
    <t>Trek Domane SL Frameset - 2018</t>
  </si>
  <si>
    <t>Trek Domane SL 5 Women's - 2018</t>
  </si>
  <si>
    <t>Trek Domane SLR 6 Disc - 2018</t>
  </si>
  <si>
    <t>Trek Kids' Neko - 2018</t>
  </si>
  <si>
    <t>Electra Soft Serve 1 (16-inch) - Girl's - 2018</t>
  </si>
  <si>
    <t>Trek Domane SLR Disc Frameset - 2018</t>
  </si>
  <si>
    <t>Trek Precaliber 24 7-speed Girl's - 2018</t>
  </si>
  <si>
    <t>Trek Domane SLR 6 - 2018</t>
  </si>
  <si>
    <t>Trek Madone 9 Frameset - 2018</t>
  </si>
  <si>
    <t>Electra Superbolt 1 20" - 2018</t>
  </si>
  <si>
    <t>(blank)</t>
  </si>
  <si>
    <t>Grand Total</t>
  </si>
  <si>
    <t>1 Total</t>
  </si>
  <si>
    <t>2 Total</t>
  </si>
  <si>
    <t>3 Total</t>
  </si>
  <si>
    <t>4 Total</t>
  </si>
  <si>
    <t>5 Total</t>
  </si>
  <si>
    <t>6 Total</t>
  </si>
  <si>
    <t>7 Total</t>
  </si>
  <si>
    <t>8 Total</t>
  </si>
  <si>
    <t>9 Total</t>
  </si>
  <si>
    <t>10 Total</t>
  </si>
  <si>
    <t>11 Total</t>
  </si>
  <si>
    <t>12 Total</t>
  </si>
  <si>
    <t>13 Total</t>
  </si>
  <si>
    <t>14 Total</t>
  </si>
  <si>
    <t>15 Total</t>
  </si>
  <si>
    <t>16 Total</t>
  </si>
  <si>
    <t>17 Total</t>
  </si>
  <si>
    <t>18 Total</t>
  </si>
  <si>
    <t>19 Total</t>
  </si>
  <si>
    <t>20 Total</t>
  </si>
  <si>
    <t>21 Total</t>
  </si>
  <si>
    <t>22 Total</t>
  </si>
  <si>
    <t>23 Total</t>
  </si>
  <si>
    <t>24 Total</t>
  </si>
  <si>
    <t>25 Total</t>
  </si>
  <si>
    <t>26 Total</t>
  </si>
  <si>
    <t>27 Total</t>
  </si>
  <si>
    <t>28 Total</t>
  </si>
  <si>
    <t>29 Total</t>
  </si>
  <si>
    <t>30 Total</t>
  </si>
  <si>
    <t>31 Total</t>
  </si>
  <si>
    <t>32 Total</t>
  </si>
  <si>
    <t>33 Total</t>
  </si>
  <si>
    <t>34 Total</t>
  </si>
  <si>
    <t>35 Total</t>
  </si>
  <si>
    <t>36 Total</t>
  </si>
  <si>
    <t>37 Total</t>
  </si>
  <si>
    <t>38 Total</t>
  </si>
  <si>
    <t>39 Total</t>
  </si>
  <si>
    <t>40 Total</t>
  </si>
  <si>
    <t>41 Total</t>
  </si>
  <si>
    <t>42 Total</t>
  </si>
  <si>
    <t>43 Total</t>
  </si>
  <si>
    <t>44 Total</t>
  </si>
  <si>
    <t>45 Total</t>
  </si>
  <si>
    <t>46 Total</t>
  </si>
  <si>
    <t>47 Total</t>
  </si>
  <si>
    <t>48 Total</t>
  </si>
  <si>
    <t>49 Total</t>
  </si>
  <si>
    <t>50 Total</t>
  </si>
  <si>
    <t>51 Total</t>
  </si>
  <si>
    <t>52 Total</t>
  </si>
  <si>
    <t>53 Total</t>
  </si>
  <si>
    <t>54 Total</t>
  </si>
  <si>
    <t>55 Total</t>
  </si>
  <si>
    <t>56 Total</t>
  </si>
  <si>
    <t>57 Total</t>
  </si>
  <si>
    <t>58 Total</t>
  </si>
  <si>
    <t>59 Total</t>
  </si>
  <si>
    <t>60 Total</t>
  </si>
  <si>
    <t>61 Total</t>
  </si>
  <si>
    <t>62 Total</t>
  </si>
  <si>
    <t>63 Total</t>
  </si>
  <si>
    <t>64 Total</t>
  </si>
  <si>
    <t>65 Total</t>
  </si>
  <si>
    <t>66 Total</t>
  </si>
  <si>
    <t>67 Total</t>
  </si>
  <si>
    <t>68 Total</t>
  </si>
  <si>
    <t>69 Total</t>
  </si>
  <si>
    <t>70 Total</t>
  </si>
  <si>
    <t>71 Total</t>
  </si>
  <si>
    <t>72 Total</t>
  </si>
  <si>
    <t>73 Total</t>
  </si>
  <si>
    <t>74 Total</t>
  </si>
  <si>
    <t>75 Total</t>
  </si>
  <si>
    <t>76 Total</t>
  </si>
  <si>
    <t>77 Total</t>
  </si>
  <si>
    <t>78 Total</t>
  </si>
  <si>
    <t>79 Total</t>
  </si>
  <si>
    <t>80 Total</t>
  </si>
  <si>
    <t>81 Total</t>
  </si>
  <si>
    <t>82 Total</t>
  </si>
  <si>
    <t>83 Total</t>
  </si>
  <si>
    <t>84 Total</t>
  </si>
  <si>
    <t>85 Total</t>
  </si>
  <si>
    <t>86 Total</t>
  </si>
  <si>
    <t>87 Total</t>
  </si>
  <si>
    <t>88 Total</t>
  </si>
  <si>
    <t>89 Total</t>
  </si>
  <si>
    <t>90 Total</t>
  </si>
  <si>
    <t>91 Total</t>
  </si>
  <si>
    <t>92 Total</t>
  </si>
  <si>
    <t>93 Total</t>
  </si>
  <si>
    <t>94 Total</t>
  </si>
  <si>
    <t>95 Total</t>
  </si>
  <si>
    <t>96 Total</t>
  </si>
  <si>
    <t>97 Total</t>
  </si>
  <si>
    <t>98 Total</t>
  </si>
  <si>
    <t>99 Total</t>
  </si>
  <si>
    <t>100 Total</t>
  </si>
  <si>
    <t>101 Total</t>
  </si>
  <si>
    <t>102 Total</t>
  </si>
  <si>
    <t>103 Total</t>
  </si>
  <si>
    <t>104 Total</t>
  </si>
  <si>
    <t>105 Total</t>
  </si>
  <si>
    <t>106 Total</t>
  </si>
  <si>
    <t>107 Total</t>
  </si>
  <si>
    <t>108 Total</t>
  </si>
  <si>
    <t>109 Total</t>
  </si>
  <si>
    <t>110 Total</t>
  </si>
  <si>
    <t>111 Total</t>
  </si>
  <si>
    <t>112 Total</t>
  </si>
  <si>
    <t>113 Total</t>
  </si>
  <si>
    <t>114 Total</t>
  </si>
  <si>
    <t>115 Total</t>
  </si>
  <si>
    <t>116 Total</t>
  </si>
  <si>
    <t>117 Total</t>
  </si>
  <si>
    <t>118 Total</t>
  </si>
  <si>
    <t>119 Total</t>
  </si>
  <si>
    <t>120 Total</t>
  </si>
  <si>
    <t>121 Total</t>
  </si>
  <si>
    <t>122 Total</t>
  </si>
  <si>
    <t>123 Total</t>
  </si>
  <si>
    <t>124 Total</t>
  </si>
  <si>
    <t>125 Total</t>
  </si>
  <si>
    <t>126 Total</t>
  </si>
  <si>
    <t>127 Total</t>
  </si>
  <si>
    <t>128 Total</t>
  </si>
  <si>
    <t>129 Total</t>
  </si>
  <si>
    <t>130 Total</t>
  </si>
  <si>
    <t>131 Total</t>
  </si>
  <si>
    <t>132 Total</t>
  </si>
  <si>
    <t>133 Total</t>
  </si>
  <si>
    <t>134 Total</t>
  </si>
  <si>
    <t>135 Total</t>
  </si>
  <si>
    <t>136 Total</t>
  </si>
  <si>
    <t>137 Total</t>
  </si>
  <si>
    <t>138 Total</t>
  </si>
  <si>
    <t>139 Total</t>
  </si>
  <si>
    <t>140 Total</t>
  </si>
  <si>
    <t>141 Total</t>
  </si>
  <si>
    <t>142 Total</t>
  </si>
  <si>
    <t>143 Total</t>
  </si>
  <si>
    <t>144 Total</t>
  </si>
  <si>
    <t>145 Total</t>
  </si>
  <si>
    <t>146 Total</t>
  </si>
  <si>
    <t>147 Total</t>
  </si>
  <si>
    <t>148 Total</t>
  </si>
  <si>
    <t>149 Total</t>
  </si>
  <si>
    <t>150 Total</t>
  </si>
  <si>
    <t>151 Total</t>
  </si>
  <si>
    <t>152 Total</t>
  </si>
  <si>
    <t>153 Total</t>
  </si>
  <si>
    <t>154 Total</t>
  </si>
  <si>
    <t>155 Total</t>
  </si>
  <si>
    <t>156 Total</t>
  </si>
  <si>
    <t>157 Total</t>
  </si>
  <si>
    <t>158 Total</t>
  </si>
  <si>
    <t>159 Total</t>
  </si>
  <si>
    <t>160 Total</t>
  </si>
  <si>
    <t>161 Total</t>
  </si>
  <si>
    <t>162 Total</t>
  </si>
  <si>
    <t>163 Total</t>
  </si>
  <si>
    <t>164 Total</t>
  </si>
  <si>
    <t>165 Total</t>
  </si>
  <si>
    <t>166 Total</t>
  </si>
  <si>
    <t>167 Total</t>
  </si>
  <si>
    <t>168 Total</t>
  </si>
  <si>
    <t>169 Total</t>
  </si>
  <si>
    <t>170 Total</t>
  </si>
  <si>
    <t>171 Total</t>
  </si>
  <si>
    <t>172 Total</t>
  </si>
  <si>
    <t>173 Total</t>
  </si>
  <si>
    <t>174 Total</t>
  </si>
  <si>
    <t>175 Total</t>
  </si>
  <si>
    <t>176 Total</t>
  </si>
  <si>
    <t>177 Total</t>
  </si>
  <si>
    <t>178 Total</t>
  </si>
  <si>
    <t>179 Total</t>
  </si>
  <si>
    <t>180 Total</t>
  </si>
  <si>
    <t>181 Total</t>
  </si>
  <si>
    <t>182 Total</t>
  </si>
  <si>
    <t>183 Total</t>
  </si>
  <si>
    <t>184 Total</t>
  </si>
  <si>
    <t>185 Total</t>
  </si>
  <si>
    <t>186 Total</t>
  </si>
  <si>
    <t>187 Total</t>
  </si>
  <si>
    <t>188 Total</t>
  </si>
  <si>
    <t>189 Total</t>
  </si>
  <si>
    <t>190 Total</t>
  </si>
  <si>
    <t>191 Total</t>
  </si>
  <si>
    <t>192 Total</t>
  </si>
  <si>
    <t>193 Total</t>
  </si>
  <si>
    <t>194 Total</t>
  </si>
  <si>
    <t>195 Total</t>
  </si>
  <si>
    <t>196 Total</t>
  </si>
  <si>
    <t>197 Total</t>
  </si>
  <si>
    <t>198 Total</t>
  </si>
  <si>
    <t>199 Total</t>
  </si>
  <si>
    <t>200 Total</t>
  </si>
  <si>
    <t>201 Total</t>
  </si>
  <si>
    <t>202 Total</t>
  </si>
  <si>
    <t>203 Total</t>
  </si>
  <si>
    <t>204 Total</t>
  </si>
  <si>
    <t>205 Total</t>
  </si>
  <si>
    <t>206 Total</t>
  </si>
  <si>
    <t>207 Total</t>
  </si>
  <si>
    <t>208 Total</t>
  </si>
  <si>
    <t>209 Total</t>
  </si>
  <si>
    <t>210 Total</t>
  </si>
  <si>
    <t>211 Total</t>
  </si>
  <si>
    <t>212 Total</t>
  </si>
  <si>
    <t>213 Total</t>
  </si>
  <si>
    <t>214 Total</t>
  </si>
  <si>
    <t>215 Total</t>
  </si>
  <si>
    <t>216 Total</t>
  </si>
  <si>
    <t>217 Total</t>
  </si>
  <si>
    <t>218 Total</t>
  </si>
  <si>
    <t>219 Total</t>
  </si>
  <si>
    <t>220 Total</t>
  </si>
  <si>
    <t>221 Total</t>
  </si>
  <si>
    <t>222 Total</t>
  </si>
  <si>
    <t>223 Total</t>
  </si>
  <si>
    <t>224 Total</t>
  </si>
  <si>
    <t>225 Total</t>
  </si>
  <si>
    <t>226 Total</t>
  </si>
  <si>
    <t>227 Total</t>
  </si>
  <si>
    <t>228 Total</t>
  </si>
  <si>
    <t>229 Total</t>
  </si>
  <si>
    <t>230 Total</t>
  </si>
  <si>
    <t>231 Total</t>
  </si>
  <si>
    <t>232 Total</t>
  </si>
  <si>
    <t>233 Total</t>
  </si>
  <si>
    <t>234 Total</t>
  </si>
  <si>
    <t>235 Total</t>
  </si>
  <si>
    <t>236 Total</t>
  </si>
  <si>
    <t>237 Total</t>
  </si>
  <si>
    <t>238 Total</t>
  </si>
  <si>
    <t>239 Total</t>
  </si>
  <si>
    <t>240 Total</t>
  </si>
  <si>
    <t>241 Total</t>
  </si>
  <si>
    <t>242 Total</t>
  </si>
  <si>
    <t>243 Total</t>
  </si>
  <si>
    <t>244 Total</t>
  </si>
  <si>
    <t>245 Total</t>
  </si>
  <si>
    <t>246 Total</t>
  </si>
  <si>
    <t>247 Total</t>
  </si>
  <si>
    <t>248 Total</t>
  </si>
  <si>
    <t>249 Total</t>
  </si>
  <si>
    <t>250 Total</t>
  </si>
  <si>
    <t>251 Total</t>
  </si>
  <si>
    <t>252 Total</t>
  </si>
  <si>
    <t>253 Total</t>
  </si>
  <si>
    <t>254 Total</t>
  </si>
  <si>
    <t>255 Total</t>
  </si>
  <si>
    <t>256 Total</t>
  </si>
  <si>
    <t>257 Total</t>
  </si>
  <si>
    <t>258 Total</t>
  </si>
  <si>
    <t>259 Total</t>
  </si>
  <si>
    <t>260 Total</t>
  </si>
  <si>
    <t>261 Total</t>
  </si>
  <si>
    <t>262 Total</t>
  </si>
  <si>
    <t>263 Total</t>
  </si>
  <si>
    <t>264 Total</t>
  </si>
  <si>
    <t>265 Total</t>
  </si>
  <si>
    <t>266 Total</t>
  </si>
  <si>
    <t>267 Total</t>
  </si>
  <si>
    <t>268 Total</t>
  </si>
  <si>
    <t>269 Total</t>
  </si>
  <si>
    <t>270 Total</t>
  </si>
  <si>
    <t>271 Total</t>
  </si>
  <si>
    <t>272 Total</t>
  </si>
  <si>
    <t>273 Total</t>
  </si>
  <si>
    <t>274 Total</t>
  </si>
  <si>
    <t>275 Total</t>
  </si>
  <si>
    <t>276 Total</t>
  </si>
  <si>
    <t>277 Total</t>
  </si>
  <si>
    <t>278 Total</t>
  </si>
  <si>
    <t>279 Total</t>
  </si>
  <si>
    <t>280 Total</t>
  </si>
  <si>
    <t>281 Total</t>
  </si>
  <si>
    <t>282 Total</t>
  </si>
  <si>
    <t>283 Total</t>
  </si>
  <si>
    <t>284 Total</t>
  </si>
  <si>
    <t>285 Total</t>
  </si>
  <si>
    <t>286 Total</t>
  </si>
  <si>
    <t>287 Total</t>
  </si>
  <si>
    <t>288 Total</t>
  </si>
  <si>
    <t>289 Total</t>
  </si>
  <si>
    <t>290 Total</t>
  </si>
  <si>
    <t>291 Total</t>
  </si>
  <si>
    <t>292 Total</t>
  </si>
  <si>
    <t>293 Total</t>
  </si>
  <si>
    <t>294 Total</t>
  </si>
  <si>
    <t>295 Total</t>
  </si>
  <si>
    <t>296 Total</t>
  </si>
  <si>
    <t>297 Total</t>
  </si>
  <si>
    <t>298 Total</t>
  </si>
  <si>
    <t>299 Total</t>
  </si>
  <si>
    <t>300 Total</t>
  </si>
  <si>
    <t>301 Total</t>
  </si>
  <si>
    <t>302 Total</t>
  </si>
  <si>
    <t>303 Total</t>
  </si>
  <si>
    <t>304 Total</t>
  </si>
  <si>
    <t>305 Total</t>
  </si>
  <si>
    <t>306 Total</t>
  </si>
  <si>
    <t>307 Total</t>
  </si>
  <si>
    <t>308 Total</t>
  </si>
  <si>
    <t>309 Total</t>
  </si>
  <si>
    <t>310 Total</t>
  </si>
  <si>
    <t>311 Total</t>
  </si>
  <si>
    <t>312 Total</t>
  </si>
  <si>
    <t>313 Total</t>
  </si>
  <si>
    <t>314 Total</t>
  </si>
  <si>
    <t>315 Total</t>
  </si>
  <si>
    <t>316 Total</t>
  </si>
  <si>
    <t>317 Total</t>
  </si>
  <si>
    <t>318 Total</t>
  </si>
  <si>
    <t>319 Total</t>
  </si>
  <si>
    <t>320 Total</t>
  </si>
  <si>
    <t>321 Total</t>
  </si>
  <si>
    <t>322 Total</t>
  </si>
  <si>
    <t>323 Total</t>
  </si>
  <si>
    <t>324 Total</t>
  </si>
  <si>
    <t>325 Total</t>
  </si>
  <si>
    <t>326 Total</t>
  </si>
  <si>
    <t>327 Total</t>
  </si>
  <si>
    <t>328 Total</t>
  </si>
  <si>
    <t>329 Total</t>
  </si>
  <si>
    <t>330 Total</t>
  </si>
  <si>
    <t>331 Total</t>
  </si>
  <si>
    <t>332 Total</t>
  </si>
  <si>
    <t>333 Total</t>
  </si>
  <si>
    <t>334 Total</t>
  </si>
  <si>
    <t>335 Total</t>
  </si>
  <si>
    <t>336 Total</t>
  </si>
  <si>
    <t>337 Total</t>
  </si>
  <si>
    <t>338 Total</t>
  </si>
  <si>
    <t>339 Total</t>
  </si>
  <si>
    <t>340 Total</t>
  </si>
  <si>
    <t>341 Total</t>
  </si>
  <si>
    <t>342 Total</t>
  </si>
  <si>
    <t>343 Total</t>
  </si>
  <si>
    <t>344 Total</t>
  </si>
  <si>
    <t>345 Total</t>
  </si>
  <si>
    <t>346 Total</t>
  </si>
  <si>
    <t>347 Total</t>
  </si>
  <si>
    <t>348 Total</t>
  </si>
  <si>
    <t>349 Total</t>
  </si>
  <si>
    <t>350 Total</t>
  </si>
  <si>
    <t>351 Total</t>
  </si>
  <si>
    <t>352 Total</t>
  </si>
  <si>
    <t>353 Total</t>
  </si>
  <si>
    <t>354 Total</t>
  </si>
  <si>
    <t>355 Total</t>
  </si>
  <si>
    <t>356 Total</t>
  </si>
  <si>
    <t>357 Total</t>
  </si>
  <si>
    <t>358 Total</t>
  </si>
  <si>
    <t>359 Total</t>
  </si>
  <si>
    <t>360 Total</t>
  </si>
  <si>
    <t>361 Total</t>
  </si>
  <si>
    <t>362 Total</t>
  </si>
  <si>
    <t>363 Total</t>
  </si>
  <si>
    <t>364 Total</t>
  </si>
  <si>
    <t>365 Total</t>
  </si>
  <si>
    <t>366 Total</t>
  </si>
  <si>
    <t>367 Total</t>
  </si>
  <si>
    <t>368 Total</t>
  </si>
  <si>
    <t>369 Total</t>
  </si>
  <si>
    <t>370 Total</t>
  </si>
  <si>
    <t>371 Total</t>
  </si>
  <si>
    <t>372 Total</t>
  </si>
  <si>
    <t>373 Total</t>
  </si>
  <si>
    <t>374 Total</t>
  </si>
  <si>
    <t>375 Total</t>
  </si>
  <si>
    <t>376 Total</t>
  </si>
  <si>
    <t>377 Total</t>
  </si>
  <si>
    <t>378 Total</t>
  </si>
  <si>
    <t>379 Total</t>
  </si>
  <si>
    <t>380 Total</t>
  </si>
  <si>
    <t>381 Total</t>
  </si>
  <si>
    <t>382 Total</t>
  </si>
  <si>
    <t>383 Total</t>
  </si>
  <si>
    <t>384 Total</t>
  </si>
  <si>
    <t>385 Total</t>
  </si>
  <si>
    <t>386 Total</t>
  </si>
  <si>
    <t>387 Total</t>
  </si>
  <si>
    <t>388 Total</t>
  </si>
  <si>
    <t>389 Total</t>
  </si>
  <si>
    <t>390 Total</t>
  </si>
  <si>
    <t>391 Total</t>
  </si>
  <si>
    <t>392 Total</t>
  </si>
  <si>
    <t>393 Total</t>
  </si>
  <si>
    <t>394 Total</t>
  </si>
  <si>
    <t>395 Total</t>
  </si>
  <si>
    <t>396 Total</t>
  </si>
  <si>
    <t>397 Total</t>
  </si>
  <si>
    <t>398 Total</t>
  </si>
  <si>
    <t>399 Total</t>
  </si>
  <si>
    <t>400 Total</t>
  </si>
  <si>
    <t>401 Total</t>
  </si>
  <si>
    <t>402 Total</t>
  </si>
  <si>
    <t>403 Total</t>
  </si>
  <si>
    <t>404 Total</t>
  </si>
  <si>
    <t>405 Total</t>
  </si>
  <si>
    <t>406 Total</t>
  </si>
  <si>
    <t>407 Total</t>
  </si>
  <si>
    <t>408 Total</t>
  </si>
  <si>
    <t>409 Total</t>
  </si>
  <si>
    <t>410 Total</t>
  </si>
  <si>
    <t>411 Total</t>
  </si>
  <si>
    <t>412 Total</t>
  </si>
  <si>
    <t>413 Total</t>
  </si>
  <si>
    <t>414 Total</t>
  </si>
  <si>
    <t>415 Total</t>
  </si>
  <si>
    <t>416 Total</t>
  </si>
  <si>
    <t>417 Total</t>
  </si>
  <si>
    <t>418 Total</t>
  </si>
  <si>
    <t>419 Total</t>
  </si>
  <si>
    <t>420 Total</t>
  </si>
  <si>
    <t>421 Total</t>
  </si>
  <si>
    <t>422 Total</t>
  </si>
  <si>
    <t>423 Total</t>
  </si>
  <si>
    <t>424 Total</t>
  </si>
  <si>
    <t>425 Total</t>
  </si>
  <si>
    <t>426 Total</t>
  </si>
  <si>
    <t>427 Total</t>
  </si>
  <si>
    <t>428 Total</t>
  </si>
  <si>
    <t>429 Total</t>
  </si>
  <si>
    <t>430 Total</t>
  </si>
  <si>
    <t>431 Total</t>
  </si>
  <si>
    <t>432 Total</t>
  </si>
  <si>
    <t>433 Total</t>
  </si>
  <si>
    <t>434 Total</t>
  </si>
  <si>
    <t>435 Total</t>
  </si>
  <si>
    <t>436 Total</t>
  </si>
  <si>
    <t>437 Total</t>
  </si>
  <si>
    <t>438 Total</t>
  </si>
  <si>
    <t>439 Total</t>
  </si>
  <si>
    <t>440 Total</t>
  </si>
  <si>
    <t>441 Total</t>
  </si>
  <si>
    <t>442 Total</t>
  </si>
  <si>
    <t>443 Total</t>
  </si>
  <si>
    <t>444 Total</t>
  </si>
  <si>
    <t>445 Total</t>
  </si>
  <si>
    <t>446 Total</t>
  </si>
  <si>
    <t>447 Total</t>
  </si>
  <si>
    <t>448 Total</t>
  </si>
  <si>
    <t>449 Total</t>
  </si>
  <si>
    <t>450 Total</t>
  </si>
  <si>
    <t>451 Total</t>
  </si>
  <si>
    <t>452 Total</t>
  </si>
  <si>
    <t>453 Total</t>
  </si>
  <si>
    <t>454 Total</t>
  </si>
  <si>
    <t>455 Total</t>
  </si>
  <si>
    <t>456 Total</t>
  </si>
  <si>
    <t>457 Total</t>
  </si>
  <si>
    <t>458 Total</t>
  </si>
  <si>
    <t>459 Total</t>
  </si>
  <si>
    <t>460 Total</t>
  </si>
  <si>
    <t>461 Total</t>
  </si>
  <si>
    <t>462 Total</t>
  </si>
  <si>
    <t>463 Total</t>
  </si>
  <si>
    <t>464 Total</t>
  </si>
  <si>
    <t>465 Total</t>
  </si>
  <si>
    <t>466 Total</t>
  </si>
  <si>
    <t>467 Total</t>
  </si>
  <si>
    <t>468 Total</t>
  </si>
  <si>
    <t>469 Total</t>
  </si>
  <si>
    <t>470 Total</t>
  </si>
  <si>
    <t>471 Total</t>
  </si>
  <si>
    <t>472 Total</t>
  </si>
  <si>
    <t>473 Total</t>
  </si>
  <si>
    <t>474 Total</t>
  </si>
  <si>
    <t>475 Total</t>
  </si>
  <si>
    <t>476 Total</t>
  </si>
  <si>
    <t>477 Total</t>
  </si>
  <si>
    <t>478 Total</t>
  </si>
  <si>
    <t>479 Total</t>
  </si>
  <si>
    <t>480 Total</t>
  </si>
  <si>
    <t>481 Total</t>
  </si>
  <si>
    <t>482 Total</t>
  </si>
  <si>
    <t>483 Total</t>
  </si>
  <si>
    <t>484 Total</t>
  </si>
  <si>
    <t>485 Total</t>
  </si>
  <si>
    <t>486 Total</t>
  </si>
  <si>
    <t>487 Total</t>
  </si>
  <si>
    <t>488 Total</t>
  </si>
  <si>
    <t>489 Total</t>
  </si>
  <si>
    <t>490 Total</t>
  </si>
  <si>
    <t>491 Total</t>
  </si>
  <si>
    <t>492 Total</t>
  </si>
  <si>
    <t>493 Total</t>
  </si>
  <si>
    <t>494 Total</t>
  </si>
  <si>
    <t>495 Total</t>
  </si>
  <si>
    <t>496 Total</t>
  </si>
  <si>
    <t>497 Total</t>
  </si>
  <si>
    <t>498 Total</t>
  </si>
  <si>
    <t>499 Total</t>
  </si>
  <si>
    <t>500 Total</t>
  </si>
  <si>
    <t>501 Total</t>
  </si>
  <si>
    <t>502 Total</t>
  </si>
  <si>
    <t>503 Total</t>
  </si>
  <si>
    <t>504 Total</t>
  </si>
  <si>
    <t>505 Total</t>
  </si>
  <si>
    <t>506 Total</t>
  </si>
  <si>
    <t>507 Total</t>
  </si>
  <si>
    <t>508 Total</t>
  </si>
  <si>
    <t>509 Total</t>
  </si>
  <si>
    <t>510 Total</t>
  </si>
  <si>
    <t>511 Total</t>
  </si>
  <si>
    <t>512 Total</t>
  </si>
  <si>
    <t>513 Total</t>
  </si>
  <si>
    <t>514 Total</t>
  </si>
  <si>
    <t>515 Total</t>
  </si>
  <si>
    <t>516 Total</t>
  </si>
  <si>
    <t>517 Total</t>
  </si>
  <si>
    <t>518 Total</t>
  </si>
  <si>
    <t>519 Total</t>
  </si>
  <si>
    <t>520 Total</t>
  </si>
  <si>
    <t>521 Total</t>
  </si>
  <si>
    <t>522 Total</t>
  </si>
  <si>
    <t>523 Total</t>
  </si>
  <si>
    <t>524 Total</t>
  </si>
  <si>
    <t>525 Total</t>
  </si>
  <si>
    <t>526 Total</t>
  </si>
  <si>
    <t>527 Total</t>
  </si>
  <si>
    <t>528 Total</t>
  </si>
  <si>
    <t>529 Total</t>
  </si>
  <si>
    <t>530 Total</t>
  </si>
  <si>
    <t>531 Total</t>
  </si>
  <si>
    <t>532 Total</t>
  </si>
  <si>
    <t>533 Total</t>
  </si>
  <si>
    <t>534 Total</t>
  </si>
  <si>
    <t>535 Total</t>
  </si>
  <si>
    <t>536 Total</t>
  </si>
  <si>
    <t>537 Total</t>
  </si>
  <si>
    <t>538 Total</t>
  </si>
  <si>
    <t>539 Total</t>
  </si>
  <si>
    <t>540 Total</t>
  </si>
  <si>
    <t>541 Total</t>
  </si>
  <si>
    <t>542 Total</t>
  </si>
  <si>
    <t>543 Total</t>
  </si>
  <si>
    <t>544 Total</t>
  </si>
  <si>
    <t>545 Total</t>
  </si>
  <si>
    <t>546 Total</t>
  </si>
  <si>
    <t>547 Total</t>
  </si>
  <si>
    <t>548 Total</t>
  </si>
  <si>
    <t>549 Total</t>
  </si>
  <si>
    <t>550 Total</t>
  </si>
  <si>
    <t>551 Total</t>
  </si>
  <si>
    <t>552 Total</t>
  </si>
  <si>
    <t>553 Total</t>
  </si>
  <si>
    <t>554 Total</t>
  </si>
  <si>
    <t>555 Total</t>
  </si>
  <si>
    <t>556 Total</t>
  </si>
  <si>
    <t>557 Total</t>
  </si>
  <si>
    <t>558 Total</t>
  </si>
  <si>
    <t>559 Total</t>
  </si>
  <si>
    <t>560 Total</t>
  </si>
  <si>
    <t>561 Total</t>
  </si>
  <si>
    <t>562 Total</t>
  </si>
  <si>
    <t>563 Total</t>
  </si>
  <si>
    <t>564 Total</t>
  </si>
  <si>
    <t>565 Total</t>
  </si>
  <si>
    <t>566 Total</t>
  </si>
  <si>
    <t>567 Total</t>
  </si>
  <si>
    <t>568 Total</t>
  </si>
  <si>
    <t>569 Total</t>
  </si>
  <si>
    <t>570 Total</t>
  </si>
  <si>
    <t>571 Total</t>
  </si>
  <si>
    <t>572 Total</t>
  </si>
  <si>
    <t>573 Total</t>
  </si>
  <si>
    <t>574 Total</t>
  </si>
  <si>
    <t>575 Total</t>
  </si>
  <si>
    <t>576 Total</t>
  </si>
  <si>
    <t>577 Total</t>
  </si>
  <si>
    <t>578 Total</t>
  </si>
  <si>
    <t>579 Total</t>
  </si>
  <si>
    <t>580 Total</t>
  </si>
  <si>
    <t>581 Total</t>
  </si>
  <si>
    <t>582 Total</t>
  </si>
  <si>
    <t>583 Total</t>
  </si>
  <si>
    <t>584 Total</t>
  </si>
  <si>
    <t>585 Total</t>
  </si>
  <si>
    <t>586 Total</t>
  </si>
  <si>
    <t>587 Total</t>
  </si>
  <si>
    <t>588 Total</t>
  </si>
  <si>
    <t>589 Total</t>
  </si>
  <si>
    <t>590 Total</t>
  </si>
  <si>
    <t>591 Total</t>
  </si>
  <si>
    <t>592 Total</t>
  </si>
  <si>
    <t>593 Total</t>
  </si>
  <si>
    <t>594 Total</t>
  </si>
  <si>
    <t>595 Total</t>
  </si>
  <si>
    <t>596 Total</t>
  </si>
  <si>
    <t>597 Total</t>
  </si>
  <si>
    <t>598 Total</t>
  </si>
  <si>
    <t>599 Total</t>
  </si>
  <si>
    <t>600 Total</t>
  </si>
  <si>
    <t>601 Total</t>
  </si>
  <si>
    <t>602 Total</t>
  </si>
  <si>
    <t>603 Total</t>
  </si>
  <si>
    <t>604 Total</t>
  </si>
  <si>
    <t>605 Total</t>
  </si>
  <si>
    <t>606 Total</t>
  </si>
  <si>
    <t>607 Total</t>
  </si>
  <si>
    <t>608 Total</t>
  </si>
  <si>
    <t>609 Total</t>
  </si>
  <si>
    <t>610 Total</t>
  </si>
  <si>
    <t>611 Total</t>
  </si>
  <si>
    <t>612 Total</t>
  </si>
  <si>
    <t>613 Total</t>
  </si>
  <si>
    <t>614 Total</t>
  </si>
  <si>
    <t>615 Total</t>
  </si>
  <si>
    <t>616 Total</t>
  </si>
  <si>
    <t>617 Total</t>
  </si>
  <si>
    <t>618 Total</t>
  </si>
  <si>
    <t>619 Total</t>
  </si>
  <si>
    <t>620 Total</t>
  </si>
  <si>
    <t>621 Total</t>
  </si>
  <si>
    <t>622 Total</t>
  </si>
  <si>
    <t>623 Total</t>
  </si>
  <si>
    <t>624 Total</t>
  </si>
  <si>
    <t>625 Total</t>
  </si>
  <si>
    <t>626 Total</t>
  </si>
  <si>
    <t>627 Total</t>
  </si>
  <si>
    <t>628 Total</t>
  </si>
  <si>
    <t>629 Total</t>
  </si>
  <si>
    <t>630 Total</t>
  </si>
  <si>
    <t>631 Total</t>
  </si>
  <si>
    <t>632 Total</t>
  </si>
  <si>
    <t>633 Total</t>
  </si>
  <si>
    <t>634 Total</t>
  </si>
  <si>
    <t>635 Total</t>
  </si>
  <si>
    <t>636 Total</t>
  </si>
  <si>
    <t>637 Total</t>
  </si>
  <si>
    <t>638 Total</t>
  </si>
  <si>
    <t>639 Total</t>
  </si>
  <si>
    <t>640 Total</t>
  </si>
  <si>
    <t>641 Total</t>
  </si>
  <si>
    <t>642 Total</t>
  </si>
  <si>
    <t>643 Total</t>
  </si>
  <si>
    <t>644 Total</t>
  </si>
  <si>
    <t>645 Total</t>
  </si>
  <si>
    <t>646 Total</t>
  </si>
  <si>
    <t>647 Total</t>
  </si>
  <si>
    <t>648 Total</t>
  </si>
  <si>
    <t>649 Total</t>
  </si>
  <si>
    <t>650 Total</t>
  </si>
  <si>
    <t>651 Total</t>
  </si>
  <si>
    <t>652 Total</t>
  </si>
  <si>
    <t>653 Total</t>
  </si>
  <si>
    <t>654 Total</t>
  </si>
  <si>
    <t>655 Total</t>
  </si>
  <si>
    <t>656 Total</t>
  </si>
  <si>
    <t>657 Total</t>
  </si>
  <si>
    <t>658 Total</t>
  </si>
  <si>
    <t>659 Total</t>
  </si>
  <si>
    <t>660 Total</t>
  </si>
  <si>
    <t>661 Total</t>
  </si>
  <si>
    <t>662 Total</t>
  </si>
  <si>
    <t>663 Total</t>
  </si>
  <si>
    <t>664 Total</t>
  </si>
  <si>
    <t>665 Total</t>
  </si>
  <si>
    <t>666 Total</t>
  </si>
  <si>
    <t>667 Total</t>
  </si>
  <si>
    <t>668 Total</t>
  </si>
  <si>
    <t>669 Total</t>
  </si>
  <si>
    <t>670 Total</t>
  </si>
  <si>
    <t>671 Total</t>
  </si>
  <si>
    <t>672 Total</t>
  </si>
  <si>
    <t>673 Total</t>
  </si>
  <si>
    <t>674 Total</t>
  </si>
  <si>
    <t>675 Total</t>
  </si>
  <si>
    <t>676 Total</t>
  </si>
  <si>
    <t>677 Total</t>
  </si>
  <si>
    <t>678 Total</t>
  </si>
  <si>
    <t>679 Total</t>
  </si>
  <si>
    <t>680 Total</t>
  </si>
  <si>
    <t>681 Total</t>
  </si>
  <si>
    <t>682 Total</t>
  </si>
  <si>
    <t>683 Total</t>
  </si>
  <si>
    <t>684 Total</t>
  </si>
  <si>
    <t>685 Total</t>
  </si>
  <si>
    <t>686 Total</t>
  </si>
  <si>
    <t>687 Total</t>
  </si>
  <si>
    <t>688 Total</t>
  </si>
  <si>
    <t>689 Total</t>
  </si>
  <si>
    <t>690 Total</t>
  </si>
  <si>
    <t>691 Total</t>
  </si>
  <si>
    <t>692 Total</t>
  </si>
  <si>
    <t>693 Total</t>
  </si>
  <si>
    <t>694 Total</t>
  </si>
  <si>
    <t>695 Total</t>
  </si>
  <si>
    <t>696 Total</t>
  </si>
  <si>
    <t>697 Total</t>
  </si>
  <si>
    <t>698 Total</t>
  </si>
  <si>
    <t>699 Total</t>
  </si>
  <si>
    <t>700 Total</t>
  </si>
  <si>
    <t>701 Total</t>
  </si>
  <si>
    <t>702 Total</t>
  </si>
  <si>
    <t>703 Total</t>
  </si>
  <si>
    <t>704 Total</t>
  </si>
  <si>
    <t>705 Total</t>
  </si>
  <si>
    <t>706 Total</t>
  </si>
  <si>
    <t>707 Total</t>
  </si>
  <si>
    <t>708 Total</t>
  </si>
  <si>
    <t>709 Total</t>
  </si>
  <si>
    <t>710 Total</t>
  </si>
  <si>
    <t>711 Total</t>
  </si>
  <si>
    <t>712 Total</t>
  </si>
  <si>
    <t>713 Total</t>
  </si>
  <si>
    <t>714 Total</t>
  </si>
  <si>
    <t>715 Total</t>
  </si>
  <si>
    <t>716 Total</t>
  </si>
  <si>
    <t>717 Total</t>
  </si>
  <si>
    <t>718 Total</t>
  </si>
  <si>
    <t>719 Total</t>
  </si>
  <si>
    <t>720 Total</t>
  </si>
  <si>
    <t>721 Total</t>
  </si>
  <si>
    <t>722 Total</t>
  </si>
  <si>
    <t>723 Total</t>
  </si>
  <si>
    <t>724 Total</t>
  </si>
  <si>
    <t>725 Total</t>
  </si>
  <si>
    <t>726 Total</t>
  </si>
  <si>
    <t>727 Total</t>
  </si>
  <si>
    <t>728 Total</t>
  </si>
  <si>
    <t>729 Total</t>
  </si>
  <si>
    <t>730 Total</t>
  </si>
  <si>
    <t>731 Total</t>
  </si>
  <si>
    <t>732 Total</t>
  </si>
  <si>
    <t>733 Total</t>
  </si>
  <si>
    <t>734 Total</t>
  </si>
  <si>
    <t>735 Total</t>
  </si>
  <si>
    <t>736 Total</t>
  </si>
  <si>
    <t>737 Total</t>
  </si>
  <si>
    <t>738 Total</t>
  </si>
  <si>
    <t>739 Total</t>
  </si>
  <si>
    <t>740 Total</t>
  </si>
  <si>
    <t>741 Total</t>
  </si>
  <si>
    <t>742 Total</t>
  </si>
  <si>
    <t>743 Total</t>
  </si>
  <si>
    <t>744 Total</t>
  </si>
  <si>
    <t>745 Total</t>
  </si>
  <si>
    <t>746 Total</t>
  </si>
  <si>
    <t>747 Total</t>
  </si>
  <si>
    <t>748 Total</t>
  </si>
  <si>
    <t>749 Total</t>
  </si>
  <si>
    <t>750 Total</t>
  </si>
  <si>
    <t>751 Total</t>
  </si>
  <si>
    <t>752 Total</t>
  </si>
  <si>
    <t>753 Total</t>
  </si>
  <si>
    <t>754 Total</t>
  </si>
  <si>
    <t>755 Total</t>
  </si>
  <si>
    <t>756 Total</t>
  </si>
  <si>
    <t>757 Total</t>
  </si>
  <si>
    <t>758 Total</t>
  </si>
  <si>
    <t>759 Total</t>
  </si>
  <si>
    <t>760 Total</t>
  </si>
  <si>
    <t>761 Total</t>
  </si>
  <si>
    <t>762 Total</t>
  </si>
  <si>
    <t>763 Total</t>
  </si>
  <si>
    <t>764 Total</t>
  </si>
  <si>
    <t>765 Total</t>
  </si>
  <si>
    <t>766 Total</t>
  </si>
  <si>
    <t>767 Total</t>
  </si>
  <si>
    <t>768 Total</t>
  </si>
  <si>
    <t>769 Total</t>
  </si>
  <si>
    <t>770 Total</t>
  </si>
  <si>
    <t>771 Total</t>
  </si>
  <si>
    <t>772 Total</t>
  </si>
  <si>
    <t>773 Total</t>
  </si>
  <si>
    <t>774 Total</t>
  </si>
  <si>
    <t>775 Total</t>
  </si>
  <si>
    <t>776 Total</t>
  </si>
  <si>
    <t>777 Total</t>
  </si>
  <si>
    <t>778 Total</t>
  </si>
  <si>
    <t>779 Total</t>
  </si>
  <si>
    <t>780 Total</t>
  </si>
  <si>
    <t>781 Total</t>
  </si>
  <si>
    <t>782 Total</t>
  </si>
  <si>
    <t>783 Total</t>
  </si>
  <si>
    <t>784 Total</t>
  </si>
  <si>
    <t>785 Total</t>
  </si>
  <si>
    <t>786 Total</t>
  </si>
  <si>
    <t>787 Total</t>
  </si>
  <si>
    <t>788 Total</t>
  </si>
  <si>
    <t>789 Total</t>
  </si>
  <si>
    <t>790 Total</t>
  </si>
  <si>
    <t>791 Total</t>
  </si>
  <si>
    <t>792 Total</t>
  </si>
  <si>
    <t>793 Total</t>
  </si>
  <si>
    <t>794 Total</t>
  </si>
  <si>
    <t>795 Total</t>
  </si>
  <si>
    <t>796 Total</t>
  </si>
  <si>
    <t>797 Total</t>
  </si>
  <si>
    <t>798 Total</t>
  </si>
  <si>
    <t>799 Total</t>
  </si>
  <si>
    <t>800 Total</t>
  </si>
  <si>
    <t>801 Total</t>
  </si>
  <si>
    <t>802 Total</t>
  </si>
  <si>
    <t>803 Total</t>
  </si>
  <si>
    <t>804 Total</t>
  </si>
  <si>
    <t>805 Total</t>
  </si>
  <si>
    <t>806 Total</t>
  </si>
  <si>
    <t>807 Total</t>
  </si>
  <si>
    <t>808 Total</t>
  </si>
  <si>
    <t>809 Total</t>
  </si>
  <si>
    <t>810 Total</t>
  </si>
  <si>
    <t>811 Total</t>
  </si>
  <si>
    <t>812 Total</t>
  </si>
  <si>
    <t>813 Total</t>
  </si>
  <si>
    <t>814 Total</t>
  </si>
  <si>
    <t>815 Total</t>
  </si>
  <si>
    <t>816 Total</t>
  </si>
  <si>
    <t>817 Total</t>
  </si>
  <si>
    <t>818 Total</t>
  </si>
  <si>
    <t>819 Total</t>
  </si>
  <si>
    <t>820 Total</t>
  </si>
  <si>
    <t>821 Total</t>
  </si>
  <si>
    <t>822 Total</t>
  </si>
  <si>
    <t>823 Total</t>
  </si>
  <si>
    <t>824 Total</t>
  </si>
  <si>
    <t>825 Total</t>
  </si>
  <si>
    <t>826 Total</t>
  </si>
  <si>
    <t>827 Total</t>
  </si>
  <si>
    <t>828 Total</t>
  </si>
  <si>
    <t>829 Total</t>
  </si>
  <si>
    <t>830 Total</t>
  </si>
  <si>
    <t>831 Total</t>
  </si>
  <si>
    <t>832 Total</t>
  </si>
  <si>
    <t>833 Total</t>
  </si>
  <si>
    <t>834 Total</t>
  </si>
  <si>
    <t>835 Total</t>
  </si>
  <si>
    <t>836 Total</t>
  </si>
  <si>
    <t>837 Total</t>
  </si>
  <si>
    <t>838 Total</t>
  </si>
  <si>
    <t>839 Total</t>
  </si>
  <si>
    <t>840 Total</t>
  </si>
  <si>
    <t>841 Total</t>
  </si>
  <si>
    <t>842 Total</t>
  </si>
  <si>
    <t>843 Total</t>
  </si>
  <si>
    <t>844 Total</t>
  </si>
  <si>
    <t>845 Total</t>
  </si>
  <si>
    <t>846 Total</t>
  </si>
  <si>
    <t>847 Total</t>
  </si>
  <si>
    <t>848 Total</t>
  </si>
  <si>
    <t>849 Total</t>
  </si>
  <si>
    <t>850 Total</t>
  </si>
  <si>
    <t>851 Total</t>
  </si>
  <si>
    <t>852 Total</t>
  </si>
  <si>
    <t>853 Total</t>
  </si>
  <si>
    <t>854 Total</t>
  </si>
  <si>
    <t>855 Total</t>
  </si>
  <si>
    <t>856 Total</t>
  </si>
  <si>
    <t>857 Total</t>
  </si>
  <si>
    <t>858 Total</t>
  </si>
  <si>
    <t>859 Total</t>
  </si>
  <si>
    <t>860 Total</t>
  </si>
  <si>
    <t>861 Total</t>
  </si>
  <si>
    <t>862 Total</t>
  </si>
  <si>
    <t>863 Total</t>
  </si>
  <si>
    <t>864 Total</t>
  </si>
  <si>
    <t>865 Total</t>
  </si>
  <si>
    <t>866 Total</t>
  </si>
  <si>
    <t>867 Total</t>
  </si>
  <si>
    <t>868 Total</t>
  </si>
  <si>
    <t>869 Total</t>
  </si>
  <si>
    <t>870 Total</t>
  </si>
  <si>
    <t>871 Total</t>
  </si>
  <si>
    <t>872 Total</t>
  </si>
  <si>
    <t>873 Total</t>
  </si>
  <si>
    <t>874 Total</t>
  </si>
  <si>
    <t>875 Total</t>
  </si>
  <si>
    <t>876 Total</t>
  </si>
  <si>
    <t>877 Total</t>
  </si>
  <si>
    <t>878 Total</t>
  </si>
  <si>
    <t>879 Total</t>
  </si>
  <si>
    <t>880 Total</t>
  </si>
  <si>
    <t>881 Total</t>
  </si>
  <si>
    <t>882 Total</t>
  </si>
  <si>
    <t>883 Total</t>
  </si>
  <si>
    <t>884 Total</t>
  </si>
  <si>
    <t>885 Total</t>
  </si>
  <si>
    <t>886 Total</t>
  </si>
  <si>
    <t>887 Total</t>
  </si>
  <si>
    <t>888 Total</t>
  </si>
  <si>
    <t>889 Total</t>
  </si>
  <si>
    <t>890 Total</t>
  </si>
  <si>
    <t>891 Total</t>
  </si>
  <si>
    <t>892 Total</t>
  </si>
  <si>
    <t>893 Total</t>
  </si>
  <si>
    <t>894 Total</t>
  </si>
  <si>
    <t>895 Total</t>
  </si>
  <si>
    <t>896 Total</t>
  </si>
  <si>
    <t>897 Total</t>
  </si>
  <si>
    <t>898 Total</t>
  </si>
  <si>
    <t>899 Total</t>
  </si>
  <si>
    <t>900 Total</t>
  </si>
  <si>
    <t>901 Total</t>
  </si>
  <si>
    <t>902 Total</t>
  </si>
  <si>
    <t>903 Total</t>
  </si>
  <si>
    <t>904 Total</t>
  </si>
  <si>
    <t>905 Total</t>
  </si>
  <si>
    <t>906 Total</t>
  </si>
  <si>
    <t>907 Total</t>
  </si>
  <si>
    <t>908 Total</t>
  </si>
  <si>
    <t>909 Total</t>
  </si>
  <si>
    <t>910 Total</t>
  </si>
  <si>
    <t>911 Total</t>
  </si>
  <si>
    <t>912 Total</t>
  </si>
  <si>
    <t>913 Total</t>
  </si>
  <si>
    <t>914 Total</t>
  </si>
  <si>
    <t>915 Total</t>
  </si>
  <si>
    <t>916 Total</t>
  </si>
  <si>
    <t>917 Total</t>
  </si>
  <si>
    <t>918 Total</t>
  </si>
  <si>
    <t>919 Total</t>
  </si>
  <si>
    <t>920 Total</t>
  </si>
  <si>
    <t>921 Total</t>
  </si>
  <si>
    <t>922 Total</t>
  </si>
  <si>
    <t>923 Total</t>
  </si>
  <si>
    <t>924 Total</t>
  </si>
  <si>
    <t>925 Total</t>
  </si>
  <si>
    <t>926 Total</t>
  </si>
  <si>
    <t>927 Total</t>
  </si>
  <si>
    <t>928 Total</t>
  </si>
  <si>
    <t>929 Total</t>
  </si>
  <si>
    <t>930 Total</t>
  </si>
  <si>
    <t>931 Total</t>
  </si>
  <si>
    <t>932 Total</t>
  </si>
  <si>
    <t>933 Total</t>
  </si>
  <si>
    <t>934 Total</t>
  </si>
  <si>
    <t>935 Total</t>
  </si>
  <si>
    <t>936 Total</t>
  </si>
  <si>
    <t>937 Total</t>
  </si>
  <si>
    <t>938 Total</t>
  </si>
  <si>
    <t>939 Total</t>
  </si>
  <si>
    <t>940 Total</t>
  </si>
  <si>
    <t>941 Total</t>
  </si>
  <si>
    <t>942 Total</t>
  </si>
  <si>
    <t>943 Total</t>
  </si>
  <si>
    <t>944 Total</t>
  </si>
  <si>
    <t>945 Total</t>
  </si>
  <si>
    <t>946 Total</t>
  </si>
  <si>
    <t>947 Total</t>
  </si>
  <si>
    <t>948 Total</t>
  </si>
  <si>
    <t>949 Total</t>
  </si>
  <si>
    <t>950 Total</t>
  </si>
  <si>
    <t>951 Total</t>
  </si>
  <si>
    <t>952 Total</t>
  </si>
  <si>
    <t>953 Total</t>
  </si>
  <si>
    <t>954 Total</t>
  </si>
  <si>
    <t>955 Total</t>
  </si>
  <si>
    <t>956 Total</t>
  </si>
  <si>
    <t>957 Total</t>
  </si>
  <si>
    <t>958 Total</t>
  </si>
  <si>
    <t>959 Total</t>
  </si>
  <si>
    <t>960 Total</t>
  </si>
  <si>
    <t>961 Total</t>
  </si>
  <si>
    <t>962 Total</t>
  </si>
  <si>
    <t>963 Total</t>
  </si>
  <si>
    <t>964 Total</t>
  </si>
  <si>
    <t>965 Total</t>
  </si>
  <si>
    <t>966 Total</t>
  </si>
  <si>
    <t>967 Total</t>
  </si>
  <si>
    <t>968 Total</t>
  </si>
  <si>
    <t>969 Total</t>
  </si>
  <si>
    <t>970 Total</t>
  </si>
  <si>
    <t>971 Total</t>
  </si>
  <si>
    <t>972 Total</t>
  </si>
  <si>
    <t>973 Total</t>
  </si>
  <si>
    <t>974 Total</t>
  </si>
  <si>
    <t>975 Total</t>
  </si>
  <si>
    <t>976 Total</t>
  </si>
  <si>
    <t>977 Total</t>
  </si>
  <si>
    <t>978 Total</t>
  </si>
  <si>
    <t>979 Total</t>
  </si>
  <si>
    <t>980 Total</t>
  </si>
  <si>
    <t>981 Total</t>
  </si>
  <si>
    <t>982 Total</t>
  </si>
  <si>
    <t>983 Total</t>
  </si>
  <si>
    <t>984 Total</t>
  </si>
  <si>
    <t>985 Total</t>
  </si>
  <si>
    <t>986 Total</t>
  </si>
  <si>
    <t>987 Total</t>
  </si>
  <si>
    <t>988 Total</t>
  </si>
  <si>
    <t>989 Total</t>
  </si>
  <si>
    <t>990 Total</t>
  </si>
  <si>
    <t>991 Total</t>
  </si>
  <si>
    <t>992 Total</t>
  </si>
  <si>
    <t>993 Total</t>
  </si>
  <si>
    <t>994 Total</t>
  </si>
  <si>
    <t>995 Total</t>
  </si>
  <si>
    <t>996 Total</t>
  </si>
  <si>
    <t>997 Total</t>
  </si>
  <si>
    <t>998 Total</t>
  </si>
  <si>
    <t>999 Total</t>
  </si>
  <si>
    <t>1000 Total</t>
  </si>
  <si>
    <t>1001 Total</t>
  </si>
  <si>
    <t>1002 Total</t>
  </si>
  <si>
    <t>1003 Total</t>
  </si>
  <si>
    <t>1004 Total</t>
  </si>
  <si>
    <t>1005 Total</t>
  </si>
  <si>
    <t>1006 Total</t>
  </si>
  <si>
    <t>1007 Total</t>
  </si>
  <si>
    <t>1008 Total</t>
  </si>
  <si>
    <t>1009 Total</t>
  </si>
  <si>
    <t>1010 Total</t>
  </si>
  <si>
    <t>1011 Total</t>
  </si>
  <si>
    <t>1012 Total</t>
  </si>
  <si>
    <t>1013 Total</t>
  </si>
  <si>
    <t>1014 Total</t>
  </si>
  <si>
    <t>1015 Total</t>
  </si>
  <si>
    <t>1016 Total</t>
  </si>
  <si>
    <t>1017 Total</t>
  </si>
  <si>
    <t>1018 Total</t>
  </si>
  <si>
    <t>1019 Total</t>
  </si>
  <si>
    <t>1020 Total</t>
  </si>
  <si>
    <t>1021 Total</t>
  </si>
  <si>
    <t>1022 Total</t>
  </si>
  <si>
    <t>1023 Total</t>
  </si>
  <si>
    <t>1024 Total</t>
  </si>
  <si>
    <t>1025 Total</t>
  </si>
  <si>
    <t>1026 Total</t>
  </si>
  <si>
    <t>1027 Total</t>
  </si>
  <si>
    <t>1028 Total</t>
  </si>
  <si>
    <t>1029 Total</t>
  </si>
  <si>
    <t>1030 Total</t>
  </si>
  <si>
    <t>1031 Total</t>
  </si>
  <si>
    <t>1032 Total</t>
  </si>
  <si>
    <t>1033 Total</t>
  </si>
  <si>
    <t>1034 Total</t>
  </si>
  <si>
    <t>1035 Total</t>
  </si>
  <si>
    <t>1036 Total</t>
  </si>
  <si>
    <t>1037 Total</t>
  </si>
  <si>
    <t>1038 Total</t>
  </si>
  <si>
    <t>1039 Total</t>
  </si>
  <si>
    <t>1040 Total</t>
  </si>
  <si>
    <t>1041 Total</t>
  </si>
  <si>
    <t>1042 Total</t>
  </si>
  <si>
    <t>1043 Total</t>
  </si>
  <si>
    <t>1044 Total</t>
  </si>
  <si>
    <t>1045 Total</t>
  </si>
  <si>
    <t>1046 Total</t>
  </si>
  <si>
    <t>1047 Total</t>
  </si>
  <si>
    <t>1048 Total</t>
  </si>
  <si>
    <t>1049 Total</t>
  </si>
  <si>
    <t>1050 Total</t>
  </si>
  <si>
    <t>1051 Total</t>
  </si>
  <si>
    <t>1052 Total</t>
  </si>
  <si>
    <t>1053 Total</t>
  </si>
  <si>
    <t>1054 Total</t>
  </si>
  <si>
    <t>1055 Total</t>
  </si>
  <si>
    <t>1056 Total</t>
  </si>
  <si>
    <t>1057 Total</t>
  </si>
  <si>
    <t>1058 Total</t>
  </si>
  <si>
    <t>1059 Total</t>
  </si>
  <si>
    <t>1060 Total</t>
  </si>
  <si>
    <t>1061 Total</t>
  </si>
  <si>
    <t>1062 Total</t>
  </si>
  <si>
    <t>1063 Total</t>
  </si>
  <si>
    <t>1064 Total</t>
  </si>
  <si>
    <t>1065 Total</t>
  </si>
  <si>
    <t>1066 Total</t>
  </si>
  <si>
    <t>1067 Total</t>
  </si>
  <si>
    <t>1068 Total</t>
  </si>
  <si>
    <t>1069 Total</t>
  </si>
  <si>
    <t>1070 Total</t>
  </si>
  <si>
    <t>1071 Total</t>
  </si>
  <si>
    <t>1072 Total</t>
  </si>
  <si>
    <t>1073 Total</t>
  </si>
  <si>
    <t>1074 Total</t>
  </si>
  <si>
    <t>1075 Total</t>
  </si>
  <si>
    <t>1076 Total</t>
  </si>
  <si>
    <t>1077 Total</t>
  </si>
  <si>
    <t>1078 Total</t>
  </si>
  <si>
    <t>1079 Total</t>
  </si>
  <si>
    <t>1080 Total</t>
  </si>
  <si>
    <t>1081 Total</t>
  </si>
  <si>
    <t>1082 Total</t>
  </si>
  <si>
    <t>1083 Total</t>
  </si>
  <si>
    <t>1084 Total</t>
  </si>
  <si>
    <t>1085 Total</t>
  </si>
  <si>
    <t>1086 Total</t>
  </si>
  <si>
    <t>1087 Total</t>
  </si>
  <si>
    <t>1088 Total</t>
  </si>
  <si>
    <t>1089 Total</t>
  </si>
  <si>
    <t>1090 Total</t>
  </si>
  <si>
    <t>1091 Total</t>
  </si>
  <si>
    <t>1092 Total</t>
  </si>
  <si>
    <t>1093 Total</t>
  </si>
  <si>
    <t>1094 Total</t>
  </si>
  <si>
    <t>1095 Total</t>
  </si>
  <si>
    <t>1096 Total</t>
  </si>
  <si>
    <t>1097 Total</t>
  </si>
  <si>
    <t>1098 Total</t>
  </si>
  <si>
    <t>1099 Total</t>
  </si>
  <si>
    <t>1100 Total</t>
  </si>
  <si>
    <t>1101 Total</t>
  </si>
  <si>
    <t>1102 Total</t>
  </si>
  <si>
    <t>1103 Total</t>
  </si>
  <si>
    <t>1104 Total</t>
  </si>
  <si>
    <t>1105 Total</t>
  </si>
  <si>
    <t>1106 Total</t>
  </si>
  <si>
    <t>1107 Total</t>
  </si>
  <si>
    <t>1108 Total</t>
  </si>
  <si>
    <t>1109 Total</t>
  </si>
  <si>
    <t>1110 Total</t>
  </si>
  <si>
    <t>1111 Total</t>
  </si>
  <si>
    <t>1112 Total</t>
  </si>
  <si>
    <t>1113 Total</t>
  </si>
  <si>
    <t>1114 Total</t>
  </si>
  <si>
    <t>1115 Total</t>
  </si>
  <si>
    <t>1116 Total</t>
  </si>
  <si>
    <t>1117 Total</t>
  </si>
  <si>
    <t>1118 Total</t>
  </si>
  <si>
    <t>1119 Total</t>
  </si>
  <si>
    <t>1120 Total</t>
  </si>
  <si>
    <t>1121 Total</t>
  </si>
  <si>
    <t>1122 Total</t>
  </si>
  <si>
    <t>1123 Total</t>
  </si>
  <si>
    <t>1124 Total</t>
  </si>
  <si>
    <t>1125 Total</t>
  </si>
  <si>
    <t>1126 Total</t>
  </si>
  <si>
    <t>1127 Total</t>
  </si>
  <si>
    <t>1128 Total</t>
  </si>
  <si>
    <t>1129 Total</t>
  </si>
  <si>
    <t>1130 Total</t>
  </si>
  <si>
    <t>1131 Total</t>
  </si>
  <si>
    <t>1132 Total</t>
  </si>
  <si>
    <t>1133 Total</t>
  </si>
  <si>
    <t>1134 Total</t>
  </si>
  <si>
    <t>1135 Total</t>
  </si>
  <si>
    <t>1136 Total</t>
  </si>
  <si>
    <t>1137 Total</t>
  </si>
  <si>
    <t>1138 Total</t>
  </si>
  <si>
    <t>1139 Total</t>
  </si>
  <si>
    <t>1140 Total</t>
  </si>
  <si>
    <t>1141 Total</t>
  </si>
  <si>
    <t>1142 Total</t>
  </si>
  <si>
    <t>1143 Total</t>
  </si>
  <si>
    <t>1144 Total</t>
  </si>
  <si>
    <t>1145 Total</t>
  </si>
  <si>
    <t>1146 Total</t>
  </si>
  <si>
    <t>1147 Total</t>
  </si>
  <si>
    <t>1148 Total</t>
  </si>
  <si>
    <t>1149 Total</t>
  </si>
  <si>
    <t>1150 Total</t>
  </si>
  <si>
    <t>1151 Total</t>
  </si>
  <si>
    <t>1152 Total</t>
  </si>
  <si>
    <t>1153 Total</t>
  </si>
  <si>
    <t>1154 Total</t>
  </si>
  <si>
    <t>1155 Total</t>
  </si>
  <si>
    <t>1156 Total</t>
  </si>
  <si>
    <t>1157 Total</t>
  </si>
  <si>
    <t>1158 Total</t>
  </si>
  <si>
    <t>1159 Total</t>
  </si>
  <si>
    <t>1160 Total</t>
  </si>
  <si>
    <t>1161 Total</t>
  </si>
  <si>
    <t>1162 Total</t>
  </si>
  <si>
    <t>1163 Total</t>
  </si>
  <si>
    <t>1164 Total</t>
  </si>
  <si>
    <t>1165 Total</t>
  </si>
  <si>
    <t>1166 Total</t>
  </si>
  <si>
    <t>1167 Total</t>
  </si>
  <si>
    <t>1168 Total</t>
  </si>
  <si>
    <t>1169 Total</t>
  </si>
  <si>
    <t>1170 Total</t>
  </si>
  <si>
    <t>1171 Total</t>
  </si>
  <si>
    <t>1172 Total</t>
  </si>
  <si>
    <t>1173 Total</t>
  </si>
  <si>
    <t>1174 Total</t>
  </si>
  <si>
    <t>1175 Total</t>
  </si>
  <si>
    <t>1176 Total</t>
  </si>
  <si>
    <t>1177 Total</t>
  </si>
  <si>
    <t>1178 Total</t>
  </si>
  <si>
    <t>1179 Total</t>
  </si>
  <si>
    <t>1180 Total</t>
  </si>
  <si>
    <t>1181 Total</t>
  </si>
  <si>
    <t>1182 Total</t>
  </si>
  <si>
    <t>1183 Total</t>
  </si>
  <si>
    <t>1184 Total</t>
  </si>
  <si>
    <t>1185 Total</t>
  </si>
  <si>
    <t>1186 Total</t>
  </si>
  <si>
    <t>1187 Total</t>
  </si>
  <si>
    <t>1188 Total</t>
  </si>
  <si>
    <t>1189 Total</t>
  </si>
  <si>
    <t>1190 Total</t>
  </si>
  <si>
    <t>1191 Total</t>
  </si>
  <si>
    <t>1192 Total</t>
  </si>
  <si>
    <t>1193 Total</t>
  </si>
  <si>
    <t>1194 Total</t>
  </si>
  <si>
    <t>1195 Total</t>
  </si>
  <si>
    <t>1196 Total</t>
  </si>
  <si>
    <t>1197 Total</t>
  </si>
  <si>
    <t>1198 Total</t>
  </si>
  <si>
    <t>1199 Total</t>
  </si>
  <si>
    <t>1200 Total</t>
  </si>
  <si>
    <t>1201 Total</t>
  </si>
  <si>
    <t>1202 Total</t>
  </si>
  <si>
    <t>1203 Total</t>
  </si>
  <si>
    <t>1204 Total</t>
  </si>
  <si>
    <t>1205 Total</t>
  </si>
  <si>
    <t>1206 Total</t>
  </si>
  <si>
    <t>1207 Total</t>
  </si>
  <si>
    <t>1208 Total</t>
  </si>
  <si>
    <t>1209 Total</t>
  </si>
  <si>
    <t>1210 Total</t>
  </si>
  <si>
    <t>1211 Total</t>
  </si>
  <si>
    <t>1212 Total</t>
  </si>
  <si>
    <t>1213 Total</t>
  </si>
  <si>
    <t>1214 Total</t>
  </si>
  <si>
    <t>1215 Total</t>
  </si>
  <si>
    <t>1216 Total</t>
  </si>
  <si>
    <t>1217 Total</t>
  </si>
  <si>
    <t>1218 Total</t>
  </si>
  <si>
    <t>1219 Total</t>
  </si>
  <si>
    <t>1220 Total</t>
  </si>
  <si>
    <t>1221 Total</t>
  </si>
  <si>
    <t>1222 Total</t>
  </si>
  <si>
    <t>1223 Total</t>
  </si>
  <si>
    <t>1224 Total</t>
  </si>
  <si>
    <t>1225 Total</t>
  </si>
  <si>
    <t>1226 Total</t>
  </si>
  <si>
    <t>1227 Total</t>
  </si>
  <si>
    <t>1228 Total</t>
  </si>
  <si>
    <t>1229 Total</t>
  </si>
  <si>
    <t>1230 Total</t>
  </si>
  <si>
    <t>1231 Total</t>
  </si>
  <si>
    <t>1232 Total</t>
  </si>
  <si>
    <t>1233 Total</t>
  </si>
  <si>
    <t>1234 Total</t>
  </si>
  <si>
    <t>1235 Total</t>
  </si>
  <si>
    <t>1236 Total</t>
  </si>
  <si>
    <t>1237 Total</t>
  </si>
  <si>
    <t>1238 Total</t>
  </si>
  <si>
    <t>1239 Total</t>
  </si>
  <si>
    <t>1240 Total</t>
  </si>
  <si>
    <t>1241 Total</t>
  </si>
  <si>
    <t>1242 Total</t>
  </si>
  <si>
    <t>1243 Total</t>
  </si>
  <si>
    <t>1244 Total</t>
  </si>
  <si>
    <t>1245 Total</t>
  </si>
  <si>
    <t>1246 Total</t>
  </si>
  <si>
    <t>1247 Total</t>
  </si>
  <si>
    <t>1248 Total</t>
  </si>
  <si>
    <t>1249 Total</t>
  </si>
  <si>
    <t>1250 Total</t>
  </si>
  <si>
    <t>1251 Total</t>
  </si>
  <si>
    <t>1252 Total</t>
  </si>
  <si>
    <t>1253 Total</t>
  </si>
  <si>
    <t>1254 Total</t>
  </si>
  <si>
    <t>1255 Total</t>
  </si>
  <si>
    <t>1256 Total</t>
  </si>
  <si>
    <t>1257 Total</t>
  </si>
  <si>
    <t>1258 Total</t>
  </si>
  <si>
    <t>1259 Total</t>
  </si>
  <si>
    <t>1260 Total</t>
  </si>
  <si>
    <t>1261 Total</t>
  </si>
  <si>
    <t>1262 Total</t>
  </si>
  <si>
    <t>1263 Total</t>
  </si>
  <si>
    <t>1264 Total</t>
  </si>
  <si>
    <t>1265 Total</t>
  </si>
  <si>
    <t>1266 Total</t>
  </si>
  <si>
    <t>1267 Total</t>
  </si>
  <si>
    <t>1268 Total</t>
  </si>
  <si>
    <t>1269 Total</t>
  </si>
  <si>
    <t>1270 Total</t>
  </si>
  <si>
    <t>1271 Total</t>
  </si>
  <si>
    <t>1272 Total</t>
  </si>
  <si>
    <t>1273 Total</t>
  </si>
  <si>
    <t>1274 Total</t>
  </si>
  <si>
    <t>1275 Total</t>
  </si>
  <si>
    <t>1276 Total</t>
  </si>
  <si>
    <t>1277 Total</t>
  </si>
  <si>
    <t>1278 Total</t>
  </si>
  <si>
    <t>1279 Total</t>
  </si>
  <si>
    <t>1280 Total</t>
  </si>
  <si>
    <t>1281 Total</t>
  </si>
  <si>
    <t>1282 Total</t>
  </si>
  <si>
    <t>1283 Total</t>
  </si>
  <si>
    <t>1284 Total</t>
  </si>
  <si>
    <t>1285 Total</t>
  </si>
  <si>
    <t>1286 Total</t>
  </si>
  <si>
    <t>1287 Total</t>
  </si>
  <si>
    <t>1288 Total</t>
  </si>
  <si>
    <t>1289 Total</t>
  </si>
  <si>
    <t>1290 Total</t>
  </si>
  <si>
    <t>1291 Total</t>
  </si>
  <si>
    <t>1292 Total</t>
  </si>
  <si>
    <t>1293 Total</t>
  </si>
  <si>
    <t>1294 Total</t>
  </si>
  <si>
    <t>1295 Total</t>
  </si>
  <si>
    <t>1296 Total</t>
  </si>
  <si>
    <t>1297 Total</t>
  </si>
  <si>
    <t>1298 Total</t>
  </si>
  <si>
    <t>1299 Total</t>
  </si>
  <si>
    <t>1300 Total</t>
  </si>
  <si>
    <t>1301 Total</t>
  </si>
  <si>
    <t>1302 Total</t>
  </si>
  <si>
    <t>1303 Total</t>
  </si>
  <si>
    <t>1304 Total</t>
  </si>
  <si>
    <t>1305 Total</t>
  </si>
  <si>
    <t>1306 Total</t>
  </si>
  <si>
    <t>1307 Total</t>
  </si>
  <si>
    <t>1308 Total</t>
  </si>
  <si>
    <t>1309 Total</t>
  </si>
  <si>
    <t>1310 Total</t>
  </si>
  <si>
    <t>1311 Total</t>
  </si>
  <si>
    <t>1312 Total</t>
  </si>
  <si>
    <t>1313 Total</t>
  </si>
  <si>
    <t>1314 Total</t>
  </si>
  <si>
    <t>1315 Total</t>
  </si>
  <si>
    <t>1316 Total</t>
  </si>
  <si>
    <t>1317 Total</t>
  </si>
  <si>
    <t>1318 Total</t>
  </si>
  <si>
    <t>1319 Total</t>
  </si>
  <si>
    <t>1320 Total</t>
  </si>
  <si>
    <t>1321 Total</t>
  </si>
  <si>
    <t>1322 Total</t>
  </si>
  <si>
    <t>1323 Total</t>
  </si>
  <si>
    <t>1324 Total</t>
  </si>
  <si>
    <t>1325 Total</t>
  </si>
  <si>
    <t>1326 Total</t>
  </si>
  <si>
    <t>1327 Total</t>
  </si>
  <si>
    <t>1328 Total</t>
  </si>
  <si>
    <t>1329 Total</t>
  </si>
  <si>
    <t>1330 Total</t>
  </si>
  <si>
    <t>1331 Total</t>
  </si>
  <si>
    <t>1332 Total</t>
  </si>
  <si>
    <t>1333 Total</t>
  </si>
  <si>
    <t>1334 Total</t>
  </si>
  <si>
    <t>1335 Total</t>
  </si>
  <si>
    <t>1336 Total</t>
  </si>
  <si>
    <t>1337 Total</t>
  </si>
  <si>
    <t>1338 Total</t>
  </si>
  <si>
    <t>1339 Total</t>
  </si>
  <si>
    <t>1340 Total</t>
  </si>
  <si>
    <t>1341 Total</t>
  </si>
  <si>
    <t>1342 Total</t>
  </si>
  <si>
    <t>1343 Total</t>
  </si>
  <si>
    <t>1344 Total</t>
  </si>
  <si>
    <t>1345 Total</t>
  </si>
  <si>
    <t>1346 Total</t>
  </si>
  <si>
    <t>1347 Total</t>
  </si>
  <si>
    <t>1348 Total</t>
  </si>
  <si>
    <t>1349 Total</t>
  </si>
  <si>
    <t>1350 Total</t>
  </si>
  <si>
    <t>1351 Total</t>
  </si>
  <si>
    <t>1352 Total</t>
  </si>
  <si>
    <t>1353 Total</t>
  </si>
  <si>
    <t>1354 Total</t>
  </si>
  <si>
    <t>1355 Total</t>
  </si>
  <si>
    <t>1356 Total</t>
  </si>
  <si>
    <t>1357 Total</t>
  </si>
  <si>
    <t>1358 Total</t>
  </si>
  <si>
    <t>1359 Total</t>
  </si>
  <si>
    <t>1360 Total</t>
  </si>
  <si>
    <t>1361 Total</t>
  </si>
  <si>
    <t>1362 Total</t>
  </si>
  <si>
    <t>1363 Total</t>
  </si>
  <si>
    <t>1364 Total</t>
  </si>
  <si>
    <t>1365 Total</t>
  </si>
  <si>
    <t>1366 Total</t>
  </si>
  <si>
    <t>1367 Total</t>
  </si>
  <si>
    <t>1368 Total</t>
  </si>
  <si>
    <t>1369 Total</t>
  </si>
  <si>
    <t>1370 Total</t>
  </si>
  <si>
    <t>1371 Total</t>
  </si>
  <si>
    <t>1372 Total</t>
  </si>
  <si>
    <t>1373 Total</t>
  </si>
  <si>
    <t>1374 Total</t>
  </si>
  <si>
    <t>1375 Total</t>
  </si>
  <si>
    <t>1376 Total</t>
  </si>
  <si>
    <t>1377 Total</t>
  </si>
  <si>
    <t>1378 Total</t>
  </si>
  <si>
    <t>1379 Total</t>
  </si>
  <si>
    <t>1380 Total</t>
  </si>
  <si>
    <t>1381 Total</t>
  </si>
  <si>
    <t>1382 Total</t>
  </si>
  <si>
    <t>1383 Total</t>
  </si>
  <si>
    <t>1384 Total</t>
  </si>
  <si>
    <t>1385 Total</t>
  </si>
  <si>
    <t>1386 Total</t>
  </si>
  <si>
    <t>1387 Total</t>
  </si>
  <si>
    <t>1388 Total</t>
  </si>
  <si>
    <t>1389 Total</t>
  </si>
  <si>
    <t>1390 Total</t>
  </si>
  <si>
    <t>1391 Total</t>
  </si>
  <si>
    <t>1392 Total</t>
  </si>
  <si>
    <t>1393 Total</t>
  </si>
  <si>
    <t>1394 Total</t>
  </si>
  <si>
    <t>1395 Total</t>
  </si>
  <si>
    <t>1396 Total</t>
  </si>
  <si>
    <t>1397 Total</t>
  </si>
  <si>
    <t>1398 Total</t>
  </si>
  <si>
    <t>1399 Total</t>
  </si>
  <si>
    <t>1400 Total</t>
  </si>
  <si>
    <t>1401 Total</t>
  </si>
  <si>
    <t>1402 Total</t>
  </si>
  <si>
    <t>1403 Total</t>
  </si>
  <si>
    <t>1404 Total</t>
  </si>
  <si>
    <t>1405 Total</t>
  </si>
  <si>
    <t>1406 Total</t>
  </si>
  <si>
    <t>1407 Total</t>
  </si>
  <si>
    <t>1408 Total</t>
  </si>
  <si>
    <t>1409 Total</t>
  </si>
  <si>
    <t>1410 Total</t>
  </si>
  <si>
    <t>1411 Total</t>
  </si>
  <si>
    <t>1412 Total</t>
  </si>
  <si>
    <t>1413 Total</t>
  </si>
  <si>
    <t>1414 Total</t>
  </si>
  <si>
    <t>1415 Total</t>
  </si>
  <si>
    <t>1416 Total</t>
  </si>
  <si>
    <t>1417 Total</t>
  </si>
  <si>
    <t>1418 Total</t>
  </si>
  <si>
    <t>1419 Total</t>
  </si>
  <si>
    <t>1420 Total</t>
  </si>
  <si>
    <t>1421 Total</t>
  </si>
  <si>
    <t>1422 Total</t>
  </si>
  <si>
    <t>1423 Total</t>
  </si>
  <si>
    <t>1424 Total</t>
  </si>
  <si>
    <t>1425 Total</t>
  </si>
  <si>
    <t>1426 Total</t>
  </si>
  <si>
    <t>1427 Total</t>
  </si>
  <si>
    <t>1428 Total</t>
  </si>
  <si>
    <t>1429 Total</t>
  </si>
  <si>
    <t>1430 Total</t>
  </si>
  <si>
    <t>1431 Total</t>
  </si>
  <si>
    <t>1432 Total</t>
  </si>
  <si>
    <t>1433 Total</t>
  </si>
  <si>
    <t>1434 Total</t>
  </si>
  <si>
    <t>1435 Total</t>
  </si>
  <si>
    <t>1436 Total</t>
  </si>
  <si>
    <t>1437 Total</t>
  </si>
  <si>
    <t>1438 Total</t>
  </si>
  <si>
    <t>1439 Total</t>
  </si>
  <si>
    <t>1440 Total</t>
  </si>
  <si>
    <t>1441 Total</t>
  </si>
  <si>
    <t>1442 Total</t>
  </si>
  <si>
    <t>1443 Total</t>
  </si>
  <si>
    <t>1444 Total</t>
  </si>
  <si>
    <t>1445 Total</t>
  </si>
  <si>
    <t>1446 Total</t>
  </si>
  <si>
    <t>1447 Total</t>
  </si>
  <si>
    <t>1448 Total</t>
  </si>
  <si>
    <t>1449 Total</t>
  </si>
  <si>
    <t>1450 Total</t>
  </si>
  <si>
    <t>1451 Total</t>
  </si>
  <si>
    <t>1452 Total</t>
  </si>
  <si>
    <t>1453 Total</t>
  </si>
  <si>
    <t>1454 Total</t>
  </si>
  <si>
    <t>1455 Total</t>
  </si>
  <si>
    <t>1456 Total</t>
  </si>
  <si>
    <t>1457 Total</t>
  </si>
  <si>
    <t>1458 Total</t>
  </si>
  <si>
    <t>1459 Total</t>
  </si>
  <si>
    <t>1460 Total</t>
  </si>
  <si>
    <t>1461 Total</t>
  </si>
  <si>
    <t>1462 Total</t>
  </si>
  <si>
    <t>1463 Total</t>
  </si>
  <si>
    <t>1464 Total</t>
  </si>
  <si>
    <t>1465 Total</t>
  </si>
  <si>
    <t>1466 Total</t>
  </si>
  <si>
    <t>1467 Total</t>
  </si>
  <si>
    <t>1468 Total</t>
  </si>
  <si>
    <t>1469 Total</t>
  </si>
  <si>
    <t>1470 Total</t>
  </si>
  <si>
    <t>1471 Total</t>
  </si>
  <si>
    <t>1472 Total</t>
  </si>
  <si>
    <t>1473 Total</t>
  </si>
  <si>
    <t>1474 Total</t>
  </si>
  <si>
    <t>1475 Total</t>
  </si>
  <si>
    <t>1476 Total</t>
  </si>
  <si>
    <t>1477 Total</t>
  </si>
  <si>
    <t>1478 Total</t>
  </si>
  <si>
    <t>1479 Total</t>
  </si>
  <si>
    <t>1480 Total</t>
  </si>
  <si>
    <t>1481 Total</t>
  </si>
  <si>
    <t>1482 Total</t>
  </si>
  <si>
    <t>1483 Total</t>
  </si>
  <si>
    <t>1484 Total</t>
  </si>
  <si>
    <t>1485 Total</t>
  </si>
  <si>
    <t>1486 Total</t>
  </si>
  <si>
    <t>1487 Total</t>
  </si>
  <si>
    <t>1488 Total</t>
  </si>
  <si>
    <t>1489 Total</t>
  </si>
  <si>
    <t>1490 Total</t>
  </si>
  <si>
    <t>1491 Total</t>
  </si>
  <si>
    <t>1492 Total</t>
  </si>
  <si>
    <t>1493 Total</t>
  </si>
  <si>
    <t>1494 Total</t>
  </si>
  <si>
    <t>1495 Total</t>
  </si>
  <si>
    <t>1496 Total</t>
  </si>
  <si>
    <t>1497 Total</t>
  </si>
  <si>
    <t>1498 Total</t>
  </si>
  <si>
    <t>1499 Total</t>
  </si>
  <si>
    <t>1500 Total</t>
  </si>
  <si>
    <t>1501 Total</t>
  </si>
  <si>
    <t>1502 Total</t>
  </si>
  <si>
    <t>1503 Total</t>
  </si>
  <si>
    <t>1504 Total</t>
  </si>
  <si>
    <t>1505 Total</t>
  </si>
  <si>
    <t>1506 Total</t>
  </si>
  <si>
    <t>1507 Total</t>
  </si>
  <si>
    <t>1508 Total</t>
  </si>
  <si>
    <t>1509 Total</t>
  </si>
  <si>
    <t>1510 Total</t>
  </si>
  <si>
    <t>1511 Total</t>
  </si>
  <si>
    <t>1512 Total</t>
  </si>
  <si>
    <t>1513 Total</t>
  </si>
  <si>
    <t>1514 Total</t>
  </si>
  <si>
    <t>1515 Total</t>
  </si>
  <si>
    <t>1516 Total</t>
  </si>
  <si>
    <t>1517 Total</t>
  </si>
  <si>
    <t>1518 Total</t>
  </si>
  <si>
    <t>1519 Total</t>
  </si>
  <si>
    <t>1520 Total</t>
  </si>
  <si>
    <t>1521 Total</t>
  </si>
  <si>
    <t>1522 Total</t>
  </si>
  <si>
    <t>1523 Total</t>
  </si>
  <si>
    <t>1524 Total</t>
  </si>
  <si>
    <t>1525 Total</t>
  </si>
  <si>
    <t>1526 Total</t>
  </si>
  <si>
    <t>1527 Total</t>
  </si>
  <si>
    <t>1528 Total</t>
  </si>
  <si>
    <t>1529 Total</t>
  </si>
  <si>
    <t>1530 Total</t>
  </si>
  <si>
    <t>1531 Total</t>
  </si>
  <si>
    <t>1532 Total</t>
  </si>
  <si>
    <t>1533 Total</t>
  </si>
  <si>
    <t>1534 Total</t>
  </si>
  <si>
    <t>1535 Total</t>
  </si>
  <si>
    <t>1536 Total</t>
  </si>
  <si>
    <t>1537 Total</t>
  </si>
  <si>
    <t>1538 Total</t>
  </si>
  <si>
    <t>1539 Total</t>
  </si>
  <si>
    <t>1540 Total</t>
  </si>
  <si>
    <t>1541 Total</t>
  </si>
  <si>
    <t>1542 Total</t>
  </si>
  <si>
    <t>1543 Total</t>
  </si>
  <si>
    <t>1544 Total</t>
  </si>
  <si>
    <t>1545 Total</t>
  </si>
  <si>
    <t>1546 Total</t>
  </si>
  <si>
    <t>1547 Total</t>
  </si>
  <si>
    <t>1548 Total</t>
  </si>
  <si>
    <t>1549 Total</t>
  </si>
  <si>
    <t>1550 Total</t>
  </si>
  <si>
    <t>1551 Total</t>
  </si>
  <si>
    <t>1552 Total</t>
  </si>
  <si>
    <t>1553 Total</t>
  </si>
  <si>
    <t>1554 Total</t>
  </si>
  <si>
    <t>1555 Total</t>
  </si>
  <si>
    <t>1556 Total</t>
  </si>
  <si>
    <t>1557 Total</t>
  </si>
  <si>
    <t>1558 Total</t>
  </si>
  <si>
    <t>1559 Total</t>
  </si>
  <si>
    <t>1560 Total</t>
  </si>
  <si>
    <t>1561 Total</t>
  </si>
  <si>
    <t>1562 Total</t>
  </si>
  <si>
    <t>1563 Total</t>
  </si>
  <si>
    <t>1564 Total</t>
  </si>
  <si>
    <t>1565 Total</t>
  </si>
  <si>
    <t>1566 Total</t>
  </si>
  <si>
    <t>1567 Total</t>
  </si>
  <si>
    <t>1568 Total</t>
  </si>
  <si>
    <t>1569 Total</t>
  </si>
  <si>
    <t>1570 Total</t>
  </si>
  <si>
    <t>1571 Total</t>
  </si>
  <si>
    <t>1572 Total</t>
  </si>
  <si>
    <t>1573 Total</t>
  </si>
  <si>
    <t>1574 Total</t>
  </si>
  <si>
    <t>1575 Total</t>
  </si>
  <si>
    <t>1576 Total</t>
  </si>
  <si>
    <t>1577 Total</t>
  </si>
  <si>
    <t>1578 Total</t>
  </si>
  <si>
    <t>1579 Total</t>
  </si>
  <si>
    <t>1580 Total</t>
  </si>
  <si>
    <t>1581 Total</t>
  </si>
  <si>
    <t>1582 Total</t>
  </si>
  <si>
    <t>1583 Total</t>
  </si>
  <si>
    <t>1584 Total</t>
  </si>
  <si>
    <t>1585 Total</t>
  </si>
  <si>
    <t>1586 Total</t>
  </si>
  <si>
    <t>1587 Total</t>
  </si>
  <si>
    <t>1588 Total</t>
  </si>
  <si>
    <t>1589 Total</t>
  </si>
  <si>
    <t>1590 Total</t>
  </si>
  <si>
    <t>1591 Total</t>
  </si>
  <si>
    <t>1592 Total</t>
  </si>
  <si>
    <t>1593 Total</t>
  </si>
  <si>
    <t>1594 Total</t>
  </si>
  <si>
    <t>1595 Total</t>
  </si>
  <si>
    <t>1596 Total</t>
  </si>
  <si>
    <t>1597 Total</t>
  </si>
  <si>
    <t>1598 Total</t>
  </si>
  <si>
    <t>1599 Total</t>
  </si>
  <si>
    <t>1600 Total</t>
  </si>
  <si>
    <t>1601 Total</t>
  </si>
  <si>
    <t>1602 Total</t>
  </si>
  <si>
    <t>1603 Total</t>
  </si>
  <si>
    <t>1604 Total</t>
  </si>
  <si>
    <t>1605 Total</t>
  </si>
  <si>
    <t>1606 Total</t>
  </si>
  <si>
    <t>1607 Total</t>
  </si>
  <si>
    <t>1608 Total</t>
  </si>
  <si>
    <t>1609 Total</t>
  </si>
  <si>
    <t>1610 Total</t>
  </si>
  <si>
    <t>1611 Total</t>
  </si>
  <si>
    <t>1612 Total</t>
  </si>
  <si>
    <t>1613 Total</t>
  </si>
  <si>
    <t>1614 Total</t>
  </si>
  <si>
    <t>1615 Total</t>
  </si>
  <si>
    <t>(blank) Total</t>
  </si>
  <si>
    <t>Sum of Total sales</t>
  </si>
  <si>
    <t>Total</t>
  </si>
  <si>
    <t>Santa Cruz Bikes Total</t>
  </si>
  <si>
    <t>Baldwin Bikes Total</t>
  </si>
  <si>
    <t>Rowlett Bikes Total</t>
  </si>
  <si>
    <t>Row Labels</t>
  </si>
  <si>
    <t>Column Labels</t>
  </si>
  <si>
    <t>Startdate</t>
  </si>
  <si>
    <t>Enddate</t>
  </si>
  <si>
    <t>Fraction of the Year</t>
  </si>
  <si>
    <t>What_if_analysis</t>
  </si>
  <si>
    <t xml:space="preserve">  increase_in_totalsales</t>
  </si>
  <si>
    <t>YEARFRAC FUNCTION</t>
  </si>
  <si>
    <t>order_date</t>
  </si>
  <si>
    <t>xirr</t>
  </si>
  <si>
    <t>cashflow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</si>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</sst>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?&quot;\ #,##0.00"/>
    <numFmt numFmtId="165" formatCode="&quot;₹&quot;\ #,##0.00"/>
    <numFmt numFmtId="166" formatCode="0.000000000"/>
  </numFmts>
  <fonts count="2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5"/>
      <color indexed="54"/>
      <name val="Calibri"/>
      <family val="2"/>
    </font>
    <font>
      <b/>
      <sz val="11"/>
      <color indexed="54"/>
      <name val="Calibri"/>
      <family val="2"/>
    </font>
    <font>
      <sz val="11"/>
      <color indexed="52"/>
      <name val="Calibri"/>
      <family val="2"/>
    </font>
    <font>
      <sz val="18"/>
      <color indexed="54"/>
      <name val="Calibri Light"/>
      <family val="2"/>
    </font>
    <font>
      <b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indexed="52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3"/>
      <color indexed="54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92D050"/>
      <name val="Calibri"/>
      <family val="2"/>
      <scheme val="minor"/>
    </font>
    <font>
      <b/>
      <sz val="11"/>
      <color theme="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9"/>
      </patternFill>
    </fill>
    <fill>
      <patternFill patternType="solid">
        <fgColor indexed="27"/>
      </patternFill>
    </fill>
    <fill>
      <patternFill patternType="solid">
        <fgColor indexed="42"/>
      </patternFill>
    </fill>
    <fill>
      <patternFill patternType="solid">
        <fgColor indexed="43"/>
      </patternFill>
    </fill>
    <fill>
      <patternFill patternType="solid">
        <fgColor indexed="49"/>
      </patternFill>
    </fill>
    <fill>
      <patternFill patternType="solid">
        <fgColor indexed="57"/>
      </patternFill>
    </fill>
    <fill>
      <patternFill patternType="solid">
        <fgColor indexed="62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4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8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14" borderId="0" applyNumberFormat="0" applyBorder="0" applyAlignment="0" applyProtection="0"/>
    <xf numFmtId="0" fontId="7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15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3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21" borderId="0" applyNumberFormat="0" applyBorder="0" applyAlignment="0" applyProtection="0"/>
    <xf numFmtId="0" fontId="8" fillId="12" borderId="0" applyNumberFormat="0" applyBorder="0" applyAlignment="0" applyProtection="0"/>
    <xf numFmtId="0" fontId="8" fillId="22" borderId="0" applyNumberFormat="0" applyBorder="0" applyAlignment="0" applyProtection="0"/>
    <xf numFmtId="0" fontId="8" fillId="9" borderId="0" applyNumberFormat="0" applyBorder="0" applyAlignment="0" applyProtection="0"/>
    <xf numFmtId="0" fontId="9" fillId="13" borderId="0" applyNumberFormat="0" applyBorder="0" applyAlignment="0" applyProtection="0"/>
    <xf numFmtId="0" fontId="10" fillId="3" borderId="5" applyNumberFormat="0" applyAlignment="0" applyProtection="0"/>
    <xf numFmtId="0" fontId="11" fillId="23" borderId="6" applyNumberFormat="0" applyAlignment="0" applyProtection="0"/>
    <xf numFmtId="0" fontId="12" fillId="0" borderId="0" applyNumberFormat="0" applyFill="0" applyBorder="0" applyAlignment="0" applyProtection="0"/>
    <xf numFmtId="0" fontId="13" fillId="6" borderId="0" applyNumberFormat="0" applyBorder="0" applyAlignment="0" applyProtection="0"/>
    <xf numFmtId="0" fontId="2" fillId="0" borderId="1" applyNumberFormat="0" applyFill="0" applyAlignment="0" applyProtection="0"/>
    <xf numFmtId="0" fontId="14" fillId="0" borderId="7" applyNumberFormat="0" applyFill="0" applyAlignment="0" applyProtection="0"/>
    <xf numFmtId="0" fontId="3" fillId="0" borderId="2" applyNumberFormat="0" applyFill="0" applyAlignment="0" applyProtection="0"/>
    <xf numFmtId="0" fontId="3" fillId="0" borderId="0" applyNumberFormat="0" applyFill="0" applyBorder="0" applyAlignment="0" applyProtection="0"/>
    <xf numFmtId="0" fontId="15" fillId="3" borderId="5" applyNumberFormat="0" applyAlignment="0" applyProtection="0"/>
    <xf numFmtId="0" fontId="4" fillId="0" borderId="3" applyNumberFormat="0" applyFill="0" applyAlignment="0" applyProtection="0"/>
    <xf numFmtId="0" fontId="16" fillId="24" borderId="0" applyNumberFormat="0" applyBorder="0" applyAlignment="0" applyProtection="0"/>
    <xf numFmtId="0" fontId="1" fillId="25" borderId="8" applyNumberFormat="0" applyFont="0" applyAlignment="0" applyProtection="0"/>
    <xf numFmtId="0" fontId="17" fillId="3" borderId="9" applyNumberFormat="0" applyAlignment="0" applyProtection="0"/>
    <xf numFmtId="0" fontId="5" fillId="0" borderId="0" applyNumberFormat="0" applyFill="0" applyBorder="0" applyAlignment="0" applyProtection="0"/>
    <xf numFmtId="0" fontId="18" fillId="0" borderId="4" applyNumberFormat="0" applyFill="0" applyAlignment="0" applyProtection="0"/>
    <xf numFmtId="0" fontId="19" fillId="0" borderId="0" applyNumberFormat="0" applyFill="0" applyBorder="0" applyAlignment="0" applyProtection="0"/>
  </cellStyleXfs>
  <cellXfs count="34">
    <xf numFmtId="0" fontId="0" fillId="0" borderId="0" xfId="0"/>
    <xf numFmtId="165" fontId="0" fillId="0" borderId="0" xfId="0" applyNumberFormat="1"/>
    <xf numFmtId="0" fontId="20" fillId="0" borderId="0" xfId="0" applyFont="1" applyAlignment="1">
      <alignment horizontal="center"/>
    </xf>
    <xf numFmtId="164" fontId="20" fillId="0" borderId="0" xfId="0" applyNumberFormat="1" applyFont="1" applyAlignment="1">
      <alignment horizontal="center" vertical="center"/>
    </xf>
    <xf numFmtId="0" fontId="20" fillId="27" borderId="10" xfId="0" applyFont="1" applyFill="1" applyBorder="1" applyAlignment="1">
      <alignment horizontal="center"/>
    </xf>
    <xf numFmtId="165" fontId="18" fillId="26" borderId="10" xfId="0" applyNumberFormat="1" applyFont="1" applyFill="1" applyBorder="1"/>
    <xf numFmtId="165" fontId="22" fillId="28" borderId="10" xfId="0" applyNumberFormat="1" applyFont="1" applyFill="1" applyBorder="1"/>
    <xf numFmtId="165" fontId="11" fillId="28" borderId="10" xfId="0" applyNumberFormat="1" applyFont="1" applyFill="1" applyBorder="1"/>
    <xf numFmtId="165" fontId="0" fillId="0" borderId="10" xfId="0" applyNumberFormat="1" applyBorder="1"/>
    <xf numFmtId="165" fontId="8" fillId="0" borderId="10" xfId="0" applyNumberFormat="1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1" xfId="0" pivotButton="1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165" fontId="0" fillId="0" borderId="17" xfId="0" applyNumberFormat="1" applyBorder="1"/>
    <xf numFmtId="165" fontId="0" fillId="0" borderId="18" xfId="0" applyNumberFormat="1" applyBorder="1"/>
    <xf numFmtId="165" fontId="0" fillId="0" borderId="19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0" fontId="0" fillId="0" borderId="10" xfId="0" applyBorder="1"/>
    <xf numFmtId="14" fontId="0" fillId="0" borderId="10" xfId="0" applyNumberFormat="1" applyBorder="1"/>
    <xf numFmtId="0" fontId="24" fillId="29" borderId="10" xfId="0" applyFont="1" applyFill="1" applyBorder="1"/>
    <xf numFmtId="166" fontId="0" fillId="0" borderId="10" xfId="0" applyNumberFormat="1" applyBorder="1"/>
    <xf numFmtId="165" fontId="6" fillId="0" borderId="0" xfId="0" applyNumberFormat="1" applyFont="1"/>
    <xf numFmtId="165" fontId="21" fillId="0" borderId="0" xfId="0" applyNumberFormat="1" applyFont="1"/>
    <xf numFmtId="165" fontId="18" fillId="0" borderId="0" xfId="0" applyNumberFormat="1" applyFont="1"/>
    <xf numFmtId="165" fontId="25" fillId="30" borderId="20" xfId="0" applyNumberFormat="1" applyFont="1" applyFill="1" applyBorder="1" applyAlignment="1">
      <alignment horizontal="center"/>
    </xf>
    <xf numFmtId="165" fontId="0" fillId="30" borderId="20" xfId="0" applyNumberFormat="1" applyFill="1" applyBorder="1" applyAlignment="1">
      <alignment horizontal="center"/>
    </xf>
    <xf numFmtId="0" fontId="18" fillId="29" borderId="0" xfId="0" applyFont="1" applyFill="1" applyAlignment="1">
      <alignment horizontal="center"/>
    </xf>
    <xf numFmtId="0" fontId="19" fillId="0" borderId="0" xfId="0" applyFont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&quot;₹&quot;\ #,##0.00"/>
    </dxf>
    <dxf>
      <numFmt numFmtId="165" formatCode="&quot;₹&quot;\ #,##0.0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17/10/relationships/person" Target="persons/perso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[order item.xlsm]Macro!PivotTable2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60613499053562"/>
          <c:y val="4.6296296296296294E-2"/>
          <c:w val="0.6114315842243101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Macro!$B$3:$B$4</c:f>
              <c:strCache>
                <c:ptCount val="1"/>
                <c:pt idx="0">
                  <c:v>Baldwin Bikes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Macro!$A$5:$A$7</c:f>
              <c:strCache>
                <c:ptCount val="2"/>
                <c:pt idx="0">
                  <c:v>1</c:v>
                </c:pt>
                <c:pt idx="1">
                  <c:v>2</c:v>
                </c:pt>
              </c:strCache>
            </c:strRef>
          </c:cat>
          <c:val>
            <c:numRef>
              <c:f>Macro!$B$5:$B$7</c:f>
              <c:numCache>
                <c:formatCode>General</c:formatCode>
                <c:ptCount val="2"/>
                <c:pt idx="0">
                  <c:v>1963667.2299999879</c:v>
                </c:pt>
                <c:pt idx="1">
                  <c:v>3862574.9799999762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B-4FBE-8CBC-E9ED42369F0C}"/>
            </c:ext>
          </c:extLst>
        </c:ser>
        <c:ser>
          <c:idx val="1"/>
          <c:order val="1"/>
          <c:tx>
            <c:strRef>
              <c:f>Macro!$C$3:$C$4</c:f>
              <c:strCache>
                <c:ptCount val="1"/>
                <c:pt idx="0">
                  <c:v>Rowlett Bikes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Macro!$A$5:$A$7</c:f>
              <c:strCache>
                <c:ptCount val="2"/>
                <c:pt idx="0">
                  <c:v>1</c:v>
                </c:pt>
                <c:pt idx="1">
                  <c:v>2</c:v>
                </c:pt>
              </c:strCache>
            </c:strRef>
          </c:cat>
          <c:val>
            <c:numRef>
              <c:f>Macro!$C$5:$C$7</c:f>
              <c:numCache>
                <c:formatCode>General</c:formatCode>
                <c:ptCount val="2"/>
                <c:pt idx="0">
                  <c:v>317555.59999999922</c:v>
                </c:pt>
                <c:pt idx="1">
                  <c:v>645045.15999999782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FB-4FBE-8CBC-E9ED42369F0C}"/>
            </c:ext>
          </c:extLst>
        </c:ser>
        <c:ser>
          <c:idx val="2"/>
          <c:order val="2"/>
          <c:tx>
            <c:strRef>
              <c:f>Macro!$D$3:$D$4</c:f>
              <c:strCache>
                <c:ptCount val="1"/>
                <c:pt idx="0">
                  <c:v>Santa Cruz Bikes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Macro!$A$5:$A$7</c:f>
              <c:strCache>
                <c:ptCount val="2"/>
                <c:pt idx="0">
                  <c:v>1</c:v>
                </c:pt>
                <c:pt idx="1">
                  <c:v>2</c:v>
                </c:pt>
              </c:strCache>
            </c:strRef>
          </c:cat>
          <c:val>
            <c:numRef>
              <c:f>Macro!$D$5:$D$7</c:f>
              <c:numCache>
                <c:formatCode>General</c:formatCode>
                <c:ptCount val="2"/>
                <c:pt idx="0">
                  <c:v>592601.42999999691</c:v>
                </c:pt>
                <c:pt idx="1">
                  <c:v>1197544.4799999937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FB-4FBE-8CBC-E9ED42369F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7226928"/>
        <c:axId val="537208688"/>
      </c:barChart>
      <c:catAx>
        <c:axId val="537226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208688"/>
        <c:crosses val="autoZero"/>
        <c:auto val="1"/>
        <c:lblAlgn val="ctr"/>
        <c:lblOffset val="100"/>
        <c:noMultiLvlLbl val="0"/>
      </c:catAx>
      <c:valAx>
        <c:axId val="53720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226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133333438449438"/>
          <c:y val="1.587301625746509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400" b="1" i="0" u="none" strike="noStrike" baseline="0">
              <a:solidFill>
                <a:srgbClr val="C0C0C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666667192247196"/>
          <c:y val="0.11111111380225566"/>
          <c:w val="0.70333335122002538"/>
          <c:h val="0.825396845388184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'order item'!$G$1</c:f>
              <c:strCache>
                <c:ptCount val="1"/>
                <c:pt idx="0">
                  <c:v>Total sales</c:v>
                </c:pt>
              </c:strCache>
            </c:strRef>
          </c:tx>
          <c:spPr>
            <a:noFill/>
            <a:ln w="3175">
              <a:solidFill>
                <a:srgbClr val="666699"/>
              </a:solidFill>
              <a:prstDash val="solid"/>
            </a:ln>
          </c:spPr>
          <c:invertIfNegative val="0"/>
          <c:cat>
            <c:strLit>
              <c:ptCount val="4000"/>
              <c:pt idx="0">
                <c:v>Store_name</c:v>
              </c:pt>
              <c:pt idx="1">
                <c:v>Santa Cruz Bikes</c:v>
              </c:pt>
              <c:pt idx="2">
                <c:v>Santa Cruz Bikes</c:v>
              </c:pt>
              <c:pt idx="3">
                <c:v>Santa Cruz Bikes</c:v>
              </c:pt>
              <c:pt idx="4">
                <c:v>Santa Cruz Bikes</c:v>
              </c:pt>
              <c:pt idx="5">
                <c:v>Santa Cruz Bikes</c:v>
              </c:pt>
              <c:pt idx="6">
                <c:v>Baldwin Bikes</c:v>
              </c:pt>
              <c:pt idx="7">
                <c:v>Baldwin Bikes</c:v>
              </c:pt>
              <c:pt idx="8">
                <c:v>Baldwin Bikes</c:v>
              </c:pt>
              <c:pt idx="9">
                <c:v>Baldwin Bikes</c:v>
              </c:pt>
              <c:pt idx="10">
                <c:v>Santa Cruz Bikes</c:v>
              </c:pt>
              <c:pt idx="11">
                <c:v>Baldwin Bikes</c:v>
              </c:pt>
              <c:pt idx="12">
                <c:v>Baldwin Bikes</c:v>
              </c:pt>
              <c:pt idx="13">
                <c:v>Baldwin Bikes</c:v>
              </c:pt>
              <c:pt idx="14">
                <c:v>Baldwin Bikes</c:v>
              </c:pt>
              <c:pt idx="15">
                <c:v>Baldwin Bikes</c:v>
              </c:pt>
              <c:pt idx="16">
                <c:v>Baldwin Bikes</c:v>
              </c:pt>
              <c:pt idx="17">
                <c:v>Baldwin Bikes</c:v>
              </c:pt>
              <c:pt idx="18">
                <c:v>Baldwin Bikes</c:v>
              </c:pt>
              <c:pt idx="19">
                <c:v>Baldwin Bikes</c:v>
              </c:pt>
              <c:pt idx="20">
                <c:v>Baldwin Bikes</c:v>
              </c:pt>
              <c:pt idx="21">
                <c:v>Baldwin Bikes</c:v>
              </c:pt>
              <c:pt idx="22">
                <c:v>Baldwin Bikes</c:v>
              </c:pt>
              <c:pt idx="23">
                <c:v>Baldwin Bikes</c:v>
              </c:pt>
              <c:pt idx="24">
                <c:v>Santa Cruz Bikes</c:v>
              </c:pt>
              <c:pt idx="25">
                <c:v>Baldwin Bikes</c:v>
              </c:pt>
              <c:pt idx="26">
                <c:v>Baldwin Bikes</c:v>
              </c:pt>
              <c:pt idx="27">
                <c:v>Baldwin Bikes</c:v>
              </c:pt>
              <c:pt idx="28">
                <c:v>Baldwin Bikes</c:v>
              </c:pt>
              <c:pt idx="29">
                <c:v>Santa Cruz Bikes</c:v>
              </c:pt>
              <c:pt idx="30">
                <c:v>Santa Cruz Bikes</c:v>
              </c:pt>
              <c:pt idx="31">
                <c:v>Baldwin Bikes</c:v>
              </c:pt>
              <c:pt idx="32">
                <c:v>Baldwin Bikes</c:v>
              </c:pt>
              <c:pt idx="33">
                <c:v>Baldwin Bikes</c:v>
              </c:pt>
              <c:pt idx="34">
                <c:v>Baldwin Bikes</c:v>
              </c:pt>
              <c:pt idx="35">
                <c:v>Santa Cruz Bikes</c:v>
              </c:pt>
              <c:pt idx="36">
                <c:v>Baldwin Bikes</c:v>
              </c:pt>
              <c:pt idx="37">
                <c:v>Baldwin Bikes</c:v>
              </c:pt>
              <c:pt idx="38">
                <c:v>Baldwin Bikes</c:v>
              </c:pt>
              <c:pt idx="39">
                <c:v>Baldwin Bikes</c:v>
              </c:pt>
              <c:pt idx="40">
                <c:v>Santa Cruz Bikes</c:v>
              </c:pt>
              <c:pt idx="41">
                <c:v>Santa Cruz Bikes</c:v>
              </c:pt>
              <c:pt idx="42">
                <c:v>Santa Cruz Bikes</c:v>
              </c:pt>
              <c:pt idx="43">
                <c:v>Santa Cruz Bikes</c:v>
              </c:pt>
              <c:pt idx="44">
                <c:v>Santa Cruz Bikes</c:v>
              </c:pt>
              <c:pt idx="45">
                <c:v>Santa Cruz Bikes</c:v>
              </c:pt>
              <c:pt idx="46">
                <c:v>Santa Cruz Bikes</c:v>
              </c:pt>
              <c:pt idx="47">
                <c:v>Santa Cruz Bikes</c:v>
              </c:pt>
              <c:pt idx="48">
                <c:v>Santa Cruz Bikes</c:v>
              </c:pt>
              <c:pt idx="49">
                <c:v>Santa Cruz Bikes</c:v>
              </c:pt>
              <c:pt idx="50">
                <c:v>Santa Cruz Bikes</c:v>
              </c:pt>
              <c:pt idx="51">
                <c:v>Santa Cruz Bikes</c:v>
              </c:pt>
              <c:pt idx="52">
                <c:v>Santa Cruz Bikes</c:v>
              </c:pt>
              <c:pt idx="53">
                <c:v>Santa Cruz Bikes</c:v>
              </c:pt>
              <c:pt idx="54">
                <c:v>Santa Cruz Bikes</c:v>
              </c:pt>
              <c:pt idx="55">
                <c:v>Santa Cruz Bikes</c:v>
              </c:pt>
              <c:pt idx="56">
                <c:v>Santa Cruz Bikes</c:v>
              </c:pt>
              <c:pt idx="57">
                <c:v>Baldwin Bikes</c:v>
              </c:pt>
              <c:pt idx="58">
                <c:v>Baldwin Bikes</c:v>
              </c:pt>
              <c:pt idx="59">
                <c:v>Baldwin Bikes</c:v>
              </c:pt>
              <c:pt idx="60">
                <c:v>Santa Cruz Bikes</c:v>
              </c:pt>
              <c:pt idx="61">
                <c:v>Santa Cruz Bikes</c:v>
              </c:pt>
              <c:pt idx="62">
                <c:v>Santa Cruz Bikes</c:v>
              </c:pt>
              <c:pt idx="63">
                <c:v>Santa Cruz Bikes</c:v>
              </c:pt>
              <c:pt idx="64">
                <c:v>Santa Cruz Bikes</c:v>
              </c:pt>
              <c:pt idx="65">
                <c:v>Baldwin Bikes</c:v>
              </c:pt>
              <c:pt idx="66">
                <c:v>Baldwin Bikes</c:v>
              </c:pt>
              <c:pt idx="67">
                <c:v>Baldwin Bikes</c:v>
              </c:pt>
              <c:pt idx="68">
                <c:v>Baldwin Bikes</c:v>
              </c:pt>
              <c:pt idx="69">
                <c:v>Baldwin Bikes</c:v>
              </c:pt>
              <c:pt idx="70">
                <c:v>Baldwin Bikes</c:v>
              </c:pt>
              <c:pt idx="71">
                <c:v>Baldwin Bikes</c:v>
              </c:pt>
              <c:pt idx="72">
                <c:v>Baldwin Bikes</c:v>
              </c:pt>
              <c:pt idx="73">
                <c:v>Baldwin Bikes</c:v>
              </c:pt>
              <c:pt idx="74">
                <c:v>Baldwin Bikes</c:v>
              </c:pt>
              <c:pt idx="75">
                <c:v>Baldwin Bikes</c:v>
              </c:pt>
              <c:pt idx="76">
                <c:v>Baldwin Bikes</c:v>
              </c:pt>
              <c:pt idx="77">
                <c:v>Baldwin Bikes</c:v>
              </c:pt>
              <c:pt idx="78">
                <c:v>Baldwin Bikes</c:v>
              </c:pt>
              <c:pt idx="79">
                <c:v>Baldwin Bikes</c:v>
              </c:pt>
              <c:pt idx="80">
                <c:v>Baldwin Bikes</c:v>
              </c:pt>
              <c:pt idx="81">
                <c:v>Baldwin Bikes</c:v>
              </c:pt>
              <c:pt idx="82">
                <c:v>Baldwin Bikes</c:v>
              </c:pt>
              <c:pt idx="83">
                <c:v>Baldwin Bikes</c:v>
              </c:pt>
              <c:pt idx="84">
                <c:v>Baldwin Bikes</c:v>
              </c:pt>
              <c:pt idx="85">
                <c:v>Baldwin Bikes</c:v>
              </c:pt>
              <c:pt idx="86">
                <c:v>Baldwin Bikes</c:v>
              </c:pt>
              <c:pt idx="87">
                <c:v>Baldwin Bikes</c:v>
              </c:pt>
              <c:pt idx="88">
                <c:v>Baldwin Bikes</c:v>
              </c:pt>
              <c:pt idx="89">
                <c:v>Baldwin Bikes</c:v>
              </c:pt>
              <c:pt idx="90">
                <c:v>Baldwin Bikes</c:v>
              </c:pt>
              <c:pt idx="91">
                <c:v>Baldwin Bikes</c:v>
              </c:pt>
              <c:pt idx="92">
                <c:v>Baldwin Bikes</c:v>
              </c:pt>
              <c:pt idx="93">
                <c:v>Baldwin Bikes</c:v>
              </c:pt>
              <c:pt idx="94">
                <c:v>Rowlett Bikes</c:v>
              </c:pt>
              <c:pt idx="95">
                <c:v>Rowlett Bikes</c:v>
              </c:pt>
              <c:pt idx="96">
                <c:v>Santa Cruz Bikes</c:v>
              </c:pt>
              <c:pt idx="97">
                <c:v>Santa Cruz Bikes</c:v>
              </c:pt>
              <c:pt idx="98">
                <c:v>Santa Cruz Bikes</c:v>
              </c:pt>
              <c:pt idx="99">
                <c:v>Baldwin Bikes</c:v>
              </c:pt>
              <c:pt idx="100">
                <c:v>Baldwin Bikes</c:v>
              </c:pt>
              <c:pt idx="101">
                <c:v>Baldwin Bikes</c:v>
              </c:pt>
              <c:pt idx="102">
                <c:v>Baldwin Bikes</c:v>
              </c:pt>
              <c:pt idx="103">
                <c:v>Baldwin Bikes</c:v>
              </c:pt>
              <c:pt idx="104">
                <c:v>Baldwin Bikes</c:v>
              </c:pt>
              <c:pt idx="105">
                <c:v>Baldwin Bikes</c:v>
              </c:pt>
              <c:pt idx="106">
                <c:v>Baldwin Bikes</c:v>
              </c:pt>
              <c:pt idx="107">
                <c:v>Baldwin Bikes</c:v>
              </c:pt>
              <c:pt idx="108">
                <c:v>Baldwin Bikes</c:v>
              </c:pt>
              <c:pt idx="109">
                <c:v>Baldwin Bikes</c:v>
              </c:pt>
              <c:pt idx="110">
                <c:v>Baldwin Bikes</c:v>
              </c:pt>
              <c:pt idx="111">
                <c:v>Baldwin Bikes</c:v>
              </c:pt>
              <c:pt idx="112">
                <c:v>Baldwin Bikes</c:v>
              </c:pt>
              <c:pt idx="113">
                <c:v>Baldwin Bikes</c:v>
              </c:pt>
              <c:pt idx="114">
                <c:v>Baldwin Bikes</c:v>
              </c:pt>
              <c:pt idx="115">
                <c:v>Baldwin Bikes</c:v>
              </c:pt>
              <c:pt idx="116">
                <c:v>Baldwin Bikes</c:v>
              </c:pt>
              <c:pt idx="117">
                <c:v>Baldwin Bikes</c:v>
              </c:pt>
              <c:pt idx="118">
                <c:v>Baldwin Bikes</c:v>
              </c:pt>
              <c:pt idx="119">
                <c:v>Baldwin Bikes</c:v>
              </c:pt>
              <c:pt idx="120">
                <c:v>Baldwin Bikes</c:v>
              </c:pt>
              <c:pt idx="121">
                <c:v>Baldwin Bikes</c:v>
              </c:pt>
              <c:pt idx="122">
                <c:v>Santa Cruz Bikes</c:v>
              </c:pt>
              <c:pt idx="123">
                <c:v>Santa Cruz Bikes</c:v>
              </c:pt>
              <c:pt idx="124">
                <c:v>Baldwin Bikes</c:v>
              </c:pt>
              <c:pt idx="125">
                <c:v>Baldwin Bikes</c:v>
              </c:pt>
              <c:pt idx="126">
                <c:v>Baldwin Bikes</c:v>
              </c:pt>
              <c:pt idx="127">
                <c:v>Baldwin Bikes</c:v>
              </c:pt>
              <c:pt idx="128">
                <c:v>Baldwin Bikes</c:v>
              </c:pt>
              <c:pt idx="129">
                <c:v>Baldwin Bikes</c:v>
              </c:pt>
              <c:pt idx="130">
                <c:v>Baldwin Bikes</c:v>
              </c:pt>
              <c:pt idx="131">
                <c:v>Baldwin Bikes</c:v>
              </c:pt>
              <c:pt idx="132">
                <c:v>Baldwin Bikes</c:v>
              </c:pt>
              <c:pt idx="133">
                <c:v>Baldwin Bikes</c:v>
              </c:pt>
              <c:pt idx="134">
                <c:v>Baldwin Bikes</c:v>
              </c:pt>
              <c:pt idx="135">
                <c:v>Baldwin Bikes</c:v>
              </c:pt>
              <c:pt idx="136">
                <c:v>Baldwin Bikes</c:v>
              </c:pt>
              <c:pt idx="137">
                <c:v>Baldwin Bikes</c:v>
              </c:pt>
              <c:pt idx="138">
                <c:v>Baldwin Bikes</c:v>
              </c:pt>
              <c:pt idx="139">
                <c:v>Baldwin Bikes</c:v>
              </c:pt>
              <c:pt idx="140">
                <c:v>Baldwin Bikes</c:v>
              </c:pt>
              <c:pt idx="141">
                <c:v>Baldwin Bikes</c:v>
              </c:pt>
              <c:pt idx="142">
                <c:v>Baldwin Bikes</c:v>
              </c:pt>
              <c:pt idx="143">
                <c:v>Baldwin Bikes</c:v>
              </c:pt>
              <c:pt idx="144">
                <c:v>Baldwin Bikes</c:v>
              </c:pt>
              <c:pt idx="145">
                <c:v>Rowlett Bikes</c:v>
              </c:pt>
              <c:pt idx="146">
                <c:v>Rowlett Bikes</c:v>
              </c:pt>
              <c:pt idx="147">
                <c:v>Rowlett Bikes</c:v>
              </c:pt>
              <c:pt idx="148">
                <c:v>Baldwin Bikes</c:v>
              </c:pt>
              <c:pt idx="149">
                <c:v>Baldwin Bikes</c:v>
              </c:pt>
              <c:pt idx="150">
                <c:v>Baldwin Bikes</c:v>
              </c:pt>
              <c:pt idx="151">
                <c:v>Santa Cruz Bikes</c:v>
              </c:pt>
              <c:pt idx="152">
                <c:v>Baldwin Bikes</c:v>
              </c:pt>
              <c:pt idx="153">
                <c:v>Baldwin Bikes</c:v>
              </c:pt>
              <c:pt idx="154">
                <c:v>Baldwin Bikes</c:v>
              </c:pt>
              <c:pt idx="155">
                <c:v>Baldwin Bikes</c:v>
              </c:pt>
              <c:pt idx="156">
                <c:v>Baldwin Bikes</c:v>
              </c:pt>
              <c:pt idx="157">
                <c:v>Baldwin Bikes</c:v>
              </c:pt>
              <c:pt idx="158">
                <c:v>Baldwin Bikes</c:v>
              </c:pt>
              <c:pt idx="159">
                <c:v>Baldwin Bikes</c:v>
              </c:pt>
              <c:pt idx="160">
                <c:v>Baldwin Bikes</c:v>
              </c:pt>
              <c:pt idx="161">
                <c:v>Baldwin Bikes</c:v>
              </c:pt>
              <c:pt idx="162">
                <c:v>Baldwin Bikes</c:v>
              </c:pt>
              <c:pt idx="163">
                <c:v>Baldwin Bikes</c:v>
              </c:pt>
              <c:pt idx="164">
                <c:v>Baldwin Bikes</c:v>
              </c:pt>
              <c:pt idx="165">
                <c:v>Baldwin Bikes</c:v>
              </c:pt>
              <c:pt idx="166">
                <c:v>Baldwin Bikes</c:v>
              </c:pt>
              <c:pt idx="167">
                <c:v>Baldwin Bikes</c:v>
              </c:pt>
              <c:pt idx="168">
                <c:v>Baldwin Bikes</c:v>
              </c:pt>
              <c:pt idx="169">
                <c:v>Baldwin Bikes</c:v>
              </c:pt>
              <c:pt idx="170">
                <c:v>Baldwin Bikes</c:v>
              </c:pt>
              <c:pt idx="171">
                <c:v>Santa Cruz Bikes</c:v>
              </c:pt>
              <c:pt idx="172">
                <c:v>Santa Cruz Bikes</c:v>
              </c:pt>
              <c:pt idx="173">
                <c:v>Santa Cruz Bikes</c:v>
              </c:pt>
              <c:pt idx="174">
                <c:v>Santa Cruz Bikes</c:v>
              </c:pt>
              <c:pt idx="175">
                <c:v>Baldwin Bikes</c:v>
              </c:pt>
              <c:pt idx="176">
                <c:v>Baldwin Bikes</c:v>
              </c:pt>
              <c:pt idx="177">
                <c:v>Baldwin Bikes</c:v>
              </c:pt>
              <c:pt idx="178">
                <c:v>Santa Cruz Bikes</c:v>
              </c:pt>
              <c:pt idx="179">
                <c:v>Santa Cruz Bikes</c:v>
              </c:pt>
              <c:pt idx="180">
                <c:v>Santa Cruz Bikes</c:v>
              </c:pt>
              <c:pt idx="181">
                <c:v>Baldwin Bikes</c:v>
              </c:pt>
              <c:pt idx="182">
                <c:v>Baldwin Bikes</c:v>
              </c:pt>
              <c:pt idx="183">
                <c:v>Baldwin Bikes</c:v>
              </c:pt>
              <c:pt idx="184">
                <c:v>Baldwin Bikes</c:v>
              </c:pt>
              <c:pt idx="185">
                <c:v>Baldwin Bikes</c:v>
              </c:pt>
              <c:pt idx="186">
                <c:v>Baldwin Bikes</c:v>
              </c:pt>
              <c:pt idx="187">
                <c:v>Baldwin Bikes</c:v>
              </c:pt>
              <c:pt idx="188">
                <c:v>Baldwin Bikes</c:v>
              </c:pt>
              <c:pt idx="189">
                <c:v>Baldwin Bikes</c:v>
              </c:pt>
              <c:pt idx="190">
                <c:v>Baldwin Bikes</c:v>
              </c:pt>
              <c:pt idx="191">
                <c:v>Baldwin Bikes</c:v>
              </c:pt>
              <c:pt idx="192">
                <c:v>Rowlett Bikes</c:v>
              </c:pt>
              <c:pt idx="193">
                <c:v>Rowlett Bikes</c:v>
              </c:pt>
              <c:pt idx="194">
                <c:v>Rowlett Bikes</c:v>
              </c:pt>
              <c:pt idx="195">
                <c:v>Rowlett Bikes</c:v>
              </c:pt>
              <c:pt idx="196">
                <c:v>Rowlett Bikes</c:v>
              </c:pt>
              <c:pt idx="197">
                <c:v>Baldwin Bikes</c:v>
              </c:pt>
              <c:pt idx="198">
                <c:v>Baldwin Bikes</c:v>
              </c:pt>
              <c:pt idx="199">
                <c:v>Baldwin Bikes</c:v>
              </c:pt>
              <c:pt idx="200">
                <c:v>Baldwin Bikes</c:v>
              </c:pt>
              <c:pt idx="201">
                <c:v>Baldwin Bikes</c:v>
              </c:pt>
              <c:pt idx="202">
                <c:v>Rowlett Bikes</c:v>
              </c:pt>
              <c:pt idx="203">
                <c:v>Rowlett Bikes</c:v>
              </c:pt>
              <c:pt idx="204">
                <c:v>Rowlett Bikes</c:v>
              </c:pt>
              <c:pt idx="205">
                <c:v>Baldwin Bikes</c:v>
              </c:pt>
              <c:pt idx="206">
                <c:v>Baldwin Bikes</c:v>
              </c:pt>
              <c:pt idx="207">
                <c:v>Baldwin Bikes</c:v>
              </c:pt>
              <c:pt idx="208">
                <c:v>Santa Cruz Bikes</c:v>
              </c:pt>
              <c:pt idx="209">
                <c:v>Santa Cruz Bikes</c:v>
              </c:pt>
              <c:pt idx="210">
                <c:v>Santa Cruz Bikes</c:v>
              </c:pt>
              <c:pt idx="211">
                <c:v>Baldwin Bikes</c:v>
              </c:pt>
              <c:pt idx="212">
                <c:v>Baldwin Bikes</c:v>
              </c:pt>
              <c:pt idx="213">
                <c:v>Baldwin Bikes</c:v>
              </c:pt>
              <c:pt idx="214">
                <c:v>Baldwin Bikes</c:v>
              </c:pt>
              <c:pt idx="215">
                <c:v>Baldwin Bikes</c:v>
              </c:pt>
              <c:pt idx="216">
                <c:v>Baldwin Bikes</c:v>
              </c:pt>
              <c:pt idx="217">
                <c:v>Baldwin Bikes</c:v>
              </c:pt>
              <c:pt idx="218">
                <c:v>Baldwin Bikes</c:v>
              </c:pt>
              <c:pt idx="219">
                <c:v>Baldwin Bikes</c:v>
              </c:pt>
              <c:pt idx="220">
                <c:v>Baldwin Bikes</c:v>
              </c:pt>
              <c:pt idx="221">
                <c:v>Baldwin Bikes</c:v>
              </c:pt>
              <c:pt idx="222">
                <c:v>Baldwin Bikes</c:v>
              </c:pt>
              <c:pt idx="223">
                <c:v>Baldwin Bikes</c:v>
              </c:pt>
              <c:pt idx="224">
                <c:v>Santa Cruz Bikes</c:v>
              </c:pt>
              <c:pt idx="225">
                <c:v>Santa Cruz Bikes</c:v>
              </c:pt>
              <c:pt idx="226">
                <c:v>Santa Cruz Bikes</c:v>
              </c:pt>
              <c:pt idx="227">
                <c:v>Santa Cruz Bikes</c:v>
              </c:pt>
              <c:pt idx="228">
                <c:v>Baldwin Bikes</c:v>
              </c:pt>
              <c:pt idx="229">
                <c:v>Baldwin Bikes</c:v>
              </c:pt>
              <c:pt idx="230">
                <c:v>Baldwin Bikes</c:v>
              </c:pt>
              <c:pt idx="231">
                <c:v>Baldwin Bikes</c:v>
              </c:pt>
              <c:pt idx="232">
                <c:v>Santa Cruz Bikes</c:v>
              </c:pt>
              <c:pt idx="233">
                <c:v>Santa Cruz Bikes</c:v>
              </c:pt>
              <c:pt idx="234">
                <c:v>Santa Cruz Bikes</c:v>
              </c:pt>
              <c:pt idx="235">
                <c:v>Santa Cruz Bikes</c:v>
              </c:pt>
              <c:pt idx="236">
                <c:v>Baldwin Bikes</c:v>
              </c:pt>
              <c:pt idx="237">
                <c:v>Baldwin Bikes</c:v>
              </c:pt>
              <c:pt idx="238">
                <c:v>Baldwin Bikes</c:v>
              </c:pt>
              <c:pt idx="239">
                <c:v>Baldwin Bikes</c:v>
              </c:pt>
              <c:pt idx="240">
                <c:v>Baldwin Bikes</c:v>
              </c:pt>
              <c:pt idx="241">
                <c:v>Baldwin Bikes</c:v>
              </c:pt>
              <c:pt idx="242">
                <c:v>Baldwin Bikes</c:v>
              </c:pt>
              <c:pt idx="243">
                <c:v>Baldwin Bikes</c:v>
              </c:pt>
              <c:pt idx="244">
                <c:v>Santa Cruz Bikes</c:v>
              </c:pt>
              <c:pt idx="245">
                <c:v>Santa Cruz Bikes</c:v>
              </c:pt>
              <c:pt idx="246">
                <c:v>Baldwin Bikes</c:v>
              </c:pt>
              <c:pt idx="247">
                <c:v>Baldwin Bikes</c:v>
              </c:pt>
              <c:pt idx="248">
                <c:v>Baldwin Bikes</c:v>
              </c:pt>
              <c:pt idx="249">
                <c:v>Baldwin Bikes</c:v>
              </c:pt>
              <c:pt idx="250">
                <c:v>Baldwin Bikes</c:v>
              </c:pt>
              <c:pt idx="251">
                <c:v>Baldwin Bikes</c:v>
              </c:pt>
              <c:pt idx="252">
                <c:v>Baldwin Bikes</c:v>
              </c:pt>
              <c:pt idx="253">
                <c:v>Baldwin Bikes</c:v>
              </c:pt>
              <c:pt idx="254">
                <c:v>Baldwin Bikes</c:v>
              </c:pt>
              <c:pt idx="255">
                <c:v>Baldwin Bikes</c:v>
              </c:pt>
              <c:pt idx="256">
                <c:v>Baldwin Bikes</c:v>
              </c:pt>
              <c:pt idx="257">
                <c:v>Baldwin Bikes</c:v>
              </c:pt>
              <c:pt idx="258">
                <c:v>Baldwin Bikes</c:v>
              </c:pt>
              <c:pt idx="259">
                <c:v>Rowlett Bikes</c:v>
              </c:pt>
              <c:pt idx="260">
                <c:v>Rowlett Bikes</c:v>
              </c:pt>
              <c:pt idx="261">
                <c:v>Baldwin Bikes</c:v>
              </c:pt>
              <c:pt idx="262">
                <c:v>Baldwin Bikes</c:v>
              </c:pt>
              <c:pt idx="263">
                <c:v>Santa Cruz Bikes</c:v>
              </c:pt>
              <c:pt idx="264">
                <c:v>Santa Cruz Bikes</c:v>
              </c:pt>
              <c:pt idx="265">
                <c:v>Santa Cruz Bikes</c:v>
              </c:pt>
              <c:pt idx="266">
                <c:v>Santa Cruz Bikes</c:v>
              </c:pt>
              <c:pt idx="267">
                <c:v>Baldwin Bikes</c:v>
              </c:pt>
              <c:pt idx="268">
                <c:v>Santa Cruz Bikes</c:v>
              </c:pt>
              <c:pt idx="269">
                <c:v>Santa Cruz Bikes</c:v>
              </c:pt>
              <c:pt idx="270">
                <c:v>Santa Cruz Bikes</c:v>
              </c:pt>
              <c:pt idx="271">
                <c:v>Santa Cruz Bikes</c:v>
              </c:pt>
              <c:pt idx="272">
                <c:v>Santa Cruz Bikes</c:v>
              </c:pt>
              <c:pt idx="273">
                <c:v>Santa Cruz Bikes</c:v>
              </c:pt>
              <c:pt idx="274">
                <c:v>Santa Cruz Bikes</c:v>
              </c:pt>
              <c:pt idx="275">
                <c:v>Santa Cruz Bikes</c:v>
              </c:pt>
              <c:pt idx="276">
                <c:v>Santa Cruz Bikes</c:v>
              </c:pt>
              <c:pt idx="277">
                <c:v>Baldwin Bikes</c:v>
              </c:pt>
              <c:pt idx="278">
                <c:v>Baldwin Bikes</c:v>
              </c:pt>
              <c:pt idx="279">
                <c:v>Baldwin Bikes</c:v>
              </c:pt>
              <c:pt idx="280">
                <c:v>Baldwin Bikes</c:v>
              </c:pt>
              <c:pt idx="281">
                <c:v>Baldwin Bikes</c:v>
              </c:pt>
              <c:pt idx="282">
                <c:v>Baldwin Bikes</c:v>
              </c:pt>
              <c:pt idx="283">
                <c:v>Baldwin Bikes</c:v>
              </c:pt>
              <c:pt idx="284">
                <c:v>Baldwin Bikes</c:v>
              </c:pt>
              <c:pt idx="285">
                <c:v>Baldwin Bikes</c:v>
              </c:pt>
              <c:pt idx="286">
                <c:v>Baldwin Bikes</c:v>
              </c:pt>
              <c:pt idx="287">
                <c:v>Baldwin Bikes</c:v>
              </c:pt>
              <c:pt idx="288">
                <c:v>Baldwin Bikes</c:v>
              </c:pt>
              <c:pt idx="289">
                <c:v>Baldwin Bikes</c:v>
              </c:pt>
              <c:pt idx="290">
                <c:v>Baldwin Bikes</c:v>
              </c:pt>
              <c:pt idx="291">
                <c:v>Rowlett Bikes</c:v>
              </c:pt>
              <c:pt idx="292">
                <c:v>Rowlett Bikes</c:v>
              </c:pt>
              <c:pt idx="293">
                <c:v>Rowlett Bikes</c:v>
              </c:pt>
              <c:pt idx="294">
                <c:v>Rowlett Bikes</c:v>
              </c:pt>
              <c:pt idx="295">
                <c:v>Rowlett Bikes</c:v>
              </c:pt>
              <c:pt idx="296">
                <c:v>Baldwin Bikes</c:v>
              </c:pt>
              <c:pt idx="297">
                <c:v>Baldwin Bikes</c:v>
              </c:pt>
              <c:pt idx="298">
                <c:v>Baldwin Bikes</c:v>
              </c:pt>
              <c:pt idx="299">
                <c:v>Baldwin Bikes</c:v>
              </c:pt>
              <c:pt idx="300">
                <c:v>Baldwin Bikes</c:v>
              </c:pt>
              <c:pt idx="301">
                <c:v>Rowlett Bikes</c:v>
              </c:pt>
              <c:pt idx="302">
                <c:v>Baldwin Bikes</c:v>
              </c:pt>
              <c:pt idx="303">
                <c:v>Baldwin Bikes</c:v>
              </c:pt>
              <c:pt idx="304">
                <c:v>Santa Cruz Bikes</c:v>
              </c:pt>
              <c:pt idx="305">
                <c:v>Santa Cruz Bikes</c:v>
              </c:pt>
              <c:pt idx="306">
                <c:v>Santa Cruz Bikes</c:v>
              </c:pt>
              <c:pt idx="307">
                <c:v>Santa Cruz Bikes</c:v>
              </c:pt>
              <c:pt idx="308">
                <c:v>Santa Cruz Bikes</c:v>
              </c:pt>
              <c:pt idx="309">
                <c:v>Baldwin Bikes</c:v>
              </c:pt>
              <c:pt idx="310">
                <c:v>Baldwin Bikes</c:v>
              </c:pt>
              <c:pt idx="311">
                <c:v>Baldwin Bikes</c:v>
              </c:pt>
              <c:pt idx="312">
                <c:v>Baldwin Bikes</c:v>
              </c:pt>
              <c:pt idx="313">
                <c:v>Baldwin Bikes</c:v>
              </c:pt>
              <c:pt idx="314">
                <c:v>Rowlett Bikes</c:v>
              </c:pt>
              <c:pt idx="315">
                <c:v>Rowlett Bikes</c:v>
              </c:pt>
              <c:pt idx="316">
                <c:v>Santa Cruz Bikes</c:v>
              </c:pt>
              <c:pt idx="317">
                <c:v>Santa Cruz Bikes</c:v>
              </c:pt>
              <c:pt idx="318">
                <c:v>Baldwin Bikes</c:v>
              </c:pt>
              <c:pt idx="319">
                <c:v>Baldwin Bikes</c:v>
              </c:pt>
              <c:pt idx="320">
                <c:v>Baldwin Bikes</c:v>
              </c:pt>
              <c:pt idx="321">
                <c:v>Baldwin Bikes</c:v>
              </c:pt>
              <c:pt idx="322">
                <c:v>Baldwin Bikes</c:v>
              </c:pt>
              <c:pt idx="323">
                <c:v>Rowlett Bikes</c:v>
              </c:pt>
              <c:pt idx="324">
                <c:v>Baldwin Bikes</c:v>
              </c:pt>
              <c:pt idx="325">
                <c:v>Baldwin Bikes</c:v>
              </c:pt>
              <c:pt idx="326">
                <c:v>Baldwin Bikes</c:v>
              </c:pt>
              <c:pt idx="327">
                <c:v>Baldwin Bikes</c:v>
              </c:pt>
              <c:pt idx="328">
                <c:v>Baldwin Bikes</c:v>
              </c:pt>
              <c:pt idx="329">
                <c:v>Baldwin Bikes</c:v>
              </c:pt>
              <c:pt idx="330">
                <c:v>Baldwin Bikes</c:v>
              </c:pt>
              <c:pt idx="331">
                <c:v>Baldwin Bikes</c:v>
              </c:pt>
              <c:pt idx="332">
                <c:v>Baldwin Bikes</c:v>
              </c:pt>
              <c:pt idx="333">
                <c:v>Baldwin Bikes</c:v>
              </c:pt>
              <c:pt idx="334">
                <c:v>Baldwin Bikes</c:v>
              </c:pt>
              <c:pt idx="335">
                <c:v>Baldwin Bikes</c:v>
              </c:pt>
              <c:pt idx="336">
                <c:v>Baldwin Bikes</c:v>
              </c:pt>
              <c:pt idx="337">
                <c:v>Baldwin Bikes</c:v>
              </c:pt>
              <c:pt idx="338">
                <c:v>Baldwin Bikes</c:v>
              </c:pt>
              <c:pt idx="339">
                <c:v>Baldwin Bikes</c:v>
              </c:pt>
              <c:pt idx="340">
                <c:v>Baldwin Bikes</c:v>
              </c:pt>
              <c:pt idx="341">
                <c:v>Baldwin Bikes</c:v>
              </c:pt>
              <c:pt idx="342">
                <c:v>Baldwin Bikes</c:v>
              </c:pt>
              <c:pt idx="343">
                <c:v>Baldwin Bikes</c:v>
              </c:pt>
              <c:pt idx="344">
                <c:v>Baldwin Bikes</c:v>
              </c:pt>
              <c:pt idx="345">
                <c:v>Santa Cruz Bikes</c:v>
              </c:pt>
              <c:pt idx="346">
                <c:v>Santa Cruz Bikes</c:v>
              </c:pt>
              <c:pt idx="347">
                <c:v>Santa Cruz Bikes</c:v>
              </c:pt>
              <c:pt idx="348">
                <c:v>Santa Cruz Bikes</c:v>
              </c:pt>
              <c:pt idx="349">
                <c:v>Santa Cruz Bikes</c:v>
              </c:pt>
              <c:pt idx="350">
                <c:v>Baldwin Bikes</c:v>
              </c:pt>
              <c:pt idx="351">
                <c:v>Baldwin Bikes</c:v>
              </c:pt>
              <c:pt idx="352">
                <c:v>Baldwin Bikes</c:v>
              </c:pt>
              <c:pt idx="353">
                <c:v>Baldwin Bikes</c:v>
              </c:pt>
              <c:pt idx="354">
                <c:v>Baldwin Bikes</c:v>
              </c:pt>
              <c:pt idx="355">
                <c:v>Baldwin Bikes</c:v>
              </c:pt>
              <c:pt idx="356">
                <c:v>Baldwin Bikes</c:v>
              </c:pt>
              <c:pt idx="357">
                <c:v>Baldwin Bikes</c:v>
              </c:pt>
              <c:pt idx="358">
                <c:v>Baldwin Bikes</c:v>
              </c:pt>
              <c:pt idx="359">
                <c:v>Baldwin Bikes</c:v>
              </c:pt>
              <c:pt idx="360">
                <c:v>Baldwin Bikes</c:v>
              </c:pt>
              <c:pt idx="361">
                <c:v>Baldwin Bikes</c:v>
              </c:pt>
              <c:pt idx="362">
                <c:v>Baldwin Bikes</c:v>
              </c:pt>
              <c:pt idx="363">
                <c:v>Santa Cruz Bikes</c:v>
              </c:pt>
              <c:pt idx="364">
                <c:v>Santa Cruz Bikes</c:v>
              </c:pt>
              <c:pt idx="365">
                <c:v>Santa Cruz Bikes</c:v>
              </c:pt>
              <c:pt idx="366">
                <c:v>Baldwin Bikes</c:v>
              </c:pt>
              <c:pt idx="367">
                <c:v>Baldwin Bikes</c:v>
              </c:pt>
              <c:pt idx="368">
                <c:v>Rowlett Bikes</c:v>
              </c:pt>
              <c:pt idx="369">
                <c:v>Rowlett Bikes</c:v>
              </c:pt>
              <c:pt idx="370">
                <c:v>Rowlett Bikes</c:v>
              </c:pt>
              <c:pt idx="371">
                <c:v>Baldwin Bikes</c:v>
              </c:pt>
              <c:pt idx="372">
                <c:v>Baldwin Bikes</c:v>
              </c:pt>
              <c:pt idx="373">
                <c:v>Baldwin Bikes</c:v>
              </c:pt>
              <c:pt idx="374">
                <c:v>Baldwin Bikes</c:v>
              </c:pt>
              <c:pt idx="375">
                <c:v>Baldwin Bikes</c:v>
              </c:pt>
              <c:pt idx="376">
                <c:v>Baldwin Bikes</c:v>
              </c:pt>
              <c:pt idx="377">
                <c:v>Baldwin Bikes</c:v>
              </c:pt>
              <c:pt idx="378">
                <c:v>Baldwin Bikes</c:v>
              </c:pt>
              <c:pt idx="379">
                <c:v>Rowlett Bikes</c:v>
              </c:pt>
              <c:pt idx="380">
                <c:v>Rowlett Bikes</c:v>
              </c:pt>
              <c:pt idx="381">
                <c:v>Rowlett Bikes</c:v>
              </c:pt>
              <c:pt idx="382">
                <c:v>Santa Cruz Bikes</c:v>
              </c:pt>
              <c:pt idx="383">
                <c:v>Santa Cruz Bikes</c:v>
              </c:pt>
              <c:pt idx="384">
                <c:v>Santa Cruz Bikes</c:v>
              </c:pt>
              <c:pt idx="385">
                <c:v>Baldwin Bikes</c:v>
              </c:pt>
              <c:pt idx="386">
                <c:v>Baldwin Bikes</c:v>
              </c:pt>
              <c:pt idx="387">
                <c:v>Baldwin Bikes</c:v>
              </c:pt>
              <c:pt idx="388">
                <c:v>Baldwin Bikes</c:v>
              </c:pt>
              <c:pt idx="389">
                <c:v>Baldwin Bikes</c:v>
              </c:pt>
              <c:pt idx="390">
                <c:v>Baldwin Bikes</c:v>
              </c:pt>
              <c:pt idx="391">
                <c:v>Baldwin Bikes</c:v>
              </c:pt>
              <c:pt idx="392">
                <c:v>Baldwin Bikes</c:v>
              </c:pt>
              <c:pt idx="393">
                <c:v>Baldwin Bikes</c:v>
              </c:pt>
              <c:pt idx="394">
                <c:v>Rowlett Bikes</c:v>
              </c:pt>
              <c:pt idx="395">
                <c:v>Rowlett Bikes</c:v>
              </c:pt>
              <c:pt idx="396">
                <c:v>Baldwin Bikes</c:v>
              </c:pt>
              <c:pt idx="397">
                <c:v>Baldwin Bikes</c:v>
              </c:pt>
              <c:pt idx="398">
                <c:v>Baldwin Bikes</c:v>
              </c:pt>
              <c:pt idx="399">
                <c:v>Baldwin Bikes</c:v>
              </c:pt>
              <c:pt idx="400">
                <c:v>Baldwin Bikes</c:v>
              </c:pt>
              <c:pt idx="401">
                <c:v>Baldwin Bikes</c:v>
              </c:pt>
              <c:pt idx="402">
                <c:v>Baldwin Bikes</c:v>
              </c:pt>
              <c:pt idx="403">
                <c:v>Baldwin Bikes</c:v>
              </c:pt>
              <c:pt idx="404">
                <c:v>Baldwin Bikes</c:v>
              </c:pt>
              <c:pt idx="405">
                <c:v>Baldwin Bikes</c:v>
              </c:pt>
              <c:pt idx="406">
                <c:v>Baldwin Bikes</c:v>
              </c:pt>
              <c:pt idx="407">
                <c:v>Santa Cruz Bikes</c:v>
              </c:pt>
              <c:pt idx="408">
                <c:v>Santa Cruz Bikes</c:v>
              </c:pt>
              <c:pt idx="409">
                <c:v>Santa Cruz Bikes</c:v>
              </c:pt>
              <c:pt idx="410">
                <c:v>Baldwin Bikes</c:v>
              </c:pt>
              <c:pt idx="411">
                <c:v>Baldwin Bikes</c:v>
              </c:pt>
              <c:pt idx="412">
                <c:v>Baldwin Bikes</c:v>
              </c:pt>
              <c:pt idx="413">
                <c:v>Baldwin Bikes</c:v>
              </c:pt>
              <c:pt idx="414">
                <c:v>Santa Cruz Bikes</c:v>
              </c:pt>
              <c:pt idx="415">
                <c:v>Santa Cruz Bikes</c:v>
              </c:pt>
              <c:pt idx="416">
                <c:v>Santa Cruz Bikes</c:v>
              </c:pt>
              <c:pt idx="417">
                <c:v>Santa Cruz Bikes</c:v>
              </c:pt>
              <c:pt idx="418">
                <c:v>Santa Cruz Bikes</c:v>
              </c:pt>
              <c:pt idx="419">
                <c:v>Baldwin Bikes</c:v>
              </c:pt>
              <c:pt idx="420">
                <c:v>Baldwin Bikes</c:v>
              </c:pt>
              <c:pt idx="421">
                <c:v>Baldwin Bikes</c:v>
              </c:pt>
              <c:pt idx="422">
                <c:v>Baldwin Bikes</c:v>
              </c:pt>
              <c:pt idx="423">
                <c:v>Santa Cruz Bikes</c:v>
              </c:pt>
              <c:pt idx="424">
                <c:v>Santa Cruz Bikes</c:v>
              </c:pt>
              <c:pt idx="425">
                <c:v>Santa Cruz Bikes</c:v>
              </c:pt>
              <c:pt idx="426">
                <c:v>Santa Cruz Bikes</c:v>
              </c:pt>
              <c:pt idx="427">
                <c:v>Santa Cruz Bikes</c:v>
              </c:pt>
              <c:pt idx="428">
                <c:v>Santa Cruz Bikes</c:v>
              </c:pt>
              <c:pt idx="429">
                <c:v>Baldwin Bikes</c:v>
              </c:pt>
              <c:pt idx="430">
                <c:v>Baldwin Bikes</c:v>
              </c:pt>
              <c:pt idx="431">
                <c:v>Baldwin Bikes</c:v>
              </c:pt>
              <c:pt idx="432">
                <c:v>Baldwin Bikes</c:v>
              </c:pt>
              <c:pt idx="433">
                <c:v>Baldwin Bikes</c:v>
              </c:pt>
              <c:pt idx="434">
                <c:v>Baldwin Bikes</c:v>
              </c:pt>
              <c:pt idx="435">
                <c:v>Santa Cruz Bikes</c:v>
              </c:pt>
              <c:pt idx="436">
                <c:v>Baldwin Bikes</c:v>
              </c:pt>
              <c:pt idx="437">
                <c:v>Santa Cruz Bikes</c:v>
              </c:pt>
              <c:pt idx="438">
                <c:v>Santa Cruz Bikes</c:v>
              </c:pt>
              <c:pt idx="439">
                <c:v>Santa Cruz Bikes</c:v>
              </c:pt>
              <c:pt idx="440">
                <c:v>Rowlett Bikes</c:v>
              </c:pt>
              <c:pt idx="441">
                <c:v>Rowlett Bikes</c:v>
              </c:pt>
              <c:pt idx="442">
                <c:v>Rowlett Bikes</c:v>
              </c:pt>
              <c:pt idx="443">
                <c:v>Santa Cruz Bikes</c:v>
              </c:pt>
              <c:pt idx="444">
                <c:v>Baldwin Bikes</c:v>
              </c:pt>
              <c:pt idx="445">
                <c:v>Baldwin Bikes</c:v>
              </c:pt>
              <c:pt idx="446">
                <c:v>Baldwin Bikes</c:v>
              </c:pt>
              <c:pt idx="447">
                <c:v>Baldwin Bikes</c:v>
              </c:pt>
              <c:pt idx="448">
                <c:v>Baldwin Bikes</c:v>
              </c:pt>
              <c:pt idx="449">
                <c:v>Baldwin Bikes</c:v>
              </c:pt>
              <c:pt idx="450">
                <c:v>Baldwin Bikes</c:v>
              </c:pt>
              <c:pt idx="451">
                <c:v>Santa Cruz Bikes</c:v>
              </c:pt>
              <c:pt idx="452">
                <c:v>Santa Cruz Bikes</c:v>
              </c:pt>
              <c:pt idx="453">
                <c:v>Santa Cruz Bikes</c:v>
              </c:pt>
              <c:pt idx="454">
                <c:v>Baldwin Bikes</c:v>
              </c:pt>
              <c:pt idx="455">
                <c:v>Baldwin Bikes</c:v>
              </c:pt>
              <c:pt idx="456">
                <c:v>Baldwin Bikes</c:v>
              </c:pt>
              <c:pt idx="457">
                <c:v>Baldwin Bikes</c:v>
              </c:pt>
              <c:pt idx="458">
                <c:v>Baldwin Bikes</c:v>
              </c:pt>
              <c:pt idx="459">
                <c:v>Santa Cruz Bikes</c:v>
              </c:pt>
              <c:pt idx="460">
                <c:v>Santa Cruz Bikes</c:v>
              </c:pt>
              <c:pt idx="461">
                <c:v>Santa Cruz Bikes</c:v>
              </c:pt>
              <c:pt idx="462">
                <c:v>Baldwin Bikes</c:v>
              </c:pt>
              <c:pt idx="463">
                <c:v>Baldwin Bikes</c:v>
              </c:pt>
              <c:pt idx="464">
                <c:v>Baldwin Bikes</c:v>
              </c:pt>
              <c:pt idx="465">
                <c:v>Baldwin Bikes</c:v>
              </c:pt>
              <c:pt idx="466">
                <c:v>Baldwin Bikes</c:v>
              </c:pt>
              <c:pt idx="467">
                <c:v>Baldwin Bikes</c:v>
              </c:pt>
              <c:pt idx="468">
                <c:v>Santa Cruz Bikes</c:v>
              </c:pt>
              <c:pt idx="469">
                <c:v>Santa Cruz Bikes</c:v>
              </c:pt>
              <c:pt idx="470">
                <c:v>Santa Cruz Bikes</c:v>
              </c:pt>
              <c:pt idx="471">
                <c:v>Santa Cruz Bikes</c:v>
              </c:pt>
              <c:pt idx="472">
                <c:v>Baldwin Bikes</c:v>
              </c:pt>
              <c:pt idx="473">
                <c:v>Baldwin Bikes</c:v>
              </c:pt>
              <c:pt idx="474">
                <c:v>Baldwin Bikes</c:v>
              </c:pt>
              <c:pt idx="475">
                <c:v>Baldwin Bikes</c:v>
              </c:pt>
              <c:pt idx="476">
                <c:v>Baldwin Bikes</c:v>
              </c:pt>
              <c:pt idx="477">
                <c:v>Baldwin Bikes</c:v>
              </c:pt>
              <c:pt idx="478">
                <c:v>Baldwin Bikes</c:v>
              </c:pt>
              <c:pt idx="479">
                <c:v>Baldwin Bikes</c:v>
              </c:pt>
              <c:pt idx="480">
                <c:v>Baldwin Bikes</c:v>
              </c:pt>
              <c:pt idx="481">
                <c:v>Santa Cruz Bikes</c:v>
              </c:pt>
              <c:pt idx="482">
                <c:v>Baldwin Bikes</c:v>
              </c:pt>
              <c:pt idx="483">
                <c:v>Baldwin Bikes</c:v>
              </c:pt>
              <c:pt idx="484">
                <c:v>Rowlett Bikes</c:v>
              </c:pt>
              <c:pt idx="485">
                <c:v>Rowlett Bikes</c:v>
              </c:pt>
              <c:pt idx="486">
                <c:v>Rowlett Bikes</c:v>
              </c:pt>
              <c:pt idx="487">
                <c:v>Baldwin Bikes</c:v>
              </c:pt>
              <c:pt idx="488">
                <c:v>Baldwin Bikes</c:v>
              </c:pt>
              <c:pt idx="489">
                <c:v>Baldwin Bikes</c:v>
              </c:pt>
              <c:pt idx="490">
                <c:v>Baldwin Bikes</c:v>
              </c:pt>
              <c:pt idx="491">
                <c:v>Baldwin Bikes</c:v>
              </c:pt>
              <c:pt idx="492">
                <c:v>Baldwin Bikes</c:v>
              </c:pt>
              <c:pt idx="493">
                <c:v>Baldwin Bikes</c:v>
              </c:pt>
              <c:pt idx="494">
                <c:v>Baldwin Bikes</c:v>
              </c:pt>
              <c:pt idx="495">
                <c:v>Baldwin Bikes</c:v>
              </c:pt>
              <c:pt idx="496">
                <c:v>Santa Cruz Bikes</c:v>
              </c:pt>
              <c:pt idx="497">
                <c:v>Baldwin Bikes</c:v>
              </c:pt>
              <c:pt idx="498">
                <c:v>Baldwin Bikes</c:v>
              </c:pt>
              <c:pt idx="499">
                <c:v>Baldwin Bikes</c:v>
              </c:pt>
              <c:pt idx="500">
                <c:v>Baldwin Bikes</c:v>
              </c:pt>
              <c:pt idx="501">
                <c:v>Baldwin Bikes</c:v>
              </c:pt>
              <c:pt idx="502">
                <c:v>Baldwin Bikes</c:v>
              </c:pt>
              <c:pt idx="503">
                <c:v>Baldwin Bikes</c:v>
              </c:pt>
              <c:pt idx="504">
                <c:v>Baldwin Bikes</c:v>
              </c:pt>
              <c:pt idx="505">
                <c:v>Baldwin Bikes</c:v>
              </c:pt>
              <c:pt idx="506">
                <c:v>Baldwin Bikes</c:v>
              </c:pt>
              <c:pt idx="507">
                <c:v>Santa Cruz Bikes</c:v>
              </c:pt>
              <c:pt idx="508">
                <c:v>Santa Cruz Bikes</c:v>
              </c:pt>
              <c:pt idx="509">
                <c:v>Santa Cruz Bikes</c:v>
              </c:pt>
              <c:pt idx="510">
                <c:v>Santa Cruz Bikes</c:v>
              </c:pt>
              <c:pt idx="511">
                <c:v>Baldwin Bikes</c:v>
              </c:pt>
              <c:pt idx="512">
                <c:v>Baldwin Bikes</c:v>
              </c:pt>
              <c:pt idx="513">
                <c:v>Baldwin Bikes</c:v>
              </c:pt>
              <c:pt idx="514">
                <c:v>Baldwin Bikes</c:v>
              </c:pt>
              <c:pt idx="515">
                <c:v>Baldwin Bikes</c:v>
              </c:pt>
              <c:pt idx="516">
                <c:v>Baldwin Bikes</c:v>
              </c:pt>
              <c:pt idx="517">
                <c:v>Baldwin Bikes</c:v>
              </c:pt>
              <c:pt idx="518">
                <c:v>Baldwin Bikes</c:v>
              </c:pt>
              <c:pt idx="519">
                <c:v>Baldwin Bikes</c:v>
              </c:pt>
              <c:pt idx="520">
                <c:v>Santa Cruz Bikes</c:v>
              </c:pt>
              <c:pt idx="521">
                <c:v>Santa Cruz Bikes</c:v>
              </c:pt>
              <c:pt idx="522">
                <c:v>Baldwin Bikes</c:v>
              </c:pt>
              <c:pt idx="523">
                <c:v>Baldwin Bikes</c:v>
              </c:pt>
              <c:pt idx="524">
                <c:v>Baldwin Bikes</c:v>
              </c:pt>
              <c:pt idx="525">
                <c:v>Baldwin Bikes</c:v>
              </c:pt>
              <c:pt idx="526">
                <c:v>Santa Cruz Bikes</c:v>
              </c:pt>
              <c:pt idx="527">
                <c:v>Baldwin Bikes</c:v>
              </c:pt>
              <c:pt idx="528">
                <c:v>Baldwin Bikes</c:v>
              </c:pt>
              <c:pt idx="529">
                <c:v>Baldwin Bikes</c:v>
              </c:pt>
              <c:pt idx="530">
                <c:v>Santa Cruz Bikes</c:v>
              </c:pt>
              <c:pt idx="531">
                <c:v>Santa Cruz Bikes</c:v>
              </c:pt>
              <c:pt idx="532">
                <c:v>Santa Cruz Bikes</c:v>
              </c:pt>
              <c:pt idx="533">
                <c:v>Santa Cruz Bikes</c:v>
              </c:pt>
              <c:pt idx="534">
                <c:v>Santa Cruz Bikes</c:v>
              </c:pt>
              <c:pt idx="535">
                <c:v>Baldwin Bikes</c:v>
              </c:pt>
              <c:pt idx="536">
                <c:v>Baldwin Bikes</c:v>
              </c:pt>
              <c:pt idx="537">
                <c:v>Baldwin Bikes</c:v>
              </c:pt>
              <c:pt idx="538">
                <c:v>Baldwin Bikes</c:v>
              </c:pt>
              <c:pt idx="539">
                <c:v>Baldwin Bikes</c:v>
              </c:pt>
              <c:pt idx="540">
                <c:v>Santa Cruz Bikes</c:v>
              </c:pt>
              <c:pt idx="541">
                <c:v>Baldwin Bikes</c:v>
              </c:pt>
              <c:pt idx="542">
                <c:v>Baldwin Bikes</c:v>
              </c:pt>
              <c:pt idx="543">
                <c:v>Baldwin Bikes</c:v>
              </c:pt>
              <c:pt idx="544">
                <c:v>Baldwin Bikes</c:v>
              </c:pt>
              <c:pt idx="545">
                <c:v>Baldwin Bikes</c:v>
              </c:pt>
              <c:pt idx="546">
                <c:v>Baldwin Bikes</c:v>
              </c:pt>
              <c:pt idx="547">
                <c:v>Baldwin Bikes</c:v>
              </c:pt>
              <c:pt idx="548">
                <c:v>Baldwin Bikes</c:v>
              </c:pt>
              <c:pt idx="549">
                <c:v>Baldwin Bikes</c:v>
              </c:pt>
              <c:pt idx="550">
                <c:v>Baldwin Bikes</c:v>
              </c:pt>
              <c:pt idx="551">
                <c:v>Baldwin Bikes</c:v>
              </c:pt>
              <c:pt idx="552">
                <c:v>Baldwin Bikes</c:v>
              </c:pt>
              <c:pt idx="553">
                <c:v>Baldwin Bikes</c:v>
              </c:pt>
              <c:pt idx="554">
                <c:v>Baldwin Bikes</c:v>
              </c:pt>
              <c:pt idx="555">
                <c:v>Baldwin Bikes</c:v>
              </c:pt>
              <c:pt idx="556">
                <c:v>Baldwin Bikes</c:v>
              </c:pt>
              <c:pt idx="557">
                <c:v>Baldwin Bikes</c:v>
              </c:pt>
              <c:pt idx="558">
                <c:v>Baldwin Bikes</c:v>
              </c:pt>
              <c:pt idx="559">
                <c:v>Baldwin Bikes</c:v>
              </c:pt>
              <c:pt idx="560">
                <c:v>Baldwin Bikes</c:v>
              </c:pt>
              <c:pt idx="561">
                <c:v>Baldwin Bikes</c:v>
              </c:pt>
              <c:pt idx="562">
                <c:v>Baldwin Bikes</c:v>
              </c:pt>
              <c:pt idx="563">
                <c:v>Baldwin Bikes</c:v>
              </c:pt>
              <c:pt idx="564">
                <c:v>Rowlett Bikes</c:v>
              </c:pt>
              <c:pt idx="565">
                <c:v>Rowlett Bikes</c:v>
              </c:pt>
              <c:pt idx="566">
                <c:v>Rowlett Bikes</c:v>
              </c:pt>
              <c:pt idx="567">
                <c:v>Rowlett Bikes</c:v>
              </c:pt>
              <c:pt idx="568">
                <c:v>Santa Cruz Bikes</c:v>
              </c:pt>
              <c:pt idx="569">
                <c:v>Santa Cruz Bikes</c:v>
              </c:pt>
              <c:pt idx="570">
                <c:v>Santa Cruz Bikes</c:v>
              </c:pt>
              <c:pt idx="571">
                <c:v>Santa Cruz Bikes</c:v>
              </c:pt>
              <c:pt idx="572">
                <c:v>Rowlett Bikes</c:v>
              </c:pt>
              <c:pt idx="573">
                <c:v>Rowlett Bikes</c:v>
              </c:pt>
              <c:pt idx="574">
                <c:v>Rowlett Bikes</c:v>
              </c:pt>
              <c:pt idx="575">
                <c:v>Rowlett Bikes</c:v>
              </c:pt>
              <c:pt idx="576">
                <c:v>Baldwin Bikes</c:v>
              </c:pt>
              <c:pt idx="577">
                <c:v>Baldwin Bikes</c:v>
              </c:pt>
              <c:pt idx="578">
                <c:v>Baldwin Bikes</c:v>
              </c:pt>
              <c:pt idx="579">
                <c:v>Baldwin Bikes</c:v>
              </c:pt>
              <c:pt idx="580">
                <c:v>Rowlett Bikes</c:v>
              </c:pt>
              <c:pt idx="581">
                <c:v>Rowlett Bikes</c:v>
              </c:pt>
              <c:pt idx="582">
                <c:v>Baldwin Bikes</c:v>
              </c:pt>
              <c:pt idx="583">
                <c:v>Baldwin Bikes</c:v>
              </c:pt>
              <c:pt idx="584">
                <c:v>Baldwin Bikes</c:v>
              </c:pt>
              <c:pt idx="585">
                <c:v>Baldwin Bikes</c:v>
              </c:pt>
              <c:pt idx="586">
                <c:v>Baldwin Bikes</c:v>
              </c:pt>
              <c:pt idx="587">
                <c:v>Baldwin Bikes</c:v>
              </c:pt>
              <c:pt idx="588">
                <c:v>Baldwin Bikes</c:v>
              </c:pt>
              <c:pt idx="589">
                <c:v>Baldwin Bikes</c:v>
              </c:pt>
              <c:pt idx="590">
                <c:v>Baldwin Bikes</c:v>
              </c:pt>
              <c:pt idx="591">
                <c:v>Baldwin Bikes</c:v>
              </c:pt>
              <c:pt idx="592">
                <c:v>Baldwin Bikes</c:v>
              </c:pt>
              <c:pt idx="593">
                <c:v>Baldwin Bikes</c:v>
              </c:pt>
              <c:pt idx="594">
                <c:v>Baldwin Bikes</c:v>
              </c:pt>
              <c:pt idx="595">
                <c:v>Baldwin Bikes</c:v>
              </c:pt>
              <c:pt idx="596">
                <c:v>Baldwin Bikes</c:v>
              </c:pt>
              <c:pt idx="597">
                <c:v>Baldwin Bikes</c:v>
              </c:pt>
              <c:pt idx="598">
                <c:v>Baldwin Bikes</c:v>
              </c:pt>
              <c:pt idx="599">
                <c:v>Baldwin Bikes</c:v>
              </c:pt>
              <c:pt idx="600">
                <c:v>Rowlett Bikes</c:v>
              </c:pt>
              <c:pt idx="601">
                <c:v>Baldwin Bikes</c:v>
              </c:pt>
              <c:pt idx="602">
                <c:v>Baldwin Bikes</c:v>
              </c:pt>
              <c:pt idx="603">
                <c:v>Baldwin Bikes</c:v>
              </c:pt>
              <c:pt idx="604">
                <c:v>Santa Cruz Bikes</c:v>
              </c:pt>
              <c:pt idx="605">
                <c:v>Santa Cruz Bikes</c:v>
              </c:pt>
              <c:pt idx="606">
                <c:v>Baldwin Bikes</c:v>
              </c:pt>
              <c:pt idx="607">
                <c:v>Baldwin Bikes</c:v>
              </c:pt>
              <c:pt idx="608">
                <c:v>Baldwin Bikes</c:v>
              </c:pt>
              <c:pt idx="609">
                <c:v>Baldwin Bikes</c:v>
              </c:pt>
              <c:pt idx="610">
                <c:v>Baldwin Bikes</c:v>
              </c:pt>
              <c:pt idx="611">
                <c:v>Baldwin Bikes</c:v>
              </c:pt>
              <c:pt idx="612">
                <c:v>Baldwin Bikes</c:v>
              </c:pt>
              <c:pt idx="613">
                <c:v>Baldwin Bikes</c:v>
              </c:pt>
              <c:pt idx="614">
                <c:v>Baldwin Bikes</c:v>
              </c:pt>
              <c:pt idx="615">
                <c:v>Baldwin Bikes</c:v>
              </c:pt>
              <c:pt idx="616">
                <c:v>Baldwin Bikes</c:v>
              </c:pt>
              <c:pt idx="617">
                <c:v>Baldwin Bikes</c:v>
              </c:pt>
              <c:pt idx="618">
                <c:v>Santa Cruz Bikes</c:v>
              </c:pt>
              <c:pt idx="619">
                <c:v>Baldwin Bikes</c:v>
              </c:pt>
              <c:pt idx="620">
                <c:v>Baldwin Bikes</c:v>
              </c:pt>
              <c:pt idx="621">
                <c:v>Baldwin Bikes</c:v>
              </c:pt>
              <c:pt idx="622">
                <c:v>Baldwin Bikes</c:v>
              </c:pt>
              <c:pt idx="623">
                <c:v>Baldwin Bikes</c:v>
              </c:pt>
              <c:pt idx="624">
                <c:v>Baldwin Bikes</c:v>
              </c:pt>
              <c:pt idx="625">
                <c:v>Baldwin Bikes</c:v>
              </c:pt>
              <c:pt idx="626">
                <c:v>Santa Cruz Bikes</c:v>
              </c:pt>
              <c:pt idx="627">
                <c:v>Santa Cruz Bikes</c:v>
              </c:pt>
              <c:pt idx="628">
                <c:v>Santa Cruz Bikes</c:v>
              </c:pt>
              <c:pt idx="629">
                <c:v>Santa Cruz Bikes</c:v>
              </c:pt>
              <c:pt idx="630">
                <c:v>Santa Cruz Bikes</c:v>
              </c:pt>
              <c:pt idx="631">
                <c:v>Santa Cruz Bikes</c:v>
              </c:pt>
              <c:pt idx="632">
                <c:v>Santa Cruz Bikes</c:v>
              </c:pt>
              <c:pt idx="633">
                <c:v>Baldwin Bikes</c:v>
              </c:pt>
              <c:pt idx="634">
                <c:v>Baldwin Bikes</c:v>
              </c:pt>
              <c:pt idx="635">
                <c:v>Baldwin Bikes</c:v>
              </c:pt>
              <c:pt idx="636">
                <c:v>Baldwin Bikes</c:v>
              </c:pt>
              <c:pt idx="637">
                <c:v>Baldwin Bikes</c:v>
              </c:pt>
              <c:pt idx="638">
                <c:v>Baldwin Bikes</c:v>
              </c:pt>
              <c:pt idx="639">
                <c:v>Baldwin Bikes</c:v>
              </c:pt>
              <c:pt idx="640">
                <c:v>Baldwin Bikes</c:v>
              </c:pt>
              <c:pt idx="641">
                <c:v>Baldwin Bikes</c:v>
              </c:pt>
              <c:pt idx="642">
                <c:v>Baldwin Bikes</c:v>
              </c:pt>
              <c:pt idx="643">
                <c:v>Baldwin Bikes</c:v>
              </c:pt>
              <c:pt idx="644">
                <c:v>Baldwin Bikes</c:v>
              </c:pt>
              <c:pt idx="645">
                <c:v>Baldwin Bikes</c:v>
              </c:pt>
              <c:pt idx="646">
                <c:v>Baldwin Bikes</c:v>
              </c:pt>
              <c:pt idx="647">
                <c:v>Santa Cruz Bikes</c:v>
              </c:pt>
              <c:pt idx="648">
                <c:v>Santa Cruz Bikes</c:v>
              </c:pt>
              <c:pt idx="649">
                <c:v>Santa Cruz Bikes</c:v>
              </c:pt>
              <c:pt idx="650">
                <c:v>Santa Cruz Bikes</c:v>
              </c:pt>
              <c:pt idx="651">
                <c:v>Baldwin Bikes</c:v>
              </c:pt>
              <c:pt idx="652">
                <c:v>Baldwin Bikes</c:v>
              </c:pt>
              <c:pt idx="653">
                <c:v>Baldwin Bikes</c:v>
              </c:pt>
              <c:pt idx="654">
                <c:v>Baldwin Bikes</c:v>
              </c:pt>
              <c:pt idx="655">
                <c:v>Baldwin Bikes</c:v>
              </c:pt>
              <c:pt idx="656">
                <c:v>Baldwin Bikes</c:v>
              </c:pt>
              <c:pt idx="657">
                <c:v>Baldwin Bikes</c:v>
              </c:pt>
              <c:pt idx="658">
                <c:v>Baldwin Bikes</c:v>
              </c:pt>
              <c:pt idx="659">
                <c:v>Baldwin Bikes</c:v>
              </c:pt>
              <c:pt idx="660">
                <c:v>Baldwin Bikes</c:v>
              </c:pt>
              <c:pt idx="661">
                <c:v>Baldwin Bikes</c:v>
              </c:pt>
              <c:pt idx="662">
                <c:v>Baldwin Bikes</c:v>
              </c:pt>
              <c:pt idx="663">
                <c:v>Baldwin Bikes</c:v>
              </c:pt>
              <c:pt idx="664">
                <c:v>Baldwin Bikes</c:v>
              </c:pt>
              <c:pt idx="665">
                <c:v>Baldwin Bikes</c:v>
              </c:pt>
              <c:pt idx="666">
                <c:v>Baldwin Bikes</c:v>
              </c:pt>
              <c:pt idx="667">
                <c:v>Baldwin Bikes</c:v>
              </c:pt>
              <c:pt idx="668">
                <c:v>Baldwin Bikes</c:v>
              </c:pt>
              <c:pt idx="669">
                <c:v>Baldwin Bikes</c:v>
              </c:pt>
              <c:pt idx="670">
                <c:v>Baldwin Bikes</c:v>
              </c:pt>
              <c:pt idx="671">
                <c:v>Baldwin Bikes</c:v>
              </c:pt>
              <c:pt idx="672">
                <c:v>Baldwin Bikes</c:v>
              </c:pt>
              <c:pt idx="673">
                <c:v>Baldwin Bikes</c:v>
              </c:pt>
              <c:pt idx="674">
                <c:v>Baldwin Bikes</c:v>
              </c:pt>
              <c:pt idx="675">
                <c:v>Rowlett Bikes</c:v>
              </c:pt>
              <c:pt idx="676">
                <c:v>Rowlett Bikes</c:v>
              </c:pt>
              <c:pt idx="677">
                <c:v>Rowlett Bikes</c:v>
              </c:pt>
              <c:pt idx="678">
                <c:v>Rowlett Bikes</c:v>
              </c:pt>
              <c:pt idx="679">
                <c:v>Baldwin Bikes</c:v>
              </c:pt>
              <c:pt idx="680">
                <c:v>Baldwin Bikes</c:v>
              </c:pt>
              <c:pt idx="681">
                <c:v>Baldwin Bikes</c:v>
              </c:pt>
              <c:pt idx="682">
                <c:v>Baldwin Bikes</c:v>
              </c:pt>
              <c:pt idx="683">
                <c:v>Baldwin Bikes</c:v>
              </c:pt>
              <c:pt idx="684">
                <c:v>Baldwin Bikes</c:v>
              </c:pt>
              <c:pt idx="685">
                <c:v>Rowlett Bikes</c:v>
              </c:pt>
              <c:pt idx="686">
                <c:v>Rowlett Bikes</c:v>
              </c:pt>
              <c:pt idx="687">
                <c:v>Rowlett Bikes</c:v>
              </c:pt>
              <c:pt idx="688">
                <c:v>Baldwin Bikes</c:v>
              </c:pt>
              <c:pt idx="689">
                <c:v>Baldwin Bikes</c:v>
              </c:pt>
              <c:pt idx="690">
                <c:v>Baldwin Bikes</c:v>
              </c:pt>
              <c:pt idx="691">
                <c:v>Baldwin Bikes</c:v>
              </c:pt>
              <c:pt idx="692">
                <c:v>Baldwin Bikes</c:v>
              </c:pt>
              <c:pt idx="693">
                <c:v>Baldwin Bikes</c:v>
              </c:pt>
              <c:pt idx="694">
                <c:v>Santa Cruz Bikes</c:v>
              </c:pt>
              <c:pt idx="695">
                <c:v>Santa Cruz Bikes</c:v>
              </c:pt>
              <c:pt idx="696">
                <c:v>Baldwin Bikes</c:v>
              </c:pt>
              <c:pt idx="697">
                <c:v>Baldwin Bikes</c:v>
              </c:pt>
              <c:pt idx="698">
                <c:v>Baldwin Bikes</c:v>
              </c:pt>
              <c:pt idx="699">
                <c:v>Baldwin Bikes</c:v>
              </c:pt>
              <c:pt idx="700">
                <c:v>Baldwin Bikes</c:v>
              </c:pt>
              <c:pt idx="701">
                <c:v>Baldwin Bikes</c:v>
              </c:pt>
              <c:pt idx="702">
                <c:v>Baldwin Bikes</c:v>
              </c:pt>
              <c:pt idx="703">
                <c:v>Baldwin Bikes</c:v>
              </c:pt>
              <c:pt idx="704">
                <c:v>Baldwin Bikes</c:v>
              </c:pt>
              <c:pt idx="705">
                <c:v>Baldwin Bikes</c:v>
              </c:pt>
              <c:pt idx="706">
                <c:v>Baldwin Bikes</c:v>
              </c:pt>
              <c:pt idx="707">
                <c:v>Rowlett Bikes</c:v>
              </c:pt>
              <c:pt idx="708">
                <c:v>Rowlett Bikes</c:v>
              </c:pt>
              <c:pt idx="709">
                <c:v>Rowlett Bikes</c:v>
              </c:pt>
              <c:pt idx="710">
                <c:v>Baldwin Bikes</c:v>
              </c:pt>
              <c:pt idx="711">
                <c:v>Baldwin Bikes</c:v>
              </c:pt>
              <c:pt idx="712">
                <c:v>Baldwin Bikes</c:v>
              </c:pt>
              <c:pt idx="713">
                <c:v>Baldwin Bikes</c:v>
              </c:pt>
              <c:pt idx="714">
                <c:v>Baldwin Bikes</c:v>
              </c:pt>
              <c:pt idx="715">
                <c:v>Baldwin Bikes</c:v>
              </c:pt>
              <c:pt idx="716">
                <c:v>Baldwin Bikes</c:v>
              </c:pt>
              <c:pt idx="717">
                <c:v>Baldwin Bikes</c:v>
              </c:pt>
              <c:pt idx="718">
                <c:v>Baldwin Bikes</c:v>
              </c:pt>
              <c:pt idx="719">
                <c:v>Baldwin Bikes</c:v>
              </c:pt>
              <c:pt idx="720">
                <c:v>Santa Cruz Bikes</c:v>
              </c:pt>
              <c:pt idx="721">
                <c:v>Santa Cruz Bikes</c:v>
              </c:pt>
              <c:pt idx="722">
                <c:v>Santa Cruz Bikes</c:v>
              </c:pt>
              <c:pt idx="723">
                <c:v>Santa Cruz Bikes</c:v>
              </c:pt>
              <c:pt idx="724">
                <c:v>Baldwin Bikes</c:v>
              </c:pt>
              <c:pt idx="725">
                <c:v>Baldwin Bikes</c:v>
              </c:pt>
              <c:pt idx="726">
                <c:v>Baldwin Bikes</c:v>
              </c:pt>
              <c:pt idx="727">
                <c:v>Baldwin Bikes</c:v>
              </c:pt>
              <c:pt idx="728">
                <c:v>Baldwin Bikes</c:v>
              </c:pt>
              <c:pt idx="729">
                <c:v>Baldwin Bikes</c:v>
              </c:pt>
              <c:pt idx="730">
                <c:v>Baldwin Bikes</c:v>
              </c:pt>
              <c:pt idx="731">
                <c:v>Baldwin Bikes</c:v>
              </c:pt>
              <c:pt idx="732">
                <c:v>Baldwin Bikes</c:v>
              </c:pt>
              <c:pt idx="733">
                <c:v>Baldwin Bikes</c:v>
              </c:pt>
              <c:pt idx="734">
                <c:v>Baldwin Bikes</c:v>
              </c:pt>
              <c:pt idx="735">
                <c:v>Santa Cruz Bikes</c:v>
              </c:pt>
              <c:pt idx="736">
                <c:v>Santa Cruz Bikes</c:v>
              </c:pt>
              <c:pt idx="737">
                <c:v>Santa Cruz Bikes</c:v>
              </c:pt>
              <c:pt idx="738">
                <c:v>Rowlett Bikes</c:v>
              </c:pt>
              <c:pt idx="739">
                <c:v>Rowlett Bikes</c:v>
              </c:pt>
              <c:pt idx="740">
                <c:v>Baldwin Bikes</c:v>
              </c:pt>
              <c:pt idx="741">
                <c:v>Baldwin Bikes</c:v>
              </c:pt>
              <c:pt idx="742">
                <c:v>Baldwin Bikes</c:v>
              </c:pt>
              <c:pt idx="743">
                <c:v>Santa Cruz Bikes</c:v>
              </c:pt>
              <c:pt idx="744">
                <c:v>Santa Cruz Bikes</c:v>
              </c:pt>
              <c:pt idx="745">
                <c:v>Santa Cruz Bikes</c:v>
              </c:pt>
              <c:pt idx="746">
                <c:v>Santa Cruz Bikes</c:v>
              </c:pt>
              <c:pt idx="747">
                <c:v>Baldwin Bikes</c:v>
              </c:pt>
              <c:pt idx="748">
                <c:v>Baldwin Bikes</c:v>
              </c:pt>
              <c:pt idx="749">
                <c:v>Baldwin Bikes</c:v>
              </c:pt>
              <c:pt idx="750">
                <c:v>Baldwin Bikes</c:v>
              </c:pt>
              <c:pt idx="751">
                <c:v>Santa Cruz Bikes</c:v>
              </c:pt>
              <c:pt idx="752">
                <c:v>Santa Cruz Bikes</c:v>
              </c:pt>
              <c:pt idx="753">
                <c:v>Santa Cruz Bikes</c:v>
              </c:pt>
              <c:pt idx="754">
                <c:v>Santa Cruz Bikes</c:v>
              </c:pt>
              <c:pt idx="755">
                <c:v>Santa Cruz Bikes</c:v>
              </c:pt>
              <c:pt idx="756">
                <c:v>Santa Cruz Bikes</c:v>
              </c:pt>
              <c:pt idx="757">
                <c:v>Santa Cruz Bikes</c:v>
              </c:pt>
              <c:pt idx="758">
                <c:v>Santa Cruz Bikes</c:v>
              </c:pt>
              <c:pt idx="759">
                <c:v>Baldwin Bikes</c:v>
              </c:pt>
              <c:pt idx="760">
                <c:v>Baldwin Bikes</c:v>
              </c:pt>
              <c:pt idx="761">
                <c:v>Baldwin Bikes</c:v>
              </c:pt>
              <c:pt idx="762">
                <c:v>Baldwin Bikes</c:v>
              </c:pt>
              <c:pt idx="763">
                <c:v>Baldwin Bikes</c:v>
              </c:pt>
              <c:pt idx="764">
                <c:v>Baldwin Bikes</c:v>
              </c:pt>
              <c:pt idx="765">
                <c:v>Baldwin Bikes</c:v>
              </c:pt>
              <c:pt idx="766">
                <c:v>Baldwin Bikes</c:v>
              </c:pt>
              <c:pt idx="767">
                <c:v>Baldwin Bikes</c:v>
              </c:pt>
              <c:pt idx="768">
                <c:v>Baldwin Bikes</c:v>
              </c:pt>
              <c:pt idx="769">
                <c:v>Baldwin Bikes</c:v>
              </c:pt>
              <c:pt idx="770">
                <c:v>Baldwin Bikes</c:v>
              </c:pt>
              <c:pt idx="771">
                <c:v>Baldwin Bikes</c:v>
              </c:pt>
              <c:pt idx="772">
                <c:v>Baldwin Bikes</c:v>
              </c:pt>
              <c:pt idx="773">
                <c:v>Baldwin Bikes</c:v>
              </c:pt>
              <c:pt idx="774">
                <c:v>Baldwin Bikes</c:v>
              </c:pt>
              <c:pt idx="775">
                <c:v>Baldwin Bikes</c:v>
              </c:pt>
              <c:pt idx="776">
                <c:v>Baldwin Bikes</c:v>
              </c:pt>
              <c:pt idx="777">
                <c:v>Baldwin Bikes</c:v>
              </c:pt>
              <c:pt idx="778">
                <c:v>Baldwin Bikes</c:v>
              </c:pt>
              <c:pt idx="779">
                <c:v>Baldwin Bikes</c:v>
              </c:pt>
              <c:pt idx="780">
                <c:v>Baldwin Bikes</c:v>
              </c:pt>
              <c:pt idx="781">
                <c:v>Baldwin Bikes</c:v>
              </c:pt>
              <c:pt idx="782">
                <c:v>Baldwin Bikes</c:v>
              </c:pt>
              <c:pt idx="783">
                <c:v>Baldwin Bikes</c:v>
              </c:pt>
              <c:pt idx="784">
                <c:v>Santa Cruz Bikes</c:v>
              </c:pt>
              <c:pt idx="785">
                <c:v>Santa Cruz Bikes</c:v>
              </c:pt>
              <c:pt idx="786">
                <c:v>Santa Cruz Bikes</c:v>
              </c:pt>
              <c:pt idx="787">
                <c:v>Santa Cruz Bikes</c:v>
              </c:pt>
              <c:pt idx="788">
                <c:v>Baldwin Bikes</c:v>
              </c:pt>
              <c:pt idx="789">
                <c:v>Baldwin Bikes</c:v>
              </c:pt>
              <c:pt idx="790">
                <c:v>Baldwin Bikes</c:v>
              </c:pt>
              <c:pt idx="791">
                <c:v>Baldwin Bikes</c:v>
              </c:pt>
              <c:pt idx="792">
                <c:v>Baldwin Bikes</c:v>
              </c:pt>
              <c:pt idx="793">
                <c:v>Baldwin Bikes</c:v>
              </c:pt>
              <c:pt idx="794">
                <c:v>Baldwin Bikes</c:v>
              </c:pt>
              <c:pt idx="795">
                <c:v>Rowlett Bikes</c:v>
              </c:pt>
              <c:pt idx="796">
                <c:v>Rowlett Bikes</c:v>
              </c:pt>
              <c:pt idx="797">
                <c:v>Rowlett Bikes</c:v>
              </c:pt>
              <c:pt idx="798">
                <c:v>Rowlett Bikes</c:v>
              </c:pt>
              <c:pt idx="799">
                <c:v>Santa Cruz Bikes</c:v>
              </c:pt>
              <c:pt idx="800">
                <c:v>Santa Cruz Bikes</c:v>
              </c:pt>
              <c:pt idx="801">
                <c:v>Baldwin Bikes</c:v>
              </c:pt>
              <c:pt idx="802">
                <c:v>Baldwin Bikes</c:v>
              </c:pt>
              <c:pt idx="803">
                <c:v>Santa Cruz Bikes</c:v>
              </c:pt>
              <c:pt idx="804">
                <c:v>Santa Cruz Bikes</c:v>
              </c:pt>
              <c:pt idx="805">
                <c:v>Santa Cruz Bikes</c:v>
              </c:pt>
              <c:pt idx="806">
                <c:v>Baldwin Bikes</c:v>
              </c:pt>
              <c:pt idx="807">
                <c:v>Baldwin Bikes</c:v>
              </c:pt>
              <c:pt idx="808">
                <c:v>Baldwin Bikes</c:v>
              </c:pt>
              <c:pt idx="809">
                <c:v>Baldwin Bikes</c:v>
              </c:pt>
              <c:pt idx="810">
                <c:v>Baldwin Bikes</c:v>
              </c:pt>
              <c:pt idx="811">
                <c:v>Baldwin Bikes</c:v>
              </c:pt>
              <c:pt idx="812">
                <c:v>Baldwin Bikes</c:v>
              </c:pt>
              <c:pt idx="813">
                <c:v>Baldwin Bikes</c:v>
              </c:pt>
              <c:pt idx="814">
                <c:v>Baldwin Bikes</c:v>
              </c:pt>
              <c:pt idx="815">
                <c:v>Baldwin Bikes</c:v>
              </c:pt>
              <c:pt idx="816">
                <c:v>Baldwin Bikes</c:v>
              </c:pt>
              <c:pt idx="817">
                <c:v>Baldwin Bikes</c:v>
              </c:pt>
              <c:pt idx="818">
                <c:v>Baldwin Bikes</c:v>
              </c:pt>
              <c:pt idx="819">
                <c:v>Baldwin Bikes</c:v>
              </c:pt>
              <c:pt idx="820">
                <c:v>Baldwin Bikes</c:v>
              </c:pt>
              <c:pt idx="821">
                <c:v>Baldwin Bikes</c:v>
              </c:pt>
              <c:pt idx="822">
                <c:v>Baldwin Bikes</c:v>
              </c:pt>
              <c:pt idx="823">
                <c:v>Baldwin Bikes</c:v>
              </c:pt>
              <c:pt idx="824">
                <c:v>Baldwin Bikes</c:v>
              </c:pt>
              <c:pt idx="825">
                <c:v>Rowlett Bikes</c:v>
              </c:pt>
              <c:pt idx="826">
                <c:v>Rowlett Bikes</c:v>
              </c:pt>
              <c:pt idx="827">
                <c:v>Rowlett Bikes</c:v>
              </c:pt>
              <c:pt idx="828">
                <c:v>Baldwin Bikes</c:v>
              </c:pt>
              <c:pt idx="829">
                <c:v>Baldwin Bikes</c:v>
              </c:pt>
              <c:pt idx="830">
                <c:v>Baldwin Bikes</c:v>
              </c:pt>
              <c:pt idx="831">
                <c:v>Baldwin Bikes</c:v>
              </c:pt>
              <c:pt idx="832">
                <c:v>Baldwin Bikes</c:v>
              </c:pt>
              <c:pt idx="833">
                <c:v>Baldwin Bikes</c:v>
              </c:pt>
              <c:pt idx="834">
                <c:v>Baldwin Bikes</c:v>
              </c:pt>
              <c:pt idx="835">
                <c:v>Baldwin Bikes</c:v>
              </c:pt>
              <c:pt idx="836">
                <c:v>Baldwin Bikes</c:v>
              </c:pt>
              <c:pt idx="837">
                <c:v>Baldwin Bikes</c:v>
              </c:pt>
              <c:pt idx="838">
                <c:v>Baldwin Bikes</c:v>
              </c:pt>
              <c:pt idx="839">
                <c:v>Baldwin Bikes</c:v>
              </c:pt>
              <c:pt idx="840">
                <c:v>Rowlett Bikes</c:v>
              </c:pt>
              <c:pt idx="841">
                <c:v>Rowlett Bikes</c:v>
              </c:pt>
              <c:pt idx="842">
                <c:v>Rowlett Bikes</c:v>
              </c:pt>
              <c:pt idx="843">
                <c:v>Rowlett Bikes</c:v>
              </c:pt>
              <c:pt idx="844">
                <c:v>Rowlett Bikes</c:v>
              </c:pt>
              <c:pt idx="845">
                <c:v>Baldwin Bikes</c:v>
              </c:pt>
              <c:pt idx="846">
                <c:v>Baldwin Bikes</c:v>
              </c:pt>
              <c:pt idx="847">
                <c:v>Baldwin Bikes</c:v>
              </c:pt>
              <c:pt idx="848">
                <c:v>Baldwin Bikes</c:v>
              </c:pt>
              <c:pt idx="849">
                <c:v>Baldwin Bikes</c:v>
              </c:pt>
              <c:pt idx="850">
                <c:v>Baldwin Bikes</c:v>
              </c:pt>
              <c:pt idx="851">
                <c:v>Baldwin Bikes</c:v>
              </c:pt>
              <c:pt idx="852">
                <c:v>Baldwin Bikes</c:v>
              </c:pt>
              <c:pt idx="853">
                <c:v>Baldwin Bikes</c:v>
              </c:pt>
              <c:pt idx="854">
                <c:v>Baldwin Bikes</c:v>
              </c:pt>
              <c:pt idx="855">
                <c:v>Baldwin Bikes</c:v>
              </c:pt>
              <c:pt idx="856">
                <c:v>Baldwin Bikes</c:v>
              </c:pt>
              <c:pt idx="857">
                <c:v>Baldwin Bikes</c:v>
              </c:pt>
              <c:pt idx="858">
                <c:v>Baldwin Bikes</c:v>
              </c:pt>
              <c:pt idx="859">
                <c:v>Baldwin Bikes</c:v>
              </c:pt>
              <c:pt idx="860">
                <c:v>Baldwin Bikes</c:v>
              </c:pt>
              <c:pt idx="861">
                <c:v>Baldwin Bikes</c:v>
              </c:pt>
              <c:pt idx="862">
                <c:v>Baldwin Bikes</c:v>
              </c:pt>
              <c:pt idx="863">
                <c:v>Baldwin Bikes</c:v>
              </c:pt>
              <c:pt idx="864">
                <c:v>Baldwin Bikes</c:v>
              </c:pt>
              <c:pt idx="865">
                <c:v>Baldwin Bikes</c:v>
              </c:pt>
              <c:pt idx="866">
                <c:v>Baldwin Bikes</c:v>
              </c:pt>
              <c:pt idx="867">
                <c:v>Baldwin Bikes</c:v>
              </c:pt>
              <c:pt idx="868">
                <c:v>Baldwin Bikes</c:v>
              </c:pt>
              <c:pt idx="869">
                <c:v>Baldwin Bikes</c:v>
              </c:pt>
              <c:pt idx="870">
                <c:v>Baldwin Bikes</c:v>
              </c:pt>
              <c:pt idx="871">
                <c:v>Baldwin Bikes</c:v>
              </c:pt>
              <c:pt idx="872">
                <c:v>Santa Cruz Bikes</c:v>
              </c:pt>
              <c:pt idx="873">
                <c:v>Santa Cruz Bikes</c:v>
              </c:pt>
              <c:pt idx="874">
                <c:v>Santa Cruz Bikes</c:v>
              </c:pt>
              <c:pt idx="875">
                <c:v>Santa Cruz Bikes</c:v>
              </c:pt>
              <c:pt idx="876">
                <c:v>Baldwin Bikes</c:v>
              </c:pt>
              <c:pt idx="877">
                <c:v>Baldwin Bikes</c:v>
              </c:pt>
              <c:pt idx="878">
                <c:v>Baldwin Bikes</c:v>
              </c:pt>
              <c:pt idx="879">
                <c:v>Baldwin Bikes</c:v>
              </c:pt>
              <c:pt idx="880">
                <c:v>Baldwin Bikes</c:v>
              </c:pt>
              <c:pt idx="881">
                <c:v>Rowlett Bikes</c:v>
              </c:pt>
              <c:pt idx="882">
                <c:v>Rowlett Bikes</c:v>
              </c:pt>
              <c:pt idx="883">
                <c:v>Baldwin Bikes</c:v>
              </c:pt>
              <c:pt idx="884">
                <c:v>Baldwin Bikes</c:v>
              </c:pt>
              <c:pt idx="885">
                <c:v>Baldwin Bikes</c:v>
              </c:pt>
              <c:pt idx="886">
                <c:v>Baldwin Bikes</c:v>
              </c:pt>
              <c:pt idx="887">
                <c:v>Baldwin Bikes</c:v>
              </c:pt>
              <c:pt idx="888">
                <c:v>Baldwin Bikes</c:v>
              </c:pt>
              <c:pt idx="889">
                <c:v>Baldwin Bikes</c:v>
              </c:pt>
              <c:pt idx="890">
                <c:v>Baldwin Bikes</c:v>
              </c:pt>
              <c:pt idx="891">
                <c:v>Baldwin Bikes</c:v>
              </c:pt>
              <c:pt idx="892">
                <c:v>Baldwin Bikes</c:v>
              </c:pt>
              <c:pt idx="893">
                <c:v>Baldwin Bikes</c:v>
              </c:pt>
              <c:pt idx="894">
                <c:v>Baldwin Bikes</c:v>
              </c:pt>
              <c:pt idx="895">
                <c:v>Baldwin Bikes</c:v>
              </c:pt>
              <c:pt idx="896">
                <c:v>Baldwin Bikes</c:v>
              </c:pt>
              <c:pt idx="897">
                <c:v>Baldwin Bikes</c:v>
              </c:pt>
              <c:pt idx="898">
                <c:v>Baldwin Bikes</c:v>
              </c:pt>
              <c:pt idx="899">
                <c:v>Baldwin Bikes</c:v>
              </c:pt>
              <c:pt idx="900">
                <c:v>Baldwin Bikes</c:v>
              </c:pt>
              <c:pt idx="901">
                <c:v>Baldwin Bikes</c:v>
              </c:pt>
              <c:pt idx="902">
                <c:v>Baldwin Bikes</c:v>
              </c:pt>
              <c:pt idx="903">
                <c:v>Baldwin Bikes</c:v>
              </c:pt>
              <c:pt idx="904">
                <c:v>Baldwin Bikes</c:v>
              </c:pt>
              <c:pt idx="905">
                <c:v>Santa Cruz Bikes</c:v>
              </c:pt>
              <c:pt idx="906">
                <c:v>Baldwin Bikes</c:v>
              </c:pt>
              <c:pt idx="907">
                <c:v>Baldwin Bikes</c:v>
              </c:pt>
              <c:pt idx="908">
                <c:v>Baldwin Bikes</c:v>
              </c:pt>
              <c:pt idx="909">
                <c:v>Baldwin Bikes</c:v>
              </c:pt>
              <c:pt idx="910">
                <c:v>Baldwin Bikes</c:v>
              </c:pt>
              <c:pt idx="911">
                <c:v>Baldwin Bikes</c:v>
              </c:pt>
              <c:pt idx="912">
                <c:v>Baldwin Bikes</c:v>
              </c:pt>
              <c:pt idx="913">
                <c:v>Baldwin Bikes</c:v>
              </c:pt>
              <c:pt idx="914">
                <c:v>Baldwin Bikes</c:v>
              </c:pt>
              <c:pt idx="915">
                <c:v>Baldwin Bikes</c:v>
              </c:pt>
              <c:pt idx="916">
                <c:v>Baldwin Bikes</c:v>
              </c:pt>
              <c:pt idx="917">
                <c:v>Baldwin Bikes</c:v>
              </c:pt>
              <c:pt idx="918">
                <c:v>Baldwin Bikes</c:v>
              </c:pt>
              <c:pt idx="919">
                <c:v>Baldwin Bikes</c:v>
              </c:pt>
              <c:pt idx="920">
                <c:v>Baldwin Bikes</c:v>
              </c:pt>
              <c:pt idx="921">
                <c:v>Baldwin Bikes</c:v>
              </c:pt>
              <c:pt idx="922">
                <c:v>Rowlett Bikes</c:v>
              </c:pt>
              <c:pt idx="923">
                <c:v>Rowlett Bikes</c:v>
              </c:pt>
              <c:pt idx="924">
                <c:v>Baldwin Bikes</c:v>
              </c:pt>
              <c:pt idx="925">
                <c:v>Baldwin Bikes</c:v>
              </c:pt>
              <c:pt idx="926">
                <c:v>Baldwin Bikes</c:v>
              </c:pt>
              <c:pt idx="927">
                <c:v>Baldwin Bikes</c:v>
              </c:pt>
              <c:pt idx="928">
                <c:v>Baldwin Bikes</c:v>
              </c:pt>
              <c:pt idx="929">
                <c:v>Baldwin Bikes</c:v>
              </c:pt>
              <c:pt idx="930">
                <c:v>Baldwin Bikes</c:v>
              </c:pt>
              <c:pt idx="931">
                <c:v>Baldwin Bikes</c:v>
              </c:pt>
              <c:pt idx="932">
                <c:v>Baldwin Bikes</c:v>
              </c:pt>
              <c:pt idx="933">
                <c:v>Baldwin Bikes</c:v>
              </c:pt>
              <c:pt idx="934">
                <c:v>Baldwin Bikes</c:v>
              </c:pt>
              <c:pt idx="935">
                <c:v>Baldwin Bikes</c:v>
              </c:pt>
              <c:pt idx="936">
                <c:v>Baldwin Bikes</c:v>
              </c:pt>
              <c:pt idx="937">
                <c:v>Baldwin Bikes</c:v>
              </c:pt>
              <c:pt idx="938">
                <c:v>Baldwin Bikes</c:v>
              </c:pt>
              <c:pt idx="939">
                <c:v>Baldwin Bikes</c:v>
              </c:pt>
              <c:pt idx="940">
                <c:v>Baldwin Bikes</c:v>
              </c:pt>
              <c:pt idx="941">
                <c:v>Baldwin Bikes</c:v>
              </c:pt>
              <c:pt idx="942">
                <c:v>Baldwin Bikes</c:v>
              </c:pt>
              <c:pt idx="943">
                <c:v>Baldwin Bikes</c:v>
              </c:pt>
              <c:pt idx="944">
                <c:v>Baldwin Bikes</c:v>
              </c:pt>
              <c:pt idx="945">
                <c:v>Baldwin Bikes</c:v>
              </c:pt>
              <c:pt idx="946">
                <c:v>Baldwin Bikes</c:v>
              </c:pt>
              <c:pt idx="947">
                <c:v>Baldwin Bikes</c:v>
              </c:pt>
              <c:pt idx="948">
                <c:v>Baldwin Bikes</c:v>
              </c:pt>
              <c:pt idx="949">
                <c:v>Santa Cruz Bikes</c:v>
              </c:pt>
              <c:pt idx="950">
                <c:v>Santa Cruz Bikes</c:v>
              </c:pt>
              <c:pt idx="951">
                <c:v>Santa Cruz Bikes</c:v>
              </c:pt>
              <c:pt idx="952">
                <c:v>Santa Cruz Bikes</c:v>
              </c:pt>
              <c:pt idx="953">
                <c:v>Santa Cruz Bikes</c:v>
              </c:pt>
              <c:pt idx="954">
                <c:v>Baldwin Bikes</c:v>
              </c:pt>
              <c:pt idx="955">
                <c:v>Baldwin Bikes</c:v>
              </c:pt>
              <c:pt idx="956">
                <c:v>Baldwin Bikes</c:v>
              </c:pt>
              <c:pt idx="957">
                <c:v>Baldwin Bikes</c:v>
              </c:pt>
              <c:pt idx="958">
                <c:v>Baldwin Bikes</c:v>
              </c:pt>
              <c:pt idx="959">
                <c:v>Baldwin Bikes</c:v>
              </c:pt>
              <c:pt idx="960">
                <c:v>Baldwin Bikes</c:v>
              </c:pt>
              <c:pt idx="961">
                <c:v>Santa Cruz Bikes</c:v>
              </c:pt>
              <c:pt idx="962">
                <c:v>Baldwin Bikes</c:v>
              </c:pt>
              <c:pt idx="963">
                <c:v>Baldwin Bikes</c:v>
              </c:pt>
              <c:pt idx="964">
                <c:v>Baldwin Bikes</c:v>
              </c:pt>
              <c:pt idx="965">
                <c:v>Baldwin Bikes</c:v>
              </c:pt>
              <c:pt idx="966">
                <c:v>Baldwin Bikes</c:v>
              </c:pt>
              <c:pt idx="967">
                <c:v>Baldwin Bikes</c:v>
              </c:pt>
              <c:pt idx="968">
                <c:v>Baldwin Bikes</c:v>
              </c:pt>
              <c:pt idx="969">
                <c:v>Baldwin Bikes</c:v>
              </c:pt>
              <c:pt idx="970">
                <c:v>Baldwin Bikes</c:v>
              </c:pt>
              <c:pt idx="971">
                <c:v>Baldwin Bikes</c:v>
              </c:pt>
              <c:pt idx="972">
                <c:v>Baldwin Bikes</c:v>
              </c:pt>
              <c:pt idx="973">
                <c:v>Baldwin Bikes</c:v>
              </c:pt>
              <c:pt idx="974">
                <c:v>Rowlett Bikes</c:v>
              </c:pt>
              <c:pt idx="975">
                <c:v>Rowlett Bikes</c:v>
              </c:pt>
              <c:pt idx="976">
                <c:v>Rowlett Bikes</c:v>
              </c:pt>
              <c:pt idx="977">
                <c:v>Rowlett Bikes</c:v>
              </c:pt>
              <c:pt idx="978">
                <c:v>Rowlett Bikes</c:v>
              </c:pt>
              <c:pt idx="979">
                <c:v>Baldwin Bikes</c:v>
              </c:pt>
              <c:pt idx="980">
                <c:v>Rowlett Bikes</c:v>
              </c:pt>
              <c:pt idx="981">
                <c:v>Rowlett Bikes</c:v>
              </c:pt>
              <c:pt idx="982">
                <c:v>Santa Cruz Bikes</c:v>
              </c:pt>
              <c:pt idx="983">
                <c:v>Santa Cruz Bikes</c:v>
              </c:pt>
              <c:pt idx="984">
                <c:v>Santa Cruz Bikes</c:v>
              </c:pt>
              <c:pt idx="985">
                <c:v>Santa Cruz Bikes</c:v>
              </c:pt>
              <c:pt idx="986">
                <c:v>Santa Cruz Bikes</c:v>
              </c:pt>
              <c:pt idx="987">
                <c:v>Santa Cruz Bikes</c:v>
              </c:pt>
              <c:pt idx="988">
                <c:v>Santa Cruz Bikes</c:v>
              </c:pt>
              <c:pt idx="989">
                <c:v>Santa Cruz Bikes</c:v>
              </c:pt>
              <c:pt idx="990">
                <c:v>Baldwin Bikes</c:v>
              </c:pt>
              <c:pt idx="991">
                <c:v>Baldwin Bikes</c:v>
              </c:pt>
              <c:pt idx="992">
                <c:v>Baldwin Bikes</c:v>
              </c:pt>
              <c:pt idx="993">
                <c:v>Rowlett Bikes</c:v>
              </c:pt>
              <c:pt idx="994">
                <c:v>Rowlett Bikes</c:v>
              </c:pt>
              <c:pt idx="995">
                <c:v>Rowlett Bikes</c:v>
              </c:pt>
              <c:pt idx="996">
                <c:v>Rowlett Bikes</c:v>
              </c:pt>
              <c:pt idx="997">
                <c:v>Baldwin Bikes</c:v>
              </c:pt>
              <c:pt idx="998">
                <c:v>Baldwin Bikes</c:v>
              </c:pt>
              <c:pt idx="999">
                <c:v>Baldwin Bikes</c:v>
              </c:pt>
              <c:pt idx="1000">
                <c:v>Rowlett Bikes</c:v>
              </c:pt>
              <c:pt idx="1001">
                <c:v>Rowlett Bikes</c:v>
              </c:pt>
              <c:pt idx="1002">
                <c:v>Rowlett Bikes</c:v>
              </c:pt>
              <c:pt idx="1003">
                <c:v>Rowlett Bikes</c:v>
              </c:pt>
              <c:pt idx="1004">
                <c:v>Baldwin Bikes</c:v>
              </c:pt>
              <c:pt idx="1005">
                <c:v>Baldwin Bikes</c:v>
              </c:pt>
              <c:pt idx="1006">
                <c:v>Baldwin Bikes</c:v>
              </c:pt>
              <c:pt idx="1007">
                <c:v>Baldwin Bikes</c:v>
              </c:pt>
              <c:pt idx="1008">
                <c:v>Baldwin Bikes</c:v>
              </c:pt>
              <c:pt idx="1009">
                <c:v>Baldwin Bikes</c:v>
              </c:pt>
              <c:pt idx="1010">
                <c:v>Baldwin Bikes</c:v>
              </c:pt>
              <c:pt idx="1011">
                <c:v>Baldwin Bikes</c:v>
              </c:pt>
              <c:pt idx="1012">
                <c:v>Baldwin Bikes</c:v>
              </c:pt>
              <c:pt idx="1013">
                <c:v>Baldwin Bikes</c:v>
              </c:pt>
              <c:pt idx="1014">
                <c:v>Baldwin Bikes</c:v>
              </c:pt>
              <c:pt idx="1015">
                <c:v>Baldwin Bikes</c:v>
              </c:pt>
              <c:pt idx="1016">
                <c:v>Baldwin Bikes</c:v>
              </c:pt>
              <c:pt idx="1017">
                <c:v>Baldwin Bikes</c:v>
              </c:pt>
              <c:pt idx="1018">
                <c:v>Santa Cruz Bikes</c:v>
              </c:pt>
              <c:pt idx="1019">
                <c:v>Rowlett Bikes</c:v>
              </c:pt>
              <c:pt idx="1020">
                <c:v>Rowlett Bikes</c:v>
              </c:pt>
              <c:pt idx="1021">
                <c:v>Rowlett Bikes</c:v>
              </c:pt>
              <c:pt idx="1022">
                <c:v>Rowlett Bikes</c:v>
              </c:pt>
              <c:pt idx="1023">
                <c:v>Baldwin Bikes</c:v>
              </c:pt>
              <c:pt idx="1024">
                <c:v>Baldwin Bikes</c:v>
              </c:pt>
              <c:pt idx="1025">
                <c:v>Rowlett Bikes</c:v>
              </c:pt>
              <c:pt idx="1026">
                <c:v>Rowlett Bikes</c:v>
              </c:pt>
              <c:pt idx="1027">
                <c:v>Rowlett Bikes</c:v>
              </c:pt>
              <c:pt idx="1028">
                <c:v>Baldwin Bikes</c:v>
              </c:pt>
              <c:pt idx="1029">
                <c:v>Baldwin Bikes</c:v>
              </c:pt>
              <c:pt idx="1030">
                <c:v>Baldwin Bikes</c:v>
              </c:pt>
              <c:pt idx="1031">
                <c:v>Baldwin Bikes</c:v>
              </c:pt>
              <c:pt idx="1032">
                <c:v>Baldwin Bikes</c:v>
              </c:pt>
              <c:pt idx="1033">
                <c:v>Baldwin Bikes</c:v>
              </c:pt>
              <c:pt idx="1034">
                <c:v>Baldwin Bikes</c:v>
              </c:pt>
              <c:pt idx="1035">
                <c:v>Santa Cruz Bikes</c:v>
              </c:pt>
              <c:pt idx="1036">
                <c:v>Baldwin Bikes</c:v>
              </c:pt>
              <c:pt idx="1037">
                <c:v>Baldwin Bikes</c:v>
              </c:pt>
              <c:pt idx="1038">
                <c:v>Baldwin Bikes</c:v>
              </c:pt>
              <c:pt idx="1039">
                <c:v>Baldwin Bikes</c:v>
              </c:pt>
              <c:pt idx="1040">
                <c:v>Baldwin Bikes</c:v>
              </c:pt>
              <c:pt idx="1041">
                <c:v>Baldwin Bikes</c:v>
              </c:pt>
              <c:pt idx="1042">
                <c:v>Baldwin Bikes</c:v>
              </c:pt>
              <c:pt idx="1043">
                <c:v>Baldwin Bikes</c:v>
              </c:pt>
              <c:pt idx="1044">
                <c:v>Baldwin Bikes</c:v>
              </c:pt>
              <c:pt idx="1045">
                <c:v>Baldwin Bikes</c:v>
              </c:pt>
              <c:pt idx="1046">
                <c:v>Baldwin Bikes</c:v>
              </c:pt>
              <c:pt idx="1047">
                <c:v>Baldwin Bikes</c:v>
              </c:pt>
              <c:pt idx="1048">
                <c:v>Santa Cruz Bikes</c:v>
              </c:pt>
              <c:pt idx="1049">
                <c:v>Santa Cruz Bikes</c:v>
              </c:pt>
              <c:pt idx="1050">
                <c:v>Baldwin Bikes</c:v>
              </c:pt>
              <c:pt idx="1051">
                <c:v>Baldwin Bikes</c:v>
              </c:pt>
              <c:pt idx="1052">
                <c:v>Baldwin Bikes</c:v>
              </c:pt>
              <c:pt idx="1053">
                <c:v>Baldwin Bikes</c:v>
              </c:pt>
              <c:pt idx="1054">
                <c:v>Baldwin Bikes</c:v>
              </c:pt>
              <c:pt idx="1055">
                <c:v>Baldwin Bikes</c:v>
              </c:pt>
              <c:pt idx="1056">
                <c:v>Baldwin Bikes</c:v>
              </c:pt>
              <c:pt idx="1057">
                <c:v>Baldwin Bikes</c:v>
              </c:pt>
              <c:pt idx="1058">
                <c:v>Rowlett Bikes</c:v>
              </c:pt>
              <c:pt idx="1059">
                <c:v>Baldwin Bikes</c:v>
              </c:pt>
              <c:pt idx="1060">
                <c:v>Baldwin Bikes</c:v>
              </c:pt>
              <c:pt idx="1061">
                <c:v>Baldwin Bikes</c:v>
              </c:pt>
              <c:pt idx="1062">
                <c:v>Baldwin Bikes</c:v>
              </c:pt>
              <c:pt idx="1063">
                <c:v>Baldwin Bikes</c:v>
              </c:pt>
              <c:pt idx="1064">
                <c:v>Baldwin Bikes</c:v>
              </c:pt>
              <c:pt idx="1065">
                <c:v>Baldwin Bikes</c:v>
              </c:pt>
              <c:pt idx="1066">
                <c:v>Baldwin Bikes</c:v>
              </c:pt>
              <c:pt idx="1067">
                <c:v>Baldwin Bikes</c:v>
              </c:pt>
              <c:pt idx="1068">
                <c:v>Baldwin Bikes</c:v>
              </c:pt>
              <c:pt idx="1069">
                <c:v>Baldwin Bikes</c:v>
              </c:pt>
              <c:pt idx="1070">
                <c:v>Baldwin Bikes</c:v>
              </c:pt>
              <c:pt idx="1071">
                <c:v>Baldwin Bikes</c:v>
              </c:pt>
              <c:pt idx="1072">
                <c:v>Baldwin Bikes</c:v>
              </c:pt>
              <c:pt idx="1073">
                <c:v>Baldwin Bikes</c:v>
              </c:pt>
              <c:pt idx="1074">
                <c:v>Baldwin Bikes</c:v>
              </c:pt>
              <c:pt idx="1075">
                <c:v>Baldwin Bikes</c:v>
              </c:pt>
              <c:pt idx="1076">
                <c:v>Baldwin Bikes</c:v>
              </c:pt>
              <c:pt idx="1077">
                <c:v>Baldwin Bikes</c:v>
              </c:pt>
              <c:pt idx="1078">
                <c:v>Baldwin Bikes</c:v>
              </c:pt>
              <c:pt idx="1079">
                <c:v>Baldwin Bikes</c:v>
              </c:pt>
              <c:pt idx="1080">
                <c:v>Baldwin Bikes</c:v>
              </c:pt>
              <c:pt idx="1081">
                <c:v>Baldwin Bikes</c:v>
              </c:pt>
              <c:pt idx="1082">
                <c:v>Baldwin Bikes</c:v>
              </c:pt>
              <c:pt idx="1083">
                <c:v>Rowlett Bikes</c:v>
              </c:pt>
              <c:pt idx="1084">
                <c:v>Rowlett Bikes</c:v>
              </c:pt>
              <c:pt idx="1085">
                <c:v>Rowlett Bikes</c:v>
              </c:pt>
              <c:pt idx="1086">
                <c:v>Rowlett Bikes</c:v>
              </c:pt>
              <c:pt idx="1087">
                <c:v>Rowlett Bikes</c:v>
              </c:pt>
              <c:pt idx="1088">
                <c:v>Santa Cruz Bikes</c:v>
              </c:pt>
              <c:pt idx="1089">
                <c:v>Santa Cruz Bikes</c:v>
              </c:pt>
              <c:pt idx="1090">
                <c:v>Santa Cruz Bikes</c:v>
              </c:pt>
              <c:pt idx="1091">
                <c:v>Santa Cruz Bikes</c:v>
              </c:pt>
              <c:pt idx="1092">
                <c:v>Santa Cruz Bikes</c:v>
              </c:pt>
              <c:pt idx="1093">
                <c:v>Rowlett Bikes</c:v>
              </c:pt>
              <c:pt idx="1094">
                <c:v>Rowlett Bikes</c:v>
              </c:pt>
              <c:pt idx="1095">
                <c:v>Rowlett Bikes</c:v>
              </c:pt>
              <c:pt idx="1096">
                <c:v>Rowlett Bikes</c:v>
              </c:pt>
              <c:pt idx="1097">
                <c:v>Rowlett Bikes</c:v>
              </c:pt>
              <c:pt idx="1098">
                <c:v>Rowlett Bikes</c:v>
              </c:pt>
              <c:pt idx="1099">
                <c:v>Santa Cruz Bikes</c:v>
              </c:pt>
              <c:pt idx="1100">
                <c:v>Santa Cruz Bikes</c:v>
              </c:pt>
              <c:pt idx="1101">
                <c:v>Baldwin Bikes</c:v>
              </c:pt>
              <c:pt idx="1102">
                <c:v>Santa Cruz Bikes</c:v>
              </c:pt>
              <c:pt idx="1103">
                <c:v>Santa Cruz Bikes</c:v>
              </c:pt>
              <c:pt idx="1104">
                <c:v>Santa Cruz Bikes</c:v>
              </c:pt>
              <c:pt idx="1105">
                <c:v>Baldwin Bikes</c:v>
              </c:pt>
              <c:pt idx="1106">
                <c:v>Baldwin Bikes</c:v>
              </c:pt>
              <c:pt idx="1107">
                <c:v>Baldwin Bikes</c:v>
              </c:pt>
              <c:pt idx="1108">
                <c:v>Baldwin Bikes</c:v>
              </c:pt>
              <c:pt idx="1109">
                <c:v>Baldwin Bikes</c:v>
              </c:pt>
              <c:pt idx="1110">
                <c:v>Santa Cruz Bikes</c:v>
              </c:pt>
              <c:pt idx="1111">
                <c:v>Santa Cruz Bikes</c:v>
              </c:pt>
              <c:pt idx="1112">
                <c:v>Santa Cruz Bikes</c:v>
              </c:pt>
              <c:pt idx="1113">
                <c:v>Santa Cruz Bikes</c:v>
              </c:pt>
              <c:pt idx="1114">
                <c:v>Baldwin Bikes</c:v>
              </c:pt>
              <c:pt idx="1115">
                <c:v>Baldwin Bikes</c:v>
              </c:pt>
              <c:pt idx="1116">
                <c:v>Baldwin Bikes</c:v>
              </c:pt>
              <c:pt idx="1117">
                <c:v>Baldwin Bikes</c:v>
              </c:pt>
              <c:pt idx="1118">
                <c:v>Baldwin Bikes</c:v>
              </c:pt>
              <c:pt idx="1119">
                <c:v>Baldwin Bikes</c:v>
              </c:pt>
              <c:pt idx="1120">
                <c:v>Baldwin Bikes</c:v>
              </c:pt>
              <c:pt idx="1121">
                <c:v>Baldwin Bikes</c:v>
              </c:pt>
              <c:pt idx="1122">
                <c:v>Baldwin Bikes</c:v>
              </c:pt>
              <c:pt idx="1123">
                <c:v>Baldwin Bikes</c:v>
              </c:pt>
              <c:pt idx="1124">
                <c:v>Baldwin Bikes</c:v>
              </c:pt>
              <c:pt idx="1125">
                <c:v>Santa Cruz Bikes</c:v>
              </c:pt>
              <c:pt idx="1126">
                <c:v>Santa Cruz Bikes</c:v>
              </c:pt>
              <c:pt idx="1127">
                <c:v>Santa Cruz Bikes</c:v>
              </c:pt>
              <c:pt idx="1128">
                <c:v>Santa Cruz Bikes</c:v>
              </c:pt>
              <c:pt idx="1129">
                <c:v>Baldwin Bikes</c:v>
              </c:pt>
              <c:pt idx="1130">
                <c:v>Baldwin Bikes</c:v>
              </c:pt>
              <c:pt idx="1131">
                <c:v>Baldwin Bikes</c:v>
              </c:pt>
              <c:pt idx="1132">
                <c:v>Baldwin Bikes</c:v>
              </c:pt>
              <c:pt idx="1133">
                <c:v>Baldwin Bikes</c:v>
              </c:pt>
              <c:pt idx="1134">
                <c:v>Baldwin Bikes</c:v>
              </c:pt>
              <c:pt idx="1135">
                <c:v>Baldwin Bikes</c:v>
              </c:pt>
              <c:pt idx="1136">
                <c:v>Rowlett Bikes</c:v>
              </c:pt>
              <c:pt idx="1137">
                <c:v>Rowlett Bikes</c:v>
              </c:pt>
              <c:pt idx="1138">
                <c:v>Santa Cruz Bikes</c:v>
              </c:pt>
              <c:pt idx="1139">
                <c:v>Santa Cruz Bikes</c:v>
              </c:pt>
              <c:pt idx="1140">
                <c:v>Santa Cruz Bikes</c:v>
              </c:pt>
              <c:pt idx="1141">
                <c:v>Santa Cruz Bikes</c:v>
              </c:pt>
              <c:pt idx="1142">
                <c:v>Baldwin Bikes</c:v>
              </c:pt>
              <c:pt idx="1143">
                <c:v>Baldwin Bikes</c:v>
              </c:pt>
              <c:pt idx="1144">
                <c:v>Baldwin Bikes</c:v>
              </c:pt>
              <c:pt idx="1145">
                <c:v>Baldwin Bikes</c:v>
              </c:pt>
              <c:pt idx="1146">
                <c:v>Baldwin Bikes</c:v>
              </c:pt>
              <c:pt idx="1147">
                <c:v>Baldwin Bikes</c:v>
              </c:pt>
              <c:pt idx="1148">
                <c:v>Santa Cruz Bikes</c:v>
              </c:pt>
              <c:pt idx="1149">
                <c:v>Santa Cruz Bikes</c:v>
              </c:pt>
              <c:pt idx="1150">
                <c:v>Santa Cruz Bikes</c:v>
              </c:pt>
              <c:pt idx="1151">
                <c:v>Santa Cruz Bikes</c:v>
              </c:pt>
              <c:pt idx="1152">
                <c:v>Santa Cruz Bikes</c:v>
              </c:pt>
              <c:pt idx="1153">
                <c:v>Baldwin Bikes</c:v>
              </c:pt>
              <c:pt idx="1154">
                <c:v>Baldwin Bikes</c:v>
              </c:pt>
              <c:pt idx="1155">
                <c:v>Baldwin Bikes</c:v>
              </c:pt>
              <c:pt idx="1156">
                <c:v>Baldwin Bikes</c:v>
              </c:pt>
              <c:pt idx="1157">
                <c:v>Baldwin Bikes</c:v>
              </c:pt>
              <c:pt idx="1158">
                <c:v>Baldwin Bikes</c:v>
              </c:pt>
              <c:pt idx="1159">
                <c:v>Baldwin Bikes</c:v>
              </c:pt>
              <c:pt idx="1160">
                <c:v>Baldwin Bikes</c:v>
              </c:pt>
              <c:pt idx="1161">
                <c:v>Baldwin Bikes</c:v>
              </c:pt>
              <c:pt idx="1162">
                <c:v>Baldwin Bikes</c:v>
              </c:pt>
              <c:pt idx="1163">
                <c:v>Baldwin Bikes</c:v>
              </c:pt>
              <c:pt idx="1164">
                <c:v>Santa Cruz Bikes</c:v>
              </c:pt>
              <c:pt idx="1165">
                <c:v>Santa Cruz Bikes</c:v>
              </c:pt>
              <c:pt idx="1166">
                <c:v>Baldwin Bikes</c:v>
              </c:pt>
              <c:pt idx="1167">
                <c:v>Baldwin Bikes</c:v>
              </c:pt>
              <c:pt idx="1168">
                <c:v>Rowlett Bikes</c:v>
              </c:pt>
              <c:pt idx="1169">
                <c:v>Santa Cruz Bikes</c:v>
              </c:pt>
              <c:pt idx="1170">
                <c:v>Santa Cruz Bikes</c:v>
              </c:pt>
              <c:pt idx="1171">
                <c:v>Santa Cruz Bikes</c:v>
              </c:pt>
              <c:pt idx="1172">
                <c:v>Santa Cruz Bikes</c:v>
              </c:pt>
              <c:pt idx="1173">
                <c:v>Santa Cruz Bikes</c:v>
              </c:pt>
              <c:pt idx="1174">
                <c:v>Santa Cruz Bikes</c:v>
              </c:pt>
              <c:pt idx="1175">
                <c:v>Santa Cruz Bikes</c:v>
              </c:pt>
              <c:pt idx="1176">
                <c:v>Santa Cruz Bikes</c:v>
              </c:pt>
              <c:pt idx="1177">
                <c:v>Baldwin Bikes</c:v>
              </c:pt>
              <c:pt idx="1178">
                <c:v>Baldwin Bikes</c:v>
              </c:pt>
              <c:pt idx="1179">
                <c:v>Baldwin Bikes</c:v>
              </c:pt>
              <c:pt idx="1180">
                <c:v>Baldwin Bikes</c:v>
              </c:pt>
              <c:pt idx="1181">
                <c:v>Baldwin Bikes</c:v>
              </c:pt>
              <c:pt idx="1182">
                <c:v>Santa Cruz Bikes</c:v>
              </c:pt>
              <c:pt idx="1183">
                <c:v>Santa Cruz Bikes</c:v>
              </c:pt>
              <c:pt idx="1184">
                <c:v>Baldwin Bikes</c:v>
              </c:pt>
              <c:pt idx="1185">
                <c:v>Baldwin Bikes</c:v>
              </c:pt>
              <c:pt idx="1186">
                <c:v>Baldwin Bikes</c:v>
              </c:pt>
              <c:pt idx="1187">
                <c:v>Baldwin Bikes</c:v>
              </c:pt>
              <c:pt idx="1188">
                <c:v>Baldwin Bikes</c:v>
              </c:pt>
              <c:pt idx="1189">
                <c:v>Santa Cruz Bikes</c:v>
              </c:pt>
              <c:pt idx="1190">
                <c:v>Santa Cruz Bikes</c:v>
              </c:pt>
              <c:pt idx="1191">
                <c:v>Santa Cruz Bikes</c:v>
              </c:pt>
              <c:pt idx="1192">
                <c:v>Baldwin Bikes</c:v>
              </c:pt>
              <c:pt idx="1193">
                <c:v>Baldwin Bikes</c:v>
              </c:pt>
              <c:pt idx="1194">
                <c:v>Rowlett Bikes</c:v>
              </c:pt>
              <c:pt idx="1195">
                <c:v>Rowlett Bikes</c:v>
              </c:pt>
              <c:pt idx="1196">
                <c:v>Rowlett Bikes</c:v>
              </c:pt>
              <c:pt idx="1197">
                <c:v>Rowlett Bikes</c:v>
              </c:pt>
              <c:pt idx="1198">
                <c:v>Rowlett Bikes</c:v>
              </c:pt>
              <c:pt idx="1199">
                <c:v>Baldwin Bikes</c:v>
              </c:pt>
              <c:pt idx="1200">
                <c:v>Baldwin Bikes</c:v>
              </c:pt>
              <c:pt idx="1201">
                <c:v>Baldwin Bikes</c:v>
              </c:pt>
              <c:pt idx="1202">
                <c:v>Baldwin Bikes</c:v>
              </c:pt>
              <c:pt idx="1203">
                <c:v>Baldwin Bikes</c:v>
              </c:pt>
              <c:pt idx="1204">
                <c:v>Baldwin Bikes</c:v>
              </c:pt>
              <c:pt idx="1205">
                <c:v>Baldwin Bikes</c:v>
              </c:pt>
              <c:pt idx="1206">
                <c:v>Baldwin Bikes</c:v>
              </c:pt>
              <c:pt idx="1207">
                <c:v>Baldwin Bikes</c:v>
              </c:pt>
              <c:pt idx="1208">
                <c:v>Baldwin Bikes</c:v>
              </c:pt>
              <c:pt idx="1209">
                <c:v>Santa Cruz Bikes</c:v>
              </c:pt>
              <c:pt idx="1210">
                <c:v>Santa Cruz Bikes</c:v>
              </c:pt>
              <c:pt idx="1211">
                <c:v>Baldwin Bikes</c:v>
              </c:pt>
              <c:pt idx="1212">
                <c:v>Baldwin Bikes</c:v>
              </c:pt>
              <c:pt idx="1213">
                <c:v>Baldwin Bikes</c:v>
              </c:pt>
              <c:pt idx="1214">
                <c:v>Baldwin Bikes</c:v>
              </c:pt>
              <c:pt idx="1215">
                <c:v>Baldwin Bikes</c:v>
              </c:pt>
              <c:pt idx="1216">
                <c:v>Baldwin Bikes</c:v>
              </c:pt>
              <c:pt idx="1217">
                <c:v>Baldwin Bikes</c:v>
              </c:pt>
              <c:pt idx="1218">
                <c:v>Baldwin Bikes</c:v>
              </c:pt>
              <c:pt idx="1219">
                <c:v>Baldwin Bikes</c:v>
              </c:pt>
              <c:pt idx="1220">
                <c:v>Rowlett Bikes</c:v>
              </c:pt>
              <c:pt idx="1221">
                <c:v>Rowlett Bikes</c:v>
              </c:pt>
              <c:pt idx="1222">
                <c:v>Rowlett Bikes</c:v>
              </c:pt>
              <c:pt idx="1223">
                <c:v>Baldwin Bikes</c:v>
              </c:pt>
              <c:pt idx="1224">
                <c:v>Baldwin Bikes</c:v>
              </c:pt>
              <c:pt idx="1225">
                <c:v>Baldwin Bikes</c:v>
              </c:pt>
              <c:pt idx="1226">
                <c:v>Baldwin Bikes</c:v>
              </c:pt>
              <c:pt idx="1227">
                <c:v>Baldwin Bikes</c:v>
              </c:pt>
              <c:pt idx="1228">
                <c:v>Rowlett Bikes</c:v>
              </c:pt>
              <c:pt idx="1229">
                <c:v>Rowlett Bikes</c:v>
              </c:pt>
              <c:pt idx="1230">
                <c:v>Rowlett Bikes</c:v>
              </c:pt>
              <c:pt idx="1231">
                <c:v>Rowlett Bikes</c:v>
              </c:pt>
              <c:pt idx="1232">
                <c:v>Baldwin Bikes</c:v>
              </c:pt>
              <c:pt idx="1233">
                <c:v>Baldwin Bikes</c:v>
              </c:pt>
              <c:pt idx="1234">
                <c:v>Baldwin Bikes</c:v>
              </c:pt>
              <c:pt idx="1235">
                <c:v>Baldwin Bikes</c:v>
              </c:pt>
              <c:pt idx="1236">
                <c:v>Santa Cruz Bikes</c:v>
              </c:pt>
              <c:pt idx="1237">
                <c:v>Santa Cruz Bikes</c:v>
              </c:pt>
              <c:pt idx="1238">
                <c:v>Baldwin Bikes</c:v>
              </c:pt>
              <c:pt idx="1239">
                <c:v>Baldwin Bikes</c:v>
              </c:pt>
              <c:pt idx="1240">
                <c:v>Baldwin Bikes</c:v>
              </c:pt>
              <c:pt idx="1241">
                <c:v>Baldwin Bikes</c:v>
              </c:pt>
              <c:pt idx="1242">
                <c:v>Baldwin Bikes</c:v>
              </c:pt>
              <c:pt idx="1243">
                <c:v>Santa Cruz Bikes</c:v>
              </c:pt>
              <c:pt idx="1244">
                <c:v>Santa Cruz Bikes</c:v>
              </c:pt>
              <c:pt idx="1245">
                <c:v>Santa Cruz Bikes</c:v>
              </c:pt>
              <c:pt idx="1246">
                <c:v>Santa Cruz Bikes</c:v>
              </c:pt>
              <c:pt idx="1247">
                <c:v>Santa Cruz Bikes</c:v>
              </c:pt>
              <c:pt idx="1248">
                <c:v>Baldwin Bikes</c:v>
              </c:pt>
              <c:pt idx="1249">
                <c:v>Baldwin Bikes</c:v>
              </c:pt>
              <c:pt idx="1250">
                <c:v>Baldwin Bikes</c:v>
              </c:pt>
              <c:pt idx="1251">
                <c:v>Baldwin Bikes</c:v>
              </c:pt>
              <c:pt idx="1252">
                <c:v>Baldwin Bikes</c:v>
              </c:pt>
              <c:pt idx="1253">
                <c:v>Rowlett Bikes</c:v>
              </c:pt>
              <c:pt idx="1254">
                <c:v>Rowlett Bikes</c:v>
              </c:pt>
              <c:pt idx="1255">
                <c:v>Rowlett Bikes</c:v>
              </c:pt>
              <c:pt idx="1256">
                <c:v>Baldwin Bikes</c:v>
              </c:pt>
              <c:pt idx="1257">
                <c:v>Baldwin Bikes</c:v>
              </c:pt>
              <c:pt idx="1258">
                <c:v>Baldwin Bikes</c:v>
              </c:pt>
              <c:pt idx="1259">
                <c:v>Baldwin Bikes</c:v>
              </c:pt>
              <c:pt idx="1260">
                <c:v>Baldwin Bikes</c:v>
              </c:pt>
              <c:pt idx="1261">
                <c:v>Baldwin Bikes</c:v>
              </c:pt>
              <c:pt idx="1262">
                <c:v>Baldwin Bikes</c:v>
              </c:pt>
              <c:pt idx="1263">
                <c:v>Baldwin Bikes</c:v>
              </c:pt>
              <c:pt idx="1264">
                <c:v>Baldwin Bikes</c:v>
              </c:pt>
              <c:pt idx="1265">
                <c:v>Baldwin Bikes</c:v>
              </c:pt>
              <c:pt idx="1266">
                <c:v>Baldwin Bikes</c:v>
              </c:pt>
              <c:pt idx="1267">
                <c:v>Baldwin Bikes</c:v>
              </c:pt>
              <c:pt idx="1268">
                <c:v>Baldwin Bikes</c:v>
              </c:pt>
              <c:pt idx="1269">
                <c:v>Baldwin Bikes</c:v>
              </c:pt>
              <c:pt idx="1270">
                <c:v>Baldwin Bikes</c:v>
              </c:pt>
              <c:pt idx="1271">
                <c:v>Baldwin Bikes</c:v>
              </c:pt>
              <c:pt idx="1272">
                <c:v>Baldwin Bikes</c:v>
              </c:pt>
              <c:pt idx="1273">
                <c:v>Baldwin Bikes</c:v>
              </c:pt>
              <c:pt idx="1274">
                <c:v>Baldwin Bikes</c:v>
              </c:pt>
              <c:pt idx="1275">
                <c:v>Baldwin Bikes</c:v>
              </c:pt>
              <c:pt idx="1276">
                <c:v>Baldwin Bikes</c:v>
              </c:pt>
              <c:pt idx="1277">
                <c:v>Rowlett Bikes</c:v>
              </c:pt>
              <c:pt idx="1278">
                <c:v>Rowlett Bikes</c:v>
              </c:pt>
              <c:pt idx="1279">
                <c:v>Santa Cruz Bikes</c:v>
              </c:pt>
              <c:pt idx="1280">
                <c:v>Santa Cruz Bikes</c:v>
              </c:pt>
              <c:pt idx="1281">
                <c:v>Santa Cruz Bikes</c:v>
              </c:pt>
              <c:pt idx="1282">
                <c:v>Santa Cruz Bikes</c:v>
              </c:pt>
              <c:pt idx="1283">
                <c:v>Baldwin Bikes</c:v>
              </c:pt>
              <c:pt idx="1284">
                <c:v>Baldwin Bikes</c:v>
              </c:pt>
              <c:pt idx="1285">
                <c:v>Baldwin Bikes</c:v>
              </c:pt>
              <c:pt idx="1286">
                <c:v>Baldwin Bikes</c:v>
              </c:pt>
              <c:pt idx="1287">
                <c:v>Baldwin Bikes</c:v>
              </c:pt>
              <c:pt idx="1288">
                <c:v>Baldwin Bikes</c:v>
              </c:pt>
              <c:pt idx="1289">
                <c:v>Rowlett Bikes</c:v>
              </c:pt>
              <c:pt idx="1290">
                <c:v>Rowlett Bikes</c:v>
              </c:pt>
              <c:pt idx="1291">
                <c:v>Rowlett Bikes</c:v>
              </c:pt>
              <c:pt idx="1292">
                <c:v>Rowlett Bikes</c:v>
              </c:pt>
              <c:pt idx="1293">
                <c:v>Baldwin Bikes</c:v>
              </c:pt>
              <c:pt idx="1294">
                <c:v>Baldwin Bikes</c:v>
              </c:pt>
              <c:pt idx="1295">
                <c:v>Baldwin Bikes</c:v>
              </c:pt>
              <c:pt idx="1296">
                <c:v>Baldwin Bikes</c:v>
              </c:pt>
              <c:pt idx="1297">
                <c:v>Baldwin Bikes</c:v>
              </c:pt>
              <c:pt idx="1298">
                <c:v>Baldwin Bikes</c:v>
              </c:pt>
              <c:pt idx="1299">
                <c:v>Rowlett Bikes</c:v>
              </c:pt>
              <c:pt idx="1300">
                <c:v>Baldwin Bikes</c:v>
              </c:pt>
              <c:pt idx="1301">
                <c:v>Baldwin Bikes</c:v>
              </c:pt>
              <c:pt idx="1302">
                <c:v>Baldwin Bikes</c:v>
              </c:pt>
              <c:pt idx="1303">
                <c:v>Baldwin Bikes</c:v>
              </c:pt>
              <c:pt idx="1304">
                <c:v>Baldwin Bikes</c:v>
              </c:pt>
              <c:pt idx="1305">
                <c:v>Baldwin Bikes</c:v>
              </c:pt>
              <c:pt idx="1306">
                <c:v>Baldwin Bikes</c:v>
              </c:pt>
              <c:pt idx="1307">
                <c:v>Baldwin Bikes</c:v>
              </c:pt>
              <c:pt idx="1308">
                <c:v>Rowlett Bikes</c:v>
              </c:pt>
              <c:pt idx="1309">
                <c:v>Rowlett Bikes</c:v>
              </c:pt>
              <c:pt idx="1310">
                <c:v>Rowlett Bikes</c:v>
              </c:pt>
              <c:pt idx="1311">
                <c:v>Rowlett Bikes</c:v>
              </c:pt>
              <c:pt idx="1312">
                <c:v>Rowlett Bikes</c:v>
              </c:pt>
              <c:pt idx="1313">
                <c:v>Santa Cruz Bikes</c:v>
              </c:pt>
              <c:pt idx="1314">
                <c:v>Santa Cruz Bikes</c:v>
              </c:pt>
              <c:pt idx="1315">
                <c:v>Santa Cruz Bikes</c:v>
              </c:pt>
              <c:pt idx="1316">
                <c:v>Santa Cruz Bikes</c:v>
              </c:pt>
              <c:pt idx="1317">
                <c:v>Baldwin Bikes</c:v>
              </c:pt>
              <c:pt idx="1318">
                <c:v>Baldwin Bikes</c:v>
              </c:pt>
              <c:pt idx="1319">
                <c:v>Baldwin Bikes</c:v>
              </c:pt>
              <c:pt idx="1320">
                <c:v>Santa Cruz Bikes</c:v>
              </c:pt>
              <c:pt idx="1321">
                <c:v>Santa Cruz Bikes</c:v>
              </c:pt>
              <c:pt idx="1322">
                <c:v>Santa Cruz Bikes</c:v>
              </c:pt>
              <c:pt idx="1323">
                <c:v>Santa Cruz Bikes</c:v>
              </c:pt>
              <c:pt idx="1324">
                <c:v>Santa Cruz Bikes</c:v>
              </c:pt>
              <c:pt idx="1325">
                <c:v>Baldwin Bikes</c:v>
              </c:pt>
              <c:pt idx="1326">
                <c:v>Baldwin Bikes</c:v>
              </c:pt>
              <c:pt idx="1327">
                <c:v>Baldwin Bikes</c:v>
              </c:pt>
              <c:pt idx="1328">
                <c:v>Santa Cruz Bikes</c:v>
              </c:pt>
              <c:pt idx="1329">
                <c:v>Santa Cruz Bikes</c:v>
              </c:pt>
              <c:pt idx="1330">
                <c:v>Baldwin Bikes</c:v>
              </c:pt>
              <c:pt idx="1331">
                <c:v>Baldwin Bikes</c:v>
              </c:pt>
              <c:pt idx="1332">
                <c:v>Baldwin Bikes</c:v>
              </c:pt>
              <c:pt idx="1333">
                <c:v>Baldwin Bikes</c:v>
              </c:pt>
              <c:pt idx="1334">
                <c:v>Baldwin Bikes</c:v>
              </c:pt>
              <c:pt idx="1335">
                <c:v>Baldwin Bikes</c:v>
              </c:pt>
              <c:pt idx="1336">
                <c:v>Baldwin Bikes</c:v>
              </c:pt>
              <c:pt idx="1337">
                <c:v>Santa Cruz Bikes</c:v>
              </c:pt>
              <c:pt idx="1338">
                <c:v>Santa Cruz Bikes</c:v>
              </c:pt>
              <c:pt idx="1339">
                <c:v>Baldwin Bikes</c:v>
              </c:pt>
              <c:pt idx="1340">
                <c:v>Baldwin Bikes</c:v>
              </c:pt>
              <c:pt idx="1341">
                <c:v>Baldwin Bikes</c:v>
              </c:pt>
              <c:pt idx="1342">
                <c:v>Baldwin Bikes</c:v>
              </c:pt>
              <c:pt idx="1343">
                <c:v>Baldwin Bikes</c:v>
              </c:pt>
              <c:pt idx="1344">
                <c:v>Baldwin Bikes</c:v>
              </c:pt>
              <c:pt idx="1345">
                <c:v>Santa Cruz Bikes</c:v>
              </c:pt>
              <c:pt idx="1346">
                <c:v>Santa Cruz Bikes</c:v>
              </c:pt>
              <c:pt idx="1347">
                <c:v>Santa Cruz Bikes</c:v>
              </c:pt>
              <c:pt idx="1348">
                <c:v>Rowlett Bikes</c:v>
              </c:pt>
              <c:pt idx="1349">
                <c:v>Rowlett Bikes</c:v>
              </c:pt>
              <c:pt idx="1350">
                <c:v>Rowlett Bikes</c:v>
              </c:pt>
              <c:pt idx="1351">
                <c:v>Baldwin Bikes</c:v>
              </c:pt>
              <c:pt idx="1352">
                <c:v>Baldwin Bikes</c:v>
              </c:pt>
              <c:pt idx="1353">
                <c:v>Santa Cruz Bikes</c:v>
              </c:pt>
              <c:pt idx="1354">
                <c:v>Baldwin Bikes</c:v>
              </c:pt>
              <c:pt idx="1355">
                <c:v>Baldwin Bikes</c:v>
              </c:pt>
              <c:pt idx="1356">
                <c:v>Baldwin Bikes</c:v>
              </c:pt>
              <c:pt idx="1357">
                <c:v>Baldwin Bikes</c:v>
              </c:pt>
              <c:pt idx="1358">
                <c:v>Baldwin Bikes</c:v>
              </c:pt>
              <c:pt idx="1359">
                <c:v>Baldwin Bikes</c:v>
              </c:pt>
              <c:pt idx="1360">
                <c:v>Baldwin Bikes</c:v>
              </c:pt>
              <c:pt idx="1361">
                <c:v>Baldwin Bikes</c:v>
              </c:pt>
              <c:pt idx="1362">
                <c:v>Baldwin Bikes</c:v>
              </c:pt>
              <c:pt idx="1363">
                <c:v>Baldwin Bikes</c:v>
              </c:pt>
              <c:pt idx="1364">
                <c:v>Baldwin Bikes</c:v>
              </c:pt>
              <c:pt idx="1365">
                <c:v>Baldwin Bikes</c:v>
              </c:pt>
              <c:pt idx="1366">
                <c:v>Rowlett Bikes</c:v>
              </c:pt>
              <c:pt idx="1367">
                <c:v>Baldwin Bikes</c:v>
              </c:pt>
              <c:pt idx="1368">
                <c:v>Baldwin Bikes</c:v>
              </c:pt>
              <c:pt idx="1369">
                <c:v>Baldwin Bikes</c:v>
              </c:pt>
              <c:pt idx="1370">
                <c:v>Baldwin Bikes</c:v>
              </c:pt>
              <c:pt idx="1371">
                <c:v>Santa Cruz Bikes</c:v>
              </c:pt>
              <c:pt idx="1372">
                <c:v>Santa Cruz Bikes</c:v>
              </c:pt>
              <c:pt idx="1373">
                <c:v>Santa Cruz Bikes</c:v>
              </c:pt>
              <c:pt idx="1374">
                <c:v>Santa Cruz Bikes</c:v>
              </c:pt>
              <c:pt idx="1375">
                <c:v>Santa Cruz Bikes</c:v>
              </c:pt>
              <c:pt idx="1376">
                <c:v>Santa Cruz Bikes</c:v>
              </c:pt>
              <c:pt idx="1377">
                <c:v>Santa Cruz Bikes</c:v>
              </c:pt>
              <c:pt idx="1378">
                <c:v>Santa Cruz Bikes</c:v>
              </c:pt>
              <c:pt idx="1379">
                <c:v>Santa Cruz Bikes</c:v>
              </c:pt>
              <c:pt idx="1380">
                <c:v>Baldwin Bikes</c:v>
              </c:pt>
              <c:pt idx="1381">
                <c:v>Santa Cruz Bikes</c:v>
              </c:pt>
              <c:pt idx="1382">
                <c:v>Santa Cruz Bikes</c:v>
              </c:pt>
              <c:pt idx="1383">
                <c:v>Baldwin Bikes</c:v>
              </c:pt>
              <c:pt idx="1384">
                <c:v>Baldwin Bikes</c:v>
              </c:pt>
              <c:pt idx="1385">
                <c:v>Baldwin Bikes</c:v>
              </c:pt>
              <c:pt idx="1386">
                <c:v>Baldwin Bikes</c:v>
              </c:pt>
              <c:pt idx="1387">
                <c:v>Baldwin Bikes</c:v>
              </c:pt>
              <c:pt idx="1388">
                <c:v>Baldwin Bikes</c:v>
              </c:pt>
              <c:pt idx="1389">
                <c:v>Baldwin Bikes</c:v>
              </c:pt>
              <c:pt idx="1390">
                <c:v>Santa Cruz Bikes</c:v>
              </c:pt>
              <c:pt idx="1391">
                <c:v>Santa Cruz Bikes</c:v>
              </c:pt>
              <c:pt idx="1392">
                <c:v>Santa Cruz Bikes</c:v>
              </c:pt>
              <c:pt idx="1393">
                <c:v>Santa Cruz Bikes</c:v>
              </c:pt>
              <c:pt idx="1394">
                <c:v>Baldwin Bikes</c:v>
              </c:pt>
              <c:pt idx="1395">
                <c:v>Baldwin Bikes</c:v>
              </c:pt>
              <c:pt idx="1396">
                <c:v>Baldwin Bikes</c:v>
              </c:pt>
              <c:pt idx="1397">
                <c:v>Baldwin Bikes</c:v>
              </c:pt>
              <c:pt idx="1398">
                <c:v>Baldwin Bikes</c:v>
              </c:pt>
              <c:pt idx="1399">
                <c:v>Baldwin Bikes</c:v>
              </c:pt>
              <c:pt idx="1400">
                <c:v>Rowlett Bikes</c:v>
              </c:pt>
              <c:pt idx="1401">
                <c:v>Baldwin Bikes</c:v>
              </c:pt>
              <c:pt idx="1402">
                <c:v>Baldwin Bikes</c:v>
              </c:pt>
              <c:pt idx="1403">
                <c:v>Santa Cruz Bikes</c:v>
              </c:pt>
              <c:pt idx="1404">
                <c:v>Santa Cruz Bikes</c:v>
              </c:pt>
              <c:pt idx="1405">
                <c:v>Baldwin Bikes</c:v>
              </c:pt>
              <c:pt idx="1406">
                <c:v>Baldwin Bikes</c:v>
              </c:pt>
              <c:pt idx="1407">
                <c:v>Baldwin Bikes</c:v>
              </c:pt>
              <c:pt idx="1408">
                <c:v>Santa Cruz Bikes</c:v>
              </c:pt>
              <c:pt idx="1409">
                <c:v>Santa Cruz Bikes</c:v>
              </c:pt>
              <c:pt idx="1410">
                <c:v>Santa Cruz Bikes</c:v>
              </c:pt>
              <c:pt idx="1411">
                <c:v>Baldwin Bikes</c:v>
              </c:pt>
              <c:pt idx="1412">
                <c:v>Baldwin Bikes</c:v>
              </c:pt>
              <c:pt idx="1413">
                <c:v>Baldwin Bikes</c:v>
              </c:pt>
              <c:pt idx="1414">
                <c:v>Baldwin Bikes</c:v>
              </c:pt>
              <c:pt idx="1415">
                <c:v>Baldwin Bikes</c:v>
              </c:pt>
              <c:pt idx="1416">
                <c:v>Baldwin Bikes</c:v>
              </c:pt>
              <c:pt idx="1417">
                <c:v>Baldwin Bikes</c:v>
              </c:pt>
              <c:pt idx="1418">
                <c:v>Baldwin Bikes</c:v>
              </c:pt>
              <c:pt idx="1419">
                <c:v>Baldwin Bikes</c:v>
              </c:pt>
              <c:pt idx="1420">
                <c:v>Baldwin Bikes</c:v>
              </c:pt>
              <c:pt idx="1421">
                <c:v>Baldwin Bikes</c:v>
              </c:pt>
              <c:pt idx="1422">
                <c:v>Baldwin Bikes</c:v>
              </c:pt>
              <c:pt idx="1423">
                <c:v>Baldwin Bikes</c:v>
              </c:pt>
              <c:pt idx="1424">
                <c:v>Baldwin Bikes</c:v>
              </c:pt>
              <c:pt idx="1425">
                <c:v>Baldwin Bikes</c:v>
              </c:pt>
              <c:pt idx="1426">
                <c:v>Baldwin Bikes</c:v>
              </c:pt>
              <c:pt idx="1427">
                <c:v>Baldwin Bikes</c:v>
              </c:pt>
              <c:pt idx="1428">
                <c:v>Baldwin Bikes</c:v>
              </c:pt>
              <c:pt idx="1429">
                <c:v>Baldwin Bikes</c:v>
              </c:pt>
              <c:pt idx="1430">
                <c:v>Baldwin Bikes</c:v>
              </c:pt>
              <c:pt idx="1431">
                <c:v>Baldwin Bikes</c:v>
              </c:pt>
              <c:pt idx="1432">
                <c:v>Baldwin Bikes</c:v>
              </c:pt>
              <c:pt idx="1433">
                <c:v>Santa Cruz Bikes</c:v>
              </c:pt>
              <c:pt idx="1434">
                <c:v>Santa Cruz Bikes</c:v>
              </c:pt>
              <c:pt idx="1435">
                <c:v>Santa Cruz Bikes</c:v>
              </c:pt>
              <c:pt idx="1436">
                <c:v>Santa Cruz Bikes</c:v>
              </c:pt>
              <c:pt idx="1437">
                <c:v>Santa Cruz Bikes</c:v>
              </c:pt>
              <c:pt idx="1438">
                <c:v>Baldwin Bikes</c:v>
              </c:pt>
              <c:pt idx="1439">
                <c:v>Baldwin Bikes</c:v>
              </c:pt>
              <c:pt idx="1440">
                <c:v>Baldwin Bikes</c:v>
              </c:pt>
              <c:pt idx="1441">
                <c:v>Baldwin Bikes</c:v>
              </c:pt>
              <c:pt idx="1442">
                <c:v>Baldwin Bikes</c:v>
              </c:pt>
              <c:pt idx="1443">
                <c:v>Baldwin Bikes</c:v>
              </c:pt>
              <c:pt idx="1444">
                <c:v>Baldwin Bikes</c:v>
              </c:pt>
              <c:pt idx="1445">
                <c:v>Baldwin Bikes</c:v>
              </c:pt>
              <c:pt idx="1446">
                <c:v>Baldwin Bikes</c:v>
              </c:pt>
              <c:pt idx="1447">
                <c:v>Baldwin Bikes</c:v>
              </c:pt>
              <c:pt idx="1448">
                <c:v>Baldwin Bikes</c:v>
              </c:pt>
              <c:pt idx="1449">
                <c:v>Baldwin Bikes</c:v>
              </c:pt>
              <c:pt idx="1450">
                <c:v>Baldwin Bikes</c:v>
              </c:pt>
              <c:pt idx="1451">
                <c:v>Baldwin Bikes</c:v>
              </c:pt>
              <c:pt idx="1452">
                <c:v>Baldwin Bikes</c:v>
              </c:pt>
              <c:pt idx="1453">
                <c:v>Baldwin Bikes</c:v>
              </c:pt>
              <c:pt idx="1454">
                <c:v>Baldwin Bikes</c:v>
              </c:pt>
              <c:pt idx="1455">
                <c:v>Santa Cruz Bikes</c:v>
              </c:pt>
              <c:pt idx="1456">
                <c:v>Santa Cruz Bikes</c:v>
              </c:pt>
              <c:pt idx="1457">
                <c:v>Santa Cruz Bikes</c:v>
              </c:pt>
              <c:pt idx="1458">
                <c:v>Santa Cruz Bikes</c:v>
              </c:pt>
              <c:pt idx="1459">
                <c:v>Santa Cruz Bikes</c:v>
              </c:pt>
              <c:pt idx="1460">
                <c:v>Santa Cruz Bikes</c:v>
              </c:pt>
              <c:pt idx="1461">
                <c:v>Santa Cruz Bikes</c:v>
              </c:pt>
              <c:pt idx="1462">
                <c:v>Santa Cruz Bikes</c:v>
              </c:pt>
              <c:pt idx="1463">
                <c:v>Baldwin Bikes</c:v>
              </c:pt>
              <c:pt idx="1464">
                <c:v>Baldwin Bikes</c:v>
              </c:pt>
              <c:pt idx="1465">
                <c:v>Baldwin Bikes</c:v>
              </c:pt>
              <c:pt idx="1466">
                <c:v>Baldwin Bikes</c:v>
              </c:pt>
              <c:pt idx="1467">
                <c:v>Santa Cruz Bikes</c:v>
              </c:pt>
              <c:pt idx="1468">
                <c:v>Santa Cruz Bikes</c:v>
              </c:pt>
              <c:pt idx="1469">
                <c:v>Santa Cruz Bikes</c:v>
              </c:pt>
              <c:pt idx="1470">
                <c:v>Santa Cruz Bikes</c:v>
              </c:pt>
              <c:pt idx="1471">
                <c:v>Baldwin Bikes</c:v>
              </c:pt>
              <c:pt idx="1472">
                <c:v>Baldwin Bikes</c:v>
              </c:pt>
              <c:pt idx="1473">
                <c:v>Baldwin Bikes</c:v>
              </c:pt>
              <c:pt idx="1474">
                <c:v>Baldwin Bikes</c:v>
              </c:pt>
              <c:pt idx="1475">
                <c:v>Baldwin Bikes</c:v>
              </c:pt>
              <c:pt idx="1476">
                <c:v>Rowlett Bikes</c:v>
              </c:pt>
              <c:pt idx="1477">
                <c:v>Rowlett Bikes</c:v>
              </c:pt>
              <c:pt idx="1478">
                <c:v>Rowlett Bikes</c:v>
              </c:pt>
              <c:pt idx="1479">
                <c:v>Baldwin Bikes</c:v>
              </c:pt>
              <c:pt idx="1480">
                <c:v>Baldwin Bikes</c:v>
              </c:pt>
              <c:pt idx="1481">
                <c:v>Baldwin Bikes</c:v>
              </c:pt>
              <c:pt idx="1482">
                <c:v>Baldwin Bikes</c:v>
              </c:pt>
              <c:pt idx="1483">
                <c:v>Baldwin Bikes</c:v>
              </c:pt>
              <c:pt idx="1484">
                <c:v>Baldwin Bikes</c:v>
              </c:pt>
              <c:pt idx="1485">
                <c:v>Baldwin Bikes</c:v>
              </c:pt>
              <c:pt idx="1486">
                <c:v>Baldwin Bikes</c:v>
              </c:pt>
              <c:pt idx="1487">
                <c:v>Baldwin Bikes</c:v>
              </c:pt>
              <c:pt idx="1488">
                <c:v>Baldwin Bikes</c:v>
              </c:pt>
              <c:pt idx="1489">
                <c:v>Baldwin Bikes</c:v>
              </c:pt>
              <c:pt idx="1490">
                <c:v>Rowlett Bikes</c:v>
              </c:pt>
              <c:pt idx="1491">
                <c:v>Rowlett Bikes</c:v>
              </c:pt>
              <c:pt idx="1492">
                <c:v>Rowlett Bikes</c:v>
              </c:pt>
              <c:pt idx="1493">
                <c:v>Santa Cruz Bikes</c:v>
              </c:pt>
              <c:pt idx="1494">
                <c:v>Santa Cruz Bikes</c:v>
              </c:pt>
              <c:pt idx="1495">
                <c:v>Santa Cruz Bikes</c:v>
              </c:pt>
              <c:pt idx="1496">
                <c:v>Santa Cruz Bikes</c:v>
              </c:pt>
              <c:pt idx="1497">
                <c:v>Santa Cruz Bikes</c:v>
              </c:pt>
              <c:pt idx="1498">
                <c:v>Santa Cruz Bikes</c:v>
              </c:pt>
              <c:pt idx="1499">
                <c:v>Santa Cruz Bikes</c:v>
              </c:pt>
              <c:pt idx="1500">
                <c:v>Santa Cruz Bikes</c:v>
              </c:pt>
              <c:pt idx="1501">
                <c:v>Baldwin Bikes</c:v>
              </c:pt>
              <c:pt idx="1502">
                <c:v>Baldwin Bikes</c:v>
              </c:pt>
              <c:pt idx="1503">
                <c:v>Baldwin Bikes</c:v>
              </c:pt>
              <c:pt idx="1504">
                <c:v>Baldwin Bikes</c:v>
              </c:pt>
              <c:pt idx="1505">
                <c:v>Santa Cruz Bikes</c:v>
              </c:pt>
              <c:pt idx="1506">
                <c:v>Santa Cruz Bikes</c:v>
              </c:pt>
              <c:pt idx="1507">
                <c:v>Santa Cruz Bikes</c:v>
              </c:pt>
              <c:pt idx="1508">
                <c:v>Santa Cruz Bikes</c:v>
              </c:pt>
              <c:pt idx="1509">
                <c:v>Baldwin Bikes</c:v>
              </c:pt>
              <c:pt idx="1510">
                <c:v>Baldwin Bikes</c:v>
              </c:pt>
              <c:pt idx="1511">
                <c:v>Baldwin Bikes</c:v>
              </c:pt>
              <c:pt idx="1512">
                <c:v>Baldwin Bikes</c:v>
              </c:pt>
              <c:pt idx="1513">
                <c:v>Baldwin Bikes</c:v>
              </c:pt>
              <c:pt idx="1514">
                <c:v>Baldwin Bikes</c:v>
              </c:pt>
              <c:pt idx="1515">
                <c:v>Baldwin Bikes</c:v>
              </c:pt>
              <c:pt idx="1516">
                <c:v>Baldwin Bikes</c:v>
              </c:pt>
              <c:pt idx="1517">
                <c:v>Baldwin Bikes</c:v>
              </c:pt>
              <c:pt idx="1518">
                <c:v>Baldwin Bikes</c:v>
              </c:pt>
              <c:pt idx="1519">
                <c:v>Rowlett Bikes</c:v>
              </c:pt>
              <c:pt idx="1520">
                <c:v>Rowlett Bikes</c:v>
              </c:pt>
              <c:pt idx="1521">
                <c:v>Rowlett Bikes</c:v>
              </c:pt>
              <c:pt idx="1522">
                <c:v>Rowlett Bikes</c:v>
              </c:pt>
              <c:pt idx="1523">
                <c:v>Baldwin Bikes</c:v>
              </c:pt>
              <c:pt idx="1524">
                <c:v>Baldwin Bikes</c:v>
              </c:pt>
              <c:pt idx="1525">
                <c:v>Baldwin Bikes</c:v>
              </c:pt>
              <c:pt idx="1526">
                <c:v>Rowlett Bikes</c:v>
              </c:pt>
              <c:pt idx="1527">
                <c:v>Rowlett Bikes</c:v>
              </c:pt>
              <c:pt idx="1528">
                <c:v>Rowlett Bikes</c:v>
              </c:pt>
              <c:pt idx="1529">
                <c:v>Baldwin Bikes</c:v>
              </c:pt>
              <c:pt idx="1530">
                <c:v>Baldwin Bikes</c:v>
              </c:pt>
              <c:pt idx="1531">
                <c:v>Rowlett Bikes</c:v>
              </c:pt>
              <c:pt idx="1532">
                <c:v>Rowlett Bikes</c:v>
              </c:pt>
              <c:pt idx="1533">
                <c:v>Rowlett Bikes</c:v>
              </c:pt>
              <c:pt idx="1534">
                <c:v>Rowlett Bikes</c:v>
              </c:pt>
              <c:pt idx="1535">
                <c:v>Rowlett Bikes</c:v>
              </c:pt>
              <c:pt idx="1536">
                <c:v>Baldwin Bikes</c:v>
              </c:pt>
              <c:pt idx="1537">
                <c:v>Baldwin Bikes</c:v>
              </c:pt>
              <c:pt idx="1538">
                <c:v>Baldwin Bikes</c:v>
              </c:pt>
              <c:pt idx="1539">
                <c:v>Baldwin Bikes</c:v>
              </c:pt>
              <c:pt idx="1540">
                <c:v>Baldwin Bikes</c:v>
              </c:pt>
              <c:pt idx="1541">
                <c:v>Baldwin Bikes</c:v>
              </c:pt>
              <c:pt idx="1542">
                <c:v>Baldwin Bikes</c:v>
              </c:pt>
              <c:pt idx="1543">
                <c:v>Baldwin Bikes</c:v>
              </c:pt>
              <c:pt idx="1544">
                <c:v>Baldwin Bikes</c:v>
              </c:pt>
              <c:pt idx="1545">
                <c:v>Baldwin Bikes</c:v>
              </c:pt>
              <c:pt idx="1546">
                <c:v>Rowlett Bikes</c:v>
              </c:pt>
              <c:pt idx="1547">
                <c:v>Rowlett Bikes</c:v>
              </c:pt>
              <c:pt idx="1548">
                <c:v>Rowlett Bikes</c:v>
              </c:pt>
              <c:pt idx="1549">
                <c:v>Santa Cruz Bikes</c:v>
              </c:pt>
              <c:pt idx="1550">
                <c:v>Santa Cruz Bikes</c:v>
              </c:pt>
              <c:pt idx="1551">
                <c:v>Santa Cruz Bikes</c:v>
              </c:pt>
              <c:pt idx="1552">
                <c:v>Baldwin Bikes</c:v>
              </c:pt>
              <c:pt idx="1553">
                <c:v>Baldwin Bikes</c:v>
              </c:pt>
              <c:pt idx="1554">
                <c:v>Baldwin Bikes</c:v>
              </c:pt>
              <c:pt idx="1555">
                <c:v>Rowlett Bikes</c:v>
              </c:pt>
              <c:pt idx="1556">
                <c:v>Rowlett Bikes</c:v>
              </c:pt>
              <c:pt idx="1557">
                <c:v>Baldwin Bikes</c:v>
              </c:pt>
              <c:pt idx="1558">
                <c:v>Baldwin Bikes</c:v>
              </c:pt>
              <c:pt idx="1559">
                <c:v>Baldwin Bikes</c:v>
              </c:pt>
              <c:pt idx="1560">
                <c:v>Baldwin Bikes</c:v>
              </c:pt>
              <c:pt idx="1561">
                <c:v>Baldwin Bikes</c:v>
              </c:pt>
              <c:pt idx="1562">
                <c:v>Baldwin Bikes</c:v>
              </c:pt>
              <c:pt idx="1563">
                <c:v>Baldwin Bikes</c:v>
              </c:pt>
              <c:pt idx="1564">
                <c:v>Santa Cruz Bikes</c:v>
              </c:pt>
              <c:pt idx="1565">
                <c:v>Santa Cruz Bikes</c:v>
              </c:pt>
              <c:pt idx="1566">
                <c:v>Santa Cruz Bikes</c:v>
              </c:pt>
              <c:pt idx="1567">
                <c:v>Baldwin Bikes</c:v>
              </c:pt>
              <c:pt idx="1568">
                <c:v>Baldwin Bikes</c:v>
              </c:pt>
              <c:pt idx="1569">
                <c:v>Baldwin Bikes</c:v>
              </c:pt>
              <c:pt idx="1570">
                <c:v>Baldwin Bikes</c:v>
              </c:pt>
              <c:pt idx="1571">
                <c:v>Baldwin Bikes</c:v>
              </c:pt>
              <c:pt idx="1572">
                <c:v>Baldwin Bikes</c:v>
              </c:pt>
              <c:pt idx="1573">
                <c:v>Baldwin Bikes</c:v>
              </c:pt>
              <c:pt idx="1574">
                <c:v>Baldwin Bikes</c:v>
              </c:pt>
              <c:pt idx="1575">
                <c:v>Baldwin Bikes</c:v>
              </c:pt>
              <c:pt idx="1576">
                <c:v>Baldwin Bikes</c:v>
              </c:pt>
              <c:pt idx="1577">
                <c:v>Baldwin Bikes</c:v>
              </c:pt>
              <c:pt idx="1578">
                <c:v>Baldwin Bikes</c:v>
              </c:pt>
              <c:pt idx="1579">
                <c:v>Baldwin Bikes</c:v>
              </c:pt>
              <c:pt idx="1580">
                <c:v>Baldwin Bikes</c:v>
              </c:pt>
              <c:pt idx="1581">
                <c:v>Baldwin Bikes</c:v>
              </c:pt>
              <c:pt idx="1582">
                <c:v>Baldwin Bikes</c:v>
              </c:pt>
              <c:pt idx="1583">
                <c:v>Baldwin Bikes</c:v>
              </c:pt>
              <c:pt idx="1584">
                <c:v>Santa Cruz Bikes</c:v>
              </c:pt>
              <c:pt idx="1585">
                <c:v>Santa Cruz Bikes</c:v>
              </c:pt>
              <c:pt idx="1586">
                <c:v>Santa Cruz Bikes</c:v>
              </c:pt>
              <c:pt idx="1587">
                <c:v>Santa Cruz Bikes</c:v>
              </c:pt>
              <c:pt idx="1588">
                <c:v>Santa Cruz Bikes</c:v>
              </c:pt>
              <c:pt idx="1589">
                <c:v>Santa Cruz Bikes</c:v>
              </c:pt>
              <c:pt idx="1590">
                <c:v>Santa Cruz Bikes</c:v>
              </c:pt>
              <c:pt idx="1591">
                <c:v>Santa Cruz Bikes</c:v>
              </c:pt>
              <c:pt idx="1592">
                <c:v>Baldwin Bikes</c:v>
              </c:pt>
              <c:pt idx="1593">
                <c:v>Baldwin Bikes</c:v>
              </c:pt>
              <c:pt idx="1594">
                <c:v>Baldwin Bikes</c:v>
              </c:pt>
              <c:pt idx="1595">
                <c:v>Baldwin Bikes</c:v>
              </c:pt>
              <c:pt idx="1596">
                <c:v>Baldwin Bikes</c:v>
              </c:pt>
              <c:pt idx="1597">
                <c:v>Baldwin Bikes</c:v>
              </c:pt>
              <c:pt idx="1598">
                <c:v>Baldwin Bikes</c:v>
              </c:pt>
              <c:pt idx="1599">
                <c:v>Santa Cruz Bikes</c:v>
              </c:pt>
              <c:pt idx="1600">
                <c:v>Santa Cruz Bikes</c:v>
              </c:pt>
              <c:pt idx="1601">
                <c:v>Baldwin Bikes</c:v>
              </c:pt>
              <c:pt idx="1602">
                <c:v>Baldwin Bikes</c:v>
              </c:pt>
              <c:pt idx="1603">
                <c:v>Baldwin Bikes</c:v>
              </c:pt>
              <c:pt idx="1604">
                <c:v>Baldwin Bikes</c:v>
              </c:pt>
              <c:pt idx="1605">
                <c:v>Baldwin Bikes</c:v>
              </c:pt>
              <c:pt idx="1606">
                <c:v>Baldwin Bikes</c:v>
              </c:pt>
              <c:pt idx="1607">
                <c:v>Baldwin Bikes</c:v>
              </c:pt>
              <c:pt idx="1608">
                <c:v>Baldwin Bikes</c:v>
              </c:pt>
              <c:pt idx="1609">
                <c:v>Baldwin Bikes</c:v>
              </c:pt>
              <c:pt idx="1610">
                <c:v>Santa Cruz Bikes</c:v>
              </c:pt>
              <c:pt idx="1611">
                <c:v>Santa Cruz Bikes</c:v>
              </c:pt>
              <c:pt idx="1612">
                <c:v>Santa Cruz Bikes</c:v>
              </c:pt>
              <c:pt idx="1613">
                <c:v>Baldwin Bikes</c:v>
              </c:pt>
              <c:pt idx="1614">
                <c:v>Baldwin Bikes</c:v>
              </c:pt>
              <c:pt idx="1615">
                <c:v>Baldwin Bikes</c:v>
              </c:pt>
              <c:pt idx="1616">
                <c:v>Baldwin Bikes</c:v>
              </c:pt>
              <c:pt idx="1617">
                <c:v>Baldwin Bikes</c:v>
              </c:pt>
              <c:pt idx="1618">
                <c:v>Rowlett Bikes</c:v>
              </c:pt>
              <c:pt idx="1619">
                <c:v>Rowlett Bikes</c:v>
              </c:pt>
              <c:pt idx="1620">
                <c:v>Santa Cruz Bikes</c:v>
              </c:pt>
              <c:pt idx="1621">
                <c:v>Santa Cruz Bikes</c:v>
              </c:pt>
              <c:pt idx="1622">
                <c:v>Santa Cruz Bikes</c:v>
              </c:pt>
              <c:pt idx="1623">
                <c:v>Santa Cruz Bikes</c:v>
              </c:pt>
              <c:pt idx="1624">
                <c:v>Santa Cruz Bikes</c:v>
              </c:pt>
              <c:pt idx="1625">
                <c:v>Santa Cruz Bikes</c:v>
              </c:pt>
              <c:pt idx="1626">
                <c:v>Santa Cruz Bikes</c:v>
              </c:pt>
              <c:pt idx="1627">
                <c:v>Santa Cruz Bikes</c:v>
              </c:pt>
              <c:pt idx="1628">
                <c:v>Baldwin Bikes</c:v>
              </c:pt>
              <c:pt idx="1629">
                <c:v>Baldwin Bikes</c:v>
              </c:pt>
              <c:pt idx="1630">
                <c:v>Baldwin Bikes</c:v>
              </c:pt>
              <c:pt idx="1631">
                <c:v>Baldwin Bikes</c:v>
              </c:pt>
              <c:pt idx="1632">
                <c:v>Baldwin Bikes</c:v>
              </c:pt>
              <c:pt idx="1633">
                <c:v>Baldwin Bikes</c:v>
              </c:pt>
              <c:pt idx="1634">
                <c:v>Baldwin Bikes</c:v>
              </c:pt>
              <c:pt idx="1635">
                <c:v>Baldwin Bikes</c:v>
              </c:pt>
              <c:pt idx="1636">
                <c:v>Baldwin Bikes</c:v>
              </c:pt>
              <c:pt idx="1637">
                <c:v>Baldwin Bikes</c:v>
              </c:pt>
              <c:pt idx="1638">
                <c:v>Baldwin Bikes</c:v>
              </c:pt>
              <c:pt idx="1639">
                <c:v>Baldwin Bikes</c:v>
              </c:pt>
              <c:pt idx="1640">
                <c:v>Santa Cruz Bikes</c:v>
              </c:pt>
              <c:pt idx="1641">
                <c:v>Santa Cruz Bikes</c:v>
              </c:pt>
              <c:pt idx="1642">
                <c:v>Santa Cruz Bikes</c:v>
              </c:pt>
              <c:pt idx="1643">
                <c:v>Santa Cruz Bikes</c:v>
              </c:pt>
              <c:pt idx="1644">
                <c:v>Baldwin Bikes</c:v>
              </c:pt>
              <c:pt idx="1645">
                <c:v>Baldwin Bikes</c:v>
              </c:pt>
              <c:pt idx="1646">
                <c:v>Baldwin Bikes</c:v>
              </c:pt>
              <c:pt idx="1647">
                <c:v>Baldwin Bikes</c:v>
              </c:pt>
              <c:pt idx="1648">
                <c:v>Baldwin Bikes</c:v>
              </c:pt>
              <c:pt idx="1649">
                <c:v>Baldwin Bikes</c:v>
              </c:pt>
              <c:pt idx="1650">
                <c:v>Baldwin Bikes</c:v>
              </c:pt>
              <c:pt idx="1651">
                <c:v>Baldwin Bikes</c:v>
              </c:pt>
              <c:pt idx="1652">
                <c:v>Baldwin Bikes</c:v>
              </c:pt>
              <c:pt idx="1653">
                <c:v>Baldwin Bikes</c:v>
              </c:pt>
              <c:pt idx="1654">
                <c:v>Baldwin Bikes</c:v>
              </c:pt>
              <c:pt idx="1655">
                <c:v>Baldwin Bikes</c:v>
              </c:pt>
              <c:pt idx="1656">
                <c:v>Baldwin Bikes</c:v>
              </c:pt>
              <c:pt idx="1657">
                <c:v>Baldwin Bikes</c:v>
              </c:pt>
              <c:pt idx="1658">
                <c:v>Rowlett Bikes</c:v>
              </c:pt>
              <c:pt idx="1659">
                <c:v>Rowlett Bikes</c:v>
              </c:pt>
              <c:pt idx="1660">
                <c:v>Rowlett Bikes</c:v>
              </c:pt>
              <c:pt idx="1661">
                <c:v>Rowlett Bikes</c:v>
              </c:pt>
              <c:pt idx="1662">
                <c:v>Santa Cruz Bikes</c:v>
              </c:pt>
              <c:pt idx="1663">
                <c:v>Santa Cruz Bikes</c:v>
              </c:pt>
              <c:pt idx="1664">
                <c:v>Santa Cruz Bikes</c:v>
              </c:pt>
              <c:pt idx="1665">
                <c:v>Santa Cruz Bikes</c:v>
              </c:pt>
              <c:pt idx="1666">
                <c:v>Santa Cruz Bikes</c:v>
              </c:pt>
              <c:pt idx="1667">
                <c:v>Santa Cruz Bikes</c:v>
              </c:pt>
              <c:pt idx="1668">
                <c:v>Santa Cruz Bikes</c:v>
              </c:pt>
              <c:pt idx="1669">
                <c:v>Santa Cruz Bikes</c:v>
              </c:pt>
              <c:pt idx="1670">
                <c:v>Baldwin Bikes</c:v>
              </c:pt>
              <c:pt idx="1671">
                <c:v>Baldwin Bikes</c:v>
              </c:pt>
              <c:pt idx="1672">
                <c:v>Santa Cruz Bikes</c:v>
              </c:pt>
              <c:pt idx="1673">
                <c:v>Santa Cruz Bikes</c:v>
              </c:pt>
              <c:pt idx="1674">
                <c:v>Santa Cruz Bikes</c:v>
              </c:pt>
              <c:pt idx="1675">
                <c:v>Baldwin Bikes</c:v>
              </c:pt>
              <c:pt idx="1676">
                <c:v>Baldwin Bikes</c:v>
              </c:pt>
              <c:pt idx="1677">
                <c:v>Baldwin Bikes</c:v>
              </c:pt>
              <c:pt idx="1678">
                <c:v>Baldwin Bikes</c:v>
              </c:pt>
              <c:pt idx="1679">
                <c:v>Baldwin Bikes</c:v>
              </c:pt>
              <c:pt idx="1680">
                <c:v>Baldwin Bikes</c:v>
              </c:pt>
              <c:pt idx="1681">
                <c:v>Baldwin Bikes</c:v>
              </c:pt>
              <c:pt idx="1682">
                <c:v>Baldwin Bikes</c:v>
              </c:pt>
              <c:pt idx="1683">
                <c:v>Baldwin Bikes</c:v>
              </c:pt>
              <c:pt idx="1684">
                <c:v>Baldwin Bikes</c:v>
              </c:pt>
              <c:pt idx="1685">
                <c:v>Baldwin Bikes</c:v>
              </c:pt>
              <c:pt idx="1686">
                <c:v>Baldwin Bikes</c:v>
              </c:pt>
              <c:pt idx="1687">
                <c:v>Baldwin Bikes</c:v>
              </c:pt>
              <c:pt idx="1688">
                <c:v>Baldwin Bikes</c:v>
              </c:pt>
              <c:pt idx="1689">
                <c:v>Baldwin Bikes</c:v>
              </c:pt>
              <c:pt idx="1690">
                <c:v>Baldwin Bikes</c:v>
              </c:pt>
              <c:pt idx="1691">
                <c:v>Baldwin Bikes</c:v>
              </c:pt>
              <c:pt idx="1692">
                <c:v>Baldwin Bikes</c:v>
              </c:pt>
              <c:pt idx="1693">
                <c:v>Baldwin Bikes</c:v>
              </c:pt>
              <c:pt idx="1694">
                <c:v>Baldwin Bikes</c:v>
              </c:pt>
              <c:pt idx="1695">
                <c:v>Baldwin Bikes</c:v>
              </c:pt>
              <c:pt idx="1696">
                <c:v>Baldwin Bikes</c:v>
              </c:pt>
              <c:pt idx="1697">
                <c:v>Baldwin Bikes</c:v>
              </c:pt>
              <c:pt idx="1698">
                <c:v>Santa Cruz Bikes</c:v>
              </c:pt>
              <c:pt idx="1699">
                <c:v>Santa Cruz Bikes</c:v>
              </c:pt>
              <c:pt idx="1700">
                <c:v>Santa Cruz Bikes</c:v>
              </c:pt>
              <c:pt idx="1701">
                <c:v>Baldwin Bikes</c:v>
              </c:pt>
              <c:pt idx="1702">
                <c:v>Baldwin Bikes</c:v>
              </c:pt>
              <c:pt idx="1703">
                <c:v>Baldwin Bikes</c:v>
              </c:pt>
              <c:pt idx="1704">
                <c:v>Baldwin Bikes</c:v>
              </c:pt>
              <c:pt idx="1705">
                <c:v>Baldwin Bikes</c:v>
              </c:pt>
              <c:pt idx="1706">
                <c:v>Baldwin Bikes</c:v>
              </c:pt>
              <c:pt idx="1707">
                <c:v>Baldwin Bikes</c:v>
              </c:pt>
              <c:pt idx="1708">
                <c:v>Baldwin Bikes</c:v>
              </c:pt>
              <c:pt idx="1709">
                <c:v>Baldwin Bikes</c:v>
              </c:pt>
              <c:pt idx="1710">
                <c:v>Baldwin Bikes</c:v>
              </c:pt>
              <c:pt idx="1711">
                <c:v>Baldwin Bikes</c:v>
              </c:pt>
              <c:pt idx="1712">
                <c:v>Baldwin Bikes</c:v>
              </c:pt>
              <c:pt idx="1713">
                <c:v>Baldwin Bikes</c:v>
              </c:pt>
              <c:pt idx="1714">
                <c:v>Baldwin Bikes</c:v>
              </c:pt>
              <c:pt idx="1715">
                <c:v>Baldwin Bikes</c:v>
              </c:pt>
              <c:pt idx="1716">
                <c:v>Baldwin Bikes</c:v>
              </c:pt>
              <c:pt idx="1717">
                <c:v>Baldwin Bikes</c:v>
              </c:pt>
              <c:pt idx="1718">
                <c:v>Santa Cruz Bikes</c:v>
              </c:pt>
              <c:pt idx="1719">
                <c:v>Santa Cruz Bikes</c:v>
              </c:pt>
              <c:pt idx="1720">
                <c:v>Rowlett Bikes</c:v>
              </c:pt>
              <c:pt idx="1721">
                <c:v>Rowlett Bikes</c:v>
              </c:pt>
              <c:pt idx="1722">
                <c:v>Rowlett Bikes</c:v>
              </c:pt>
              <c:pt idx="1723">
                <c:v>Rowlett Bikes</c:v>
              </c:pt>
              <c:pt idx="1724">
                <c:v>Baldwin Bikes</c:v>
              </c:pt>
              <c:pt idx="1725">
                <c:v>Baldwin Bikes</c:v>
              </c:pt>
              <c:pt idx="1726">
                <c:v>Baldwin Bikes</c:v>
              </c:pt>
              <c:pt idx="1727">
                <c:v>Baldwin Bikes</c:v>
              </c:pt>
              <c:pt idx="1728">
                <c:v>Baldwin Bikes</c:v>
              </c:pt>
              <c:pt idx="1729">
                <c:v>Baldwin Bikes</c:v>
              </c:pt>
              <c:pt idx="1730">
                <c:v>Baldwin Bikes</c:v>
              </c:pt>
              <c:pt idx="1731">
                <c:v>Baldwin Bikes</c:v>
              </c:pt>
              <c:pt idx="1732">
                <c:v>Baldwin Bikes</c:v>
              </c:pt>
              <c:pt idx="1733">
                <c:v>Baldwin Bikes</c:v>
              </c:pt>
              <c:pt idx="1734">
                <c:v>Baldwin Bikes</c:v>
              </c:pt>
              <c:pt idx="1735">
                <c:v>Baldwin Bikes</c:v>
              </c:pt>
              <c:pt idx="1736">
                <c:v>Baldwin Bikes</c:v>
              </c:pt>
              <c:pt idx="1737">
                <c:v>Baldwin Bikes</c:v>
              </c:pt>
              <c:pt idx="1738">
                <c:v>Baldwin Bikes</c:v>
              </c:pt>
              <c:pt idx="1739">
                <c:v>Baldwin Bikes</c:v>
              </c:pt>
              <c:pt idx="1740">
                <c:v>Baldwin Bikes</c:v>
              </c:pt>
              <c:pt idx="1741">
                <c:v>Baldwin Bikes</c:v>
              </c:pt>
              <c:pt idx="1742">
                <c:v>Santa Cruz Bikes</c:v>
              </c:pt>
              <c:pt idx="1743">
                <c:v>Santa Cruz Bikes</c:v>
              </c:pt>
              <c:pt idx="1744">
                <c:v>Santa Cruz Bikes</c:v>
              </c:pt>
              <c:pt idx="1745">
                <c:v>Santa Cruz Bikes</c:v>
              </c:pt>
              <c:pt idx="1746">
                <c:v>Baldwin Bikes</c:v>
              </c:pt>
              <c:pt idx="1747">
                <c:v>Baldwin Bikes</c:v>
              </c:pt>
              <c:pt idx="1748">
                <c:v>Baldwin Bikes</c:v>
              </c:pt>
              <c:pt idx="1749">
                <c:v>Baldwin Bikes</c:v>
              </c:pt>
              <c:pt idx="1750">
                <c:v>Santa Cruz Bikes</c:v>
              </c:pt>
              <c:pt idx="1751">
                <c:v>Santa Cruz Bikes</c:v>
              </c:pt>
              <c:pt idx="1752">
                <c:v>Santa Cruz Bikes</c:v>
              </c:pt>
              <c:pt idx="1753">
                <c:v>Santa Cruz Bikes</c:v>
              </c:pt>
              <c:pt idx="1754">
                <c:v>Santa Cruz Bikes</c:v>
              </c:pt>
              <c:pt idx="1755">
                <c:v>Santa Cruz Bikes</c:v>
              </c:pt>
              <c:pt idx="1756">
                <c:v>Baldwin Bikes</c:v>
              </c:pt>
              <c:pt idx="1757">
                <c:v>Baldwin Bikes</c:v>
              </c:pt>
              <c:pt idx="1758">
                <c:v>Baldwin Bikes</c:v>
              </c:pt>
              <c:pt idx="1759">
                <c:v>Baldwin Bikes</c:v>
              </c:pt>
              <c:pt idx="1760">
                <c:v>Santa Cruz Bikes</c:v>
              </c:pt>
              <c:pt idx="1761">
                <c:v>Santa Cruz Bikes</c:v>
              </c:pt>
              <c:pt idx="1762">
                <c:v>Baldwin Bikes</c:v>
              </c:pt>
              <c:pt idx="1763">
                <c:v>Baldwin Bikes</c:v>
              </c:pt>
              <c:pt idx="1764">
                <c:v>Baldwin Bikes</c:v>
              </c:pt>
              <c:pt idx="1765">
                <c:v>Baldwin Bikes</c:v>
              </c:pt>
              <c:pt idx="1766">
                <c:v>Baldwin Bikes</c:v>
              </c:pt>
              <c:pt idx="1767">
                <c:v>Rowlett Bikes</c:v>
              </c:pt>
              <c:pt idx="1768">
                <c:v>Rowlett Bikes</c:v>
              </c:pt>
              <c:pt idx="1769">
                <c:v>Rowlett Bikes</c:v>
              </c:pt>
              <c:pt idx="1770">
                <c:v>Rowlett Bikes</c:v>
              </c:pt>
              <c:pt idx="1771">
                <c:v>Baldwin Bikes</c:v>
              </c:pt>
              <c:pt idx="1772">
                <c:v>Baldwin Bikes</c:v>
              </c:pt>
              <c:pt idx="1773">
                <c:v>Baldwin Bikes</c:v>
              </c:pt>
              <c:pt idx="1774">
                <c:v>Santa Cruz Bikes</c:v>
              </c:pt>
              <c:pt idx="1775">
                <c:v>Baldwin Bikes</c:v>
              </c:pt>
              <c:pt idx="1776">
                <c:v>Baldwin Bikes</c:v>
              </c:pt>
              <c:pt idx="1777">
                <c:v>Baldwin Bikes</c:v>
              </c:pt>
              <c:pt idx="1778">
                <c:v>Baldwin Bikes</c:v>
              </c:pt>
              <c:pt idx="1779">
                <c:v>Baldwin Bikes</c:v>
              </c:pt>
              <c:pt idx="1780">
                <c:v>Baldwin Bikes</c:v>
              </c:pt>
              <c:pt idx="1781">
                <c:v>Baldwin Bikes</c:v>
              </c:pt>
              <c:pt idx="1782">
                <c:v>Baldwin Bikes</c:v>
              </c:pt>
              <c:pt idx="1783">
                <c:v>Baldwin Bikes</c:v>
              </c:pt>
              <c:pt idx="1784">
                <c:v>Baldwin Bikes</c:v>
              </c:pt>
              <c:pt idx="1785">
                <c:v>Baldwin Bikes</c:v>
              </c:pt>
              <c:pt idx="1786">
                <c:v>Baldwin Bikes</c:v>
              </c:pt>
              <c:pt idx="1787">
                <c:v>Baldwin Bikes</c:v>
              </c:pt>
              <c:pt idx="1788">
                <c:v>Baldwin Bikes</c:v>
              </c:pt>
              <c:pt idx="1789">
                <c:v>Santa Cruz Bikes</c:v>
              </c:pt>
              <c:pt idx="1790">
                <c:v>Santa Cruz Bikes</c:v>
              </c:pt>
              <c:pt idx="1791">
                <c:v>Santa Cruz Bikes</c:v>
              </c:pt>
              <c:pt idx="1792">
                <c:v>Baldwin Bikes</c:v>
              </c:pt>
              <c:pt idx="1793">
                <c:v>Santa Cruz Bikes</c:v>
              </c:pt>
              <c:pt idx="1794">
                <c:v>Baldwin Bikes</c:v>
              </c:pt>
              <c:pt idx="1795">
                <c:v>Baldwin Bikes</c:v>
              </c:pt>
              <c:pt idx="1796">
                <c:v>Baldwin Bikes</c:v>
              </c:pt>
              <c:pt idx="1797">
                <c:v>Baldwin Bikes</c:v>
              </c:pt>
              <c:pt idx="1798">
                <c:v>Baldwin Bikes</c:v>
              </c:pt>
              <c:pt idx="1799">
                <c:v>Baldwin Bikes</c:v>
              </c:pt>
              <c:pt idx="1800">
                <c:v>Santa Cruz Bikes</c:v>
              </c:pt>
              <c:pt idx="1801">
                <c:v>Santa Cruz Bikes</c:v>
              </c:pt>
              <c:pt idx="1802">
                <c:v>Santa Cruz Bikes</c:v>
              </c:pt>
              <c:pt idx="1803">
                <c:v>Santa Cruz Bikes</c:v>
              </c:pt>
              <c:pt idx="1804">
                <c:v>Baldwin Bikes</c:v>
              </c:pt>
              <c:pt idx="1805">
                <c:v>Baldwin Bikes</c:v>
              </c:pt>
              <c:pt idx="1806">
                <c:v>Baldwin Bikes</c:v>
              </c:pt>
              <c:pt idx="1807">
                <c:v>Santa Cruz Bikes</c:v>
              </c:pt>
              <c:pt idx="1808">
                <c:v>Santa Cruz Bikes</c:v>
              </c:pt>
              <c:pt idx="1809">
                <c:v>Santa Cruz Bikes</c:v>
              </c:pt>
              <c:pt idx="1810">
                <c:v>Santa Cruz Bikes</c:v>
              </c:pt>
              <c:pt idx="1811">
                <c:v>Santa Cruz Bikes</c:v>
              </c:pt>
              <c:pt idx="1812">
                <c:v>Baldwin Bikes</c:v>
              </c:pt>
              <c:pt idx="1813">
                <c:v>Baldwin Bikes</c:v>
              </c:pt>
              <c:pt idx="1814">
                <c:v>Baldwin Bikes</c:v>
              </c:pt>
              <c:pt idx="1815">
                <c:v>Baldwin Bikes</c:v>
              </c:pt>
              <c:pt idx="1816">
                <c:v>Rowlett Bikes</c:v>
              </c:pt>
              <c:pt idx="1817">
                <c:v>Rowlett Bikes</c:v>
              </c:pt>
              <c:pt idx="1818">
                <c:v>Rowlett Bikes</c:v>
              </c:pt>
              <c:pt idx="1819">
                <c:v>Rowlett Bikes</c:v>
              </c:pt>
              <c:pt idx="1820">
                <c:v>Rowlett Bikes</c:v>
              </c:pt>
              <c:pt idx="1821">
                <c:v>Santa Cruz Bikes</c:v>
              </c:pt>
              <c:pt idx="1822">
                <c:v>Santa Cruz Bikes</c:v>
              </c:pt>
              <c:pt idx="1823">
                <c:v>Santa Cruz Bikes</c:v>
              </c:pt>
              <c:pt idx="1824">
                <c:v>Santa Cruz Bikes</c:v>
              </c:pt>
              <c:pt idx="1825">
                <c:v>Santa Cruz Bikes</c:v>
              </c:pt>
              <c:pt idx="1826">
                <c:v>Baldwin Bikes</c:v>
              </c:pt>
              <c:pt idx="1827">
                <c:v>Baldwin Bikes</c:v>
              </c:pt>
              <c:pt idx="1828">
                <c:v>Baldwin Bikes</c:v>
              </c:pt>
              <c:pt idx="1829">
                <c:v>Baldwin Bikes</c:v>
              </c:pt>
              <c:pt idx="1830">
                <c:v>Santa Cruz Bikes</c:v>
              </c:pt>
              <c:pt idx="1831">
                <c:v>Baldwin Bikes</c:v>
              </c:pt>
              <c:pt idx="1832">
                <c:v>Baldwin Bikes</c:v>
              </c:pt>
              <c:pt idx="1833">
                <c:v>Baldwin Bikes</c:v>
              </c:pt>
              <c:pt idx="1834">
                <c:v>Santa Cruz Bikes</c:v>
              </c:pt>
              <c:pt idx="1835">
                <c:v>Santa Cruz Bikes</c:v>
              </c:pt>
              <c:pt idx="1836">
                <c:v>Baldwin Bikes</c:v>
              </c:pt>
              <c:pt idx="1837">
                <c:v>Baldwin Bikes</c:v>
              </c:pt>
              <c:pt idx="1838">
                <c:v>Baldwin Bikes</c:v>
              </c:pt>
              <c:pt idx="1839">
                <c:v>Baldwin Bikes</c:v>
              </c:pt>
              <c:pt idx="1840">
                <c:v>Baldwin Bikes</c:v>
              </c:pt>
              <c:pt idx="1841">
                <c:v>Baldwin Bikes</c:v>
              </c:pt>
              <c:pt idx="1842">
                <c:v>Baldwin Bikes</c:v>
              </c:pt>
              <c:pt idx="1843">
                <c:v>Baldwin Bikes</c:v>
              </c:pt>
              <c:pt idx="1844">
                <c:v>Baldwin Bikes</c:v>
              </c:pt>
              <c:pt idx="1845">
                <c:v>Baldwin Bikes</c:v>
              </c:pt>
              <c:pt idx="1846">
                <c:v>Baldwin Bikes</c:v>
              </c:pt>
              <c:pt idx="1847">
                <c:v>Baldwin Bikes</c:v>
              </c:pt>
              <c:pt idx="1848">
                <c:v>Baldwin Bikes</c:v>
              </c:pt>
              <c:pt idx="1849">
                <c:v>Santa Cruz Bikes</c:v>
              </c:pt>
              <c:pt idx="1850">
                <c:v>Santa Cruz Bikes</c:v>
              </c:pt>
              <c:pt idx="1851">
                <c:v>Santa Cruz Bikes</c:v>
              </c:pt>
              <c:pt idx="1852">
                <c:v>Santa Cruz Bikes</c:v>
              </c:pt>
              <c:pt idx="1853">
                <c:v>Santa Cruz Bikes</c:v>
              </c:pt>
              <c:pt idx="1854">
                <c:v>Santa Cruz Bikes</c:v>
              </c:pt>
              <c:pt idx="1855">
                <c:v>Santa Cruz Bikes</c:v>
              </c:pt>
              <c:pt idx="1856">
                <c:v>Santa Cruz Bikes</c:v>
              </c:pt>
              <c:pt idx="1857">
                <c:v>Santa Cruz Bikes</c:v>
              </c:pt>
              <c:pt idx="1858">
                <c:v>Santa Cruz Bikes</c:v>
              </c:pt>
              <c:pt idx="1859">
                <c:v>Baldwin Bikes</c:v>
              </c:pt>
              <c:pt idx="1860">
                <c:v>Baldwin Bikes</c:v>
              </c:pt>
              <c:pt idx="1861">
                <c:v>Baldwin Bikes</c:v>
              </c:pt>
              <c:pt idx="1862">
                <c:v>Baldwin Bikes</c:v>
              </c:pt>
              <c:pt idx="1863">
                <c:v>Baldwin Bikes</c:v>
              </c:pt>
              <c:pt idx="1864">
                <c:v>Baldwin Bikes</c:v>
              </c:pt>
              <c:pt idx="1865">
                <c:v>Baldwin Bikes</c:v>
              </c:pt>
              <c:pt idx="1866">
                <c:v>Baldwin Bikes</c:v>
              </c:pt>
              <c:pt idx="1867">
                <c:v>Baldwin Bikes</c:v>
              </c:pt>
              <c:pt idx="1868">
                <c:v>Baldwin Bikes</c:v>
              </c:pt>
              <c:pt idx="1869">
                <c:v>Baldwin Bikes</c:v>
              </c:pt>
              <c:pt idx="1870">
                <c:v>Baldwin Bikes</c:v>
              </c:pt>
              <c:pt idx="1871">
                <c:v>Baldwin Bikes</c:v>
              </c:pt>
              <c:pt idx="1872">
                <c:v>Baldwin Bikes</c:v>
              </c:pt>
              <c:pt idx="1873">
                <c:v>Baldwin Bikes</c:v>
              </c:pt>
              <c:pt idx="1874">
                <c:v>Rowlett Bikes</c:v>
              </c:pt>
              <c:pt idx="1875">
                <c:v>Rowlett Bikes</c:v>
              </c:pt>
              <c:pt idx="1876">
                <c:v>Baldwin Bikes</c:v>
              </c:pt>
              <c:pt idx="1877">
                <c:v>Baldwin Bikes</c:v>
              </c:pt>
              <c:pt idx="1878">
                <c:v>Baldwin Bikes</c:v>
              </c:pt>
              <c:pt idx="1879">
                <c:v>Baldwin Bikes</c:v>
              </c:pt>
              <c:pt idx="1880">
                <c:v>Baldwin Bikes</c:v>
              </c:pt>
              <c:pt idx="1881">
                <c:v>Baldwin Bikes</c:v>
              </c:pt>
              <c:pt idx="1882">
                <c:v>Baldwin Bikes</c:v>
              </c:pt>
              <c:pt idx="1883">
                <c:v>Baldwin Bikes</c:v>
              </c:pt>
              <c:pt idx="1884">
                <c:v>Baldwin Bikes</c:v>
              </c:pt>
              <c:pt idx="1885">
                <c:v>Baldwin Bikes</c:v>
              </c:pt>
              <c:pt idx="1886">
                <c:v>Baldwin Bikes</c:v>
              </c:pt>
              <c:pt idx="1887">
                <c:v>Baldwin Bikes</c:v>
              </c:pt>
              <c:pt idx="1888">
                <c:v>Baldwin Bikes</c:v>
              </c:pt>
              <c:pt idx="1889">
                <c:v>Baldwin Bikes</c:v>
              </c:pt>
              <c:pt idx="1890">
                <c:v>Rowlett Bikes</c:v>
              </c:pt>
              <c:pt idx="1891">
                <c:v>Rowlett Bikes</c:v>
              </c:pt>
              <c:pt idx="1892">
                <c:v>Rowlett Bikes</c:v>
              </c:pt>
              <c:pt idx="1893">
                <c:v>Rowlett Bikes</c:v>
              </c:pt>
              <c:pt idx="1894">
                <c:v>Baldwin Bikes</c:v>
              </c:pt>
              <c:pt idx="1895">
                <c:v>Baldwin Bikes</c:v>
              </c:pt>
              <c:pt idx="1896">
                <c:v>Baldwin Bikes</c:v>
              </c:pt>
              <c:pt idx="1897">
                <c:v>Baldwin Bikes</c:v>
              </c:pt>
              <c:pt idx="1898">
                <c:v>Baldwin Bikes</c:v>
              </c:pt>
              <c:pt idx="1899">
                <c:v>Baldwin Bikes</c:v>
              </c:pt>
              <c:pt idx="1900">
                <c:v>Baldwin Bikes</c:v>
              </c:pt>
              <c:pt idx="1901">
                <c:v>Baldwin Bikes</c:v>
              </c:pt>
              <c:pt idx="1902">
                <c:v>Baldwin Bikes</c:v>
              </c:pt>
              <c:pt idx="1903">
                <c:v>Baldwin Bikes</c:v>
              </c:pt>
              <c:pt idx="1904">
                <c:v>Baldwin Bikes</c:v>
              </c:pt>
              <c:pt idx="1905">
                <c:v>Baldwin Bikes</c:v>
              </c:pt>
              <c:pt idx="1906">
                <c:v>Baldwin Bikes</c:v>
              </c:pt>
              <c:pt idx="1907">
                <c:v>Baldwin Bikes</c:v>
              </c:pt>
              <c:pt idx="1908">
                <c:v>Rowlett Bikes</c:v>
              </c:pt>
              <c:pt idx="1909">
                <c:v>Rowlett Bikes</c:v>
              </c:pt>
              <c:pt idx="1910">
                <c:v>Santa Cruz Bikes</c:v>
              </c:pt>
              <c:pt idx="1911">
                <c:v>Santa Cruz Bikes</c:v>
              </c:pt>
              <c:pt idx="1912">
                <c:v>Santa Cruz Bikes</c:v>
              </c:pt>
              <c:pt idx="1913">
                <c:v>Santa Cruz Bikes</c:v>
              </c:pt>
              <c:pt idx="1914">
                <c:v>Santa Cruz Bikes</c:v>
              </c:pt>
              <c:pt idx="1915">
                <c:v>Baldwin Bikes</c:v>
              </c:pt>
              <c:pt idx="1916">
                <c:v>Baldwin Bikes</c:v>
              </c:pt>
              <c:pt idx="1917">
                <c:v>Baldwin Bikes</c:v>
              </c:pt>
              <c:pt idx="1918">
                <c:v>Baldwin Bikes</c:v>
              </c:pt>
              <c:pt idx="1919">
                <c:v>Baldwin Bikes</c:v>
              </c:pt>
              <c:pt idx="1920">
                <c:v>Baldwin Bikes</c:v>
              </c:pt>
              <c:pt idx="1921">
                <c:v>Baldwin Bikes</c:v>
              </c:pt>
              <c:pt idx="1922">
                <c:v>Baldwin Bikes</c:v>
              </c:pt>
              <c:pt idx="1923">
                <c:v>Baldwin Bikes</c:v>
              </c:pt>
              <c:pt idx="1924">
                <c:v>Baldwin Bikes</c:v>
              </c:pt>
              <c:pt idx="1925">
                <c:v>Baldwin Bikes</c:v>
              </c:pt>
              <c:pt idx="1926">
                <c:v>Baldwin Bikes</c:v>
              </c:pt>
              <c:pt idx="1927">
                <c:v>Baldwin Bikes</c:v>
              </c:pt>
              <c:pt idx="1928">
                <c:v>Baldwin Bikes</c:v>
              </c:pt>
              <c:pt idx="1929">
                <c:v>Baldwin Bikes</c:v>
              </c:pt>
              <c:pt idx="1930">
                <c:v>Baldwin Bikes</c:v>
              </c:pt>
              <c:pt idx="1931">
                <c:v>Baldwin Bikes</c:v>
              </c:pt>
              <c:pt idx="1932">
                <c:v>Baldwin Bikes</c:v>
              </c:pt>
              <c:pt idx="1933">
                <c:v>Baldwin Bikes</c:v>
              </c:pt>
              <c:pt idx="1934">
                <c:v>Baldwin Bikes</c:v>
              </c:pt>
              <c:pt idx="1935">
                <c:v>Baldwin Bikes</c:v>
              </c:pt>
              <c:pt idx="1936">
                <c:v>Santa Cruz Bikes</c:v>
              </c:pt>
              <c:pt idx="1937">
                <c:v>Santa Cruz Bikes</c:v>
              </c:pt>
              <c:pt idx="1938">
                <c:v>Santa Cruz Bikes</c:v>
              </c:pt>
              <c:pt idx="1939">
                <c:v>Santa Cruz Bikes</c:v>
              </c:pt>
              <c:pt idx="1940">
                <c:v>Baldwin Bikes</c:v>
              </c:pt>
              <c:pt idx="1941">
                <c:v>Baldwin Bikes</c:v>
              </c:pt>
              <c:pt idx="1942">
                <c:v>Baldwin Bikes</c:v>
              </c:pt>
              <c:pt idx="1943">
                <c:v>Santa Cruz Bikes</c:v>
              </c:pt>
              <c:pt idx="1944">
                <c:v>Santa Cruz Bikes</c:v>
              </c:pt>
              <c:pt idx="1945">
                <c:v>Santa Cruz Bikes</c:v>
              </c:pt>
              <c:pt idx="1946">
                <c:v>Santa Cruz Bikes</c:v>
              </c:pt>
              <c:pt idx="1947">
                <c:v>Baldwin Bikes</c:v>
              </c:pt>
              <c:pt idx="1948">
                <c:v>Baldwin Bikes</c:v>
              </c:pt>
              <c:pt idx="1949">
                <c:v>Baldwin Bikes</c:v>
              </c:pt>
              <c:pt idx="1950">
                <c:v>Baldwin Bikes</c:v>
              </c:pt>
              <c:pt idx="1951">
                <c:v>Santa Cruz Bikes</c:v>
              </c:pt>
              <c:pt idx="1952">
                <c:v>Santa Cruz Bikes</c:v>
              </c:pt>
              <c:pt idx="1953">
                <c:v>Santa Cruz Bikes</c:v>
              </c:pt>
              <c:pt idx="1954">
                <c:v>Santa Cruz Bikes</c:v>
              </c:pt>
              <c:pt idx="1955">
                <c:v>Santa Cruz Bikes</c:v>
              </c:pt>
              <c:pt idx="1956">
                <c:v>Santa Cruz Bikes</c:v>
              </c:pt>
              <c:pt idx="1957">
                <c:v>Santa Cruz Bikes</c:v>
              </c:pt>
              <c:pt idx="1958">
                <c:v>Santa Cruz Bikes</c:v>
              </c:pt>
              <c:pt idx="1959">
                <c:v>Baldwin Bikes</c:v>
              </c:pt>
              <c:pt idx="1960">
                <c:v>Baldwin Bikes</c:v>
              </c:pt>
              <c:pt idx="1961">
                <c:v>Baldwin Bikes</c:v>
              </c:pt>
              <c:pt idx="1962">
                <c:v>Baldwin Bikes</c:v>
              </c:pt>
              <c:pt idx="1963">
                <c:v>Baldwin Bikes</c:v>
              </c:pt>
              <c:pt idx="1964">
                <c:v>Baldwin Bikes</c:v>
              </c:pt>
              <c:pt idx="1965">
                <c:v>Baldwin Bikes</c:v>
              </c:pt>
              <c:pt idx="1966">
                <c:v>Baldwin Bikes</c:v>
              </c:pt>
              <c:pt idx="1967">
                <c:v>Baldwin Bikes</c:v>
              </c:pt>
              <c:pt idx="1968">
                <c:v>Baldwin Bikes</c:v>
              </c:pt>
              <c:pt idx="1969">
                <c:v>Santa Cruz Bikes</c:v>
              </c:pt>
              <c:pt idx="1970">
                <c:v>Rowlett Bikes</c:v>
              </c:pt>
              <c:pt idx="1971">
                <c:v>Rowlett Bikes</c:v>
              </c:pt>
              <c:pt idx="1972">
                <c:v>Rowlett Bikes</c:v>
              </c:pt>
              <c:pt idx="1973">
                <c:v>Rowlett Bikes</c:v>
              </c:pt>
              <c:pt idx="1974">
                <c:v>Rowlett Bikes</c:v>
              </c:pt>
              <c:pt idx="1975">
                <c:v>Rowlett Bikes</c:v>
              </c:pt>
              <c:pt idx="1976">
                <c:v>Rowlett Bikes</c:v>
              </c:pt>
              <c:pt idx="1977">
                <c:v>Rowlett Bikes</c:v>
              </c:pt>
              <c:pt idx="1978">
                <c:v>Baldwin Bikes</c:v>
              </c:pt>
              <c:pt idx="1979">
                <c:v>Baldwin Bikes</c:v>
              </c:pt>
              <c:pt idx="1980">
                <c:v>Rowlett Bikes</c:v>
              </c:pt>
              <c:pt idx="1981">
                <c:v>Santa Cruz Bikes</c:v>
              </c:pt>
              <c:pt idx="1982">
                <c:v>Santa Cruz Bikes</c:v>
              </c:pt>
              <c:pt idx="1983">
                <c:v>Santa Cruz Bikes</c:v>
              </c:pt>
              <c:pt idx="1984">
                <c:v>Baldwin Bikes</c:v>
              </c:pt>
              <c:pt idx="1985">
                <c:v>Baldwin Bikes</c:v>
              </c:pt>
              <c:pt idx="1986">
                <c:v>Baldwin Bikes</c:v>
              </c:pt>
              <c:pt idx="1987">
                <c:v>Baldwin Bikes</c:v>
              </c:pt>
              <c:pt idx="1988">
                <c:v>Baldwin Bikes</c:v>
              </c:pt>
              <c:pt idx="1989">
                <c:v>Baldwin Bikes</c:v>
              </c:pt>
              <c:pt idx="1990">
                <c:v>Baldwin Bikes</c:v>
              </c:pt>
              <c:pt idx="1991">
                <c:v>Baldwin Bikes</c:v>
              </c:pt>
              <c:pt idx="1992">
                <c:v>Santa Cruz Bikes</c:v>
              </c:pt>
              <c:pt idx="1993">
                <c:v>Santa Cruz Bikes</c:v>
              </c:pt>
              <c:pt idx="1994">
                <c:v>Santa Cruz Bikes</c:v>
              </c:pt>
              <c:pt idx="1995">
                <c:v>Baldwin Bikes</c:v>
              </c:pt>
              <c:pt idx="1996">
                <c:v>Baldwin Bikes</c:v>
              </c:pt>
              <c:pt idx="1997">
                <c:v>Baldwin Bikes</c:v>
              </c:pt>
              <c:pt idx="1998">
                <c:v>Baldwin Bikes</c:v>
              </c:pt>
              <c:pt idx="1999">
                <c:v>Santa Cruz Bikes</c:v>
              </c:pt>
              <c:pt idx="2000">
                <c:v>Santa Cruz Bikes</c:v>
              </c:pt>
              <c:pt idx="2001">
                <c:v>Santa Cruz Bikes</c:v>
              </c:pt>
              <c:pt idx="2002">
                <c:v>Baldwin Bikes</c:v>
              </c:pt>
              <c:pt idx="2003">
                <c:v>Baldwin Bikes</c:v>
              </c:pt>
              <c:pt idx="2004">
                <c:v>Baldwin Bikes</c:v>
              </c:pt>
              <c:pt idx="2005">
                <c:v>Baldwin Bikes</c:v>
              </c:pt>
              <c:pt idx="2006">
                <c:v>Baldwin Bikes</c:v>
              </c:pt>
              <c:pt idx="2007">
                <c:v>Baldwin Bikes</c:v>
              </c:pt>
              <c:pt idx="2008">
                <c:v>Baldwin Bikes</c:v>
              </c:pt>
              <c:pt idx="2009">
                <c:v>Baldwin Bikes</c:v>
              </c:pt>
              <c:pt idx="2010">
                <c:v>Baldwin Bikes</c:v>
              </c:pt>
              <c:pt idx="2011">
                <c:v>Baldwin Bikes</c:v>
              </c:pt>
              <c:pt idx="2012">
                <c:v>Baldwin Bikes</c:v>
              </c:pt>
              <c:pt idx="2013">
                <c:v>Rowlett Bikes</c:v>
              </c:pt>
              <c:pt idx="2014">
                <c:v>Rowlett Bikes</c:v>
              </c:pt>
              <c:pt idx="2015">
                <c:v>Rowlett Bikes</c:v>
              </c:pt>
              <c:pt idx="2016">
                <c:v>Rowlett Bikes</c:v>
              </c:pt>
              <c:pt idx="2017">
                <c:v>Rowlett Bikes</c:v>
              </c:pt>
              <c:pt idx="2018">
                <c:v>Rowlett Bikes</c:v>
              </c:pt>
              <c:pt idx="2019">
                <c:v>Rowlett Bikes</c:v>
              </c:pt>
              <c:pt idx="2020">
                <c:v>Rowlett Bikes</c:v>
              </c:pt>
              <c:pt idx="2021">
                <c:v>Rowlett Bikes</c:v>
              </c:pt>
              <c:pt idx="2022">
                <c:v>Baldwin Bikes</c:v>
              </c:pt>
              <c:pt idx="2023">
                <c:v>Baldwin Bikes</c:v>
              </c:pt>
              <c:pt idx="2024">
                <c:v>Baldwin Bikes</c:v>
              </c:pt>
              <c:pt idx="2025">
                <c:v>Baldwin Bikes</c:v>
              </c:pt>
              <c:pt idx="2026">
                <c:v>Baldwin Bikes</c:v>
              </c:pt>
              <c:pt idx="2027">
                <c:v>Baldwin Bikes</c:v>
              </c:pt>
              <c:pt idx="2028">
                <c:v>Baldwin Bikes</c:v>
              </c:pt>
              <c:pt idx="2029">
                <c:v>Baldwin Bikes</c:v>
              </c:pt>
              <c:pt idx="2030">
                <c:v>Baldwin Bikes</c:v>
              </c:pt>
              <c:pt idx="2031">
                <c:v>Baldwin Bikes</c:v>
              </c:pt>
              <c:pt idx="2032">
                <c:v>Baldwin Bikes</c:v>
              </c:pt>
              <c:pt idx="2033">
                <c:v>Baldwin Bikes</c:v>
              </c:pt>
              <c:pt idx="2034">
                <c:v>Baldwin Bikes</c:v>
              </c:pt>
              <c:pt idx="2035">
                <c:v>Baldwin Bikes</c:v>
              </c:pt>
              <c:pt idx="2036">
                <c:v>Baldwin Bikes</c:v>
              </c:pt>
              <c:pt idx="2037">
                <c:v>Baldwin Bikes</c:v>
              </c:pt>
              <c:pt idx="2038">
                <c:v>Baldwin Bikes</c:v>
              </c:pt>
              <c:pt idx="2039">
                <c:v>Baldwin Bikes</c:v>
              </c:pt>
              <c:pt idx="2040">
                <c:v>Baldwin Bikes</c:v>
              </c:pt>
              <c:pt idx="2041">
                <c:v>Baldwin Bikes</c:v>
              </c:pt>
              <c:pt idx="2042">
                <c:v>Baldwin Bikes</c:v>
              </c:pt>
              <c:pt idx="2043">
                <c:v>Baldwin Bikes</c:v>
              </c:pt>
              <c:pt idx="2044">
                <c:v>Baldwin Bikes</c:v>
              </c:pt>
              <c:pt idx="2045">
                <c:v>Baldwin Bikes</c:v>
              </c:pt>
              <c:pt idx="2046">
                <c:v>Baldwin Bikes</c:v>
              </c:pt>
              <c:pt idx="2047">
                <c:v>Baldwin Bikes</c:v>
              </c:pt>
              <c:pt idx="2048">
                <c:v>Baldwin Bikes</c:v>
              </c:pt>
              <c:pt idx="2049">
                <c:v>Baldwin Bikes</c:v>
              </c:pt>
              <c:pt idx="2050">
                <c:v>Baldwin Bikes</c:v>
              </c:pt>
              <c:pt idx="2051">
                <c:v>Baldwin Bikes</c:v>
              </c:pt>
              <c:pt idx="2052">
                <c:v>Baldwin Bikes</c:v>
              </c:pt>
              <c:pt idx="2053">
                <c:v>Baldwin Bikes</c:v>
              </c:pt>
              <c:pt idx="2054">
                <c:v>Baldwin Bikes</c:v>
              </c:pt>
              <c:pt idx="2055">
                <c:v>Baldwin Bikes</c:v>
              </c:pt>
              <c:pt idx="2056">
                <c:v>Rowlett Bikes</c:v>
              </c:pt>
              <c:pt idx="2057">
                <c:v>Rowlett Bikes</c:v>
              </c:pt>
              <c:pt idx="2058">
                <c:v>Santa Cruz Bikes</c:v>
              </c:pt>
              <c:pt idx="2059">
                <c:v>Santa Cruz Bikes</c:v>
              </c:pt>
              <c:pt idx="2060">
                <c:v>Santa Cruz Bikes</c:v>
              </c:pt>
              <c:pt idx="2061">
                <c:v>Santa Cruz Bikes</c:v>
              </c:pt>
              <c:pt idx="2062">
                <c:v>Baldwin Bikes</c:v>
              </c:pt>
              <c:pt idx="2063">
                <c:v>Baldwin Bikes</c:v>
              </c:pt>
              <c:pt idx="2064">
                <c:v>Baldwin Bikes</c:v>
              </c:pt>
              <c:pt idx="2065">
                <c:v>Baldwin Bikes</c:v>
              </c:pt>
              <c:pt idx="2066">
                <c:v>Baldwin Bikes</c:v>
              </c:pt>
              <c:pt idx="2067">
                <c:v>Rowlett Bikes</c:v>
              </c:pt>
              <c:pt idx="2068">
                <c:v>Rowlett Bikes</c:v>
              </c:pt>
              <c:pt idx="2069">
                <c:v>Rowlett Bikes</c:v>
              </c:pt>
              <c:pt idx="2070">
                <c:v>Rowlett Bikes</c:v>
              </c:pt>
              <c:pt idx="2071">
                <c:v>Baldwin Bikes</c:v>
              </c:pt>
              <c:pt idx="2072">
                <c:v>Baldwin Bikes</c:v>
              </c:pt>
              <c:pt idx="2073">
                <c:v>Baldwin Bikes</c:v>
              </c:pt>
              <c:pt idx="2074">
                <c:v>Baldwin Bikes</c:v>
              </c:pt>
              <c:pt idx="2075">
                <c:v>Baldwin Bikes</c:v>
              </c:pt>
              <c:pt idx="2076">
                <c:v>Rowlett Bikes</c:v>
              </c:pt>
              <c:pt idx="2077">
                <c:v>Rowlett Bikes</c:v>
              </c:pt>
              <c:pt idx="2078">
                <c:v>Rowlett Bikes</c:v>
              </c:pt>
              <c:pt idx="2079">
                <c:v>Rowlett Bikes</c:v>
              </c:pt>
              <c:pt idx="2080">
                <c:v>Rowlett Bikes</c:v>
              </c:pt>
              <c:pt idx="2081">
                <c:v>Rowlett Bikes</c:v>
              </c:pt>
              <c:pt idx="2082">
                <c:v>Baldwin Bikes</c:v>
              </c:pt>
              <c:pt idx="2083">
                <c:v>Baldwin Bikes</c:v>
              </c:pt>
              <c:pt idx="2084">
                <c:v>Baldwin Bikes</c:v>
              </c:pt>
              <c:pt idx="2085">
                <c:v>Baldwin Bikes</c:v>
              </c:pt>
              <c:pt idx="2086">
                <c:v>Baldwin Bikes</c:v>
              </c:pt>
              <c:pt idx="2087">
                <c:v>Baldwin Bikes</c:v>
              </c:pt>
              <c:pt idx="2088">
                <c:v>Baldwin Bikes</c:v>
              </c:pt>
              <c:pt idx="2089">
                <c:v>Santa Cruz Bikes</c:v>
              </c:pt>
              <c:pt idx="2090">
                <c:v>Santa Cruz Bikes</c:v>
              </c:pt>
              <c:pt idx="2091">
                <c:v>Santa Cruz Bikes</c:v>
              </c:pt>
              <c:pt idx="2092">
                <c:v>Santa Cruz Bikes</c:v>
              </c:pt>
              <c:pt idx="2093">
                <c:v>Baldwin Bikes</c:v>
              </c:pt>
              <c:pt idx="2094">
                <c:v>Baldwin Bikes</c:v>
              </c:pt>
              <c:pt idx="2095">
                <c:v>Baldwin Bikes</c:v>
              </c:pt>
              <c:pt idx="2096">
                <c:v>Baldwin Bikes</c:v>
              </c:pt>
              <c:pt idx="2097">
                <c:v>Baldwin Bikes</c:v>
              </c:pt>
              <c:pt idx="2098">
                <c:v>Baldwin Bikes</c:v>
              </c:pt>
              <c:pt idx="2099">
                <c:v>Rowlett Bikes</c:v>
              </c:pt>
              <c:pt idx="2100">
                <c:v>Rowlett Bikes</c:v>
              </c:pt>
              <c:pt idx="2101">
                <c:v>Rowlett Bikes</c:v>
              </c:pt>
              <c:pt idx="2102">
                <c:v>Rowlett Bikes</c:v>
              </c:pt>
              <c:pt idx="2103">
                <c:v>Rowlett Bikes</c:v>
              </c:pt>
              <c:pt idx="2104">
                <c:v>Rowlett Bikes</c:v>
              </c:pt>
              <c:pt idx="2105">
                <c:v>Baldwin Bikes</c:v>
              </c:pt>
              <c:pt idx="2106">
                <c:v>Baldwin Bikes</c:v>
              </c:pt>
              <c:pt idx="2107">
                <c:v>Baldwin Bikes</c:v>
              </c:pt>
              <c:pt idx="2108">
                <c:v>Baldwin Bikes</c:v>
              </c:pt>
              <c:pt idx="2109">
                <c:v>Baldwin Bikes</c:v>
              </c:pt>
              <c:pt idx="2110">
                <c:v>Santa Cruz Bikes</c:v>
              </c:pt>
              <c:pt idx="2111">
                <c:v>Santa Cruz Bikes</c:v>
              </c:pt>
              <c:pt idx="2112">
                <c:v>Santa Cruz Bikes</c:v>
              </c:pt>
              <c:pt idx="2113">
                <c:v>Santa Cruz Bikes</c:v>
              </c:pt>
              <c:pt idx="2114">
                <c:v>Santa Cruz Bikes</c:v>
              </c:pt>
              <c:pt idx="2115">
                <c:v>Rowlett Bikes</c:v>
              </c:pt>
              <c:pt idx="2116">
                <c:v>Rowlett Bikes</c:v>
              </c:pt>
              <c:pt idx="2117">
                <c:v>Rowlett Bikes</c:v>
              </c:pt>
              <c:pt idx="2118">
                <c:v>Rowlett Bikes</c:v>
              </c:pt>
              <c:pt idx="2119">
                <c:v>Baldwin Bikes</c:v>
              </c:pt>
              <c:pt idx="2120">
                <c:v>Baldwin Bikes</c:v>
              </c:pt>
              <c:pt idx="2121">
                <c:v>Baldwin Bikes</c:v>
              </c:pt>
              <c:pt idx="2122">
                <c:v>Baldwin Bikes</c:v>
              </c:pt>
              <c:pt idx="2123">
                <c:v>Baldwin Bikes</c:v>
              </c:pt>
              <c:pt idx="2124">
                <c:v>Rowlett Bikes</c:v>
              </c:pt>
              <c:pt idx="2125">
                <c:v>Rowlett Bikes</c:v>
              </c:pt>
              <c:pt idx="2126">
                <c:v>Santa Cruz Bikes</c:v>
              </c:pt>
              <c:pt idx="2127">
                <c:v>Baldwin Bikes</c:v>
              </c:pt>
              <c:pt idx="2128">
                <c:v>Baldwin Bikes</c:v>
              </c:pt>
              <c:pt idx="2129">
                <c:v>Baldwin Bikes</c:v>
              </c:pt>
              <c:pt idx="2130">
                <c:v>Baldwin Bikes</c:v>
              </c:pt>
              <c:pt idx="2131">
                <c:v>Baldwin Bikes</c:v>
              </c:pt>
              <c:pt idx="2132">
                <c:v>Baldwin Bikes</c:v>
              </c:pt>
              <c:pt idx="2133">
                <c:v>Baldwin Bikes</c:v>
              </c:pt>
              <c:pt idx="2134">
                <c:v>Santa Cruz Bikes</c:v>
              </c:pt>
              <c:pt idx="2135">
                <c:v>Santa Cruz Bikes</c:v>
              </c:pt>
              <c:pt idx="2136">
                <c:v>Santa Cruz Bikes</c:v>
              </c:pt>
              <c:pt idx="2137">
                <c:v>Santa Cruz Bikes</c:v>
              </c:pt>
              <c:pt idx="2138">
                <c:v>Santa Cruz Bikes</c:v>
              </c:pt>
              <c:pt idx="2139">
                <c:v>Baldwin Bikes</c:v>
              </c:pt>
              <c:pt idx="2140">
                <c:v>Baldwin Bikes</c:v>
              </c:pt>
              <c:pt idx="2141">
                <c:v>Baldwin Bikes</c:v>
              </c:pt>
              <c:pt idx="2142">
                <c:v>Baldwin Bikes</c:v>
              </c:pt>
              <c:pt idx="2143">
                <c:v>Baldwin Bikes</c:v>
              </c:pt>
              <c:pt idx="2144">
                <c:v>Baldwin Bikes</c:v>
              </c:pt>
              <c:pt idx="2145">
                <c:v>Rowlett Bikes</c:v>
              </c:pt>
              <c:pt idx="2146">
                <c:v>Rowlett Bikes</c:v>
              </c:pt>
              <c:pt idx="2147">
                <c:v>Rowlett Bikes</c:v>
              </c:pt>
              <c:pt idx="2148">
                <c:v>Rowlett Bikes</c:v>
              </c:pt>
              <c:pt idx="2149">
                <c:v>Rowlett Bikes</c:v>
              </c:pt>
              <c:pt idx="2150">
                <c:v>Baldwin Bikes</c:v>
              </c:pt>
              <c:pt idx="2151">
                <c:v>Baldwin Bikes</c:v>
              </c:pt>
              <c:pt idx="2152">
                <c:v>Baldwin Bikes</c:v>
              </c:pt>
              <c:pt idx="2153">
                <c:v>Baldwin Bikes</c:v>
              </c:pt>
              <c:pt idx="2154">
                <c:v>Baldwin Bikes</c:v>
              </c:pt>
              <c:pt idx="2155">
                <c:v>Baldwin Bikes</c:v>
              </c:pt>
              <c:pt idx="2156">
                <c:v>Baldwin Bikes</c:v>
              </c:pt>
              <c:pt idx="2157">
                <c:v>Rowlett Bikes</c:v>
              </c:pt>
              <c:pt idx="2158">
                <c:v>Rowlett Bikes</c:v>
              </c:pt>
              <c:pt idx="2159">
                <c:v>Santa Cruz Bikes</c:v>
              </c:pt>
              <c:pt idx="2160">
                <c:v>Santa Cruz Bikes</c:v>
              </c:pt>
              <c:pt idx="2161">
                <c:v>Santa Cruz Bikes</c:v>
              </c:pt>
              <c:pt idx="2162">
                <c:v>Santa Cruz Bikes</c:v>
              </c:pt>
              <c:pt idx="2163">
                <c:v>Santa Cruz Bikes</c:v>
              </c:pt>
              <c:pt idx="2164">
                <c:v>Santa Cruz Bikes</c:v>
              </c:pt>
              <c:pt idx="2165">
                <c:v>Santa Cruz Bikes</c:v>
              </c:pt>
              <c:pt idx="2166">
                <c:v>Santa Cruz Bikes</c:v>
              </c:pt>
              <c:pt idx="2167">
                <c:v>Baldwin Bikes</c:v>
              </c:pt>
              <c:pt idx="2168">
                <c:v>Baldwin Bikes</c:v>
              </c:pt>
              <c:pt idx="2169">
                <c:v>Baldwin Bikes</c:v>
              </c:pt>
              <c:pt idx="2170">
                <c:v>Baldwin Bikes</c:v>
              </c:pt>
              <c:pt idx="2171">
                <c:v>Baldwin Bikes</c:v>
              </c:pt>
              <c:pt idx="2172">
                <c:v>Baldwin Bikes</c:v>
              </c:pt>
              <c:pt idx="2173">
                <c:v>Baldwin Bikes</c:v>
              </c:pt>
              <c:pt idx="2174">
                <c:v>Baldwin Bikes</c:v>
              </c:pt>
              <c:pt idx="2175">
                <c:v>Baldwin Bikes</c:v>
              </c:pt>
              <c:pt idx="2176">
                <c:v>Baldwin Bikes</c:v>
              </c:pt>
              <c:pt idx="2177">
                <c:v>Rowlett Bikes</c:v>
              </c:pt>
              <c:pt idx="2178">
                <c:v>Rowlett Bikes</c:v>
              </c:pt>
              <c:pt idx="2179">
                <c:v>Rowlett Bikes</c:v>
              </c:pt>
              <c:pt idx="2180">
                <c:v>Rowlett Bikes</c:v>
              </c:pt>
              <c:pt idx="2181">
                <c:v>Santa Cruz Bikes</c:v>
              </c:pt>
              <c:pt idx="2182">
                <c:v>Santa Cruz Bikes</c:v>
              </c:pt>
              <c:pt idx="2183">
                <c:v>Baldwin Bikes</c:v>
              </c:pt>
              <c:pt idx="2184">
                <c:v>Baldwin Bikes</c:v>
              </c:pt>
              <c:pt idx="2185">
                <c:v>Baldwin Bikes</c:v>
              </c:pt>
              <c:pt idx="2186">
                <c:v>Baldwin Bikes</c:v>
              </c:pt>
              <c:pt idx="2187">
                <c:v>Baldwin Bikes</c:v>
              </c:pt>
              <c:pt idx="2188">
                <c:v>Baldwin Bikes</c:v>
              </c:pt>
              <c:pt idx="2189">
                <c:v>Baldwin Bikes</c:v>
              </c:pt>
              <c:pt idx="2190">
                <c:v>Baldwin Bikes</c:v>
              </c:pt>
              <c:pt idx="2191">
                <c:v>Baldwin Bikes</c:v>
              </c:pt>
              <c:pt idx="2192">
                <c:v>Baldwin Bikes</c:v>
              </c:pt>
              <c:pt idx="2193">
                <c:v>Baldwin Bikes</c:v>
              </c:pt>
              <c:pt idx="2194">
                <c:v>Baldwin Bikes</c:v>
              </c:pt>
              <c:pt idx="2195">
                <c:v>Baldwin Bikes</c:v>
              </c:pt>
              <c:pt idx="2196">
                <c:v>Baldwin Bikes</c:v>
              </c:pt>
              <c:pt idx="2197">
                <c:v>Baldwin Bikes</c:v>
              </c:pt>
              <c:pt idx="2198">
                <c:v>Baldwin Bikes</c:v>
              </c:pt>
              <c:pt idx="2199">
                <c:v>Baldwin Bikes</c:v>
              </c:pt>
              <c:pt idx="2200">
                <c:v>Baldwin Bikes</c:v>
              </c:pt>
              <c:pt idx="2201">
                <c:v>Rowlett Bikes</c:v>
              </c:pt>
              <c:pt idx="2202">
                <c:v>Rowlett Bikes</c:v>
              </c:pt>
              <c:pt idx="2203">
                <c:v>Baldwin Bikes</c:v>
              </c:pt>
              <c:pt idx="2204">
                <c:v>Baldwin Bikes</c:v>
              </c:pt>
              <c:pt idx="2205">
                <c:v>Baldwin Bikes</c:v>
              </c:pt>
              <c:pt idx="2206">
                <c:v>Baldwin Bikes</c:v>
              </c:pt>
              <c:pt idx="2207">
                <c:v>Baldwin Bikes</c:v>
              </c:pt>
              <c:pt idx="2208">
                <c:v>Baldwin Bikes</c:v>
              </c:pt>
              <c:pt idx="2209">
                <c:v>Baldwin Bikes</c:v>
              </c:pt>
              <c:pt idx="2210">
                <c:v>Baldwin Bikes</c:v>
              </c:pt>
              <c:pt idx="2211">
                <c:v>Baldwin Bikes</c:v>
              </c:pt>
              <c:pt idx="2212">
                <c:v>Baldwin Bikes</c:v>
              </c:pt>
              <c:pt idx="2213">
                <c:v>Baldwin Bikes</c:v>
              </c:pt>
              <c:pt idx="2214">
                <c:v>Baldwin Bikes</c:v>
              </c:pt>
              <c:pt idx="2215">
                <c:v>Baldwin Bikes</c:v>
              </c:pt>
              <c:pt idx="2216">
                <c:v>Santa Cruz Bikes</c:v>
              </c:pt>
              <c:pt idx="2217">
                <c:v>Santa Cruz Bikes</c:v>
              </c:pt>
              <c:pt idx="2218">
                <c:v>Santa Cruz Bikes</c:v>
              </c:pt>
              <c:pt idx="2219">
                <c:v>Santa Cruz Bikes</c:v>
              </c:pt>
              <c:pt idx="2220">
                <c:v>Baldwin Bikes</c:v>
              </c:pt>
              <c:pt idx="2221">
                <c:v>Baldwin Bikes</c:v>
              </c:pt>
              <c:pt idx="2222">
                <c:v>Baldwin Bikes</c:v>
              </c:pt>
              <c:pt idx="2223">
                <c:v>Santa Cruz Bikes</c:v>
              </c:pt>
              <c:pt idx="2224">
                <c:v>Santa Cruz Bikes</c:v>
              </c:pt>
              <c:pt idx="2225">
                <c:v>Santa Cruz Bikes</c:v>
              </c:pt>
              <c:pt idx="2226">
                <c:v>Baldwin Bikes</c:v>
              </c:pt>
              <c:pt idx="2227">
                <c:v>Rowlett Bikes</c:v>
              </c:pt>
              <c:pt idx="2228">
                <c:v>Rowlett Bikes</c:v>
              </c:pt>
              <c:pt idx="2229">
                <c:v>Rowlett Bikes</c:v>
              </c:pt>
              <c:pt idx="2230">
                <c:v>Rowlett Bikes</c:v>
              </c:pt>
              <c:pt idx="2231">
                <c:v>Rowlett Bikes</c:v>
              </c:pt>
              <c:pt idx="2232">
                <c:v>Baldwin Bikes</c:v>
              </c:pt>
              <c:pt idx="2233">
                <c:v>Baldwin Bikes</c:v>
              </c:pt>
              <c:pt idx="2234">
                <c:v>Baldwin Bikes</c:v>
              </c:pt>
              <c:pt idx="2235">
                <c:v>Baldwin Bikes</c:v>
              </c:pt>
              <c:pt idx="2236">
                <c:v>Baldwin Bikes</c:v>
              </c:pt>
              <c:pt idx="2237">
                <c:v>Baldwin Bikes</c:v>
              </c:pt>
              <c:pt idx="2238">
                <c:v>Baldwin Bikes</c:v>
              </c:pt>
              <c:pt idx="2239">
                <c:v>Baldwin Bikes</c:v>
              </c:pt>
              <c:pt idx="2240">
                <c:v>Baldwin Bikes</c:v>
              </c:pt>
              <c:pt idx="2241">
                <c:v>Baldwin Bikes</c:v>
              </c:pt>
              <c:pt idx="2242">
                <c:v>Baldwin Bikes</c:v>
              </c:pt>
              <c:pt idx="2243">
                <c:v>Baldwin Bikes</c:v>
              </c:pt>
              <c:pt idx="2244">
                <c:v>Baldwin Bikes</c:v>
              </c:pt>
              <c:pt idx="2245">
                <c:v>Baldwin Bikes</c:v>
              </c:pt>
              <c:pt idx="2246">
                <c:v>Baldwin Bikes</c:v>
              </c:pt>
              <c:pt idx="2247">
                <c:v>Baldwin Bikes</c:v>
              </c:pt>
              <c:pt idx="2248">
                <c:v>Baldwin Bikes</c:v>
              </c:pt>
              <c:pt idx="2249">
                <c:v>Baldwin Bikes</c:v>
              </c:pt>
              <c:pt idx="2250">
                <c:v>Baldwin Bikes</c:v>
              </c:pt>
              <c:pt idx="2251">
                <c:v>Baldwin Bikes</c:v>
              </c:pt>
              <c:pt idx="2252">
                <c:v>Rowlett Bikes</c:v>
              </c:pt>
              <c:pt idx="2253">
                <c:v>Baldwin Bikes</c:v>
              </c:pt>
              <c:pt idx="2254">
                <c:v>Baldwin Bikes</c:v>
              </c:pt>
              <c:pt idx="2255">
                <c:v>Baldwin Bikes</c:v>
              </c:pt>
              <c:pt idx="2256">
                <c:v>Baldwin Bikes</c:v>
              </c:pt>
              <c:pt idx="2257">
                <c:v>Baldwin Bikes</c:v>
              </c:pt>
              <c:pt idx="2258">
                <c:v>Santa Cruz Bikes</c:v>
              </c:pt>
              <c:pt idx="2259">
                <c:v>Santa Cruz Bikes</c:v>
              </c:pt>
              <c:pt idx="2260">
                <c:v>Santa Cruz Bikes</c:v>
              </c:pt>
              <c:pt idx="2261">
                <c:v>Santa Cruz Bikes</c:v>
              </c:pt>
              <c:pt idx="2262">
                <c:v>Santa Cruz Bikes</c:v>
              </c:pt>
              <c:pt idx="2263">
                <c:v>Santa Cruz Bikes</c:v>
              </c:pt>
              <c:pt idx="2264">
                <c:v>Santa Cruz Bikes</c:v>
              </c:pt>
              <c:pt idx="2265">
                <c:v>Santa Cruz Bikes</c:v>
              </c:pt>
              <c:pt idx="2266">
                <c:v>Santa Cruz Bikes</c:v>
              </c:pt>
              <c:pt idx="2267">
                <c:v>Santa Cruz Bikes</c:v>
              </c:pt>
              <c:pt idx="2268">
                <c:v>Baldwin Bikes</c:v>
              </c:pt>
              <c:pt idx="2269">
                <c:v>Baldwin Bikes</c:v>
              </c:pt>
              <c:pt idx="2270">
                <c:v>Baldwin Bikes</c:v>
              </c:pt>
              <c:pt idx="2271">
                <c:v>Baldwin Bikes</c:v>
              </c:pt>
              <c:pt idx="2272">
                <c:v>Baldwin Bikes</c:v>
              </c:pt>
              <c:pt idx="2273">
                <c:v>Santa Cruz Bikes</c:v>
              </c:pt>
              <c:pt idx="2274">
                <c:v>Baldwin Bikes</c:v>
              </c:pt>
              <c:pt idx="2275">
                <c:v>Baldwin Bikes</c:v>
              </c:pt>
              <c:pt idx="2276">
                <c:v>Baldwin Bikes</c:v>
              </c:pt>
              <c:pt idx="2277">
                <c:v>Baldwin Bikes</c:v>
              </c:pt>
              <c:pt idx="2278">
                <c:v>Rowlett Bikes</c:v>
              </c:pt>
              <c:pt idx="2279">
                <c:v>Rowlett Bikes</c:v>
              </c:pt>
              <c:pt idx="2280">
                <c:v>Rowlett Bikes</c:v>
              </c:pt>
              <c:pt idx="2281">
                <c:v>Rowlett Bikes</c:v>
              </c:pt>
              <c:pt idx="2282">
                <c:v>Baldwin Bikes</c:v>
              </c:pt>
              <c:pt idx="2283">
                <c:v>Baldwin Bikes</c:v>
              </c:pt>
              <c:pt idx="2284">
                <c:v>Baldwin Bikes</c:v>
              </c:pt>
              <c:pt idx="2285">
                <c:v>Baldwin Bikes</c:v>
              </c:pt>
              <c:pt idx="2286">
                <c:v>Baldwin Bikes</c:v>
              </c:pt>
              <c:pt idx="2287">
                <c:v>Baldwin Bikes</c:v>
              </c:pt>
              <c:pt idx="2288">
                <c:v>Baldwin Bikes</c:v>
              </c:pt>
              <c:pt idx="2289">
                <c:v>Baldwin Bikes</c:v>
              </c:pt>
              <c:pt idx="2290">
                <c:v>Baldwin Bikes</c:v>
              </c:pt>
              <c:pt idx="2291">
                <c:v>Baldwin Bikes</c:v>
              </c:pt>
              <c:pt idx="2292">
                <c:v>Baldwin Bikes</c:v>
              </c:pt>
              <c:pt idx="2293">
                <c:v>Baldwin Bikes</c:v>
              </c:pt>
              <c:pt idx="2294">
                <c:v>Baldwin Bikes</c:v>
              </c:pt>
              <c:pt idx="2295">
                <c:v>Baldwin Bikes</c:v>
              </c:pt>
              <c:pt idx="2296">
                <c:v>Baldwin Bikes</c:v>
              </c:pt>
              <c:pt idx="2297">
                <c:v>Baldwin Bikes</c:v>
              </c:pt>
              <c:pt idx="2298">
                <c:v>Baldwin Bikes</c:v>
              </c:pt>
              <c:pt idx="2299">
                <c:v>Baldwin Bikes</c:v>
              </c:pt>
              <c:pt idx="2300">
                <c:v>Baldwin Bikes</c:v>
              </c:pt>
              <c:pt idx="2301">
                <c:v>Baldwin Bikes</c:v>
              </c:pt>
              <c:pt idx="2302">
                <c:v>Baldwin Bikes</c:v>
              </c:pt>
              <c:pt idx="2303">
                <c:v>Baldwin Bikes</c:v>
              </c:pt>
              <c:pt idx="2304">
                <c:v>Baldwin Bikes</c:v>
              </c:pt>
              <c:pt idx="2305">
                <c:v>Baldwin Bikes</c:v>
              </c:pt>
              <c:pt idx="2306">
                <c:v>Baldwin Bikes</c:v>
              </c:pt>
              <c:pt idx="2307">
                <c:v>Rowlett Bikes</c:v>
              </c:pt>
              <c:pt idx="2308">
                <c:v>Rowlett Bikes</c:v>
              </c:pt>
              <c:pt idx="2309">
                <c:v>Rowlett Bikes</c:v>
              </c:pt>
              <c:pt idx="2310">
                <c:v>Rowlett Bikes</c:v>
              </c:pt>
              <c:pt idx="2311">
                <c:v>Baldwin Bikes</c:v>
              </c:pt>
              <c:pt idx="2312">
                <c:v>Baldwin Bikes</c:v>
              </c:pt>
              <c:pt idx="2313">
                <c:v>Baldwin Bikes</c:v>
              </c:pt>
              <c:pt idx="2314">
                <c:v>Baldwin Bikes</c:v>
              </c:pt>
              <c:pt idx="2315">
                <c:v>Baldwin Bikes</c:v>
              </c:pt>
              <c:pt idx="2316">
                <c:v>Baldwin Bikes</c:v>
              </c:pt>
              <c:pt idx="2317">
                <c:v>Rowlett Bikes</c:v>
              </c:pt>
              <c:pt idx="2318">
                <c:v>Rowlett Bikes</c:v>
              </c:pt>
              <c:pt idx="2319">
                <c:v>Rowlett Bikes</c:v>
              </c:pt>
              <c:pt idx="2320">
                <c:v>Rowlett Bikes</c:v>
              </c:pt>
              <c:pt idx="2321">
                <c:v>Rowlett Bikes</c:v>
              </c:pt>
              <c:pt idx="2322">
                <c:v>Baldwin Bikes</c:v>
              </c:pt>
              <c:pt idx="2323">
                <c:v>Baldwin Bikes</c:v>
              </c:pt>
              <c:pt idx="2324">
                <c:v>Baldwin Bikes</c:v>
              </c:pt>
              <c:pt idx="2325">
                <c:v>Baldwin Bikes</c:v>
              </c:pt>
              <c:pt idx="2326">
                <c:v>Santa Cruz Bikes</c:v>
              </c:pt>
              <c:pt idx="2327">
                <c:v>Santa Cruz Bikes</c:v>
              </c:pt>
              <c:pt idx="2328">
                <c:v>Santa Cruz Bikes</c:v>
              </c:pt>
              <c:pt idx="2329">
                <c:v>Santa Cruz Bikes</c:v>
              </c:pt>
              <c:pt idx="2330">
                <c:v>Baldwin Bikes</c:v>
              </c:pt>
              <c:pt idx="2331">
                <c:v>Baldwin Bikes</c:v>
              </c:pt>
              <c:pt idx="2332">
                <c:v>Baldwin Bikes</c:v>
              </c:pt>
              <c:pt idx="2333">
                <c:v>Baldwin Bikes</c:v>
              </c:pt>
              <c:pt idx="2334">
                <c:v>Baldwin Bikes</c:v>
              </c:pt>
              <c:pt idx="2335">
                <c:v>Baldwin Bikes</c:v>
              </c:pt>
              <c:pt idx="2336">
                <c:v>Baldwin Bikes</c:v>
              </c:pt>
              <c:pt idx="2337">
                <c:v>Baldwin Bikes</c:v>
              </c:pt>
              <c:pt idx="2338">
                <c:v>Baldwin Bikes</c:v>
              </c:pt>
              <c:pt idx="2339">
                <c:v>Rowlett Bikes</c:v>
              </c:pt>
              <c:pt idx="2340">
                <c:v>Baldwin Bikes</c:v>
              </c:pt>
              <c:pt idx="2341">
                <c:v>Baldwin Bikes</c:v>
              </c:pt>
              <c:pt idx="2342">
                <c:v>Baldwin Bikes</c:v>
              </c:pt>
              <c:pt idx="2343">
                <c:v>Baldwin Bikes</c:v>
              </c:pt>
              <c:pt idx="2344">
                <c:v>Baldwin Bikes</c:v>
              </c:pt>
              <c:pt idx="2345">
                <c:v>Baldwin Bikes</c:v>
              </c:pt>
              <c:pt idx="2346">
                <c:v>Baldwin Bikes</c:v>
              </c:pt>
              <c:pt idx="2347">
                <c:v>Rowlett Bikes</c:v>
              </c:pt>
              <c:pt idx="2348">
                <c:v>Rowlett Bikes</c:v>
              </c:pt>
              <c:pt idx="2349">
                <c:v>Rowlett Bikes</c:v>
              </c:pt>
              <c:pt idx="2350">
                <c:v>Santa Cruz Bikes</c:v>
              </c:pt>
              <c:pt idx="2351">
                <c:v>Baldwin Bikes</c:v>
              </c:pt>
              <c:pt idx="2352">
                <c:v>Baldwin Bikes</c:v>
              </c:pt>
              <c:pt idx="2353">
                <c:v>Baldwin Bikes</c:v>
              </c:pt>
              <c:pt idx="2354">
                <c:v>Baldwin Bikes</c:v>
              </c:pt>
              <c:pt idx="2355">
                <c:v>Baldwin Bikes</c:v>
              </c:pt>
              <c:pt idx="2356">
                <c:v>Baldwin Bikes</c:v>
              </c:pt>
              <c:pt idx="2357">
                <c:v>Baldwin Bikes</c:v>
              </c:pt>
              <c:pt idx="2358">
                <c:v>Baldwin Bikes</c:v>
              </c:pt>
              <c:pt idx="2359">
                <c:v>Baldwin Bikes</c:v>
              </c:pt>
              <c:pt idx="2360">
                <c:v>Baldwin Bikes</c:v>
              </c:pt>
              <c:pt idx="2361">
                <c:v>Baldwin Bikes</c:v>
              </c:pt>
              <c:pt idx="2362">
                <c:v>Baldwin Bikes</c:v>
              </c:pt>
              <c:pt idx="2363">
                <c:v>Baldwin Bikes</c:v>
              </c:pt>
              <c:pt idx="2364">
                <c:v>Baldwin Bikes</c:v>
              </c:pt>
              <c:pt idx="2365">
                <c:v>Baldwin Bikes</c:v>
              </c:pt>
              <c:pt idx="2366">
                <c:v>Baldwin Bikes</c:v>
              </c:pt>
              <c:pt idx="2367">
                <c:v>Baldwin Bikes</c:v>
              </c:pt>
              <c:pt idx="2368">
                <c:v>Baldwin Bikes</c:v>
              </c:pt>
              <c:pt idx="2369">
                <c:v>Baldwin Bikes</c:v>
              </c:pt>
              <c:pt idx="2370">
                <c:v>Baldwin Bikes</c:v>
              </c:pt>
              <c:pt idx="2371">
                <c:v>Baldwin Bikes</c:v>
              </c:pt>
              <c:pt idx="2372">
                <c:v>Baldwin Bikes</c:v>
              </c:pt>
              <c:pt idx="2373">
                <c:v>Baldwin Bikes</c:v>
              </c:pt>
              <c:pt idx="2374">
                <c:v>Baldwin Bikes</c:v>
              </c:pt>
              <c:pt idx="2375">
                <c:v>Baldwin Bikes</c:v>
              </c:pt>
              <c:pt idx="2376">
                <c:v>Baldwin Bikes</c:v>
              </c:pt>
              <c:pt idx="2377">
                <c:v>Baldwin Bikes</c:v>
              </c:pt>
              <c:pt idx="2378">
                <c:v>Santa Cruz Bikes</c:v>
              </c:pt>
              <c:pt idx="2379">
                <c:v>Santa Cruz Bikes</c:v>
              </c:pt>
              <c:pt idx="2380">
                <c:v>Santa Cruz Bikes</c:v>
              </c:pt>
              <c:pt idx="2381">
                <c:v>Baldwin Bikes</c:v>
              </c:pt>
              <c:pt idx="2382">
                <c:v>Baldwin Bikes</c:v>
              </c:pt>
              <c:pt idx="2383">
                <c:v>Baldwin Bikes</c:v>
              </c:pt>
              <c:pt idx="2384">
                <c:v>Baldwin Bikes</c:v>
              </c:pt>
              <c:pt idx="2385">
                <c:v>Baldwin Bikes</c:v>
              </c:pt>
              <c:pt idx="2386">
                <c:v>Baldwin Bikes</c:v>
              </c:pt>
              <c:pt idx="2387">
                <c:v>Baldwin Bikes</c:v>
              </c:pt>
              <c:pt idx="2388">
                <c:v>Baldwin Bikes</c:v>
              </c:pt>
              <c:pt idx="2389">
                <c:v>Santa Cruz Bikes</c:v>
              </c:pt>
              <c:pt idx="2390">
                <c:v>Santa Cruz Bikes</c:v>
              </c:pt>
              <c:pt idx="2391">
                <c:v>Santa Cruz Bikes</c:v>
              </c:pt>
              <c:pt idx="2392">
                <c:v>Baldwin Bikes</c:v>
              </c:pt>
              <c:pt idx="2393">
                <c:v>Baldwin Bikes</c:v>
              </c:pt>
              <c:pt idx="2394">
                <c:v>Baldwin Bikes</c:v>
              </c:pt>
              <c:pt idx="2395">
                <c:v>Baldwin Bikes</c:v>
              </c:pt>
              <c:pt idx="2396">
                <c:v>Baldwin Bikes</c:v>
              </c:pt>
              <c:pt idx="2397">
                <c:v>Baldwin Bikes</c:v>
              </c:pt>
              <c:pt idx="2398">
                <c:v>Baldwin Bikes</c:v>
              </c:pt>
              <c:pt idx="2399">
                <c:v>Baldwin Bikes</c:v>
              </c:pt>
              <c:pt idx="2400">
                <c:v>Baldwin Bikes</c:v>
              </c:pt>
              <c:pt idx="2401">
                <c:v>Baldwin Bikes</c:v>
              </c:pt>
              <c:pt idx="2402">
                <c:v>Baldwin Bikes</c:v>
              </c:pt>
              <c:pt idx="2403">
                <c:v>Baldwin Bikes</c:v>
              </c:pt>
              <c:pt idx="2404">
                <c:v>Baldwin Bikes</c:v>
              </c:pt>
              <c:pt idx="2405">
                <c:v>Baldwin Bikes</c:v>
              </c:pt>
              <c:pt idx="2406">
                <c:v>Baldwin Bikes</c:v>
              </c:pt>
              <c:pt idx="2407">
                <c:v>Baldwin Bikes</c:v>
              </c:pt>
              <c:pt idx="2408">
                <c:v>Baldwin Bikes</c:v>
              </c:pt>
              <c:pt idx="2409">
                <c:v>Baldwin Bikes</c:v>
              </c:pt>
              <c:pt idx="2410">
                <c:v>Baldwin Bikes</c:v>
              </c:pt>
              <c:pt idx="2411">
                <c:v>Baldwin Bikes</c:v>
              </c:pt>
              <c:pt idx="2412">
                <c:v>Baldwin Bikes</c:v>
              </c:pt>
              <c:pt idx="2413">
                <c:v>Baldwin Bikes</c:v>
              </c:pt>
              <c:pt idx="2414">
                <c:v>Baldwin Bikes</c:v>
              </c:pt>
              <c:pt idx="2415">
                <c:v>Baldwin Bikes</c:v>
              </c:pt>
              <c:pt idx="2416">
                <c:v>Baldwin Bikes</c:v>
              </c:pt>
              <c:pt idx="2417">
                <c:v>Baldwin Bikes</c:v>
              </c:pt>
              <c:pt idx="2418">
                <c:v>Baldwin Bikes</c:v>
              </c:pt>
              <c:pt idx="2419">
                <c:v>Baldwin Bikes</c:v>
              </c:pt>
              <c:pt idx="2420">
                <c:v>Baldwin Bikes</c:v>
              </c:pt>
              <c:pt idx="2421">
                <c:v>Baldwin Bikes</c:v>
              </c:pt>
              <c:pt idx="2422">
                <c:v>Baldwin Bikes</c:v>
              </c:pt>
              <c:pt idx="2423">
                <c:v>Baldwin Bikes</c:v>
              </c:pt>
              <c:pt idx="2424">
                <c:v>Baldwin Bikes</c:v>
              </c:pt>
              <c:pt idx="2425">
                <c:v>Baldwin Bikes</c:v>
              </c:pt>
              <c:pt idx="2426">
                <c:v>Santa Cruz Bikes</c:v>
              </c:pt>
              <c:pt idx="2427">
                <c:v>Santa Cruz Bikes</c:v>
              </c:pt>
              <c:pt idx="2428">
                <c:v>Santa Cruz Bikes</c:v>
              </c:pt>
              <c:pt idx="2429">
                <c:v>Santa Cruz Bikes</c:v>
              </c:pt>
              <c:pt idx="2430">
                <c:v>Baldwin Bikes</c:v>
              </c:pt>
              <c:pt idx="2431">
                <c:v>Baldwin Bikes</c:v>
              </c:pt>
              <c:pt idx="2432">
                <c:v>Rowlett Bikes</c:v>
              </c:pt>
              <c:pt idx="2433">
                <c:v>Rowlett Bikes</c:v>
              </c:pt>
              <c:pt idx="2434">
                <c:v>Rowlett Bikes</c:v>
              </c:pt>
              <c:pt idx="2435">
                <c:v>Rowlett Bikes</c:v>
              </c:pt>
              <c:pt idx="2436">
                <c:v>Rowlett Bikes</c:v>
              </c:pt>
              <c:pt idx="2437">
                <c:v>Rowlett Bikes</c:v>
              </c:pt>
              <c:pt idx="2438">
                <c:v>Baldwin Bikes</c:v>
              </c:pt>
              <c:pt idx="2439">
                <c:v>Baldwin Bikes</c:v>
              </c:pt>
              <c:pt idx="2440">
                <c:v>Baldwin Bikes</c:v>
              </c:pt>
              <c:pt idx="2441">
                <c:v>Baldwin Bikes</c:v>
              </c:pt>
              <c:pt idx="2442">
                <c:v>Baldwin Bikes</c:v>
              </c:pt>
              <c:pt idx="2443">
                <c:v>Baldwin Bikes</c:v>
              </c:pt>
              <c:pt idx="2444">
                <c:v>Baldwin Bikes</c:v>
              </c:pt>
              <c:pt idx="2445">
                <c:v>Baldwin Bikes</c:v>
              </c:pt>
              <c:pt idx="2446">
                <c:v>Baldwin Bikes</c:v>
              </c:pt>
              <c:pt idx="2447">
                <c:v>Baldwin Bikes</c:v>
              </c:pt>
              <c:pt idx="2448">
                <c:v>Baldwin Bikes</c:v>
              </c:pt>
              <c:pt idx="2449">
                <c:v>Baldwin Bikes</c:v>
              </c:pt>
              <c:pt idx="2450">
                <c:v>Baldwin Bikes</c:v>
              </c:pt>
              <c:pt idx="2451">
                <c:v>Baldwin Bikes</c:v>
              </c:pt>
              <c:pt idx="2452">
                <c:v>Baldwin Bikes</c:v>
              </c:pt>
              <c:pt idx="2453">
                <c:v>Baldwin Bikes</c:v>
              </c:pt>
              <c:pt idx="2454">
                <c:v>Baldwin Bikes</c:v>
              </c:pt>
              <c:pt idx="2455">
                <c:v>Baldwin Bikes</c:v>
              </c:pt>
              <c:pt idx="2456">
                <c:v>Baldwin Bikes</c:v>
              </c:pt>
              <c:pt idx="2457">
                <c:v>Baldwin Bikes</c:v>
              </c:pt>
              <c:pt idx="2458">
                <c:v>Baldwin Bikes</c:v>
              </c:pt>
              <c:pt idx="2459">
                <c:v>Baldwin Bikes</c:v>
              </c:pt>
              <c:pt idx="2460">
                <c:v>Rowlett Bikes</c:v>
              </c:pt>
              <c:pt idx="2461">
                <c:v>Rowlett Bikes</c:v>
              </c:pt>
              <c:pt idx="2462">
                <c:v>Rowlett Bikes</c:v>
              </c:pt>
              <c:pt idx="2463">
                <c:v>Baldwin Bikes</c:v>
              </c:pt>
              <c:pt idx="2464">
                <c:v>Baldwin Bikes</c:v>
              </c:pt>
              <c:pt idx="2465">
                <c:v>Baldwin Bikes</c:v>
              </c:pt>
              <c:pt idx="2466">
                <c:v>Baldwin Bikes</c:v>
              </c:pt>
              <c:pt idx="2467">
                <c:v>Baldwin Bikes</c:v>
              </c:pt>
              <c:pt idx="2468">
                <c:v>Baldwin Bikes</c:v>
              </c:pt>
              <c:pt idx="2469">
                <c:v>Baldwin Bikes</c:v>
              </c:pt>
              <c:pt idx="2470">
                <c:v>Baldwin Bikes</c:v>
              </c:pt>
              <c:pt idx="2471">
                <c:v>Baldwin Bikes</c:v>
              </c:pt>
              <c:pt idx="2472">
                <c:v>Baldwin Bikes</c:v>
              </c:pt>
              <c:pt idx="2473">
                <c:v>Santa Cruz Bikes</c:v>
              </c:pt>
              <c:pt idx="2474">
                <c:v>Santa Cruz Bikes</c:v>
              </c:pt>
              <c:pt idx="2475">
                <c:v>Baldwin Bikes</c:v>
              </c:pt>
              <c:pt idx="2476">
                <c:v>Baldwin Bikes</c:v>
              </c:pt>
              <c:pt idx="2477">
                <c:v>Baldwin Bikes</c:v>
              </c:pt>
              <c:pt idx="2478">
                <c:v>Baldwin Bikes</c:v>
              </c:pt>
              <c:pt idx="2479">
                <c:v>Baldwin Bikes</c:v>
              </c:pt>
              <c:pt idx="2480">
                <c:v>Baldwin Bikes</c:v>
              </c:pt>
              <c:pt idx="2481">
                <c:v>Baldwin Bikes</c:v>
              </c:pt>
              <c:pt idx="2482">
                <c:v>Baldwin Bikes</c:v>
              </c:pt>
              <c:pt idx="2483">
                <c:v>Baldwin Bikes</c:v>
              </c:pt>
              <c:pt idx="2484">
                <c:v>Baldwin Bikes</c:v>
              </c:pt>
              <c:pt idx="2485">
                <c:v>Santa Cruz Bikes</c:v>
              </c:pt>
              <c:pt idx="2486">
                <c:v>Santa Cruz Bikes</c:v>
              </c:pt>
              <c:pt idx="2487">
                <c:v>Baldwin Bikes</c:v>
              </c:pt>
              <c:pt idx="2488">
                <c:v>Baldwin Bikes</c:v>
              </c:pt>
              <c:pt idx="2489">
                <c:v>Baldwin Bikes</c:v>
              </c:pt>
              <c:pt idx="2490">
                <c:v>Baldwin Bikes</c:v>
              </c:pt>
              <c:pt idx="2491">
                <c:v>Baldwin Bikes</c:v>
              </c:pt>
              <c:pt idx="2492">
                <c:v>Santa Cruz Bikes</c:v>
              </c:pt>
              <c:pt idx="2493">
                <c:v>Santa Cruz Bikes</c:v>
              </c:pt>
              <c:pt idx="2494">
                <c:v>Santa Cruz Bikes</c:v>
              </c:pt>
              <c:pt idx="2495">
                <c:v>Santa Cruz Bikes</c:v>
              </c:pt>
              <c:pt idx="2496">
                <c:v>Baldwin Bikes</c:v>
              </c:pt>
              <c:pt idx="2497">
                <c:v>Baldwin Bikes</c:v>
              </c:pt>
              <c:pt idx="2498">
                <c:v>Baldwin Bikes</c:v>
              </c:pt>
              <c:pt idx="2499">
                <c:v>Baldwin Bikes</c:v>
              </c:pt>
              <c:pt idx="2500">
                <c:v>Baldwin Bikes</c:v>
              </c:pt>
              <c:pt idx="2501">
                <c:v>Baldwin Bikes</c:v>
              </c:pt>
              <c:pt idx="2502">
                <c:v>Santa Cruz Bikes</c:v>
              </c:pt>
              <c:pt idx="2503">
                <c:v>Santa Cruz Bikes</c:v>
              </c:pt>
              <c:pt idx="2504">
                <c:v>Santa Cruz Bikes</c:v>
              </c:pt>
              <c:pt idx="2505">
                <c:v>Santa Cruz Bikes</c:v>
              </c:pt>
              <c:pt idx="2506">
                <c:v>Baldwin Bikes</c:v>
              </c:pt>
              <c:pt idx="2507">
                <c:v>Baldwin Bikes</c:v>
              </c:pt>
              <c:pt idx="2508">
                <c:v>Baldwin Bikes</c:v>
              </c:pt>
              <c:pt idx="2509">
                <c:v>Baldwin Bikes</c:v>
              </c:pt>
              <c:pt idx="2510">
                <c:v>Baldwin Bikes</c:v>
              </c:pt>
              <c:pt idx="2511">
                <c:v>Baldwin Bikes</c:v>
              </c:pt>
              <c:pt idx="2512">
                <c:v>Baldwin Bikes</c:v>
              </c:pt>
              <c:pt idx="2513">
                <c:v>Baldwin Bikes</c:v>
              </c:pt>
              <c:pt idx="2514">
                <c:v>Baldwin Bikes</c:v>
              </c:pt>
              <c:pt idx="2515">
                <c:v>Rowlett Bikes</c:v>
              </c:pt>
              <c:pt idx="2516">
                <c:v>Rowlett Bikes</c:v>
              </c:pt>
              <c:pt idx="2517">
                <c:v>Rowlett Bikes</c:v>
              </c:pt>
              <c:pt idx="2518">
                <c:v>Rowlett Bikes</c:v>
              </c:pt>
              <c:pt idx="2519">
                <c:v>Baldwin Bikes</c:v>
              </c:pt>
              <c:pt idx="2520">
                <c:v>Baldwin Bikes</c:v>
              </c:pt>
              <c:pt idx="2521">
                <c:v>Baldwin Bikes</c:v>
              </c:pt>
              <c:pt idx="2522">
                <c:v>Baldwin Bikes</c:v>
              </c:pt>
              <c:pt idx="2523">
                <c:v>Baldwin Bikes</c:v>
              </c:pt>
              <c:pt idx="2524">
                <c:v>Baldwin Bikes</c:v>
              </c:pt>
              <c:pt idx="2525">
                <c:v>Baldwin Bikes</c:v>
              </c:pt>
              <c:pt idx="2526">
                <c:v>Baldwin Bikes</c:v>
              </c:pt>
              <c:pt idx="2527">
                <c:v>Baldwin Bikes</c:v>
              </c:pt>
              <c:pt idx="2528">
                <c:v>Baldwin Bikes</c:v>
              </c:pt>
              <c:pt idx="2529">
                <c:v>Rowlett Bikes</c:v>
              </c:pt>
              <c:pt idx="2530">
                <c:v>Rowlett Bikes</c:v>
              </c:pt>
              <c:pt idx="2531">
                <c:v>Santa Cruz Bikes</c:v>
              </c:pt>
              <c:pt idx="2532">
                <c:v>Santa Cruz Bikes</c:v>
              </c:pt>
              <c:pt idx="2533">
                <c:v>Baldwin Bikes</c:v>
              </c:pt>
              <c:pt idx="2534">
                <c:v>Baldwin Bikes</c:v>
              </c:pt>
              <c:pt idx="2535">
                <c:v>Baldwin Bikes</c:v>
              </c:pt>
              <c:pt idx="2536">
                <c:v>Baldwin Bikes</c:v>
              </c:pt>
              <c:pt idx="2537">
                <c:v>Rowlett Bikes</c:v>
              </c:pt>
              <c:pt idx="2538">
                <c:v>Baldwin Bikes</c:v>
              </c:pt>
              <c:pt idx="2539">
                <c:v>Baldwin Bikes</c:v>
              </c:pt>
              <c:pt idx="2540">
                <c:v>Baldwin Bikes</c:v>
              </c:pt>
              <c:pt idx="2541">
                <c:v>Baldwin Bikes</c:v>
              </c:pt>
              <c:pt idx="2542">
                <c:v>Baldwin Bikes</c:v>
              </c:pt>
              <c:pt idx="2543">
                <c:v>Baldwin Bikes</c:v>
              </c:pt>
              <c:pt idx="2544">
                <c:v>Baldwin Bikes</c:v>
              </c:pt>
              <c:pt idx="2545">
                <c:v>Baldwin Bikes</c:v>
              </c:pt>
              <c:pt idx="2546">
                <c:v>Baldwin Bikes</c:v>
              </c:pt>
              <c:pt idx="2547">
                <c:v>Baldwin Bikes</c:v>
              </c:pt>
              <c:pt idx="2548">
                <c:v>Baldwin Bikes</c:v>
              </c:pt>
              <c:pt idx="2549">
                <c:v>Baldwin Bikes</c:v>
              </c:pt>
              <c:pt idx="2550">
                <c:v>Baldwin Bikes</c:v>
              </c:pt>
              <c:pt idx="2551">
                <c:v>Baldwin Bikes</c:v>
              </c:pt>
              <c:pt idx="2552">
                <c:v>Baldwin Bikes</c:v>
              </c:pt>
              <c:pt idx="2553">
                <c:v>Baldwin Bikes</c:v>
              </c:pt>
              <c:pt idx="2554">
                <c:v>Baldwin Bikes</c:v>
              </c:pt>
              <c:pt idx="2555">
                <c:v>Rowlett Bikes</c:v>
              </c:pt>
              <c:pt idx="2556">
                <c:v>Rowlett Bikes</c:v>
              </c:pt>
              <c:pt idx="2557">
                <c:v>Santa Cruz Bikes</c:v>
              </c:pt>
              <c:pt idx="2558">
                <c:v>Santa Cruz Bikes</c:v>
              </c:pt>
              <c:pt idx="2559">
                <c:v>Baldwin Bikes</c:v>
              </c:pt>
              <c:pt idx="2560">
                <c:v>Baldwin Bikes</c:v>
              </c:pt>
              <c:pt idx="2561">
                <c:v>Baldwin Bikes</c:v>
              </c:pt>
              <c:pt idx="2562">
                <c:v>Baldwin Bikes</c:v>
              </c:pt>
              <c:pt idx="2563">
                <c:v>Baldwin Bikes</c:v>
              </c:pt>
              <c:pt idx="2564">
                <c:v>Baldwin Bikes</c:v>
              </c:pt>
              <c:pt idx="2565">
                <c:v>Baldwin Bikes</c:v>
              </c:pt>
              <c:pt idx="2566">
                <c:v>Baldwin Bikes</c:v>
              </c:pt>
              <c:pt idx="2567">
                <c:v>Baldwin Bikes</c:v>
              </c:pt>
              <c:pt idx="2568">
                <c:v>Baldwin Bikes</c:v>
              </c:pt>
              <c:pt idx="2569">
                <c:v>Baldwin Bikes</c:v>
              </c:pt>
              <c:pt idx="2570">
                <c:v>Baldwin Bikes</c:v>
              </c:pt>
              <c:pt idx="2571">
                <c:v>Baldwin Bikes</c:v>
              </c:pt>
              <c:pt idx="2572">
                <c:v>Baldwin Bikes</c:v>
              </c:pt>
              <c:pt idx="2573">
                <c:v>Baldwin Bikes</c:v>
              </c:pt>
              <c:pt idx="2574">
                <c:v>Baldwin Bikes</c:v>
              </c:pt>
              <c:pt idx="2575">
                <c:v>Baldwin Bikes</c:v>
              </c:pt>
              <c:pt idx="2576">
                <c:v>Baldwin Bikes</c:v>
              </c:pt>
              <c:pt idx="2577">
                <c:v>Baldwin Bikes</c:v>
              </c:pt>
              <c:pt idx="2578">
                <c:v>Baldwin Bikes</c:v>
              </c:pt>
              <c:pt idx="2579">
                <c:v>Santa Cruz Bikes</c:v>
              </c:pt>
              <c:pt idx="2580">
                <c:v>Santa Cruz Bikes</c:v>
              </c:pt>
              <c:pt idx="2581">
                <c:v>Santa Cruz Bikes</c:v>
              </c:pt>
              <c:pt idx="2582">
                <c:v>Santa Cruz Bikes</c:v>
              </c:pt>
              <c:pt idx="2583">
                <c:v>Baldwin Bikes</c:v>
              </c:pt>
              <c:pt idx="2584">
                <c:v>Baldwin Bikes</c:v>
              </c:pt>
              <c:pt idx="2585">
                <c:v>Baldwin Bikes</c:v>
              </c:pt>
              <c:pt idx="2586">
                <c:v>Baldwin Bikes</c:v>
              </c:pt>
              <c:pt idx="2587">
                <c:v>Baldwin Bikes</c:v>
              </c:pt>
              <c:pt idx="2588">
                <c:v>Baldwin Bikes</c:v>
              </c:pt>
              <c:pt idx="2589">
                <c:v>Baldwin Bikes</c:v>
              </c:pt>
              <c:pt idx="2590">
                <c:v>Baldwin Bikes</c:v>
              </c:pt>
              <c:pt idx="2591">
                <c:v>Baldwin Bikes</c:v>
              </c:pt>
              <c:pt idx="2592">
                <c:v>Santa Cruz Bikes</c:v>
              </c:pt>
              <c:pt idx="2593">
                <c:v>Santa Cruz Bikes</c:v>
              </c:pt>
              <c:pt idx="2594">
                <c:v>Baldwin Bikes</c:v>
              </c:pt>
              <c:pt idx="2595">
                <c:v>Baldwin Bikes</c:v>
              </c:pt>
              <c:pt idx="2596">
                <c:v>Baldwin Bikes</c:v>
              </c:pt>
              <c:pt idx="2597">
                <c:v>Santa Cruz Bikes</c:v>
              </c:pt>
              <c:pt idx="2598">
                <c:v>Baldwin Bikes</c:v>
              </c:pt>
              <c:pt idx="2599">
                <c:v>Baldwin Bikes</c:v>
              </c:pt>
              <c:pt idx="2600">
                <c:v>Baldwin Bikes</c:v>
              </c:pt>
              <c:pt idx="2601">
                <c:v>Baldwin Bikes</c:v>
              </c:pt>
              <c:pt idx="2602">
                <c:v>Baldwin Bikes</c:v>
              </c:pt>
              <c:pt idx="2603">
                <c:v>Santa Cruz Bikes</c:v>
              </c:pt>
              <c:pt idx="2604">
                <c:v>Santa Cruz Bikes</c:v>
              </c:pt>
              <c:pt idx="2605">
                <c:v>Santa Cruz Bikes</c:v>
              </c:pt>
              <c:pt idx="2606">
                <c:v>Santa Cruz Bikes</c:v>
              </c:pt>
              <c:pt idx="2607">
                <c:v>Baldwin Bikes</c:v>
              </c:pt>
              <c:pt idx="2608">
                <c:v>Baldwin Bikes</c:v>
              </c:pt>
              <c:pt idx="2609">
                <c:v>Santa Cruz Bikes</c:v>
              </c:pt>
              <c:pt idx="2610">
                <c:v>Santa Cruz Bikes</c:v>
              </c:pt>
              <c:pt idx="2611">
                <c:v>Santa Cruz Bikes</c:v>
              </c:pt>
              <c:pt idx="2612">
                <c:v>Santa Cruz Bikes</c:v>
              </c:pt>
              <c:pt idx="2613">
                <c:v>Baldwin Bikes</c:v>
              </c:pt>
              <c:pt idx="2614">
                <c:v>Baldwin Bikes</c:v>
              </c:pt>
              <c:pt idx="2615">
                <c:v>Baldwin Bikes</c:v>
              </c:pt>
              <c:pt idx="2616">
                <c:v>Baldwin Bikes</c:v>
              </c:pt>
              <c:pt idx="2617">
                <c:v>Baldwin Bikes</c:v>
              </c:pt>
              <c:pt idx="2618">
                <c:v>Santa Cruz Bikes</c:v>
              </c:pt>
              <c:pt idx="2619">
                <c:v>Santa Cruz Bikes</c:v>
              </c:pt>
              <c:pt idx="2620">
                <c:v>Santa Cruz Bikes</c:v>
              </c:pt>
              <c:pt idx="2621">
                <c:v>Santa Cruz Bikes</c:v>
              </c:pt>
              <c:pt idx="2622">
                <c:v>Baldwin Bikes</c:v>
              </c:pt>
              <c:pt idx="2623">
                <c:v>Baldwin Bikes</c:v>
              </c:pt>
              <c:pt idx="2624">
                <c:v>Baldwin Bikes</c:v>
              </c:pt>
              <c:pt idx="2625">
                <c:v>Baldwin Bikes</c:v>
              </c:pt>
              <c:pt idx="2626">
                <c:v>Baldwin Bikes</c:v>
              </c:pt>
              <c:pt idx="2627">
                <c:v>Baldwin Bikes</c:v>
              </c:pt>
              <c:pt idx="2628">
                <c:v>Baldwin Bikes</c:v>
              </c:pt>
              <c:pt idx="2629">
                <c:v>Baldwin Bikes</c:v>
              </c:pt>
              <c:pt idx="2630">
                <c:v>Baldwin Bikes</c:v>
              </c:pt>
              <c:pt idx="2631">
                <c:v>Baldwin Bikes</c:v>
              </c:pt>
              <c:pt idx="2632">
                <c:v>Baldwin Bikes</c:v>
              </c:pt>
              <c:pt idx="2633">
                <c:v>Baldwin Bikes</c:v>
              </c:pt>
              <c:pt idx="2634">
                <c:v>Baldwin Bikes</c:v>
              </c:pt>
              <c:pt idx="2635">
                <c:v>Baldwin Bikes</c:v>
              </c:pt>
              <c:pt idx="2636">
                <c:v>Rowlett Bikes</c:v>
              </c:pt>
              <c:pt idx="2637">
                <c:v>Rowlett Bikes</c:v>
              </c:pt>
              <c:pt idx="2638">
                <c:v>Baldwin Bikes</c:v>
              </c:pt>
              <c:pt idx="2639">
                <c:v>Baldwin Bikes</c:v>
              </c:pt>
              <c:pt idx="2640">
                <c:v>Santa Cruz Bikes</c:v>
              </c:pt>
              <c:pt idx="2641">
                <c:v>Santa Cruz Bikes</c:v>
              </c:pt>
              <c:pt idx="2642">
                <c:v>Santa Cruz Bikes</c:v>
              </c:pt>
              <c:pt idx="2643">
                <c:v>Santa Cruz Bikes</c:v>
              </c:pt>
              <c:pt idx="2644">
                <c:v>Santa Cruz Bikes</c:v>
              </c:pt>
              <c:pt idx="2645">
                <c:v>Santa Cruz Bikes</c:v>
              </c:pt>
              <c:pt idx="2646">
                <c:v>Santa Cruz Bikes</c:v>
              </c:pt>
              <c:pt idx="2647">
                <c:v>Santa Cruz Bikes</c:v>
              </c:pt>
              <c:pt idx="2648">
                <c:v>Baldwin Bikes</c:v>
              </c:pt>
              <c:pt idx="2649">
                <c:v>Baldwin Bikes</c:v>
              </c:pt>
              <c:pt idx="2650">
                <c:v>Baldwin Bikes</c:v>
              </c:pt>
              <c:pt idx="2651">
                <c:v>Rowlett Bikes</c:v>
              </c:pt>
              <c:pt idx="2652">
                <c:v>Rowlett Bikes</c:v>
              </c:pt>
              <c:pt idx="2653">
                <c:v>Rowlett Bikes</c:v>
              </c:pt>
              <c:pt idx="2654">
                <c:v>Rowlett Bikes</c:v>
              </c:pt>
              <c:pt idx="2655">
                <c:v>Rowlett Bikes</c:v>
              </c:pt>
              <c:pt idx="2656">
                <c:v>Baldwin Bikes</c:v>
              </c:pt>
              <c:pt idx="2657">
                <c:v>Baldwin Bikes</c:v>
              </c:pt>
              <c:pt idx="2658">
                <c:v>Baldwin Bikes</c:v>
              </c:pt>
              <c:pt idx="2659">
                <c:v>Baldwin Bikes</c:v>
              </c:pt>
              <c:pt idx="2660">
                <c:v>Baldwin Bikes</c:v>
              </c:pt>
              <c:pt idx="2661">
                <c:v>Baldwin Bikes</c:v>
              </c:pt>
              <c:pt idx="2662">
                <c:v>Baldwin Bikes</c:v>
              </c:pt>
              <c:pt idx="2663">
                <c:v>Baldwin Bikes</c:v>
              </c:pt>
              <c:pt idx="2664">
                <c:v>Baldwin Bikes</c:v>
              </c:pt>
              <c:pt idx="2665">
                <c:v>Baldwin Bikes</c:v>
              </c:pt>
              <c:pt idx="2666">
                <c:v>Baldwin Bikes</c:v>
              </c:pt>
              <c:pt idx="2667">
                <c:v>Rowlett Bikes</c:v>
              </c:pt>
              <c:pt idx="2668">
                <c:v>Rowlett Bikes</c:v>
              </c:pt>
              <c:pt idx="2669">
                <c:v>Rowlett Bikes</c:v>
              </c:pt>
              <c:pt idx="2670">
                <c:v>Rowlett Bikes</c:v>
              </c:pt>
              <c:pt idx="2671">
                <c:v>Baldwin Bikes</c:v>
              </c:pt>
              <c:pt idx="2672">
                <c:v>Baldwin Bikes</c:v>
              </c:pt>
              <c:pt idx="2673">
                <c:v>Baldwin Bikes</c:v>
              </c:pt>
              <c:pt idx="2674">
                <c:v>Baldwin Bikes</c:v>
              </c:pt>
              <c:pt idx="2675">
                <c:v>Baldwin Bikes</c:v>
              </c:pt>
              <c:pt idx="2676">
                <c:v>Baldwin Bikes</c:v>
              </c:pt>
              <c:pt idx="2677">
                <c:v>Baldwin Bikes</c:v>
              </c:pt>
              <c:pt idx="2678">
                <c:v>Baldwin Bikes</c:v>
              </c:pt>
              <c:pt idx="2679">
                <c:v>Baldwin Bikes</c:v>
              </c:pt>
              <c:pt idx="2680">
                <c:v>Baldwin Bikes</c:v>
              </c:pt>
              <c:pt idx="2681">
                <c:v>Baldwin Bikes</c:v>
              </c:pt>
              <c:pt idx="2682">
                <c:v>Santa Cruz Bikes</c:v>
              </c:pt>
              <c:pt idx="2683">
                <c:v>Santa Cruz Bikes</c:v>
              </c:pt>
              <c:pt idx="2684">
                <c:v>Santa Cruz Bikes</c:v>
              </c:pt>
              <c:pt idx="2685">
                <c:v>Santa Cruz Bikes</c:v>
              </c:pt>
              <c:pt idx="2686">
                <c:v>Baldwin Bikes</c:v>
              </c:pt>
              <c:pt idx="2687">
                <c:v>Baldwin Bikes</c:v>
              </c:pt>
              <c:pt idx="2688">
                <c:v>Baldwin Bikes</c:v>
              </c:pt>
              <c:pt idx="2689">
                <c:v>Baldwin Bikes</c:v>
              </c:pt>
              <c:pt idx="2690">
                <c:v>Baldwin Bikes</c:v>
              </c:pt>
              <c:pt idx="2691">
                <c:v>Baldwin Bikes</c:v>
              </c:pt>
              <c:pt idx="2692">
                <c:v>Baldwin Bikes</c:v>
              </c:pt>
              <c:pt idx="2693">
                <c:v>Santa Cruz Bikes</c:v>
              </c:pt>
              <c:pt idx="2694">
                <c:v>Santa Cruz Bikes</c:v>
              </c:pt>
              <c:pt idx="2695">
                <c:v>Santa Cruz Bikes</c:v>
              </c:pt>
              <c:pt idx="2696">
                <c:v>Santa Cruz Bikes</c:v>
              </c:pt>
              <c:pt idx="2697">
                <c:v>Santa Cruz Bikes</c:v>
              </c:pt>
              <c:pt idx="2698">
                <c:v>Baldwin Bikes</c:v>
              </c:pt>
              <c:pt idx="2699">
                <c:v>Baldwin Bikes</c:v>
              </c:pt>
              <c:pt idx="2700">
                <c:v>Baldwin Bikes</c:v>
              </c:pt>
              <c:pt idx="2701">
                <c:v>Baldwin Bikes</c:v>
              </c:pt>
              <c:pt idx="2702">
                <c:v>Baldwin Bikes</c:v>
              </c:pt>
              <c:pt idx="2703">
                <c:v>Baldwin Bikes</c:v>
              </c:pt>
              <c:pt idx="2704">
                <c:v>Baldwin Bikes</c:v>
              </c:pt>
              <c:pt idx="2705">
                <c:v>Baldwin Bikes</c:v>
              </c:pt>
              <c:pt idx="2706">
                <c:v>Baldwin Bikes</c:v>
              </c:pt>
              <c:pt idx="2707">
                <c:v>Baldwin Bikes</c:v>
              </c:pt>
              <c:pt idx="2708">
                <c:v>Santa Cruz Bikes</c:v>
              </c:pt>
              <c:pt idx="2709">
                <c:v>Santa Cruz Bikes</c:v>
              </c:pt>
              <c:pt idx="2710">
                <c:v>Santa Cruz Bikes</c:v>
              </c:pt>
              <c:pt idx="2711">
                <c:v>Baldwin Bikes</c:v>
              </c:pt>
              <c:pt idx="2712">
                <c:v>Baldwin Bikes</c:v>
              </c:pt>
              <c:pt idx="2713">
                <c:v>Baldwin Bikes</c:v>
              </c:pt>
              <c:pt idx="2714">
                <c:v>Baldwin Bikes</c:v>
              </c:pt>
              <c:pt idx="2715">
                <c:v>Baldwin Bikes</c:v>
              </c:pt>
              <c:pt idx="2716">
                <c:v>Santa Cruz Bikes</c:v>
              </c:pt>
              <c:pt idx="2717">
                <c:v>Santa Cruz Bikes</c:v>
              </c:pt>
              <c:pt idx="2718">
                <c:v>Baldwin Bikes</c:v>
              </c:pt>
              <c:pt idx="2719">
                <c:v>Baldwin Bikes</c:v>
              </c:pt>
              <c:pt idx="2720">
                <c:v>Baldwin Bikes</c:v>
              </c:pt>
              <c:pt idx="2721">
                <c:v>Baldwin Bikes</c:v>
              </c:pt>
              <c:pt idx="2722">
                <c:v>Baldwin Bikes</c:v>
              </c:pt>
              <c:pt idx="2723">
                <c:v>Baldwin Bikes</c:v>
              </c:pt>
              <c:pt idx="2724">
                <c:v>Baldwin Bikes</c:v>
              </c:pt>
              <c:pt idx="2725">
                <c:v>Baldwin Bikes</c:v>
              </c:pt>
              <c:pt idx="2726">
                <c:v>Baldwin Bikes</c:v>
              </c:pt>
              <c:pt idx="2727">
                <c:v>Baldwin Bikes</c:v>
              </c:pt>
              <c:pt idx="2728">
                <c:v>Baldwin Bikes</c:v>
              </c:pt>
              <c:pt idx="2729">
                <c:v>Baldwin Bikes</c:v>
              </c:pt>
              <c:pt idx="2730">
                <c:v>Baldwin Bikes</c:v>
              </c:pt>
              <c:pt idx="2731">
                <c:v>Baldwin Bikes</c:v>
              </c:pt>
              <c:pt idx="2732">
                <c:v>Baldwin Bikes</c:v>
              </c:pt>
              <c:pt idx="2733">
                <c:v>Baldwin Bikes</c:v>
              </c:pt>
              <c:pt idx="2734">
                <c:v>Baldwin Bikes</c:v>
              </c:pt>
              <c:pt idx="2735">
                <c:v>Baldwin Bikes</c:v>
              </c:pt>
              <c:pt idx="2736">
                <c:v>Rowlett Bikes</c:v>
              </c:pt>
              <c:pt idx="2737">
                <c:v>Rowlett Bikes</c:v>
              </c:pt>
              <c:pt idx="2738">
                <c:v>Rowlett Bikes</c:v>
              </c:pt>
              <c:pt idx="2739">
                <c:v>Rowlett Bikes</c:v>
              </c:pt>
              <c:pt idx="2740">
                <c:v>Rowlett Bikes</c:v>
              </c:pt>
              <c:pt idx="2741">
                <c:v>Santa Cruz Bikes</c:v>
              </c:pt>
              <c:pt idx="2742">
                <c:v>Santa Cruz Bikes</c:v>
              </c:pt>
              <c:pt idx="2743">
                <c:v>Baldwin Bikes</c:v>
              </c:pt>
              <c:pt idx="2744">
                <c:v>Baldwin Bikes</c:v>
              </c:pt>
              <c:pt idx="2745">
                <c:v>Baldwin Bikes</c:v>
              </c:pt>
              <c:pt idx="2746">
                <c:v>Baldwin Bikes</c:v>
              </c:pt>
              <c:pt idx="2747">
                <c:v>Baldwin Bikes</c:v>
              </c:pt>
              <c:pt idx="2748">
                <c:v>Baldwin Bikes</c:v>
              </c:pt>
              <c:pt idx="2749">
                <c:v>Baldwin Bikes</c:v>
              </c:pt>
              <c:pt idx="2750">
                <c:v>Baldwin Bikes</c:v>
              </c:pt>
              <c:pt idx="2751">
                <c:v>Santa Cruz Bikes</c:v>
              </c:pt>
              <c:pt idx="2752">
                <c:v>Santa Cruz Bikes</c:v>
              </c:pt>
              <c:pt idx="2753">
                <c:v>Santa Cruz Bikes</c:v>
              </c:pt>
              <c:pt idx="2754">
                <c:v>Baldwin Bikes</c:v>
              </c:pt>
              <c:pt idx="2755">
                <c:v>Baldwin Bikes</c:v>
              </c:pt>
              <c:pt idx="2756">
                <c:v>Baldwin Bikes</c:v>
              </c:pt>
              <c:pt idx="2757">
                <c:v>Baldwin Bikes</c:v>
              </c:pt>
              <c:pt idx="2758">
                <c:v>Baldwin Bikes</c:v>
              </c:pt>
              <c:pt idx="2759">
                <c:v>Baldwin Bikes</c:v>
              </c:pt>
              <c:pt idx="2760">
                <c:v>Rowlett Bikes</c:v>
              </c:pt>
              <c:pt idx="2761">
                <c:v>Rowlett Bikes</c:v>
              </c:pt>
              <c:pt idx="2762">
                <c:v>Baldwin Bikes</c:v>
              </c:pt>
              <c:pt idx="2763">
                <c:v>Baldwin Bikes</c:v>
              </c:pt>
              <c:pt idx="2764">
                <c:v>Baldwin Bikes</c:v>
              </c:pt>
              <c:pt idx="2765">
                <c:v>Baldwin Bikes</c:v>
              </c:pt>
              <c:pt idx="2766">
                <c:v>Baldwin Bikes</c:v>
              </c:pt>
              <c:pt idx="2767">
                <c:v>Baldwin Bikes</c:v>
              </c:pt>
              <c:pt idx="2768">
                <c:v>Baldwin Bikes</c:v>
              </c:pt>
              <c:pt idx="2769">
                <c:v>Rowlett Bikes</c:v>
              </c:pt>
              <c:pt idx="2770">
                <c:v>Rowlett Bikes</c:v>
              </c:pt>
              <c:pt idx="2771">
                <c:v>Baldwin Bikes</c:v>
              </c:pt>
              <c:pt idx="2772">
                <c:v>Baldwin Bikes</c:v>
              </c:pt>
              <c:pt idx="2773">
                <c:v>Baldwin Bikes</c:v>
              </c:pt>
              <c:pt idx="2774">
                <c:v>Baldwin Bikes</c:v>
              </c:pt>
              <c:pt idx="2775">
                <c:v>Rowlett Bikes</c:v>
              </c:pt>
              <c:pt idx="2776">
                <c:v>Rowlett Bikes</c:v>
              </c:pt>
              <c:pt idx="2777">
                <c:v>Rowlett Bikes</c:v>
              </c:pt>
              <c:pt idx="2778">
                <c:v>Rowlett Bikes</c:v>
              </c:pt>
              <c:pt idx="2779">
                <c:v>Rowlett Bikes</c:v>
              </c:pt>
              <c:pt idx="2780">
                <c:v>Baldwin Bikes</c:v>
              </c:pt>
              <c:pt idx="2781">
                <c:v>Baldwin Bikes</c:v>
              </c:pt>
              <c:pt idx="2782">
                <c:v>Baldwin Bikes</c:v>
              </c:pt>
              <c:pt idx="2783">
                <c:v>Baldwin Bikes</c:v>
              </c:pt>
              <c:pt idx="2784">
                <c:v>Baldwin Bikes</c:v>
              </c:pt>
              <c:pt idx="2785">
                <c:v>Baldwin Bikes</c:v>
              </c:pt>
              <c:pt idx="2786">
                <c:v>Rowlett Bikes</c:v>
              </c:pt>
              <c:pt idx="2787">
                <c:v>Rowlett Bikes</c:v>
              </c:pt>
              <c:pt idx="2788">
                <c:v>Baldwin Bikes</c:v>
              </c:pt>
              <c:pt idx="2789">
                <c:v>Rowlett Bikes</c:v>
              </c:pt>
              <c:pt idx="2790">
                <c:v>Rowlett Bikes</c:v>
              </c:pt>
              <c:pt idx="2791">
                <c:v>Baldwin Bikes</c:v>
              </c:pt>
              <c:pt idx="2792">
                <c:v>Baldwin Bikes</c:v>
              </c:pt>
              <c:pt idx="2793">
                <c:v>Baldwin Bikes</c:v>
              </c:pt>
              <c:pt idx="2794">
                <c:v>Baldwin Bikes</c:v>
              </c:pt>
              <c:pt idx="2795">
                <c:v>Baldwin Bikes</c:v>
              </c:pt>
              <c:pt idx="2796">
                <c:v>Baldwin Bikes</c:v>
              </c:pt>
              <c:pt idx="2797">
                <c:v>Baldwin Bikes</c:v>
              </c:pt>
              <c:pt idx="2798">
                <c:v>Baldwin Bikes</c:v>
              </c:pt>
              <c:pt idx="2799">
                <c:v>Baldwin Bikes</c:v>
              </c:pt>
              <c:pt idx="2800">
                <c:v>Baldwin Bikes</c:v>
              </c:pt>
              <c:pt idx="2801">
                <c:v>Baldwin Bikes</c:v>
              </c:pt>
              <c:pt idx="2802">
                <c:v>Rowlett Bikes</c:v>
              </c:pt>
              <c:pt idx="2803">
                <c:v>Rowlett Bikes</c:v>
              </c:pt>
              <c:pt idx="2804">
                <c:v>Rowlett Bikes</c:v>
              </c:pt>
              <c:pt idx="2805">
                <c:v>Rowlett Bikes</c:v>
              </c:pt>
              <c:pt idx="2806">
                <c:v>Rowlett Bikes</c:v>
              </c:pt>
              <c:pt idx="2807">
                <c:v>Rowlett Bikes</c:v>
              </c:pt>
              <c:pt idx="2808">
                <c:v>Rowlett Bikes</c:v>
              </c:pt>
              <c:pt idx="2809">
                <c:v>Rowlett Bikes</c:v>
              </c:pt>
              <c:pt idx="2810">
                <c:v>Rowlett Bikes</c:v>
              </c:pt>
              <c:pt idx="2811">
                <c:v>Rowlett Bikes</c:v>
              </c:pt>
              <c:pt idx="2812">
                <c:v>Rowlett Bikes</c:v>
              </c:pt>
              <c:pt idx="2813">
                <c:v>Rowlett Bikes</c:v>
              </c:pt>
              <c:pt idx="2814">
                <c:v>Baldwin Bikes</c:v>
              </c:pt>
              <c:pt idx="2815">
                <c:v>Baldwin Bikes</c:v>
              </c:pt>
              <c:pt idx="2816">
                <c:v>Baldwin Bikes</c:v>
              </c:pt>
              <c:pt idx="2817">
                <c:v>Baldwin Bikes</c:v>
              </c:pt>
              <c:pt idx="2818">
                <c:v>Baldwin Bikes</c:v>
              </c:pt>
              <c:pt idx="2819">
                <c:v>Baldwin Bikes</c:v>
              </c:pt>
              <c:pt idx="2820">
                <c:v>Baldwin Bikes</c:v>
              </c:pt>
              <c:pt idx="2821">
                <c:v>Baldwin Bikes</c:v>
              </c:pt>
              <c:pt idx="2822">
                <c:v>Baldwin Bikes</c:v>
              </c:pt>
              <c:pt idx="2823">
                <c:v>Baldwin Bikes</c:v>
              </c:pt>
              <c:pt idx="2824">
                <c:v>Baldwin Bikes</c:v>
              </c:pt>
              <c:pt idx="2825">
                <c:v>Baldwin Bikes</c:v>
              </c:pt>
              <c:pt idx="2826">
                <c:v>Baldwin Bikes</c:v>
              </c:pt>
              <c:pt idx="2827">
                <c:v>Baldwin Bikes</c:v>
              </c:pt>
              <c:pt idx="2828">
                <c:v>Baldwin Bikes</c:v>
              </c:pt>
              <c:pt idx="2829">
                <c:v>Santa Cruz Bikes</c:v>
              </c:pt>
              <c:pt idx="2830">
                <c:v>Santa Cruz Bikes</c:v>
              </c:pt>
              <c:pt idx="2831">
                <c:v>Santa Cruz Bikes</c:v>
              </c:pt>
              <c:pt idx="2832">
                <c:v>Baldwin Bikes</c:v>
              </c:pt>
              <c:pt idx="2833">
                <c:v>Baldwin Bikes</c:v>
              </c:pt>
              <c:pt idx="2834">
                <c:v>Baldwin Bikes</c:v>
              </c:pt>
              <c:pt idx="2835">
                <c:v>Baldwin Bikes</c:v>
              </c:pt>
              <c:pt idx="2836">
                <c:v>Baldwin Bikes</c:v>
              </c:pt>
              <c:pt idx="2837">
                <c:v>Baldwin Bikes</c:v>
              </c:pt>
              <c:pt idx="2838">
                <c:v>Baldwin Bikes</c:v>
              </c:pt>
              <c:pt idx="2839">
                <c:v>Baldwin Bikes</c:v>
              </c:pt>
              <c:pt idx="2840">
                <c:v>Baldwin Bikes</c:v>
              </c:pt>
              <c:pt idx="2841">
                <c:v>Baldwin Bikes</c:v>
              </c:pt>
              <c:pt idx="2842">
                <c:v>Baldwin Bikes</c:v>
              </c:pt>
              <c:pt idx="2843">
                <c:v>Baldwin Bikes</c:v>
              </c:pt>
              <c:pt idx="2844">
                <c:v>Santa Cruz Bikes</c:v>
              </c:pt>
              <c:pt idx="2845">
                <c:v>Santa Cruz Bikes</c:v>
              </c:pt>
              <c:pt idx="2846">
                <c:v>Santa Cruz Bikes</c:v>
              </c:pt>
              <c:pt idx="2847">
                <c:v>Baldwin Bikes</c:v>
              </c:pt>
              <c:pt idx="2848">
                <c:v>Baldwin Bikes</c:v>
              </c:pt>
              <c:pt idx="2849">
                <c:v>Baldwin Bikes</c:v>
              </c:pt>
              <c:pt idx="2850">
                <c:v>Baldwin Bikes</c:v>
              </c:pt>
              <c:pt idx="2851">
                <c:v>Baldwin Bikes</c:v>
              </c:pt>
              <c:pt idx="2852">
                <c:v>Santa Cruz Bikes</c:v>
              </c:pt>
              <c:pt idx="2853">
                <c:v>Santa Cruz Bikes</c:v>
              </c:pt>
              <c:pt idx="2854">
                <c:v>Santa Cruz Bikes</c:v>
              </c:pt>
              <c:pt idx="2855">
                <c:v>Santa Cruz Bikes</c:v>
              </c:pt>
              <c:pt idx="2856">
                <c:v>Santa Cruz Bikes</c:v>
              </c:pt>
              <c:pt idx="2857">
                <c:v>Baldwin Bikes</c:v>
              </c:pt>
              <c:pt idx="2858">
                <c:v>Baldwin Bikes</c:v>
              </c:pt>
              <c:pt idx="2859">
                <c:v>Baldwin Bikes</c:v>
              </c:pt>
              <c:pt idx="2860">
                <c:v>Santa Cruz Bikes</c:v>
              </c:pt>
              <c:pt idx="2861">
                <c:v>Santa Cruz Bikes</c:v>
              </c:pt>
              <c:pt idx="2862">
                <c:v>Santa Cruz Bikes</c:v>
              </c:pt>
              <c:pt idx="2863">
                <c:v>Santa Cruz Bikes</c:v>
              </c:pt>
              <c:pt idx="2864">
                <c:v>Santa Cruz Bikes</c:v>
              </c:pt>
              <c:pt idx="2865">
                <c:v>Baldwin Bikes</c:v>
              </c:pt>
              <c:pt idx="2866">
                <c:v>Baldwin Bikes</c:v>
              </c:pt>
              <c:pt idx="2867">
                <c:v>Baldwin Bikes</c:v>
              </c:pt>
              <c:pt idx="2868">
                <c:v>Baldwin Bikes</c:v>
              </c:pt>
              <c:pt idx="2869">
                <c:v>Baldwin Bikes</c:v>
              </c:pt>
              <c:pt idx="2870">
                <c:v>Baldwin Bikes</c:v>
              </c:pt>
              <c:pt idx="2871">
                <c:v>Baldwin Bikes</c:v>
              </c:pt>
              <c:pt idx="2872">
                <c:v>Baldwin Bikes</c:v>
              </c:pt>
              <c:pt idx="2873">
                <c:v>Baldwin Bikes</c:v>
              </c:pt>
              <c:pt idx="2874">
                <c:v>Baldwin Bikes</c:v>
              </c:pt>
              <c:pt idx="2875">
                <c:v>Baldwin Bikes</c:v>
              </c:pt>
              <c:pt idx="2876">
                <c:v>Baldwin Bikes</c:v>
              </c:pt>
              <c:pt idx="2877">
                <c:v>Baldwin Bikes</c:v>
              </c:pt>
              <c:pt idx="2878">
                <c:v>Baldwin Bikes</c:v>
              </c:pt>
              <c:pt idx="2879">
                <c:v>Baldwin Bikes</c:v>
              </c:pt>
              <c:pt idx="2880">
                <c:v>Santa Cruz Bikes</c:v>
              </c:pt>
              <c:pt idx="2881">
                <c:v>Santa Cruz Bikes</c:v>
              </c:pt>
              <c:pt idx="2882">
                <c:v>Santa Cruz Bikes</c:v>
              </c:pt>
              <c:pt idx="2883">
                <c:v>Santa Cruz Bikes</c:v>
              </c:pt>
              <c:pt idx="2884">
                <c:v>Baldwin Bikes</c:v>
              </c:pt>
              <c:pt idx="2885">
                <c:v>Baldwin Bikes</c:v>
              </c:pt>
              <c:pt idx="2886">
                <c:v>Baldwin Bikes</c:v>
              </c:pt>
              <c:pt idx="2887">
                <c:v>Baldwin Bikes</c:v>
              </c:pt>
              <c:pt idx="2888">
                <c:v>Baldwin Bikes</c:v>
              </c:pt>
              <c:pt idx="2889">
                <c:v>Baldwin Bikes</c:v>
              </c:pt>
              <c:pt idx="2890">
                <c:v>Baldwin Bikes</c:v>
              </c:pt>
              <c:pt idx="2891">
                <c:v>Baldwin Bikes</c:v>
              </c:pt>
              <c:pt idx="2892">
                <c:v>Baldwin Bikes</c:v>
              </c:pt>
              <c:pt idx="2893">
                <c:v>Baldwin Bikes</c:v>
              </c:pt>
              <c:pt idx="2894">
                <c:v>Baldwin Bikes</c:v>
              </c:pt>
              <c:pt idx="2895">
                <c:v>Baldwin Bikes</c:v>
              </c:pt>
              <c:pt idx="2896">
                <c:v>Baldwin Bikes</c:v>
              </c:pt>
              <c:pt idx="2897">
                <c:v>Baldwin Bikes</c:v>
              </c:pt>
              <c:pt idx="2898">
                <c:v>Baldwin Bikes</c:v>
              </c:pt>
              <c:pt idx="2899">
                <c:v>Baldwin Bikes</c:v>
              </c:pt>
              <c:pt idx="2900">
                <c:v>Baldwin Bikes</c:v>
              </c:pt>
              <c:pt idx="2901">
                <c:v>Baldwin Bikes</c:v>
              </c:pt>
              <c:pt idx="2902">
                <c:v>Baldwin Bikes</c:v>
              </c:pt>
              <c:pt idx="2903">
                <c:v>Rowlett Bikes</c:v>
              </c:pt>
              <c:pt idx="2904">
                <c:v>Rowlett Bikes</c:v>
              </c:pt>
              <c:pt idx="2905">
                <c:v>Baldwin Bikes</c:v>
              </c:pt>
              <c:pt idx="2906">
                <c:v>Santa Cruz Bikes</c:v>
              </c:pt>
              <c:pt idx="2907">
                <c:v>Santa Cruz Bikes</c:v>
              </c:pt>
              <c:pt idx="2908">
                <c:v>Santa Cruz Bikes</c:v>
              </c:pt>
              <c:pt idx="2909">
                <c:v>Santa Cruz Bikes</c:v>
              </c:pt>
              <c:pt idx="2910">
                <c:v>Baldwin Bikes</c:v>
              </c:pt>
              <c:pt idx="2911">
                <c:v>Baldwin Bikes</c:v>
              </c:pt>
              <c:pt idx="2912">
                <c:v>Baldwin Bikes</c:v>
              </c:pt>
              <c:pt idx="2913">
                <c:v>Baldwin Bikes</c:v>
              </c:pt>
              <c:pt idx="2914">
                <c:v>Baldwin Bikes</c:v>
              </c:pt>
              <c:pt idx="2915">
                <c:v>Baldwin Bikes</c:v>
              </c:pt>
              <c:pt idx="2916">
                <c:v>Baldwin Bikes</c:v>
              </c:pt>
              <c:pt idx="2917">
                <c:v>Baldwin Bikes</c:v>
              </c:pt>
              <c:pt idx="2918">
                <c:v>Baldwin Bikes</c:v>
              </c:pt>
              <c:pt idx="2919">
                <c:v>Baldwin Bikes</c:v>
              </c:pt>
              <c:pt idx="2920">
                <c:v>Baldwin Bikes</c:v>
              </c:pt>
              <c:pt idx="2921">
                <c:v>Rowlett Bikes</c:v>
              </c:pt>
              <c:pt idx="2922">
                <c:v>Baldwin Bikes</c:v>
              </c:pt>
              <c:pt idx="2923">
                <c:v>Baldwin Bikes</c:v>
              </c:pt>
              <c:pt idx="2924">
                <c:v>Baldwin Bikes</c:v>
              </c:pt>
              <c:pt idx="2925">
                <c:v>Baldwin Bikes</c:v>
              </c:pt>
              <c:pt idx="2926">
                <c:v>Baldwin Bikes</c:v>
              </c:pt>
              <c:pt idx="2927">
                <c:v>Baldwin Bikes</c:v>
              </c:pt>
              <c:pt idx="2928">
                <c:v>Baldwin Bikes</c:v>
              </c:pt>
              <c:pt idx="2929">
                <c:v>Baldwin Bikes</c:v>
              </c:pt>
              <c:pt idx="2930">
                <c:v>Baldwin Bikes</c:v>
              </c:pt>
              <c:pt idx="2931">
                <c:v>Baldwin Bikes</c:v>
              </c:pt>
              <c:pt idx="2932">
                <c:v>Baldwin Bikes</c:v>
              </c:pt>
              <c:pt idx="2933">
                <c:v>Baldwin Bikes</c:v>
              </c:pt>
              <c:pt idx="2934">
                <c:v>Baldwin Bikes</c:v>
              </c:pt>
              <c:pt idx="2935">
                <c:v>Baldwin Bikes</c:v>
              </c:pt>
              <c:pt idx="2936">
                <c:v>Baldwin Bikes</c:v>
              </c:pt>
              <c:pt idx="2937">
                <c:v>Baldwin Bikes</c:v>
              </c:pt>
              <c:pt idx="2938">
                <c:v>Baldwin Bikes</c:v>
              </c:pt>
              <c:pt idx="2939">
                <c:v>Baldwin Bikes</c:v>
              </c:pt>
              <c:pt idx="2940">
                <c:v>Baldwin Bikes</c:v>
              </c:pt>
              <c:pt idx="2941">
                <c:v>Baldwin Bikes</c:v>
              </c:pt>
              <c:pt idx="2942">
                <c:v>Baldwin Bikes</c:v>
              </c:pt>
              <c:pt idx="2943">
                <c:v>Baldwin Bikes</c:v>
              </c:pt>
              <c:pt idx="2944">
                <c:v>Baldwin Bikes</c:v>
              </c:pt>
              <c:pt idx="2945">
                <c:v>Baldwin Bikes</c:v>
              </c:pt>
              <c:pt idx="2946">
                <c:v>Baldwin Bikes</c:v>
              </c:pt>
              <c:pt idx="2947">
                <c:v>Baldwin Bikes</c:v>
              </c:pt>
              <c:pt idx="2948">
                <c:v>Baldwin Bikes</c:v>
              </c:pt>
              <c:pt idx="2949">
                <c:v>Baldwin Bikes</c:v>
              </c:pt>
              <c:pt idx="2950">
                <c:v>Baldwin Bikes</c:v>
              </c:pt>
              <c:pt idx="2951">
                <c:v>Baldwin Bikes</c:v>
              </c:pt>
              <c:pt idx="2952">
                <c:v>Baldwin Bikes</c:v>
              </c:pt>
              <c:pt idx="2953">
                <c:v>Baldwin Bikes</c:v>
              </c:pt>
              <c:pt idx="2954">
                <c:v>Baldwin Bikes</c:v>
              </c:pt>
              <c:pt idx="2955">
                <c:v>Baldwin Bikes</c:v>
              </c:pt>
              <c:pt idx="2956">
                <c:v>Baldwin Bikes</c:v>
              </c:pt>
              <c:pt idx="2957">
                <c:v>Santa Cruz Bikes</c:v>
              </c:pt>
              <c:pt idx="2958">
                <c:v>Baldwin Bikes</c:v>
              </c:pt>
              <c:pt idx="2959">
                <c:v>Baldwin Bikes</c:v>
              </c:pt>
              <c:pt idx="2960">
                <c:v>Baldwin Bikes</c:v>
              </c:pt>
              <c:pt idx="2961">
                <c:v>Baldwin Bikes</c:v>
              </c:pt>
              <c:pt idx="2962">
                <c:v>Baldwin Bikes</c:v>
              </c:pt>
              <c:pt idx="2963">
                <c:v>Baldwin Bikes</c:v>
              </c:pt>
              <c:pt idx="2964">
                <c:v>Baldwin Bikes</c:v>
              </c:pt>
              <c:pt idx="2965">
                <c:v>Santa Cruz Bikes</c:v>
              </c:pt>
              <c:pt idx="2966">
                <c:v>Santa Cruz Bikes</c:v>
              </c:pt>
              <c:pt idx="2967">
                <c:v>Santa Cruz Bikes</c:v>
              </c:pt>
              <c:pt idx="2968">
                <c:v>Santa Cruz Bikes</c:v>
              </c:pt>
              <c:pt idx="2969">
                <c:v>Baldwin Bikes</c:v>
              </c:pt>
              <c:pt idx="2970">
                <c:v>Baldwin Bikes</c:v>
              </c:pt>
              <c:pt idx="2971">
                <c:v>Baldwin Bikes</c:v>
              </c:pt>
              <c:pt idx="2972">
                <c:v>Santa Cruz Bikes</c:v>
              </c:pt>
              <c:pt idx="2973">
                <c:v>Santa Cruz Bikes</c:v>
              </c:pt>
              <c:pt idx="2974">
                <c:v>Baldwin Bikes</c:v>
              </c:pt>
              <c:pt idx="2975">
                <c:v>Baldwin Bikes</c:v>
              </c:pt>
              <c:pt idx="2976">
                <c:v>Baldwin Bikes</c:v>
              </c:pt>
              <c:pt idx="2977">
                <c:v>Baldwin Bikes</c:v>
              </c:pt>
              <c:pt idx="2978">
                <c:v>Baldwin Bikes</c:v>
              </c:pt>
              <c:pt idx="2979">
                <c:v>Baldwin Bikes</c:v>
              </c:pt>
              <c:pt idx="2980">
                <c:v>Baldwin Bikes</c:v>
              </c:pt>
              <c:pt idx="2981">
                <c:v>Baldwin Bikes</c:v>
              </c:pt>
              <c:pt idx="2982">
                <c:v>Baldwin Bikes</c:v>
              </c:pt>
              <c:pt idx="2983">
                <c:v>Baldwin Bikes</c:v>
              </c:pt>
              <c:pt idx="2984">
                <c:v>Baldwin Bikes</c:v>
              </c:pt>
              <c:pt idx="2985">
                <c:v>Baldwin Bikes</c:v>
              </c:pt>
              <c:pt idx="2986">
                <c:v>Baldwin Bikes</c:v>
              </c:pt>
              <c:pt idx="2987">
                <c:v>Baldwin Bikes</c:v>
              </c:pt>
              <c:pt idx="2988">
                <c:v>Baldwin Bikes</c:v>
              </c:pt>
              <c:pt idx="2989">
                <c:v>Baldwin Bikes</c:v>
              </c:pt>
              <c:pt idx="2990">
                <c:v>Baldwin Bikes</c:v>
              </c:pt>
              <c:pt idx="2991">
                <c:v>Baldwin Bikes</c:v>
              </c:pt>
              <c:pt idx="2992">
                <c:v>Baldwin Bikes</c:v>
              </c:pt>
              <c:pt idx="2993">
                <c:v>Baldwin Bikes</c:v>
              </c:pt>
              <c:pt idx="2994">
                <c:v>Baldwin Bikes</c:v>
              </c:pt>
              <c:pt idx="2995">
                <c:v>Baldwin Bikes</c:v>
              </c:pt>
              <c:pt idx="2996">
                <c:v>Baldwin Bikes</c:v>
              </c:pt>
              <c:pt idx="2997">
                <c:v>Santa Cruz Bikes</c:v>
              </c:pt>
              <c:pt idx="2998">
                <c:v>Santa Cruz Bikes</c:v>
              </c:pt>
              <c:pt idx="2999">
                <c:v>Santa Cruz Bikes</c:v>
              </c:pt>
              <c:pt idx="3000">
                <c:v>Santa Cruz Bikes</c:v>
              </c:pt>
              <c:pt idx="3001">
                <c:v>Santa Cruz Bikes</c:v>
              </c:pt>
              <c:pt idx="3002">
                <c:v>Baldwin Bikes</c:v>
              </c:pt>
              <c:pt idx="3003">
                <c:v>Baldwin Bikes</c:v>
              </c:pt>
              <c:pt idx="3004">
                <c:v>Baldwin Bikes</c:v>
              </c:pt>
              <c:pt idx="3005">
                <c:v>Baldwin Bikes</c:v>
              </c:pt>
              <c:pt idx="3006">
                <c:v>Baldwin Bikes</c:v>
              </c:pt>
              <c:pt idx="3007">
                <c:v>Baldwin Bikes</c:v>
              </c:pt>
              <c:pt idx="3008">
                <c:v>Baldwin Bikes</c:v>
              </c:pt>
              <c:pt idx="3009">
                <c:v>Rowlett Bikes</c:v>
              </c:pt>
              <c:pt idx="3010">
                <c:v>Rowlett Bikes</c:v>
              </c:pt>
              <c:pt idx="3011">
                <c:v>Rowlett Bikes</c:v>
              </c:pt>
              <c:pt idx="3012">
                <c:v>Rowlett Bikes</c:v>
              </c:pt>
              <c:pt idx="3013">
                <c:v>Rowlett Bikes</c:v>
              </c:pt>
              <c:pt idx="3014">
                <c:v>Rowlett Bikes</c:v>
              </c:pt>
              <c:pt idx="3015">
                <c:v>Rowlett Bikes</c:v>
              </c:pt>
              <c:pt idx="3016">
                <c:v>Rowlett Bikes</c:v>
              </c:pt>
              <c:pt idx="3017">
                <c:v>Rowlett Bikes</c:v>
              </c:pt>
              <c:pt idx="3018">
                <c:v>Rowlett Bikes</c:v>
              </c:pt>
              <c:pt idx="3019">
                <c:v>Rowlett Bikes</c:v>
              </c:pt>
              <c:pt idx="3020">
                <c:v>Baldwin Bikes</c:v>
              </c:pt>
              <c:pt idx="3021">
                <c:v>Baldwin Bikes</c:v>
              </c:pt>
              <c:pt idx="3022">
                <c:v>Baldwin Bikes</c:v>
              </c:pt>
              <c:pt idx="3023">
                <c:v>Santa Cruz Bikes</c:v>
              </c:pt>
              <c:pt idx="3024">
                <c:v>Santa Cruz Bikes</c:v>
              </c:pt>
              <c:pt idx="3025">
                <c:v>Santa Cruz Bikes</c:v>
              </c:pt>
              <c:pt idx="3026">
                <c:v>Santa Cruz Bikes</c:v>
              </c:pt>
              <c:pt idx="3027">
                <c:v>Santa Cruz Bikes</c:v>
              </c:pt>
              <c:pt idx="3028">
                <c:v>Santa Cruz Bikes</c:v>
              </c:pt>
              <c:pt idx="3029">
                <c:v>Santa Cruz Bikes</c:v>
              </c:pt>
              <c:pt idx="3030">
                <c:v>Santa Cruz Bikes</c:v>
              </c:pt>
              <c:pt idx="3031">
                <c:v>Santa Cruz Bikes</c:v>
              </c:pt>
              <c:pt idx="3032">
                <c:v>Baldwin Bikes</c:v>
              </c:pt>
              <c:pt idx="3033">
                <c:v>Baldwin Bikes</c:v>
              </c:pt>
              <c:pt idx="3034">
                <c:v>Baldwin Bikes</c:v>
              </c:pt>
              <c:pt idx="3035">
                <c:v>Baldwin Bikes</c:v>
              </c:pt>
              <c:pt idx="3036">
                <c:v>Baldwin Bikes</c:v>
              </c:pt>
              <c:pt idx="3037">
                <c:v>Baldwin Bikes</c:v>
              </c:pt>
              <c:pt idx="3038">
                <c:v>Baldwin Bikes</c:v>
              </c:pt>
              <c:pt idx="3039">
                <c:v>Baldwin Bikes</c:v>
              </c:pt>
              <c:pt idx="3040">
                <c:v>Baldwin Bikes</c:v>
              </c:pt>
              <c:pt idx="3041">
                <c:v>Baldwin Bikes</c:v>
              </c:pt>
              <c:pt idx="3042">
                <c:v>Baldwin Bikes</c:v>
              </c:pt>
              <c:pt idx="3043">
                <c:v>Baldwin Bikes</c:v>
              </c:pt>
              <c:pt idx="3044">
                <c:v>Baldwin Bikes</c:v>
              </c:pt>
              <c:pt idx="3045">
                <c:v>Baldwin Bikes</c:v>
              </c:pt>
              <c:pt idx="3046">
                <c:v>Baldwin Bikes</c:v>
              </c:pt>
              <c:pt idx="3047">
                <c:v>Baldwin Bikes</c:v>
              </c:pt>
              <c:pt idx="3048">
                <c:v>Baldwin Bikes</c:v>
              </c:pt>
              <c:pt idx="3049">
                <c:v>Baldwin Bikes</c:v>
              </c:pt>
              <c:pt idx="3050">
                <c:v>Baldwin Bikes</c:v>
              </c:pt>
              <c:pt idx="3051">
                <c:v>Baldwin Bikes</c:v>
              </c:pt>
              <c:pt idx="3052">
                <c:v>Baldwin Bikes</c:v>
              </c:pt>
              <c:pt idx="3053">
                <c:v>Baldwin Bikes</c:v>
              </c:pt>
              <c:pt idx="3054">
                <c:v>Baldwin Bikes</c:v>
              </c:pt>
              <c:pt idx="3055">
                <c:v>Baldwin Bikes</c:v>
              </c:pt>
              <c:pt idx="3056">
                <c:v>Baldwin Bikes</c:v>
              </c:pt>
              <c:pt idx="3057">
                <c:v>Baldwin Bikes</c:v>
              </c:pt>
              <c:pt idx="3058">
                <c:v>Baldwin Bikes</c:v>
              </c:pt>
              <c:pt idx="3059">
                <c:v>Baldwin Bikes</c:v>
              </c:pt>
              <c:pt idx="3060">
                <c:v>Baldwin Bikes</c:v>
              </c:pt>
              <c:pt idx="3061">
                <c:v>Baldwin Bikes</c:v>
              </c:pt>
              <c:pt idx="3062">
                <c:v>Baldwin Bikes</c:v>
              </c:pt>
              <c:pt idx="3063">
                <c:v>Baldwin Bikes</c:v>
              </c:pt>
              <c:pt idx="3064">
                <c:v>Baldwin Bikes</c:v>
              </c:pt>
              <c:pt idx="3065">
                <c:v>Baldwin Bikes</c:v>
              </c:pt>
              <c:pt idx="3066">
                <c:v>Baldwin Bikes</c:v>
              </c:pt>
              <c:pt idx="3067">
                <c:v>Baldwin Bikes</c:v>
              </c:pt>
              <c:pt idx="3068">
                <c:v>Rowlett Bikes</c:v>
              </c:pt>
              <c:pt idx="3069">
                <c:v>Rowlett Bikes</c:v>
              </c:pt>
              <c:pt idx="3070">
                <c:v>Rowlett Bikes</c:v>
              </c:pt>
              <c:pt idx="3071">
                <c:v>Rowlett Bikes</c:v>
              </c:pt>
              <c:pt idx="3072">
                <c:v>Rowlett Bikes</c:v>
              </c:pt>
              <c:pt idx="3073">
                <c:v>Baldwin Bikes</c:v>
              </c:pt>
              <c:pt idx="3074">
                <c:v>Baldwin Bikes</c:v>
              </c:pt>
              <c:pt idx="3075">
                <c:v>Baldwin Bikes</c:v>
              </c:pt>
              <c:pt idx="3076">
                <c:v>Baldwin Bikes</c:v>
              </c:pt>
              <c:pt idx="3077">
                <c:v>Baldwin Bikes</c:v>
              </c:pt>
              <c:pt idx="3078">
                <c:v>Baldwin Bikes</c:v>
              </c:pt>
              <c:pt idx="3079">
                <c:v>Baldwin Bikes</c:v>
              </c:pt>
              <c:pt idx="3080">
                <c:v>Baldwin Bikes</c:v>
              </c:pt>
              <c:pt idx="3081">
                <c:v>Baldwin Bikes</c:v>
              </c:pt>
              <c:pt idx="3082">
                <c:v>Baldwin Bikes</c:v>
              </c:pt>
              <c:pt idx="3083">
                <c:v>Baldwin Bikes</c:v>
              </c:pt>
              <c:pt idx="3084">
                <c:v>Baldwin Bikes</c:v>
              </c:pt>
              <c:pt idx="3085">
                <c:v>Baldwin Bikes</c:v>
              </c:pt>
              <c:pt idx="3086">
                <c:v>Baldwin Bikes</c:v>
              </c:pt>
              <c:pt idx="3087">
                <c:v>Baldwin Bikes</c:v>
              </c:pt>
              <c:pt idx="3088">
                <c:v>Baldwin Bikes</c:v>
              </c:pt>
              <c:pt idx="3089">
                <c:v>Baldwin Bikes</c:v>
              </c:pt>
              <c:pt idx="3090">
                <c:v>Baldwin Bikes</c:v>
              </c:pt>
              <c:pt idx="3091">
                <c:v>Baldwin Bikes</c:v>
              </c:pt>
              <c:pt idx="3092">
                <c:v>Rowlett Bikes</c:v>
              </c:pt>
              <c:pt idx="3093">
                <c:v>Santa Cruz Bikes</c:v>
              </c:pt>
              <c:pt idx="3094">
                <c:v>Santa Cruz Bikes</c:v>
              </c:pt>
              <c:pt idx="3095">
                <c:v>Santa Cruz Bikes</c:v>
              </c:pt>
              <c:pt idx="3096">
                <c:v>Baldwin Bikes</c:v>
              </c:pt>
              <c:pt idx="3097">
                <c:v>Baldwin Bikes</c:v>
              </c:pt>
              <c:pt idx="3098">
                <c:v>Baldwin Bikes</c:v>
              </c:pt>
              <c:pt idx="3099">
                <c:v>Baldwin Bikes</c:v>
              </c:pt>
              <c:pt idx="3100">
                <c:v>Baldwin Bikes</c:v>
              </c:pt>
              <c:pt idx="3101">
                <c:v>Baldwin Bikes</c:v>
              </c:pt>
              <c:pt idx="3102">
                <c:v>Santa Cruz Bikes</c:v>
              </c:pt>
              <c:pt idx="3103">
                <c:v>Santa Cruz Bikes</c:v>
              </c:pt>
              <c:pt idx="3104">
                <c:v>Baldwin Bikes</c:v>
              </c:pt>
              <c:pt idx="3105">
                <c:v>Baldwin Bikes</c:v>
              </c:pt>
              <c:pt idx="3106">
                <c:v>Baldwin Bikes</c:v>
              </c:pt>
              <c:pt idx="3107">
                <c:v>Baldwin Bikes</c:v>
              </c:pt>
              <c:pt idx="3108">
                <c:v>Baldwin Bikes</c:v>
              </c:pt>
              <c:pt idx="3109">
                <c:v>Baldwin Bikes</c:v>
              </c:pt>
              <c:pt idx="3110">
                <c:v>Baldwin Bikes</c:v>
              </c:pt>
              <c:pt idx="3111">
                <c:v>Baldwin Bikes</c:v>
              </c:pt>
              <c:pt idx="3112">
                <c:v>Baldwin Bikes</c:v>
              </c:pt>
              <c:pt idx="3113">
                <c:v>Baldwin Bikes</c:v>
              </c:pt>
              <c:pt idx="3114">
                <c:v>Baldwin Bikes</c:v>
              </c:pt>
              <c:pt idx="3115">
                <c:v>Baldwin Bikes</c:v>
              </c:pt>
              <c:pt idx="3116">
                <c:v>Baldwin Bikes</c:v>
              </c:pt>
              <c:pt idx="3117">
                <c:v>Baldwin Bikes</c:v>
              </c:pt>
              <c:pt idx="3118">
                <c:v>Baldwin Bikes</c:v>
              </c:pt>
              <c:pt idx="3119">
                <c:v>Baldwin Bikes</c:v>
              </c:pt>
              <c:pt idx="3120">
                <c:v>Baldwin Bikes</c:v>
              </c:pt>
              <c:pt idx="3121">
                <c:v>Baldwin Bikes</c:v>
              </c:pt>
              <c:pt idx="3122">
                <c:v>Baldwin Bikes</c:v>
              </c:pt>
              <c:pt idx="3123">
                <c:v>Baldwin Bikes</c:v>
              </c:pt>
              <c:pt idx="3124">
                <c:v>Baldwin Bikes</c:v>
              </c:pt>
              <c:pt idx="3125">
                <c:v>Santa Cruz Bikes</c:v>
              </c:pt>
              <c:pt idx="3126">
                <c:v>Santa Cruz Bikes</c:v>
              </c:pt>
              <c:pt idx="3127">
                <c:v>Santa Cruz Bikes</c:v>
              </c:pt>
              <c:pt idx="3128">
                <c:v>Santa Cruz Bikes</c:v>
              </c:pt>
              <c:pt idx="3129">
                <c:v>Santa Cruz Bikes</c:v>
              </c:pt>
              <c:pt idx="3130">
                <c:v>Santa Cruz Bikes</c:v>
              </c:pt>
              <c:pt idx="3131">
                <c:v>Santa Cruz Bikes</c:v>
              </c:pt>
              <c:pt idx="3132">
                <c:v>Santa Cruz Bikes</c:v>
              </c:pt>
              <c:pt idx="3133">
                <c:v>Baldwin Bikes</c:v>
              </c:pt>
              <c:pt idx="3134">
                <c:v>Baldwin Bikes</c:v>
              </c:pt>
              <c:pt idx="3135">
                <c:v>Baldwin Bikes</c:v>
              </c:pt>
              <c:pt idx="3136">
                <c:v>Baldwin Bikes</c:v>
              </c:pt>
              <c:pt idx="3137">
                <c:v>Baldwin Bikes</c:v>
              </c:pt>
              <c:pt idx="3138">
                <c:v>Rowlett Bikes</c:v>
              </c:pt>
              <c:pt idx="3139">
                <c:v>Rowlett Bikes</c:v>
              </c:pt>
              <c:pt idx="3140">
                <c:v>Rowlett Bikes</c:v>
              </c:pt>
              <c:pt idx="3141">
                <c:v>Rowlett Bikes</c:v>
              </c:pt>
              <c:pt idx="3142">
                <c:v>Rowlett Bikes</c:v>
              </c:pt>
              <c:pt idx="3143">
                <c:v>Rowlett Bikes</c:v>
              </c:pt>
              <c:pt idx="3144">
                <c:v>Rowlett Bikes</c:v>
              </c:pt>
              <c:pt idx="3145">
                <c:v>Rowlett Bikes</c:v>
              </c:pt>
              <c:pt idx="3146">
                <c:v>Rowlett Bikes</c:v>
              </c:pt>
              <c:pt idx="3147">
                <c:v>Santa Cruz Bikes</c:v>
              </c:pt>
              <c:pt idx="3148">
                <c:v>Santa Cruz Bikes</c:v>
              </c:pt>
              <c:pt idx="3149">
                <c:v>Santa Cruz Bikes</c:v>
              </c:pt>
              <c:pt idx="3150">
                <c:v>Baldwin Bikes</c:v>
              </c:pt>
              <c:pt idx="3151">
                <c:v>Baldwin Bikes</c:v>
              </c:pt>
              <c:pt idx="3152">
                <c:v>Baldwin Bikes</c:v>
              </c:pt>
              <c:pt idx="3153">
                <c:v>Santa Cruz Bikes</c:v>
              </c:pt>
              <c:pt idx="3154">
                <c:v>Santa Cruz Bikes</c:v>
              </c:pt>
              <c:pt idx="3155">
                <c:v>Santa Cruz Bikes</c:v>
              </c:pt>
              <c:pt idx="3156">
                <c:v>Santa Cruz Bikes</c:v>
              </c:pt>
              <c:pt idx="3157">
                <c:v>Santa Cruz Bikes</c:v>
              </c:pt>
              <c:pt idx="3158">
                <c:v>Santa Cruz Bikes</c:v>
              </c:pt>
              <c:pt idx="3159">
                <c:v>Santa Cruz Bikes</c:v>
              </c:pt>
              <c:pt idx="3160">
                <c:v>Baldwin Bikes</c:v>
              </c:pt>
              <c:pt idx="3161">
                <c:v>Baldwin Bikes</c:v>
              </c:pt>
              <c:pt idx="3162">
                <c:v>Baldwin Bikes</c:v>
              </c:pt>
              <c:pt idx="3163">
                <c:v>Baldwin Bikes</c:v>
              </c:pt>
              <c:pt idx="3164">
                <c:v>Rowlett Bikes</c:v>
              </c:pt>
              <c:pt idx="3165">
                <c:v>Rowlett Bikes</c:v>
              </c:pt>
              <c:pt idx="3166">
                <c:v>Rowlett Bikes</c:v>
              </c:pt>
              <c:pt idx="3167">
                <c:v>Rowlett Bikes</c:v>
              </c:pt>
              <c:pt idx="3168">
                <c:v>Rowlett Bikes</c:v>
              </c:pt>
              <c:pt idx="3169">
                <c:v>Santa Cruz Bikes</c:v>
              </c:pt>
              <c:pt idx="3170">
                <c:v>Baldwin Bikes</c:v>
              </c:pt>
              <c:pt idx="3171">
                <c:v>Baldwin Bikes</c:v>
              </c:pt>
              <c:pt idx="3172">
                <c:v>Baldwin Bikes</c:v>
              </c:pt>
              <c:pt idx="3173">
                <c:v>Baldwin Bikes</c:v>
              </c:pt>
              <c:pt idx="3174">
                <c:v>Baldwin Bikes</c:v>
              </c:pt>
              <c:pt idx="3175">
                <c:v>Santa Cruz Bikes</c:v>
              </c:pt>
              <c:pt idx="3176">
                <c:v>Baldwin Bikes</c:v>
              </c:pt>
              <c:pt idx="3177">
                <c:v>Baldwin Bikes</c:v>
              </c:pt>
              <c:pt idx="3178">
                <c:v>Baldwin Bikes</c:v>
              </c:pt>
              <c:pt idx="3179">
                <c:v>Baldwin Bikes</c:v>
              </c:pt>
              <c:pt idx="3180">
                <c:v>Baldwin Bikes</c:v>
              </c:pt>
              <c:pt idx="3181">
                <c:v>Baldwin Bikes</c:v>
              </c:pt>
              <c:pt idx="3182">
                <c:v>Baldwin Bikes</c:v>
              </c:pt>
              <c:pt idx="3183">
                <c:v>Baldwin Bikes</c:v>
              </c:pt>
              <c:pt idx="3184">
                <c:v>Baldwin Bikes</c:v>
              </c:pt>
              <c:pt idx="3185">
                <c:v>Baldwin Bikes</c:v>
              </c:pt>
              <c:pt idx="3186">
                <c:v>Baldwin Bikes</c:v>
              </c:pt>
              <c:pt idx="3187">
                <c:v>Baldwin Bikes</c:v>
              </c:pt>
              <c:pt idx="3188">
                <c:v>Baldwin Bikes</c:v>
              </c:pt>
              <c:pt idx="3189">
                <c:v>Baldwin Bikes</c:v>
              </c:pt>
              <c:pt idx="3190">
                <c:v>Baldwin Bikes</c:v>
              </c:pt>
              <c:pt idx="3191">
                <c:v>Rowlett Bikes</c:v>
              </c:pt>
              <c:pt idx="3192">
                <c:v>Rowlett Bikes</c:v>
              </c:pt>
              <c:pt idx="3193">
                <c:v>Rowlett Bikes</c:v>
              </c:pt>
              <c:pt idx="3194">
                <c:v>Baldwin Bikes</c:v>
              </c:pt>
              <c:pt idx="3195">
                <c:v>Baldwin Bikes</c:v>
              </c:pt>
              <c:pt idx="3196">
                <c:v>Baldwin Bikes</c:v>
              </c:pt>
              <c:pt idx="3197">
                <c:v>Santa Cruz Bikes</c:v>
              </c:pt>
              <c:pt idx="3198">
                <c:v>Santa Cruz Bikes</c:v>
              </c:pt>
              <c:pt idx="3199">
                <c:v>Santa Cruz Bikes</c:v>
              </c:pt>
              <c:pt idx="3200">
                <c:v>Baldwin Bikes</c:v>
              </c:pt>
              <c:pt idx="3201">
                <c:v>Baldwin Bikes</c:v>
              </c:pt>
              <c:pt idx="3202">
                <c:v>Baldwin Bikes</c:v>
              </c:pt>
              <c:pt idx="3203">
                <c:v>Baldwin Bikes</c:v>
              </c:pt>
              <c:pt idx="3204">
                <c:v>Baldwin Bikes</c:v>
              </c:pt>
              <c:pt idx="3205">
                <c:v>Baldwin Bikes</c:v>
              </c:pt>
              <c:pt idx="3206">
                <c:v>Baldwin Bikes</c:v>
              </c:pt>
              <c:pt idx="3207">
                <c:v>Baldwin Bikes</c:v>
              </c:pt>
              <c:pt idx="3208">
                <c:v>Baldwin Bikes</c:v>
              </c:pt>
              <c:pt idx="3209">
                <c:v>Baldwin Bikes</c:v>
              </c:pt>
              <c:pt idx="3210">
                <c:v>Baldwin Bikes</c:v>
              </c:pt>
              <c:pt idx="3211">
                <c:v>Baldwin Bikes</c:v>
              </c:pt>
              <c:pt idx="3212">
                <c:v>Baldwin Bikes</c:v>
              </c:pt>
              <c:pt idx="3213">
                <c:v>Baldwin Bikes</c:v>
              </c:pt>
              <c:pt idx="3214">
                <c:v>Baldwin Bikes</c:v>
              </c:pt>
              <c:pt idx="3215">
                <c:v>Baldwin Bikes</c:v>
              </c:pt>
              <c:pt idx="3216">
                <c:v>Baldwin Bikes</c:v>
              </c:pt>
              <c:pt idx="3217">
                <c:v>Baldwin Bikes</c:v>
              </c:pt>
              <c:pt idx="3218">
                <c:v>Baldwin Bikes</c:v>
              </c:pt>
              <c:pt idx="3219">
                <c:v>Baldwin Bikes</c:v>
              </c:pt>
              <c:pt idx="3220">
                <c:v>Baldwin Bikes</c:v>
              </c:pt>
              <c:pt idx="3221">
                <c:v>Baldwin Bikes</c:v>
              </c:pt>
              <c:pt idx="3222">
                <c:v>Baldwin Bikes</c:v>
              </c:pt>
              <c:pt idx="3223">
                <c:v>Baldwin Bikes</c:v>
              </c:pt>
              <c:pt idx="3224">
                <c:v>Baldwin Bikes</c:v>
              </c:pt>
              <c:pt idx="3225">
                <c:v>Santa Cruz Bikes</c:v>
              </c:pt>
              <c:pt idx="3226">
                <c:v>Santa Cruz Bikes</c:v>
              </c:pt>
              <c:pt idx="3227">
                <c:v>Santa Cruz Bikes</c:v>
              </c:pt>
              <c:pt idx="3228">
                <c:v>Baldwin Bikes</c:v>
              </c:pt>
              <c:pt idx="3229">
                <c:v>Baldwin Bikes</c:v>
              </c:pt>
              <c:pt idx="3230">
                <c:v>Baldwin Bikes</c:v>
              </c:pt>
              <c:pt idx="3231">
                <c:v>Baldwin Bikes</c:v>
              </c:pt>
              <c:pt idx="3232">
                <c:v>Baldwin Bikes</c:v>
              </c:pt>
              <c:pt idx="3233">
                <c:v>Baldwin Bikes</c:v>
              </c:pt>
              <c:pt idx="3234">
                <c:v>Baldwin Bikes</c:v>
              </c:pt>
              <c:pt idx="3235">
                <c:v>Baldwin Bikes</c:v>
              </c:pt>
              <c:pt idx="3236">
                <c:v>Baldwin Bikes</c:v>
              </c:pt>
              <c:pt idx="3237">
                <c:v>Baldwin Bikes</c:v>
              </c:pt>
              <c:pt idx="3238">
                <c:v>Baldwin Bikes</c:v>
              </c:pt>
              <c:pt idx="3239">
                <c:v>Baldwin Bikes</c:v>
              </c:pt>
              <c:pt idx="3240">
                <c:v>Baldwin Bikes</c:v>
              </c:pt>
              <c:pt idx="3241">
                <c:v>Baldwin Bikes</c:v>
              </c:pt>
              <c:pt idx="3242">
                <c:v>Rowlett Bikes</c:v>
              </c:pt>
              <c:pt idx="3243">
                <c:v>Rowlett Bikes</c:v>
              </c:pt>
              <c:pt idx="3244">
                <c:v>Rowlett Bikes</c:v>
              </c:pt>
              <c:pt idx="3245">
                <c:v>Rowlett Bikes</c:v>
              </c:pt>
              <c:pt idx="3246">
                <c:v>Rowlett Bikes</c:v>
              </c:pt>
              <c:pt idx="3247">
                <c:v>Baldwin Bikes</c:v>
              </c:pt>
              <c:pt idx="3248">
                <c:v>Baldwin Bikes</c:v>
              </c:pt>
              <c:pt idx="3249">
                <c:v>Baldwin Bikes</c:v>
              </c:pt>
              <c:pt idx="3250">
                <c:v>Baldwin Bikes</c:v>
              </c:pt>
              <c:pt idx="3251">
                <c:v>Baldwin Bikes</c:v>
              </c:pt>
              <c:pt idx="3252">
                <c:v>Rowlett Bikes</c:v>
              </c:pt>
              <c:pt idx="3253">
                <c:v>Rowlett Bikes</c:v>
              </c:pt>
              <c:pt idx="3254">
                <c:v>Rowlett Bikes</c:v>
              </c:pt>
              <c:pt idx="3255">
                <c:v>Baldwin Bikes</c:v>
              </c:pt>
              <c:pt idx="3256">
                <c:v>Baldwin Bikes</c:v>
              </c:pt>
              <c:pt idx="3257">
                <c:v>Baldwin Bikes</c:v>
              </c:pt>
              <c:pt idx="3258">
                <c:v>Baldwin Bikes</c:v>
              </c:pt>
              <c:pt idx="3259">
                <c:v>Baldwin Bikes</c:v>
              </c:pt>
              <c:pt idx="3260">
                <c:v>Baldwin Bikes</c:v>
              </c:pt>
              <c:pt idx="3261">
                <c:v>Baldwin Bikes</c:v>
              </c:pt>
              <c:pt idx="3262">
                <c:v>Baldwin Bikes</c:v>
              </c:pt>
              <c:pt idx="3263">
                <c:v>Baldwin Bikes</c:v>
              </c:pt>
              <c:pt idx="3264">
                <c:v>Santa Cruz Bikes</c:v>
              </c:pt>
              <c:pt idx="3265">
                <c:v>Santa Cruz Bikes</c:v>
              </c:pt>
              <c:pt idx="3266">
                <c:v>Santa Cruz Bikes</c:v>
              </c:pt>
              <c:pt idx="3267">
                <c:v>Baldwin Bikes</c:v>
              </c:pt>
              <c:pt idx="3268">
                <c:v>Baldwin Bikes</c:v>
              </c:pt>
              <c:pt idx="3269">
                <c:v>Baldwin Bikes</c:v>
              </c:pt>
              <c:pt idx="3270">
                <c:v>Baldwin Bikes</c:v>
              </c:pt>
              <c:pt idx="3271">
                <c:v>Baldwin Bikes</c:v>
              </c:pt>
              <c:pt idx="3272">
                <c:v>Baldwin Bikes</c:v>
              </c:pt>
              <c:pt idx="3273">
                <c:v>Baldwin Bikes</c:v>
              </c:pt>
              <c:pt idx="3274">
                <c:v>Baldwin Bikes</c:v>
              </c:pt>
              <c:pt idx="3275">
                <c:v>Baldwin Bikes</c:v>
              </c:pt>
              <c:pt idx="3276">
                <c:v>Baldwin Bikes</c:v>
              </c:pt>
              <c:pt idx="3277">
                <c:v>Baldwin Bikes</c:v>
              </c:pt>
              <c:pt idx="3278">
                <c:v>Baldwin Bikes</c:v>
              </c:pt>
              <c:pt idx="3279">
                <c:v>Baldwin Bikes</c:v>
              </c:pt>
              <c:pt idx="3280">
                <c:v>Rowlett Bikes</c:v>
              </c:pt>
              <c:pt idx="3281">
                <c:v>Rowlett Bikes</c:v>
              </c:pt>
              <c:pt idx="3282">
                <c:v>Rowlett Bikes</c:v>
              </c:pt>
              <c:pt idx="3283">
                <c:v>Rowlett Bikes</c:v>
              </c:pt>
              <c:pt idx="3284">
                <c:v>Santa Cruz Bikes</c:v>
              </c:pt>
              <c:pt idx="3285">
                <c:v>Santa Cruz Bikes</c:v>
              </c:pt>
              <c:pt idx="3286">
                <c:v>Santa Cruz Bikes</c:v>
              </c:pt>
              <c:pt idx="3287">
                <c:v>Santa Cruz Bikes</c:v>
              </c:pt>
              <c:pt idx="3288">
                <c:v>Santa Cruz Bikes</c:v>
              </c:pt>
              <c:pt idx="3289">
                <c:v>Santa Cruz Bikes</c:v>
              </c:pt>
              <c:pt idx="3290">
                <c:v>Santa Cruz Bikes</c:v>
              </c:pt>
              <c:pt idx="3291">
                <c:v>Santa Cruz Bikes</c:v>
              </c:pt>
              <c:pt idx="3292">
                <c:v>Rowlett Bikes</c:v>
              </c:pt>
              <c:pt idx="3293">
                <c:v>Rowlett Bikes</c:v>
              </c:pt>
              <c:pt idx="3294">
                <c:v>Rowlett Bikes</c:v>
              </c:pt>
              <c:pt idx="3295">
                <c:v>Rowlett Bikes</c:v>
              </c:pt>
              <c:pt idx="3296">
                <c:v>Santa Cruz Bikes</c:v>
              </c:pt>
              <c:pt idx="3297">
                <c:v>Santa Cruz Bikes</c:v>
              </c:pt>
              <c:pt idx="3298">
                <c:v>Santa Cruz Bikes</c:v>
              </c:pt>
              <c:pt idx="3299">
                <c:v>Santa Cruz Bikes</c:v>
              </c:pt>
              <c:pt idx="3300">
                <c:v>Santa Cruz Bikes</c:v>
              </c:pt>
              <c:pt idx="3301">
                <c:v>Santa Cruz Bikes</c:v>
              </c:pt>
              <c:pt idx="3302">
                <c:v>Santa Cruz Bikes</c:v>
              </c:pt>
              <c:pt idx="3303">
                <c:v>Santa Cruz Bikes</c:v>
              </c:pt>
              <c:pt idx="3304">
                <c:v>Santa Cruz Bikes</c:v>
              </c:pt>
              <c:pt idx="3305">
                <c:v>Baldwin Bikes</c:v>
              </c:pt>
              <c:pt idx="3306">
                <c:v>Baldwin Bikes</c:v>
              </c:pt>
              <c:pt idx="3307">
                <c:v>Baldwin Bikes</c:v>
              </c:pt>
              <c:pt idx="3308">
                <c:v>Baldwin Bikes</c:v>
              </c:pt>
              <c:pt idx="3309">
                <c:v>Baldwin Bikes</c:v>
              </c:pt>
              <c:pt idx="3310">
                <c:v>Baldwin Bikes</c:v>
              </c:pt>
              <c:pt idx="3311">
                <c:v>Baldwin Bikes</c:v>
              </c:pt>
              <c:pt idx="3312">
                <c:v>Baldwin Bikes</c:v>
              </c:pt>
              <c:pt idx="3313">
                <c:v>Baldwin Bikes</c:v>
              </c:pt>
              <c:pt idx="3314">
                <c:v>Baldwin Bikes</c:v>
              </c:pt>
              <c:pt idx="3315">
                <c:v>Baldwin Bikes</c:v>
              </c:pt>
              <c:pt idx="3316">
                <c:v>Baldwin Bikes</c:v>
              </c:pt>
              <c:pt idx="3317">
                <c:v>Baldwin Bikes</c:v>
              </c:pt>
              <c:pt idx="3318">
                <c:v>Baldwin Bikes</c:v>
              </c:pt>
              <c:pt idx="3319">
                <c:v>Baldwin Bikes</c:v>
              </c:pt>
              <c:pt idx="3320">
                <c:v>Baldwin Bikes</c:v>
              </c:pt>
              <c:pt idx="3321">
                <c:v>Baldwin Bikes</c:v>
              </c:pt>
              <c:pt idx="3322">
                <c:v>Baldwin Bikes</c:v>
              </c:pt>
              <c:pt idx="3323">
                <c:v>Baldwin Bikes</c:v>
              </c:pt>
              <c:pt idx="3324">
                <c:v>Baldwin Bikes</c:v>
              </c:pt>
              <c:pt idx="3325">
                <c:v>Santa Cruz Bikes</c:v>
              </c:pt>
              <c:pt idx="3326">
                <c:v>Baldwin Bikes</c:v>
              </c:pt>
              <c:pt idx="3327">
                <c:v>Baldwin Bikes</c:v>
              </c:pt>
              <c:pt idx="3328">
                <c:v>Baldwin Bikes</c:v>
              </c:pt>
              <c:pt idx="3329">
                <c:v>Baldwin Bikes</c:v>
              </c:pt>
              <c:pt idx="3330">
                <c:v>Baldwin Bikes</c:v>
              </c:pt>
              <c:pt idx="3331">
                <c:v>Baldwin Bikes</c:v>
              </c:pt>
              <c:pt idx="3332">
                <c:v>Baldwin Bikes</c:v>
              </c:pt>
              <c:pt idx="3333">
                <c:v>Baldwin Bikes</c:v>
              </c:pt>
              <c:pt idx="3334">
                <c:v>Baldwin Bikes</c:v>
              </c:pt>
              <c:pt idx="3335">
                <c:v>Baldwin Bikes</c:v>
              </c:pt>
              <c:pt idx="3336">
                <c:v>Baldwin Bikes</c:v>
              </c:pt>
              <c:pt idx="3337">
                <c:v>Baldwin Bikes</c:v>
              </c:pt>
              <c:pt idx="3338">
                <c:v>Baldwin Bikes</c:v>
              </c:pt>
              <c:pt idx="3339">
                <c:v>Baldwin Bikes</c:v>
              </c:pt>
              <c:pt idx="3340">
                <c:v>Santa Cruz Bikes</c:v>
              </c:pt>
              <c:pt idx="3341">
                <c:v>Santa Cruz Bikes</c:v>
              </c:pt>
              <c:pt idx="3342">
                <c:v>Santa Cruz Bikes</c:v>
              </c:pt>
              <c:pt idx="3343">
                <c:v>Santa Cruz Bikes</c:v>
              </c:pt>
              <c:pt idx="3344">
                <c:v>Santa Cruz Bikes</c:v>
              </c:pt>
              <c:pt idx="3345">
                <c:v>Santa Cruz Bikes</c:v>
              </c:pt>
              <c:pt idx="3346">
                <c:v>Santa Cruz Bikes</c:v>
              </c:pt>
              <c:pt idx="3347">
                <c:v>Santa Cruz Bikes</c:v>
              </c:pt>
              <c:pt idx="3348">
                <c:v>Santa Cruz Bikes</c:v>
              </c:pt>
              <c:pt idx="3349">
                <c:v>Baldwin Bikes</c:v>
              </c:pt>
              <c:pt idx="3350">
                <c:v>Baldwin Bikes</c:v>
              </c:pt>
              <c:pt idx="3351">
                <c:v>Baldwin Bikes</c:v>
              </c:pt>
              <c:pt idx="3352">
                <c:v>Baldwin Bikes</c:v>
              </c:pt>
              <c:pt idx="3353">
                <c:v>Baldwin Bikes</c:v>
              </c:pt>
              <c:pt idx="3354">
                <c:v>Baldwin Bikes</c:v>
              </c:pt>
              <c:pt idx="3355">
                <c:v>Baldwin Bikes</c:v>
              </c:pt>
              <c:pt idx="3356">
                <c:v>Baldwin Bikes</c:v>
              </c:pt>
              <c:pt idx="3357">
                <c:v>Baldwin Bikes</c:v>
              </c:pt>
              <c:pt idx="3358">
                <c:v>Baldwin Bikes</c:v>
              </c:pt>
              <c:pt idx="3359">
                <c:v>Baldwin Bikes</c:v>
              </c:pt>
              <c:pt idx="3360">
                <c:v>Baldwin Bikes</c:v>
              </c:pt>
              <c:pt idx="3361">
                <c:v>Baldwin Bikes</c:v>
              </c:pt>
              <c:pt idx="3362">
                <c:v>Baldwin Bikes</c:v>
              </c:pt>
              <c:pt idx="3363">
                <c:v>Baldwin Bikes</c:v>
              </c:pt>
              <c:pt idx="3364">
                <c:v>Baldwin Bikes</c:v>
              </c:pt>
              <c:pt idx="3365">
                <c:v>Baldwin Bikes</c:v>
              </c:pt>
              <c:pt idx="3366">
                <c:v>Baldwin Bikes</c:v>
              </c:pt>
              <c:pt idx="3367">
                <c:v>Santa Cruz Bikes</c:v>
              </c:pt>
              <c:pt idx="3368">
                <c:v>Santa Cruz Bikes</c:v>
              </c:pt>
              <c:pt idx="3369">
                <c:v>Santa Cruz Bikes</c:v>
              </c:pt>
              <c:pt idx="3370">
                <c:v>Baldwin Bikes</c:v>
              </c:pt>
              <c:pt idx="3371">
                <c:v>Baldwin Bikes</c:v>
              </c:pt>
              <c:pt idx="3372">
                <c:v>Baldwin Bikes</c:v>
              </c:pt>
              <c:pt idx="3373">
                <c:v>Baldwin Bikes</c:v>
              </c:pt>
              <c:pt idx="3374">
                <c:v>Baldwin Bikes</c:v>
              </c:pt>
              <c:pt idx="3375">
                <c:v>Baldwin Bikes</c:v>
              </c:pt>
              <c:pt idx="3376">
                <c:v>Baldwin Bikes</c:v>
              </c:pt>
              <c:pt idx="3377">
                <c:v>Baldwin Bikes</c:v>
              </c:pt>
              <c:pt idx="3378">
                <c:v>Baldwin Bikes</c:v>
              </c:pt>
              <c:pt idx="3379">
                <c:v>Baldwin Bikes</c:v>
              </c:pt>
              <c:pt idx="3380">
                <c:v>Baldwin Bikes</c:v>
              </c:pt>
              <c:pt idx="3381">
                <c:v>Baldwin Bikes</c:v>
              </c:pt>
              <c:pt idx="3382">
                <c:v>Baldwin Bikes</c:v>
              </c:pt>
              <c:pt idx="3383">
                <c:v>Baldwin Bikes</c:v>
              </c:pt>
              <c:pt idx="3384">
                <c:v>Baldwin Bikes</c:v>
              </c:pt>
              <c:pt idx="3385">
                <c:v>Baldwin Bikes</c:v>
              </c:pt>
              <c:pt idx="3386">
                <c:v>Baldwin Bikes</c:v>
              </c:pt>
              <c:pt idx="3387">
                <c:v>Baldwin Bikes</c:v>
              </c:pt>
              <c:pt idx="3388">
                <c:v>Baldwin Bikes</c:v>
              </c:pt>
              <c:pt idx="3389">
                <c:v>Baldwin Bikes</c:v>
              </c:pt>
              <c:pt idx="3390">
                <c:v>Baldwin Bikes</c:v>
              </c:pt>
              <c:pt idx="3391">
                <c:v>Baldwin Bikes</c:v>
              </c:pt>
              <c:pt idx="3392">
                <c:v>Baldwin Bikes</c:v>
              </c:pt>
              <c:pt idx="3393">
                <c:v>Baldwin Bikes</c:v>
              </c:pt>
              <c:pt idx="3394">
                <c:v>Baldwin Bikes</c:v>
              </c:pt>
              <c:pt idx="3395">
                <c:v>Baldwin Bikes</c:v>
              </c:pt>
              <c:pt idx="3396">
                <c:v>Baldwin Bikes</c:v>
              </c:pt>
              <c:pt idx="3397">
                <c:v>Baldwin Bikes</c:v>
              </c:pt>
              <c:pt idx="3398">
                <c:v>Baldwin Bikes</c:v>
              </c:pt>
              <c:pt idx="3399">
                <c:v>Rowlett Bikes</c:v>
              </c:pt>
              <c:pt idx="3400">
                <c:v>Rowlett Bikes</c:v>
              </c:pt>
              <c:pt idx="3401">
                <c:v>Rowlett Bikes</c:v>
              </c:pt>
              <c:pt idx="3402">
                <c:v>Baldwin Bikes</c:v>
              </c:pt>
              <c:pt idx="3403">
                <c:v>Baldwin Bikes</c:v>
              </c:pt>
              <c:pt idx="3404">
                <c:v>Baldwin Bikes</c:v>
              </c:pt>
              <c:pt idx="3405">
                <c:v>Baldwin Bikes</c:v>
              </c:pt>
              <c:pt idx="3406">
                <c:v>Rowlett Bikes</c:v>
              </c:pt>
              <c:pt idx="3407">
                <c:v>Rowlett Bikes</c:v>
              </c:pt>
              <c:pt idx="3408">
                <c:v>Rowlett Bikes</c:v>
              </c:pt>
              <c:pt idx="3409">
                <c:v>Rowlett Bikes</c:v>
              </c:pt>
              <c:pt idx="3410">
                <c:v>Santa Cruz Bikes</c:v>
              </c:pt>
              <c:pt idx="3411">
                <c:v>Baldwin Bikes</c:v>
              </c:pt>
              <c:pt idx="3412">
                <c:v>Baldwin Bikes</c:v>
              </c:pt>
              <c:pt idx="3413">
                <c:v>Baldwin Bikes</c:v>
              </c:pt>
              <c:pt idx="3414">
                <c:v>Baldwin Bikes</c:v>
              </c:pt>
              <c:pt idx="3415">
                <c:v>Baldwin Bikes</c:v>
              </c:pt>
              <c:pt idx="3416">
                <c:v>Baldwin Bikes</c:v>
              </c:pt>
              <c:pt idx="3417">
                <c:v>Baldwin Bikes</c:v>
              </c:pt>
              <c:pt idx="3418">
                <c:v>Baldwin Bikes</c:v>
              </c:pt>
              <c:pt idx="3419">
                <c:v>Baldwin Bikes</c:v>
              </c:pt>
              <c:pt idx="3420">
                <c:v>Baldwin Bikes</c:v>
              </c:pt>
              <c:pt idx="3421">
                <c:v>Baldwin Bikes</c:v>
              </c:pt>
              <c:pt idx="3422">
                <c:v>Baldwin Bikes</c:v>
              </c:pt>
              <c:pt idx="3423">
                <c:v>Baldwin Bikes</c:v>
              </c:pt>
              <c:pt idx="3424">
                <c:v>Baldwin Bikes</c:v>
              </c:pt>
              <c:pt idx="3425">
                <c:v>Baldwin Bikes</c:v>
              </c:pt>
              <c:pt idx="3426">
                <c:v>Baldwin Bikes</c:v>
              </c:pt>
              <c:pt idx="3427">
                <c:v>Baldwin Bikes</c:v>
              </c:pt>
              <c:pt idx="3428">
                <c:v>Baldwin Bikes</c:v>
              </c:pt>
              <c:pt idx="3429">
                <c:v>Baldwin Bikes</c:v>
              </c:pt>
              <c:pt idx="3430">
                <c:v>Baldwin Bikes</c:v>
              </c:pt>
              <c:pt idx="3431">
                <c:v>Baldwin Bikes</c:v>
              </c:pt>
              <c:pt idx="3432">
                <c:v>Baldwin Bikes</c:v>
              </c:pt>
              <c:pt idx="3433">
                <c:v>Baldwin Bikes</c:v>
              </c:pt>
              <c:pt idx="3434">
                <c:v>Baldwin Bikes</c:v>
              </c:pt>
              <c:pt idx="3435">
                <c:v>Baldwin Bikes</c:v>
              </c:pt>
              <c:pt idx="3436">
                <c:v>Baldwin Bikes</c:v>
              </c:pt>
              <c:pt idx="3437">
                <c:v>Baldwin Bikes</c:v>
              </c:pt>
              <c:pt idx="3438">
                <c:v>Baldwin Bikes</c:v>
              </c:pt>
              <c:pt idx="3439">
                <c:v>Baldwin Bikes</c:v>
              </c:pt>
              <c:pt idx="3440">
                <c:v>Baldwin Bikes</c:v>
              </c:pt>
              <c:pt idx="3441">
                <c:v>Baldwin Bikes</c:v>
              </c:pt>
              <c:pt idx="3442">
                <c:v>Baldwin Bikes</c:v>
              </c:pt>
              <c:pt idx="3443">
                <c:v>Baldwin Bikes</c:v>
              </c:pt>
              <c:pt idx="3444">
                <c:v>Baldwin Bikes</c:v>
              </c:pt>
              <c:pt idx="3445">
                <c:v>Baldwin Bikes</c:v>
              </c:pt>
              <c:pt idx="3446">
                <c:v>Santa Cruz Bikes</c:v>
              </c:pt>
              <c:pt idx="3447">
                <c:v>Santa Cruz Bikes</c:v>
              </c:pt>
              <c:pt idx="3448">
                <c:v>Santa Cruz Bikes</c:v>
              </c:pt>
              <c:pt idx="3449">
                <c:v>Santa Cruz Bikes</c:v>
              </c:pt>
              <c:pt idx="3450">
                <c:v>Baldwin Bikes</c:v>
              </c:pt>
              <c:pt idx="3451">
                <c:v>Baldwin Bikes</c:v>
              </c:pt>
              <c:pt idx="3452">
                <c:v>Baldwin Bikes</c:v>
              </c:pt>
              <c:pt idx="3453">
                <c:v>Baldwin Bikes</c:v>
              </c:pt>
              <c:pt idx="3454">
                <c:v>Baldwin Bikes</c:v>
              </c:pt>
              <c:pt idx="3455">
                <c:v>Baldwin Bikes</c:v>
              </c:pt>
              <c:pt idx="3456">
                <c:v>Baldwin Bikes</c:v>
              </c:pt>
              <c:pt idx="3457">
                <c:v>Santa Cruz Bikes</c:v>
              </c:pt>
              <c:pt idx="3458">
                <c:v>Santa Cruz Bikes</c:v>
              </c:pt>
              <c:pt idx="3459">
                <c:v>Santa Cruz Bikes</c:v>
              </c:pt>
              <c:pt idx="3460">
                <c:v>Baldwin Bikes</c:v>
              </c:pt>
              <c:pt idx="3461">
                <c:v>Baldwin Bikes</c:v>
              </c:pt>
              <c:pt idx="3462">
                <c:v>Baldwin Bikes</c:v>
              </c:pt>
              <c:pt idx="3463">
                <c:v>Baldwin Bikes</c:v>
              </c:pt>
              <c:pt idx="3464">
                <c:v>Baldwin Bikes</c:v>
              </c:pt>
              <c:pt idx="3465">
                <c:v>Baldwin Bikes</c:v>
              </c:pt>
              <c:pt idx="3466">
                <c:v>Baldwin Bikes</c:v>
              </c:pt>
              <c:pt idx="3467">
                <c:v>Baldwin Bikes</c:v>
              </c:pt>
              <c:pt idx="3468">
                <c:v>Baldwin Bikes</c:v>
              </c:pt>
              <c:pt idx="3469">
                <c:v>Baldwin Bikes</c:v>
              </c:pt>
              <c:pt idx="3470">
                <c:v>Santa Cruz Bikes</c:v>
              </c:pt>
              <c:pt idx="3471">
                <c:v>Santa Cruz Bikes</c:v>
              </c:pt>
              <c:pt idx="3472">
                <c:v>Santa Cruz Bikes</c:v>
              </c:pt>
              <c:pt idx="3473">
                <c:v>Santa Cruz Bikes</c:v>
              </c:pt>
              <c:pt idx="3474">
                <c:v>Santa Cruz Bikes</c:v>
              </c:pt>
              <c:pt idx="3475">
                <c:v>Baldwin Bikes</c:v>
              </c:pt>
              <c:pt idx="3476">
                <c:v>Baldwin Bikes</c:v>
              </c:pt>
              <c:pt idx="3477">
                <c:v>Baldwin Bikes</c:v>
              </c:pt>
              <c:pt idx="3478">
                <c:v>Baldwin Bikes</c:v>
              </c:pt>
              <c:pt idx="3479">
                <c:v>Baldwin Bikes</c:v>
              </c:pt>
              <c:pt idx="3480">
                <c:v>Baldwin Bikes</c:v>
              </c:pt>
              <c:pt idx="3481">
                <c:v>Baldwin Bikes</c:v>
              </c:pt>
              <c:pt idx="3482">
                <c:v>Baldwin Bikes</c:v>
              </c:pt>
              <c:pt idx="3483">
                <c:v>Baldwin Bikes</c:v>
              </c:pt>
              <c:pt idx="3484">
                <c:v>Baldwin Bikes</c:v>
              </c:pt>
              <c:pt idx="3485">
                <c:v>Baldwin Bikes</c:v>
              </c:pt>
              <c:pt idx="3486">
                <c:v>Baldwin Bikes</c:v>
              </c:pt>
              <c:pt idx="3487">
                <c:v>Rowlett Bikes</c:v>
              </c:pt>
              <c:pt idx="3488">
                <c:v>Rowlett Bikes</c:v>
              </c:pt>
              <c:pt idx="3489">
                <c:v>Rowlett Bikes</c:v>
              </c:pt>
              <c:pt idx="3490">
                <c:v>Rowlett Bikes</c:v>
              </c:pt>
              <c:pt idx="3491">
                <c:v>Rowlett Bikes</c:v>
              </c:pt>
              <c:pt idx="3492">
                <c:v>Baldwin Bikes</c:v>
              </c:pt>
              <c:pt idx="3493">
                <c:v>Baldwin Bikes</c:v>
              </c:pt>
              <c:pt idx="3494">
                <c:v>Baldwin Bikes</c:v>
              </c:pt>
              <c:pt idx="3495">
                <c:v>Baldwin Bikes</c:v>
              </c:pt>
              <c:pt idx="3496">
                <c:v>Baldwin Bikes</c:v>
              </c:pt>
              <c:pt idx="3497">
                <c:v>Baldwin Bikes</c:v>
              </c:pt>
              <c:pt idx="3498">
                <c:v>Baldwin Bikes</c:v>
              </c:pt>
              <c:pt idx="3499">
                <c:v>Baldwin Bikes</c:v>
              </c:pt>
              <c:pt idx="3500">
                <c:v>Baldwin Bikes</c:v>
              </c:pt>
              <c:pt idx="3501">
                <c:v>Rowlett Bikes</c:v>
              </c:pt>
              <c:pt idx="3502">
                <c:v>Rowlett Bikes</c:v>
              </c:pt>
              <c:pt idx="3503">
                <c:v>Rowlett Bikes</c:v>
              </c:pt>
              <c:pt idx="3504">
                <c:v>Rowlett Bikes</c:v>
              </c:pt>
              <c:pt idx="3505">
                <c:v>Baldwin Bikes</c:v>
              </c:pt>
              <c:pt idx="3506">
                <c:v>Baldwin Bikes</c:v>
              </c:pt>
              <c:pt idx="3507">
                <c:v>Baldwin Bikes</c:v>
              </c:pt>
              <c:pt idx="3508">
                <c:v>Baldwin Bikes</c:v>
              </c:pt>
              <c:pt idx="3509">
                <c:v>Baldwin Bikes</c:v>
              </c:pt>
              <c:pt idx="3510">
                <c:v>Baldwin Bikes</c:v>
              </c:pt>
              <c:pt idx="3511">
                <c:v>Baldwin Bikes</c:v>
              </c:pt>
              <c:pt idx="3512">
                <c:v>Baldwin Bikes</c:v>
              </c:pt>
              <c:pt idx="3513">
                <c:v>Baldwin Bikes</c:v>
              </c:pt>
              <c:pt idx="3514">
                <c:v>Baldwin Bikes</c:v>
              </c:pt>
              <c:pt idx="3515">
                <c:v>Baldwin Bikes</c:v>
              </c:pt>
              <c:pt idx="3516">
                <c:v>Baldwin Bikes</c:v>
              </c:pt>
              <c:pt idx="3517">
                <c:v>Baldwin Bikes</c:v>
              </c:pt>
              <c:pt idx="3518">
                <c:v>Baldwin Bikes</c:v>
              </c:pt>
              <c:pt idx="3519">
                <c:v>Santa Cruz Bikes</c:v>
              </c:pt>
              <c:pt idx="3520">
                <c:v>Santa Cruz Bikes</c:v>
              </c:pt>
              <c:pt idx="3521">
                <c:v>Baldwin Bikes</c:v>
              </c:pt>
              <c:pt idx="3522">
                <c:v>Baldwin Bikes</c:v>
              </c:pt>
              <c:pt idx="3523">
                <c:v>Baldwin Bikes</c:v>
              </c:pt>
              <c:pt idx="3524">
                <c:v>Baldwin Bikes</c:v>
              </c:pt>
              <c:pt idx="3525">
                <c:v>Baldwin Bikes</c:v>
              </c:pt>
              <c:pt idx="3526">
                <c:v>Baldwin Bikes</c:v>
              </c:pt>
              <c:pt idx="3527">
                <c:v>Baldwin Bikes</c:v>
              </c:pt>
              <c:pt idx="3528">
                <c:v>Baldwin Bikes</c:v>
              </c:pt>
              <c:pt idx="3529">
                <c:v>Baldwin Bikes</c:v>
              </c:pt>
              <c:pt idx="3530">
                <c:v>Baldwin Bikes</c:v>
              </c:pt>
              <c:pt idx="3531">
                <c:v>Baldwin Bikes</c:v>
              </c:pt>
              <c:pt idx="3532">
                <c:v>Rowlett Bikes</c:v>
              </c:pt>
              <c:pt idx="3533">
                <c:v>Baldwin Bikes</c:v>
              </c:pt>
              <c:pt idx="3534">
                <c:v>Baldwin Bikes</c:v>
              </c:pt>
              <c:pt idx="3535">
                <c:v>Baldwin Bikes</c:v>
              </c:pt>
              <c:pt idx="3536">
                <c:v>Baldwin Bikes</c:v>
              </c:pt>
              <c:pt idx="3537">
                <c:v>Baldwin Bikes</c:v>
              </c:pt>
              <c:pt idx="3538">
                <c:v>Santa Cruz Bikes</c:v>
              </c:pt>
              <c:pt idx="3539">
                <c:v>Santa Cruz Bikes</c:v>
              </c:pt>
              <c:pt idx="3540">
                <c:v>Santa Cruz Bikes</c:v>
              </c:pt>
              <c:pt idx="3541">
                <c:v>Baldwin Bikes</c:v>
              </c:pt>
              <c:pt idx="3542">
                <c:v>Baldwin Bikes</c:v>
              </c:pt>
              <c:pt idx="3543">
                <c:v>Baldwin Bikes</c:v>
              </c:pt>
              <c:pt idx="3544">
                <c:v>Baldwin Bikes</c:v>
              </c:pt>
              <c:pt idx="3545">
                <c:v>Baldwin Bikes</c:v>
              </c:pt>
              <c:pt idx="3546">
                <c:v>Baldwin Bikes</c:v>
              </c:pt>
              <c:pt idx="3547">
                <c:v>Baldwin Bikes</c:v>
              </c:pt>
              <c:pt idx="3548">
                <c:v>Baldwin Bikes</c:v>
              </c:pt>
              <c:pt idx="3549">
                <c:v>Baldwin Bikes</c:v>
              </c:pt>
              <c:pt idx="3550">
                <c:v>Baldwin Bikes</c:v>
              </c:pt>
              <c:pt idx="3551">
                <c:v>Baldwin Bikes</c:v>
              </c:pt>
              <c:pt idx="3552">
                <c:v>Baldwin Bikes</c:v>
              </c:pt>
              <c:pt idx="3553">
                <c:v>Baldwin Bikes</c:v>
              </c:pt>
              <c:pt idx="3554">
                <c:v>Santa Cruz Bikes</c:v>
              </c:pt>
              <c:pt idx="3555">
                <c:v>Santa Cruz Bikes</c:v>
              </c:pt>
              <c:pt idx="3556">
                <c:v>Baldwin Bikes</c:v>
              </c:pt>
              <c:pt idx="3557">
                <c:v>Baldwin Bikes</c:v>
              </c:pt>
              <c:pt idx="3558">
                <c:v>Baldwin Bikes</c:v>
              </c:pt>
              <c:pt idx="3559">
                <c:v>Baldwin Bikes</c:v>
              </c:pt>
              <c:pt idx="3560">
                <c:v>Santa Cruz Bikes</c:v>
              </c:pt>
              <c:pt idx="3561">
                <c:v>Santa Cruz Bikes</c:v>
              </c:pt>
              <c:pt idx="3562">
                <c:v>Santa Cruz Bikes</c:v>
              </c:pt>
              <c:pt idx="3563">
                <c:v>Baldwin Bikes</c:v>
              </c:pt>
              <c:pt idx="3564">
                <c:v>Baldwin Bikes</c:v>
              </c:pt>
              <c:pt idx="3565">
                <c:v>Baldwin Bikes</c:v>
              </c:pt>
              <c:pt idx="3566">
                <c:v>Baldwin Bikes</c:v>
              </c:pt>
              <c:pt idx="3567">
                <c:v>Baldwin Bikes</c:v>
              </c:pt>
              <c:pt idx="3568">
                <c:v>Baldwin Bikes</c:v>
              </c:pt>
              <c:pt idx="3569">
                <c:v>Baldwin Bikes</c:v>
              </c:pt>
              <c:pt idx="3570">
                <c:v>Baldwin Bikes</c:v>
              </c:pt>
              <c:pt idx="3571">
                <c:v>Baldwin Bikes</c:v>
              </c:pt>
              <c:pt idx="3572">
                <c:v>Santa Cruz Bikes</c:v>
              </c:pt>
              <c:pt idx="3573">
                <c:v>Santa Cruz Bikes</c:v>
              </c:pt>
              <c:pt idx="3574">
                <c:v>Santa Cruz Bikes</c:v>
              </c:pt>
              <c:pt idx="3575">
                <c:v>Santa Cruz Bikes</c:v>
              </c:pt>
              <c:pt idx="3576">
                <c:v>Santa Cruz Bikes</c:v>
              </c:pt>
              <c:pt idx="3577">
                <c:v>Baldwin Bikes</c:v>
              </c:pt>
              <c:pt idx="3578">
                <c:v>Baldwin Bikes</c:v>
              </c:pt>
              <c:pt idx="3579">
                <c:v>Baldwin Bikes</c:v>
              </c:pt>
              <c:pt idx="3580">
                <c:v>Baldwin Bikes</c:v>
              </c:pt>
              <c:pt idx="3581">
                <c:v>Baldwin Bikes</c:v>
              </c:pt>
              <c:pt idx="3582">
                <c:v>Baldwin Bikes</c:v>
              </c:pt>
              <c:pt idx="3583">
                <c:v>Baldwin Bikes</c:v>
              </c:pt>
              <c:pt idx="3584">
                <c:v>Baldwin Bikes</c:v>
              </c:pt>
              <c:pt idx="3585">
                <c:v>Baldwin Bikes</c:v>
              </c:pt>
              <c:pt idx="3586">
                <c:v>Baldwin Bikes</c:v>
              </c:pt>
              <c:pt idx="3587">
                <c:v>Baldwin Bikes</c:v>
              </c:pt>
              <c:pt idx="3588">
                <c:v>Baldwin Bikes</c:v>
              </c:pt>
              <c:pt idx="3589">
                <c:v>Baldwin Bikes</c:v>
              </c:pt>
              <c:pt idx="3590">
                <c:v>Baldwin Bikes</c:v>
              </c:pt>
              <c:pt idx="3591">
                <c:v>Baldwin Bikes</c:v>
              </c:pt>
              <c:pt idx="3592">
                <c:v>Baldwin Bikes</c:v>
              </c:pt>
              <c:pt idx="3593">
                <c:v>Baldwin Bikes</c:v>
              </c:pt>
              <c:pt idx="3594">
                <c:v>Baldwin Bikes</c:v>
              </c:pt>
              <c:pt idx="3595">
                <c:v>Baldwin Bikes</c:v>
              </c:pt>
              <c:pt idx="3596">
                <c:v>Baldwin Bikes</c:v>
              </c:pt>
              <c:pt idx="3597">
                <c:v>Baldwin Bikes</c:v>
              </c:pt>
              <c:pt idx="3598">
                <c:v>Baldwin Bikes</c:v>
              </c:pt>
              <c:pt idx="3599">
                <c:v>Baldwin Bikes</c:v>
              </c:pt>
              <c:pt idx="3600">
                <c:v>Baldwin Bikes</c:v>
              </c:pt>
              <c:pt idx="3601">
                <c:v>Baldwin Bikes</c:v>
              </c:pt>
              <c:pt idx="3602">
                <c:v>Baldwin Bikes</c:v>
              </c:pt>
              <c:pt idx="3603">
                <c:v>Baldwin Bikes</c:v>
              </c:pt>
              <c:pt idx="3604">
                <c:v>Baldwin Bikes</c:v>
              </c:pt>
              <c:pt idx="3605">
                <c:v>Santa Cruz Bikes</c:v>
              </c:pt>
              <c:pt idx="3606">
                <c:v>Santa Cruz Bikes</c:v>
              </c:pt>
              <c:pt idx="3607">
                <c:v>Santa Cruz Bikes</c:v>
              </c:pt>
              <c:pt idx="3608">
                <c:v>Santa Cruz Bikes</c:v>
              </c:pt>
              <c:pt idx="3609">
                <c:v>Santa Cruz Bikes</c:v>
              </c:pt>
              <c:pt idx="3610">
                <c:v>Santa Cruz Bikes</c:v>
              </c:pt>
              <c:pt idx="3611">
                <c:v>Santa Cruz Bikes</c:v>
              </c:pt>
              <c:pt idx="3612">
                <c:v>Baldwin Bikes</c:v>
              </c:pt>
              <c:pt idx="3613">
                <c:v>Baldwin Bikes</c:v>
              </c:pt>
              <c:pt idx="3614">
                <c:v>Baldwin Bikes</c:v>
              </c:pt>
              <c:pt idx="3615">
                <c:v>Baldwin Bikes</c:v>
              </c:pt>
              <c:pt idx="3616">
                <c:v>Baldwin Bikes</c:v>
              </c:pt>
              <c:pt idx="3617">
                <c:v>Baldwin Bikes</c:v>
              </c:pt>
              <c:pt idx="3618">
                <c:v>Baldwin Bikes</c:v>
              </c:pt>
              <c:pt idx="3619">
                <c:v>Rowlett Bikes</c:v>
              </c:pt>
              <c:pt idx="3620">
                <c:v>Rowlett Bikes</c:v>
              </c:pt>
              <c:pt idx="3621">
                <c:v>Rowlett Bikes</c:v>
              </c:pt>
              <c:pt idx="3622">
                <c:v>Santa Cruz Bikes</c:v>
              </c:pt>
              <c:pt idx="3623">
                <c:v>Santa Cruz Bikes</c:v>
              </c:pt>
              <c:pt idx="3624">
                <c:v>Santa Cruz Bikes</c:v>
              </c:pt>
              <c:pt idx="3625">
                <c:v>Baldwin Bikes</c:v>
              </c:pt>
              <c:pt idx="3626">
                <c:v>Baldwin Bikes</c:v>
              </c:pt>
              <c:pt idx="3627">
                <c:v>Baldwin Bikes</c:v>
              </c:pt>
              <c:pt idx="3628">
                <c:v>Baldwin Bikes</c:v>
              </c:pt>
              <c:pt idx="3629">
                <c:v>Baldwin Bikes</c:v>
              </c:pt>
              <c:pt idx="3630">
                <c:v>Baldwin Bikes</c:v>
              </c:pt>
              <c:pt idx="3631">
                <c:v>Baldwin Bikes</c:v>
              </c:pt>
              <c:pt idx="3632">
                <c:v>Baldwin Bikes</c:v>
              </c:pt>
              <c:pt idx="3633">
                <c:v>Baldwin Bikes</c:v>
              </c:pt>
              <c:pt idx="3634">
                <c:v>Baldwin Bikes</c:v>
              </c:pt>
              <c:pt idx="3635">
                <c:v>Baldwin Bikes</c:v>
              </c:pt>
              <c:pt idx="3636">
                <c:v>Baldwin Bikes</c:v>
              </c:pt>
              <c:pt idx="3637">
                <c:v>Baldwin Bikes</c:v>
              </c:pt>
              <c:pt idx="3638">
                <c:v>Baldwin Bikes</c:v>
              </c:pt>
              <c:pt idx="3639">
                <c:v>Baldwin Bikes</c:v>
              </c:pt>
              <c:pt idx="3640">
                <c:v>Baldwin Bikes</c:v>
              </c:pt>
              <c:pt idx="3641">
                <c:v>Baldwin Bikes</c:v>
              </c:pt>
              <c:pt idx="3642">
                <c:v>Baldwin Bikes</c:v>
              </c:pt>
              <c:pt idx="3643">
                <c:v>Baldwin Bikes</c:v>
              </c:pt>
              <c:pt idx="3644">
                <c:v>Baldwin Bikes</c:v>
              </c:pt>
              <c:pt idx="3645">
                <c:v>Baldwin Bikes</c:v>
              </c:pt>
              <c:pt idx="3646">
                <c:v>Baldwin Bikes</c:v>
              </c:pt>
              <c:pt idx="3647">
                <c:v>Baldwin Bikes</c:v>
              </c:pt>
              <c:pt idx="3648">
                <c:v>Baldwin Bikes</c:v>
              </c:pt>
              <c:pt idx="3649">
                <c:v>Baldwin Bikes</c:v>
              </c:pt>
              <c:pt idx="3650">
                <c:v>Baldwin Bikes</c:v>
              </c:pt>
              <c:pt idx="3651">
                <c:v>Baldwin Bikes</c:v>
              </c:pt>
              <c:pt idx="3652">
                <c:v>Baldwin Bikes</c:v>
              </c:pt>
              <c:pt idx="3653">
                <c:v>Baldwin Bikes</c:v>
              </c:pt>
              <c:pt idx="3654">
                <c:v>Baldwin Bikes</c:v>
              </c:pt>
              <c:pt idx="3655">
                <c:v>Baldwin Bikes</c:v>
              </c:pt>
              <c:pt idx="3656">
                <c:v>Baldwin Bikes</c:v>
              </c:pt>
              <c:pt idx="3657">
                <c:v>Baldwin Bikes</c:v>
              </c:pt>
              <c:pt idx="3658">
                <c:v>Baldwin Bikes</c:v>
              </c:pt>
              <c:pt idx="3659">
                <c:v>Baldwin Bikes</c:v>
              </c:pt>
              <c:pt idx="3660">
                <c:v>Baldwin Bikes</c:v>
              </c:pt>
              <c:pt idx="3661">
                <c:v>Baldwin Bikes</c:v>
              </c:pt>
              <c:pt idx="3662">
                <c:v>Baldwin Bikes</c:v>
              </c:pt>
              <c:pt idx="3663">
                <c:v>Baldwin Bikes</c:v>
              </c:pt>
              <c:pt idx="3664">
                <c:v>Baldwin Bikes</c:v>
              </c:pt>
              <c:pt idx="3665">
                <c:v>Baldwin Bikes</c:v>
              </c:pt>
              <c:pt idx="3666">
                <c:v>Baldwin Bikes</c:v>
              </c:pt>
              <c:pt idx="3667">
                <c:v>Baldwin Bikes</c:v>
              </c:pt>
              <c:pt idx="3668">
                <c:v>Baldwin Bikes</c:v>
              </c:pt>
              <c:pt idx="3669">
                <c:v>Baldwin Bikes</c:v>
              </c:pt>
              <c:pt idx="3670">
                <c:v>Baldwin Bikes</c:v>
              </c:pt>
              <c:pt idx="3671">
                <c:v>Santa Cruz Bikes</c:v>
              </c:pt>
              <c:pt idx="3672">
                <c:v>Santa Cruz Bikes</c:v>
              </c:pt>
              <c:pt idx="3673">
                <c:v>Santa Cruz Bikes</c:v>
              </c:pt>
              <c:pt idx="3674">
                <c:v>Santa Cruz Bikes</c:v>
              </c:pt>
              <c:pt idx="3675">
                <c:v>Baldwin Bikes</c:v>
              </c:pt>
              <c:pt idx="3676">
                <c:v>Baldwin Bikes</c:v>
              </c:pt>
              <c:pt idx="3677">
                <c:v>Baldwin Bikes</c:v>
              </c:pt>
              <c:pt idx="3678">
                <c:v>Baldwin Bikes</c:v>
              </c:pt>
              <c:pt idx="3679">
                <c:v>Baldwin Bikes</c:v>
              </c:pt>
              <c:pt idx="3680">
                <c:v>Baldwin Bikes</c:v>
              </c:pt>
              <c:pt idx="3681">
                <c:v>Baldwin Bikes</c:v>
              </c:pt>
              <c:pt idx="3682">
                <c:v>Baldwin Bikes</c:v>
              </c:pt>
              <c:pt idx="3683">
                <c:v>Baldwin Bikes</c:v>
              </c:pt>
              <c:pt idx="3684">
                <c:v>Baldwin Bikes</c:v>
              </c:pt>
              <c:pt idx="3685">
                <c:v>Baldwin Bikes</c:v>
              </c:pt>
              <c:pt idx="3686">
                <c:v>Baldwin Bikes</c:v>
              </c:pt>
              <c:pt idx="3687">
                <c:v>Baldwin Bikes</c:v>
              </c:pt>
              <c:pt idx="3688">
                <c:v>Baldwin Bikes</c:v>
              </c:pt>
              <c:pt idx="3689">
                <c:v>Baldwin Bikes</c:v>
              </c:pt>
              <c:pt idx="3690">
                <c:v>Santa Cruz Bikes</c:v>
              </c:pt>
              <c:pt idx="3691">
                <c:v>Santa Cruz Bikes</c:v>
              </c:pt>
              <c:pt idx="3692">
                <c:v>Baldwin Bikes</c:v>
              </c:pt>
              <c:pt idx="3693">
                <c:v>Baldwin Bikes</c:v>
              </c:pt>
              <c:pt idx="3694">
                <c:v>Baldwin Bikes</c:v>
              </c:pt>
              <c:pt idx="3695">
                <c:v>Baldwin Bikes</c:v>
              </c:pt>
              <c:pt idx="3696">
                <c:v>Baldwin Bikes</c:v>
              </c:pt>
              <c:pt idx="3697">
                <c:v>Baldwin Bikes</c:v>
              </c:pt>
              <c:pt idx="3698">
                <c:v>Baldwin Bikes</c:v>
              </c:pt>
              <c:pt idx="3699">
                <c:v>Baldwin Bikes</c:v>
              </c:pt>
              <c:pt idx="3700">
                <c:v>Baldwin Bikes</c:v>
              </c:pt>
              <c:pt idx="3701">
                <c:v>Baldwin Bikes</c:v>
              </c:pt>
              <c:pt idx="3702">
                <c:v>Baldwin Bikes</c:v>
              </c:pt>
              <c:pt idx="3703">
                <c:v>Baldwin Bikes</c:v>
              </c:pt>
              <c:pt idx="3704">
                <c:v>Baldwin Bikes</c:v>
              </c:pt>
              <c:pt idx="3705">
                <c:v>Rowlett Bikes</c:v>
              </c:pt>
              <c:pt idx="3706">
                <c:v>Rowlett Bikes</c:v>
              </c:pt>
              <c:pt idx="3707">
                <c:v>Rowlett Bikes</c:v>
              </c:pt>
              <c:pt idx="3708">
                <c:v>Rowlett Bikes</c:v>
              </c:pt>
              <c:pt idx="3709">
                <c:v>Baldwin Bikes</c:v>
              </c:pt>
              <c:pt idx="3710">
                <c:v>Baldwin Bikes</c:v>
              </c:pt>
              <c:pt idx="3711">
                <c:v>Baldwin Bikes</c:v>
              </c:pt>
              <c:pt idx="3712">
                <c:v>Baldwin Bikes</c:v>
              </c:pt>
              <c:pt idx="3713">
                <c:v>Baldwin Bikes</c:v>
              </c:pt>
              <c:pt idx="3714">
                <c:v>Baldwin Bikes</c:v>
              </c:pt>
              <c:pt idx="3715">
                <c:v>Baldwin Bikes</c:v>
              </c:pt>
              <c:pt idx="3716">
                <c:v>Baldwin Bikes</c:v>
              </c:pt>
              <c:pt idx="3717">
                <c:v>Baldwin Bikes</c:v>
              </c:pt>
              <c:pt idx="3718">
                <c:v>Baldwin Bikes</c:v>
              </c:pt>
              <c:pt idx="3719">
                <c:v>Baldwin Bikes</c:v>
              </c:pt>
              <c:pt idx="3720">
                <c:v>Baldwin Bikes</c:v>
              </c:pt>
              <c:pt idx="3721">
                <c:v>Baldwin Bikes</c:v>
              </c:pt>
              <c:pt idx="3722">
                <c:v>Baldwin Bikes</c:v>
              </c:pt>
              <c:pt idx="3723">
                <c:v>Baldwin Bikes</c:v>
              </c:pt>
              <c:pt idx="3724">
                <c:v>Baldwin Bikes</c:v>
              </c:pt>
              <c:pt idx="3725">
                <c:v>Baldwin Bikes</c:v>
              </c:pt>
              <c:pt idx="3726">
                <c:v>Baldwin Bikes</c:v>
              </c:pt>
              <c:pt idx="3727">
                <c:v>Baldwin Bikes</c:v>
              </c:pt>
              <c:pt idx="3728">
                <c:v>Baldwin Bikes</c:v>
              </c:pt>
              <c:pt idx="3729">
                <c:v>Santa Cruz Bikes</c:v>
              </c:pt>
              <c:pt idx="3730">
                <c:v>Santa Cruz Bikes</c:v>
              </c:pt>
              <c:pt idx="3731">
                <c:v>Santa Cruz Bikes</c:v>
              </c:pt>
              <c:pt idx="3732">
                <c:v>Santa Cruz Bikes</c:v>
              </c:pt>
              <c:pt idx="3733">
                <c:v>Rowlett Bikes</c:v>
              </c:pt>
              <c:pt idx="3734">
                <c:v>Rowlett Bikes</c:v>
              </c:pt>
              <c:pt idx="3735">
                <c:v>Rowlett Bikes</c:v>
              </c:pt>
              <c:pt idx="3736">
                <c:v>Rowlett Bikes</c:v>
              </c:pt>
              <c:pt idx="3737">
                <c:v>Santa Cruz Bikes</c:v>
              </c:pt>
              <c:pt idx="3738">
                <c:v>Santa Cruz Bikes</c:v>
              </c:pt>
              <c:pt idx="3739">
                <c:v>Baldwin Bikes</c:v>
              </c:pt>
              <c:pt idx="3740">
                <c:v>Baldwin Bikes</c:v>
              </c:pt>
              <c:pt idx="3741">
                <c:v>Baldwin Bikes</c:v>
              </c:pt>
              <c:pt idx="3742">
                <c:v>Baldwin Bikes</c:v>
              </c:pt>
              <c:pt idx="3743">
                <c:v>Baldwin Bikes</c:v>
              </c:pt>
              <c:pt idx="3744">
                <c:v>Baldwin Bikes</c:v>
              </c:pt>
              <c:pt idx="3745">
                <c:v>Baldwin Bikes</c:v>
              </c:pt>
              <c:pt idx="3746">
                <c:v>Baldwin Bikes</c:v>
              </c:pt>
              <c:pt idx="3747">
                <c:v>Baldwin Bikes</c:v>
              </c:pt>
              <c:pt idx="3748">
                <c:v>Santa Cruz Bikes</c:v>
              </c:pt>
              <c:pt idx="3749">
                <c:v>Santa Cruz Bikes</c:v>
              </c:pt>
              <c:pt idx="3750">
                <c:v>Baldwin Bikes</c:v>
              </c:pt>
              <c:pt idx="3751">
                <c:v>Baldwin Bikes</c:v>
              </c:pt>
              <c:pt idx="3752">
                <c:v>Baldwin Bikes</c:v>
              </c:pt>
              <c:pt idx="3753">
                <c:v>Santa Cruz Bikes</c:v>
              </c:pt>
              <c:pt idx="3754">
                <c:v>Santa Cruz Bikes</c:v>
              </c:pt>
              <c:pt idx="3755">
                <c:v>Santa Cruz Bikes</c:v>
              </c:pt>
              <c:pt idx="3756">
                <c:v>Santa Cruz Bikes</c:v>
              </c:pt>
              <c:pt idx="3757">
                <c:v>Baldwin Bikes</c:v>
              </c:pt>
              <c:pt idx="3758">
                <c:v>Baldwin Bikes</c:v>
              </c:pt>
              <c:pt idx="3759">
                <c:v>Baldwin Bikes</c:v>
              </c:pt>
              <c:pt idx="3760">
                <c:v>Rowlett Bikes</c:v>
              </c:pt>
              <c:pt idx="3761">
                <c:v>Rowlett Bikes</c:v>
              </c:pt>
              <c:pt idx="3762">
                <c:v>Santa Cruz Bikes</c:v>
              </c:pt>
              <c:pt idx="3763">
                <c:v>Santa Cruz Bikes</c:v>
              </c:pt>
              <c:pt idx="3764">
                <c:v>Santa Cruz Bikes</c:v>
              </c:pt>
              <c:pt idx="3765">
                <c:v>Santa Cruz Bikes</c:v>
              </c:pt>
              <c:pt idx="3766">
                <c:v>Baldwin Bikes</c:v>
              </c:pt>
              <c:pt idx="3767">
                <c:v>Baldwin Bikes</c:v>
              </c:pt>
              <c:pt idx="3768">
                <c:v>Santa Cruz Bikes</c:v>
              </c:pt>
              <c:pt idx="3769">
                <c:v>Santa Cruz Bikes</c:v>
              </c:pt>
              <c:pt idx="3770">
                <c:v>Santa Cruz Bikes</c:v>
              </c:pt>
              <c:pt idx="3771">
                <c:v>Baldwin Bikes</c:v>
              </c:pt>
              <c:pt idx="3772">
                <c:v>Baldwin Bikes</c:v>
              </c:pt>
              <c:pt idx="3773">
                <c:v>Baldwin Bikes</c:v>
              </c:pt>
              <c:pt idx="3774">
                <c:v>Baldwin Bikes</c:v>
              </c:pt>
              <c:pt idx="3775">
                <c:v>Baldwin Bikes</c:v>
              </c:pt>
              <c:pt idx="3776">
                <c:v>Baldwin Bikes</c:v>
              </c:pt>
              <c:pt idx="3777">
                <c:v>Baldwin Bikes</c:v>
              </c:pt>
              <c:pt idx="3778">
                <c:v>Baldwin Bikes</c:v>
              </c:pt>
              <c:pt idx="3779">
                <c:v>Baldwin Bikes</c:v>
              </c:pt>
              <c:pt idx="3780">
                <c:v>Baldwin Bikes</c:v>
              </c:pt>
              <c:pt idx="3781">
                <c:v>Baldwin Bikes</c:v>
              </c:pt>
              <c:pt idx="3782">
                <c:v>Baldwin Bikes</c:v>
              </c:pt>
              <c:pt idx="3783">
                <c:v>Baldwin Bikes</c:v>
              </c:pt>
              <c:pt idx="3784">
                <c:v>Baldwin Bikes</c:v>
              </c:pt>
              <c:pt idx="3785">
                <c:v>Baldwin Bikes</c:v>
              </c:pt>
              <c:pt idx="3786">
                <c:v>Baldwin Bikes</c:v>
              </c:pt>
              <c:pt idx="3787">
                <c:v>Baldwin Bikes</c:v>
              </c:pt>
              <c:pt idx="3788">
                <c:v>Baldwin Bikes</c:v>
              </c:pt>
              <c:pt idx="3789">
                <c:v>Baldwin Bikes</c:v>
              </c:pt>
              <c:pt idx="3790">
                <c:v>Baldwin Bikes</c:v>
              </c:pt>
              <c:pt idx="3791">
                <c:v>Baldwin Bikes</c:v>
              </c:pt>
              <c:pt idx="3792">
                <c:v>Santa Cruz Bikes</c:v>
              </c:pt>
              <c:pt idx="3793">
                <c:v>Santa Cruz Bikes</c:v>
              </c:pt>
              <c:pt idx="3794">
                <c:v>Santa Cruz Bikes</c:v>
              </c:pt>
              <c:pt idx="3795">
                <c:v>Baldwin Bikes</c:v>
              </c:pt>
              <c:pt idx="3796">
                <c:v>Baldwin Bikes</c:v>
              </c:pt>
              <c:pt idx="3797">
                <c:v>Baldwin Bikes</c:v>
              </c:pt>
              <c:pt idx="3798">
                <c:v>Baldwin Bikes</c:v>
              </c:pt>
              <c:pt idx="3799">
                <c:v>Baldwin Bikes</c:v>
              </c:pt>
              <c:pt idx="3800">
                <c:v>Baldwin Bikes</c:v>
              </c:pt>
              <c:pt idx="3801">
                <c:v>Baldwin Bikes</c:v>
              </c:pt>
              <c:pt idx="3802">
                <c:v>Santa Cruz Bikes</c:v>
              </c:pt>
              <c:pt idx="3803">
                <c:v>Santa Cruz Bikes</c:v>
              </c:pt>
              <c:pt idx="3804">
                <c:v>Santa Cruz Bikes</c:v>
              </c:pt>
              <c:pt idx="3805">
                <c:v>Santa Cruz Bikes</c:v>
              </c:pt>
              <c:pt idx="3806">
                <c:v>Baldwin Bikes</c:v>
              </c:pt>
              <c:pt idx="3807">
                <c:v>Baldwin Bikes</c:v>
              </c:pt>
              <c:pt idx="3808">
                <c:v>Baldwin Bikes</c:v>
              </c:pt>
              <c:pt idx="3809">
                <c:v>Baldwin Bikes</c:v>
              </c:pt>
              <c:pt idx="3810">
                <c:v>Santa Cruz Bikes</c:v>
              </c:pt>
              <c:pt idx="3811">
                <c:v>Santa Cruz Bikes</c:v>
              </c:pt>
              <c:pt idx="3812">
                <c:v>Santa Cruz Bikes</c:v>
              </c:pt>
              <c:pt idx="3813">
                <c:v>Santa Cruz Bikes</c:v>
              </c:pt>
              <c:pt idx="3814">
                <c:v>Santa Cruz Bikes</c:v>
              </c:pt>
              <c:pt idx="3815">
                <c:v>Santa Cruz Bikes</c:v>
              </c:pt>
              <c:pt idx="3816">
                <c:v>Baldwin Bikes</c:v>
              </c:pt>
              <c:pt idx="3817">
                <c:v>Baldwin Bikes</c:v>
              </c:pt>
              <c:pt idx="3818">
                <c:v>Baldwin Bikes</c:v>
              </c:pt>
              <c:pt idx="3819">
                <c:v>Rowlett Bikes</c:v>
              </c:pt>
              <c:pt idx="3820">
                <c:v>Rowlett Bikes</c:v>
              </c:pt>
              <c:pt idx="3821">
                <c:v>Rowlett Bikes</c:v>
              </c:pt>
              <c:pt idx="3822">
                <c:v>Rowlett Bikes</c:v>
              </c:pt>
              <c:pt idx="3823">
                <c:v>Rowlett Bikes</c:v>
              </c:pt>
              <c:pt idx="3824">
                <c:v>Santa Cruz Bikes</c:v>
              </c:pt>
              <c:pt idx="3825">
                <c:v>Santa Cruz Bikes</c:v>
              </c:pt>
              <c:pt idx="3826">
                <c:v>Santa Cruz Bikes</c:v>
              </c:pt>
              <c:pt idx="3827">
                <c:v>Baldwin Bikes</c:v>
              </c:pt>
              <c:pt idx="3828">
                <c:v>Baldwin Bikes</c:v>
              </c:pt>
              <c:pt idx="3829">
                <c:v>Baldwin Bikes</c:v>
              </c:pt>
              <c:pt idx="3830">
                <c:v>Baldwin Bikes</c:v>
              </c:pt>
              <c:pt idx="3831">
                <c:v>Baldwin Bikes</c:v>
              </c:pt>
              <c:pt idx="3832">
                <c:v>Baldwin Bikes</c:v>
              </c:pt>
              <c:pt idx="3833">
                <c:v>Santa Cruz Bikes</c:v>
              </c:pt>
              <c:pt idx="3834">
                <c:v>Santa Cruz Bikes</c:v>
              </c:pt>
              <c:pt idx="3835">
                <c:v>Santa Cruz Bikes</c:v>
              </c:pt>
              <c:pt idx="3836">
                <c:v>Santa Cruz Bikes</c:v>
              </c:pt>
              <c:pt idx="3837">
                <c:v>Santa Cruz Bikes</c:v>
              </c:pt>
              <c:pt idx="3838">
                <c:v>Santa Cruz Bikes</c:v>
              </c:pt>
              <c:pt idx="3839">
                <c:v>Baldwin Bikes</c:v>
              </c:pt>
              <c:pt idx="3840">
                <c:v>Baldwin Bikes</c:v>
              </c:pt>
              <c:pt idx="3841">
                <c:v>Baldwin Bikes</c:v>
              </c:pt>
              <c:pt idx="3842">
                <c:v>Baldwin Bikes</c:v>
              </c:pt>
              <c:pt idx="3843">
                <c:v>Baldwin Bikes</c:v>
              </c:pt>
              <c:pt idx="3844">
                <c:v>Baldwin Bikes</c:v>
              </c:pt>
              <c:pt idx="3845">
                <c:v>Baldwin Bikes</c:v>
              </c:pt>
              <c:pt idx="3846">
                <c:v>Baldwin Bikes</c:v>
              </c:pt>
              <c:pt idx="3847">
                <c:v>Baldwin Bikes</c:v>
              </c:pt>
              <c:pt idx="3848">
                <c:v>Rowlett Bikes</c:v>
              </c:pt>
              <c:pt idx="3849">
                <c:v>Rowlett Bikes</c:v>
              </c:pt>
              <c:pt idx="3850">
                <c:v>Rowlett Bikes</c:v>
              </c:pt>
              <c:pt idx="3851">
                <c:v>Rowlett Bikes</c:v>
              </c:pt>
              <c:pt idx="3852">
                <c:v>Rowlett Bikes</c:v>
              </c:pt>
              <c:pt idx="3853">
                <c:v>Rowlett Bikes</c:v>
              </c:pt>
              <c:pt idx="3854">
                <c:v>Baldwin Bikes</c:v>
              </c:pt>
              <c:pt idx="3855">
                <c:v>Baldwin Bikes</c:v>
              </c:pt>
              <c:pt idx="3856">
                <c:v>Baldwin Bikes</c:v>
              </c:pt>
              <c:pt idx="3857">
                <c:v>Baldwin Bikes</c:v>
              </c:pt>
              <c:pt idx="3858">
                <c:v>Baldwin Bikes</c:v>
              </c:pt>
              <c:pt idx="3859">
                <c:v>Baldwin Bikes</c:v>
              </c:pt>
              <c:pt idx="3860">
                <c:v>Baldwin Bikes</c:v>
              </c:pt>
              <c:pt idx="3861">
                <c:v>Baldwin Bikes</c:v>
              </c:pt>
              <c:pt idx="3862">
                <c:v>Baldwin Bikes</c:v>
              </c:pt>
              <c:pt idx="3863">
                <c:v>Santa Cruz Bikes</c:v>
              </c:pt>
              <c:pt idx="3864">
                <c:v>Santa Cruz Bikes</c:v>
              </c:pt>
              <c:pt idx="3865">
                <c:v>Santa Cruz Bikes</c:v>
              </c:pt>
              <c:pt idx="3866">
                <c:v>Santa Cruz Bikes</c:v>
              </c:pt>
              <c:pt idx="3867">
                <c:v>Santa Cruz Bikes</c:v>
              </c:pt>
              <c:pt idx="3868">
                <c:v>Baldwin Bikes</c:v>
              </c:pt>
              <c:pt idx="3869">
                <c:v>Baldwin Bikes</c:v>
              </c:pt>
              <c:pt idx="3870">
                <c:v>Baldwin Bikes</c:v>
              </c:pt>
              <c:pt idx="3871">
                <c:v>Baldwin Bikes</c:v>
              </c:pt>
              <c:pt idx="3872">
                <c:v>Baldwin Bikes</c:v>
              </c:pt>
              <c:pt idx="3873">
                <c:v>Baldwin Bikes</c:v>
              </c:pt>
              <c:pt idx="3874">
                <c:v>Baldwin Bikes</c:v>
              </c:pt>
              <c:pt idx="3875">
                <c:v>Baldwin Bikes</c:v>
              </c:pt>
              <c:pt idx="3876">
                <c:v>Baldwin Bikes</c:v>
              </c:pt>
              <c:pt idx="3877">
                <c:v>Baldwin Bikes</c:v>
              </c:pt>
              <c:pt idx="3878">
                <c:v>Baldwin Bikes</c:v>
              </c:pt>
              <c:pt idx="3879">
                <c:v>Baldwin Bikes</c:v>
              </c:pt>
              <c:pt idx="3880">
                <c:v>Baldwin Bikes</c:v>
              </c:pt>
              <c:pt idx="3881">
                <c:v>Rowlett Bikes</c:v>
              </c:pt>
              <c:pt idx="3882">
                <c:v>Rowlett Bikes</c:v>
              </c:pt>
              <c:pt idx="3883">
                <c:v>Rowlett Bikes</c:v>
              </c:pt>
              <c:pt idx="3884">
                <c:v>Rowlett Bikes</c:v>
              </c:pt>
              <c:pt idx="3885">
                <c:v>Rowlett Bikes</c:v>
              </c:pt>
              <c:pt idx="3886">
                <c:v>Baldwin Bikes</c:v>
              </c:pt>
              <c:pt idx="3887">
                <c:v>Baldwin Bikes</c:v>
              </c:pt>
              <c:pt idx="3888">
                <c:v>Baldwin Bikes</c:v>
              </c:pt>
              <c:pt idx="3889">
                <c:v>Baldwin Bikes</c:v>
              </c:pt>
              <c:pt idx="3890">
                <c:v>Baldwin Bikes</c:v>
              </c:pt>
              <c:pt idx="3891">
                <c:v>Baldwin Bikes</c:v>
              </c:pt>
              <c:pt idx="3892">
                <c:v>Santa Cruz Bikes</c:v>
              </c:pt>
              <c:pt idx="3893">
                <c:v>Santa Cruz Bikes</c:v>
              </c:pt>
              <c:pt idx="3894">
                <c:v>Santa Cruz Bikes</c:v>
              </c:pt>
              <c:pt idx="3895">
                <c:v>Santa Cruz Bikes</c:v>
              </c:pt>
              <c:pt idx="3896">
                <c:v>Santa Cruz Bikes</c:v>
              </c:pt>
              <c:pt idx="3897">
                <c:v>Baldwin Bikes</c:v>
              </c:pt>
              <c:pt idx="3898">
                <c:v>Baldwin Bikes</c:v>
              </c:pt>
              <c:pt idx="3899">
                <c:v>Santa Cruz Bikes</c:v>
              </c:pt>
              <c:pt idx="3900">
                <c:v>Santa Cruz Bikes</c:v>
              </c:pt>
              <c:pt idx="3901">
                <c:v>Santa Cruz Bikes</c:v>
              </c:pt>
              <c:pt idx="3902">
                <c:v>Santa Cruz Bikes</c:v>
              </c:pt>
              <c:pt idx="3903">
                <c:v>Baldwin Bikes</c:v>
              </c:pt>
              <c:pt idx="3904">
                <c:v>Baldwin Bikes</c:v>
              </c:pt>
              <c:pt idx="3905">
                <c:v>Baldwin Bikes</c:v>
              </c:pt>
              <c:pt idx="3906">
                <c:v>Baldwin Bikes</c:v>
              </c:pt>
              <c:pt idx="3907">
                <c:v>Baldwin Bikes</c:v>
              </c:pt>
              <c:pt idx="3908">
                <c:v>Baldwin Bikes</c:v>
              </c:pt>
              <c:pt idx="3909">
                <c:v>Baldwin Bikes</c:v>
              </c:pt>
              <c:pt idx="3910">
                <c:v>Baldwin Bikes</c:v>
              </c:pt>
              <c:pt idx="3911">
                <c:v>Baldwin Bikes</c:v>
              </c:pt>
              <c:pt idx="3912">
                <c:v>Baldwin Bikes</c:v>
              </c:pt>
              <c:pt idx="3913">
                <c:v>Baldwin Bikes</c:v>
              </c:pt>
              <c:pt idx="3914">
                <c:v>Baldwin Bikes</c:v>
              </c:pt>
              <c:pt idx="3915">
                <c:v>Baldwin Bikes</c:v>
              </c:pt>
              <c:pt idx="3916">
                <c:v>Baldwin Bikes</c:v>
              </c:pt>
              <c:pt idx="3917">
                <c:v>Baldwin Bikes</c:v>
              </c:pt>
              <c:pt idx="3918">
                <c:v>Baldwin Bikes</c:v>
              </c:pt>
              <c:pt idx="3919">
                <c:v>Baldwin Bikes</c:v>
              </c:pt>
              <c:pt idx="3920">
                <c:v>Baldwin Bikes</c:v>
              </c:pt>
              <c:pt idx="3921">
                <c:v>Baldwin Bikes</c:v>
              </c:pt>
              <c:pt idx="3922">
                <c:v>Rowlett Bikes</c:v>
              </c:pt>
              <c:pt idx="3923">
                <c:v>Rowlett Bikes</c:v>
              </c:pt>
              <c:pt idx="3924">
                <c:v>Rowlett Bikes</c:v>
              </c:pt>
              <c:pt idx="3925">
                <c:v>Rowlett Bikes</c:v>
              </c:pt>
              <c:pt idx="3926">
                <c:v>Rowlett Bikes</c:v>
              </c:pt>
              <c:pt idx="3927">
                <c:v>Santa Cruz Bikes</c:v>
              </c:pt>
              <c:pt idx="3928">
                <c:v>Santa Cruz Bikes</c:v>
              </c:pt>
              <c:pt idx="3929">
                <c:v>Santa Cruz Bikes</c:v>
              </c:pt>
              <c:pt idx="3930">
                <c:v>Santa Cruz Bikes</c:v>
              </c:pt>
              <c:pt idx="3931">
                <c:v>Santa Cruz Bikes</c:v>
              </c:pt>
              <c:pt idx="3932">
                <c:v>Santa Cruz Bikes</c:v>
              </c:pt>
              <c:pt idx="3933">
                <c:v>Baldwin Bikes</c:v>
              </c:pt>
              <c:pt idx="3934">
                <c:v>Baldwin Bikes</c:v>
              </c:pt>
              <c:pt idx="3935">
                <c:v>Baldwin Bikes</c:v>
              </c:pt>
              <c:pt idx="3936">
                <c:v>Baldwin Bikes</c:v>
              </c:pt>
              <c:pt idx="3937">
                <c:v>Baldwin Bikes</c:v>
              </c:pt>
              <c:pt idx="3938">
                <c:v>Baldwin Bikes</c:v>
              </c:pt>
              <c:pt idx="3939">
                <c:v>Baldwin Bikes</c:v>
              </c:pt>
              <c:pt idx="3940">
                <c:v>Baldwin Bikes</c:v>
              </c:pt>
              <c:pt idx="3941">
                <c:v>Baldwin Bikes</c:v>
              </c:pt>
              <c:pt idx="3942">
                <c:v>Baldwin Bikes</c:v>
              </c:pt>
              <c:pt idx="3943">
                <c:v>Baldwin Bikes</c:v>
              </c:pt>
              <c:pt idx="3944">
                <c:v>Baldwin Bikes</c:v>
              </c:pt>
              <c:pt idx="3945">
                <c:v>Baldwin Bikes</c:v>
              </c:pt>
              <c:pt idx="3946">
                <c:v>Baldwin Bikes</c:v>
              </c:pt>
              <c:pt idx="3947">
                <c:v>Baldwin Bikes</c:v>
              </c:pt>
              <c:pt idx="3948">
                <c:v>Baldwin Bikes</c:v>
              </c:pt>
              <c:pt idx="3949">
                <c:v>Baldwin Bikes</c:v>
              </c:pt>
              <c:pt idx="3950">
                <c:v>Baldwin Bikes</c:v>
              </c:pt>
              <c:pt idx="3951">
                <c:v>Baldwin Bikes</c:v>
              </c:pt>
              <c:pt idx="3952">
                <c:v>Baldwin Bikes</c:v>
              </c:pt>
              <c:pt idx="3953">
                <c:v>Santa Cruz Bikes</c:v>
              </c:pt>
              <c:pt idx="3954">
                <c:v>Baldwin Bikes</c:v>
              </c:pt>
              <c:pt idx="3955">
                <c:v>Baldwin Bikes</c:v>
              </c:pt>
              <c:pt idx="3956">
                <c:v>Baldwin Bikes</c:v>
              </c:pt>
              <c:pt idx="3957">
                <c:v>Baldwin Bikes</c:v>
              </c:pt>
              <c:pt idx="3958">
                <c:v>Baldwin Bikes</c:v>
              </c:pt>
              <c:pt idx="3959">
                <c:v>Baldwin Bikes</c:v>
              </c:pt>
              <c:pt idx="3960">
                <c:v>Baldwin Bikes</c:v>
              </c:pt>
              <c:pt idx="3961">
                <c:v>Baldwin Bikes</c:v>
              </c:pt>
              <c:pt idx="3962">
                <c:v>Baldwin Bikes</c:v>
              </c:pt>
              <c:pt idx="3963">
                <c:v>Baldwin Bikes</c:v>
              </c:pt>
              <c:pt idx="3964">
                <c:v>Santa Cruz Bikes</c:v>
              </c:pt>
              <c:pt idx="3965">
                <c:v>Rowlett Bikes</c:v>
              </c:pt>
              <c:pt idx="3966">
                <c:v>Rowlett Bikes</c:v>
              </c:pt>
              <c:pt idx="3967">
                <c:v>Baldwin Bikes</c:v>
              </c:pt>
              <c:pt idx="3968">
                <c:v>Baldwin Bikes</c:v>
              </c:pt>
              <c:pt idx="3969">
                <c:v>Baldwin Bikes</c:v>
              </c:pt>
              <c:pt idx="3970">
                <c:v>Baldwin Bikes</c:v>
              </c:pt>
              <c:pt idx="3971">
                <c:v>Baldwin Bikes</c:v>
              </c:pt>
              <c:pt idx="3972">
                <c:v>Baldwin Bikes</c:v>
              </c:pt>
              <c:pt idx="3973">
                <c:v>Baldwin Bikes</c:v>
              </c:pt>
              <c:pt idx="3974">
                <c:v>Baldwin Bikes</c:v>
              </c:pt>
              <c:pt idx="3975">
                <c:v>Baldwin Bikes</c:v>
              </c:pt>
              <c:pt idx="3976">
                <c:v>Baldwin Bikes</c:v>
              </c:pt>
              <c:pt idx="3977">
                <c:v>Baldwin Bikes</c:v>
              </c:pt>
              <c:pt idx="3978">
                <c:v>Baldwin Bikes</c:v>
              </c:pt>
              <c:pt idx="3979">
                <c:v>Baldwin Bikes</c:v>
              </c:pt>
              <c:pt idx="3980">
                <c:v>Baldwin Bikes</c:v>
              </c:pt>
              <c:pt idx="3981">
                <c:v>Baldwin Bikes</c:v>
              </c:pt>
              <c:pt idx="3982">
                <c:v>Baldwin Bikes</c:v>
              </c:pt>
              <c:pt idx="3983">
                <c:v>Baldwin Bikes</c:v>
              </c:pt>
              <c:pt idx="3984">
                <c:v>Baldwin Bikes</c:v>
              </c:pt>
              <c:pt idx="3985">
                <c:v>Santa Cruz Bikes</c:v>
              </c:pt>
              <c:pt idx="3986">
                <c:v>Santa Cruz Bikes</c:v>
              </c:pt>
              <c:pt idx="3987">
                <c:v>Santa Cruz Bikes</c:v>
              </c:pt>
              <c:pt idx="3988">
                <c:v>Santa Cruz Bikes</c:v>
              </c:pt>
              <c:pt idx="3989">
                <c:v>Baldwin Bikes</c:v>
              </c:pt>
              <c:pt idx="3990">
                <c:v>Baldwin Bikes</c:v>
              </c:pt>
              <c:pt idx="3991">
                <c:v>Baldwin Bikes</c:v>
              </c:pt>
              <c:pt idx="3992">
                <c:v>Baldwin Bikes</c:v>
              </c:pt>
              <c:pt idx="3993">
                <c:v>Baldwin Bikes</c:v>
              </c:pt>
              <c:pt idx="3994">
                <c:v>Baldwin Bikes</c:v>
              </c:pt>
              <c:pt idx="3995">
                <c:v>Baldwin Bikes</c:v>
              </c:pt>
              <c:pt idx="3996">
                <c:v>Baldwin Bikes</c:v>
              </c:pt>
              <c:pt idx="3997">
                <c:v>Baldwin Bikes</c:v>
              </c:pt>
              <c:pt idx="3998">
                <c:v>Baldwin Bikes</c:v>
              </c:pt>
              <c:pt idx="3999">
                <c:v>Baldwin Bikes</c:v>
              </c:pt>
            </c:strLit>
          </c:cat>
          <c:val>
            <c:numRef>
              <c:f>'order item'!$G$2:$G$4723</c:f>
              <c:numCache>
                <c:formatCode>General</c:formatCode>
                <c:ptCount val="4722"/>
                <c:pt idx="0">
                  <c:v>599.99</c:v>
                </c:pt>
                <c:pt idx="1">
                  <c:v>3599.98</c:v>
                </c:pt>
                <c:pt idx="2">
                  <c:v>3098</c:v>
                </c:pt>
                <c:pt idx="3">
                  <c:v>1199.98</c:v>
                </c:pt>
                <c:pt idx="4">
                  <c:v>2899.99</c:v>
                </c:pt>
                <c:pt idx="5">
                  <c:v>599.99</c:v>
                </c:pt>
                <c:pt idx="6">
                  <c:v>1199.98</c:v>
                </c:pt>
                <c:pt idx="7">
                  <c:v>999.99</c:v>
                </c:pt>
                <c:pt idx="8">
                  <c:v>599.99</c:v>
                </c:pt>
                <c:pt idx="9">
                  <c:v>1499.98</c:v>
                </c:pt>
                <c:pt idx="10">
                  <c:v>3098</c:v>
                </c:pt>
                <c:pt idx="11">
                  <c:v>429</c:v>
                </c:pt>
                <c:pt idx="12">
                  <c:v>599.99</c:v>
                </c:pt>
                <c:pt idx="13">
                  <c:v>449</c:v>
                </c:pt>
                <c:pt idx="14">
                  <c:v>1099.98</c:v>
                </c:pt>
                <c:pt idx="15">
                  <c:v>599.99</c:v>
                </c:pt>
                <c:pt idx="16">
                  <c:v>1999.98</c:v>
                </c:pt>
                <c:pt idx="17">
                  <c:v>5999.98</c:v>
                </c:pt>
                <c:pt idx="18">
                  <c:v>529.99</c:v>
                </c:pt>
                <c:pt idx="19">
                  <c:v>999.99</c:v>
                </c:pt>
                <c:pt idx="20">
                  <c:v>858</c:v>
                </c:pt>
                <c:pt idx="21">
                  <c:v>269.99</c:v>
                </c:pt>
                <c:pt idx="22">
                  <c:v>1199.98</c:v>
                </c:pt>
                <c:pt idx="23">
                  <c:v>7999.98</c:v>
                </c:pt>
                <c:pt idx="24">
                  <c:v>269.99</c:v>
                </c:pt>
                <c:pt idx="25">
                  <c:v>1799.99</c:v>
                </c:pt>
                <c:pt idx="26">
                  <c:v>539.98</c:v>
                </c:pt>
                <c:pt idx="27">
                  <c:v>1199.98</c:v>
                </c:pt>
                <c:pt idx="28">
                  <c:v>5799.98</c:v>
                </c:pt>
                <c:pt idx="29">
                  <c:v>1680.99</c:v>
                </c:pt>
                <c:pt idx="30">
                  <c:v>269.99</c:v>
                </c:pt>
                <c:pt idx="31">
                  <c:v>858</c:v>
                </c:pt>
                <c:pt idx="32">
                  <c:v>1199.98</c:v>
                </c:pt>
                <c:pt idx="33">
                  <c:v>1199.98</c:v>
                </c:pt>
                <c:pt idx="34">
                  <c:v>469.99</c:v>
                </c:pt>
                <c:pt idx="35">
                  <c:v>1099.98</c:v>
                </c:pt>
                <c:pt idx="36">
                  <c:v>1799.99</c:v>
                </c:pt>
                <c:pt idx="37">
                  <c:v>898</c:v>
                </c:pt>
                <c:pt idx="38">
                  <c:v>599.98</c:v>
                </c:pt>
                <c:pt idx="39">
                  <c:v>1799.99</c:v>
                </c:pt>
                <c:pt idx="40">
                  <c:v>269.99</c:v>
                </c:pt>
                <c:pt idx="41">
                  <c:v>539.98</c:v>
                </c:pt>
                <c:pt idx="42">
                  <c:v>269.99</c:v>
                </c:pt>
                <c:pt idx="43">
                  <c:v>1799.99</c:v>
                </c:pt>
                <c:pt idx="44">
                  <c:v>299.99</c:v>
                </c:pt>
                <c:pt idx="45">
                  <c:v>1320.99</c:v>
                </c:pt>
                <c:pt idx="46">
                  <c:v>1199.98</c:v>
                </c:pt>
                <c:pt idx="47">
                  <c:v>1499.98</c:v>
                </c:pt>
                <c:pt idx="48">
                  <c:v>269.99</c:v>
                </c:pt>
                <c:pt idx="49">
                  <c:v>3999.99</c:v>
                </c:pt>
                <c:pt idx="50">
                  <c:v>999.98</c:v>
                </c:pt>
                <c:pt idx="51">
                  <c:v>5999.98</c:v>
                </c:pt>
                <c:pt idx="52">
                  <c:v>1549</c:v>
                </c:pt>
                <c:pt idx="53">
                  <c:v>5999.98</c:v>
                </c:pt>
                <c:pt idx="54">
                  <c:v>2999.99</c:v>
                </c:pt>
                <c:pt idx="55">
                  <c:v>3098</c:v>
                </c:pt>
                <c:pt idx="56">
                  <c:v>269.99</c:v>
                </c:pt>
                <c:pt idx="57">
                  <c:v>429</c:v>
                </c:pt>
                <c:pt idx="58">
                  <c:v>1549</c:v>
                </c:pt>
                <c:pt idx="59">
                  <c:v>1059.98</c:v>
                </c:pt>
                <c:pt idx="60">
                  <c:v>269.99</c:v>
                </c:pt>
                <c:pt idx="61">
                  <c:v>5799.98</c:v>
                </c:pt>
                <c:pt idx="62">
                  <c:v>599.98</c:v>
                </c:pt>
                <c:pt idx="63">
                  <c:v>269.99</c:v>
                </c:pt>
                <c:pt idx="64">
                  <c:v>1999.98</c:v>
                </c:pt>
                <c:pt idx="65">
                  <c:v>898</c:v>
                </c:pt>
                <c:pt idx="66">
                  <c:v>599.98</c:v>
                </c:pt>
                <c:pt idx="67">
                  <c:v>3098</c:v>
                </c:pt>
                <c:pt idx="68">
                  <c:v>269.99</c:v>
                </c:pt>
                <c:pt idx="69">
                  <c:v>269.99</c:v>
                </c:pt>
                <c:pt idx="70">
                  <c:v>269.99</c:v>
                </c:pt>
                <c:pt idx="71">
                  <c:v>3999.99</c:v>
                </c:pt>
                <c:pt idx="72">
                  <c:v>749.99</c:v>
                </c:pt>
                <c:pt idx="73">
                  <c:v>549.99</c:v>
                </c:pt>
                <c:pt idx="74">
                  <c:v>539.98</c:v>
                </c:pt>
                <c:pt idx="75">
                  <c:v>1320.99</c:v>
                </c:pt>
                <c:pt idx="76">
                  <c:v>449</c:v>
                </c:pt>
                <c:pt idx="77">
                  <c:v>1199.98</c:v>
                </c:pt>
                <c:pt idx="78">
                  <c:v>1799.99</c:v>
                </c:pt>
                <c:pt idx="79">
                  <c:v>1320.99</c:v>
                </c:pt>
                <c:pt idx="80">
                  <c:v>7999.98</c:v>
                </c:pt>
                <c:pt idx="81">
                  <c:v>539.98</c:v>
                </c:pt>
                <c:pt idx="82">
                  <c:v>469.99</c:v>
                </c:pt>
                <c:pt idx="83">
                  <c:v>1099.98</c:v>
                </c:pt>
                <c:pt idx="84">
                  <c:v>469.99</c:v>
                </c:pt>
                <c:pt idx="85">
                  <c:v>539.98</c:v>
                </c:pt>
                <c:pt idx="86">
                  <c:v>1799.99</c:v>
                </c:pt>
                <c:pt idx="87">
                  <c:v>539.98</c:v>
                </c:pt>
                <c:pt idx="88">
                  <c:v>599.99</c:v>
                </c:pt>
                <c:pt idx="89">
                  <c:v>429</c:v>
                </c:pt>
                <c:pt idx="90">
                  <c:v>449</c:v>
                </c:pt>
                <c:pt idx="91">
                  <c:v>2899.99</c:v>
                </c:pt>
                <c:pt idx="92">
                  <c:v>7999.98</c:v>
                </c:pt>
                <c:pt idx="93">
                  <c:v>3361.98</c:v>
                </c:pt>
                <c:pt idx="94">
                  <c:v>5999.98</c:v>
                </c:pt>
                <c:pt idx="95">
                  <c:v>3599.98</c:v>
                </c:pt>
                <c:pt idx="96">
                  <c:v>1099.98</c:v>
                </c:pt>
                <c:pt idx="97">
                  <c:v>999.98</c:v>
                </c:pt>
                <c:pt idx="98">
                  <c:v>599.98</c:v>
                </c:pt>
                <c:pt idx="99">
                  <c:v>3999.99</c:v>
                </c:pt>
                <c:pt idx="100">
                  <c:v>3599.98</c:v>
                </c:pt>
                <c:pt idx="101">
                  <c:v>3098</c:v>
                </c:pt>
                <c:pt idx="102">
                  <c:v>858</c:v>
                </c:pt>
                <c:pt idx="103">
                  <c:v>449</c:v>
                </c:pt>
                <c:pt idx="104">
                  <c:v>1199.98</c:v>
                </c:pt>
                <c:pt idx="105">
                  <c:v>1320.99</c:v>
                </c:pt>
                <c:pt idx="106">
                  <c:v>539.98</c:v>
                </c:pt>
                <c:pt idx="107">
                  <c:v>269.99</c:v>
                </c:pt>
                <c:pt idx="108">
                  <c:v>2999.99</c:v>
                </c:pt>
                <c:pt idx="109">
                  <c:v>1320.99</c:v>
                </c:pt>
                <c:pt idx="110">
                  <c:v>1999.98</c:v>
                </c:pt>
                <c:pt idx="111">
                  <c:v>1199.98</c:v>
                </c:pt>
                <c:pt idx="112">
                  <c:v>7999.98</c:v>
                </c:pt>
                <c:pt idx="113">
                  <c:v>299.99</c:v>
                </c:pt>
                <c:pt idx="114">
                  <c:v>499.99</c:v>
                </c:pt>
                <c:pt idx="115">
                  <c:v>3098</c:v>
                </c:pt>
                <c:pt idx="116">
                  <c:v>549.99</c:v>
                </c:pt>
                <c:pt idx="117">
                  <c:v>539.98</c:v>
                </c:pt>
                <c:pt idx="118">
                  <c:v>1199.98</c:v>
                </c:pt>
                <c:pt idx="119">
                  <c:v>1999.98</c:v>
                </c:pt>
                <c:pt idx="120">
                  <c:v>529.99</c:v>
                </c:pt>
                <c:pt idx="121">
                  <c:v>429</c:v>
                </c:pt>
                <c:pt idx="122">
                  <c:v>3599.98</c:v>
                </c:pt>
                <c:pt idx="123">
                  <c:v>1320.99</c:v>
                </c:pt>
                <c:pt idx="124">
                  <c:v>898</c:v>
                </c:pt>
                <c:pt idx="125">
                  <c:v>1199.98</c:v>
                </c:pt>
                <c:pt idx="126">
                  <c:v>449</c:v>
                </c:pt>
                <c:pt idx="127">
                  <c:v>539.98</c:v>
                </c:pt>
                <c:pt idx="128">
                  <c:v>1099.98</c:v>
                </c:pt>
                <c:pt idx="129">
                  <c:v>3999.99</c:v>
                </c:pt>
                <c:pt idx="130">
                  <c:v>599.99</c:v>
                </c:pt>
                <c:pt idx="131">
                  <c:v>5799.98</c:v>
                </c:pt>
                <c:pt idx="132">
                  <c:v>269.99</c:v>
                </c:pt>
                <c:pt idx="133">
                  <c:v>539.98</c:v>
                </c:pt>
                <c:pt idx="134">
                  <c:v>429</c:v>
                </c:pt>
                <c:pt idx="135">
                  <c:v>469.99</c:v>
                </c:pt>
                <c:pt idx="136">
                  <c:v>529.99</c:v>
                </c:pt>
                <c:pt idx="137">
                  <c:v>999.98</c:v>
                </c:pt>
                <c:pt idx="138">
                  <c:v>269.99</c:v>
                </c:pt>
                <c:pt idx="139">
                  <c:v>1680.99</c:v>
                </c:pt>
                <c:pt idx="140">
                  <c:v>2899.99</c:v>
                </c:pt>
                <c:pt idx="141">
                  <c:v>2641.98</c:v>
                </c:pt>
                <c:pt idx="142">
                  <c:v>539.98</c:v>
                </c:pt>
                <c:pt idx="143">
                  <c:v>539.98</c:v>
                </c:pt>
                <c:pt idx="144">
                  <c:v>999.99</c:v>
                </c:pt>
                <c:pt idx="145">
                  <c:v>1199.98</c:v>
                </c:pt>
                <c:pt idx="146">
                  <c:v>539.98</c:v>
                </c:pt>
                <c:pt idx="147">
                  <c:v>269.99</c:v>
                </c:pt>
                <c:pt idx="148">
                  <c:v>599.99</c:v>
                </c:pt>
                <c:pt idx="149">
                  <c:v>1199.98</c:v>
                </c:pt>
                <c:pt idx="150">
                  <c:v>499.99</c:v>
                </c:pt>
                <c:pt idx="151">
                  <c:v>3599.98</c:v>
                </c:pt>
                <c:pt idx="152">
                  <c:v>599.98</c:v>
                </c:pt>
                <c:pt idx="153">
                  <c:v>539.98</c:v>
                </c:pt>
                <c:pt idx="154">
                  <c:v>999.98</c:v>
                </c:pt>
                <c:pt idx="155">
                  <c:v>1199.98</c:v>
                </c:pt>
                <c:pt idx="156">
                  <c:v>999.99</c:v>
                </c:pt>
                <c:pt idx="157">
                  <c:v>269.99</c:v>
                </c:pt>
                <c:pt idx="158">
                  <c:v>999.98</c:v>
                </c:pt>
                <c:pt idx="159">
                  <c:v>1059.98</c:v>
                </c:pt>
                <c:pt idx="160">
                  <c:v>1199.98</c:v>
                </c:pt>
                <c:pt idx="161">
                  <c:v>599.98</c:v>
                </c:pt>
                <c:pt idx="162">
                  <c:v>898</c:v>
                </c:pt>
                <c:pt idx="163">
                  <c:v>269.99</c:v>
                </c:pt>
                <c:pt idx="164">
                  <c:v>539.98</c:v>
                </c:pt>
                <c:pt idx="165">
                  <c:v>449</c:v>
                </c:pt>
                <c:pt idx="166">
                  <c:v>299.99</c:v>
                </c:pt>
                <c:pt idx="167">
                  <c:v>269.99</c:v>
                </c:pt>
                <c:pt idx="168">
                  <c:v>749.99</c:v>
                </c:pt>
                <c:pt idx="169">
                  <c:v>858</c:v>
                </c:pt>
                <c:pt idx="170">
                  <c:v>539.98</c:v>
                </c:pt>
                <c:pt idx="171">
                  <c:v>2899.99</c:v>
                </c:pt>
                <c:pt idx="172">
                  <c:v>529.99</c:v>
                </c:pt>
                <c:pt idx="173">
                  <c:v>269.99</c:v>
                </c:pt>
                <c:pt idx="174">
                  <c:v>499.99</c:v>
                </c:pt>
                <c:pt idx="175">
                  <c:v>1059.98</c:v>
                </c:pt>
                <c:pt idx="176">
                  <c:v>2641.98</c:v>
                </c:pt>
                <c:pt idx="177">
                  <c:v>269.99</c:v>
                </c:pt>
                <c:pt idx="178">
                  <c:v>3599.98</c:v>
                </c:pt>
                <c:pt idx="179">
                  <c:v>539.98</c:v>
                </c:pt>
                <c:pt idx="180">
                  <c:v>999.98</c:v>
                </c:pt>
                <c:pt idx="181">
                  <c:v>898</c:v>
                </c:pt>
                <c:pt idx="182">
                  <c:v>999.99</c:v>
                </c:pt>
                <c:pt idx="183">
                  <c:v>999.98</c:v>
                </c:pt>
                <c:pt idx="184">
                  <c:v>539.98</c:v>
                </c:pt>
                <c:pt idx="185">
                  <c:v>599.98</c:v>
                </c:pt>
                <c:pt idx="186">
                  <c:v>1099.98</c:v>
                </c:pt>
                <c:pt idx="187">
                  <c:v>549.99</c:v>
                </c:pt>
                <c:pt idx="188">
                  <c:v>749.99</c:v>
                </c:pt>
                <c:pt idx="189">
                  <c:v>299.99</c:v>
                </c:pt>
                <c:pt idx="190">
                  <c:v>549.99</c:v>
                </c:pt>
                <c:pt idx="191">
                  <c:v>599.98</c:v>
                </c:pt>
                <c:pt idx="192">
                  <c:v>1099.98</c:v>
                </c:pt>
                <c:pt idx="193">
                  <c:v>269.99</c:v>
                </c:pt>
                <c:pt idx="194">
                  <c:v>2641.98</c:v>
                </c:pt>
                <c:pt idx="195">
                  <c:v>449</c:v>
                </c:pt>
                <c:pt idx="196">
                  <c:v>539.98</c:v>
                </c:pt>
                <c:pt idx="197">
                  <c:v>429</c:v>
                </c:pt>
                <c:pt idx="198">
                  <c:v>539.98</c:v>
                </c:pt>
                <c:pt idx="199">
                  <c:v>1320.99</c:v>
                </c:pt>
                <c:pt idx="200">
                  <c:v>1549</c:v>
                </c:pt>
                <c:pt idx="201">
                  <c:v>1999.98</c:v>
                </c:pt>
                <c:pt idx="202">
                  <c:v>449</c:v>
                </c:pt>
                <c:pt idx="203">
                  <c:v>599.99</c:v>
                </c:pt>
                <c:pt idx="204">
                  <c:v>1199.98</c:v>
                </c:pt>
                <c:pt idx="205">
                  <c:v>549.99</c:v>
                </c:pt>
                <c:pt idx="206">
                  <c:v>449</c:v>
                </c:pt>
                <c:pt idx="207">
                  <c:v>858</c:v>
                </c:pt>
                <c:pt idx="208">
                  <c:v>549.99</c:v>
                </c:pt>
                <c:pt idx="209">
                  <c:v>539.98</c:v>
                </c:pt>
                <c:pt idx="210">
                  <c:v>269.99</c:v>
                </c:pt>
                <c:pt idx="211">
                  <c:v>1199.98</c:v>
                </c:pt>
                <c:pt idx="212">
                  <c:v>1999.98</c:v>
                </c:pt>
                <c:pt idx="213">
                  <c:v>499.99</c:v>
                </c:pt>
                <c:pt idx="214">
                  <c:v>599.98</c:v>
                </c:pt>
                <c:pt idx="215">
                  <c:v>1199.98</c:v>
                </c:pt>
                <c:pt idx="216">
                  <c:v>469.99</c:v>
                </c:pt>
                <c:pt idx="217">
                  <c:v>999.99</c:v>
                </c:pt>
                <c:pt idx="218">
                  <c:v>7999.98</c:v>
                </c:pt>
                <c:pt idx="219">
                  <c:v>529.99</c:v>
                </c:pt>
                <c:pt idx="220">
                  <c:v>549.99</c:v>
                </c:pt>
                <c:pt idx="221">
                  <c:v>3361.98</c:v>
                </c:pt>
                <c:pt idx="222">
                  <c:v>1320.99</c:v>
                </c:pt>
                <c:pt idx="223">
                  <c:v>599.99</c:v>
                </c:pt>
                <c:pt idx="224">
                  <c:v>1099.98</c:v>
                </c:pt>
                <c:pt idx="225">
                  <c:v>599.99</c:v>
                </c:pt>
                <c:pt idx="226">
                  <c:v>499.99</c:v>
                </c:pt>
                <c:pt idx="227">
                  <c:v>429</c:v>
                </c:pt>
                <c:pt idx="228">
                  <c:v>449</c:v>
                </c:pt>
                <c:pt idx="229">
                  <c:v>898</c:v>
                </c:pt>
                <c:pt idx="230">
                  <c:v>539.98</c:v>
                </c:pt>
                <c:pt idx="231">
                  <c:v>5999.98</c:v>
                </c:pt>
                <c:pt idx="232">
                  <c:v>858</c:v>
                </c:pt>
                <c:pt idx="233">
                  <c:v>469.99</c:v>
                </c:pt>
                <c:pt idx="234">
                  <c:v>999.98</c:v>
                </c:pt>
                <c:pt idx="235">
                  <c:v>599.99</c:v>
                </c:pt>
                <c:pt idx="236">
                  <c:v>549.99</c:v>
                </c:pt>
                <c:pt idx="237">
                  <c:v>429</c:v>
                </c:pt>
                <c:pt idx="238">
                  <c:v>3098</c:v>
                </c:pt>
                <c:pt idx="239">
                  <c:v>599.98</c:v>
                </c:pt>
                <c:pt idx="240">
                  <c:v>999.98</c:v>
                </c:pt>
                <c:pt idx="241">
                  <c:v>999.98</c:v>
                </c:pt>
                <c:pt idx="242">
                  <c:v>3361.98</c:v>
                </c:pt>
                <c:pt idx="243">
                  <c:v>599.99</c:v>
                </c:pt>
                <c:pt idx="244">
                  <c:v>1999.98</c:v>
                </c:pt>
                <c:pt idx="245">
                  <c:v>599.98</c:v>
                </c:pt>
                <c:pt idx="246">
                  <c:v>1059.98</c:v>
                </c:pt>
                <c:pt idx="247">
                  <c:v>5799.98</c:v>
                </c:pt>
                <c:pt idx="248">
                  <c:v>449</c:v>
                </c:pt>
                <c:pt idx="249">
                  <c:v>5999.98</c:v>
                </c:pt>
                <c:pt idx="250">
                  <c:v>599.98</c:v>
                </c:pt>
                <c:pt idx="251">
                  <c:v>539.98</c:v>
                </c:pt>
                <c:pt idx="252">
                  <c:v>529.99</c:v>
                </c:pt>
                <c:pt idx="253">
                  <c:v>1199.98</c:v>
                </c:pt>
                <c:pt idx="254">
                  <c:v>599.98</c:v>
                </c:pt>
                <c:pt idx="255">
                  <c:v>1549</c:v>
                </c:pt>
                <c:pt idx="256">
                  <c:v>3599.98</c:v>
                </c:pt>
                <c:pt idx="257">
                  <c:v>3999.99</c:v>
                </c:pt>
                <c:pt idx="258">
                  <c:v>1320.99</c:v>
                </c:pt>
                <c:pt idx="259">
                  <c:v>939.98</c:v>
                </c:pt>
                <c:pt idx="260">
                  <c:v>999.99</c:v>
                </c:pt>
                <c:pt idx="261">
                  <c:v>469.99</c:v>
                </c:pt>
                <c:pt idx="262">
                  <c:v>1680.99</c:v>
                </c:pt>
                <c:pt idx="263">
                  <c:v>499.99</c:v>
                </c:pt>
                <c:pt idx="264">
                  <c:v>1059.98</c:v>
                </c:pt>
                <c:pt idx="265">
                  <c:v>539.98</c:v>
                </c:pt>
                <c:pt idx="266">
                  <c:v>1799.99</c:v>
                </c:pt>
                <c:pt idx="267">
                  <c:v>539.98</c:v>
                </c:pt>
                <c:pt idx="268">
                  <c:v>429</c:v>
                </c:pt>
                <c:pt idx="269">
                  <c:v>269.99</c:v>
                </c:pt>
                <c:pt idx="270">
                  <c:v>749.99</c:v>
                </c:pt>
                <c:pt idx="271">
                  <c:v>3098</c:v>
                </c:pt>
                <c:pt idx="272">
                  <c:v>549.99</c:v>
                </c:pt>
                <c:pt idx="273">
                  <c:v>2899.99</c:v>
                </c:pt>
                <c:pt idx="274">
                  <c:v>1680.99</c:v>
                </c:pt>
                <c:pt idx="275">
                  <c:v>539.98</c:v>
                </c:pt>
                <c:pt idx="276">
                  <c:v>3098</c:v>
                </c:pt>
                <c:pt idx="277">
                  <c:v>449</c:v>
                </c:pt>
                <c:pt idx="278">
                  <c:v>3599.98</c:v>
                </c:pt>
                <c:pt idx="279">
                  <c:v>1199.98</c:v>
                </c:pt>
                <c:pt idx="280">
                  <c:v>599.99</c:v>
                </c:pt>
                <c:pt idx="281">
                  <c:v>299.99</c:v>
                </c:pt>
                <c:pt idx="282">
                  <c:v>1199.98</c:v>
                </c:pt>
                <c:pt idx="283">
                  <c:v>749.99</c:v>
                </c:pt>
                <c:pt idx="284">
                  <c:v>939.98</c:v>
                </c:pt>
                <c:pt idx="285">
                  <c:v>449</c:v>
                </c:pt>
                <c:pt idx="286">
                  <c:v>449</c:v>
                </c:pt>
                <c:pt idx="287">
                  <c:v>269.99</c:v>
                </c:pt>
                <c:pt idx="288">
                  <c:v>749.99</c:v>
                </c:pt>
                <c:pt idx="289">
                  <c:v>539.98</c:v>
                </c:pt>
                <c:pt idx="290">
                  <c:v>269.99</c:v>
                </c:pt>
                <c:pt idx="291">
                  <c:v>269.99</c:v>
                </c:pt>
                <c:pt idx="292">
                  <c:v>999.98</c:v>
                </c:pt>
                <c:pt idx="293">
                  <c:v>7999.98</c:v>
                </c:pt>
                <c:pt idx="294">
                  <c:v>599.98</c:v>
                </c:pt>
                <c:pt idx="295">
                  <c:v>1099.98</c:v>
                </c:pt>
                <c:pt idx="296">
                  <c:v>3361.98</c:v>
                </c:pt>
                <c:pt idx="297">
                  <c:v>7999.98</c:v>
                </c:pt>
                <c:pt idx="298">
                  <c:v>1199.98</c:v>
                </c:pt>
                <c:pt idx="299">
                  <c:v>1099.98</c:v>
                </c:pt>
                <c:pt idx="300">
                  <c:v>1099.98</c:v>
                </c:pt>
                <c:pt idx="301">
                  <c:v>529.99</c:v>
                </c:pt>
                <c:pt idx="302">
                  <c:v>269.99</c:v>
                </c:pt>
                <c:pt idx="303">
                  <c:v>429</c:v>
                </c:pt>
                <c:pt idx="304">
                  <c:v>999.99</c:v>
                </c:pt>
                <c:pt idx="305">
                  <c:v>449</c:v>
                </c:pt>
                <c:pt idx="306">
                  <c:v>1059.98</c:v>
                </c:pt>
                <c:pt idx="307">
                  <c:v>5999.98</c:v>
                </c:pt>
                <c:pt idx="308">
                  <c:v>898</c:v>
                </c:pt>
                <c:pt idx="309">
                  <c:v>599.99</c:v>
                </c:pt>
                <c:pt idx="310">
                  <c:v>3361.98</c:v>
                </c:pt>
                <c:pt idx="311">
                  <c:v>999.99</c:v>
                </c:pt>
                <c:pt idx="312">
                  <c:v>2999.99</c:v>
                </c:pt>
                <c:pt idx="313">
                  <c:v>429</c:v>
                </c:pt>
                <c:pt idx="314">
                  <c:v>539.98</c:v>
                </c:pt>
                <c:pt idx="315">
                  <c:v>449</c:v>
                </c:pt>
                <c:pt idx="316">
                  <c:v>539.98</c:v>
                </c:pt>
                <c:pt idx="317">
                  <c:v>1680.99</c:v>
                </c:pt>
                <c:pt idx="318">
                  <c:v>539.98</c:v>
                </c:pt>
                <c:pt idx="319">
                  <c:v>1199.98</c:v>
                </c:pt>
                <c:pt idx="320">
                  <c:v>539.98</c:v>
                </c:pt>
                <c:pt idx="321">
                  <c:v>469.99</c:v>
                </c:pt>
                <c:pt idx="322">
                  <c:v>269.99</c:v>
                </c:pt>
                <c:pt idx="323">
                  <c:v>269.99</c:v>
                </c:pt>
                <c:pt idx="324">
                  <c:v>1099.98</c:v>
                </c:pt>
                <c:pt idx="325">
                  <c:v>599.98</c:v>
                </c:pt>
                <c:pt idx="326">
                  <c:v>999.98</c:v>
                </c:pt>
                <c:pt idx="327">
                  <c:v>1099.98</c:v>
                </c:pt>
                <c:pt idx="328">
                  <c:v>1320.99</c:v>
                </c:pt>
                <c:pt idx="329">
                  <c:v>1099.98</c:v>
                </c:pt>
                <c:pt idx="330">
                  <c:v>1099.98</c:v>
                </c:pt>
                <c:pt idx="331">
                  <c:v>469.99</c:v>
                </c:pt>
                <c:pt idx="332">
                  <c:v>299.99</c:v>
                </c:pt>
                <c:pt idx="333">
                  <c:v>2641.98</c:v>
                </c:pt>
                <c:pt idx="334">
                  <c:v>549.99</c:v>
                </c:pt>
                <c:pt idx="335">
                  <c:v>749.99</c:v>
                </c:pt>
                <c:pt idx="336">
                  <c:v>539.98</c:v>
                </c:pt>
                <c:pt idx="337">
                  <c:v>269.99</c:v>
                </c:pt>
                <c:pt idx="338">
                  <c:v>449</c:v>
                </c:pt>
                <c:pt idx="339">
                  <c:v>599.99</c:v>
                </c:pt>
                <c:pt idx="340">
                  <c:v>539.98</c:v>
                </c:pt>
                <c:pt idx="341">
                  <c:v>599.99</c:v>
                </c:pt>
                <c:pt idx="342">
                  <c:v>269.99</c:v>
                </c:pt>
                <c:pt idx="343">
                  <c:v>449</c:v>
                </c:pt>
                <c:pt idx="344">
                  <c:v>449</c:v>
                </c:pt>
                <c:pt idx="345">
                  <c:v>2899.99</c:v>
                </c:pt>
                <c:pt idx="346">
                  <c:v>469.99</c:v>
                </c:pt>
                <c:pt idx="347">
                  <c:v>1999.98</c:v>
                </c:pt>
                <c:pt idx="348">
                  <c:v>599.98</c:v>
                </c:pt>
                <c:pt idx="349">
                  <c:v>499.99</c:v>
                </c:pt>
                <c:pt idx="350">
                  <c:v>539.98</c:v>
                </c:pt>
                <c:pt idx="351">
                  <c:v>939.98</c:v>
                </c:pt>
                <c:pt idx="352">
                  <c:v>3098</c:v>
                </c:pt>
                <c:pt idx="353">
                  <c:v>429</c:v>
                </c:pt>
                <c:pt idx="354">
                  <c:v>1199.98</c:v>
                </c:pt>
                <c:pt idx="355">
                  <c:v>1320.99</c:v>
                </c:pt>
                <c:pt idx="356">
                  <c:v>539.98</c:v>
                </c:pt>
                <c:pt idx="357">
                  <c:v>5799.98</c:v>
                </c:pt>
                <c:pt idx="358">
                  <c:v>1099.98</c:v>
                </c:pt>
                <c:pt idx="359">
                  <c:v>1499.98</c:v>
                </c:pt>
                <c:pt idx="360">
                  <c:v>599.99</c:v>
                </c:pt>
                <c:pt idx="361">
                  <c:v>1099.98</c:v>
                </c:pt>
                <c:pt idx="362">
                  <c:v>599.99</c:v>
                </c:pt>
                <c:pt idx="363">
                  <c:v>2899.99</c:v>
                </c:pt>
                <c:pt idx="364">
                  <c:v>7999.98</c:v>
                </c:pt>
                <c:pt idx="365">
                  <c:v>429</c:v>
                </c:pt>
                <c:pt idx="366">
                  <c:v>5999.98</c:v>
                </c:pt>
                <c:pt idx="367">
                  <c:v>429</c:v>
                </c:pt>
                <c:pt idx="368">
                  <c:v>599.99</c:v>
                </c:pt>
                <c:pt idx="369">
                  <c:v>5799.98</c:v>
                </c:pt>
                <c:pt idx="370">
                  <c:v>1099.98</c:v>
                </c:pt>
                <c:pt idx="371">
                  <c:v>1199.98</c:v>
                </c:pt>
                <c:pt idx="372">
                  <c:v>5799.98</c:v>
                </c:pt>
                <c:pt idx="373">
                  <c:v>1999.98</c:v>
                </c:pt>
                <c:pt idx="374">
                  <c:v>449</c:v>
                </c:pt>
                <c:pt idx="375">
                  <c:v>2999.99</c:v>
                </c:pt>
                <c:pt idx="376">
                  <c:v>599.99</c:v>
                </c:pt>
                <c:pt idx="377">
                  <c:v>2641.98</c:v>
                </c:pt>
                <c:pt idx="378">
                  <c:v>539.98</c:v>
                </c:pt>
                <c:pt idx="379">
                  <c:v>5799.98</c:v>
                </c:pt>
                <c:pt idx="380">
                  <c:v>1099.98</c:v>
                </c:pt>
                <c:pt idx="381">
                  <c:v>1499.98</c:v>
                </c:pt>
                <c:pt idx="382">
                  <c:v>599.99</c:v>
                </c:pt>
                <c:pt idx="383">
                  <c:v>2999.99</c:v>
                </c:pt>
                <c:pt idx="384">
                  <c:v>539.98</c:v>
                </c:pt>
                <c:pt idx="385">
                  <c:v>269.99</c:v>
                </c:pt>
                <c:pt idx="386">
                  <c:v>898</c:v>
                </c:pt>
                <c:pt idx="387">
                  <c:v>1499.98</c:v>
                </c:pt>
                <c:pt idx="388">
                  <c:v>898</c:v>
                </c:pt>
                <c:pt idx="389">
                  <c:v>2641.98</c:v>
                </c:pt>
                <c:pt idx="390">
                  <c:v>898</c:v>
                </c:pt>
                <c:pt idx="391">
                  <c:v>499.99</c:v>
                </c:pt>
                <c:pt idx="392">
                  <c:v>749.99</c:v>
                </c:pt>
                <c:pt idx="393">
                  <c:v>7999.98</c:v>
                </c:pt>
                <c:pt idx="394">
                  <c:v>1999.98</c:v>
                </c:pt>
                <c:pt idx="395">
                  <c:v>299.99</c:v>
                </c:pt>
                <c:pt idx="396">
                  <c:v>269.99</c:v>
                </c:pt>
                <c:pt idx="397">
                  <c:v>1199.98</c:v>
                </c:pt>
                <c:pt idx="398">
                  <c:v>469.99</c:v>
                </c:pt>
                <c:pt idx="399">
                  <c:v>898</c:v>
                </c:pt>
                <c:pt idx="400">
                  <c:v>999.99</c:v>
                </c:pt>
                <c:pt idx="401">
                  <c:v>529.99</c:v>
                </c:pt>
                <c:pt idx="402">
                  <c:v>269.99</c:v>
                </c:pt>
                <c:pt idx="403">
                  <c:v>1099.98</c:v>
                </c:pt>
                <c:pt idx="404">
                  <c:v>999.99</c:v>
                </c:pt>
                <c:pt idx="405">
                  <c:v>449</c:v>
                </c:pt>
                <c:pt idx="406">
                  <c:v>1199.98</c:v>
                </c:pt>
                <c:pt idx="407">
                  <c:v>3361.98</c:v>
                </c:pt>
                <c:pt idx="408">
                  <c:v>449</c:v>
                </c:pt>
                <c:pt idx="409">
                  <c:v>469.99</c:v>
                </c:pt>
                <c:pt idx="410">
                  <c:v>3599.98</c:v>
                </c:pt>
                <c:pt idx="411">
                  <c:v>1680.99</c:v>
                </c:pt>
                <c:pt idx="412">
                  <c:v>5999.98</c:v>
                </c:pt>
                <c:pt idx="413">
                  <c:v>1999.98</c:v>
                </c:pt>
                <c:pt idx="414">
                  <c:v>549.99</c:v>
                </c:pt>
                <c:pt idx="415">
                  <c:v>1199.98</c:v>
                </c:pt>
                <c:pt idx="416">
                  <c:v>939.98</c:v>
                </c:pt>
                <c:pt idx="417">
                  <c:v>749.99</c:v>
                </c:pt>
                <c:pt idx="418">
                  <c:v>1199.98</c:v>
                </c:pt>
                <c:pt idx="419">
                  <c:v>269.99</c:v>
                </c:pt>
                <c:pt idx="420">
                  <c:v>1099.98</c:v>
                </c:pt>
                <c:pt idx="421">
                  <c:v>539.98</c:v>
                </c:pt>
                <c:pt idx="422">
                  <c:v>3999.99</c:v>
                </c:pt>
                <c:pt idx="423">
                  <c:v>999.99</c:v>
                </c:pt>
                <c:pt idx="424">
                  <c:v>429</c:v>
                </c:pt>
                <c:pt idx="425">
                  <c:v>999.98</c:v>
                </c:pt>
                <c:pt idx="426">
                  <c:v>429</c:v>
                </c:pt>
                <c:pt idx="427">
                  <c:v>599.99</c:v>
                </c:pt>
                <c:pt idx="428">
                  <c:v>939.98</c:v>
                </c:pt>
                <c:pt idx="429">
                  <c:v>539.98</c:v>
                </c:pt>
                <c:pt idx="430">
                  <c:v>1199.98</c:v>
                </c:pt>
                <c:pt idx="431">
                  <c:v>599.99</c:v>
                </c:pt>
                <c:pt idx="432">
                  <c:v>1799.99</c:v>
                </c:pt>
                <c:pt idx="433">
                  <c:v>1059.98</c:v>
                </c:pt>
                <c:pt idx="434">
                  <c:v>549.99</c:v>
                </c:pt>
                <c:pt idx="435">
                  <c:v>1799.99</c:v>
                </c:pt>
                <c:pt idx="436">
                  <c:v>898</c:v>
                </c:pt>
                <c:pt idx="437">
                  <c:v>858</c:v>
                </c:pt>
                <c:pt idx="438">
                  <c:v>469.99</c:v>
                </c:pt>
                <c:pt idx="439">
                  <c:v>2899.99</c:v>
                </c:pt>
                <c:pt idx="440">
                  <c:v>7999.98</c:v>
                </c:pt>
                <c:pt idx="441">
                  <c:v>549.99</c:v>
                </c:pt>
                <c:pt idx="442">
                  <c:v>269.99</c:v>
                </c:pt>
                <c:pt idx="443">
                  <c:v>269.99</c:v>
                </c:pt>
                <c:pt idx="444">
                  <c:v>1059.98</c:v>
                </c:pt>
                <c:pt idx="445">
                  <c:v>898</c:v>
                </c:pt>
                <c:pt idx="446">
                  <c:v>1680.99</c:v>
                </c:pt>
                <c:pt idx="447">
                  <c:v>1099.98</c:v>
                </c:pt>
                <c:pt idx="448">
                  <c:v>269.99</c:v>
                </c:pt>
                <c:pt idx="449">
                  <c:v>7999.98</c:v>
                </c:pt>
                <c:pt idx="450">
                  <c:v>449</c:v>
                </c:pt>
                <c:pt idx="451">
                  <c:v>539.98</c:v>
                </c:pt>
                <c:pt idx="452">
                  <c:v>1999.98</c:v>
                </c:pt>
                <c:pt idx="453">
                  <c:v>549.99</c:v>
                </c:pt>
                <c:pt idx="454">
                  <c:v>449</c:v>
                </c:pt>
                <c:pt idx="455">
                  <c:v>5799.98</c:v>
                </c:pt>
                <c:pt idx="456">
                  <c:v>3098</c:v>
                </c:pt>
                <c:pt idx="457">
                  <c:v>269.99</c:v>
                </c:pt>
                <c:pt idx="458">
                  <c:v>5799.98</c:v>
                </c:pt>
                <c:pt idx="459">
                  <c:v>299.99</c:v>
                </c:pt>
                <c:pt idx="460">
                  <c:v>749.99</c:v>
                </c:pt>
                <c:pt idx="461">
                  <c:v>3098</c:v>
                </c:pt>
                <c:pt idx="462">
                  <c:v>1680.99</c:v>
                </c:pt>
                <c:pt idx="463">
                  <c:v>549.99</c:v>
                </c:pt>
                <c:pt idx="464">
                  <c:v>1549</c:v>
                </c:pt>
                <c:pt idx="465">
                  <c:v>539.98</c:v>
                </c:pt>
                <c:pt idx="466">
                  <c:v>7999.98</c:v>
                </c:pt>
                <c:pt idx="467">
                  <c:v>469.99</c:v>
                </c:pt>
                <c:pt idx="468">
                  <c:v>3361.98</c:v>
                </c:pt>
                <c:pt idx="469">
                  <c:v>1099.98</c:v>
                </c:pt>
                <c:pt idx="470">
                  <c:v>539.98</c:v>
                </c:pt>
                <c:pt idx="471">
                  <c:v>1199.98</c:v>
                </c:pt>
                <c:pt idx="472">
                  <c:v>1320.99</c:v>
                </c:pt>
                <c:pt idx="473">
                  <c:v>1549</c:v>
                </c:pt>
                <c:pt idx="474">
                  <c:v>1680.99</c:v>
                </c:pt>
                <c:pt idx="475">
                  <c:v>539.98</c:v>
                </c:pt>
                <c:pt idx="476">
                  <c:v>1099.98</c:v>
                </c:pt>
                <c:pt idx="477">
                  <c:v>549.99</c:v>
                </c:pt>
                <c:pt idx="478">
                  <c:v>3999.99</c:v>
                </c:pt>
                <c:pt idx="479">
                  <c:v>898</c:v>
                </c:pt>
                <c:pt idx="480">
                  <c:v>1799.99</c:v>
                </c:pt>
                <c:pt idx="481">
                  <c:v>299.99</c:v>
                </c:pt>
                <c:pt idx="482">
                  <c:v>599.99</c:v>
                </c:pt>
                <c:pt idx="483">
                  <c:v>269.99</c:v>
                </c:pt>
                <c:pt idx="484">
                  <c:v>599.99</c:v>
                </c:pt>
                <c:pt idx="485">
                  <c:v>1199.98</c:v>
                </c:pt>
                <c:pt idx="486">
                  <c:v>539.98</c:v>
                </c:pt>
                <c:pt idx="487">
                  <c:v>898</c:v>
                </c:pt>
                <c:pt idx="488">
                  <c:v>1320.99</c:v>
                </c:pt>
                <c:pt idx="489">
                  <c:v>1499.98</c:v>
                </c:pt>
                <c:pt idx="490">
                  <c:v>539.98</c:v>
                </c:pt>
                <c:pt idx="491">
                  <c:v>449</c:v>
                </c:pt>
                <c:pt idx="492">
                  <c:v>1499.98</c:v>
                </c:pt>
                <c:pt idx="493">
                  <c:v>3361.98</c:v>
                </c:pt>
                <c:pt idx="494">
                  <c:v>1199.98</c:v>
                </c:pt>
                <c:pt idx="495">
                  <c:v>1199.98</c:v>
                </c:pt>
                <c:pt idx="496">
                  <c:v>3098</c:v>
                </c:pt>
                <c:pt idx="497">
                  <c:v>549.99</c:v>
                </c:pt>
                <c:pt idx="498">
                  <c:v>999.99</c:v>
                </c:pt>
                <c:pt idx="499">
                  <c:v>449</c:v>
                </c:pt>
                <c:pt idx="500">
                  <c:v>539.98</c:v>
                </c:pt>
                <c:pt idx="501">
                  <c:v>599.99</c:v>
                </c:pt>
                <c:pt idx="502">
                  <c:v>449</c:v>
                </c:pt>
                <c:pt idx="503">
                  <c:v>1099.98</c:v>
                </c:pt>
                <c:pt idx="504">
                  <c:v>1199.98</c:v>
                </c:pt>
                <c:pt idx="505">
                  <c:v>599.99</c:v>
                </c:pt>
                <c:pt idx="506">
                  <c:v>1549</c:v>
                </c:pt>
                <c:pt idx="507">
                  <c:v>1680.99</c:v>
                </c:pt>
                <c:pt idx="508">
                  <c:v>1059.98</c:v>
                </c:pt>
                <c:pt idx="509">
                  <c:v>1099.98</c:v>
                </c:pt>
                <c:pt idx="510">
                  <c:v>999.98</c:v>
                </c:pt>
                <c:pt idx="511">
                  <c:v>1099.98</c:v>
                </c:pt>
                <c:pt idx="512">
                  <c:v>3361.98</c:v>
                </c:pt>
                <c:pt idx="513">
                  <c:v>1099.98</c:v>
                </c:pt>
                <c:pt idx="514">
                  <c:v>449</c:v>
                </c:pt>
                <c:pt idx="515">
                  <c:v>429</c:v>
                </c:pt>
                <c:pt idx="516">
                  <c:v>2899.99</c:v>
                </c:pt>
                <c:pt idx="517">
                  <c:v>1320.99</c:v>
                </c:pt>
                <c:pt idx="518">
                  <c:v>269.99</c:v>
                </c:pt>
                <c:pt idx="519">
                  <c:v>599.99</c:v>
                </c:pt>
                <c:pt idx="520">
                  <c:v>1799.99</c:v>
                </c:pt>
                <c:pt idx="521">
                  <c:v>2899.99</c:v>
                </c:pt>
                <c:pt idx="522">
                  <c:v>469.99</c:v>
                </c:pt>
                <c:pt idx="523">
                  <c:v>1320.99</c:v>
                </c:pt>
                <c:pt idx="524">
                  <c:v>7999.98</c:v>
                </c:pt>
                <c:pt idx="525">
                  <c:v>1199.98</c:v>
                </c:pt>
                <c:pt idx="526">
                  <c:v>549.99</c:v>
                </c:pt>
                <c:pt idx="527">
                  <c:v>529.99</c:v>
                </c:pt>
                <c:pt idx="528">
                  <c:v>1999.98</c:v>
                </c:pt>
                <c:pt idx="529">
                  <c:v>499.99</c:v>
                </c:pt>
                <c:pt idx="530">
                  <c:v>1099.98</c:v>
                </c:pt>
                <c:pt idx="531">
                  <c:v>999.99</c:v>
                </c:pt>
                <c:pt idx="532">
                  <c:v>3599.98</c:v>
                </c:pt>
                <c:pt idx="533">
                  <c:v>299.99</c:v>
                </c:pt>
                <c:pt idx="534">
                  <c:v>3599.98</c:v>
                </c:pt>
                <c:pt idx="535">
                  <c:v>499.99</c:v>
                </c:pt>
                <c:pt idx="536">
                  <c:v>749.99</c:v>
                </c:pt>
                <c:pt idx="537">
                  <c:v>1099.98</c:v>
                </c:pt>
                <c:pt idx="538">
                  <c:v>3098</c:v>
                </c:pt>
                <c:pt idx="539">
                  <c:v>1099.98</c:v>
                </c:pt>
                <c:pt idx="540">
                  <c:v>539.98</c:v>
                </c:pt>
                <c:pt idx="541">
                  <c:v>449</c:v>
                </c:pt>
                <c:pt idx="542">
                  <c:v>269.99</c:v>
                </c:pt>
                <c:pt idx="543">
                  <c:v>2641.98</c:v>
                </c:pt>
                <c:pt idx="544">
                  <c:v>5799.98</c:v>
                </c:pt>
                <c:pt idx="545">
                  <c:v>539.98</c:v>
                </c:pt>
                <c:pt idx="546">
                  <c:v>469.99</c:v>
                </c:pt>
                <c:pt idx="547">
                  <c:v>1999.98</c:v>
                </c:pt>
                <c:pt idx="548">
                  <c:v>3098</c:v>
                </c:pt>
                <c:pt idx="549">
                  <c:v>549.99</c:v>
                </c:pt>
                <c:pt idx="550">
                  <c:v>599.99</c:v>
                </c:pt>
                <c:pt idx="551">
                  <c:v>5799.98</c:v>
                </c:pt>
                <c:pt idx="552">
                  <c:v>1499.98</c:v>
                </c:pt>
                <c:pt idx="553">
                  <c:v>939.98</c:v>
                </c:pt>
                <c:pt idx="554">
                  <c:v>1199.98</c:v>
                </c:pt>
                <c:pt idx="555">
                  <c:v>3599.98</c:v>
                </c:pt>
                <c:pt idx="556">
                  <c:v>539.98</c:v>
                </c:pt>
                <c:pt idx="557">
                  <c:v>429</c:v>
                </c:pt>
                <c:pt idx="558">
                  <c:v>999.98</c:v>
                </c:pt>
                <c:pt idx="559">
                  <c:v>898</c:v>
                </c:pt>
                <c:pt idx="560">
                  <c:v>2899.99</c:v>
                </c:pt>
                <c:pt idx="561">
                  <c:v>599.98</c:v>
                </c:pt>
                <c:pt idx="562">
                  <c:v>539.98</c:v>
                </c:pt>
                <c:pt idx="563">
                  <c:v>549.99</c:v>
                </c:pt>
                <c:pt idx="564">
                  <c:v>3999.99</c:v>
                </c:pt>
                <c:pt idx="565">
                  <c:v>539.98</c:v>
                </c:pt>
                <c:pt idx="566">
                  <c:v>429</c:v>
                </c:pt>
                <c:pt idx="567">
                  <c:v>1799.99</c:v>
                </c:pt>
                <c:pt idx="568">
                  <c:v>429</c:v>
                </c:pt>
                <c:pt idx="569">
                  <c:v>1059.98</c:v>
                </c:pt>
                <c:pt idx="570">
                  <c:v>999.98</c:v>
                </c:pt>
                <c:pt idx="571">
                  <c:v>599.99</c:v>
                </c:pt>
                <c:pt idx="572">
                  <c:v>1999.98</c:v>
                </c:pt>
                <c:pt idx="573">
                  <c:v>858</c:v>
                </c:pt>
                <c:pt idx="574">
                  <c:v>898</c:v>
                </c:pt>
                <c:pt idx="575">
                  <c:v>939.98</c:v>
                </c:pt>
                <c:pt idx="576">
                  <c:v>858</c:v>
                </c:pt>
                <c:pt idx="577">
                  <c:v>539.98</c:v>
                </c:pt>
                <c:pt idx="578">
                  <c:v>1099.98</c:v>
                </c:pt>
                <c:pt idx="579">
                  <c:v>499.99</c:v>
                </c:pt>
                <c:pt idx="580">
                  <c:v>599.99</c:v>
                </c:pt>
                <c:pt idx="581">
                  <c:v>1099.98</c:v>
                </c:pt>
                <c:pt idx="582">
                  <c:v>1320.99</c:v>
                </c:pt>
                <c:pt idx="583">
                  <c:v>3361.98</c:v>
                </c:pt>
                <c:pt idx="584">
                  <c:v>7999.98</c:v>
                </c:pt>
                <c:pt idx="585">
                  <c:v>939.98</c:v>
                </c:pt>
                <c:pt idx="586">
                  <c:v>5799.98</c:v>
                </c:pt>
                <c:pt idx="587">
                  <c:v>999.99</c:v>
                </c:pt>
                <c:pt idx="588">
                  <c:v>549.99</c:v>
                </c:pt>
                <c:pt idx="589">
                  <c:v>3098</c:v>
                </c:pt>
                <c:pt idx="590">
                  <c:v>269.99</c:v>
                </c:pt>
                <c:pt idx="591">
                  <c:v>269.99</c:v>
                </c:pt>
                <c:pt idx="592">
                  <c:v>539.98</c:v>
                </c:pt>
                <c:pt idx="593">
                  <c:v>1549</c:v>
                </c:pt>
                <c:pt idx="594">
                  <c:v>1499.98</c:v>
                </c:pt>
                <c:pt idx="595">
                  <c:v>1199.98</c:v>
                </c:pt>
                <c:pt idx="596">
                  <c:v>1099.98</c:v>
                </c:pt>
                <c:pt idx="597">
                  <c:v>449</c:v>
                </c:pt>
                <c:pt idx="598">
                  <c:v>3999.99</c:v>
                </c:pt>
                <c:pt idx="599">
                  <c:v>269.99</c:v>
                </c:pt>
                <c:pt idx="600">
                  <c:v>269.99</c:v>
                </c:pt>
                <c:pt idx="601">
                  <c:v>449</c:v>
                </c:pt>
                <c:pt idx="602">
                  <c:v>1099.98</c:v>
                </c:pt>
                <c:pt idx="603">
                  <c:v>539.98</c:v>
                </c:pt>
                <c:pt idx="604">
                  <c:v>1199.98</c:v>
                </c:pt>
                <c:pt idx="605">
                  <c:v>449</c:v>
                </c:pt>
                <c:pt idx="606">
                  <c:v>3098</c:v>
                </c:pt>
                <c:pt idx="607">
                  <c:v>429</c:v>
                </c:pt>
                <c:pt idx="608">
                  <c:v>1499.98</c:v>
                </c:pt>
                <c:pt idx="609">
                  <c:v>269.99</c:v>
                </c:pt>
                <c:pt idx="610">
                  <c:v>549.99</c:v>
                </c:pt>
                <c:pt idx="611">
                  <c:v>599.99</c:v>
                </c:pt>
                <c:pt idx="612">
                  <c:v>1320.99</c:v>
                </c:pt>
                <c:pt idx="613">
                  <c:v>939.98</c:v>
                </c:pt>
                <c:pt idx="614">
                  <c:v>499.99</c:v>
                </c:pt>
                <c:pt idx="615">
                  <c:v>539.98</c:v>
                </c:pt>
                <c:pt idx="616">
                  <c:v>1999.98</c:v>
                </c:pt>
                <c:pt idx="617">
                  <c:v>3361.98</c:v>
                </c:pt>
                <c:pt idx="618">
                  <c:v>1549</c:v>
                </c:pt>
                <c:pt idx="619">
                  <c:v>1499.98</c:v>
                </c:pt>
                <c:pt idx="620">
                  <c:v>7999.98</c:v>
                </c:pt>
                <c:pt idx="621">
                  <c:v>1320.99</c:v>
                </c:pt>
                <c:pt idx="622">
                  <c:v>539.98</c:v>
                </c:pt>
                <c:pt idx="623">
                  <c:v>599.99</c:v>
                </c:pt>
                <c:pt idx="624">
                  <c:v>529.99</c:v>
                </c:pt>
                <c:pt idx="625">
                  <c:v>469.99</c:v>
                </c:pt>
                <c:pt idx="626">
                  <c:v>3361.98</c:v>
                </c:pt>
                <c:pt idx="627">
                  <c:v>3098</c:v>
                </c:pt>
                <c:pt idx="628">
                  <c:v>499.99</c:v>
                </c:pt>
                <c:pt idx="629">
                  <c:v>269.99</c:v>
                </c:pt>
                <c:pt idx="630">
                  <c:v>2999.99</c:v>
                </c:pt>
                <c:pt idx="631">
                  <c:v>749.99</c:v>
                </c:pt>
                <c:pt idx="632">
                  <c:v>1999.98</c:v>
                </c:pt>
                <c:pt idx="633">
                  <c:v>1059.98</c:v>
                </c:pt>
                <c:pt idx="634">
                  <c:v>499.99</c:v>
                </c:pt>
                <c:pt idx="635">
                  <c:v>1499.98</c:v>
                </c:pt>
                <c:pt idx="636">
                  <c:v>599.98</c:v>
                </c:pt>
                <c:pt idx="637">
                  <c:v>2899.99</c:v>
                </c:pt>
                <c:pt idx="638">
                  <c:v>269.99</c:v>
                </c:pt>
                <c:pt idx="639">
                  <c:v>999.98</c:v>
                </c:pt>
                <c:pt idx="640">
                  <c:v>2641.98</c:v>
                </c:pt>
                <c:pt idx="641">
                  <c:v>1799.99</c:v>
                </c:pt>
                <c:pt idx="642">
                  <c:v>3361.98</c:v>
                </c:pt>
                <c:pt idx="643">
                  <c:v>3599.98</c:v>
                </c:pt>
                <c:pt idx="644">
                  <c:v>539.98</c:v>
                </c:pt>
                <c:pt idx="645">
                  <c:v>2641.98</c:v>
                </c:pt>
                <c:pt idx="646">
                  <c:v>449</c:v>
                </c:pt>
                <c:pt idx="647">
                  <c:v>3361.98</c:v>
                </c:pt>
                <c:pt idx="648">
                  <c:v>1199.98</c:v>
                </c:pt>
                <c:pt idx="649">
                  <c:v>3599.98</c:v>
                </c:pt>
                <c:pt idx="650">
                  <c:v>269.99</c:v>
                </c:pt>
                <c:pt idx="651">
                  <c:v>1199.98</c:v>
                </c:pt>
                <c:pt idx="652">
                  <c:v>549.99</c:v>
                </c:pt>
                <c:pt idx="653">
                  <c:v>1059.98</c:v>
                </c:pt>
                <c:pt idx="654">
                  <c:v>3361.98</c:v>
                </c:pt>
                <c:pt idx="655">
                  <c:v>858</c:v>
                </c:pt>
                <c:pt idx="656">
                  <c:v>549.99</c:v>
                </c:pt>
                <c:pt idx="657">
                  <c:v>3999.99</c:v>
                </c:pt>
                <c:pt idx="658">
                  <c:v>299.99</c:v>
                </c:pt>
                <c:pt idx="659">
                  <c:v>469.99</c:v>
                </c:pt>
                <c:pt idx="660">
                  <c:v>539.98</c:v>
                </c:pt>
                <c:pt idx="661">
                  <c:v>7999.98</c:v>
                </c:pt>
                <c:pt idx="662">
                  <c:v>1999.98</c:v>
                </c:pt>
                <c:pt idx="663">
                  <c:v>1499.98</c:v>
                </c:pt>
                <c:pt idx="664">
                  <c:v>5799.98</c:v>
                </c:pt>
                <c:pt idx="665">
                  <c:v>529.99</c:v>
                </c:pt>
                <c:pt idx="666">
                  <c:v>549.99</c:v>
                </c:pt>
                <c:pt idx="667">
                  <c:v>1199.98</c:v>
                </c:pt>
                <c:pt idx="668">
                  <c:v>599.99</c:v>
                </c:pt>
                <c:pt idx="669">
                  <c:v>1199.98</c:v>
                </c:pt>
                <c:pt idx="670">
                  <c:v>499.99</c:v>
                </c:pt>
                <c:pt idx="671">
                  <c:v>539.98</c:v>
                </c:pt>
                <c:pt idx="672">
                  <c:v>539.98</c:v>
                </c:pt>
                <c:pt idx="673">
                  <c:v>3999.99</c:v>
                </c:pt>
                <c:pt idx="674">
                  <c:v>1199.98</c:v>
                </c:pt>
                <c:pt idx="675">
                  <c:v>539.98</c:v>
                </c:pt>
                <c:pt idx="676">
                  <c:v>449</c:v>
                </c:pt>
                <c:pt idx="677">
                  <c:v>5799.98</c:v>
                </c:pt>
                <c:pt idx="678">
                  <c:v>2999.99</c:v>
                </c:pt>
                <c:pt idx="679">
                  <c:v>1799.99</c:v>
                </c:pt>
                <c:pt idx="680">
                  <c:v>1320.99</c:v>
                </c:pt>
                <c:pt idx="681">
                  <c:v>898</c:v>
                </c:pt>
                <c:pt idx="682">
                  <c:v>3999.99</c:v>
                </c:pt>
                <c:pt idx="683">
                  <c:v>999.99</c:v>
                </c:pt>
                <c:pt idx="684">
                  <c:v>999.98</c:v>
                </c:pt>
                <c:pt idx="685">
                  <c:v>898</c:v>
                </c:pt>
                <c:pt idx="686">
                  <c:v>7999.98</c:v>
                </c:pt>
                <c:pt idx="687">
                  <c:v>449</c:v>
                </c:pt>
                <c:pt idx="688">
                  <c:v>499.99</c:v>
                </c:pt>
                <c:pt idx="689">
                  <c:v>269.99</c:v>
                </c:pt>
                <c:pt idx="690">
                  <c:v>3098</c:v>
                </c:pt>
                <c:pt idx="691">
                  <c:v>1799.99</c:v>
                </c:pt>
                <c:pt idx="692">
                  <c:v>858</c:v>
                </c:pt>
                <c:pt idx="693">
                  <c:v>499.99</c:v>
                </c:pt>
                <c:pt idx="694">
                  <c:v>999.99</c:v>
                </c:pt>
                <c:pt idx="695">
                  <c:v>269.99</c:v>
                </c:pt>
                <c:pt idx="696">
                  <c:v>1199.98</c:v>
                </c:pt>
                <c:pt idx="697">
                  <c:v>429</c:v>
                </c:pt>
                <c:pt idx="698">
                  <c:v>2999.99</c:v>
                </c:pt>
                <c:pt idx="699">
                  <c:v>7999.98</c:v>
                </c:pt>
                <c:pt idx="700">
                  <c:v>898</c:v>
                </c:pt>
                <c:pt idx="701">
                  <c:v>269.99</c:v>
                </c:pt>
                <c:pt idx="702">
                  <c:v>858</c:v>
                </c:pt>
                <c:pt idx="703">
                  <c:v>3361.98</c:v>
                </c:pt>
                <c:pt idx="704">
                  <c:v>599.98</c:v>
                </c:pt>
                <c:pt idx="705">
                  <c:v>539.98</c:v>
                </c:pt>
                <c:pt idx="706">
                  <c:v>3361.98</c:v>
                </c:pt>
                <c:pt idx="707">
                  <c:v>2899.99</c:v>
                </c:pt>
                <c:pt idx="708">
                  <c:v>449</c:v>
                </c:pt>
                <c:pt idx="709">
                  <c:v>3361.98</c:v>
                </c:pt>
                <c:pt idx="710">
                  <c:v>939.98</c:v>
                </c:pt>
                <c:pt idx="711">
                  <c:v>999.99</c:v>
                </c:pt>
                <c:pt idx="712">
                  <c:v>549.99</c:v>
                </c:pt>
                <c:pt idx="713">
                  <c:v>2641.98</c:v>
                </c:pt>
                <c:pt idx="714">
                  <c:v>269.99</c:v>
                </c:pt>
                <c:pt idx="715">
                  <c:v>1499.98</c:v>
                </c:pt>
                <c:pt idx="716">
                  <c:v>269.99</c:v>
                </c:pt>
                <c:pt idx="717">
                  <c:v>1680.99</c:v>
                </c:pt>
                <c:pt idx="718">
                  <c:v>269.99</c:v>
                </c:pt>
                <c:pt idx="719">
                  <c:v>3599.98</c:v>
                </c:pt>
                <c:pt idx="720">
                  <c:v>539.98</c:v>
                </c:pt>
                <c:pt idx="721">
                  <c:v>3098</c:v>
                </c:pt>
                <c:pt idx="722">
                  <c:v>529.99</c:v>
                </c:pt>
                <c:pt idx="723">
                  <c:v>3599.98</c:v>
                </c:pt>
                <c:pt idx="724">
                  <c:v>2899.99</c:v>
                </c:pt>
                <c:pt idx="725">
                  <c:v>449</c:v>
                </c:pt>
                <c:pt idx="726">
                  <c:v>449</c:v>
                </c:pt>
                <c:pt idx="727">
                  <c:v>599.99</c:v>
                </c:pt>
                <c:pt idx="728">
                  <c:v>939.98</c:v>
                </c:pt>
                <c:pt idx="729">
                  <c:v>1499.98</c:v>
                </c:pt>
                <c:pt idx="730">
                  <c:v>2899.99</c:v>
                </c:pt>
                <c:pt idx="731">
                  <c:v>599.98</c:v>
                </c:pt>
                <c:pt idx="732">
                  <c:v>1549</c:v>
                </c:pt>
                <c:pt idx="733">
                  <c:v>1099.98</c:v>
                </c:pt>
                <c:pt idx="734">
                  <c:v>1199.98</c:v>
                </c:pt>
                <c:pt idx="735">
                  <c:v>269.99</c:v>
                </c:pt>
                <c:pt idx="736">
                  <c:v>858</c:v>
                </c:pt>
                <c:pt idx="737">
                  <c:v>749.99</c:v>
                </c:pt>
                <c:pt idx="738">
                  <c:v>5999.98</c:v>
                </c:pt>
                <c:pt idx="739">
                  <c:v>2999.99</c:v>
                </c:pt>
                <c:pt idx="740">
                  <c:v>999.99</c:v>
                </c:pt>
                <c:pt idx="741">
                  <c:v>1499.98</c:v>
                </c:pt>
                <c:pt idx="742">
                  <c:v>1549</c:v>
                </c:pt>
                <c:pt idx="743">
                  <c:v>1099.98</c:v>
                </c:pt>
                <c:pt idx="744">
                  <c:v>1059.98</c:v>
                </c:pt>
                <c:pt idx="745">
                  <c:v>1999.98</c:v>
                </c:pt>
                <c:pt idx="746">
                  <c:v>5999.98</c:v>
                </c:pt>
                <c:pt idx="747">
                  <c:v>939.98</c:v>
                </c:pt>
                <c:pt idx="748">
                  <c:v>449</c:v>
                </c:pt>
                <c:pt idx="749">
                  <c:v>499.99</c:v>
                </c:pt>
                <c:pt idx="750">
                  <c:v>539.98</c:v>
                </c:pt>
                <c:pt idx="751">
                  <c:v>599.98</c:v>
                </c:pt>
                <c:pt idx="752">
                  <c:v>549.99</c:v>
                </c:pt>
                <c:pt idx="753">
                  <c:v>7999.98</c:v>
                </c:pt>
                <c:pt idx="754">
                  <c:v>269.99</c:v>
                </c:pt>
                <c:pt idx="755">
                  <c:v>3999.99</c:v>
                </c:pt>
                <c:pt idx="756">
                  <c:v>939.98</c:v>
                </c:pt>
                <c:pt idx="757">
                  <c:v>2999.99</c:v>
                </c:pt>
                <c:pt idx="758">
                  <c:v>1320.99</c:v>
                </c:pt>
                <c:pt idx="759">
                  <c:v>599.98</c:v>
                </c:pt>
                <c:pt idx="760">
                  <c:v>449</c:v>
                </c:pt>
                <c:pt idx="761">
                  <c:v>999.99</c:v>
                </c:pt>
                <c:pt idx="762">
                  <c:v>999.98</c:v>
                </c:pt>
                <c:pt idx="763">
                  <c:v>529.99</c:v>
                </c:pt>
                <c:pt idx="764">
                  <c:v>3361.98</c:v>
                </c:pt>
                <c:pt idx="765">
                  <c:v>939.98</c:v>
                </c:pt>
                <c:pt idx="766">
                  <c:v>269.99</c:v>
                </c:pt>
                <c:pt idx="767">
                  <c:v>7999.98</c:v>
                </c:pt>
                <c:pt idx="768">
                  <c:v>1499.98</c:v>
                </c:pt>
                <c:pt idx="769">
                  <c:v>1680.99</c:v>
                </c:pt>
                <c:pt idx="770">
                  <c:v>269.99</c:v>
                </c:pt>
                <c:pt idx="771">
                  <c:v>3361.98</c:v>
                </c:pt>
                <c:pt idx="772">
                  <c:v>999.98</c:v>
                </c:pt>
                <c:pt idx="773">
                  <c:v>5999.98</c:v>
                </c:pt>
                <c:pt idx="774">
                  <c:v>449</c:v>
                </c:pt>
                <c:pt idx="775">
                  <c:v>499.99</c:v>
                </c:pt>
                <c:pt idx="776">
                  <c:v>7999.98</c:v>
                </c:pt>
                <c:pt idx="777">
                  <c:v>1999.98</c:v>
                </c:pt>
                <c:pt idx="778">
                  <c:v>429</c:v>
                </c:pt>
                <c:pt idx="779">
                  <c:v>5999.98</c:v>
                </c:pt>
                <c:pt idx="780">
                  <c:v>1199.98</c:v>
                </c:pt>
                <c:pt idx="781">
                  <c:v>939.98</c:v>
                </c:pt>
                <c:pt idx="782">
                  <c:v>539.98</c:v>
                </c:pt>
                <c:pt idx="783">
                  <c:v>599.99</c:v>
                </c:pt>
                <c:pt idx="784">
                  <c:v>898</c:v>
                </c:pt>
                <c:pt idx="785">
                  <c:v>269.99</c:v>
                </c:pt>
                <c:pt idx="786">
                  <c:v>3361.98</c:v>
                </c:pt>
                <c:pt idx="787">
                  <c:v>499.99</c:v>
                </c:pt>
                <c:pt idx="788">
                  <c:v>499.99</c:v>
                </c:pt>
                <c:pt idx="789">
                  <c:v>1199.98</c:v>
                </c:pt>
                <c:pt idx="790">
                  <c:v>269.99</c:v>
                </c:pt>
                <c:pt idx="791">
                  <c:v>269.99</c:v>
                </c:pt>
                <c:pt idx="792">
                  <c:v>539.98</c:v>
                </c:pt>
                <c:pt idx="793">
                  <c:v>7999.98</c:v>
                </c:pt>
                <c:pt idx="794">
                  <c:v>599.99</c:v>
                </c:pt>
                <c:pt idx="795">
                  <c:v>7999.98</c:v>
                </c:pt>
                <c:pt idx="796">
                  <c:v>1999.98</c:v>
                </c:pt>
                <c:pt idx="797">
                  <c:v>1199.98</c:v>
                </c:pt>
                <c:pt idx="798">
                  <c:v>2999.99</c:v>
                </c:pt>
                <c:pt idx="799">
                  <c:v>1199.98</c:v>
                </c:pt>
                <c:pt idx="800">
                  <c:v>1099.98</c:v>
                </c:pt>
                <c:pt idx="801">
                  <c:v>599.99</c:v>
                </c:pt>
                <c:pt idx="802">
                  <c:v>1199.98</c:v>
                </c:pt>
                <c:pt idx="803">
                  <c:v>549.99</c:v>
                </c:pt>
                <c:pt idx="804">
                  <c:v>749.99</c:v>
                </c:pt>
                <c:pt idx="805">
                  <c:v>1199.98</c:v>
                </c:pt>
                <c:pt idx="806">
                  <c:v>539.98</c:v>
                </c:pt>
                <c:pt idx="807">
                  <c:v>1199.98</c:v>
                </c:pt>
                <c:pt idx="808">
                  <c:v>3999.99</c:v>
                </c:pt>
                <c:pt idx="809">
                  <c:v>1320.99</c:v>
                </c:pt>
                <c:pt idx="810">
                  <c:v>1549</c:v>
                </c:pt>
                <c:pt idx="811">
                  <c:v>749.99</c:v>
                </c:pt>
                <c:pt idx="812">
                  <c:v>599.99</c:v>
                </c:pt>
                <c:pt idx="813">
                  <c:v>2899.99</c:v>
                </c:pt>
                <c:pt idx="814">
                  <c:v>1549</c:v>
                </c:pt>
                <c:pt idx="815">
                  <c:v>7999.98</c:v>
                </c:pt>
                <c:pt idx="816">
                  <c:v>269.99</c:v>
                </c:pt>
                <c:pt idx="817">
                  <c:v>549.99</c:v>
                </c:pt>
                <c:pt idx="818">
                  <c:v>429</c:v>
                </c:pt>
                <c:pt idx="819">
                  <c:v>1499.98</c:v>
                </c:pt>
                <c:pt idx="820">
                  <c:v>2641.98</c:v>
                </c:pt>
                <c:pt idx="821">
                  <c:v>269.99</c:v>
                </c:pt>
                <c:pt idx="822">
                  <c:v>939.98</c:v>
                </c:pt>
                <c:pt idx="823">
                  <c:v>539.98</c:v>
                </c:pt>
                <c:pt idx="824">
                  <c:v>898</c:v>
                </c:pt>
                <c:pt idx="825">
                  <c:v>2899.99</c:v>
                </c:pt>
                <c:pt idx="826">
                  <c:v>3098</c:v>
                </c:pt>
                <c:pt idx="827">
                  <c:v>898</c:v>
                </c:pt>
                <c:pt idx="828">
                  <c:v>469.99</c:v>
                </c:pt>
                <c:pt idx="829">
                  <c:v>449</c:v>
                </c:pt>
                <c:pt idx="830">
                  <c:v>269.99</c:v>
                </c:pt>
                <c:pt idx="831">
                  <c:v>7999.98</c:v>
                </c:pt>
                <c:pt idx="832">
                  <c:v>999.98</c:v>
                </c:pt>
                <c:pt idx="833">
                  <c:v>539.98</c:v>
                </c:pt>
                <c:pt idx="834">
                  <c:v>999.98</c:v>
                </c:pt>
                <c:pt idx="835">
                  <c:v>1099.98</c:v>
                </c:pt>
                <c:pt idx="836">
                  <c:v>3361.98</c:v>
                </c:pt>
                <c:pt idx="837">
                  <c:v>2999.99</c:v>
                </c:pt>
                <c:pt idx="838">
                  <c:v>5799.98</c:v>
                </c:pt>
                <c:pt idx="839">
                  <c:v>299.99</c:v>
                </c:pt>
                <c:pt idx="840">
                  <c:v>939.98</c:v>
                </c:pt>
                <c:pt idx="841">
                  <c:v>269.99</c:v>
                </c:pt>
                <c:pt idx="842">
                  <c:v>2999.99</c:v>
                </c:pt>
                <c:pt idx="843">
                  <c:v>539.98</c:v>
                </c:pt>
                <c:pt idx="844">
                  <c:v>3361.98</c:v>
                </c:pt>
                <c:pt idx="845">
                  <c:v>3098</c:v>
                </c:pt>
                <c:pt idx="846">
                  <c:v>1199.98</c:v>
                </c:pt>
                <c:pt idx="847">
                  <c:v>5999.98</c:v>
                </c:pt>
                <c:pt idx="848">
                  <c:v>1549</c:v>
                </c:pt>
                <c:pt idx="849">
                  <c:v>3361.98</c:v>
                </c:pt>
                <c:pt idx="850">
                  <c:v>469.99</c:v>
                </c:pt>
                <c:pt idx="851">
                  <c:v>269.99</c:v>
                </c:pt>
                <c:pt idx="852">
                  <c:v>1099.98</c:v>
                </c:pt>
                <c:pt idx="853">
                  <c:v>898</c:v>
                </c:pt>
                <c:pt idx="854">
                  <c:v>1499.98</c:v>
                </c:pt>
                <c:pt idx="855">
                  <c:v>3599.98</c:v>
                </c:pt>
                <c:pt idx="856">
                  <c:v>1099.98</c:v>
                </c:pt>
                <c:pt idx="857">
                  <c:v>1549</c:v>
                </c:pt>
                <c:pt idx="858">
                  <c:v>7999.98</c:v>
                </c:pt>
                <c:pt idx="859">
                  <c:v>599.99</c:v>
                </c:pt>
                <c:pt idx="860">
                  <c:v>1549</c:v>
                </c:pt>
                <c:pt idx="861">
                  <c:v>469.99</c:v>
                </c:pt>
                <c:pt idx="862">
                  <c:v>1999.98</c:v>
                </c:pt>
                <c:pt idx="863">
                  <c:v>1549</c:v>
                </c:pt>
                <c:pt idx="864">
                  <c:v>269.99</c:v>
                </c:pt>
                <c:pt idx="865">
                  <c:v>1059.98</c:v>
                </c:pt>
                <c:pt idx="866">
                  <c:v>3999.99</c:v>
                </c:pt>
                <c:pt idx="867">
                  <c:v>898</c:v>
                </c:pt>
                <c:pt idx="868">
                  <c:v>269.99</c:v>
                </c:pt>
                <c:pt idx="869">
                  <c:v>999.99</c:v>
                </c:pt>
                <c:pt idx="870">
                  <c:v>549.99</c:v>
                </c:pt>
                <c:pt idx="871">
                  <c:v>7999.98</c:v>
                </c:pt>
                <c:pt idx="872">
                  <c:v>539.98</c:v>
                </c:pt>
                <c:pt idx="873">
                  <c:v>2641.98</c:v>
                </c:pt>
                <c:pt idx="874">
                  <c:v>1799.99</c:v>
                </c:pt>
                <c:pt idx="875">
                  <c:v>858</c:v>
                </c:pt>
                <c:pt idx="876">
                  <c:v>2641.98</c:v>
                </c:pt>
                <c:pt idx="877">
                  <c:v>1099.98</c:v>
                </c:pt>
                <c:pt idx="878">
                  <c:v>539.98</c:v>
                </c:pt>
                <c:pt idx="879">
                  <c:v>1199.98</c:v>
                </c:pt>
                <c:pt idx="880">
                  <c:v>2899.99</c:v>
                </c:pt>
                <c:pt idx="881">
                  <c:v>3098</c:v>
                </c:pt>
                <c:pt idx="882">
                  <c:v>1320.99</c:v>
                </c:pt>
                <c:pt idx="883">
                  <c:v>2999.99</c:v>
                </c:pt>
                <c:pt idx="884">
                  <c:v>539.98</c:v>
                </c:pt>
                <c:pt idx="885">
                  <c:v>7999.98</c:v>
                </c:pt>
                <c:pt idx="886">
                  <c:v>1680.99</c:v>
                </c:pt>
                <c:pt idx="887">
                  <c:v>2999.99</c:v>
                </c:pt>
                <c:pt idx="888">
                  <c:v>1499.98</c:v>
                </c:pt>
                <c:pt idx="889">
                  <c:v>1199.98</c:v>
                </c:pt>
                <c:pt idx="890">
                  <c:v>599.99</c:v>
                </c:pt>
                <c:pt idx="891">
                  <c:v>449</c:v>
                </c:pt>
                <c:pt idx="892">
                  <c:v>429</c:v>
                </c:pt>
                <c:pt idx="893">
                  <c:v>1549</c:v>
                </c:pt>
                <c:pt idx="894">
                  <c:v>269.99</c:v>
                </c:pt>
                <c:pt idx="895">
                  <c:v>529.99</c:v>
                </c:pt>
                <c:pt idx="896">
                  <c:v>539.98</c:v>
                </c:pt>
                <c:pt idx="897">
                  <c:v>539.98</c:v>
                </c:pt>
                <c:pt idx="898">
                  <c:v>999.98</c:v>
                </c:pt>
                <c:pt idx="899">
                  <c:v>2999.99</c:v>
                </c:pt>
                <c:pt idx="900">
                  <c:v>1680.99</c:v>
                </c:pt>
                <c:pt idx="901">
                  <c:v>269.99</c:v>
                </c:pt>
                <c:pt idx="902">
                  <c:v>1059.98</c:v>
                </c:pt>
                <c:pt idx="903">
                  <c:v>299.99</c:v>
                </c:pt>
                <c:pt idx="904">
                  <c:v>749.99</c:v>
                </c:pt>
                <c:pt idx="905">
                  <c:v>5799.98</c:v>
                </c:pt>
                <c:pt idx="906">
                  <c:v>1099.98</c:v>
                </c:pt>
                <c:pt idx="907">
                  <c:v>599.99</c:v>
                </c:pt>
                <c:pt idx="908">
                  <c:v>599.98</c:v>
                </c:pt>
                <c:pt idx="909">
                  <c:v>539.98</c:v>
                </c:pt>
                <c:pt idx="910">
                  <c:v>269.99</c:v>
                </c:pt>
                <c:pt idx="911">
                  <c:v>539.98</c:v>
                </c:pt>
                <c:pt idx="912">
                  <c:v>1199.98</c:v>
                </c:pt>
                <c:pt idx="913">
                  <c:v>1499.98</c:v>
                </c:pt>
                <c:pt idx="914">
                  <c:v>429</c:v>
                </c:pt>
                <c:pt idx="915">
                  <c:v>539.98</c:v>
                </c:pt>
                <c:pt idx="916">
                  <c:v>449</c:v>
                </c:pt>
                <c:pt idx="917">
                  <c:v>549.99</c:v>
                </c:pt>
                <c:pt idx="918">
                  <c:v>3999.99</c:v>
                </c:pt>
                <c:pt idx="919">
                  <c:v>549.99</c:v>
                </c:pt>
                <c:pt idx="920">
                  <c:v>939.98</c:v>
                </c:pt>
                <c:pt idx="921">
                  <c:v>549.99</c:v>
                </c:pt>
                <c:pt idx="922">
                  <c:v>299.99</c:v>
                </c:pt>
                <c:pt idx="923">
                  <c:v>1099.98</c:v>
                </c:pt>
                <c:pt idx="924">
                  <c:v>269.99</c:v>
                </c:pt>
                <c:pt idx="925">
                  <c:v>2899.99</c:v>
                </c:pt>
                <c:pt idx="926">
                  <c:v>939.98</c:v>
                </c:pt>
                <c:pt idx="927">
                  <c:v>539.98</c:v>
                </c:pt>
                <c:pt idx="928">
                  <c:v>3599.98</c:v>
                </c:pt>
                <c:pt idx="929">
                  <c:v>299.99</c:v>
                </c:pt>
                <c:pt idx="930">
                  <c:v>429</c:v>
                </c:pt>
                <c:pt idx="931">
                  <c:v>1199.98</c:v>
                </c:pt>
                <c:pt idx="932">
                  <c:v>539.98</c:v>
                </c:pt>
                <c:pt idx="933">
                  <c:v>858</c:v>
                </c:pt>
                <c:pt idx="934">
                  <c:v>898</c:v>
                </c:pt>
                <c:pt idx="935">
                  <c:v>898</c:v>
                </c:pt>
                <c:pt idx="936">
                  <c:v>3599.98</c:v>
                </c:pt>
                <c:pt idx="937">
                  <c:v>999.99</c:v>
                </c:pt>
                <c:pt idx="938">
                  <c:v>1199.98</c:v>
                </c:pt>
                <c:pt idx="939">
                  <c:v>2999.99</c:v>
                </c:pt>
                <c:pt idx="940">
                  <c:v>1999.98</c:v>
                </c:pt>
                <c:pt idx="941">
                  <c:v>469.99</c:v>
                </c:pt>
                <c:pt idx="942">
                  <c:v>1499.98</c:v>
                </c:pt>
                <c:pt idx="943">
                  <c:v>269.99</c:v>
                </c:pt>
                <c:pt idx="944">
                  <c:v>2899.99</c:v>
                </c:pt>
                <c:pt idx="945">
                  <c:v>549.99</c:v>
                </c:pt>
                <c:pt idx="946">
                  <c:v>449</c:v>
                </c:pt>
                <c:pt idx="947">
                  <c:v>2899.99</c:v>
                </c:pt>
                <c:pt idx="948">
                  <c:v>939.98</c:v>
                </c:pt>
                <c:pt idx="949">
                  <c:v>1549</c:v>
                </c:pt>
                <c:pt idx="950">
                  <c:v>269.99</c:v>
                </c:pt>
                <c:pt idx="951">
                  <c:v>3361.98</c:v>
                </c:pt>
                <c:pt idx="952">
                  <c:v>2999.99</c:v>
                </c:pt>
                <c:pt idx="953">
                  <c:v>269.99</c:v>
                </c:pt>
                <c:pt idx="954">
                  <c:v>1059.98</c:v>
                </c:pt>
                <c:pt idx="955">
                  <c:v>1680.99</c:v>
                </c:pt>
                <c:pt idx="956">
                  <c:v>549.99</c:v>
                </c:pt>
                <c:pt idx="957">
                  <c:v>539.98</c:v>
                </c:pt>
                <c:pt idx="958">
                  <c:v>1099.98</c:v>
                </c:pt>
                <c:pt idx="959">
                  <c:v>3098</c:v>
                </c:pt>
                <c:pt idx="960">
                  <c:v>599.98</c:v>
                </c:pt>
                <c:pt idx="961">
                  <c:v>599.99</c:v>
                </c:pt>
                <c:pt idx="962">
                  <c:v>2999.99</c:v>
                </c:pt>
                <c:pt idx="963">
                  <c:v>1199.98</c:v>
                </c:pt>
                <c:pt idx="964">
                  <c:v>1199.98</c:v>
                </c:pt>
                <c:pt idx="965">
                  <c:v>499.99</c:v>
                </c:pt>
                <c:pt idx="966">
                  <c:v>2641.98</c:v>
                </c:pt>
                <c:pt idx="967">
                  <c:v>1549</c:v>
                </c:pt>
                <c:pt idx="968">
                  <c:v>269.99</c:v>
                </c:pt>
                <c:pt idx="969">
                  <c:v>898</c:v>
                </c:pt>
                <c:pt idx="970">
                  <c:v>269.99</c:v>
                </c:pt>
                <c:pt idx="971">
                  <c:v>898</c:v>
                </c:pt>
                <c:pt idx="972">
                  <c:v>1099.98</c:v>
                </c:pt>
                <c:pt idx="973">
                  <c:v>269.99</c:v>
                </c:pt>
                <c:pt idx="974">
                  <c:v>299.99</c:v>
                </c:pt>
                <c:pt idx="975">
                  <c:v>269.99</c:v>
                </c:pt>
                <c:pt idx="976">
                  <c:v>529.99</c:v>
                </c:pt>
                <c:pt idx="977">
                  <c:v>898</c:v>
                </c:pt>
                <c:pt idx="978">
                  <c:v>299.99</c:v>
                </c:pt>
                <c:pt idx="979">
                  <c:v>2641.98</c:v>
                </c:pt>
                <c:pt idx="980">
                  <c:v>1059.98</c:v>
                </c:pt>
                <c:pt idx="981">
                  <c:v>1199.98</c:v>
                </c:pt>
                <c:pt idx="982">
                  <c:v>939.98</c:v>
                </c:pt>
                <c:pt idx="983">
                  <c:v>599.99</c:v>
                </c:pt>
                <c:pt idx="984">
                  <c:v>999.99</c:v>
                </c:pt>
                <c:pt idx="985">
                  <c:v>5799.98</c:v>
                </c:pt>
                <c:pt idx="986">
                  <c:v>1099.98</c:v>
                </c:pt>
                <c:pt idx="987">
                  <c:v>599.99</c:v>
                </c:pt>
                <c:pt idx="988">
                  <c:v>539.98</c:v>
                </c:pt>
                <c:pt idx="989">
                  <c:v>1680.99</c:v>
                </c:pt>
                <c:pt idx="990">
                  <c:v>269.99</c:v>
                </c:pt>
                <c:pt idx="991">
                  <c:v>1499.98</c:v>
                </c:pt>
                <c:pt idx="992">
                  <c:v>269.99</c:v>
                </c:pt>
                <c:pt idx="993">
                  <c:v>449</c:v>
                </c:pt>
                <c:pt idx="994">
                  <c:v>599.99</c:v>
                </c:pt>
                <c:pt idx="995">
                  <c:v>539.98</c:v>
                </c:pt>
                <c:pt idx="996">
                  <c:v>599.98</c:v>
                </c:pt>
                <c:pt idx="997">
                  <c:v>2899.99</c:v>
                </c:pt>
                <c:pt idx="998">
                  <c:v>269.99</c:v>
                </c:pt>
                <c:pt idx="999">
                  <c:v>858</c:v>
                </c:pt>
                <c:pt idx="1000">
                  <c:v>539.98</c:v>
                </c:pt>
                <c:pt idx="1001">
                  <c:v>549.99</c:v>
                </c:pt>
                <c:pt idx="1002">
                  <c:v>2999.99</c:v>
                </c:pt>
                <c:pt idx="1003">
                  <c:v>539.98</c:v>
                </c:pt>
                <c:pt idx="1004">
                  <c:v>939.98</c:v>
                </c:pt>
                <c:pt idx="1005">
                  <c:v>3599.98</c:v>
                </c:pt>
                <c:pt idx="1006">
                  <c:v>898</c:v>
                </c:pt>
                <c:pt idx="1007">
                  <c:v>1059.98</c:v>
                </c:pt>
                <c:pt idx="1008">
                  <c:v>5999.98</c:v>
                </c:pt>
                <c:pt idx="1009">
                  <c:v>7999.98</c:v>
                </c:pt>
                <c:pt idx="1010">
                  <c:v>599.99</c:v>
                </c:pt>
                <c:pt idx="1011">
                  <c:v>7999.98</c:v>
                </c:pt>
                <c:pt idx="1012">
                  <c:v>539.98</c:v>
                </c:pt>
                <c:pt idx="1013">
                  <c:v>499.99</c:v>
                </c:pt>
                <c:pt idx="1014">
                  <c:v>1099.98</c:v>
                </c:pt>
                <c:pt idx="1015">
                  <c:v>939.98</c:v>
                </c:pt>
                <c:pt idx="1016">
                  <c:v>1680.99</c:v>
                </c:pt>
                <c:pt idx="1017">
                  <c:v>749.99</c:v>
                </c:pt>
                <c:pt idx="1018">
                  <c:v>539.98</c:v>
                </c:pt>
                <c:pt idx="1019">
                  <c:v>269.99</c:v>
                </c:pt>
                <c:pt idx="1020">
                  <c:v>529.99</c:v>
                </c:pt>
                <c:pt idx="1021">
                  <c:v>599.99</c:v>
                </c:pt>
                <c:pt idx="1022">
                  <c:v>999.98</c:v>
                </c:pt>
                <c:pt idx="1023">
                  <c:v>1099.98</c:v>
                </c:pt>
                <c:pt idx="1024">
                  <c:v>269.99</c:v>
                </c:pt>
                <c:pt idx="1025">
                  <c:v>2899.99</c:v>
                </c:pt>
                <c:pt idx="1026">
                  <c:v>1199.98</c:v>
                </c:pt>
                <c:pt idx="1027">
                  <c:v>1199.98</c:v>
                </c:pt>
                <c:pt idx="1028">
                  <c:v>269.99</c:v>
                </c:pt>
                <c:pt idx="1029">
                  <c:v>3098</c:v>
                </c:pt>
                <c:pt idx="1030">
                  <c:v>1320.99</c:v>
                </c:pt>
                <c:pt idx="1031">
                  <c:v>3098</c:v>
                </c:pt>
                <c:pt idx="1032">
                  <c:v>539.98</c:v>
                </c:pt>
                <c:pt idx="1033">
                  <c:v>449</c:v>
                </c:pt>
                <c:pt idx="1034">
                  <c:v>3098</c:v>
                </c:pt>
                <c:pt idx="1035">
                  <c:v>999.98</c:v>
                </c:pt>
                <c:pt idx="1036">
                  <c:v>5799.98</c:v>
                </c:pt>
                <c:pt idx="1037">
                  <c:v>269.99</c:v>
                </c:pt>
                <c:pt idx="1038">
                  <c:v>549.99</c:v>
                </c:pt>
                <c:pt idx="1039">
                  <c:v>1680.99</c:v>
                </c:pt>
                <c:pt idx="1040">
                  <c:v>539.98</c:v>
                </c:pt>
                <c:pt idx="1041">
                  <c:v>1320.99</c:v>
                </c:pt>
                <c:pt idx="1042">
                  <c:v>3599.98</c:v>
                </c:pt>
                <c:pt idx="1043">
                  <c:v>269.99</c:v>
                </c:pt>
                <c:pt idx="1044">
                  <c:v>898</c:v>
                </c:pt>
                <c:pt idx="1045">
                  <c:v>549.99</c:v>
                </c:pt>
                <c:pt idx="1046">
                  <c:v>269.99</c:v>
                </c:pt>
                <c:pt idx="1047">
                  <c:v>1549</c:v>
                </c:pt>
                <c:pt idx="1048">
                  <c:v>3999.99</c:v>
                </c:pt>
                <c:pt idx="1049">
                  <c:v>539.98</c:v>
                </c:pt>
                <c:pt idx="1050">
                  <c:v>1499.98</c:v>
                </c:pt>
                <c:pt idx="1051">
                  <c:v>5799.98</c:v>
                </c:pt>
                <c:pt idx="1052">
                  <c:v>1099.98</c:v>
                </c:pt>
                <c:pt idx="1053">
                  <c:v>1499.98</c:v>
                </c:pt>
                <c:pt idx="1054">
                  <c:v>599.98</c:v>
                </c:pt>
                <c:pt idx="1055">
                  <c:v>1799.99</c:v>
                </c:pt>
                <c:pt idx="1056">
                  <c:v>269.99</c:v>
                </c:pt>
                <c:pt idx="1057">
                  <c:v>1199.98</c:v>
                </c:pt>
                <c:pt idx="1058">
                  <c:v>2999.99</c:v>
                </c:pt>
                <c:pt idx="1059">
                  <c:v>599.99</c:v>
                </c:pt>
                <c:pt idx="1060">
                  <c:v>599.99</c:v>
                </c:pt>
                <c:pt idx="1061">
                  <c:v>3361.98</c:v>
                </c:pt>
                <c:pt idx="1062">
                  <c:v>539.98</c:v>
                </c:pt>
                <c:pt idx="1063">
                  <c:v>1799.99</c:v>
                </c:pt>
                <c:pt idx="1064">
                  <c:v>2999.99</c:v>
                </c:pt>
                <c:pt idx="1065">
                  <c:v>269.99</c:v>
                </c:pt>
                <c:pt idx="1066">
                  <c:v>449</c:v>
                </c:pt>
                <c:pt idx="1067">
                  <c:v>539.98</c:v>
                </c:pt>
                <c:pt idx="1068">
                  <c:v>269.99</c:v>
                </c:pt>
                <c:pt idx="1069">
                  <c:v>539.98</c:v>
                </c:pt>
                <c:pt idx="1070">
                  <c:v>269.99</c:v>
                </c:pt>
                <c:pt idx="1071">
                  <c:v>599.99</c:v>
                </c:pt>
                <c:pt idx="1072">
                  <c:v>539.98</c:v>
                </c:pt>
                <c:pt idx="1073">
                  <c:v>1799.99</c:v>
                </c:pt>
                <c:pt idx="1074">
                  <c:v>529.99</c:v>
                </c:pt>
                <c:pt idx="1075">
                  <c:v>2899.99</c:v>
                </c:pt>
                <c:pt idx="1076">
                  <c:v>269.99</c:v>
                </c:pt>
                <c:pt idx="1077">
                  <c:v>7999.98</c:v>
                </c:pt>
                <c:pt idx="1078">
                  <c:v>1199.98</c:v>
                </c:pt>
                <c:pt idx="1079">
                  <c:v>1799.99</c:v>
                </c:pt>
                <c:pt idx="1080">
                  <c:v>1999.98</c:v>
                </c:pt>
                <c:pt idx="1081">
                  <c:v>1199.98</c:v>
                </c:pt>
                <c:pt idx="1082">
                  <c:v>449</c:v>
                </c:pt>
                <c:pt idx="1083">
                  <c:v>898</c:v>
                </c:pt>
                <c:pt idx="1084">
                  <c:v>539.98</c:v>
                </c:pt>
                <c:pt idx="1085">
                  <c:v>749.99</c:v>
                </c:pt>
                <c:pt idx="1086">
                  <c:v>1680.99</c:v>
                </c:pt>
                <c:pt idx="1087">
                  <c:v>749.99</c:v>
                </c:pt>
                <c:pt idx="1088">
                  <c:v>1059.98</c:v>
                </c:pt>
                <c:pt idx="1089">
                  <c:v>3098</c:v>
                </c:pt>
                <c:pt idx="1090">
                  <c:v>1320.99</c:v>
                </c:pt>
                <c:pt idx="1091">
                  <c:v>2999.99</c:v>
                </c:pt>
                <c:pt idx="1092">
                  <c:v>299.99</c:v>
                </c:pt>
                <c:pt idx="1093">
                  <c:v>7999.98</c:v>
                </c:pt>
                <c:pt idx="1094">
                  <c:v>2999.99</c:v>
                </c:pt>
                <c:pt idx="1095">
                  <c:v>1799.99</c:v>
                </c:pt>
                <c:pt idx="1096">
                  <c:v>2641.98</c:v>
                </c:pt>
                <c:pt idx="1097">
                  <c:v>1099.98</c:v>
                </c:pt>
                <c:pt idx="1098">
                  <c:v>539.98</c:v>
                </c:pt>
                <c:pt idx="1099">
                  <c:v>1999.98</c:v>
                </c:pt>
                <c:pt idx="1100">
                  <c:v>939.98</c:v>
                </c:pt>
                <c:pt idx="1101">
                  <c:v>299.99</c:v>
                </c:pt>
                <c:pt idx="1102">
                  <c:v>599.99</c:v>
                </c:pt>
                <c:pt idx="1103">
                  <c:v>539.98</c:v>
                </c:pt>
                <c:pt idx="1104">
                  <c:v>269.99</c:v>
                </c:pt>
                <c:pt idx="1105">
                  <c:v>549.99</c:v>
                </c:pt>
                <c:pt idx="1106">
                  <c:v>999.98</c:v>
                </c:pt>
                <c:pt idx="1107">
                  <c:v>1320.99</c:v>
                </c:pt>
                <c:pt idx="1108">
                  <c:v>3999.99</c:v>
                </c:pt>
                <c:pt idx="1109">
                  <c:v>3599.98</c:v>
                </c:pt>
                <c:pt idx="1110">
                  <c:v>898</c:v>
                </c:pt>
                <c:pt idx="1111">
                  <c:v>499.99</c:v>
                </c:pt>
                <c:pt idx="1112">
                  <c:v>429</c:v>
                </c:pt>
                <c:pt idx="1113">
                  <c:v>499.99</c:v>
                </c:pt>
                <c:pt idx="1114">
                  <c:v>3361.98</c:v>
                </c:pt>
                <c:pt idx="1115">
                  <c:v>269.99</c:v>
                </c:pt>
                <c:pt idx="1116">
                  <c:v>1099.98</c:v>
                </c:pt>
                <c:pt idx="1117">
                  <c:v>2999.99</c:v>
                </c:pt>
                <c:pt idx="1118">
                  <c:v>1999.98</c:v>
                </c:pt>
                <c:pt idx="1119">
                  <c:v>299.99</c:v>
                </c:pt>
                <c:pt idx="1120">
                  <c:v>3098</c:v>
                </c:pt>
                <c:pt idx="1121">
                  <c:v>939.98</c:v>
                </c:pt>
                <c:pt idx="1122">
                  <c:v>1320.99</c:v>
                </c:pt>
                <c:pt idx="1123">
                  <c:v>599.99</c:v>
                </c:pt>
                <c:pt idx="1124">
                  <c:v>1099.98</c:v>
                </c:pt>
                <c:pt idx="1125">
                  <c:v>7999.98</c:v>
                </c:pt>
                <c:pt idx="1126">
                  <c:v>539.98</c:v>
                </c:pt>
                <c:pt idx="1127">
                  <c:v>549.99</c:v>
                </c:pt>
                <c:pt idx="1128">
                  <c:v>2999.99</c:v>
                </c:pt>
                <c:pt idx="1129">
                  <c:v>999.98</c:v>
                </c:pt>
                <c:pt idx="1130">
                  <c:v>1199.98</c:v>
                </c:pt>
                <c:pt idx="1131">
                  <c:v>1999.98</c:v>
                </c:pt>
                <c:pt idx="1132">
                  <c:v>3098</c:v>
                </c:pt>
                <c:pt idx="1133">
                  <c:v>539.98</c:v>
                </c:pt>
                <c:pt idx="1134">
                  <c:v>2899.99</c:v>
                </c:pt>
                <c:pt idx="1135">
                  <c:v>599.99</c:v>
                </c:pt>
                <c:pt idx="1136">
                  <c:v>1320.99</c:v>
                </c:pt>
                <c:pt idx="1137">
                  <c:v>449</c:v>
                </c:pt>
                <c:pt idx="1138">
                  <c:v>999.99</c:v>
                </c:pt>
                <c:pt idx="1139">
                  <c:v>1499.98</c:v>
                </c:pt>
                <c:pt idx="1140">
                  <c:v>858</c:v>
                </c:pt>
                <c:pt idx="1141">
                  <c:v>529.99</c:v>
                </c:pt>
                <c:pt idx="1142">
                  <c:v>1199.98</c:v>
                </c:pt>
                <c:pt idx="1143">
                  <c:v>269.99</c:v>
                </c:pt>
                <c:pt idx="1144">
                  <c:v>499.99</c:v>
                </c:pt>
                <c:pt idx="1145">
                  <c:v>5999.98</c:v>
                </c:pt>
                <c:pt idx="1146">
                  <c:v>1099.98</c:v>
                </c:pt>
                <c:pt idx="1147">
                  <c:v>749.99</c:v>
                </c:pt>
                <c:pt idx="1148">
                  <c:v>1199.98</c:v>
                </c:pt>
                <c:pt idx="1149">
                  <c:v>3999.99</c:v>
                </c:pt>
                <c:pt idx="1150">
                  <c:v>549.99</c:v>
                </c:pt>
                <c:pt idx="1151">
                  <c:v>429</c:v>
                </c:pt>
                <c:pt idx="1152">
                  <c:v>3599.98</c:v>
                </c:pt>
                <c:pt idx="1153">
                  <c:v>499.99</c:v>
                </c:pt>
                <c:pt idx="1154">
                  <c:v>2999.99</c:v>
                </c:pt>
                <c:pt idx="1155">
                  <c:v>5799.98</c:v>
                </c:pt>
                <c:pt idx="1156">
                  <c:v>999.99</c:v>
                </c:pt>
                <c:pt idx="1157">
                  <c:v>599.98</c:v>
                </c:pt>
                <c:pt idx="1158">
                  <c:v>1320.99</c:v>
                </c:pt>
                <c:pt idx="1159">
                  <c:v>939.98</c:v>
                </c:pt>
                <c:pt idx="1160">
                  <c:v>269.99</c:v>
                </c:pt>
                <c:pt idx="1161">
                  <c:v>269.99</c:v>
                </c:pt>
                <c:pt idx="1162">
                  <c:v>549.99</c:v>
                </c:pt>
                <c:pt idx="1163">
                  <c:v>1199.98</c:v>
                </c:pt>
                <c:pt idx="1164">
                  <c:v>939.98</c:v>
                </c:pt>
                <c:pt idx="1165">
                  <c:v>549.99</c:v>
                </c:pt>
                <c:pt idx="1166">
                  <c:v>599.99</c:v>
                </c:pt>
                <c:pt idx="1167">
                  <c:v>2999.99</c:v>
                </c:pt>
                <c:pt idx="1168">
                  <c:v>858</c:v>
                </c:pt>
                <c:pt idx="1169">
                  <c:v>1059.98</c:v>
                </c:pt>
                <c:pt idx="1170">
                  <c:v>1999.98</c:v>
                </c:pt>
                <c:pt idx="1171">
                  <c:v>939.98</c:v>
                </c:pt>
                <c:pt idx="1172">
                  <c:v>1999.98</c:v>
                </c:pt>
                <c:pt idx="1173">
                  <c:v>1199.98</c:v>
                </c:pt>
                <c:pt idx="1174">
                  <c:v>2899.99</c:v>
                </c:pt>
                <c:pt idx="1175">
                  <c:v>599.98</c:v>
                </c:pt>
                <c:pt idx="1176">
                  <c:v>1199.98</c:v>
                </c:pt>
                <c:pt idx="1177">
                  <c:v>3599.98</c:v>
                </c:pt>
                <c:pt idx="1178">
                  <c:v>429</c:v>
                </c:pt>
                <c:pt idx="1179">
                  <c:v>599.98</c:v>
                </c:pt>
                <c:pt idx="1180">
                  <c:v>749.99</c:v>
                </c:pt>
                <c:pt idx="1181">
                  <c:v>269.99</c:v>
                </c:pt>
                <c:pt idx="1182">
                  <c:v>469.99</c:v>
                </c:pt>
                <c:pt idx="1183">
                  <c:v>469.99</c:v>
                </c:pt>
                <c:pt idx="1184">
                  <c:v>539.98</c:v>
                </c:pt>
                <c:pt idx="1185">
                  <c:v>449</c:v>
                </c:pt>
                <c:pt idx="1186">
                  <c:v>1549</c:v>
                </c:pt>
                <c:pt idx="1187">
                  <c:v>599.98</c:v>
                </c:pt>
                <c:pt idx="1188">
                  <c:v>1099.98</c:v>
                </c:pt>
                <c:pt idx="1189">
                  <c:v>1059.98</c:v>
                </c:pt>
                <c:pt idx="1190">
                  <c:v>1199.98</c:v>
                </c:pt>
                <c:pt idx="1191">
                  <c:v>2641.98</c:v>
                </c:pt>
                <c:pt idx="1192">
                  <c:v>269.99</c:v>
                </c:pt>
                <c:pt idx="1193">
                  <c:v>1680.99</c:v>
                </c:pt>
                <c:pt idx="1194">
                  <c:v>5799.98</c:v>
                </c:pt>
                <c:pt idx="1195">
                  <c:v>2641.98</c:v>
                </c:pt>
                <c:pt idx="1196">
                  <c:v>469.99</c:v>
                </c:pt>
                <c:pt idx="1197">
                  <c:v>749.99</c:v>
                </c:pt>
                <c:pt idx="1198">
                  <c:v>539.98</c:v>
                </c:pt>
                <c:pt idx="1199">
                  <c:v>1680.99</c:v>
                </c:pt>
                <c:pt idx="1200">
                  <c:v>5799.98</c:v>
                </c:pt>
                <c:pt idx="1201">
                  <c:v>539.98</c:v>
                </c:pt>
                <c:pt idx="1202">
                  <c:v>1799.99</c:v>
                </c:pt>
                <c:pt idx="1203">
                  <c:v>539.98</c:v>
                </c:pt>
                <c:pt idx="1204">
                  <c:v>469.99</c:v>
                </c:pt>
                <c:pt idx="1205">
                  <c:v>449</c:v>
                </c:pt>
                <c:pt idx="1206">
                  <c:v>539.98</c:v>
                </c:pt>
                <c:pt idx="1207">
                  <c:v>449</c:v>
                </c:pt>
                <c:pt idx="1208">
                  <c:v>3098</c:v>
                </c:pt>
                <c:pt idx="1209">
                  <c:v>7999.98</c:v>
                </c:pt>
                <c:pt idx="1210">
                  <c:v>469.99</c:v>
                </c:pt>
                <c:pt idx="1211">
                  <c:v>1549</c:v>
                </c:pt>
                <c:pt idx="1212">
                  <c:v>549.99</c:v>
                </c:pt>
                <c:pt idx="1213">
                  <c:v>2899.99</c:v>
                </c:pt>
                <c:pt idx="1214">
                  <c:v>269.99</c:v>
                </c:pt>
                <c:pt idx="1215">
                  <c:v>599.99</c:v>
                </c:pt>
                <c:pt idx="1216">
                  <c:v>2999.99</c:v>
                </c:pt>
                <c:pt idx="1217">
                  <c:v>3361.98</c:v>
                </c:pt>
                <c:pt idx="1218">
                  <c:v>898</c:v>
                </c:pt>
                <c:pt idx="1219">
                  <c:v>269.99</c:v>
                </c:pt>
                <c:pt idx="1220">
                  <c:v>2999.99</c:v>
                </c:pt>
                <c:pt idx="1221">
                  <c:v>449</c:v>
                </c:pt>
                <c:pt idx="1222">
                  <c:v>999.99</c:v>
                </c:pt>
                <c:pt idx="1223">
                  <c:v>299.99</c:v>
                </c:pt>
                <c:pt idx="1224">
                  <c:v>999.99</c:v>
                </c:pt>
                <c:pt idx="1225">
                  <c:v>1549</c:v>
                </c:pt>
                <c:pt idx="1226">
                  <c:v>3599.98</c:v>
                </c:pt>
                <c:pt idx="1227">
                  <c:v>2899.99</c:v>
                </c:pt>
                <c:pt idx="1228">
                  <c:v>269.99</c:v>
                </c:pt>
                <c:pt idx="1229">
                  <c:v>3599.98</c:v>
                </c:pt>
                <c:pt idx="1230">
                  <c:v>539.98</c:v>
                </c:pt>
                <c:pt idx="1231">
                  <c:v>939.98</c:v>
                </c:pt>
                <c:pt idx="1232">
                  <c:v>7999.98</c:v>
                </c:pt>
                <c:pt idx="1233">
                  <c:v>898</c:v>
                </c:pt>
                <c:pt idx="1234">
                  <c:v>5799.98</c:v>
                </c:pt>
                <c:pt idx="1235">
                  <c:v>549.99</c:v>
                </c:pt>
                <c:pt idx="1236">
                  <c:v>529.99</c:v>
                </c:pt>
                <c:pt idx="1237">
                  <c:v>1199.98</c:v>
                </c:pt>
                <c:pt idx="1238">
                  <c:v>1199.98</c:v>
                </c:pt>
                <c:pt idx="1239">
                  <c:v>939.98</c:v>
                </c:pt>
                <c:pt idx="1240">
                  <c:v>1320.99</c:v>
                </c:pt>
                <c:pt idx="1241">
                  <c:v>599.99</c:v>
                </c:pt>
                <c:pt idx="1242">
                  <c:v>269.99</c:v>
                </c:pt>
                <c:pt idx="1243">
                  <c:v>1059.98</c:v>
                </c:pt>
                <c:pt idx="1244">
                  <c:v>1199.98</c:v>
                </c:pt>
                <c:pt idx="1245">
                  <c:v>599.99</c:v>
                </c:pt>
                <c:pt idx="1246">
                  <c:v>3098</c:v>
                </c:pt>
                <c:pt idx="1247">
                  <c:v>3999.99</c:v>
                </c:pt>
                <c:pt idx="1248">
                  <c:v>599.99</c:v>
                </c:pt>
                <c:pt idx="1249">
                  <c:v>299.99</c:v>
                </c:pt>
                <c:pt idx="1250">
                  <c:v>269.99</c:v>
                </c:pt>
                <c:pt idx="1251">
                  <c:v>1199.98</c:v>
                </c:pt>
                <c:pt idx="1252">
                  <c:v>5799.98</c:v>
                </c:pt>
                <c:pt idx="1253">
                  <c:v>999.99</c:v>
                </c:pt>
                <c:pt idx="1254">
                  <c:v>1799.99</c:v>
                </c:pt>
                <c:pt idx="1255">
                  <c:v>539.98</c:v>
                </c:pt>
                <c:pt idx="1256">
                  <c:v>939.98</c:v>
                </c:pt>
                <c:pt idx="1257">
                  <c:v>858</c:v>
                </c:pt>
                <c:pt idx="1258">
                  <c:v>749.99</c:v>
                </c:pt>
                <c:pt idx="1259">
                  <c:v>7999.98</c:v>
                </c:pt>
                <c:pt idx="1260">
                  <c:v>1199.98</c:v>
                </c:pt>
                <c:pt idx="1261">
                  <c:v>549.99</c:v>
                </c:pt>
                <c:pt idx="1262">
                  <c:v>549.99</c:v>
                </c:pt>
                <c:pt idx="1263">
                  <c:v>1320.99</c:v>
                </c:pt>
                <c:pt idx="1264">
                  <c:v>539.98</c:v>
                </c:pt>
                <c:pt idx="1265">
                  <c:v>1680.99</c:v>
                </c:pt>
                <c:pt idx="1266">
                  <c:v>599.99</c:v>
                </c:pt>
                <c:pt idx="1267">
                  <c:v>7999.98</c:v>
                </c:pt>
                <c:pt idx="1268">
                  <c:v>1799.99</c:v>
                </c:pt>
                <c:pt idx="1269">
                  <c:v>299.99</c:v>
                </c:pt>
                <c:pt idx="1270">
                  <c:v>1199.98</c:v>
                </c:pt>
                <c:pt idx="1271">
                  <c:v>2899.99</c:v>
                </c:pt>
                <c:pt idx="1272">
                  <c:v>999.98</c:v>
                </c:pt>
                <c:pt idx="1273">
                  <c:v>539.98</c:v>
                </c:pt>
                <c:pt idx="1274">
                  <c:v>1099.98</c:v>
                </c:pt>
                <c:pt idx="1275">
                  <c:v>2999.99</c:v>
                </c:pt>
                <c:pt idx="1276">
                  <c:v>858</c:v>
                </c:pt>
                <c:pt idx="1277">
                  <c:v>299.99</c:v>
                </c:pt>
                <c:pt idx="1278">
                  <c:v>1099.98</c:v>
                </c:pt>
                <c:pt idx="1279">
                  <c:v>749.99</c:v>
                </c:pt>
                <c:pt idx="1280">
                  <c:v>7999.98</c:v>
                </c:pt>
                <c:pt idx="1281">
                  <c:v>429</c:v>
                </c:pt>
                <c:pt idx="1282">
                  <c:v>749.99</c:v>
                </c:pt>
                <c:pt idx="1283">
                  <c:v>539.98</c:v>
                </c:pt>
                <c:pt idx="1284">
                  <c:v>1680.99</c:v>
                </c:pt>
                <c:pt idx="1285">
                  <c:v>549.99</c:v>
                </c:pt>
                <c:pt idx="1286">
                  <c:v>1999.98</c:v>
                </c:pt>
                <c:pt idx="1287">
                  <c:v>1680.99</c:v>
                </c:pt>
                <c:pt idx="1288">
                  <c:v>449</c:v>
                </c:pt>
                <c:pt idx="1289">
                  <c:v>898</c:v>
                </c:pt>
                <c:pt idx="1290">
                  <c:v>2899.99</c:v>
                </c:pt>
                <c:pt idx="1291">
                  <c:v>539.98</c:v>
                </c:pt>
                <c:pt idx="1292">
                  <c:v>599.99</c:v>
                </c:pt>
                <c:pt idx="1293">
                  <c:v>2899.99</c:v>
                </c:pt>
                <c:pt idx="1294">
                  <c:v>3599.98</c:v>
                </c:pt>
                <c:pt idx="1295">
                  <c:v>549.99</c:v>
                </c:pt>
                <c:pt idx="1296">
                  <c:v>898</c:v>
                </c:pt>
                <c:pt idx="1297">
                  <c:v>1099.98</c:v>
                </c:pt>
                <c:pt idx="1298">
                  <c:v>539.98</c:v>
                </c:pt>
                <c:pt idx="1299">
                  <c:v>3999.99</c:v>
                </c:pt>
                <c:pt idx="1300">
                  <c:v>939.98</c:v>
                </c:pt>
                <c:pt idx="1301">
                  <c:v>999.98</c:v>
                </c:pt>
                <c:pt idx="1302">
                  <c:v>898</c:v>
                </c:pt>
                <c:pt idx="1303">
                  <c:v>469.99</c:v>
                </c:pt>
                <c:pt idx="1304">
                  <c:v>7999.98</c:v>
                </c:pt>
                <c:pt idx="1305">
                  <c:v>529.99</c:v>
                </c:pt>
                <c:pt idx="1306">
                  <c:v>1320.99</c:v>
                </c:pt>
                <c:pt idx="1307">
                  <c:v>449</c:v>
                </c:pt>
                <c:pt idx="1308">
                  <c:v>1549</c:v>
                </c:pt>
                <c:pt idx="1309">
                  <c:v>539.98</c:v>
                </c:pt>
                <c:pt idx="1310">
                  <c:v>858</c:v>
                </c:pt>
                <c:pt idx="1311">
                  <c:v>1680.99</c:v>
                </c:pt>
                <c:pt idx="1312">
                  <c:v>449</c:v>
                </c:pt>
                <c:pt idx="1313">
                  <c:v>5999.98</c:v>
                </c:pt>
                <c:pt idx="1314">
                  <c:v>3098</c:v>
                </c:pt>
                <c:pt idx="1315">
                  <c:v>499.99</c:v>
                </c:pt>
                <c:pt idx="1316">
                  <c:v>3599.98</c:v>
                </c:pt>
                <c:pt idx="1317">
                  <c:v>2899.99</c:v>
                </c:pt>
                <c:pt idx="1318">
                  <c:v>1059.98</c:v>
                </c:pt>
                <c:pt idx="1319">
                  <c:v>449</c:v>
                </c:pt>
                <c:pt idx="1320">
                  <c:v>269.99</c:v>
                </c:pt>
                <c:pt idx="1321">
                  <c:v>3599.98</c:v>
                </c:pt>
                <c:pt idx="1322">
                  <c:v>269.99</c:v>
                </c:pt>
                <c:pt idx="1323">
                  <c:v>539.98</c:v>
                </c:pt>
                <c:pt idx="1324">
                  <c:v>529.99</c:v>
                </c:pt>
                <c:pt idx="1325">
                  <c:v>539.98</c:v>
                </c:pt>
                <c:pt idx="1326">
                  <c:v>599.99</c:v>
                </c:pt>
                <c:pt idx="1327">
                  <c:v>898</c:v>
                </c:pt>
                <c:pt idx="1328">
                  <c:v>1680.99</c:v>
                </c:pt>
                <c:pt idx="1329">
                  <c:v>858</c:v>
                </c:pt>
                <c:pt idx="1330">
                  <c:v>1199.98</c:v>
                </c:pt>
                <c:pt idx="1331">
                  <c:v>499.99</c:v>
                </c:pt>
                <c:pt idx="1332">
                  <c:v>539.98</c:v>
                </c:pt>
                <c:pt idx="1333">
                  <c:v>5799.98</c:v>
                </c:pt>
                <c:pt idx="1334">
                  <c:v>3361.98</c:v>
                </c:pt>
                <c:pt idx="1335">
                  <c:v>1199.98</c:v>
                </c:pt>
                <c:pt idx="1336">
                  <c:v>469.99</c:v>
                </c:pt>
                <c:pt idx="1337">
                  <c:v>1549</c:v>
                </c:pt>
                <c:pt idx="1338">
                  <c:v>539.98</c:v>
                </c:pt>
                <c:pt idx="1339">
                  <c:v>599.99</c:v>
                </c:pt>
                <c:pt idx="1340">
                  <c:v>549.99</c:v>
                </c:pt>
                <c:pt idx="1341">
                  <c:v>269.99</c:v>
                </c:pt>
                <c:pt idx="1342">
                  <c:v>3999.99</c:v>
                </c:pt>
                <c:pt idx="1343">
                  <c:v>1549</c:v>
                </c:pt>
                <c:pt idx="1344">
                  <c:v>2899.99</c:v>
                </c:pt>
                <c:pt idx="1345">
                  <c:v>529.99</c:v>
                </c:pt>
                <c:pt idx="1346">
                  <c:v>599.98</c:v>
                </c:pt>
                <c:pt idx="1347">
                  <c:v>539.98</c:v>
                </c:pt>
                <c:pt idx="1348">
                  <c:v>1199.98</c:v>
                </c:pt>
                <c:pt idx="1349">
                  <c:v>5999.98</c:v>
                </c:pt>
                <c:pt idx="1350">
                  <c:v>269.99</c:v>
                </c:pt>
                <c:pt idx="1351">
                  <c:v>269.99</c:v>
                </c:pt>
                <c:pt idx="1352">
                  <c:v>429</c:v>
                </c:pt>
                <c:pt idx="1353">
                  <c:v>3599.98</c:v>
                </c:pt>
                <c:pt idx="1354">
                  <c:v>549.99</c:v>
                </c:pt>
                <c:pt idx="1355">
                  <c:v>5999.98</c:v>
                </c:pt>
                <c:pt idx="1356">
                  <c:v>469.99</c:v>
                </c:pt>
                <c:pt idx="1357">
                  <c:v>269.99</c:v>
                </c:pt>
                <c:pt idx="1358">
                  <c:v>1199.98</c:v>
                </c:pt>
                <c:pt idx="1359">
                  <c:v>2999.99</c:v>
                </c:pt>
                <c:pt idx="1360">
                  <c:v>599.98</c:v>
                </c:pt>
                <c:pt idx="1361">
                  <c:v>469.99</c:v>
                </c:pt>
                <c:pt idx="1362">
                  <c:v>539.98</c:v>
                </c:pt>
                <c:pt idx="1363">
                  <c:v>599.98</c:v>
                </c:pt>
                <c:pt idx="1364">
                  <c:v>269.99</c:v>
                </c:pt>
                <c:pt idx="1365">
                  <c:v>3599.98</c:v>
                </c:pt>
                <c:pt idx="1366">
                  <c:v>549.99</c:v>
                </c:pt>
                <c:pt idx="1367">
                  <c:v>299.99</c:v>
                </c:pt>
                <c:pt idx="1368">
                  <c:v>269.99</c:v>
                </c:pt>
                <c:pt idx="1369">
                  <c:v>539.98</c:v>
                </c:pt>
                <c:pt idx="1370">
                  <c:v>5999.98</c:v>
                </c:pt>
                <c:pt idx="1371">
                  <c:v>539.98</c:v>
                </c:pt>
                <c:pt idx="1372">
                  <c:v>1059.98</c:v>
                </c:pt>
                <c:pt idx="1373">
                  <c:v>469.99</c:v>
                </c:pt>
                <c:pt idx="1374">
                  <c:v>539.98</c:v>
                </c:pt>
                <c:pt idx="1375">
                  <c:v>599.99</c:v>
                </c:pt>
                <c:pt idx="1376">
                  <c:v>529.99</c:v>
                </c:pt>
                <c:pt idx="1377">
                  <c:v>898</c:v>
                </c:pt>
                <c:pt idx="1378">
                  <c:v>599.99</c:v>
                </c:pt>
                <c:pt idx="1379">
                  <c:v>299.99</c:v>
                </c:pt>
                <c:pt idx="1380">
                  <c:v>269.99</c:v>
                </c:pt>
                <c:pt idx="1381">
                  <c:v>2999.99</c:v>
                </c:pt>
                <c:pt idx="1382">
                  <c:v>299.99</c:v>
                </c:pt>
                <c:pt idx="1383">
                  <c:v>269.99</c:v>
                </c:pt>
                <c:pt idx="1384">
                  <c:v>539.98</c:v>
                </c:pt>
                <c:pt idx="1385">
                  <c:v>999.98</c:v>
                </c:pt>
                <c:pt idx="1386">
                  <c:v>549.99</c:v>
                </c:pt>
                <c:pt idx="1387">
                  <c:v>269.99</c:v>
                </c:pt>
                <c:pt idx="1388">
                  <c:v>1549</c:v>
                </c:pt>
                <c:pt idx="1389">
                  <c:v>1680.99</c:v>
                </c:pt>
                <c:pt idx="1390">
                  <c:v>529.99</c:v>
                </c:pt>
                <c:pt idx="1391">
                  <c:v>539.98</c:v>
                </c:pt>
                <c:pt idx="1392">
                  <c:v>1199.98</c:v>
                </c:pt>
                <c:pt idx="1393">
                  <c:v>1099.98</c:v>
                </c:pt>
                <c:pt idx="1394">
                  <c:v>269.99</c:v>
                </c:pt>
                <c:pt idx="1395">
                  <c:v>898</c:v>
                </c:pt>
                <c:pt idx="1396">
                  <c:v>1799.99</c:v>
                </c:pt>
                <c:pt idx="1397">
                  <c:v>269.99</c:v>
                </c:pt>
                <c:pt idx="1398">
                  <c:v>599.98</c:v>
                </c:pt>
                <c:pt idx="1399">
                  <c:v>269.99</c:v>
                </c:pt>
                <c:pt idx="1400">
                  <c:v>539.98</c:v>
                </c:pt>
                <c:pt idx="1401">
                  <c:v>1549</c:v>
                </c:pt>
                <c:pt idx="1402">
                  <c:v>1099.98</c:v>
                </c:pt>
                <c:pt idx="1403">
                  <c:v>1499.98</c:v>
                </c:pt>
                <c:pt idx="1404">
                  <c:v>599.99</c:v>
                </c:pt>
                <c:pt idx="1405">
                  <c:v>499.99</c:v>
                </c:pt>
                <c:pt idx="1406">
                  <c:v>3999.99</c:v>
                </c:pt>
                <c:pt idx="1407">
                  <c:v>3361.98</c:v>
                </c:pt>
                <c:pt idx="1408">
                  <c:v>539.98</c:v>
                </c:pt>
                <c:pt idx="1409">
                  <c:v>1199.98</c:v>
                </c:pt>
                <c:pt idx="1410">
                  <c:v>1799.99</c:v>
                </c:pt>
                <c:pt idx="1411">
                  <c:v>1499.98</c:v>
                </c:pt>
                <c:pt idx="1412">
                  <c:v>3098</c:v>
                </c:pt>
                <c:pt idx="1413">
                  <c:v>499.99</c:v>
                </c:pt>
                <c:pt idx="1414">
                  <c:v>599.98</c:v>
                </c:pt>
                <c:pt idx="1415">
                  <c:v>5799.98</c:v>
                </c:pt>
                <c:pt idx="1416">
                  <c:v>429</c:v>
                </c:pt>
                <c:pt idx="1417">
                  <c:v>539.98</c:v>
                </c:pt>
                <c:pt idx="1418">
                  <c:v>269.99</c:v>
                </c:pt>
                <c:pt idx="1419">
                  <c:v>269.99</c:v>
                </c:pt>
                <c:pt idx="1420">
                  <c:v>3999.99</c:v>
                </c:pt>
                <c:pt idx="1421">
                  <c:v>269.99</c:v>
                </c:pt>
                <c:pt idx="1422">
                  <c:v>299.99</c:v>
                </c:pt>
                <c:pt idx="1423">
                  <c:v>898</c:v>
                </c:pt>
                <c:pt idx="1424">
                  <c:v>858</c:v>
                </c:pt>
                <c:pt idx="1425">
                  <c:v>1799.99</c:v>
                </c:pt>
                <c:pt idx="1426">
                  <c:v>1320.99</c:v>
                </c:pt>
                <c:pt idx="1427">
                  <c:v>999.98</c:v>
                </c:pt>
                <c:pt idx="1428">
                  <c:v>939.98</c:v>
                </c:pt>
                <c:pt idx="1429">
                  <c:v>3999.99</c:v>
                </c:pt>
                <c:pt idx="1430">
                  <c:v>2641.98</c:v>
                </c:pt>
                <c:pt idx="1431">
                  <c:v>539.98</c:v>
                </c:pt>
                <c:pt idx="1432">
                  <c:v>1199.98</c:v>
                </c:pt>
                <c:pt idx="1433">
                  <c:v>2641.98</c:v>
                </c:pt>
                <c:pt idx="1434">
                  <c:v>999.98</c:v>
                </c:pt>
                <c:pt idx="1435">
                  <c:v>1059.98</c:v>
                </c:pt>
                <c:pt idx="1436">
                  <c:v>3361.98</c:v>
                </c:pt>
                <c:pt idx="1437">
                  <c:v>469.99</c:v>
                </c:pt>
                <c:pt idx="1438">
                  <c:v>599.99</c:v>
                </c:pt>
                <c:pt idx="1439">
                  <c:v>599.98</c:v>
                </c:pt>
                <c:pt idx="1440">
                  <c:v>898</c:v>
                </c:pt>
                <c:pt idx="1441">
                  <c:v>3999.99</c:v>
                </c:pt>
                <c:pt idx="1442">
                  <c:v>599.99</c:v>
                </c:pt>
                <c:pt idx="1443">
                  <c:v>549.99</c:v>
                </c:pt>
                <c:pt idx="1444">
                  <c:v>1549</c:v>
                </c:pt>
                <c:pt idx="1445">
                  <c:v>1320.99</c:v>
                </c:pt>
                <c:pt idx="1446">
                  <c:v>269.99</c:v>
                </c:pt>
                <c:pt idx="1447">
                  <c:v>5799.98</c:v>
                </c:pt>
                <c:pt idx="1448">
                  <c:v>539.98</c:v>
                </c:pt>
                <c:pt idx="1449">
                  <c:v>269.99</c:v>
                </c:pt>
                <c:pt idx="1450">
                  <c:v>549.99</c:v>
                </c:pt>
                <c:pt idx="1451">
                  <c:v>599.99</c:v>
                </c:pt>
                <c:pt idx="1452">
                  <c:v>2641.98</c:v>
                </c:pt>
                <c:pt idx="1453">
                  <c:v>1199.98</c:v>
                </c:pt>
                <c:pt idx="1454">
                  <c:v>1680.99</c:v>
                </c:pt>
                <c:pt idx="1455">
                  <c:v>749.99</c:v>
                </c:pt>
                <c:pt idx="1456">
                  <c:v>2999.99</c:v>
                </c:pt>
                <c:pt idx="1457">
                  <c:v>1999.98</c:v>
                </c:pt>
                <c:pt idx="1458">
                  <c:v>599.99</c:v>
                </c:pt>
                <c:pt idx="1459">
                  <c:v>5999.98</c:v>
                </c:pt>
                <c:pt idx="1460">
                  <c:v>939.98</c:v>
                </c:pt>
                <c:pt idx="1461">
                  <c:v>1549</c:v>
                </c:pt>
                <c:pt idx="1462">
                  <c:v>1999.98</c:v>
                </c:pt>
                <c:pt idx="1463">
                  <c:v>1799.99</c:v>
                </c:pt>
                <c:pt idx="1464">
                  <c:v>269.99</c:v>
                </c:pt>
                <c:pt idx="1465">
                  <c:v>529.99</c:v>
                </c:pt>
                <c:pt idx="1466">
                  <c:v>898</c:v>
                </c:pt>
                <c:pt idx="1467">
                  <c:v>2899.99</c:v>
                </c:pt>
                <c:pt idx="1468">
                  <c:v>449</c:v>
                </c:pt>
                <c:pt idx="1469">
                  <c:v>5999.98</c:v>
                </c:pt>
                <c:pt idx="1470">
                  <c:v>539.98</c:v>
                </c:pt>
                <c:pt idx="1471">
                  <c:v>1099.98</c:v>
                </c:pt>
                <c:pt idx="1472">
                  <c:v>1499.98</c:v>
                </c:pt>
                <c:pt idx="1473">
                  <c:v>2899.99</c:v>
                </c:pt>
                <c:pt idx="1474">
                  <c:v>939.98</c:v>
                </c:pt>
                <c:pt idx="1475">
                  <c:v>469.99</c:v>
                </c:pt>
                <c:pt idx="1476">
                  <c:v>1099.98</c:v>
                </c:pt>
                <c:pt idx="1477">
                  <c:v>499.99</c:v>
                </c:pt>
                <c:pt idx="1478">
                  <c:v>858</c:v>
                </c:pt>
                <c:pt idx="1479">
                  <c:v>1199.98</c:v>
                </c:pt>
                <c:pt idx="1480">
                  <c:v>549.99</c:v>
                </c:pt>
                <c:pt idx="1481">
                  <c:v>2899.99</c:v>
                </c:pt>
                <c:pt idx="1482">
                  <c:v>1099.98</c:v>
                </c:pt>
                <c:pt idx="1483">
                  <c:v>1549</c:v>
                </c:pt>
                <c:pt idx="1484">
                  <c:v>499.99</c:v>
                </c:pt>
                <c:pt idx="1485">
                  <c:v>539.98</c:v>
                </c:pt>
                <c:pt idx="1486">
                  <c:v>5999.98</c:v>
                </c:pt>
                <c:pt idx="1487">
                  <c:v>749.99</c:v>
                </c:pt>
                <c:pt idx="1488">
                  <c:v>1099.98</c:v>
                </c:pt>
                <c:pt idx="1489">
                  <c:v>549.99</c:v>
                </c:pt>
                <c:pt idx="1490">
                  <c:v>529.99</c:v>
                </c:pt>
                <c:pt idx="1491">
                  <c:v>539.98</c:v>
                </c:pt>
                <c:pt idx="1492">
                  <c:v>269.99</c:v>
                </c:pt>
                <c:pt idx="1493">
                  <c:v>749.99</c:v>
                </c:pt>
                <c:pt idx="1494">
                  <c:v>1099.98</c:v>
                </c:pt>
                <c:pt idx="1495">
                  <c:v>269.99</c:v>
                </c:pt>
                <c:pt idx="1496">
                  <c:v>1549</c:v>
                </c:pt>
                <c:pt idx="1497">
                  <c:v>599.99</c:v>
                </c:pt>
                <c:pt idx="1498">
                  <c:v>858</c:v>
                </c:pt>
                <c:pt idx="1499">
                  <c:v>999.98</c:v>
                </c:pt>
                <c:pt idx="1500">
                  <c:v>1499.98</c:v>
                </c:pt>
                <c:pt idx="1501">
                  <c:v>5999.98</c:v>
                </c:pt>
                <c:pt idx="1502">
                  <c:v>299.99</c:v>
                </c:pt>
                <c:pt idx="1503">
                  <c:v>539.98</c:v>
                </c:pt>
                <c:pt idx="1504">
                  <c:v>449</c:v>
                </c:pt>
                <c:pt idx="1505">
                  <c:v>1199.98</c:v>
                </c:pt>
                <c:pt idx="1506">
                  <c:v>599.98</c:v>
                </c:pt>
                <c:pt idx="1507">
                  <c:v>539.98</c:v>
                </c:pt>
                <c:pt idx="1508">
                  <c:v>1199.98</c:v>
                </c:pt>
                <c:pt idx="1509">
                  <c:v>2999.99</c:v>
                </c:pt>
                <c:pt idx="1510">
                  <c:v>599.99</c:v>
                </c:pt>
                <c:pt idx="1511">
                  <c:v>898</c:v>
                </c:pt>
                <c:pt idx="1512">
                  <c:v>499.99</c:v>
                </c:pt>
                <c:pt idx="1513">
                  <c:v>449</c:v>
                </c:pt>
                <c:pt idx="1514">
                  <c:v>1199.98</c:v>
                </c:pt>
                <c:pt idx="1515">
                  <c:v>549.99</c:v>
                </c:pt>
                <c:pt idx="1516">
                  <c:v>429</c:v>
                </c:pt>
                <c:pt idx="1517">
                  <c:v>269.99</c:v>
                </c:pt>
                <c:pt idx="1518">
                  <c:v>999.98</c:v>
                </c:pt>
                <c:pt idx="1519">
                  <c:v>469.99</c:v>
                </c:pt>
                <c:pt idx="1520">
                  <c:v>549.99</c:v>
                </c:pt>
                <c:pt idx="1521">
                  <c:v>1199.98</c:v>
                </c:pt>
                <c:pt idx="1522">
                  <c:v>858</c:v>
                </c:pt>
                <c:pt idx="1523">
                  <c:v>1799.99</c:v>
                </c:pt>
                <c:pt idx="1524">
                  <c:v>898</c:v>
                </c:pt>
                <c:pt idx="1525">
                  <c:v>3361.98</c:v>
                </c:pt>
                <c:pt idx="1526">
                  <c:v>2999.99</c:v>
                </c:pt>
                <c:pt idx="1527">
                  <c:v>1320.99</c:v>
                </c:pt>
                <c:pt idx="1528">
                  <c:v>1799.99</c:v>
                </c:pt>
                <c:pt idx="1529">
                  <c:v>3361.98</c:v>
                </c:pt>
                <c:pt idx="1530">
                  <c:v>529.99</c:v>
                </c:pt>
                <c:pt idx="1531">
                  <c:v>599.99</c:v>
                </c:pt>
                <c:pt idx="1532">
                  <c:v>999.99</c:v>
                </c:pt>
                <c:pt idx="1533">
                  <c:v>3999.99</c:v>
                </c:pt>
                <c:pt idx="1534">
                  <c:v>539.98</c:v>
                </c:pt>
                <c:pt idx="1535">
                  <c:v>2899.99</c:v>
                </c:pt>
                <c:pt idx="1536">
                  <c:v>599.99</c:v>
                </c:pt>
                <c:pt idx="1537">
                  <c:v>599.99</c:v>
                </c:pt>
                <c:pt idx="1538">
                  <c:v>3361.98</c:v>
                </c:pt>
                <c:pt idx="1539">
                  <c:v>1059.98</c:v>
                </c:pt>
                <c:pt idx="1540">
                  <c:v>299.99</c:v>
                </c:pt>
                <c:pt idx="1541">
                  <c:v>749.99</c:v>
                </c:pt>
                <c:pt idx="1542">
                  <c:v>549.99</c:v>
                </c:pt>
                <c:pt idx="1543">
                  <c:v>449</c:v>
                </c:pt>
                <c:pt idx="1544">
                  <c:v>898</c:v>
                </c:pt>
                <c:pt idx="1545">
                  <c:v>549.99</c:v>
                </c:pt>
                <c:pt idx="1546">
                  <c:v>898</c:v>
                </c:pt>
                <c:pt idx="1547">
                  <c:v>549.99</c:v>
                </c:pt>
                <c:pt idx="1548">
                  <c:v>1999.98</c:v>
                </c:pt>
                <c:pt idx="1549">
                  <c:v>269.99</c:v>
                </c:pt>
                <c:pt idx="1550">
                  <c:v>5799.98</c:v>
                </c:pt>
                <c:pt idx="1551">
                  <c:v>1799.99</c:v>
                </c:pt>
                <c:pt idx="1552">
                  <c:v>3999.99</c:v>
                </c:pt>
                <c:pt idx="1553">
                  <c:v>1199.98</c:v>
                </c:pt>
                <c:pt idx="1554">
                  <c:v>599.99</c:v>
                </c:pt>
                <c:pt idx="1555">
                  <c:v>5799.98</c:v>
                </c:pt>
                <c:pt idx="1556">
                  <c:v>5999.98</c:v>
                </c:pt>
                <c:pt idx="1557">
                  <c:v>1549</c:v>
                </c:pt>
                <c:pt idx="1558">
                  <c:v>3999.99</c:v>
                </c:pt>
                <c:pt idx="1559">
                  <c:v>599.99</c:v>
                </c:pt>
                <c:pt idx="1560">
                  <c:v>2999.99</c:v>
                </c:pt>
                <c:pt idx="1561">
                  <c:v>539.98</c:v>
                </c:pt>
                <c:pt idx="1562">
                  <c:v>3098</c:v>
                </c:pt>
                <c:pt idx="1563">
                  <c:v>1059.98</c:v>
                </c:pt>
                <c:pt idx="1564">
                  <c:v>469.99</c:v>
                </c:pt>
                <c:pt idx="1565">
                  <c:v>7999.98</c:v>
                </c:pt>
                <c:pt idx="1566">
                  <c:v>599.99</c:v>
                </c:pt>
                <c:pt idx="1567">
                  <c:v>1199.98</c:v>
                </c:pt>
                <c:pt idx="1568">
                  <c:v>1059.98</c:v>
                </c:pt>
                <c:pt idx="1569">
                  <c:v>449</c:v>
                </c:pt>
                <c:pt idx="1570">
                  <c:v>1320.99</c:v>
                </c:pt>
                <c:pt idx="1571">
                  <c:v>858</c:v>
                </c:pt>
                <c:pt idx="1572">
                  <c:v>999.98</c:v>
                </c:pt>
                <c:pt idx="1573">
                  <c:v>599.99</c:v>
                </c:pt>
                <c:pt idx="1574">
                  <c:v>939.98</c:v>
                </c:pt>
                <c:pt idx="1575">
                  <c:v>449</c:v>
                </c:pt>
                <c:pt idx="1576">
                  <c:v>539.98</c:v>
                </c:pt>
                <c:pt idx="1577">
                  <c:v>2899.99</c:v>
                </c:pt>
                <c:pt idx="1578">
                  <c:v>529.99</c:v>
                </c:pt>
                <c:pt idx="1579">
                  <c:v>449</c:v>
                </c:pt>
                <c:pt idx="1580">
                  <c:v>999.98</c:v>
                </c:pt>
                <c:pt idx="1581">
                  <c:v>2999.99</c:v>
                </c:pt>
                <c:pt idx="1582">
                  <c:v>429</c:v>
                </c:pt>
                <c:pt idx="1583">
                  <c:v>1099.98</c:v>
                </c:pt>
                <c:pt idx="1584">
                  <c:v>7999.98</c:v>
                </c:pt>
                <c:pt idx="1585">
                  <c:v>1799.99</c:v>
                </c:pt>
                <c:pt idx="1586">
                  <c:v>539.98</c:v>
                </c:pt>
                <c:pt idx="1587">
                  <c:v>2999.99</c:v>
                </c:pt>
                <c:pt idx="1588">
                  <c:v>1320.99</c:v>
                </c:pt>
                <c:pt idx="1589">
                  <c:v>1320.99</c:v>
                </c:pt>
                <c:pt idx="1590">
                  <c:v>1549</c:v>
                </c:pt>
                <c:pt idx="1591">
                  <c:v>599.99</c:v>
                </c:pt>
                <c:pt idx="1592">
                  <c:v>1099.98</c:v>
                </c:pt>
                <c:pt idx="1593">
                  <c:v>449</c:v>
                </c:pt>
                <c:pt idx="1594">
                  <c:v>1099.98</c:v>
                </c:pt>
                <c:pt idx="1595">
                  <c:v>1999.98</c:v>
                </c:pt>
                <c:pt idx="1596">
                  <c:v>1680.99</c:v>
                </c:pt>
                <c:pt idx="1597">
                  <c:v>599.99</c:v>
                </c:pt>
                <c:pt idx="1598">
                  <c:v>2899.99</c:v>
                </c:pt>
                <c:pt idx="1599">
                  <c:v>2999.99</c:v>
                </c:pt>
                <c:pt idx="1600">
                  <c:v>999.99</c:v>
                </c:pt>
                <c:pt idx="1601">
                  <c:v>539.98</c:v>
                </c:pt>
                <c:pt idx="1602">
                  <c:v>3361.98</c:v>
                </c:pt>
                <c:pt idx="1603">
                  <c:v>749.99</c:v>
                </c:pt>
                <c:pt idx="1604">
                  <c:v>599.99</c:v>
                </c:pt>
                <c:pt idx="1605">
                  <c:v>539.98</c:v>
                </c:pt>
                <c:pt idx="1606">
                  <c:v>1099.98</c:v>
                </c:pt>
                <c:pt idx="1607">
                  <c:v>599.98</c:v>
                </c:pt>
                <c:pt idx="1608">
                  <c:v>3361.98</c:v>
                </c:pt>
                <c:pt idx="1609">
                  <c:v>5799.98</c:v>
                </c:pt>
                <c:pt idx="1610">
                  <c:v>549.99</c:v>
                </c:pt>
                <c:pt idx="1611">
                  <c:v>2999.99</c:v>
                </c:pt>
                <c:pt idx="1612">
                  <c:v>1999.98</c:v>
                </c:pt>
                <c:pt idx="1613">
                  <c:v>269.99</c:v>
                </c:pt>
                <c:pt idx="1614">
                  <c:v>999.98</c:v>
                </c:pt>
                <c:pt idx="1615">
                  <c:v>898</c:v>
                </c:pt>
                <c:pt idx="1616">
                  <c:v>3599.98</c:v>
                </c:pt>
                <c:pt idx="1617">
                  <c:v>7999.98</c:v>
                </c:pt>
                <c:pt idx="1618">
                  <c:v>469.99</c:v>
                </c:pt>
                <c:pt idx="1619">
                  <c:v>1199.98</c:v>
                </c:pt>
                <c:pt idx="1620">
                  <c:v>529.99</c:v>
                </c:pt>
                <c:pt idx="1621">
                  <c:v>539.98</c:v>
                </c:pt>
                <c:pt idx="1622">
                  <c:v>5999.98</c:v>
                </c:pt>
                <c:pt idx="1623">
                  <c:v>449</c:v>
                </c:pt>
                <c:pt idx="1624">
                  <c:v>3599.98</c:v>
                </c:pt>
                <c:pt idx="1625">
                  <c:v>3098</c:v>
                </c:pt>
                <c:pt idx="1626">
                  <c:v>858</c:v>
                </c:pt>
                <c:pt idx="1627">
                  <c:v>1059.98</c:v>
                </c:pt>
                <c:pt idx="1628">
                  <c:v>449</c:v>
                </c:pt>
                <c:pt idx="1629">
                  <c:v>299.99</c:v>
                </c:pt>
                <c:pt idx="1630">
                  <c:v>529.99</c:v>
                </c:pt>
                <c:pt idx="1631">
                  <c:v>269.99</c:v>
                </c:pt>
                <c:pt idx="1632">
                  <c:v>3599.98</c:v>
                </c:pt>
                <c:pt idx="1633">
                  <c:v>1549</c:v>
                </c:pt>
                <c:pt idx="1634">
                  <c:v>898</c:v>
                </c:pt>
                <c:pt idx="1635">
                  <c:v>529.99</c:v>
                </c:pt>
                <c:pt idx="1636">
                  <c:v>1099.98</c:v>
                </c:pt>
                <c:pt idx="1637">
                  <c:v>3361.98</c:v>
                </c:pt>
                <c:pt idx="1638">
                  <c:v>599.98</c:v>
                </c:pt>
                <c:pt idx="1639">
                  <c:v>549.99</c:v>
                </c:pt>
                <c:pt idx="1640">
                  <c:v>299.99</c:v>
                </c:pt>
                <c:pt idx="1641">
                  <c:v>449</c:v>
                </c:pt>
                <c:pt idx="1642">
                  <c:v>269.99</c:v>
                </c:pt>
                <c:pt idx="1643">
                  <c:v>3098</c:v>
                </c:pt>
                <c:pt idx="1644">
                  <c:v>299.99</c:v>
                </c:pt>
                <c:pt idx="1645">
                  <c:v>1059.98</c:v>
                </c:pt>
                <c:pt idx="1646">
                  <c:v>1499.98</c:v>
                </c:pt>
                <c:pt idx="1647">
                  <c:v>599.99</c:v>
                </c:pt>
                <c:pt idx="1648">
                  <c:v>3599.98</c:v>
                </c:pt>
                <c:pt idx="1649">
                  <c:v>2641.98</c:v>
                </c:pt>
                <c:pt idx="1650">
                  <c:v>549.99</c:v>
                </c:pt>
                <c:pt idx="1651">
                  <c:v>1199.98</c:v>
                </c:pt>
                <c:pt idx="1652">
                  <c:v>999.98</c:v>
                </c:pt>
                <c:pt idx="1653">
                  <c:v>1499.98</c:v>
                </c:pt>
                <c:pt idx="1654">
                  <c:v>539.98</c:v>
                </c:pt>
                <c:pt idx="1655">
                  <c:v>599.99</c:v>
                </c:pt>
                <c:pt idx="1656">
                  <c:v>898</c:v>
                </c:pt>
                <c:pt idx="1657">
                  <c:v>1999.98</c:v>
                </c:pt>
                <c:pt idx="1658">
                  <c:v>499.99</c:v>
                </c:pt>
                <c:pt idx="1659">
                  <c:v>599.99</c:v>
                </c:pt>
                <c:pt idx="1660">
                  <c:v>539.98</c:v>
                </c:pt>
                <c:pt idx="1661">
                  <c:v>2899.99</c:v>
                </c:pt>
                <c:pt idx="1662">
                  <c:v>898</c:v>
                </c:pt>
                <c:pt idx="1663">
                  <c:v>999.99</c:v>
                </c:pt>
                <c:pt idx="1664">
                  <c:v>1549</c:v>
                </c:pt>
                <c:pt idx="1665">
                  <c:v>1199.98</c:v>
                </c:pt>
                <c:pt idx="1666">
                  <c:v>1320.99</c:v>
                </c:pt>
                <c:pt idx="1667">
                  <c:v>599.98</c:v>
                </c:pt>
                <c:pt idx="1668">
                  <c:v>2999.99</c:v>
                </c:pt>
                <c:pt idx="1669">
                  <c:v>858</c:v>
                </c:pt>
                <c:pt idx="1670">
                  <c:v>1799.99</c:v>
                </c:pt>
                <c:pt idx="1671">
                  <c:v>5799.98</c:v>
                </c:pt>
                <c:pt idx="1672">
                  <c:v>1199.98</c:v>
                </c:pt>
                <c:pt idx="1673">
                  <c:v>269.99</c:v>
                </c:pt>
                <c:pt idx="1674">
                  <c:v>5999.98</c:v>
                </c:pt>
                <c:pt idx="1675">
                  <c:v>539.98</c:v>
                </c:pt>
                <c:pt idx="1676">
                  <c:v>299.99</c:v>
                </c:pt>
                <c:pt idx="1677">
                  <c:v>3098</c:v>
                </c:pt>
                <c:pt idx="1678">
                  <c:v>1199.98</c:v>
                </c:pt>
                <c:pt idx="1679">
                  <c:v>2899.99</c:v>
                </c:pt>
                <c:pt idx="1680">
                  <c:v>898</c:v>
                </c:pt>
                <c:pt idx="1681">
                  <c:v>1099.98</c:v>
                </c:pt>
                <c:pt idx="1682">
                  <c:v>1059.98</c:v>
                </c:pt>
                <c:pt idx="1683">
                  <c:v>2641.98</c:v>
                </c:pt>
                <c:pt idx="1684">
                  <c:v>549.99</c:v>
                </c:pt>
                <c:pt idx="1685">
                  <c:v>2899.99</c:v>
                </c:pt>
                <c:pt idx="1686">
                  <c:v>3098</c:v>
                </c:pt>
                <c:pt idx="1687">
                  <c:v>5999.98</c:v>
                </c:pt>
                <c:pt idx="1688">
                  <c:v>449</c:v>
                </c:pt>
                <c:pt idx="1689">
                  <c:v>999.98</c:v>
                </c:pt>
                <c:pt idx="1690">
                  <c:v>539.98</c:v>
                </c:pt>
                <c:pt idx="1691">
                  <c:v>1680.99</c:v>
                </c:pt>
                <c:pt idx="1692">
                  <c:v>939.98</c:v>
                </c:pt>
                <c:pt idx="1693">
                  <c:v>898</c:v>
                </c:pt>
                <c:pt idx="1694">
                  <c:v>3361.98</c:v>
                </c:pt>
                <c:pt idx="1695">
                  <c:v>1199.98</c:v>
                </c:pt>
                <c:pt idx="1696">
                  <c:v>269.99</c:v>
                </c:pt>
                <c:pt idx="1697">
                  <c:v>5799.98</c:v>
                </c:pt>
                <c:pt idx="1698">
                  <c:v>7999.98</c:v>
                </c:pt>
                <c:pt idx="1699">
                  <c:v>549.99</c:v>
                </c:pt>
                <c:pt idx="1700">
                  <c:v>1549</c:v>
                </c:pt>
                <c:pt idx="1701">
                  <c:v>3999.99</c:v>
                </c:pt>
                <c:pt idx="1702">
                  <c:v>539.98</c:v>
                </c:pt>
                <c:pt idx="1703">
                  <c:v>1320.99</c:v>
                </c:pt>
                <c:pt idx="1704">
                  <c:v>599.99</c:v>
                </c:pt>
                <c:pt idx="1705">
                  <c:v>549.99</c:v>
                </c:pt>
                <c:pt idx="1706">
                  <c:v>898</c:v>
                </c:pt>
                <c:pt idx="1707">
                  <c:v>999.99</c:v>
                </c:pt>
                <c:pt idx="1708">
                  <c:v>1799.99</c:v>
                </c:pt>
                <c:pt idx="1709">
                  <c:v>1199.98</c:v>
                </c:pt>
                <c:pt idx="1710">
                  <c:v>269.99</c:v>
                </c:pt>
                <c:pt idx="1711">
                  <c:v>269.99</c:v>
                </c:pt>
                <c:pt idx="1712">
                  <c:v>429</c:v>
                </c:pt>
                <c:pt idx="1713">
                  <c:v>599.99</c:v>
                </c:pt>
                <c:pt idx="1714">
                  <c:v>5999.98</c:v>
                </c:pt>
                <c:pt idx="1715">
                  <c:v>898</c:v>
                </c:pt>
                <c:pt idx="1716">
                  <c:v>549.99</c:v>
                </c:pt>
                <c:pt idx="1717">
                  <c:v>449</c:v>
                </c:pt>
                <c:pt idx="1718">
                  <c:v>269.99</c:v>
                </c:pt>
                <c:pt idx="1719">
                  <c:v>1680.99</c:v>
                </c:pt>
                <c:pt idx="1720">
                  <c:v>299.99</c:v>
                </c:pt>
                <c:pt idx="1721">
                  <c:v>939.98</c:v>
                </c:pt>
                <c:pt idx="1722">
                  <c:v>898</c:v>
                </c:pt>
                <c:pt idx="1723">
                  <c:v>549.99</c:v>
                </c:pt>
                <c:pt idx="1724">
                  <c:v>1199.98</c:v>
                </c:pt>
                <c:pt idx="1725">
                  <c:v>1059.98</c:v>
                </c:pt>
                <c:pt idx="1726">
                  <c:v>3361.98</c:v>
                </c:pt>
                <c:pt idx="1727">
                  <c:v>858</c:v>
                </c:pt>
                <c:pt idx="1728">
                  <c:v>1680.99</c:v>
                </c:pt>
                <c:pt idx="1729">
                  <c:v>499.99</c:v>
                </c:pt>
                <c:pt idx="1730">
                  <c:v>2641.98</c:v>
                </c:pt>
                <c:pt idx="1731">
                  <c:v>858</c:v>
                </c:pt>
                <c:pt idx="1732">
                  <c:v>5999.98</c:v>
                </c:pt>
                <c:pt idx="1733">
                  <c:v>449</c:v>
                </c:pt>
                <c:pt idx="1734">
                  <c:v>1549</c:v>
                </c:pt>
                <c:pt idx="1735">
                  <c:v>499.99</c:v>
                </c:pt>
                <c:pt idx="1736">
                  <c:v>1799.99</c:v>
                </c:pt>
                <c:pt idx="1737">
                  <c:v>539.98</c:v>
                </c:pt>
                <c:pt idx="1738">
                  <c:v>599.99</c:v>
                </c:pt>
                <c:pt idx="1739">
                  <c:v>269.99</c:v>
                </c:pt>
                <c:pt idx="1740">
                  <c:v>539.98</c:v>
                </c:pt>
                <c:pt idx="1741">
                  <c:v>429</c:v>
                </c:pt>
                <c:pt idx="1742">
                  <c:v>3361.98</c:v>
                </c:pt>
                <c:pt idx="1743">
                  <c:v>599.99</c:v>
                </c:pt>
                <c:pt idx="1744">
                  <c:v>599.98</c:v>
                </c:pt>
                <c:pt idx="1745">
                  <c:v>529.99</c:v>
                </c:pt>
                <c:pt idx="1746">
                  <c:v>449</c:v>
                </c:pt>
                <c:pt idx="1747">
                  <c:v>5999.98</c:v>
                </c:pt>
                <c:pt idx="1748">
                  <c:v>599.99</c:v>
                </c:pt>
                <c:pt idx="1749">
                  <c:v>1059.98</c:v>
                </c:pt>
                <c:pt idx="1750">
                  <c:v>449</c:v>
                </c:pt>
                <c:pt idx="1751">
                  <c:v>2641.98</c:v>
                </c:pt>
                <c:pt idx="1752">
                  <c:v>599.98</c:v>
                </c:pt>
                <c:pt idx="1753">
                  <c:v>539.98</c:v>
                </c:pt>
                <c:pt idx="1754">
                  <c:v>939.98</c:v>
                </c:pt>
                <c:pt idx="1755">
                  <c:v>1320.99</c:v>
                </c:pt>
                <c:pt idx="1756">
                  <c:v>499.99</c:v>
                </c:pt>
                <c:pt idx="1757">
                  <c:v>898</c:v>
                </c:pt>
                <c:pt idx="1758">
                  <c:v>539.98</c:v>
                </c:pt>
                <c:pt idx="1759">
                  <c:v>1099.98</c:v>
                </c:pt>
                <c:pt idx="1760">
                  <c:v>1059.98</c:v>
                </c:pt>
                <c:pt idx="1761">
                  <c:v>499.99</c:v>
                </c:pt>
                <c:pt idx="1762">
                  <c:v>3361.98</c:v>
                </c:pt>
                <c:pt idx="1763">
                  <c:v>529.99</c:v>
                </c:pt>
                <c:pt idx="1764">
                  <c:v>469.99</c:v>
                </c:pt>
                <c:pt idx="1765">
                  <c:v>539.98</c:v>
                </c:pt>
                <c:pt idx="1766">
                  <c:v>1099.98</c:v>
                </c:pt>
                <c:pt idx="1767">
                  <c:v>539.98</c:v>
                </c:pt>
                <c:pt idx="1768">
                  <c:v>2641.98</c:v>
                </c:pt>
                <c:pt idx="1769">
                  <c:v>3098</c:v>
                </c:pt>
                <c:pt idx="1770">
                  <c:v>5799.98</c:v>
                </c:pt>
                <c:pt idx="1771">
                  <c:v>549.99</c:v>
                </c:pt>
                <c:pt idx="1772">
                  <c:v>2899.99</c:v>
                </c:pt>
                <c:pt idx="1773">
                  <c:v>659.98</c:v>
                </c:pt>
                <c:pt idx="1774">
                  <c:v>2999.99</c:v>
                </c:pt>
                <c:pt idx="1775">
                  <c:v>899.98</c:v>
                </c:pt>
                <c:pt idx="1776">
                  <c:v>551.99</c:v>
                </c:pt>
                <c:pt idx="1777">
                  <c:v>5499.99</c:v>
                </c:pt>
                <c:pt idx="1778">
                  <c:v>1499.98</c:v>
                </c:pt>
                <c:pt idx="1779">
                  <c:v>529.99</c:v>
                </c:pt>
                <c:pt idx="1780">
                  <c:v>749.99</c:v>
                </c:pt>
                <c:pt idx="1781">
                  <c:v>619.99</c:v>
                </c:pt>
                <c:pt idx="1782">
                  <c:v>9999.98</c:v>
                </c:pt>
                <c:pt idx="1783">
                  <c:v>899.98</c:v>
                </c:pt>
                <c:pt idx="1784">
                  <c:v>469.99</c:v>
                </c:pt>
                <c:pt idx="1785">
                  <c:v>999.99</c:v>
                </c:pt>
                <c:pt idx="1786">
                  <c:v>599.98</c:v>
                </c:pt>
                <c:pt idx="1787">
                  <c:v>833.98</c:v>
                </c:pt>
                <c:pt idx="1788">
                  <c:v>529.99</c:v>
                </c:pt>
                <c:pt idx="1789">
                  <c:v>3499.99</c:v>
                </c:pt>
                <c:pt idx="1790">
                  <c:v>489.99</c:v>
                </c:pt>
                <c:pt idx="1791">
                  <c:v>899.98</c:v>
                </c:pt>
                <c:pt idx="1792">
                  <c:v>749.99</c:v>
                </c:pt>
                <c:pt idx="1793">
                  <c:v>2999.99</c:v>
                </c:pt>
                <c:pt idx="1794">
                  <c:v>299.99</c:v>
                </c:pt>
                <c:pt idx="1795">
                  <c:v>4599.9799999999996</c:v>
                </c:pt>
                <c:pt idx="1796">
                  <c:v>469.99</c:v>
                </c:pt>
                <c:pt idx="1797">
                  <c:v>10599.98</c:v>
                </c:pt>
                <c:pt idx="1798">
                  <c:v>539.98</c:v>
                </c:pt>
                <c:pt idx="1799">
                  <c:v>1059.98</c:v>
                </c:pt>
                <c:pt idx="1800">
                  <c:v>2899.99</c:v>
                </c:pt>
                <c:pt idx="1801">
                  <c:v>299.99</c:v>
                </c:pt>
                <c:pt idx="1802">
                  <c:v>549.99</c:v>
                </c:pt>
                <c:pt idx="1803">
                  <c:v>999.98</c:v>
                </c:pt>
                <c:pt idx="1804">
                  <c:v>269.99</c:v>
                </c:pt>
                <c:pt idx="1805">
                  <c:v>549.99</c:v>
                </c:pt>
                <c:pt idx="1806">
                  <c:v>699.98</c:v>
                </c:pt>
                <c:pt idx="1807">
                  <c:v>209.99</c:v>
                </c:pt>
                <c:pt idx="1808">
                  <c:v>3361.98</c:v>
                </c:pt>
                <c:pt idx="1809">
                  <c:v>647.99</c:v>
                </c:pt>
                <c:pt idx="1810">
                  <c:v>999.99</c:v>
                </c:pt>
                <c:pt idx="1811">
                  <c:v>402.99</c:v>
                </c:pt>
                <c:pt idx="1812">
                  <c:v>329.99</c:v>
                </c:pt>
                <c:pt idx="1813">
                  <c:v>979.98</c:v>
                </c:pt>
                <c:pt idx="1814">
                  <c:v>499.98</c:v>
                </c:pt>
                <c:pt idx="1815">
                  <c:v>489.99</c:v>
                </c:pt>
                <c:pt idx="1816">
                  <c:v>6999.98</c:v>
                </c:pt>
                <c:pt idx="1817">
                  <c:v>501.98</c:v>
                </c:pt>
                <c:pt idx="1818">
                  <c:v>299.99</c:v>
                </c:pt>
                <c:pt idx="1819">
                  <c:v>439.99</c:v>
                </c:pt>
                <c:pt idx="1820">
                  <c:v>469.99</c:v>
                </c:pt>
                <c:pt idx="1821">
                  <c:v>5299.99</c:v>
                </c:pt>
                <c:pt idx="1822">
                  <c:v>1499.98</c:v>
                </c:pt>
                <c:pt idx="1823">
                  <c:v>761.99</c:v>
                </c:pt>
                <c:pt idx="1824">
                  <c:v>379.98</c:v>
                </c:pt>
                <c:pt idx="1825">
                  <c:v>2999.99</c:v>
                </c:pt>
                <c:pt idx="1826">
                  <c:v>299.99</c:v>
                </c:pt>
                <c:pt idx="1827">
                  <c:v>941.98</c:v>
                </c:pt>
                <c:pt idx="1828">
                  <c:v>699.98</c:v>
                </c:pt>
                <c:pt idx="1829">
                  <c:v>250.99</c:v>
                </c:pt>
                <c:pt idx="1830">
                  <c:v>149.99</c:v>
                </c:pt>
                <c:pt idx="1831">
                  <c:v>269.99</c:v>
                </c:pt>
                <c:pt idx="1832">
                  <c:v>939.98</c:v>
                </c:pt>
                <c:pt idx="1833">
                  <c:v>875.99</c:v>
                </c:pt>
                <c:pt idx="1834">
                  <c:v>6399.98</c:v>
                </c:pt>
                <c:pt idx="1835">
                  <c:v>6999.98</c:v>
                </c:pt>
                <c:pt idx="1836">
                  <c:v>999.99</c:v>
                </c:pt>
                <c:pt idx="1837">
                  <c:v>2999.99</c:v>
                </c:pt>
                <c:pt idx="1838">
                  <c:v>4599.9799999999996</c:v>
                </c:pt>
                <c:pt idx="1839">
                  <c:v>2999.98</c:v>
                </c:pt>
                <c:pt idx="1840">
                  <c:v>659.99</c:v>
                </c:pt>
                <c:pt idx="1841">
                  <c:v>9999.98</c:v>
                </c:pt>
                <c:pt idx="1842">
                  <c:v>999.99</c:v>
                </c:pt>
                <c:pt idx="1843">
                  <c:v>5199.9799999999996</c:v>
                </c:pt>
                <c:pt idx="1844">
                  <c:v>10599.98</c:v>
                </c:pt>
                <c:pt idx="1845">
                  <c:v>1999.98</c:v>
                </c:pt>
                <c:pt idx="1846">
                  <c:v>6999.98</c:v>
                </c:pt>
                <c:pt idx="1847">
                  <c:v>539.98</c:v>
                </c:pt>
                <c:pt idx="1848">
                  <c:v>5399.98</c:v>
                </c:pt>
                <c:pt idx="1849">
                  <c:v>599.98</c:v>
                </c:pt>
                <c:pt idx="1850">
                  <c:v>979.98</c:v>
                </c:pt>
                <c:pt idx="1851">
                  <c:v>269.99</c:v>
                </c:pt>
                <c:pt idx="1852">
                  <c:v>899.98</c:v>
                </c:pt>
                <c:pt idx="1853">
                  <c:v>2939.98</c:v>
                </c:pt>
                <c:pt idx="1854">
                  <c:v>858</c:v>
                </c:pt>
                <c:pt idx="1855">
                  <c:v>249.99</c:v>
                </c:pt>
                <c:pt idx="1856">
                  <c:v>416.99</c:v>
                </c:pt>
                <c:pt idx="1857">
                  <c:v>449.99</c:v>
                </c:pt>
                <c:pt idx="1858">
                  <c:v>1751.98</c:v>
                </c:pt>
                <c:pt idx="1859">
                  <c:v>1320.99</c:v>
                </c:pt>
                <c:pt idx="1860">
                  <c:v>5999.99</c:v>
                </c:pt>
                <c:pt idx="1861">
                  <c:v>679.98</c:v>
                </c:pt>
                <c:pt idx="1862">
                  <c:v>5299.99</c:v>
                </c:pt>
                <c:pt idx="1863">
                  <c:v>4999.99</c:v>
                </c:pt>
                <c:pt idx="1864">
                  <c:v>4599.9799999999996</c:v>
                </c:pt>
                <c:pt idx="1865">
                  <c:v>999.98</c:v>
                </c:pt>
                <c:pt idx="1866">
                  <c:v>979.98</c:v>
                </c:pt>
                <c:pt idx="1867">
                  <c:v>1499.99</c:v>
                </c:pt>
                <c:pt idx="1868">
                  <c:v>402.99</c:v>
                </c:pt>
                <c:pt idx="1869">
                  <c:v>109.99</c:v>
                </c:pt>
                <c:pt idx="1870">
                  <c:v>999.99</c:v>
                </c:pt>
                <c:pt idx="1871">
                  <c:v>299.99</c:v>
                </c:pt>
                <c:pt idx="1872">
                  <c:v>329.99</c:v>
                </c:pt>
                <c:pt idx="1873">
                  <c:v>2999.98</c:v>
                </c:pt>
                <c:pt idx="1874">
                  <c:v>898</c:v>
                </c:pt>
                <c:pt idx="1875">
                  <c:v>1199.98</c:v>
                </c:pt>
                <c:pt idx="1876">
                  <c:v>619.99</c:v>
                </c:pt>
                <c:pt idx="1877">
                  <c:v>449.99</c:v>
                </c:pt>
                <c:pt idx="1878">
                  <c:v>2499.9899999999998</c:v>
                </c:pt>
                <c:pt idx="1879">
                  <c:v>963.98</c:v>
                </c:pt>
                <c:pt idx="1880">
                  <c:v>1739.98</c:v>
                </c:pt>
                <c:pt idx="1881">
                  <c:v>999.99</c:v>
                </c:pt>
                <c:pt idx="1882">
                  <c:v>416.99</c:v>
                </c:pt>
                <c:pt idx="1883">
                  <c:v>2699.99</c:v>
                </c:pt>
                <c:pt idx="1884">
                  <c:v>2899.99</c:v>
                </c:pt>
                <c:pt idx="1885">
                  <c:v>833.98</c:v>
                </c:pt>
                <c:pt idx="1886">
                  <c:v>12999.98</c:v>
                </c:pt>
                <c:pt idx="1887">
                  <c:v>699.98</c:v>
                </c:pt>
                <c:pt idx="1888">
                  <c:v>2999.98</c:v>
                </c:pt>
                <c:pt idx="1889">
                  <c:v>250.99</c:v>
                </c:pt>
                <c:pt idx="1890">
                  <c:v>549.99</c:v>
                </c:pt>
                <c:pt idx="1891">
                  <c:v>1320.99</c:v>
                </c:pt>
                <c:pt idx="1892">
                  <c:v>269.99</c:v>
                </c:pt>
                <c:pt idx="1893">
                  <c:v>1199.98</c:v>
                </c:pt>
                <c:pt idx="1894">
                  <c:v>429</c:v>
                </c:pt>
                <c:pt idx="1895">
                  <c:v>419.98</c:v>
                </c:pt>
                <c:pt idx="1896">
                  <c:v>449</c:v>
                </c:pt>
                <c:pt idx="1897">
                  <c:v>469.99</c:v>
                </c:pt>
                <c:pt idx="1898">
                  <c:v>659.99</c:v>
                </c:pt>
                <c:pt idx="1899">
                  <c:v>963.98</c:v>
                </c:pt>
                <c:pt idx="1900">
                  <c:v>549.99</c:v>
                </c:pt>
                <c:pt idx="1901">
                  <c:v>999.99</c:v>
                </c:pt>
                <c:pt idx="1902">
                  <c:v>599.99</c:v>
                </c:pt>
                <c:pt idx="1903">
                  <c:v>7999.98</c:v>
                </c:pt>
                <c:pt idx="1904">
                  <c:v>1067.98</c:v>
                </c:pt>
                <c:pt idx="1905">
                  <c:v>699.98</c:v>
                </c:pt>
                <c:pt idx="1906">
                  <c:v>6399.98</c:v>
                </c:pt>
                <c:pt idx="1907">
                  <c:v>1751.98</c:v>
                </c:pt>
                <c:pt idx="1908">
                  <c:v>759.98</c:v>
                </c:pt>
                <c:pt idx="1909">
                  <c:v>1059.98</c:v>
                </c:pt>
                <c:pt idx="1910">
                  <c:v>299.98</c:v>
                </c:pt>
                <c:pt idx="1911">
                  <c:v>2199.98</c:v>
                </c:pt>
                <c:pt idx="1912">
                  <c:v>3999.99</c:v>
                </c:pt>
                <c:pt idx="1913">
                  <c:v>5999.99</c:v>
                </c:pt>
                <c:pt idx="1914">
                  <c:v>659.99</c:v>
                </c:pt>
                <c:pt idx="1915">
                  <c:v>3499.99</c:v>
                </c:pt>
                <c:pt idx="1916">
                  <c:v>4999.99</c:v>
                </c:pt>
                <c:pt idx="1917">
                  <c:v>939.98</c:v>
                </c:pt>
                <c:pt idx="1918">
                  <c:v>999.99</c:v>
                </c:pt>
                <c:pt idx="1919">
                  <c:v>1499.99</c:v>
                </c:pt>
                <c:pt idx="1920">
                  <c:v>3119.98</c:v>
                </c:pt>
                <c:pt idx="1921">
                  <c:v>299.99</c:v>
                </c:pt>
                <c:pt idx="1922">
                  <c:v>1499.98</c:v>
                </c:pt>
                <c:pt idx="1923">
                  <c:v>5499.99</c:v>
                </c:pt>
                <c:pt idx="1924">
                  <c:v>469.99</c:v>
                </c:pt>
                <c:pt idx="1925">
                  <c:v>2599.9899999999998</c:v>
                </c:pt>
                <c:pt idx="1926">
                  <c:v>2999.98</c:v>
                </c:pt>
                <c:pt idx="1927">
                  <c:v>416.99</c:v>
                </c:pt>
                <c:pt idx="1928">
                  <c:v>979.98</c:v>
                </c:pt>
                <c:pt idx="1929">
                  <c:v>10999.98</c:v>
                </c:pt>
                <c:pt idx="1930">
                  <c:v>599.99</c:v>
                </c:pt>
                <c:pt idx="1931">
                  <c:v>999.99</c:v>
                </c:pt>
                <c:pt idx="1932">
                  <c:v>379.98</c:v>
                </c:pt>
                <c:pt idx="1933">
                  <c:v>898</c:v>
                </c:pt>
                <c:pt idx="1934">
                  <c:v>481.99</c:v>
                </c:pt>
                <c:pt idx="1935">
                  <c:v>2999.98</c:v>
                </c:pt>
                <c:pt idx="1936">
                  <c:v>299.99</c:v>
                </c:pt>
                <c:pt idx="1937">
                  <c:v>2641.98</c:v>
                </c:pt>
                <c:pt idx="1938">
                  <c:v>149.99</c:v>
                </c:pt>
                <c:pt idx="1939">
                  <c:v>1799.99</c:v>
                </c:pt>
                <c:pt idx="1940">
                  <c:v>189.99</c:v>
                </c:pt>
                <c:pt idx="1941">
                  <c:v>939.98</c:v>
                </c:pt>
                <c:pt idx="1942">
                  <c:v>109.99</c:v>
                </c:pt>
                <c:pt idx="1943">
                  <c:v>3361.98</c:v>
                </c:pt>
                <c:pt idx="1944">
                  <c:v>329.99</c:v>
                </c:pt>
                <c:pt idx="1945">
                  <c:v>833.98</c:v>
                </c:pt>
                <c:pt idx="1946">
                  <c:v>599.98</c:v>
                </c:pt>
                <c:pt idx="1947">
                  <c:v>2641.98</c:v>
                </c:pt>
                <c:pt idx="1948">
                  <c:v>5399.98</c:v>
                </c:pt>
                <c:pt idx="1949">
                  <c:v>599.99</c:v>
                </c:pt>
                <c:pt idx="1950">
                  <c:v>2599.9899999999998</c:v>
                </c:pt>
                <c:pt idx="1951">
                  <c:v>599.99</c:v>
                </c:pt>
                <c:pt idx="1952">
                  <c:v>1059.98</c:v>
                </c:pt>
                <c:pt idx="1953">
                  <c:v>10999.98</c:v>
                </c:pt>
                <c:pt idx="1954">
                  <c:v>963.98</c:v>
                </c:pt>
                <c:pt idx="1955">
                  <c:v>269.99</c:v>
                </c:pt>
                <c:pt idx="1956">
                  <c:v>2641.98</c:v>
                </c:pt>
                <c:pt idx="1957">
                  <c:v>1632.99</c:v>
                </c:pt>
                <c:pt idx="1958">
                  <c:v>1499.99</c:v>
                </c:pt>
                <c:pt idx="1959">
                  <c:v>1499.99</c:v>
                </c:pt>
                <c:pt idx="1960">
                  <c:v>5399.98</c:v>
                </c:pt>
                <c:pt idx="1961">
                  <c:v>1103.98</c:v>
                </c:pt>
                <c:pt idx="1962">
                  <c:v>1739.98</c:v>
                </c:pt>
                <c:pt idx="1963">
                  <c:v>1319.98</c:v>
                </c:pt>
                <c:pt idx="1964">
                  <c:v>3999.98</c:v>
                </c:pt>
                <c:pt idx="1965">
                  <c:v>379.98</c:v>
                </c:pt>
                <c:pt idx="1966">
                  <c:v>3999.99</c:v>
                </c:pt>
                <c:pt idx="1967">
                  <c:v>869.99</c:v>
                </c:pt>
                <c:pt idx="1968">
                  <c:v>2641.98</c:v>
                </c:pt>
                <c:pt idx="1969">
                  <c:v>349.99</c:v>
                </c:pt>
                <c:pt idx="1970">
                  <c:v>549.99</c:v>
                </c:pt>
                <c:pt idx="1971">
                  <c:v>9999.98</c:v>
                </c:pt>
                <c:pt idx="1972">
                  <c:v>899.98</c:v>
                </c:pt>
                <c:pt idx="1973">
                  <c:v>1499.99</c:v>
                </c:pt>
                <c:pt idx="1974">
                  <c:v>1632.99</c:v>
                </c:pt>
                <c:pt idx="1975">
                  <c:v>1099.98</c:v>
                </c:pt>
                <c:pt idx="1976">
                  <c:v>1319.98</c:v>
                </c:pt>
                <c:pt idx="1977">
                  <c:v>7999.98</c:v>
                </c:pt>
                <c:pt idx="1978">
                  <c:v>3499.99</c:v>
                </c:pt>
                <c:pt idx="1979">
                  <c:v>109.99</c:v>
                </c:pt>
                <c:pt idx="1980">
                  <c:v>999.98</c:v>
                </c:pt>
                <c:pt idx="1981">
                  <c:v>481.99</c:v>
                </c:pt>
                <c:pt idx="1982">
                  <c:v>1999.98</c:v>
                </c:pt>
                <c:pt idx="1983">
                  <c:v>1739.98</c:v>
                </c:pt>
                <c:pt idx="1984">
                  <c:v>501.98</c:v>
                </c:pt>
                <c:pt idx="1985">
                  <c:v>619.99</c:v>
                </c:pt>
                <c:pt idx="1986">
                  <c:v>5799.98</c:v>
                </c:pt>
                <c:pt idx="1987">
                  <c:v>3098</c:v>
                </c:pt>
                <c:pt idx="1988">
                  <c:v>3499.99</c:v>
                </c:pt>
                <c:pt idx="1989">
                  <c:v>979.98</c:v>
                </c:pt>
                <c:pt idx="1990">
                  <c:v>4999.99</c:v>
                </c:pt>
                <c:pt idx="1991">
                  <c:v>999.99</c:v>
                </c:pt>
                <c:pt idx="1992">
                  <c:v>599.98</c:v>
                </c:pt>
                <c:pt idx="1993">
                  <c:v>1559.99</c:v>
                </c:pt>
                <c:pt idx="1994">
                  <c:v>899.98</c:v>
                </c:pt>
                <c:pt idx="1995">
                  <c:v>489.99</c:v>
                </c:pt>
                <c:pt idx="1996">
                  <c:v>3361.98</c:v>
                </c:pt>
                <c:pt idx="1997">
                  <c:v>1199.98</c:v>
                </c:pt>
                <c:pt idx="1998">
                  <c:v>469.99</c:v>
                </c:pt>
                <c:pt idx="1999">
                  <c:v>5299.99</c:v>
                </c:pt>
                <c:pt idx="2000">
                  <c:v>939.98</c:v>
                </c:pt>
                <c:pt idx="2001">
                  <c:v>5399.98</c:v>
                </c:pt>
                <c:pt idx="2002">
                  <c:v>679.98</c:v>
                </c:pt>
                <c:pt idx="2003">
                  <c:v>1499.99</c:v>
                </c:pt>
                <c:pt idx="2004">
                  <c:v>2299.9899999999998</c:v>
                </c:pt>
                <c:pt idx="2005">
                  <c:v>3119.98</c:v>
                </c:pt>
                <c:pt idx="2006">
                  <c:v>2999.98</c:v>
                </c:pt>
                <c:pt idx="2007">
                  <c:v>1999.99</c:v>
                </c:pt>
                <c:pt idx="2008">
                  <c:v>2499.9899999999998</c:v>
                </c:pt>
                <c:pt idx="2009">
                  <c:v>2641.98</c:v>
                </c:pt>
                <c:pt idx="2010">
                  <c:v>599.98</c:v>
                </c:pt>
                <c:pt idx="2011">
                  <c:v>1239.98</c:v>
                </c:pt>
                <c:pt idx="2012">
                  <c:v>1079.98</c:v>
                </c:pt>
                <c:pt idx="2013">
                  <c:v>879.98</c:v>
                </c:pt>
                <c:pt idx="2014">
                  <c:v>832.99</c:v>
                </c:pt>
                <c:pt idx="2015">
                  <c:v>299.99</c:v>
                </c:pt>
                <c:pt idx="2016">
                  <c:v>5799.98</c:v>
                </c:pt>
                <c:pt idx="2017">
                  <c:v>419.98</c:v>
                </c:pt>
                <c:pt idx="2018">
                  <c:v>699.98</c:v>
                </c:pt>
                <c:pt idx="2019">
                  <c:v>749.99</c:v>
                </c:pt>
                <c:pt idx="2020">
                  <c:v>899.98</c:v>
                </c:pt>
                <c:pt idx="2021">
                  <c:v>419.98</c:v>
                </c:pt>
                <c:pt idx="2022">
                  <c:v>9999.98</c:v>
                </c:pt>
                <c:pt idx="2023">
                  <c:v>5999.99</c:v>
                </c:pt>
                <c:pt idx="2024">
                  <c:v>941.98</c:v>
                </c:pt>
                <c:pt idx="2025">
                  <c:v>419.98</c:v>
                </c:pt>
                <c:pt idx="2026">
                  <c:v>402.99</c:v>
                </c:pt>
                <c:pt idx="2027">
                  <c:v>5799.98</c:v>
                </c:pt>
                <c:pt idx="2028">
                  <c:v>10999.98</c:v>
                </c:pt>
                <c:pt idx="2029">
                  <c:v>209.99</c:v>
                </c:pt>
                <c:pt idx="2030">
                  <c:v>419.98</c:v>
                </c:pt>
                <c:pt idx="2031">
                  <c:v>9999.98</c:v>
                </c:pt>
                <c:pt idx="2032">
                  <c:v>979.98</c:v>
                </c:pt>
                <c:pt idx="2033">
                  <c:v>489.99</c:v>
                </c:pt>
                <c:pt idx="2034">
                  <c:v>470.99</c:v>
                </c:pt>
                <c:pt idx="2035">
                  <c:v>469.99</c:v>
                </c:pt>
                <c:pt idx="2036">
                  <c:v>1739.98</c:v>
                </c:pt>
                <c:pt idx="2037">
                  <c:v>489.99</c:v>
                </c:pt>
                <c:pt idx="2038">
                  <c:v>1499.98</c:v>
                </c:pt>
                <c:pt idx="2039">
                  <c:v>469.99</c:v>
                </c:pt>
                <c:pt idx="2040">
                  <c:v>539.98</c:v>
                </c:pt>
                <c:pt idx="2041">
                  <c:v>999.99</c:v>
                </c:pt>
                <c:pt idx="2042">
                  <c:v>963.98</c:v>
                </c:pt>
                <c:pt idx="2043">
                  <c:v>1099.98</c:v>
                </c:pt>
                <c:pt idx="2044">
                  <c:v>599.99</c:v>
                </c:pt>
                <c:pt idx="2045">
                  <c:v>449.99</c:v>
                </c:pt>
                <c:pt idx="2046">
                  <c:v>299.99</c:v>
                </c:pt>
                <c:pt idx="2047">
                  <c:v>599.99</c:v>
                </c:pt>
                <c:pt idx="2048">
                  <c:v>489.99</c:v>
                </c:pt>
                <c:pt idx="2049">
                  <c:v>2699.99</c:v>
                </c:pt>
                <c:pt idx="2050">
                  <c:v>209.99</c:v>
                </c:pt>
                <c:pt idx="2051">
                  <c:v>349.99</c:v>
                </c:pt>
                <c:pt idx="2052">
                  <c:v>1599.98</c:v>
                </c:pt>
                <c:pt idx="2053">
                  <c:v>6999.98</c:v>
                </c:pt>
                <c:pt idx="2054">
                  <c:v>489.99</c:v>
                </c:pt>
                <c:pt idx="2055">
                  <c:v>647.99</c:v>
                </c:pt>
                <c:pt idx="2056">
                  <c:v>1319.98</c:v>
                </c:pt>
                <c:pt idx="2057">
                  <c:v>659.99</c:v>
                </c:pt>
                <c:pt idx="2058">
                  <c:v>5499.99</c:v>
                </c:pt>
                <c:pt idx="2059">
                  <c:v>349.99</c:v>
                </c:pt>
                <c:pt idx="2060">
                  <c:v>4999.99</c:v>
                </c:pt>
                <c:pt idx="2061">
                  <c:v>679.98</c:v>
                </c:pt>
                <c:pt idx="2062">
                  <c:v>5199.9799999999996</c:v>
                </c:pt>
                <c:pt idx="2063">
                  <c:v>402.99</c:v>
                </c:pt>
                <c:pt idx="2064">
                  <c:v>699.98</c:v>
                </c:pt>
                <c:pt idx="2065">
                  <c:v>269.99</c:v>
                </c:pt>
                <c:pt idx="2066">
                  <c:v>349.99</c:v>
                </c:pt>
                <c:pt idx="2067">
                  <c:v>3499.99</c:v>
                </c:pt>
                <c:pt idx="2068">
                  <c:v>501.98</c:v>
                </c:pt>
                <c:pt idx="2069">
                  <c:v>999.99</c:v>
                </c:pt>
                <c:pt idx="2070">
                  <c:v>5299.99</c:v>
                </c:pt>
                <c:pt idx="2071">
                  <c:v>5799.98</c:v>
                </c:pt>
                <c:pt idx="2072">
                  <c:v>109.99</c:v>
                </c:pt>
                <c:pt idx="2073">
                  <c:v>2699.99</c:v>
                </c:pt>
                <c:pt idx="2074">
                  <c:v>979.98</c:v>
                </c:pt>
                <c:pt idx="2075">
                  <c:v>599.99</c:v>
                </c:pt>
                <c:pt idx="2076">
                  <c:v>999.99</c:v>
                </c:pt>
                <c:pt idx="2077">
                  <c:v>219.98</c:v>
                </c:pt>
                <c:pt idx="2078">
                  <c:v>693.98</c:v>
                </c:pt>
                <c:pt idx="2079">
                  <c:v>833.98</c:v>
                </c:pt>
                <c:pt idx="2080">
                  <c:v>3098</c:v>
                </c:pt>
                <c:pt idx="2081">
                  <c:v>10999.98</c:v>
                </c:pt>
                <c:pt idx="2082">
                  <c:v>429</c:v>
                </c:pt>
                <c:pt idx="2083">
                  <c:v>6999.98</c:v>
                </c:pt>
                <c:pt idx="2084">
                  <c:v>875.99</c:v>
                </c:pt>
                <c:pt idx="2085">
                  <c:v>898</c:v>
                </c:pt>
                <c:pt idx="2086">
                  <c:v>1599.98</c:v>
                </c:pt>
                <c:pt idx="2087">
                  <c:v>469.99</c:v>
                </c:pt>
                <c:pt idx="2088">
                  <c:v>1319.98</c:v>
                </c:pt>
                <c:pt idx="2089">
                  <c:v>1099.98</c:v>
                </c:pt>
                <c:pt idx="2090">
                  <c:v>499.99</c:v>
                </c:pt>
                <c:pt idx="2091">
                  <c:v>3499.99</c:v>
                </c:pt>
                <c:pt idx="2092">
                  <c:v>999.99</c:v>
                </c:pt>
                <c:pt idx="2093">
                  <c:v>1099.99</c:v>
                </c:pt>
                <c:pt idx="2094">
                  <c:v>499.98</c:v>
                </c:pt>
                <c:pt idx="2095">
                  <c:v>1680.99</c:v>
                </c:pt>
                <c:pt idx="2096">
                  <c:v>449</c:v>
                </c:pt>
                <c:pt idx="2097">
                  <c:v>1099.98</c:v>
                </c:pt>
                <c:pt idx="2098">
                  <c:v>4999.99</c:v>
                </c:pt>
                <c:pt idx="2099">
                  <c:v>299.99</c:v>
                </c:pt>
                <c:pt idx="2100">
                  <c:v>539.98</c:v>
                </c:pt>
                <c:pt idx="2101">
                  <c:v>10999.98</c:v>
                </c:pt>
                <c:pt idx="2102">
                  <c:v>833.98</c:v>
                </c:pt>
                <c:pt idx="2103">
                  <c:v>869.99</c:v>
                </c:pt>
                <c:pt idx="2104">
                  <c:v>761.99</c:v>
                </c:pt>
                <c:pt idx="2105">
                  <c:v>939.98</c:v>
                </c:pt>
                <c:pt idx="2106">
                  <c:v>599.98</c:v>
                </c:pt>
                <c:pt idx="2107">
                  <c:v>539.98</c:v>
                </c:pt>
                <c:pt idx="2108">
                  <c:v>647.99</c:v>
                </c:pt>
                <c:pt idx="2109">
                  <c:v>299.99</c:v>
                </c:pt>
                <c:pt idx="2110">
                  <c:v>470.99</c:v>
                </c:pt>
                <c:pt idx="2111">
                  <c:v>149.99</c:v>
                </c:pt>
                <c:pt idx="2112">
                  <c:v>939.98</c:v>
                </c:pt>
                <c:pt idx="2113">
                  <c:v>1099.99</c:v>
                </c:pt>
                <c:pt idx="2114">
                  <c:v>1199.98</c:v>
                </c:pt>
                <c:pt idx="2115">
                  <c:v>299.98</c:v>
                </c:pt>
                <c:pt idx="2116">
                  <c:v>1469.99</c:v>
                </c:pt>
                <c:pt idx="2117">
                  <c:v>1665.98</c:v>
                </c:pt>
                <c:pt idx="2118">
                  <c:v>2999.99</c:v>
                </c:pt>
                <c:pt idx="2119">
                  <c:v>2499.9899999999998</c:v>
                </c:pt>
                <c:pt idx="2120">
                  <c:v>402.99</c:v>
                </c:pt>
                <c:pt idx="2121">
                  <c:v>549.99</c:v>
                </c:pt>
                <c:pt idx="2122">
                  <c:v>4999.99</c:v>
                </c:pt>
                <c:pt idx="2123">
                  <c:v>619.99</c:v>
                </c:pt>
                <c:pt idx="2124">
                  <c:v>1295.98</c:v>
                </c:pt>
                <c:pt idx="2125">
                  <c:v>1739.98</c:v>
                </c:pt>
                <c:pt idx="2126">
                  <c:v>1099.98</c:v>
                </c:pt>
                <c:pt idx="2127">
                  <c:v>3265.98</c:v>
                </c:pt>
                <c:pt idx="2128">
                  <c:v>1067.98</c:v>
                </c:pt>
                <c:pt idx="2129">
                  <c:v>7999.98</c:v>
                </c:pt>
                <c:pt idx="2130">
                  <c:v>1665.98</c:v>
                </c:pt>
                <c:pt idx="2131">
                  <c:v>299.99</c:v>
                </c:pt>
                <c:pt idx="2132">
                  <c:v>250.99</c:v>
                </c:pt>
                <c:pt idx="2133">
                  <c:v>879.98</c:v>
                </c:pt>
                <c:pt idx="2134">
                  <c:v>1099.98</c:v>
                </c:pt>
                <c:pt idx="2135">
                  <c:v>999.99</c:v>
                </c:pt>
                <c:pt idx="2136">
                  <c:v>501.98</c:v>
                </c:pt>
                <c:pt idx="2137">
                  <c:v>3999.99</c:v>
                </c:pt>
                <c:pt idx="2138">
                  <c:v>1523.98</c:v>
                </c:pt>
                <c:pt idx="2139">
                  <c:v>10599.98</c:v>
                </c:pt>
                <c:pt idx="2140">
                  <c:v>3999.98</c:v>
                </c:pt>
                <c:pt idx="2141">
                  <c:v>489.99</c:v>
                </c:pt>
                <c:pt idx="2142">
                  <c:v>858</c:v>
                </c:pt>
                <c:pt idx="2143">
                  <c:v>299.99</c:v>
                </c:pt>
                <c:pt idx="2144">
                  <c:v>539.98</c:v>
                </c:pt>
                <c:pt idx="2145">
                  <c:v>299.99</c:v>
                </c:pt>
                <c:pt idx="2146">
                  <c:v>999.99</c:v>
                </c:pt>
                <c:pt idx="2147">
                  <c:v>693.98</c:v>
                </c:pt>
                <c:pt idx="2148">
                  <c:v>416.99</c:v>
                </c:pt>
                <c:pt idx="2149">
                  <c:v>419.98</c:v>
                </c:pt>
                <c:pt idx="2150">
                  <c:v>647.99</c:v>
                </c:pt>
                <c:pt idx="2151">
                  <c:v>539.98</c:v>
                </c:pt>
                <c:pt idx="2152">
                  <c:v>1999.98</c:v>
                </c:pt>
                <c:pt idx="2153">
                  <c:v>5299.99</c:v>
                </c:pt>
                <c:pt idx="2154">
                  <c:v>1751.98</c:v>
                </c:pt>
                <c:pt idx="2155">
                  <c:v>979.98</c:v>
                </c:pt>
                <c:pt idx="2156">
                  <c:v>209.99</c:v>
                </c:pt>
                <c:pt idx="2157">
                  <c:v>551.99</c:v>
                </c:pt>
                <c:pt idx="2158">
                  <c:v>2699.99</c:v>
                </c:pt>
                <c:pt idx="2159">
                  <c:v>599.98</c:v>
                </c:pt>
                <c:pt idx="2160">
                  <c:v>2199.98</c:v>
                </c:pt>
                <c:pt idx="2161">
                  <c:v>4999.9799999999996</c:v>
                </c:pt>
                <c:pt idx="2162">
                  <c:v>549.99</c:v>
                </c:pt>
                <c:pt idx="2163">
                  <c:v>499.99</c:v>
                </c:pt>
                <c:pt idx="2164">
                  <c:v>749.99</c:v>
                </c:pt>
                <c:pt idx="2165">
                  <c:v>346.99</c:v>
                </c:pt>
                <c:pt idx="2166">
                  <c:v>470.99</c:v>
                </c:pt>
                <c:pt idx="2167">
                  <c:v>3499.99</c:v>
                </c:pt>
                <c:pt idx="2168">
                  <c:v>999.99</c:v>
                </c:pt>
                <c:pt idx="2169">
                  <c:v>2939.98</c:v>
                </c:pt>
                <c:pt idx="2170">
                  <c:v>1599.98</c:v>
                </c:pt>
                <c:pt idx="2171">
                  <c:v>1632.99</c:v>
                </c:pt>
                <c:pt idx="2172">
                  <c:v>299.99</c:v>
                </c:pt>
                <c:pt idx="2173">
                  <c:v>1799.99</c:v>
                </c:pt>
                <c:pt idx="2174">
                  <c:v>939.98</c:v>
                </c:pt>
                <c:pt idx="2175">
                  <c:v>1665.98</c:v>
                </c:pt>
                <c:pt idx="2176">
                  <c:v>470.99</c:v>
                </c:pt>
                <c:pt idx="2177">
                  <c:v>2299.9899999999998</c:v>
                </c:pt>
                <c:pt idx="2178">
                  <c:v>551.99</c:v>
                </c:pt>
                <c:pt idx="2179">
                  <c:v>3361.98</c:v>
                </c:pt>
                <c:pt idx="2180">
                  <c:v>539.98</c:v>
                </c:pt>
                <c:pt idx="2181">
                  <c:v>189.99</c:v>
                </c:pt>
                <c:pt idx="2182">
                  <c:v>551.99</c:v>
                </c:pt>
                <c:pt idx="2183">
                  <c:v>209.99</c:v>
                </c:pt>
                <c:pt idx="2184">
                  <c:v>269.99</c:v>
                </c:pt>
                <c:pt idx="2185">
                  <c:v>858</c:v>
                </c:pt>
                <c:pt idx="2186">
                  <c:v>939.98</c:v>
                </c:pt>
                <c:pt idx="2187">
                  <c:v>346.99</c:v>
                </c:pt>
                <c:pt idx="2188">
                  <c:v>1665.98</c:v>
                </c:pt>
                <c:pt idx="2189">
                  <c:v>599.99</c:v>
                </c:pt>
                <c:pt idx="2190">
                  <c:v>749.99</c:v>
                </c:pt>
                <c:pt idx="2191">
                  <c:v>9999.98</c:v>
                </c:pt>
                <c:pt idx="2192">
                  <c:v>1499.99</c:v>
                </c:pt>
                <c:pt idx="2193">
                  <c:v>2499.9899999999998</c:v>
                </c:pt>
                <c:pt idx="2194">
                  <c:v>4599.9799999999996</c:v>
                </c:pt>
                <c:pt idx="2195">
                  <c:v>416.99</c:v>
                </c:pt>
                <c:pt idx="2196">
                  <c:v>832.99</c:v>
                </c:pt>
                <c:pt idx="2197">
                  <c:v>1320.99</c:v>
                </c:pt>
                <c:pt idx="2198">
                  <c:v>7999.98</c:v>
                </c:pt>
                <c:pt idx="2199">
                  <c:v>749.99</c:v>
                </c:pt>
                <c:pt idx="2200">
                  <c:v>489.99</c:v>
                </c:pt>
                <c:pt idx="2201">
                  <c:v>329.99</c:v>
                </c:pt>
                <c:pt idx="2202">
                  <c:v>339.99</c:v>
                </c:pt>
                <c:pt idx="2203">
                  <c:v>419.98</c:v>
                </c:pt>
                <c:pt idx="2204">
                  <c:v>5299.99</c:v>
                </c:pt>
                <c:pt idx="2205">
                  <c:v>1799.99</c:v>
                </c:pt>
                <c:pt idx="2206">
                  <c:v>329.99</c:v>
                </c:pt>
                <c:pt idx="2207">
                  <c:v>469.99</c:v>
                </c:pt>
                <c:pt idx="2208">
                  <c:v>833.98</c:v>
                </c:pt>
                <c:pt idx="2209">
                  <c:v>7999.98</c:v>
                </c:pt>
                <c:pt idx="2210">
                  <c:v>3999.98</c:v>
                </c:pt>
                <c:pt idx="2211">
                  <c:v>1199.98</c:v>
                </c:pt>
                <c:pt idx="2212">
                  <c:v>1999.99</c:v>
                </c:pt>
                <c:pt idx="2213">
                  <c:v>299.99</c:v>
                </c:pt>
                <c:pt idx="2214">
                  <c:v>1199.98</c:v>
                </c:pt>
                <c:pt idx="2215">
                  <c:v>209.99</c:v>
                </c:pt>
                <c:pt idx="2216">
                  <c:v>539.98</c:v>
                </c:pt>
                <c:pt idx="2217">
                  <c:v>249.99</c:v>
                </c:pt>
                <c:pt idx="2218">
                  <c:v>999.99</c:v>
                </c:pt>
                <c:pt idx="2219">
                  <c:v>269.99</c:v>
                </c:pt>
                <c:pt idx="2220">
                  <c:v>1239.98</c:v>
                </c:pt>
                <c:pt idx="2221">
                  <c:v>599.99</c:v>
                </c:pt>
                <c:pt idx="2222">
                  <c:v>5199.9799999999996</c:v>
                </c:pt>
                <c:pt idx="2223">
                  <c:v>4999.99</c:v>
                </c:pt>
                <c:pt idx="2224">
                  <c:v>499.99</c:v>
                </c:pt>
                <c:pt idx="2225">
                  <c:v>761.99</c:v>
                </c:pt>
                <c:pt idx="2226">
                  <c:v>12999.98</c:v>
                </c:pt>
                <c:pt idx="2227">
                  <c:v>501.98</c:v>
                </c:pt>
                <c:pt idx="2228">
                  <c:v>1499.99</c:v>
                </c:pt>
                <c:pt idx="2229">
                  <c:v>449</c:v>
                </c:pt>
                <c:pt idx="2230">
                  <c:v>269.99</c:v>
                </c:pt>
                <c:pt idx="2231">
                  <c:v>979.98</c:v>
                </c:pt>
                <c:pt idx="2232">
                  <c:v>419.98</c:v>
                </c:pt>
                <c:pt idx="2233">
                  <c:v>6999.98</c:v>
                </c:pt>
                <c:pt idx="2234">
                  <c:v>349.99</c:v>
                </c:pt>
                <c:pt idx="2235">
                  <c:v>3199.99</c:v>
                </c:pt>
                <c:pt idx="2236">
                  <c:v>999.98</c:v>
                </c:pt>
                <c:pt idx="2237">
                  <c:v>1199.98</c:v>
                </c:pt>
                <c:pt idx="2238">
                  <c:v>1499.99</c:v>
                </c:pt>
                <c:pt idx="2239">
                  <c:v>5499.99</c:v>
                </c:pt>
                <c:pt idx="2240">
                  <c:v>999.99</c:v>
                </c:pt>
                <c:pt idx="2241">
                  <c:v>749.99</c:v>
                </c:pt>
                <c:pt idx="2242">
                  <c:v>1559.99</c:v>
                </c:pt>
                <c:pt idx="2243">
                  <c:v>599.98</c:v>
                </c:pt>
                <c:pt idx="2244">
                  <c:v>1199.98</c:v>
                </c:pt>
                <c:pt idx="2245">
                  <c:v>2939.98</c:v>
                </c:pt>
                <c:pt idx="2246">
                  <c:v>449.99</c:v>
                </c:pt>
                <c:pt idx="2247">
                  <c:v>429</c:v>
                </c:pt>
                <c:pt idx="2248">
                  <c:v>2499.9899999999998</c:v>
                </c:pt>
                <c:pt idx="2249">
                  <c:v>599.98</c:v>
                </c:pt>
                <c:pt idx="2250">
                  <c:v>599.98</c:v>
                </c:pt>
                <c:pt idx="2251">
                  <c:v>939.98</c:v>
                </c:pt>
                <c:pt idx="2252">
                  <c:v>1680.99</c:v>
                </c:pt>
                <c:pt idx="2253">
                  <c:v>416.99</c:v>
                </c:pt>
                <c:pt idx="2254">
                  <c:v>439.99</c:v>
                </c:pt>
                <c:pt idx="2255">
                  <c:v>6399.98</c:v>
                </c:pt>
                <c:pt idx="2256">
                  <c:v>6999.98</c:v>
                </c:pt>
                <c:pt idx="2257">
                  <c:v>299.99</c:v>
                </c:pt>
                <c:pt idx="2258">
                  <c:v>209.99</c:v>
                </c:pt>
                <c:pt idx="2259">
                  <c:v>699.98</c:v>
                </c:pt>
                <c:pt idx="2260">
                  <c:v>2299.9899999999998</c:v>
                </c:pt>
                <c:pt idx="2261">
                  <c:v>1199.98</c:v>
                </c:pt>
                <c:pt idx="2262">
                  <c:v>2641.98</c:v>
                </c:pt>
                <c:pt idx="2263">
                  <c:v>939.98</c:v>
                </c:pt>
                <c:pt idx="2264">
                  <c:v>1999.98</c:v>
                </c:pt>
                <c:pt idx="2265">
                  <c:v>3499.99</c:v>
                </c:pt>
                <c:pt idx="2266">
                  <c:v>9999.98</c:v>
                </c:pt>
                <c:pt idx="2267">
                  <c:v>693.98</c:v>
                </c:pt>
                <c:pt idx="2268">
                  <c:v>3199.99</c:v>
                </c:pt>
                <c:pt idx="2269">
                  <c:v>939.98</c:v>
                </c:pt>
                <c:pt idx="2270">
                  <c:v>875.99</c:v>
                </c:pt>
                <c:pt idx="2271">
                  <c:v>599.98</c:v>
                </c:pt>
                <c:pt idx="2272">
                  <c:v>339.99</c:v>
                </c:pt>
                <c:pt idx="2273">
                  <c:v>999.99</c:v>
                </c:pt>
                <c:pt idx="2274">
                  <c:v>1665.98</c:v>
                </c:pt>
                <c:pt idx="2275">
                  <c:v>4999.99</c:v>
                </c:pt>
                <c:pt idx="2276">
                  <c:v>2499.9899999999998</c:v>
                </c:pt>
                <c:pt idx="2277">
                  <c:v>470.99</c:v>
                </c:pt>
                <c:pt idx="2278">
                  <c:v>1751.98</c:v>
                </c:pt>
                <c:pt idx="2279">
                  <c:v>489.99</c:v>
                </c:pt>
                <c:pt idx="2280">
                  <c:v>299.98</c:v>
                </c:pt>
                <c:pt idx="2281">
                  <c:v>419.98</c:v>
                </c:pt>
                <c:pt idx="2282">
                  <c:v>749.99</c:v>
                </c:pt>
                <c:pt idx="2283">
                  <c:v>11999.98</c:v>
                </c:pt>
                <c:pt idx="2284">
                  <c:v>549.99</c:v>
                </c:pt>
                <c:pt idx="2285">
                  <c:v>939.98</c:v>
                </c:pt>
                <c:pt idx="2286">
                  <c:v>6999.98</c:v>
                </c:pt>
                <c:pt idx="2287">
                  <c:v>469.99</c:v>
                </c:pt>
                <c:pt idx="2288">
                  <c:v>939.98</c:v>
                </c:pt>
                <c:pt idx="2289">
                  <c:v>419.98</c:v>
                </c:pt>
                <c:pt idx="2290">
                  <c:v>349.99</c:v>
                </c:pt>
                <c:pt idx="2291">
                  <c:v>1599.98</c:v>
                </c:pt>
                <c:pt idx="2292">
                  <c:v>1319.98</c:v>
                </c:pt>
                <c:pt idx="2293">
                  <c:v>699.98</c:v>
                </c:pt>
                <c:pt idx="2294">
                  <c:v>539.98</c:v>
                </c:pt>
                <c:pt idx="2295">
                  <c:v>469.99</c:v>
                </c:pt>
                <c:pt idx="2296">
                  <c:v>1999.98</c:v>
                </c:pt>
                <c:pt idx="2297">
                  <c:v>5999.98</c:v>
                </c:pt>
                <c:pt idx="2298">
                  <c:v>599.99</c:v>
                </c:pt>
                <c:pt idx="2299">
                  <c:v>699.98</c:v>
                </c:pt>
                <c:pt idx="2300">
                  <c:v>449</c:v>
                </c:pt>
                <c:pt idx="2301">
                  <c:v>329.99</c:v>
                </c:pt>
                <c:pt idx="2302">
                  <c:v>898</c:v>
                </c:pt>
                <c:pt idx="2303">
                  <c:v>647.99</c:v>
                </c:pt>
                <c:pt idx="2304">
                  <c:v>599.99</c:v>
                </c:pt>
                <c:pt idx="2305">
                  <c:v>419.98</c:v>
                </c:pt>
                <c:pt idx="2306">
                  <c:v>1103.98</c:v>
                </c:pt>
                <c:pt idx="2307">
                  <c:v>489.99</c:v>
                </c:pt>
                <c:pt idx="2308">
                  <c:v>5499.99</c:v>
                </c:pt>
                <c:pt idx="2309">
                  <c:v>269.99</c:v>
                </c:pt>
                <c:pt idx="2310">
                  <c:v>1739.98</c:v>
                </c:pt>
                <c:pt idx="2311">
                  <c:v>3199.99</c:v>
                </c:pt>
                <c:pt idx="2312">
                  <c:v>659.99</c:v>
                </c:pt>
                <c:pt idx="2313">
                  <c:v>250.99</c:v>
                </c:pt>
                <c:pt idx="2314">
                  <c:v>599.98</c:v>
                </c:pt>
                <c:pt idx="2315">
                  <c:v>4999.99</c:v>
                </c:pt>
                <c:pt idx="2316">
                  <c:v>699.98</c:v>
                </c:pt>
                <c:pt idx="2317">
                  <c:v>659.98</c:v>
                </c:pt>
                <c:pt idx="2318">
                  <c:v>939.98</c:v>
                </c:pt>
                <c:pt idx="2319">
                  <c:v>1199.98</c:v>
                </c:pt>
                <c:pt idx="2320">
                  <c:v>833.98</c:v>
                </c:pt>
                <c:pt idx="2321">
                  <c:v>833.98</c:v>
                </c:pt>
                <c:pt idx="2322">
                  <c:v>489.99</c:v>
                </c:pt>
                <c:pt idx="2323">
                  <c:v>346.99</c:v>
                </c:pt>
                <c:pt idx="2324">
                  <c:v>299.98</c:v>
                </c:pt>
                <c:pt idx="2325">
                  <c:v>1067.98</c:v>
                </c:pt>
                <c:pt idx="2326">
                  <c:v>979.98</c:v>
                </c:pt>
                <c:pt idx="2327">
                  <c:v>379.98</c:v>
                </c:pt>
                <c:pt idx="2328">
                  <c:v>299.99</c:v>
                </c:pt>
                <c:pt idx="2329">
                  <c:v>1199.98</c:v>
                </c:pt>
                <c:pt idx="2330">
                  <c:v>979.98</c:v>
                </c:pt>
                <c:pt idx="2331">
                  <c:v>329.99</c:v>
                </c:pt>
                <c:pt idx="2332">
                  <c:v>1067.98</c:v>
                </c:pt>
                <c:pt idx="2333">
                  <c:v>2999.98</c:v>
                </c:pt>
                <c:pt idx="2334">
                  <c:v>551.99</c:v>
                </c:pt>
                <c:pt idx="2335">
                  <c:v>1079.98</c:v>
                </c:pt>
                <c:pt idx="2336">
                  <c:v>898</c:v>
                </c:pt>
                <c:pt idx="2337">
                  <c:v>2999.98</c:v>
                </c:pt>
                <c:pt idx="2338">
                  <c:v>249.99</c:v>
                </c:pt>
                <c:pt idx="2339">
                  <c:v>416.99</c:v>
                </c:pt>
                <c:pt idx="2340">
                  <c:v>489.99</c:v>
                </c:pt>
                <c:pt idx="2341">
                  <c:v>1319.98</c:v>
                </c:pt>
                <c:pt idx="2342">
                  <c:v>469.99</c:v>
                </c:pt>
                <c:pt idx="2343">
                  <c:v>416.99</c:v>
                </c:pt>
                <c:pt idx="2344">
                  <c:v>749.99</c:v>
                </c:pt>
                <c:pt idx="2345">
                  <c:v>619.99</c:v>
                </c:pt>
                <c:pt idx="2346">
                  <c:v>10999.98</c:v>
                </c:pt>
                <c:pt idx="2347">
                  <c:v>299.98</c:v>
                </c:pt>
                <c:pt idx="2348">
                  <c:v>1099.99</c:v>
                </c:pt>
                <c:pt idx="2349">
                  <c:v>419.98</c:v>
                </c:pt>
                <c:pt idx="2350">
                  <c:v>449</c:v>
                </c:pt>
                <c:pt idx="2351">
                  <c:v>1999.98</c:v>
                </c:pt>
                <c:pt idx="2352">
                  <c:v>1739.98</c:v>
                </c:pt>
                <c:pt idx="2353">
                  <c:v>832.99</c:v>
                </c:pt>
                <c:pt idx="2354">
                  <c:v>5299.99</c:v>
                </c:pt>
                <c:pt idx="2355">
                  <c:v>1469.99</c:v>
                </c:pt>
                <c:pt idx="2356">
                  <c:v>2499.9899999999998</c:v>
                </c:pt>
                <c:pt idx="2357">
                  <c:v>449.99</c:v>
                </c:pt>
                <c:pt idx="2358">
                  <c:v>999.98</c:v>
                </c:pt>
                <c:pt idx="2359">
                  <c:v>549.99</c:v>
                </c:pt>
                <c:pt idx="2360">
                  <c:v>5399.98</c:v>
                </c:pt>
                <c:pt idx="2361">
                  <c:v>551.99</c:v>
                </c:pt>
                <c:pt idx="2362">
                  <c:v>1067.98</c:v>
                </c:pt>
                <c:pt idx="2363">
                  <c:v>659.98</c:v>
                </c:pt>
                <c:pt idx="2364">
                  <c:v>979.98</c:v>
                </c:pt>
                <c:pt idx="2365">
                  <c:v>699.98</c:v>
                </c:pt>
                <c:pt idx="2366">
                  <c:v>250.99</c:v>
                </c:pt>
                <c:pt idx="2367">
                  <c:v>1680.99</c:v>
                </c:pt>
                <c:pt idx="2368">
                  <c:v>449.99</c:v>
                </c:pt>
                <c:pt idx="2369">
                  <c:v>3199.99</c:v>
                </c:pt>
                <c:pt idx="2370">
                  <c:v>869.99</c:v>
                </c:pt>
                <c:pt idx="2371">
                  <c:v>999.99</c:v>
                </c:pt>
                <c:pt idx="2372">
                  <c:v>1199.98</c:v>
                </c:pt>
                <c:pt idx="2373">
                  <c:v>1199.98</c:v>
                </c:pt>
                <c:pt idx="2374">
                  <c:v>3199.99</c:v>
                </c:pt>
                <c:pt idx="2375">
                  <c:v>269.99</c:v>
                </c:pt>
                <c:pt idx="2376">
                  <c:v>647.99</c:v>
                </c:pt>
                <c:pt idx="2377">
                  <c:v>693.98</c:v>
                </c:pt>
                <c:pt idx="2378">
                  <c:v>659.99</c:v>
                </c:pt>
                <c:pt idx="2379">
                  <c:v>749.99</c:v>
                </c:pt>
                <c:pt idx="2380">
                  <c:v>899.98</c:v>
                </c:pt>
                <c:pt idx="2381">
                  <c:v>6499.99</c:v>
                </c:pt>
                <c:pt idx="2382">
                  <c:v>349.99</c:v>
                </c:pt>
                <c:pt idx="2383">
                  <c:v>379.98</c:v>
                </c:pt>
                <c:pt idx="2384">
                  <c:v>2499.9899999999998</c:v>
                </c:pt>
                <c:pt idx="2385">
                  <c:v>1549</c:v>
                </c:pt>
                <c:pt idx="2386">
                  <c:v>979.98</c:v>
                </c:pt>
                <c:pt idx="2387">
                  <c:v>693.98</c:v>
                </c:pt>
                <c:pt idx="2388">
                  <c:v>2699.99</c:v>
                </c:pt>
                <c:pt idx="2389">
                  <c:v>329.99</c:v>
                </c:pt>
                <c:pt idx="2390">
                  <c:v>9999.98</c:v>
                </c:pt>
                <c:pt idx="2391">
                  <c:v>999.99</c:v>
                </c:pt>
                <c:pt idx="2392">
                  <c:v>5299.99</c:v>
                </c:pt>
                <c:pt idx="2393">
                  <c:v>899.98</c:v>
                </c:pt>
                <c:pt idx="2394">
                  <c:v>539.98</c:v>
                </c:pt>
                <c:pt idx="2395">
                  <c:v>2999.99</c:v>
                </c:pt>
                <c:pt idx="2396">
                  <c:v>1680.99</c:v>
                </c:pt>
                <c:pt idx="2397">
                  <c:v>419.98</c:v>
                </c:pt>
                <c:pt idx="2398">
                  <c:v>489.99</c:v>
                </c:pt>
                <c:pt idx="2399">
                  <c:v>2199.98</c:v>
                </c:pt>
                <c:pt idx="2400">
                  <c:v>2299.9899999999998</c:v>
                </c:pt>
                <c:pt idx="2401">
                  <c:v>619.99</c:v>
                </c:pt>
                <c:pt idx="2402">
                  <c:v>1199.98</c:v>
                </c:pt>
                <c:pt idx="2403">
                  <c:v>1099.99</c:v>
                </c:pt>
                <c:pt idx="2404">
                  <c:v>599.98</c:v>
                </c:pt>
                <c:pt idx="2405">
                  <c:v>805.98</c:v>
                </c:pt>
                <c:pt idx="2406">
                  <c:v>549.99</c:v>
                </c:pt>
                <c:pt idx="2407">
                  <c:v>299.98</c:v>
                </c:pt>
                <c:pt idx="2408">
                  <c:v>1499.99</c:v>
                </c:pt>
                <c:pt idx="2409">
                  <c:v>6999.98</c:v>
                </c:pt>
                <c:pt idx="2410">
                  <c:v>1199.98</c:v>
                </c:pt>
                <c:pt idx="2411">
                  <c:v>599.99</c:v>
                </c:pt>
                <c:pt idx="2412">
                  <c:v>1199.98</c:v>
                </c:pt>
                <c:pt idx="2413">
                  <c:v>1499.98</c:v>
                </c:pt>
                <c:pt idx="2414">
                  <c:v>189.99</c:v>
                </c:pt>
                <c:pt idx="2415">
                  <c:v>2819.98</c:v>
                </c:pt>
                <c:pt idx="2416">
                  <c:v>5299.99</c:v>
                </c:pt>
                <c:pt idx="2417">
                  <c:v>416.99</c:v>
                </c:pt>
                <c:pt idx="2418">
                  <c:v>1239.98</c:v>
                </c:pt>
                <c:pt idx="2419">
                  <c:v>1103.98</c:v>
                </c:pt>
                <c:pt idx="2420">
                  <c:v>9999.98</c:v>
                </c:pt>
                <c:pt idx="2421">
                  <c:v>209.99</c:v>
                </c:pt>
                <c:pt idx="2422">
                  <c:v>979.98</c:v>
                </c:pt>
                <c:pt idx="2423">
                  <c:v>379.98</c:v>
                </c:pt>
                <c:pt idx="2424">
                  <c:v>2939.98</c:v>
                </c:pt>
                <c:pt idx="2425">
                  <c:v>416.99</c:v>
                </c:pt>
                <c:pt idx="2426">
                  <c:v>679.98</c:v>
                </c:pt>
                <c:pt idx="2427">
                  <c:v>2641.98</c:v>
                </c:pt>
                <c:pt idx="2428">
                  <c:v>379.99</c:v>
                </c:pt>
                <c:pt idx="2429">
                  <c:v>999.99</c:v>
                </c:pt>
                <c:pt idx="2430">
                  <c:v>209.99</c:v>
                </c:pt>
                <c:pt idx="2431">
                  <c:v>2819.98</c:v>
                </c:pt>
                <c:pt idx="2432">
                  <c:v>299.99</c:v>
                </c:pt>
                <c:pt idx="2433">
                  <c:v>9999.98</c:v>
                </c:pt>
                <c:pt idx="2434">
                  <c:v>4599.9799999999996</c:v>
                </c:pt>
                <c:pt idx="2435">
                  <c:v>869.99</c:v>
                </c:pt>
                <c:pt idx="2436">
                  <c:v>469.99</c:v>
                </c:pt>
                <c:pt idx="2437">
                  <c:v>189.99</c:v>
                </c:pt>
                <c:pt idx="2438">
                  <c:v>449</c:v>
                </c:pt>
                <c:pt idx="2439">
                  <c:v>419.98</c:v>
                </c:pt>
                <c:pt idx="2440">
                  <c:v>209.99</c:v>
                </c:pt>
                <c:pt idx="2441">
                  <c:v>1099.98</c:v>
                </c:pt>
                <c:pt idx="2442">
                  <c:v>999.99</c:v>
                </c:pt>
                <c:pt idx="2443">
                  <c:v>1739.98</c:v>
                </c:pt>
                <c:pt idx="2444">
                  <c:v>1320.99</c:v>
                </c:pt>
                <c:pt idx="2445">
                  <c:v>269.99</c:v>
                </c:pt>
                <c:pt idx="2446">
                  <c:v>1499.98</c:v>
                </c:pt>
                <c:pt idx="2447">
                  <c:v>1099.98</c:v>
                </c:pt>
                <c:pt idx="2448">
                  <c:v>269.99</c:v>
                </c:pt>
                <c:pt idx="2449">
                  <c:v>539.98</c:v>
                </c:pt>
                <c:pt idx="2450">
                  <c:v>833.98</c:v>
                </c:pt>
                <c:pt idx="2451">
                  <c:v>1665.98</c:v>
                </c:pt>
                <c:pt idx="2452">
                  <c:v>469.99</c:v>
                </c:pt>
                <c:pt idx="2453">
                  <c:v>1099.98</c:v>
                </c:pt>
                <c:pt idx="2454">
                  <c:v>499.99</c:v>
                </c:pt>
                <c:pt idx="2455">
                  <c:v>9999.98</c:v>
                </c:pt>
                <c:pt idx="2456">
                  <c:v>599.98</c:v>
                </c:pt>
                <c:pt idx="2457">
                  <c:v>539.98</c:v>
                </c:pt>
                <c:pt idx="2458">
                  <c:v>3499.99</c:v>
                </c:pt>
                <c:pt idx="2459">
                  <c:v>329.99</c:v>
                </c:pt>
                <c:pt idx="2460">
                  <c:v>299.99</c:v>
                </c:pt>
                <c:pt idx="2461">
                  <c:v>6999.98</c:v>
                </c:pt>
                <c:pt idx="2462">
                  <c:v>419.98</c:v>
                </c:pt>
                <c:pt idx="2463">
                  <c:v>379.99</c:v>
                </c:pt>
                <c:pt idx="2464">
                  <c:v>693.98</c:v>
                </c:pt>
                <c:pt idx="2465">
                  <c:v>269.99</c:v>
                </c:pt>
                <c:pt idx="2466">
                  <c:v>833.98</c:v>
                </c:pt>
                <c:pt idx="2467">
                  <c:v>469.99</c:v>
                </c:pt>
                <c:pt idx="2468">
                  <c:v>189.99</c:v>
                </c:pt>
                <c:pt idx="2469">
                  <c:v>501.98</c:v>
                </c:pt>
                <c:pt idx="2470">
                  <c:v>761.99</c:v>
                </c:pt>
                <c:pt idx="2471">
                  <c:v>539.98</c:v>
                </c:pt>
                <c:pt idx="2472">
                  <c:v>339.99</c:v>
                </c:pt>
                <c:pt idx="2473">
                  <c:v>1409.99</c:v>
                </c:pt>
                <c:pt idx="2474">
                  <c:v>3999.99</c:v>
                </c:pt>
                <c:pt idx="2475">
                  <c:v>899.98</c:v>
                </c:pt>
                <c:pt idx="2476">
                  <c:v>469.99</c:v>
                </c:pt>
                <c:pt idx="2477">
                  <c:v>5399.98</c:v>
                </c:pt>
                <c:pt idx="2478">
                  <c:v>693.98</c:v>
                </c:pt>
                <c:pt idx="2479">
                  <c:v>3499.99</c:v>
                </c:pt>
                <c:pt idx="2480">
                  <c:v>449.99</c:v>
                </c:pt>
                <c:pt idx="2481">
                  <c:v>549.99</c:v>
                </c:pt>
                <c:pt idx="2482">
                  <c:v>1999.98</c:v>
                </c:pt>
                <c:pt idx="2483">
                  <c:v>833.98</c:v>
                </c:pt>
                <c:pt idx="2484">
                  <c:v>6999.98</c:v>
                </c:pt>
                <c:pt idx="2485">
                  <c:v>749.99</c:v>
                </c:pt>
                <c:pt idx="2486">
                  <c:v>939.98</c:v>
                </c:pt>
                <c:pt idx="2487">
                  <c:v>5499.99</c:v>
                </c:pt>
                <c:pt idx="2488">
                  <c:v>1999.98</c:v>
                </c:pt>
                <c:pt idx="2489">
                  <c:v>749.99</c:v>
                </c:pt>
                <c:pt idx="2490">
                  <c:v>1599.98</c:v>
                </c:pt>
                <c:pt idx="2491">
                  <c:v>2641.98</c:v>
                </c:pt>
                <c:pt idx="2492">
                  <c:v>1059.98</c:v>
                </c:pt>
                <c:pt idx="2493">
                  <c:v>269.99</c:v>
                </c:pt>
                <c:pt idx="2494">
                  <c:v>470.99</c:v>
                </c:pt>
                <c:pt idx="2495">
                  <c:v>858</c:v>
                </c:pt>
                <c:pt idx="2496">
                  <c:v>501.98</c:v>
                </c:pt>
                <c:pt idx="2497">
                  <c:v>349.99</c:v>
                </c:pt>
                <c:pt idx="2498">
                  <c:v>833.98</c:v>
                </c:pt>
                <c:pt idx="2499">
                  <c:v>749.99</c:v>
                </c:pt>
                <c:pt idx="2500">
                  <c:v>551.99</c:v>
                </c:pt>
                <c:pt idx="2501">
                  <c:v>551.99</c:v>
                </c:pt>
                <c:pt idx="2502">
                  <c:v>269.99</c:v>
                </c:pt>
                <c:pt idx="2503">
                  <c:v>939.98</c:v>
                </c:pt>
                <c:pt idx="2504">
                  <c:v>898</c:v>
                </c:pt>
                <c:pt idx="2505">
                  <c:v>979.98</c:v>
                </c:pt>
                <c:pt idx="2506">
                  <c:v>1499.98</c:v>
                </c:pt>
                <c:pt idx="2507">
                  <c:v>299.98</c:v>
                </c:pt>
                <c:pt idx="2508">
                  <c:v>659.99</c:v>
                </c:pt>
                <c:pt idx="2509">
                  <c:v>4999.9799999999996</c:v>
                </c:pt>
                <c:pt idx="2510">
                  <c:v>299.99</c:v>
                </c:pt>
                <c:pt idx="2511">
                  <c:v>1320.99</c:v>
                </c:pt>
                <c:pt idx="2512">
                  <c:v>599.99</c:v>
                </c:pt>
                <c:pt idx="2513">
                  <c:v>250.99</c:v>
                </c:pt>
                <c:pt idx="2514">
                  <c:v>489.99</c:v>
                </c:pt>
                <c:pt idx="2515">
                  <c:v>5999.99</c:v>
                </c:pt>
                <c:pt idx="2516">
                  <c:v>979.98</c:v>
                </c:pt>
                <c:pt idx="2517">
                  <c:v>250.99</c:v>
                </c:pt>
                <c:pt idx="2518">
                  <c:v>6999.98</c:v>
                </c:pt>
                <c:pt idx="2519">
                  <c:v>899.98</c:v>
                </c:pt>
                <c:pt idx="2520">
                  <c:v>3999.98</c:v>
                </c:pt>
                <c:pt idx="2521">
                  <c:v>539.99</c:v>
                </c:pt>
                <c:pt idx="2522">
                  <c:v>2641.98</c:v>
                </c:pt>
                <c:pt idx="2523">
                  <c:v>6999.98</c:v>
                </c:pt>
                <c:pt idx="2524">
                  <c:v>833.98</c:v>
                </c:pt>
                <c:pt idx="2525">
                  <c:v>2819.98</c:v>
                </c:pt>
                <c:pt idx="2526">
                  <c:v>1549</c:v>
                </c:pt>
                <c:pt idx="2527">
                  <c:v>539.98</c:v>
                </c:pt>
                <c:pt idx="2528">
                  <c:v>449.99</c:v>
                </c:pt>
                <c:pt idx="2529">
                  <c:v>5299.99</c:v>
                </c:pt>
                <c:pt idx="2530">
                  <c:v>5299.99</c:v>
                </c:pt>
                <c:pt idx="2531">
                  <c:v>999.99</c:v>
                </c:pt>
                <c:pt idx="2532">
                  <c:v>11999.98</c:v>
                </c:pt>
                <c:pt idx="2533">
                  <c:v>659.99</c:v>
                </c:pt>
                <c:pt idx="2534">
                  <c:v>939.98</c:v>
                </c:pt>
                <c:pt idx="2535">
                  <c:v>1199.98</c:v>
                </c:pt>
                <c:pt idx="2536">
                  <c:v>1099.98</c:v>
                </c:pt>
                <c:pt idx="2537">
                  <c:v>1199.98</c:v>
                </c:pt>
                <c:pt idx="2538">
                  <c:v>1067.98</c:v>
                </c:pt>
                <c:pt idx="2539">
                  <c:v>875.99</c:v>
                </c:pt>
                <c:pt idx="2540">
                  <c:v>250.99</c:v>
                </c:pt>
                <c:pt idx="2541">
                  <c:v>693.98</c:v>
                </c:pt>
                <c:pt idx="2542">
                  <c:v>833.98</c:v>
                </c:pt>
                <c:pt idx="2543">
                  <c:v>469.99</c:v>
                </c:pt>
                <c:pt idx="2544">
                  <c:v>1665.98</c:v>
                </c:pt>
                <c:pt idx="2545">
                  <c:v>5999.99</c:v>
                </c:pt>
                <c:pt idx="2546">
                  <c:v>832.99</c:v>
                </c:pt>
                <c:pt idx="2547">
                  <c:v>5999.98</c:v>
                </c:pt>
                <c:pt idx="2548">
                  <c:v>11999.98</c:v>
                </c:pt>
                <c:pt idx="2549">
                  <c:v>189.99</c:v>
                </c:pt>
                <c:pt idx="2550">
                  <c:v>501.98</c:v>
                </c:pt>
                <c:pt idx="2551">
                  <c:v>869.99</c:v>
                </c:pt>
                <c:pt idx="2552">
                  <c:v>679.98</c:v>
                </c:pt>
                <c:pt idx="2553">
                  <c:v>449.99</c:v>
                </c:pt>
                <c:pt idx="2554">
                  <c:v>699.98</c:v>
                </c:pt>
                <c:pt idx="2555">
                  <c:v>1549</c:v>
                </c:pt>
                <c:pt idx="2556">
                  <c:v>533.99</c:v>
                </c:pt>
                <c:pt idx="2557">
                  <c:v>349.99</c:v>
                </c:pt>
                <c:pt idx="2558">
                  <c:v>1739.98</c:v>
                </c:pt>
                <c:pt idx="2559">
                  <c:v>599.99</c:v>
                </c:pt>
                <c:pt idx="2560">
                  <c:v>3999.98</c:v>
                </c:pt>
                <c:pt idx="2561">
                  <c:v>833.98</c:v>
                </c:pt>
                <c:pt idx="2562">
                  <c:v>5199.9799999999996</c:v>
                </c:pt>
                <c:pt idx="2563">
                  <c:v>429</c:v>
                </c:pt>
                <c:pt idx="2564">
                  <c:v>469.99</c:v>
                </c:pt>
                <c:pt idx="2565">
                  <c:v>1199.98</c:v>
                </c:pt>
                <c:pt idx="2566">
                  <c:v>449.99</c:v>
                </c:pt>
                <c:pt idx="2567">
                  <c:v>209.99</c:v>
                </c:pt>
                <c:pt idx="2568">
                  <c:v>9999.98</c:v>
                </c:pt>
                <c:pt idx="2569">
                  <c:v>4999.9799999999996</c:v>
                </c:pt>
                <c:pt idx="2570">
                  <c:v>5999.99</c:v>
                </c:pt>
                <c:pt idx="2571">
                  <c:v>5299.99</c:v>
                </c:pt>
                <c:pt idx="2572">
                  <c:v>1099.98</c:v>
                </c:pt>
                <c:pt idx="2573">
                  <c:v>209.99</c:v>
                </c:pt>
                <c:pt idx="2574">
                  <c:v>549.99</c:v>
                </c:pt>
                <c:pt idx="2575">
                  <c:v>599.98</c:v>
                </c:pt>
                <c:pt idx="2576">
                  <c:v>3265.98</c:v>
                </c:pt>
                <c:pt idx="2577">
                  <c:v>2999.98</c:v>
                </c:pt>
                <c:pt idx="2578">
                  <c:v>1665.98</c:v>
                </c:pt>
                <c:pt idx="2579">
                  <c:v>12999.98</c:v>
                </c:pt>
                <c:pt idx="2580">
                  <c:v>419.98</c:v>
                </c:pt>
                <c:pt idx="2581">
                  <c:v>269.99</c:v>
                </c:pt>
                <c:pt idx="2582">
                  <c:v>250.99</c:v>
                </c:pt>
                <c:pt idx="2583">
                  <c:v>6999.98</c:v>
                </c:pt>
                <c:pt idx="2584">
                  <c:v>4599.9799999999996</c:v>
                </c:pt>
                <c:pt idx="2585">
                  <c:v>599.99</c:v>
                </c:pt>
                <c:pt idx="2586">
                  <c:v>599.98</c:v>
                </c:pt>
                <c:pt idx="2587">
                  <c:v>4999.9799999999996</c:v>
                </c:pt>
                <c:pt idx="2588">
                  <c:v>1409.99</c:v>
                </c:pt>
                <c:pt idx="2589">
                  <c:v>979.98</c:v>
                </c:pt>
                <c:pt idx="2590">
                  <c:v>539.98</c:v>
                </c:pt>
                <c:pt idx="2591">
                  <c:v>219.98</c:v>
                </c:pt>
                <c:pt idx="2592">
                  <c:v>346.99</c:v>
                </c:pt>
                <c:pt idx="2593">
                  <c:v>1469.99</c:v>
                </c:pt>
                <c:pt idx="2594">
                  <c:v>249.99</c:v>
                </c:pt>
                <c:pt idx="2595">
                  <c:v>979.98</c:v>
                </c:pt>
                <c:pt idx="2596">
                  <c:v>1320.99</c:v>
                </c:pt>
                <c:pt idx="2597">
                  <c:v>299.99</c:v>
                </c:pt>
                <c:pt idx="2598">
                  <c:v>501.98</c:v>
                </c:pt>
                <c:pt idx="2599">
                  <c:v>449.99</c:v>
                </c:pt>
                <c:pt idx="2600">
                  <c:v>699.98</c:v>
                </c:pt>
                <c:pt idx="2601">
                  <c:v>3499.99</c:v>
                </c:pt>
                <c:pt idx="2602">
                  <c:v>539.98</c:v>
                </c:pt>
                <c:pt idx="2603">
                  <c:v>833.98</c:v>
                </c:pt>
                <c:pt idx="2604">
                  <c:v>339.99</c:v>
                </c:pt>
                <c:pt idx="2605">
                  <c:v>1499.98</c:v>
                </c:pt>
                <c:pt idx="2606">
                  <c:v>419.98</c:v>
                </c:pt>
                <c:pt idx="2607">
                  <c:v>1099.98</c:v>
                </c:pt>
                <c:pt idx="2608">
                  <c:v>549.99</c:v>
                </c:pt>
                <c:pt idx="2609">
                  <c:v>1199.98</c:v>
                </c:pt>
                <c:pt idx="2610">
                  <c:v>449.99</c:v>
                </c:pt>
                <c:pt idx="2611">
                  <c:v>1409.99</c:v>
                </c:pt>
                <c:pt idx="2612">
                  <c:v>489.99</c:v>
                </c:pt>
                <c:pt idx="2613">
                  <c:v>1499.99</c:v>
                </c:pt>
                <c:pt idx="2614">
                  <c:v>2299.9899999999998</c:v>
                </c:pt>
                <c:pt idx="2615">
                  <c:v>749.99</c:v>
                </c:pt>
                <c:pt idx="2616">
                  <c:v>209.99</c:v>
                </c:pt>
                <c:pt idx="2617">
                  <c:v>1469.99</c:v>
                </c:pt>
                <c:pt idx="2618">
                  <c:v>349.99</c:v>
                </c:pt>
                <c:pt idx="2619">
                  <c:v>1632.99</c:v>
                </c:pt>
                <c:pt idx="2620">
                  <c:v>5799.98</c:v>
                </c:pt>
                <c:pt idx="2621">
                  <c:v>3999.99</c:v>
                </c:pt>
                <c:pt idx="2622">
                  <c:v>539.99</c:v>
                </c:pt>
                <c:pt idx="2623">
                  <c:v>299.99</c:v>
                </c:pt>
                <c:pt idx="2624">
                  <c:v>2999.98</c:v>
                </c:pt>
                <c:pt idx="2625">
                  <c:v>647.99</c:v>
                </c:pt>
                <c:pt idx="2626">
                  <c:v>1523.98</c:v>
                </c:pt>
                <c:pt idx="2627">
                  <c:v>799.99</c:v>
                </c:pt>
                <c:pt idx="2628">
                  <c:v>1199.98</c:v>
                </c:pt>
                <c:pt idx="2629">
                  <c:v>1499.99</c:v>
                </c:pt>
                <c:pt idx="2630">
                  <c:v>449.99</c:v>
                </c:pt>
                <c:pt idx="2631">
                  <c:v>749.99</c:v>
                </c:pt>
                <c:pt idx="2632">
                  <c:v>149.99</c:v>
                </c:pt>
                <c:pt idx="2633">
                  <c:v>879.98</c:v>
                </c:pt>
                <c:pt idx="2634">
                  <c:v>469.99</c:v>
                </c:pt>
                <c:pt idx="2635">
                  <c:v>699.98</c:v>
                </c:pt>
                <c:pt idx="2636">
                  <c:v>832.99</c:v>
                </c:pt>
                <c:pt idx="2637">
                  <c:v>349.99</c:v>
                </c:pt>
                <c:pt idx="2638">
                  <c:v>6999.98</c:v>
                </c:pt>
                <c:pt idx="2639">
                  <c:v>759.98</c:v>
                </c:pt>
                <c:pt idx="2640">
                  <c:v>879.98</c:v>
                </c:pt>
                <c:pt idx="2641">
                  <c:v>1199.98</c:v>
                </c:pt>
                <c:pt idx="2642">
                  <c:v>5999.99</c:v>
                </c:pt>
                <c:pt idx="2643">
                  <c:v>999.99</c:v>
                </c:pt>
                <c:pt idx="2644">
                  <c:v>5299.99</c:v>
                </c:pt>
                <c:pt idx="2645">
                  <c:v>833.98</c:v>
                </c:pt>
                <c:pt idx="2646">
                  <c:v>149.99</c:v>
                </c:pt>
                <c:pt idx="2647">
                  <c:v>659.99</c:v>
                </c:pt>
                <c:pt idx="2648">
                  <c:v>6999.98</c:v>
                </c:pt>
                <c:pt idx="2649">
                  <c:v>549.99</c:v>
                </c:pt>
                <c:pt idx="2650">
                  <c:v>10999.98</c:v>
                </c:pt>
                <c:pt idx="2651">
                  <c:v>659.99</c:v>
                </c:pt>
                <c:pt idx="2652">
                  <c:v>1559.99</c:v>
                </c:pt>
                <c:pt idx="2653">
                  <c:v>693.98</c:v>
                </c:pt>
                <c:pt idx="2654">
                  <c:v>12999.98</c:v>
                </c:pt>
                <c:pt idx="2655">
                  <c:v>6999.98</c:v>
                </c:pt>
                <c:pt idx="2656">
                  <c:v>299.99</c:v>
                </c:pt>
                <c:pt idx="2657">
                  <c:v>439.99</c:v>
                </c:pt>
                <c:pt idx="2658">
                  <c:v>799.99</c:v>
                </c:pt>
                <c:pt idx="2659">
                  <c:v>269.99</c:v>
                </c:pt>
                <c:pt idx="2660">
                  <c:v>1199.98</c:v>
                </c:pt>
                <c:pt idx="2661">
                  <c:v>1665.98</c:v>
                </c:pt>
                <c:pt idx="2662">
                  <c:v>1499.99</c:v>
                </c:pt>
                <c:pt idx="2663">
                  <c:v>449</c:v>
                </c:pt>
                <c:pt idx="2664">
                  <c:v>4999.99</c:v>
                </c:pt>
                <c:pt idx="2665">
                  <c:v>10999.98</c:v>
                </c:pt>
                <c:pt idx="2666">
                  <c:v>693.98</c:v>
                </c:pt>
                <c:pt idx="2667">
                  <c:v>599.98</c:v>
                </c:pt>
                <c:pt idx="2668">
                  <c:v>469.99</c:v>
                </c:pt>
                <c:pt idx="2669">
                  <c:v>549.99</c:v>
                </c:pt>
                <c:pt idx="2670">
                  <c:v>659.99</c:v>
                </c:pt>
                <c:pt idx="2671">
                  <c:v>539.99</c:v>
                </c:pt>
                <c:pt idx="2672">
                  <c:v>899.98</c:v>
                </c:pt>
                <c:pt idx="2673">
                  <c:v>12999.98</c:v>
                </c:pt>
                <c:pt idx="2674">
                  <c:v>9999.98</c:v>
                </c:pt>
                <c:pt idx="2675">
                  <c:v>4999.9799999999996</c:v>
                </c:pt>
                <c:pt idx="2676">
                  <c:v>250.99</c:v>
                </c:pt>
                <c:pt idx="2677">
                  <c:v>2899.99</c:v>
                </c:pt>
                <c:pt idx="2678">
                  <c:v>269.99</c:v>
                </c:pt>
                <c:pt idx="2679">
                  <c:v>1320.99</c:v>
                </c:pt>
                <c:pt idx="2680">
                  <c:v>833.98</c:v>
                </c:pt>
                <c:pt idx="2681">
                  <c:v>1199.98</c:v>
                </c:pt>
                <c:pt idx="2682">
                  <c:v>499.99</c:v>
                </c:pt>
                <c:pt idx="2683">
                  <c:v>979.98</c:v>
                </c:pt>
                <c:pt idx="2684">
                  <c:v>3361.98</c:v>
                </c:pt>
                <c:pt idx="2685">
                  <c:v>979.98</c:v>
                </c:pt>
                <c:pt idx="2686">
                  <c:v>941.98</c:v>
                </c:pt>
                <c:pt idx="2687">
                  <c:v>1665.98</c:v>
                </c:pt>
                <c:pt idx="2688">
                  <c:v>551.99</c:v>
                </c:pt>
                <c:pt idx="2689">
                  <c:v>489.99</c:v>
                </c:pt>
                <c:pt idx="2690">
                  <c:v>499.99</c:v>
                </c:pt>
                <c:pt idx="2691">
                  <c:v>659.99</c:v>
                </c:pt>
                <c:pt idx="2692">
                  <c:v>1999.98</c:v>
                </c:pt>
                <c:pt idx="2693">
                  <c:v>1199.98</c:v>
                </c:pt>
                <c:pt idx="2694">
                  <c:v>1319.98</c:v>
                </c:pt>
                <c:pt idx="2695">
                  <c:v>659.98</c:v>
                </c:pt>
                <c:pt idx="2696">
                  <c:v>833.98</c:v>
                </c:pt>
                <c:pt idx="2697">
                  <c:v>533.99</c:v>
                </c:pt>
                <c:pt idx="2698">
                  <c:v>499.98</c:v>
                </c:pt>
                <c:pt idx="2699">
                  <c:v>939.98</c:v>
                </c:pt>
                <c:pt idx="2700">
                  <c:v>1079.98</c:v>
                </c:pt>
                <c:pt idx="2701">
                  <c:v>11999.98</c:v>
                </c:pt>
                <c:pt idx="2702">
                  <c:v>3999.99</c:v>
                </c:pt>
                <c:pt idx="2703">
                  <c:v>659.98</c:v>
                </c:pt>
                <c:pt idx="2704">
                  <c:v>3499.99</c:v>
                </c:pt>
                <c:pt idx="2705">
                  <c:v>539.98</c:v>
                </c:pt>
                <c:pt idx="2706">
                  <c:v>10999.98</c:v>
                </c:pt>
                <c:pt idx="2707">
                  <c:v>469.99</c:v>
                </c:pt>
                <c:pt idx="2708">
                  <c:v>4599.9799999999996</c:v>
                </c:pt>
                <c:pt idx="2709">
                  <c:v>539.99</c:v>
                </c:pt>
                <c:pt idx="2710">
                  <c:v>599.98</c:v>
                </c:pt>
                <c:pt idx="2711">
                  <c:v>1199.98</c:v>
                </c:pt>
                <c:pt idx="2712">
                  <c:v>339.99</c:v>
                </c:pt>
                <c:pt idx="2713">
                  <c:v>419.98</c:v>
                </c:pt>
                <c:pt idx="2714">
                  <c:v>1239.98</c:v>
                </c:pt>
                <c:pt idx="2715">
                  <c:v>5999.98</c:v>
                </c:pt>
                <c:pt idx="2716">
                  <c:v>5399.98</c:v>
                </c:pt>
                <c:pt idx="2717">
                  <c:v>5499.99</c:v>
                </c:pt>
                <c:pt idx="2718">
                  <c:v>2599.9899999999998</c:v>
                </c:pt>
                <c:pt idx="2719">
                  <c:v>10599.98</c:v>
                </c:pt>
                <c:pt idx="2720">
                  <c:v>6999.98</c:v>
                </c:pt>
                <c:pt idx="2721">
                  <c:v>1199.98</c:v>
                </c:pt>
                <c:pt idx="2722">
                  <c:v>1999.99</c:v>
                </c:pt>
                <c:pt idx="2723">
                  <c:v>599.98</c:v>
                </c:pt>
                <c:pt idx="2724">
                  <c:v>5799.98</c:v>
                </c:pt>
                <c:pt idx="2725">
                  <c:v>5299.99</c:v>
                </c:pt>
                <c:pt idx="2726">
                  <c:v>3265.98</c:v>
                </c:pt>
                <c:pt idx="2727">
                  <c:v>349.99</c:v>
                </c:pt>
                <c:pt idx="2728">
                  <c:v>3499.99</c:v>
                </c:pt>
                <c:pt idx="2729">
                  <c:v>189.99</c:v>
                </c:pt>
                <c:pt idx="2730">
                  <c:v>599.98</c:v>
                </c:pt>
                <c:pt idx="2731">
                  <c:v>299.99</c:v>
                </c:pt>
                <c:pt idx="2732">
                  <c:v>1499.98</c:v>
                </c:pt>
                <c:pt idx="2733">
                  <c:v>539.98</c:v>
                </c:pt>
                <c:pt idx="2734">
                  <c:v>805.98</c:v>
                </c:pt>
                <c:pt idx="2735">
                  <c:v>899.98</c:v>
                </c:pt>
                <c:pt idx="2736">
                  <c:v>539.98</c:v>
                </c:pt>
                <c:pt idx="2737">
                  <c:v>1319.98</c:v>
                </c:pt>
                <c:pt idx="2738">
                  <c:v>250.99</c:v>
                </c:pt>
                <c:pt idx="2739">
                  <c:v>470.99</c:v>
                </c:pt>
                <c:pt idx="2740">
                  <c:v>6499.99</c:v>
                </c:pt>
                <c:pt idx="2741">
                  <c:v>299.99</c:v>
                </c:pt>
                <c:pt idx="2742">
                  <c:v>529.99</c:v>
                </c:pt>
                <c:pt idx="2743">
                  <c:v>619.99</c:v>
                </c:pt>
                <c:pt idx="2744">
                  <c:v>1469.99</c:v>
                </c:pt>
                <c:pt idx="2745">
                  <c:v>346.99</c:v>
                </c:pt>
                <c:pt idx="2746">
                  <c:v>1499.98</c:v>
                </c:pt>
                <c:pt idx="2747">
                  <c:v>875.99</c:v>
                </c:pt>
                <c:pt idx="2748">
                  <c:v>2999.98</c:v>
                </c:pt>
                <c:pt idx="2749">
                  <c:v>299.98</c:v>
                </c:pt>
                <c:pt idx="2750">
                  <c:v>533.99</c:v>
                </c:pt>
                <c:pt idx="2751">
                  <c:v>10599.98</c:v>
                </c:pt>
                <c:pt idx="2752">
                  <c:v>693.98</c:v>
                </c:pt>
                <c:pt idx="2753">
                  <c:v>693.98</c:v>
                </c:pt>
                <c:pt idx="2754">
                  <c:v>979.98</c:v>
                </c:pt>
                <c:pt idx="2755">
                  <c:v>2899.99</c:v>
                </c:pt>
                <c:pt idx="2756">
                  <c:v>209.99</c:v>
                </c:pt>
                <c:pt idx="2757">
                  <c:v>439.99</c:v>
                </c:pt>
                <c:pt idx="2758">
                  <c:v>419.98</c:v>
                </c:pt>
                <c:pt idx="2759">
                  <c:v>189.99</c:v>
                </c:pt>
                <c:pt idx="2760">
                  <c:v>749.99</c:v>
                </c:pt>
                <c:pt idx="2761">
                  <c:v>250.99</c:v>
                </c:pt>
                <c:pt idx="2762">
                  <c:v>1599.98</c:v>
                </c:pt>
                <c:pt idx="2763">
                  <c:v>189.99</c:v>
                </c:pt>
                <c:pt idx="2764">
                  <c:v>551.99</c:v>
                </c:pt>
                <c:pt idx="2765">
                  <c:v>189.99</c:v>
                </c:pt>
                <c:pt idx="2766">
                  <c:v>9999.98</c:v>
                </c:pt>
                <c:pt idx="2767">
                  <c:v>3098</c:v>
                </c:pt>
                <c:pt idx="2768">
                  <c:v>439.99</c:v>
                </c:pt>
                <c:pt idx="2769">
                  <c:v>832.99</c:v>
                </c:pt>
                <c:pt idx="2770">
                  <c:v>329.99</c:v>
                </c:pt>
                <c:pt idx="2771">
                  <c:v>2999.98</c:v>
                </c:pt>
                <c:pt idx="2772">
                  <c:v>6399.98</c:v>
                </c:pt>
                <c:pt idx="2773">
                  <c:v>449.99</c:v>
                </c:pt>
                <c:pt idx="2774">
                  <c:v>1319.98</c:v>
                </c:pt>
                <c:pt idx="2775">
                  <c:v>693.98</c:v>
                </c:pt>
                <c:pt idx="2776">
                  <c:v>3599.98</c:v>
                </c:pt>
                <c:pt idx="2777">
                  <c:v>1099.98</c:v>
                </c:pt>
                <c:pt idx="2778">
                  <c:v>549.99</c:v>
                </c:pt>
                <c:pt idx="2779">
                  <c:v>489.99</c:v>
                </c:pt>
                <c:pt idx="2780">
                  <c:v>3499.99</c:v>
                </c:pt>
                <c:pt idx="2781">
                  <c:v>5799.98</c:v>
                </c:pt>
                <c:pt idx="2782">
                  <c:v>4999.9799999999996</c:v>
                </c:pt>
                <c:pt idx="2783">
                  <c:v>10599.98</c:v>
                </c:pt>
                <c:pt idx="2784">
                  <c:v>416.99</c:v>
                </c:pt>
                <c:pt idx="2785">
                  <c:v>939.98</c:v>
                </c:pt>
                <c:pt idx="2786">
                  <c:v>539.98</c:v>
                </c:pt>
                <c:pt idx="2787">
                  <c:v>941.98</c:v>
                </c:pt>
                <c:pt idx="2788">
                  <c:v>1199.98</c:v>
                </c:pt>
                <c:pt idx="2789">
                  <c:v>1499.99</c:v>
                </c:pt>
                <c:pt idx="2790">
                  <c:v>1751.98</c:v>
                </c:pt>
                <c:pt idx="2791">
                  <c:v>833.98</c:v>
                </c:pt>
                <c:pt idx="2792">
                  <c:v>999.99</c:v>
                </c:pt>
                <c:pt idx="2793">
                  <c:v>1523.98</c:v>
                </c:pt>
                <c:pt idx="2794">
                  <c:v>899.98</c:v>
                </c:pt>
                <c:pt idx="2795">
                  <c:v>999.98</c:v>
                </c:pt>
                <c:pt idx="2796">
                  <c:v>899.98</c:v>
                </c:pt>
                <c:pt idx="2797">
                  <c:v>2699.99</c:v>
                </c:pt>
                <c:pt idx="2798">
                  <c:v>833.98</c:v>
                </c:pt>
                <c:pt idx="2799">
                  <c:v>1099.98</c:v>
                </c:pt>
                <c:pt idx="2800">
                  <c:v>875.99</c:v>
                </c:pt>
                <c:pt idx="2801">
                  <c:v>6999.98</c:v>
                </c:pt>
                <c:pt idx="2802">
                  <c:v>2999.99</c:v>
                </c:pt>
                <c:pt idx="2803">
                  <c:v>489.99</c:v>
                </c:pt>
                <c:pt idx="2804">
                  <c:v>832.99</c:v>
                </c:pt>
                <c:pt idx="2805">
                  <c:v>599.98</c:v>
                </c:pt>
                <c:pt idx="2806">
                  <c:v>539.98</c:v>
                </c:pt>
                <c:pt idx="2807">
                  <c:v>1665.98</c:v>
                </c:pt>
                <c:pt idx="2808">
                  <c:v>4999.99</c:v>
                </c:pt>
                <c:pt idx="2809">
                  <c:v>539.98</c:v>
                </c:pt>
                <c:pt idx="2810">
                  <c:v>470.99</c:v>
                </c:pt>
                <c:pt idx="2811">
                  <c:v>875.99</c:v>
                </c:pt>
                <c:pt idx="2812">
                  <c:v>9999.98</c:v>
                </c:pt>
                <c:pt idx="2813">
                  <c:v>3499.99</c:v>
                </c:pt>
                <c:pt idx="2814">
                  <c:v>1199.98</c:v>
                </c:pt>
                <c:pt idx="2815">
                  <c:v>449.99</c:v>
                </c:pt>
                <c:pt idx="2816">
                  <c:v>2199.98</c:v>
                </c:pt>
                <c:pt idx="2817">
                  <c:v>189.99</c:v>
                </c:pt>
                <c:pt idx="2818">
                  <c:v>449.99</c:v>
                </c:pt>
                <c:pt idx="2819">
                  <c:v>2199.98</c:v>
                </c:pt>
                <c:pt idx="2820">
                  <c:v>549.99</c:v>
                </c:pt>
                <c:pt idx="2821">
                  <c:v>470.99</c:v>
                </c:pt>
                <c:pt idx="2822">
                  <c:v>2641.98</c:v>
                </c:pt>
                <c:pt idx="2823">
                  <c:v>2599.9899999999998</c:v>
                </c:pt>
                <c:pt idx="2824">
                  <c:v>1295.98</c:v>
                </c:pt>
                <c:pt idx="2825">
                  <c:v>189.99</c:v>
                </c:pt>
                <c:pt idx="2826">
                  <c:v>647.99</c:v>
                </c:pt>
                <c:pt idx="2827">
                  <c:v>1199.98</c:v>
                </c:pt>
                <c:pt idx="2828">
                  <c:v>12999.98</c:v>
                </c:pt>
                <c:pt idx="2829">
                  <c:v>3119.98</c:v>
                </c:pt>
                <c:pt idx="2830">
                  <c:v>761.99</c:v>
                </c:pt>
                <c:pt idx="2831">
                  <c:v>832.99</c:v>
                </c:pt>
                <c:pt idx="2832">
                  <c:v>549.99</c:v>
                </c:pt>
                <c:pt idx="2833">
                  <c:v>1099.98</c:v>
                </c:pt>
                <c:pt idx="2834">
                  <c:v>299.99</c:v>
                </c:pt>
                <c:pt idx="2835">
                  <c:v>999.99</c:v>
                </c:pt>
                <c:pt idx="2836">
                  <c:v>659.99</c:v>
                </c:pt>
                <c:pt idx="2837">
                  <c:v>219.98</c:v>
                </c:pt>
                <c:pt idx="2838">
                  <c:v>1320.99</c:v>
                </c:pt>
                <c:pt idx="2839">
                  <c:v>939.98</c:v>
                </c:pt>
                <c:pt idx="2840">
                  <c:v>999.99</c:v>
                </c:pt>
                <c:pt idx="2841">
                  <c:v>349.99</c:v>
                </c:pt>
                <c:pt idx="2842">
                  <c:v>539.98</c:v>
                </c:pt>
                <c:pt idx="2843">
                  <c:v>5999.98</c:v>
                </c:pt>
                <c:pt idx="2844">
                  <c:v>402.99</c:v>
                </c:pt>
                <c:pt idx="2845">
                  <c:v>469.99</c:v>
                </c:pt>
                <c:pt idx="2846">
                  <c:v>869.99</c:v>
                </c:pt>
                <c:pt idx="2847">
                  <c:v>489.99</c:v>
                </c:pt>
                <c:pt idx="2848">
                  <c:v>599.99</c:v>
                </c:pt>
                <c:pt idx="2849">
                  <c:v>679.98</c:v>
                </c:pt>
                <c:pt idx="2850">
                  <c:v>3999.99</c:v>
                </c:pt>
                <c:pt idx="2851">
                  <c:v>4999.99</c:v>
                </c:pt>
                <c:pt idx="2852">
                  <c:v>1665.98</c:v>
                </c:pt>
                <c:pt idx="2853">
                  <c:v>3098</c:v>
                </c:pt>
                <c:pt idx="2854">
                  <c:v>599.98</c:v>
                </c:pt>
                <c:pt idx="2855">
                  <c:v>805.98</c:v>
                </c:pt>
                <c:pt idx="2856">
                  <c:v>759.98</c:v>
                </c:pt>
                <c:pt idx="2857">
                  <c:v>869.99</c:v>
                </c:pt>
                <c:pt idx="2858">
                  <c:v>250.99</c:v>
                </c:pt>
                <c:pt idx="2859">
                  <c:v>1199.98</c:v>
                </c:pt>
                <c:pt idx="2860">
                  <c:v>209.99</c:v>
                </c:pt>
                <c:pt idx="2861">
                  <c:v>339.99</c:v>
                </c:pt>
                <c:pt idx="2862">
                  <c:v>899.98</c:v>
                </c:pt>
                <c:pt idx="2863">
                  <c:v>469.99</c:v>
                </c:pt>
                <c:pt idx="2864">
                  <c:v>299.98</c:v>
                </c:pt>
                <c:pt idx="2865">
                  <c:v>1067.98</c:v>
                </c:pt>
                <c:pt idx="2866">
                  <c:v>539.98</c:v>
                </c:pt>
                <c:pt idx="2867">
                  <c:v>1199.98</c:v>
                </c:pt>
                <c:pt idx="2868">
                  <c:v>533.99</c:v>
                </c:pt>
                <c:pt idx="2869">
                  <c:v>1319.98</c:v>
                </c:pt>
                <c:pt idx="2870">
                  <c:v>449.99</c:v>
                </c:pt>
                <c:pt idx="2871">
                  <c:v>693.98</c:v>
                </c:pt>
                <c:pt idx="2872">
                  <c:v>470.99</c:v>
                </c:pt>
                <c:pt idx="2873">
                  <c:v>898</c:v>
                </c:pt>
                <c:pt idx="2874">
                  <c:v>1999.98</c:v>
                </c:pt>
                <c:pt idx="2875">
                  <c:v>619.99</c:v>
                </c:pt>
                <c:pt idx="2876">
                  <c:v>1739.98</c:v>
                </c:pt>
                <c:pt idx="2877">
                  <c:v>4999.99</c:v>
                </c:pt>
                <c:pt idx="2878">
                  <c:v>470.99</c:v>
                </c:pt>
                <c:pt idx="2879">
                  <c:v>489.99</c:v>
                </c:pt>
                <c:pt idx="2880">
                  <c:v>149.99</c:v>
                </c:pt>
                <c:pt idx="2881">
                  <c:v>3599.98</c:v>
                </c:pt>
                <c:pt idx="2882">
                  <c:v>402.99</c:v>
                </c:pt>
                <c:pt idx="2883">
                  <c:v>939.98</c:v>
                </c:pt>
                <c:pt idx="2884">
                  <c:v>12999.98</c:v>
                </c:pt>
                <c:pt idx="2885">
                  <c:v>1665.98</c:v>
                </c:pt>
                <c:pt idx="2886">
                  <c:v>539.98</c:v>
                </c:pt>
                <c:pt idx="2887">
                  <c:v>2199.98</c:v>
                </c:pt>
                <c:pt idx="2888">
                  <c:v>299.99</c:v>
                </c:pt>
                <c:pt idx="2889">
                  <c:v>599.99</c:v>
                </c:pt>
                <c:pt idx="2890">
                  <c:v>449.99</c:v>
                </c:pt>
                <c:pt idx="2891">
                  <c:v>10999.98</c:v>
                </c:pt>
                <c:pt idx="2892">
                  <c:v>346.99</c:v>
                </c:pt>
                <c:pt idx="2893">
                  <c:v>1409.99</c:v>
                </c:pt>
                <c:pt idx="2894">
                  <c:v>599.99</c:v>
                </c:pt>
                <c:pt idx="2895">
                  <c:v>1680.99</c:v>
                </c:pt>
                <c:pt idx="2896">
                  <c:v>659.98</c:v>
                </c:pt>
                <c:pt idx="2897">
                  <c:v>299.99</c:v>
                </c:pt>
                <c:pt idx="2898">
                  <c:v>899.98</c:v>
                </c:pt>
                <c:pt idx="2899">
                  <c:v>416.99</c:v>
                </c:pt>
                <c:pt idx="2900">
                  <c:v>749.99</c:v>
                </c:pt>
                <c:pt idx="2901">
                  <c:v>299.99</c:v>
                </c:pt>
                <c:pt idx="2902">
                  <c:v>599.98</c:v>
                </c:pt>
                <c:pt idx="2903">
                  <c:v>539.99</c:v>
                </c:pt>
                <c:pt idx="2904">
                  <c:v>833.98</c:v>
                </c:pt>
                <c:pt idx="2905">
                  <c:v>189.99</c:v>
                </c:pt>
                <c:pt idx="2906">
                  <c:v>599.98</c:v>
                </c:pt>
                <c:pt idx="2907">
                  <c:v>1199.98</c:v>
                </c:pt>
                <c:pt idx="2908">
                  <c:v>899.98</c:v>
                </c:pt>
                <c:pt idx="2909">
                  <c:v>1799.99</c:v>
                </c:pt>
                <c:pt idx="2910">
                  <c:v>489.99</c:v>
                </c:pt>
                <c:pt idx="2911">
                  <c:v>3119.98</c:v>
                </c:pt>
                <c:pt idx="2912">
                  <c:v>349.99</c:v>
                </c:pt>
                <c:pt idx="2913">
                  <c:v>1739.98</c:v>
                </c:pt>
                <c:pt idx="2914">
                  <c:v>2199.98</c:v>
                </c:pt>
                <c:pt idx="2915">
                  <c:v>2599.9899999999998</c:v>
                </c:pt>
                <c:pt idx="2916">
                  <c:v>939.98</c:v>
                </c:pt>
                <c:pt idx="2917">
                  <c:v>1499.98</c:v>
                </c:pt>
                <c:pt idx="2918">
                  <c:v>679.98</c:v>
                </c:pt>
                <c:pt idx="2919">
                  <c:v>269.99</c:v>
                </c:pt>
                <c:pt idx="2920">
                  <c:v>599.98</c:v>
                </c:pt>
                <c:pt idx="2921">
                  <c:v>209.99</c:v>
                </c:pt>
                <c:pt idx="2922">
                  <c:v>1319.98</c:v>
                </c:pt>
                <c:pt idx="2923">
                  <c:v>489.99</c:v>
                </c:pt>
                <c:pt idx="2924">
                  <c:v>898</c:v>
                </c:pt>
                <c:pt idx="2925">
                  <c:v>1599.98</c:v>
                </c:pt>
                <c:pt idx="2926">
                  <c:v>599.98</c:v>
                </c:pt>
                <c:pt idx="2927">
                  <c:v>699.98</c:v>
                </c:pt>
                <c:pt idx="2928">
                  <c:v>349.99</c:v>
                </c:pt>
                <c:pt idx="2929">
                  <c:v>999.99</c:v>
                </c:pt>
                <c:pt idx="2930">
                  <c:v>875.99</c:v>
                </c:pt>
                <c:pt idx="2931">
                  <c:v>379.99</c:v>
                </c:pt>
                <c:pt idx="2932">
                  <c:v>419.98</c:v>
                </c:pt>
                <c:pt idx="2933">
                  <c:v>1199.98</c:v>
                </c:pt>
                <c:pt idx="2934">
                  <c:v>833.98</c:v>
                </c:pt>
                <c:pt idx="2935">
                  <c:v>529.99</c:v>
                </c:pt>
                <c:pt idx="2936">
                  <c:v>3999.98</c:v>
                </c:pt>
                <c:pt idx="2937">
                  <c:v>9999.98</c:v>
                </c:pt>
                <c:pt idx="2938">
                  <c:v>6999.98</c:v>
                </c:pt>
                <c:pt idx="2939">
                  <c:v>599.98</c:v>
                </c:pt>
                <c:pt idx="2940">
                  <c:v>469.99</c:v>
                </c:pt>
                <c:pt idx="2941">
                  <c:v>1409.99</c:v>
                </c:pt>
                <c:pt idx="2942">
                  <c:v>346.99</c:v>
                </c:pt>
                <c:pt idx="2943">
                  <c:v>1320.99</c:v>
                </c:pt>
                <c:pt idx="2944">
                  <c:v>349.99</c:v>
                </c:pt>
                <c:pt idx="2945">
                  <c:v>10599.98</c:v>
                </c:pt>
                <c:pt idx="2946">
                  <c:v>481.99</c:v>
                </c:pt>
                <c:pt idx="2947">
                  <c:v>4999.9799999999996</c:v>
                </c:pt>
                <c:pt idx="2948">
                  <c:v>979.98</c:v>
                </c:pt>
                <c:pt idx="2949">
                  <c:v>699.98</c:v>
                </c:pt>
                <c:pt idx="2950">
                  <c:v>349.99</c:v>
                </c:pt>
                <c:pt idx="2951">
                  <c:v>209.99</c:v>
                </c:pt>
                <c:pt idx="2952">
                  <c:v>489.99</c:v>
                </c:pt>
                <c:pt idx="2953">
                  <c:v>1499.99</c:v>
                </c:pt>
                <c:pt idx="2954">
                  <c:v>529.99</c:v>
                </c:pt>
                <c:pt idx="2955">
                  <c:v>501.98</c:v>
                </c:pt>
                <c:pt idx="2956">
                  <c:v>7999.98</c:v>
                </c:pt>
                <c:pt idx="2957">
                  <c:v>599.98</c:v>
                </c:pt>
                <c:pt idx="2958">
                  <c:v>539.98</c:v>
                </c:pt>
                <c:pt idx="2959">
                  <c:v>941.98</c:v>
                </c:pt>
                <c:pt idx="2960">
                  <c:v>1549</c:v>
                </c:pt>
                <c:pt idx="2961">
                  <c:v>1469.99</c:v>
                </c:pt>
                <c:pt idx="2962">
                  <c:v>1665.98</c:v>
                </c:pt>
                <c:pt idx="2963">
                  <c:v>449.99</c:v>
                </c:pt>
                <c:pt idx="2964">
                  <c:v>599.99</c:v>
                </c:pt>
                <c:pt idx="2965">
                  <c:v>2699.99</c:v>
                </c:pt>
                <c:pt idx="2966">
                  <c:v>4999.99</c:v>
                </c:pt>
                <c:pt idx="2967">
                  <c:v>899.98</c:v>
                </c:pt>
                <c:pt idx="2968">
                  <c:v>999.99</c:v>
                </c:pt>
                <c:pt idx="2969">
                  <c:v>3098</c:v>
                </c:pt>
                <c:pt idx="2970">
                  <c:v>619.99</c:v>
                </c:pt>
                <c:pt idx="2971">
                  <c:v>1999.98</c:v>
                </c:pt>
                <c:pt idx="2972">
                  <c:v>899.98</c:v>
                </c:pt>
                <c:pt idx="2973">
                  <c:v>3119.98</c:v>
                </c:pt>
                <c:pt idx="2974">
                  <c:v>429</c:v>
                </c:pt>
                <c:pt idx="2975">
                  <c:v>599.99</c:v>
                </c:pt>
                <c:pt idx="2976">
                  <c:v>833.98</c:v>
                </c:pt>
                <c:pt idx="2977">
                  <c:v>1999.98</c:v>
                </c:pt>
                <c:pt idx="2978">
                  <c:v>339.99</c:v>
                </c:pt>
                <c:pt idx="2979">
                  <c:v>3599.98</c:v>
                </c:pt>
                <c:pt idx="2980">
                  <c:v>3361.98</c:v>
                </c:pt>
                <c:pt idx="2981">
                  <c:v>269.99</c:v>
                </c:pt>
                <c:pt idx="2982">
                  <c:v>349.99</c:v>
                </c:pt>
                <c:pt idx="2983">
                  <c:v>5399.98</c:v>
                </c:pt>
                <c:pt idx="2984">
                  <c:v>299.99</c:v>
                </c:pt>
                <c:pt idx="2985">
                  <c:v>898</c:v>
                </c:pt>
                <c:pt idx="2986">
                  <c:v>693.98</c:v>
                </c:pt>
                <c:pt idx="2987">
                  <c:v>549.99</c:v>
                </c:pt>
                <c:pt idx="2988">
                  <c:v>879.98</c:v>
                </c:pt>
                <c:pt idx="2989">
                  <c:v>999.99</c:v>
                </c:pt>
                <c:pt idx="2990">
                  <c:v>693.98</c:v>
                </c:pt>
                <c:pt idx="2991">
                  <c:v>209.99</c:v>
                </c:pt>
                <c:pt idx="2992">
                  <c:v>219.98</c:v>
                </c:pt>
                <c:pt idx="2993">
                  <c:v>149.99</c:v>
                </c:pt>
                <c:pt idx="2994">
                  <c:v>2999.99</c:v>
                </c:pt>
                <c:pt idx="2995">
                  <c:v>898</c:v>
                </c:pt>
                <c:pt idx="2996">
                  <c:v>349.99</c:v>
                </c:pt>
                <c:pt idx="2997">
                  <c:v>4999.9799999999996</c:v>
                </c:pt>
                <c:pt idx="2998">
                  <c:v>489.99</c:v>
                </c:pt>
                <c:pt idx="2999">
                  <c:v>1999.98</c:v>
                </c:pt>
                <c:pt idx="3000">
                  <c:v>3599.98</c:v>
                </c:pt>
                <c:pt idx="3001">
                  <c:v>209.99</c:v>
                </c:pt>
                <c:pt idx="3002">
                  <c:v>9999.98</c:v>
                </c:pt>
                <c:pt idx="3003">
                  <c:v>499.98</c:v>
                </c:pt>
                <c:pt idx="3004">
                  <c:v>299.99</c:v>
                </c:pt>
                <c:pt idx="3005">
                  <c:v>5399.98</c:v>
                </c:pt>
                <c:pt idx="3006">
                  <c:v>599.99</c:v>
                </c:pt>
                <c:pt idx="3007">
                  <c:v>699.98</c:v>
                </c:pt>
                <c:pt idx="3008">
                  <c:v>2499.9899999999998</c:v>
                </c:pt>
                <c:pt idx="3009">
                  <c:v>963.98</c:v>
                </c:pt>
                <c:pt idx="3010">
                  <c:v>1559.99</c:v>
                </c:pt>
                <c:pt idx="3011">
                  <c:v>402.99</c:v>
                </c:pt>
                <c:pt idx="3012">
                  <c:v>469.99</c:v>
                </c:pt>
                <c:pt idx="3013">
                  <c:v>2939.98</c:v>
                </c:pt>
                <c:pt idx="3014">
                  <c:v>858</c:v>
                </c:pt>
                <c:pt idx="3015">
                  <c:v>4999.9799999999996</c:v>
                </c:pt>
                <c:pt idx="3016">
                  <c:v>647.99</c:v>
                </c:pt>
                <c:pt idx="3017">
                  <c:v>832.99</c:v>
                </c:pt>
                <c:pt idx="3018">
                  <c:v>3499.99</c:v>
                </c:pt>
                <c:pt idx="3019">
                  <c:v>1999.98</c:v>
                </c:pt>
                <c:pt idx="3020">
                  <c:v>379.99</c:v>
                </c:pt>
                <c:pt idx="3021">
                  <c:v>249.99</c:v>
                </c:pt>
                <c:pt idx="3022">
                  <c:v>2999.99</c:v>
                </c:pt>
                <c:pt idx="3023">
                  <c:v>1665.98</c:v>
                </c:pt>
                <c:pt idx="3024">
                  <c:v>999.99</c:v>
                </c:pt>
                <c:pt idx="3025">
                  <c:v>599.99</c:v>
                </c:pt>
                <c:pt idx="3026">
                  <c:v>3098</c:v>
                </c:pt>
                <c:pt idx="3027">
                  <c:v>699.98</c:v>
                </c:pt>
                <c:pt idx="3028">
                  <c:v>599.98</c:v>
                </c:pt>
                <c:pt idx="3029">
                  <c:v>1739.98</c:v>
                </c:pt>
                <c:pt idx="3030">
                  <c:v>539.98</c:v>
                </c:pt>
                <c:pt idx="3031">
                  <c:v>1409.99</c:v>
                </c:pt>
                <c:pt idx="3032">
                  <c:v>3999.99</c:v>
                </c:pt>
                <c:pt idx="3033">
                  <c:v>551.99</c:v>
                </c:pt>
                <c:pt idx="3034">
                  <c:v>1199.98</c:v>
                </c:pt>
                <c:pt idx="3035">
                  <c:v>6999.98</c:v>
                </c:pt>
                <c:pt idx="3036">
                  <c:v>1199.98</c:v>
                </c:pt>
                <c:pt idx="3037">
                  <c:v>599.98</c:v>
                </c:pt>
                <c:pt idx="3038">
                  <c:v>449.99</c:v>
                </c:pt>
                <c:pt idx="3039">
                  <c:v>1499.98</c:v>
                </c:pt>
                <c:pt idx="3040">
                  <c:v>1665.98</c:v>
                </c:pt>
                <c:pt idx="3041">
                  <c:v>599.99</c:v>
                </c:pt>
                <c:pt idx="3042">
                  <c:v>10599.98</c:v>
                </c:pt>
                <c:pt idx="3043">
                  <c:v>679.98</c:v>
                </c:pt>
                <c:pt idx="3044">
                  <c:v>1099.98</c:v>
                </c:pt>
                <c:pt idx="3045">
                  <c:v>299.98</c:v>
                </c:pt>
                <c:pt idx="3046">
                  <c:v>1559.99</c:v>
                </c:pt>
                <c:pt idx="3047">
                  <c:v>999.99</c:v>
                </c:pt>
                <c:pt idx="3048">
                  <c:v>533.99</c:v>
                </c:pt>
                <c:pt idx="3049">
                  <c:v>349.99</c:v>
                </c:pt>
                <c:pt idx="3050">
                  <c:v>979.98</c:v>
                </c:pt>
                <c:pt idx="3051">
                  <c:v>5299.99</c:v>
                </c:pt>
                <c:pt idx="3052">
                  <c:v>1999.98</c:v>
                </c:pt>
                <c:pt idx="3053">
                  <c:v>551.99</c:v>
                </c:pt>
                <c:pt idx="3054">
                  <c:v>2819.98</c:v>
                </c:pt>
                <c:pt idx="3055">
                  <c:v>3999.99</c:v>
                </c:pt>
                <c:pt idx="3056">
                  <c:v>269.99</c:v>
                </c:pt>
                <c:pt idx="3057">
                  <c:v>3999.99</c:v>
                </c:pt>
                <c:pt idx="3058">
                  <c:v>3361.98</c:v>
                </c:pt>
                <c:pt idx="3059">
                  <c:v>9999.98</c:v>
                </c:pt>
                <c:pt idx="3060">
                  <c:v>1999.98</c:v>
                </c:pt>
                <c:pt idx="3061">
                  <c:v>269.99</c:v>
                </c:pt>
                <c:pt idx="3062">
                  <c:v>449</c:v>
                </c:pt>
                <c:pt idx="3063">
                  <c:v>269.99</c:v>
                </c:pt>
                <c:pt idx="3064">
                  <c:v>941.98</c:v>
                </c:pt>
                <c:pt idx="3065">
                  <c:v>1320.99</c:v>
                </c:pt>
                <c:pt idx="3066">
                  <c:v>549.99</c:v>
                </c:pt>
                <c:pt idx="3067">
                  <c:v>939.98</c:v>
                </c:pt>
                <c:pt idx="3068">
                  <c:v>979.98</c:v>
                </c:pt>
                <c:pt idx="3069">
                  <c:v>1239.98</c:v>
                </c:pt>
                <c:pt idx="3070">
                  <c:v>449</c:v>
                </c:pt>
                <c:pt idx="3071">
                  <c:v>3499.99</c:v>
                </c:pt>
                <c:pt idx="3072">
                  <c:v>2999.98</c:v>
                </c:pt>
                <c:pt idx="3073">
                  <c:v>1103.98</c:v>
                </c:pt>
                <c:pt idx="3074">
                  <c:v>3499.99</c:v>
                </c:pt>
                <c:pt idx="3075">
                  <c:v>1059.98</c:v>
                </c:pt>
                <c:pt idx="3076">
                  <c:v>1409.99</c:v>
                </c:pt>
                <c:pt idx="3077">
                  <c:v>549.99</c:v>
                </c:pt>
                <c:pt idx="3078">
                  <c:v>879.98</c:v>
                </c:pt>
                <c:pt idx="3079">
                  <c:v>5999.98</c:v>
                </c:pt>
                <c:pt idx="3080">
                  <c:v>1239.98</c:v>
                </c:pt>
                <c:pt idx="3081">
                  <c:v>939.98</c:v>
                </c:pt>
                <c:pt idx="3082">
                  <c:v>379.98</c:v>
                </c:pt>
                <c:pt idx="3083">
                  <c:v>659.99</c:v>
                </c:pt>
                <c:pt idx="3084">
                  <c:v>6999.98</c:v>
                </c:pt>
                <c:pt idx="3085">
                  <c:v>1739.98</c:v>
                </c:pt>
                <c:pt idx="3086">
                  <c:v>416.99</c:v>
                </c:pt>
                <c:pt idx="3087">
                  <c:v>209.99</c:v>
                </c:pt>
                <c:pt idx="3088">
                  <c:v>470.99</c:v>
                </c:pt>
                <c:pt idx="3089">
                  <c:v>898</c:v>
                </c:pt>
                <c:pt idx="3090">
                  <c:v>249.99</c:v>
                </c:pt>
                <c:pt idx="3091">
                  <c:v>999.98</c:v>
                </c:pt>
                <c:pt idx="3092">
                  <c:v>149.99</c:v>
                </c:pt>
                <c:pt idx="3093">
                  <c:v>419.98</c:v>
                </c:pt>
                <c:pt idx="3094">
                  <c:v>1665.98</c:v>
                </c:pt>
                <c:pt idx="3095">
                  <c:v>1099.99</c:v>
                </c:pt>
                <c:pt idx="3096">
                  <c:v>269.99</c:v>
                </c:pt>
                <c:pt idx="3097">
                  <c:v>599.99</c:v>
                </c:pt>
                <c:pt idx="3098">
                  <c:v>2599.9899999999998</c:v>
                </c:pt>
                <c:pt idx="3099">
                  <c:v>189.99</c:v>
                </c:pt>
                <c:pt idx="3100">
                  <c:v>419.98</c:v>
                </c:pt>
                <c:pt idx="3101">
                  <c:v>2999.98</c:v>
                </c:pt>
                <c:pt idx="3102">
                  <c:v>941.98</c:v>
                </c:pt>
                <c:pt idx="3103">
                  <c:v>299.99</c:v>
                </c:pt>
                <c:pt idx="3104">
                  <c:v>489.99</c:v>
                </c:pt>
                <c:pt idx="3105">
                  <c:v>1499.98</c:v>
                </c:pt>
                <c:pt idx="3106">
                  <c:v>3119.98</c:v>
                </c:pt>
                <c:pt idx="3107">
                  <c:v>599.98</c:v>
                </c:pt>
                <c:pt idx="3108">
                  <c:v>3119.98</c:v>
                </c:pt>
                <c:pt idx="3109">
                  <c:v>529.99</c:v>
                </c:pt>
                <c:pt idx="3110">
                  <c:v>3098</c:v>
                </c:pt>
                <c:pt idx="3111">
                  <c:v>1239.98</c:v>
                </c:pt>
                <c:pt idx="3112">
                  <c:v>1319.98</c:v>
                </c:pt>
                <c:pt idx="3113">
                  <c:v>1632.99</c:v>
                </c:pt>
                <c:pt idx="3114">
                  <c:v>4999.99</c:v>
                </c:pt>
                <c:pt idx="3115">
                  <c:v>5999.99</c:v>
                </c:pt>
                <c:pt idx="3116">
                  <c:v>939.98</c:v>
                </c:pt>
                <c:pt idx="3117">
                  <c:v>149.99</c:v>
                </c:pt>
                <c:pt idx="3118">
                  <c:v>1751.98</c:v>
                </c:pt>
                <c:pt idx="3119">
                  <c:v>1999.98</c:v>
                </c:pt>
                <c:pt idx="3120">
                  <c:v>693.98</c:v>
                </c:pt>
                <c:pt idx="3121">
                  <c:v>1599.98</c:v>
                </c:pt>
                <c:pt idx="3122">
                  <c:v>4999.99</c:v>
                </c:pt>
                <c:pt idx="3123">
                  <c:v>469.99</c:v>
                </c:pt>
                <c:pt idx="3124">
                  <c:v>999.99</c:v>
                </c:pt>
                <c:pt idx="3125">
                  <c:v>659.99</c:v>
                </c:pt>
                <c:pt idx="3126">
                  <c:v>979.98</c:v>
                </c:pt>
                <c:pt idx="3127">
                  <c:v>693.98</c:v>
                </c:pt>
                <c:pt idx="3128">
                  <c:v>1559.99</c:v>
                </c:pt>
                <c:pt idx="3129">
                  <c:v>501.98</c:v>
                </c:pt>
                <c:pt idx="3130">
                  <c:v>489.99</c:v>
                </c:pt>
                <c:pt idx="3131">
                  <c:v>439.99</c:v>
                </c:pt>
                <c:pt idx="3132">
                  <c:v>449.99</c:v>
                </c:pt>
                <c:pt idx="3133">
                  <c:v>250.99</c:v>
                </c:pt>
                <c:pt idx="3134">
                  <c:v>2199.98</c:v>
                </c:pt>
                <c:pt idx="3135">
                  <c:v>3098</c:v>
                </c:pt>
                <c:pt idx="3136">
                  <c:v>1320.99</c:v>
                </c:pt>
                <c:pt idx="3137">
                  <c:v>529.99</c:v>
                </c:pt>
                <c:pt idx="3138">
                  <c:v>979.98</c:v>
                </c:pt>
                <c:pt idx="3139">
                  <c:v>5199.9799999999996</c:v>
                </c:pt>
                <c:pt idx="3140">
                  <c:v>539.98</c:v>
                </c:pt>
                <c:pt idx="3141">
                  <c:v>833.98</c:v>
                </c:pt>
                <c:pt idx="3142">
                  <c:v>489.99</c:v>
                </c:pt>
                <c:pt idx="3143">
                  <c:v>999.99</c:v>
                </c:pt>
                <c:pt idx="3144">
                  <c:v>469.99</c:v>
                </c:pt>
                <c:pt idx="3145">
                  <c:v>1665.98</c:v>
                </c:pt>
                <c:pt idx="3146">
                  <c:v>1319.98</c:v>
                </c:pt>
                <c:pt idx="3147">
                  <c:v>1999.98</c:v>
                </c:pt>
                <c:pt idx="3148">
                  <c:v>439.99</c:v>
                </c:pt>
                <c:pt idx="3149">
                  <c:v>349.99</c:v>
                </c:pt>
                <c:pt idx="3150">
                  <c:v>5499.99</c:v>
                </c:pt>
                <c:pt idx="3151">
                  <c:v>449</c:v>
                </c:pt>
                <c:pt idx="3152">
                  <c:v>469.99</c:v>
                </c:pt>
                <c:pt idx="3153">
                  <c:v>1999.98</c:v>
                </c:pt>
                <c:pt idx="3154">
                  <c:v>1499.98</c:v>
                </c:pt>
                <c:pt idx="3155">
                  <c:v>449</c:v>
                </c:pt>
                <c:pt idx="3156">
                  <c:v>1739.98</c:v>
                </c:pt>
                <c:pt idx="3157">
                  <c:v>858</c:v>
                </c:pt>
                <c:pt idx="3158">
                  <c:v>419.98</c:v>
                </c:pt>
                <c:pt idx="3159">
                  <c:v>416.99</c:v>
                </c:pt>
                <c:pt idx="3160">
                  <c:v>1680.99</c:v>
                </c:pt>
                <c:pt idx="3161">
                  <c:v>549.99</c:v>
                </c:pt>
                <c:pt idx="3162">
                  <c:v>416.99</c:v>
                </c:pt>
                <c:pt idx="3163">
                  <c:v>1295.98</c:v>
                </c:pt>
                <c:pt idx="3164">
                  <c:v>1999.98</c:v>
                </c:pt>
                <c:pt idx="3165">
                  <c:v>1059.98</c:v>
                </c:pt>
                <c:pt idx="3166">
                  <c:v>1632.99</c:v>
                </c:pt>
                <c:pt idx="3167">
                  <c:v>11999.98</c:v>
                </c:pt>
                <c:pt idx="3168">
                  <c:v>1680.99</c:v>
                </c:pt>
                <c:pt idx="3169">
                  <c:v>299.99</c:v>
                </c:pt>
                <c:pt idx="3170">
                  <c:v>899.98</c:v>
                </c:pt>
                <c:pt idx="3171">
                  <c:v>979.98</c:v>
                </c:pt>
                <c:pt idx="3172">
                  <c:v>449</c:v>
                </c:pt>
                <c:pt idx="3173">
                  <c:v>1665.98</c:v>
                </c:pt>
                <c:pt idx="3174">
                  <c:v>189.99</c:v>
                </c:pt>
                <c:pt idx="3175">
                  <c:v>489.99</c:v>
                </c:pt>
                <c:pt idx="3176">
                  <c:v>539.98</c:v>
                </c:pt>
                <c:pt idx="3177">
                  <c:v>1409.99</c:v>
                </c:pt>
                <c:pt idx="3178">
                  <c:v>419.98</c:v>
                </c:pt>
                <c:pt idx="3179">
                  <c:v>549.99</c:v>
                </c:pt>
                <c:pt idx="3180">
                  <c:v>5999.98</c:v>
                </c:pt>
                <c:pt idx="3181">
                  <c:v>533.99</c:v>
                </c:pt>
                <c:pt idx="3182">
                  <c:v>6499.99</c:v>
                </c:pt>
                <c:pt idx="3183">
                  <c:v>349.99</c:v>
                </c:pt>
                <c:pt idx="3184">
                  <c:v>449.99</c:v>
                </c:pt>
                <c:pt idx="3185">
                  <c:v>2819.98</c:v>
                </c:pt>
                <c:pt idx="3186">
                  <c:v>429</c:v>
                </c:pt>
                <c:pt idx="3187">
                  <c:v>1319.98</c:v>
                </c:pt>
                <c:pt idx="3188">
                  <c:v>5299.99</c:v>
                </c:pt>
                <c:pt idx="3189">
                  <c:v>761.99</c:v>
                </c:pt>
                <c:pt idx="3190">
                  <c:v>1559.99</c:v>
                </c:pt>
                <c:pt idx="3191">
                  <c:v>10999.98</c:v>
                </c:pt>
                <c:pt idx="3192">
                  <c:v>1665.98</c:v>
                </c:pt>
                <c:pt idx="3193">
                  <c:v>349.99</c:v>
                </c:pt>
                <c:pt idx="3194">
                  <c:v>5299.99</c:v>
                </c:pt>
                <c:pt idx="3195">
                  <c:v>2939.98</c:v>
                </c:pt>
                <c:pt idx="3196">
                  <c:v>1739.98</c:v>
                </c:pt>
                <c:pt idx="3197">
                  <c:v>489.99</c:v>
                </c:pt>
                <c:pt idx="3198">
                  <c:v>533.99</c:v>
                </c:pt>
                <c:pt idx="3199">
                  <c:v>1239.98</c:v>
                </c:pt>
                <c:pt idx="3200">
                  <c:v>5499.99</c:v>
                </c:pt>
                <c:pt idx="3201">
                  <c:v>299.99</c:v>
                </c:pt>
                <c:pt idx="3202">
                  <c:v>501.98</c:v>
                </c:pt>
                <c:pt idx="3203">
                  <c:v>269.99</c:v>
                </c:pt>
                <c:pt idx="3204">
                  <c:v>549.99</c:v>
                </c:pt>
                <c:pt idx="3205">
                  <c:v>833.98</c:v>
                </c:pt>
                <c:pt idx="3206">
                  <c:v>2299.9899999999998</c:v>
                </c:pt>
                <c:pt idx="3207">
                  <c:v>2641.98</c:v>
                </c:pt>
                <c:pt idx="3208">
                  <c:v>379.98</c:v>
                </c:pt>
                <c:pt idx="3209">
                  <c:v>5999.98</c:v>
                </c:pt>
                <c:pt idx="3210">
                  <c:v>449.99</c:v>
                </c:pt>
                <c:pt idx="3211">
                  <c:v>875.99</c:v>
                </c:pt>
                <c:pt idx="3212">
                  <c:v>699.98</c:v>
                </c:pt>
                <c:pt idx="3213">
                  <c:v>11999.98</c:v>
                </c:pt>
                <c:pt idx="3214">
                  <c:v>699.98</c:v>
                </c:pt>
                <c:pt idx="3215">
                  <c:v>6999.98</c:v>
                </c:pt>
                <c:pt idx="3216">
                  <c:v>3361.98</c:v>
                </c:pt>
                <c:pt idx="3217">
                  <c:v>759.98</c:v>
                </c:pt>
                <c:pt idx="3218">
                  <c:v>349.99</c:v>
                </c:pt>
                <c:pt idx="3219">
                  <c:v>12999.98</c:v>
                </c:pt>
                <c:pt idx="3220">
                  <c:v>5399.98</c:v>
                </c:pt>
                <c:pt idx="3221">
                  <c:v>5999.99</c:v>
                </c:pt>
                <c:pt idx="3222">
                  <c:v>999.99</c:v>
                </c:pt>
                <c:pt idx="3223">
                  <c:v>10599.98</c:v>
                </c:pt>
                <c:pt idx="3224">
                  <c:v>419.98</c:v>
                </c:pt>
                <c:pt idx="3225">
                  <c:v>5399.98</c:v>
                </c:pt>
                <c:pt idx="3226">
                  <c:v>481.99</c:v>
                </c:pt>
                <c:pt idx="3227">
                  <c:v>419.98</c:v>
                </c:pt>
                <c:pt idx="3228">
                  <c:v>1632.99</c:v>
                </c:pt>
                <c:pt idx="3229">
                  <c:v>1999.98</c:v>
                </c:pt>
                <c:pt idx="3230">
                  <c:v>209.99</c:v>
                </c:pt>
                <c:pt idx="3231">
                  <c:v>249.99</c:v>
                </c:pt>
                <c:pt idx="3232">
                  <c:v>3361.98</c:v>
                </c:pt>
                <c:pt idx="3233">
                  <c:v>941.98</c:v>
                </c:pt>
                <c:pt idx="3234">
                  <c:v>5999.98</c:v>
                </c:pt>
                <c:pt idx="3235">
                  <c:v>749.99</c:v>
                </c:pt>
                <c:pt idx="3236">
                  <c:v>6999.98</c:v>
                </c:pt>
                <c:pt idx="3237">
                  <c:v>2939.98</c:v>
                </c:pt>
                <c:pt idx="3238">
                  <c:v>619.99</c:v>
                </c:pt>
                <c:pt idx="3239">
                  <c:v>693.98</c:v>
                </c:pt>
                <c:pt idx="3240">
                  <c:v>9999.98</c:v>
                </c:pt>
                <c:pt idx="3241">
                  <c:v>7999.98</c:v>
                </c:pt>
                <c:pt idx="3242">
                  <c:v>469.99</c:v>
                </c:pt>
                <c:pt idx="3243">
                  <c:v>833.98</c:v>
                </c:pt>
                <c:pt idx="3244">
                  <c:v>1739.98</c:v>
                </c:pt>
                <c:pt idx="3245">
                  <c:v>1499.98</c:v>
                </c:pt>
                <c:pt idx="3246">
                  <c:v>1199.98</c:v>
                </c:pt>
                <c:pt idx="3247">
                  <c:v>269.99</c:v>
                </c:pt>
                <c:pt idx="3248">
                  <c:v>2199.98</c:v>
                </c:pt>
                <c:pt idx="3249">
                  <c:v>549.99</c:v>
                </c:pt>
                <c:pt idx="3250">
                  <c:v>939.98</c:v>
                </c:pt>
                <c:pt idx="3251">
                  <c:v>939.98</c:v>
                </c:pt>
                <c:pt idx="3252">
                  <c:v>4999.99</c:v>
                </c:pt>
                <c:pt idx="3253">
                  <c:v>419.98</c:v>
                </c:pt>
                <c:pt idx="3254">
                  <c:v>599.98</c:v>
                </c:pt>
                <c:pt idx="3255">
                  <c:v>699.98</c:v>
                </c:pt>
                <c:pt idx="3256">
                  <c:v>379.99</c:v>
                </c:pt>
                <c:pt idx="3257">
                  <c:v>539.99</c:v>
                </c:pt>
                <c:pt idx="3258">
                  <c:v>1549</c:v>
                </c:pt>
                <c:pt idx="3259">
                  <c:v>693.98</c:v>
                </c:pt>
                <c:pt idx="3260">
                  <c:v>833.98</c:v>
                </c:pt>
                <c:pt idx="3261">
                  <c:v>5499.99</c:v>
                </c:pt>
                <c:pt idx="3262">
                  <c:v>9999.98</c:v>
                </c:pt>
                <c:pt idx="3263">
                  <c:v>6399.98</c:v>
                </c:pt>
                <c:pt idx="3264">
                  <c:v>3119.98</c:v>
                </c:pt>
                <c:pt idx="3265">
                  <c:v>1103.98</c:v>
                </c:pt>
                <c:pt idx="3266">
                  <c:v>5299.99</c:v>
                </c:pt>
                <c:pt idx="3267">
                  <c:v>1549</c:v>
                </c:pt>
                <c:pt idx="3268">
                  <c:v>1665.98</c:v>
                </c:pt>
                <c:pt idx="3269">
                  <c:v>599.99</c:v>
                </c:pt>
                <c:pt idx="3270">
                  <c:v>5799.98</c:v>
                </c:pt>
                <c:pt idx="3271">
                  <c:v>429</c:v>
                </c:pt>
                <c:pt idx="3272">
                  <c:v>419.98</c:v>
                </c:pt>
                <c:pt idx="3273">
                  <c:v>3499.99</c:v>
                </c:pt>
                <c:pt idx="3274">
                  <c:v>349.99</c:v>
                </c:pt>
                <c:pt idx="3275">
                  <c:v>832.99</c:v>
                </c:pt>
                <c:pt idx="3276">
                  <c:v>679.98</c:v>
                </c:pt>
                <c:pt idx="3277">
                  <c:v>6499.99</c:v>
                </c:pt>
                <c:pt idx="3278">
                  <c:v>533.99</c:v>
                </c:pt>
                <c:pt idx="3279">
                  <c:v>2499.9899999999998</c:v>
                </c:pt>
                <c:pt idx="3280">
                  <c:v>9999.98</c:v>
                </c:pt>
                <c:pt idx="3281">
                  <c:v>219.98</c:v>
                </c:pt>
                <c:pt idx="3282">
                  <c:v>833.98</c:v>
                </c:pt>
                <c:pt idx="3283">
                  <c:v>539.98</c:v>
                </c:pt>
                <c:pt idx="3284">
                  <c:v>1067.98</c:v>
                </c:pt>
                <c:pt idx="3285">
                  <c:v>209.99</c:v>
                </c:pt>
                <c:pt idx="3286">
                  <c:v>899.98</c:v>
                </c:pt>
                <c:pt idx="3287">
                  <c:v>1079.98</c:v>
                </c:pt>
                <c:pt idx="3288">
                  <c:v>416.99</c:v>
                </c:pt>
                <c:pt idx="3289">
                  <c:v>999.98</c:v>
                </c:pt>
                <c:pt idx="3290">
                  <c:v>3999.99</c:v>
                </c:pt>
                <c:pt idx="3291">
                  <c:v>2999.98</c:v>
                </c:pt>
                <c:pt idx="3292">
                  <c:v>833.98</c:v>
                </c:pt>
                <c:pt idx="3293">
                  <c:v>1099.98</c:v>
                </c:pt>
                <c:pt idx="3294">
                  <c:v>9999.98</c:v>
                </c:pt>
                <c:pt idx="3295">
                  <c:v>1799.99</c:v>
                </c:pt>
                <c:pt idx="3296">
                  <c:v>1199.98</c:v>
                </c:pt>
                <c:pt idx="3297">
                  <c:v>999.99</c:v>
                </c:pt>
                <c:pt idx="3298">
                  <c:v>833.98</c:v>
                </c:pt>
                <c:pt idx="3299">
                  <c:v>899.98</c:v>
                </c:pt>
                <c:pt idx="3300">
                  <c:v>979.98</c:v>
                </c:pt>
                <c:pt idx="3301">
                  <c:v>299.99</c:v>
                </c:pt>
                <c:pt idx="3302">
                  <c:v>1499.99</c:v>
                </c:pt>
                <c:pt idx="3303">
                  <c:v>833.98</c:v>
                </c:pt>
                <c:pt idx="3304">
                  <c:v>189.99</c:v>
                </c:pt>
                <c:pt idx="3305">
                  <c:v>1067.98</c:v>
                </c:pt>
                <c:pt idx="3306">
                  <c:v>832.99</c:v>
                </c:pt>
                <c:pt idx="3307">
                  <c:v>489.99</c:v>
                </c:pt>
                <c:pt idx="3308">
                  <c:v>1680.99</c:v>
                </c:pt>
                <c:pt idx="3309">
                  <c:v>659.99</c:v>
                </c:pt>
                <c:pt idx="3310">
                  <c:v>2999.98</c:v>
                </c:pt>
                <c:pt idx="3311">
                  <c:v>659.99</c:v>
                </c:pt>
                <c:pt idx="3312">
                  <c:v>269.99</c:v>
                </c:pt>
                <c:pt idx="3313">
                  <c:v>1599.98</c:v>
                </c:pt>
                <c:pt idx="3314">
                  <c:v>499.98</c:v>
                </c:pt>
                <c:pt idx="3315">
                  <c:v>979.98</c:v>
                </c:pt>
                <c:pt idx="3316">
                  <c:v>1499.99</c:v>
                </c:pt>
                <c:pt idx="3317">
                  <c:v>4999.99</c:v>
                </c:pt>
                <c:pt idx="3318">
                  <c:v>329.99</c:v>
                </c:pt>
                <c:pt idx="3319">
                  <c:v>249.99</c:v>
                </c:pt>
                <c:pt idx="3320">
                  <c:v>999.99</c:v>
                </c:pt>
                <c:pt idx="3321">
                  <c:v>349.99</c:v>
                </c:pt>
                <c:pt idx="3322">
                  <c:v>963.98</c:v>
                </c:pt>
                <c:pt idx="3323">
                  <c:v>539.98</c:v>
                </c:pt>
                <c:pt idx="3324">
                  <c:v>1999.98</c:v>
                </c:pt>
                <c:pt idx="3325">
                  <c:v>4999.99</c:v>
                </c:pt>
                <c:pt idx="3326">
                  <c:v>699.98</c:v>
                </c:pt>
                <c:pt idx="3327">
                  <c:v>549.99</c:v>
                </c:pt>
                <c:pt idx="3328">
                  <c:v>551.99</c:v>
                </c:pt>
                <c:pt idx="3329">
                  <c:v>939.98</c:v>
                </c:pt>
                <c:pt idx="3330">
                  <c:v>429</c:v>
                </c:pt>
                <c:pt idx="3331">
                  <c:v>1559.99</c:v>
                </c:pt>
                <c:pt idx="3332">
                  <c:v>501.98</c:v>
                </c:pt>
                <c:pt idx="3333">
                  <c:v>899.98</c:v>
                </c:pt>
                <c:pt idx="3334">
                  <c:v>939.98</c:v>
                </c:pt>
                <c:pt idx="3335">
                  <c:v>832.99</c:v>
                </c:pt>
                <c:pt idx="3336">
                  <c:v>1599.98</c:v>
                </c:pt>
                <c:pt idx="3337">
                  <c:v>941.98</c:v>
                </c:pt>
                <c:pt idx="3338">
                  <c:v>149.99</c:v>
                </c:pt>
                <c:pt idx="3339">
                  <c:v>599.99</c:v>
                </c:pt>
                <c:pt idx="3340">
                  <c:v>3265.98</c:v>
                </c:pt>
                <c:pt idx="3341">
                  <c:v>759.98</c:v>
                </c:pt>
                <c:pt idx="3342">
                  <c:v>1469.99</c:v>
                </c:pt>
                <c:pt idx="3343">
                  <c:v>599.98</c:v>
                </c:pt>
                <c:pt idx="3344">
                  <c:v>439.99</c:v>
                </c:pt>
                <c:pt idx="3345">
                  <c:v>1099.98</c:v>
                </c:pt>
                <c:pt idx="3346">
                  <c:v>1469.99</c:v>
                </c:pt>
                <c:pt idx="3347">
                  <c:v>2999.99</c:v>
                </c:pt>
                <c:pt idx="3348">
                  <c:v>833.98</c:v>
                </c:pt>
                <c:pt idx="3349">
                  <c:v>549.99</c:v>
                </c:pt>
                <c:pt idx="3350">
                  <c:v>269.99</c:v>
                </c:pt>
                <c:pt idx="3351">
                  <c:v>1999.98</c:v>
                </c:pt>
                <c:pt idx="3352">
                  <c:v>189.99</c:v>
                </c:pt>
                <c:pt idx="3353">
                  <c:v>9999.98</c:v>
                </c:pt>
                <c:pt idx="3354">
                  <c:v>149.99</c:v>
                </c:pt>
                <c:pt idx="3355">
                  <c:v>1469.99</c:v>
                </c:pt>
                <c:pt idx="3356">
                  <c:v>1099.98</c:v>
                </c:pt>
                <c:pt idx="3357">
                  <c:v>6999.98</c:v>
                </c:pt>
                <c:pt idx="3358">
                  <c:v>1499.98</c:v>
                </c:pt>
                <c:pt idx="3359">
                  <c:v>1799.99</c:v>
                </c:pt>
                <c:pt idx="3360">
                  <c:v>647.99</c:v>
                </c:pt>
                <c:pt idx="3361">
                  <c:v>1103.98</c:v>
                </c:pt>
                <c:pt idx="3362">
                  <c:v>1079.98</c:v>
                </c:pt>
                <c:pt idx="3363">
                  <c:v>693.98</c:v>
                </c:pt>
                <c:pt idx="3364">
                  <c:v>449.99</c:v>
                </c:pt>
                <c:pt idx="3365">
                  <c:v>1103.98</c:v>
                </c:pt>
                <c:pt idx="3366">
                  <c:v>1999.98</c:v>
                </c:pt>
                <c:pt idx="3367">
                  <c:v>2199.98</c:v>
                </c:pt>
                <c:pt idx="3368">
                  <c:v>449.99</c:v>
                </c:pt>
                <c:pt idx="3369">
                  <c:v>599.98</c:v>
                </c:pt>
                <c:pt idx="3370">
                  <c:v>659.99</c:v>
                </c:pt>
                <c:pt idx="3371">
                  <c:v>6499.99</c:v>
                </c:pt>
                <c:pt idx="3372">
                  <c:v>833.98</c:v>
                </c:pt>
                <c:pt idx="3373">
                  <c:v>1059.98</c:v>
                </c:pt>
                <c:pt idx="3374">
                  <c:v>699.98</c:v>
                </c:pt>
                <c:pt idx="3375">
                  <c:v>6499.99</c:v>
                </c:pt>
                <c:pt idx="3376">
                  <c:v>9999.98</c:v>
                </c:pt>
                <c:pt idx="3377">
                  <c:v>2199.98</c:v>
                </c:pt>
                <c:pt idx="3378">
                  <c:v>529.99</c:v>
                </c:pt>
                <c:pt idx="3379">
                  <c:v>10599.98</c:v>
                </c:pt>
                <c:pt idx="3380">
                  <c:v>6999.98</c:v>
                </c:pt>
                <c:pt idx="3381">
                  <c:v>499.98</c:v>
                </c:pt>
                <c:pt idx="3382">
                  <c:v>419.98</c:v>
                </c:pt>
                <c:pt idx="3383">
                  <c:v>3098</c:v>
                </c:pt>
                <c:pt idx="3384">
                  <c:v>1295.98</c:v>
                </c:pt>
                <c:pt idx="3385">
                  <c:v>481.99</c:v>
                </c:pt>
                <c:pt idx="3386">
                  <c:v>299.99</c:v>
                </c:pt>
                <c:pt idx="3387">
                  <c:v>429</c:v>
                </c:pt>
                <c:pt idx="3388">
                  <c:v>449.99</c:v>
                </c:pt>
                <c:pt idx="3389">
                  <c:v>1103.98</c:v>
                </c:pt>
                <c:pt idx="3390">
                  <c:v>941.98</c:v>
                </c:pt>
                <c:pt idx="3391">
                  <c:v>469.99</c:v>
                </c:pt>
                <c:pt idx="3392">
                  <c:v>449.99</c:v>
                </c:pt>
                <c:pt idx="3393">
                  <c:v>9999.98</c:v>
                </c:pt>
                <c:pt idx="3394">
                  <c:v>346.99</c:v>
                </c:pt>
                <c:pt idx="3395">
                  <c:v>599.99</c:v>
                </c:pt>
                <c:pt idx="3396">
                  <c:v>999.99</c:v>
                </c:pt>
                <c:pt idx="3397">
                  <c:v>2999.99</c:v>
                </c:pt>
                <c:pt idx="3398">
                  <c:v>189.99</c:v>
                </c:pt>
                <c:pt idx="3399">
                  <c:v>6999.98</c:v>
                </c:pt>
                <c:pt idx="3400">
                  <c:v>439.99</c:v>
                </c:pt>
                <c:pt idx="3401">
                  <c:v>1409.99</c:v>
                </c:pt>
                <c:pt idx="3402">
                  <c:v>799.99</c:v>
                </c:pt>
                <c:pt idx="3403">
                  <c:v>449.99</c:v>
                </c:pt>
                <c:pt idx="3404">
                  <c:v>539.98</c:v>
                </c:pt>
                <c:pt idx="3405">
                  <c:v>419.98</c:v>
                </c:pt>
                <c:pt idx="3406">
                  <c:v>379.98</c:v>
                </c:pt>
                <c:pt idx="3407">
                  <c:v>939.98</c:v>
                </c:pt>
                <c:pt idx="3408">
                  <c:v>5999.99</c:v>
                </c:pt>
                <c:pt idx="3409">
                  <c:v>501.98</c:v>
                </c:pt>
                <c:pt idx="3410">
                  <c:v>489.99</c:v>
                </c:pt>
                <c:pt idx="3411">
                  <c:v>832.99</c:v>
                </c:pt>
                <c:pt idx="3412">
                  <c:v>6999.98</c:v>
                </c:pt>
                <c:pt idx="3413">
                  <c:v>3499.99</c:v>
                </c:pt>
                <c:pt idx="3414">
                  <c:v>1523.98</c:v>
                </c:pt>
                <c:pt idx="3415">
                  <c:v>939.98</c:v>
                </c:pt>
                <c:pt idx="3416">
                  <c:v>1199.98</c:v>
                </c:pt>
                <c:pt idx="3417">
                  <c:v>416.99</c:v>
                </c:pt>
                <c:pt idx="3418">
                  <c:v>898</c:v>
                </c:pt>
                <c:pt idx="3419">
                  <c:v>269.99</c:v>
                </c:pt>
                <c:pt idx="3420">
                  <c:v>6999.98</c:v>
                </c:pt>
                <c:pt idx="3421">
                  <c:v>761.99</c:v>
                </c:pt>
                <c:pt idx="3422">
                  <c:v>2999.98</c:v>
                </c:pt>
                <c:pt idx="3423">
                  <c:v>3499.99</c:v>
                </c:pt>
                <c:pt idx="3424">
                  <c:v>449.99</c:v>
                </c:pt>
                <c:pt idx="3425">
                  <c:v>999.99</c:v>
                </c:pt>
                <c:pt idx="3426">
                  <c:v>1665.98</c:v>
                </c:pt>
                <c:pt idx="3427">
                  <c:v>402.99</c:v>
                </c:pt>
                <c:pt idx="3428">
                  <c:v>2899.99</c:v>
                </c:pt>
                <c:pt idx="3429">
                  <c:v>1499.98</c:v>
                </c:pt>
                <c:pt idx="3430">
                  <c:v>501.98</c:v>
                </c:pt>
                <c:pt idx="3431">
                  <c:v>699.98</c:v>
                </c:pt>
                <c:pt idx="3432">
                  <c:v>379.98</c:v>
                </c:pt>
                <c:pt idx="3433">
                  <c:v>2699.99</c:v>
                </c:pt>
                <c:pt idx="3434">
                  <c:v>979.98</c:v>
                </c:pt>
                <c:pt idx="3435">
                  <c:v>9999.98</c:v>
                </c:pt>
                <c:pt idx="3436">
                  <c:v>416.99</c:v>
                </c:pt>
                <c:pt idx="3437">
                  <c:v>9999.98</c:v>
                </c:pt>
                <c:pt idx="3438">
                  <c:v>419.98</c:v>
                </c:pt>
                <c:pt idx="3439">
                  <c:v>489.99</c:v>
                </c:pt>
                <c:pt idx="3440">
                  <c:v>1099.98</c:v>
                </c:pt>
                <c:pt idx="3441">
                  <c:v>379.98</c:v>
                </c:pt>
                <c:pt idx="3442">
                  <c:v>759.98</c:v>
                </c:pt>
                <c:pt idx="3443">
                  <c:v>299.98</c:v>
                </c:pt>
                <c:pt idx="3444">
                  <c:v>999.99</c:v>
                </c:pt>
                <c:pt idx="3445">
                  <c:v>416.99</c:v>
                </c:pt>
                <c:pt idx="3446">
                  <c:v>7999.98</c:v>
                </c:pt>
                <c:pt idx="3447">
                  <c:v>1067.98</c:v>
                </c:pt>
                <c:pt idx="3448">
                  <c:v>109.99</c:v>
                </c:pt>
                <c:pt idx="3449">
                  <c:v>875.99</c:v>
                </c:pt>
                <c:pt idx="3450">
                  <c:v>749.99</c:v>
                </c:pt>
                <c:pt idx="3451">
                  <c:v>269.99</c:v>
                </c:pt>
                <c:pt idx="3452">
                  <c:v>899.98</c:v>
                </c:pt>
                <c:pt idx="3453">
                  <c:v>5999.98</c:v>
                </c:pt>
                <c:pt idx="3454">
                  <c:v>899.98</c:v>
                </c:pt>
                <c:pt idx="3455">
                  <c:v>533.99</c:v>
                </c:pt>
                <c:pt idx="3456">
                  <c:v>469.99</c:v>
                </c:pt>
                <c:pt idx="3457">
                  <c:v>499.98</c:v>
                </c:pt>
                <c:pt idx="3458">
                  <c:v>833.98</c:v>
                </c:pt>
                <c:pt idx="3459">
                  <c:v>4599.9799999999996</c:v>
                </c:pt>
                <c:pt idx="3460">
                  <c:v>299.99</c:v>
                </c:pt>
                <c:pt idx="3461">
                  <c:v>269.99</c:v>
                </c:pt>
                <c:pt idx="3462">
                  <c:v>599.99</c:v>
                </c:pt>
                <c:pt idx="3463">
                  <c:v>858</c:v>
                </c:pt>
                <c:pt idx="3464">
                  <c:v>898</c:v>
                </c:pt>
                <c:pt idx="3465">
                  <c:v>219.98</c:v>
                </c:pt>
                <c:pt idx="3466">
                  <c:v>939.98</c:v>
                </c:pt>
                <c:pt idx="3467">
                  <c:v>2699.99</c:v>
                </c:pt>
                <c:pt idx="3468">
                  <c:v>759.98</c:v>
                </c:pt>
                <c:pt idx="3469">
                  <c:v>1067.98</c:v>
                </c:pt>
                <c:pt idx="3470">
                  <c:v>2819.98</c:v>
                </c:pt>
                <c:pt idx="3471">
                  <c:v>416.99</c:v>
                </c:pt>
                <c:pt idx="3472">
                  <c:v>805.98</c:v>
                </c:pt>
                <c:pt idx="3473">
                  <c:v>209.99</c:v>
                </c:pt>
                <c:pt idx="3474">
                  <c:v>749.99</c:v>
                </c:pt>
                <c:pt idx="3475">
                  <c:v>999.99</c:v>
                </c:pt>
                <c:pt idx="3476">
                  <c:v>481.99</c:v>
                </c:pt>
                <c:pt idx="3477">
                  <c:v>551.99</c:v>
                </c:pt>
                <c:pt idx="3478">
                  <c:v>299.99</c:v>
                </c:pt>
                <c:pt idx="3479">
                  <c:v>549.99</c:v>
                </c:pt>
                <c:pt idx="3480">
                  <c:v>693.98</c:v>
                </c:pt>
                <c:pt idx="3481">
                  <c:v>299.98</c:v>
                </c:pt>
                <c:pt idx="3482">
                  <c:v>539.98</c:v>
                </c:pt>
                <c:pt idx="3483">
                  <c:v>189.99</c:v>
                </c:pt>
                <c:pt idx="3484">
                  <c:v>209.99</c:v>
                </c:pt>
                <c:pt idx="3485">
                  <c:v>349.99</c:v>
                </c:pt>
                <c:pt idx="3486">
                  <c:v>599.99</c:v>
                </c:pt>
                <c:pt idx="3487">
                  <c:v>939.98</c:v>
                </c:pt>
                <c:pt idx="3488">
                  <c:v>1295.98</c:v>
                </c:pt>
                <c:pt idx="3489">
                  <c:v>109.99</c:v>
                </c:pt>
                <c:pt idx="3490">
                  <c:v>1665.98</c:v>
                </c:pt>
                <c:pt idx="3491">
                  <c:v>1059.98</c:v>
                </c:pt>
                <c:pt idx="3492">
                  <c:v>2599.9899999999998</c:v>
                </c:pt>
                <c:pt idx="3493">
                  <c:v>209.99</c:v>
                </c:pt>
                <c:pt idx="3494">
                  <c:v>209.99</c:v>
                </c:pt>
                <c:pt idx="3495">
                  <c:v>899.98</c:v>
                </c:pt>
                <c:pt idx="3496">
                  <c:v>439.99</c:v>
                </c:pt>
                <c:pt idx="3497">
                  <c:v>759.98</c:v>
                </c:pt>
                <c:pt idx="3498">
                  <c:v>2999.98</c:v>
                </c:pt>
                <c:pt idx="3499">
                  <c:v>899.98</c:v>
                </c:pt>
                <c:pt idx="3500">
                  <c:v>979.98</c:v>
                </c:pt>
                <c:pt idx="3501">
                  <c:v>647.99</c:v>
                </c:pt>
                <c:pt idx="3502">
                  <c:v>979.98</c:v>
                </c:pt>
                <c:pt idx="3503">
                  <c:v>529.99</c:v>
                </c:pt>
                <c:pt idx="3504">
                  <c:v>5999.98</c:v>
                </c:pt>
                <c:pt idx="3505">
                  <c:v>3999.99</c:v>
                </c:pt>
                <c:pt idx="3506">
                  <c:v>269.99</c:v>
                </c:pt>
                <c:pt idx="3507">
                  <c:v>1599.98</c:v>
                </c:pt>
                <c:pt idx="3508">
                  <c:v>501.98</c:v>
                </c:pt>
                <c:pt idx="3509">
                  <c:v>1499.98</c:v>
                </c:pt>
                <c:pt idx="3510">
                  <c:v>3098</c:v>
                </c:pt>
                <c:pt idx="3511">
                  <c:v>979.98</c:v>
                </c:pt>
                <c:pt idx="3512">
                  <c:v>3199.99</c:v>
                </c:pt>
                <c:pt idx="3513">
                  <c:v>449</c:v>
                </c:pt>
                <c:pt idx="3514">
                  <c:v>941.98</c:v>
                </c:pt>
                <c:pt idx="3515">
                  <c:v>5299.99</c:v>
                </c:pt>
                <c:pt idx="3516">
                  <c:v>749.99</c:v>
                </c:pt>
                <c:pt idx="3517">
                  <c:v>899.98</c:v>
                </c:pt>
                <c:pt idx="3518">
                  <c:v>469.99</c:v>
                </c:pt>
                <c:pt idx="3519">
                  <c:v>979.98</c:v>
                </c:pt>
                <c:pt idx="3520">
                  <c:v>858</c:v>
                </c:pt>
                <c:pt idx="3521">
                  <c:v>6999.98</c:v>
                </c:pt>
                <c:pt idx="3522">
                  <c:v>9999.98</c:v>
                </c:pt>
                <c:pt idx="3523">
                  <c:v>10599.98</c:v>
                </c:pt>
                <c:pt idx="3524">
                  <c:v>3499.99</c:v>
                </c:pt>
                <c:pt idx="3525">
                  <c:v>659.98</c:v>
                </c:pt>
                <c:pt idx="3526">
                  <c:v>489.99</c:v>
                </c:pt>
                <c:pt idx="3527">
                  <c:v>2199.98</c:v>
                </c:pt>
                <c:pt idx="3528">
                  <c:v>4599.9799999999996</c:v>
                </c:pt>
                <c:pt idx="3529">
                  <c:v>1099.98</c:v>
                </c:pt>
                <c:pt idx="3530">
                  <c:v>699.98</c:v>
                </c:pt>
                <c:pt idx="3531">
                  <c:v>349.99</c:v>
                </c:pt>
                <c:pt idx="3532">
                  <c:v>551.99</c:v>
                </c:pt>
                <c:pt idx="3533">
                  <c:v>3499.99</c:v>
                </c:pt>
                <c:pt idx="3534">
                  <c:v>6499.99</c:v>
                </c:pt>
                <c:pt idx="3535">
                  <c:v>449.99</c:v>
                </c:pt>
                <c:pt idx="3536">
                  <c:v>469.99</c:v>
                </c:pt>
                <c:pt idx="3537">
                  <c:v>1099.99</c:v>
                </c:pt>
                <c:pt idx="3538">
                  <c:v>5199.9799999999996</c:v>
                </c:pt>
                <c:pt idx="3539">
                  <c:v>939.98</c:v>
                </c:pt>
                <c:pt idx="3540">
                  <c:v>1599.98</c:v>
                </c:pt>
                <c:pt idx="3541">
                  <c:v>339.99</c:v>
                </c:pt>
                <c:pt idx="3542">
                  <c:v>3361.98</c:v>
                </c:pt>
                <c:pt idx="3543">
                  <c:v>6499.99</c:v>
                </c:pt>
                <c:pt idx="3544">
                  <c:v>2299.9899999999998</c:v>
                </c:pt>
                <c:pt idx="3545">
                  <c:v>419.98</c:v>
                </c:pt>
                <c:pt idx="3546">
                  <c:v>539.99</c:v>
                </c:pt>
                <c:pt idx="3547">
                  <c:v>599.99</c:v>
                </c:pt>
                <c:pt idx="3548">
                  <c:v>1799.99</c:v>
                </c:pt>
                <c:pt idx="3549">
                  <c:v>4599.9799999999996</c:v>
                </c:pt>
                <c:pt idx="3550">
                  <c:v>209.99</c:v>
                </c:pt>
                <c:pt idx="3551">
                  <c:v>5399.98</c:v>
                </c:pt>
                <c:pt idx="3552">
                  <c:v>1199.98</c:v>
                </c:pt>
                <c:pt idx="3553">
                  <c:v>1665.98</c:v>
                </c:pt>
                <c:pt idx="3554">
                  <c:v>9999.98</c:v>
                </c:pt>
                <c:pt idx="3555">
                  <c:v>939.98</c:v>
                </c:pt>
                <c:pt idx="3556">
                  <c:v>1099.98</c:v>
                </c:pt>
                <c:pt idx="3557">
                  <c:v>1199.98</c:v>
                </c:pt>
                <c:pt idx="3558">
                  <c:v>659.99</c:v>
                </c:pt>
                <c:pt idx="3559">
                  <c:v>5799.98</c:v>
                </c:pt>
                <c:pt idx="3560">
                  <c:v>941.98</c:v>
                </c:pt>
                <c:pt idx="3561">
                  <c:v>939.98</c:v>
                </c:pt>
                <c:pt idx="3562">
                  <c:v>379.98</c:v>
                </c:pt>
                <c:pt idx="3563">
                  <c:v>9999.98</c:v>
                </c:pt>
                <c:pt idx="3564">
                  <c:v>2699.99</c:v>
                </c:pt>
                <c:pt idx="3565">
                  <c:v>10999.98</c:v>
                </c:pt>
                <c:pt idx="3566">
                  <c:v>833.98</c:v>
                </c:pt>
                <c:pt idx="3567">
                  <c:v>3999.99</c:v>
                </c:pt>
                <c:pt idx="3568">
                  <c:v>1559.99</c:v>
                </c:pt>
                <c:pt idx="3569">
                  <c:v>939.98</c:v>
                </c:pt>
                <c:pt idx="3570">
                  <c:v>349.99</c:v>
                </c:pt>
                <c:pt idx="3571">
                  <c:v>299.99</c:v>
                </c:pt>
                <c:pt idx="3572">
                  <c:v>379.98</c:v>
                </c:pt>
                <c:pt idx="3573">
                  <c:v>599.98</c:v>
                </c:pt>
                <c:pt idx="3574">
                  <c:v>5399.98</c:v>
                </c:pt>
                <c:pt idx="3575">
                  <c:v>499.99</c:v>
                </c:pt>
                <c:pt idx="3576">
                  <c:v>4999.99</c:v>
                </c:pt>
                <c:pt idx="3577">
                  <c:v>269.99</c:v>
                </c:pt>
                <c:pt idx="3578">
                  <c:v>599.98</c:v>
                </c:pt>
                <c:pt idx="3579">
                  <c:v>339.99</c:v>
                </c:pt>
                <c:pt idx="3580">
                  <c:v>1059.98</c:v>
                </c:pt>
                <c:pt idx="3581">
                  <c:v>349.99</c:v>
                </c:pt>
                <c:pt idx="3582">
                  <c:v>939.98</c:v>
                </c:pt>
                <c:pt idx="3583">
                  <c:v>832.99</c:v>
                </c:pt>
                <c:pt idx="3584">
                  <c:v>833.98</c:v>
                </c:pt>
                <c:pt idx="3585">
                  <c:v>599.98</c:v>
                </c:pt>
                <c:pt idx="3586">
                  <c:v>1059.98</c:v>
                </c:pt>
                <c:pt idx="3587">
                  <c:v>1599.98</c:v>
                </c:pt>
                <c:pt idx="3588">
                  <c:v>1999.99</c:v>
                </c:pt>
                <c:pt idx="3589">
                  <c:v>439.99</c:v>
                </c:pt>
                <c:pt idx="3590">
                  <c:v>833.98</c:v>
                </c:pt>
                <c:pt idx="3591">
                  <c:v>249.99</c:v>
                </c:pt>
                <c:pt idx="3592">
                  <c:v>999.99</c:v>
                </c:pt>
                <c:pt idx="3593">
                  <c:v>1549</c:v>
                </c:pt>
                <c:pt idx="3594">
                  <c:v>659.99</c:v>
                </c:pt>
                <c:pt idx="3595">
                  <c:v>539.99</c:v>
                </c:pt>
                <c:pt idx="3596">
                  <c:v>869.99</c:v>
                </c:pt>
                <c:pt idx="3597">
                  <c:v>1099.98</c:v>
                </c:pt>
                <c:pt idx="3598">
                  <c:v>469.99</c:v>
                </c:pt>
                <c:pt idx="3599">
                  <c:v>759.98</c:v>
                </c:pt>
                <c:pt idx="3600">
                  <c:v>269.99</c:v>
                </c:pt>
                <c:pt idx="3601">
                  <c:v>1295.98</c:v>
                </c:pt>
                <c:pt idx="3602">
                  <c:v>1409.99</c:v>
                </c:pt>
                <c:pt idx="3603">
                  <c:v>1739.98</c:v>
                </c:pt>
                <c:pt idx="3604">
                  <c:v>1059.98</c:v>
                </c:pt>
                <c:pt idx="3605">
                  <c:v>4999.9799999999996</c:v>
                </c:pt>
                <c:pt idx="3606">
                  <c:v>599.99</c:v>
                </c:pt>
                <c:pt idx="3607">
                  <c:v>499.98</c:v>
                </c:pt>
                <c:pt idx="3608">
                  <c:v>939.98</c:v>
                </c:pt>
                <c:pt idx="3609">
                  <c:v>209.99</c:v>
                </c:pt>
                <c:pt idx="3610">
                  <c:v>549.99</c:v>
                </c:pt>
                <c:pt idx="3611">
                  <c:v>3499.99</c:v>
                </c:pt>
                <c:pt idx="3612">
                  <c:v>481.99</c:v>
                </c:pt>
                <c:pt idx="3613">
                  <c:v>4999.99</c:v>
                </c:pt>
                <c:pt idx="3614">
                  <c:v>1295.98</c:v>
                </c:pt>
                <c:pt idx="3615">
                  <c:v>501.98</c:v>
                </c:pt>
                <c:pt idx="3616">
                  <c:v>1199.98</c:v>
                </c:pt>
                <c:pt idx="3617">
                  <c:v>939.98</c:v>
                </c:pt>
                <c:pt idx="3618">
                  <c:v>9999.98</c:v>
                </c:pt>
                <c:pt idx="3619">
                  <c:v>5499.99</c:v>
                </c:pt>
                <c:pt idx="3620">
                  <c:v>3999.99</c:v>
                </c:pt>
                <c:pt idx="3621">
                  <c:v>402.99</c:v>
                </c:pt>
                <c:pt idx="3622">
                  <c:v>109.99</c:v>
                </c:pt>
                <c:pt idx="3623">
                  <c:v>3999.98</c:v>
                </c:pt>
                <c:pt idx="3624">
                  <c:v>999.98</c:v>
                </c:pt>
                <c:pt idx="3625">
                  <c:v>269.99</c:v>
                </c:pt>
                <c:pt idx="3626">
                  <c:v>189.99</c:v>
                </c:pt>
                <c:pt idx="3627">
                  <c:v>761.99</c:v>
                </c:pt>
                <c:pt idx="3628">
                  <c:v>349.99</c:v>
                </c:pt>
                <c:pt idx="3629">
                  <c:v>10599.98</c:v>
                </c:pt>
                <c:pt idx="3630">
                  <c:v>749.99</c:v>
                </c:pt>
                <c:pt idx="3631">
                  <c:v>539.98</c:v>
                </c:pt>
                <c:pt idx="3632">
                  <c:v>1199.98</c:v>
                </c:pt>
                <c:pt idx="3633">
                  <c:v>659.99</c:v>
                </c:pt>
                <c:pt idx="3634">
                  <c:v>1079.98</c:v>
                </c:pt>
                <c:pt idx="3635">
                  <c:v>489.99</c:v>
                </c:pt>
                <c:pt idx="3636">
                  <c:v>1999.98</c:v>
                </c:pt>
                <c:pt idx="3637">
                  <c:v>4999.99</c:v>
                </c:pt>
                <c:pt idx="3638">
                  <c:v>858</c:v>
                </c:pt>
                <c:pt idx="3639">
                  <c:v>1469.99</c:v>
                </c:pt>
                <c:pt idx="3640">
                  <c:v>2899.99</c:v>
                </c:pt>
                <c:pt idx="3641">
                  <c:v>499.98</c:v>
                </c:pt>
                <c:pt idx="3642">
                  <c:v>599.98</c:v>
                </c:pt>
                <c:pt idx="3643">
                  <c:v>1559.99</c:v>
                </c:pt>
                <c:pt idx="3644">
                  <c:v>449</c:v>
                </c:pt>
                <c:pt idx="3645">
                  <c:v>1799.99</c:v>
                </c:pt>
                <c:pt idx="3646">
                  <c:v>250.99</c:v>
                </c:pt>
                <c:pt idx="3647">
                  <c:v>749.99</c:v>
                </c:pt>
                <c:pt idx="3648">
                  <c:v>379.98</c:v>
                </c:pt>
                <c:pt idx="3649">
                  <c:v>489.99</c:v>
                </c:pt>
                <c:pt idx="3650">
                  <c:v>2299.9899999999998</c:v>
                </c:pt>
                <c:pt idx="3651">
                  <c:v>379.99</c:v>
                </c:pt>
                <c:pt idx="3652">
                  <c:v>875.99</c:v>
                </c:pt>
                <c:pt idx="3653">
                  <c:v>10599.98</c:v>
                </c:pt>
                <c:pt idx="3654">
                  <c:v>799.99</c:v>
                </c:pt>
                <c:pt idx="3655">
                  <c:v>869.99</c:v>
                </c:pt>
                <c:pt idx="3656">
                  <c:v>3499.99</c:v>
                </c:pt>
                <c:pt idx="3657">
                  <c:v>898</c:v>
                </c:pt>
                <c:pt idx="3658">
                  <c:v>339.99</c:v>
                </c:pt>
                <c:pt idx="3659">
                  <c:v>1599.98</c:v>
                </c:pt>
                <c:pt idx="3660">
                  <c:v>1999.98</c:v>
                </c:pt>
                <c:pt idx="3661">
                  <c:v>875.99</c:v>
                </c:pt>
                <c:pt idx="3662">
                  <c:v>2939.98</c:v>
                </c:pt>
                <c:pt idx="3663">
                  <c:v>1239.98</c:v>
                </c:pt>
                <c:pt idx="3664">
                  <c:v>209.99</c:v>
                </c:pt>
                <c:pt idx="3665">
                  <c:v>1499.99</c:v>
                </c:pt>
                <c:pt idx="3666">
                  <c:v>869.99</c:v>
                </c:pt>
                <c:pt idx="3667">
                  <c:v>999.99</c:v>
                </c:pt>
                <c:pt idx="3668">
                  <c:v>449.99</c:v>
                </c:pt>
                <c:pt idx="3669">
                  <c:v>299.99</c:v>
                </c:pt>
                <c:pt idx="3670">
                  <c:v>899.98</c:v>
                </c:pt>
                <c:pt idx="3671">
                  <c:v>379.98</c:v>
                </c:pt>
                <c:pt idx="3672">
                  <c:v>5199.9799999999996</c:v>
                </c:pt>
                <c:pt idx="3673">
                  <c:v>489.99</c:v>
                </c:pt>
                <c:pt idx="3674">
                  <c:v>5799.98</c:v>
                </c:pt>
                <c:pt idx="3675">
                  <c:v>3999.99</c:v>
                </c:pt>
                <c:pt idx="3676">
                  <c:v>470.99</c:v>
                </c:pt>
                <c:pt idx="3677">
                  <c:v>3199.99</c:v>
                </c:pt>
                <c:pt idx="3678">
                  <c:v>999.98</c:v>
                </c:pt>
                <c:pt idx="3679">
                  <c:v>11999.98</c:v>
                </c:pt>
                <c:pt idx="3680">
                  <c:v>379.98</c:v>
                </c:pt>
                <c:pt idx="3681">
                  <c:v>939.98</c:v>
                </c:pt>
                <c:pt idx="3682">
                  <c:v>1199.98</c:v>
                </c:pt>
                <c:pt idx="3683">
                  <c:v>833.98</c:v>
                </c:pt>
                <c:pt idx="3684">
                  <c:v>149.99</c:v>
                </c:pt>
                <c:pt idx="3685">
                  <c:v>599.98</c:v>
                </c:pt>
                <c:pt idx="3686">
                  <c:v>599.99</c:v>
                </c:pt>
                <c:pt idx="3687">
                  <c:v>4999.99</c:v>
                </c:pt>
                <c:pt idx="3688">
                  <c:v>1099.99</c:v>
                </c:pt>
                <c:pt idx="3689">
                  <c:v>4999.99</c:v>
                </c:pt>
                <c:pt idx="3690">
                  <c:v>999.99</c:v>
                </c:pt>
                <c:pt idx="3691">
                  <c:v>898</c:v>
                </c:pt>
                <c:pt idx="3692">
                  <c:v>4999.99</c:v>
                </c:pt>
                <c:pt idx="3693">
                  <c:v>2299.9899999999998</c:v>
                </c:pt>
                <c:pt idx="3694">
                  <c:v>1099.98</c:v>
                </c:pt>
                <c:pt idx="3695">
                  <c:v>1295.98</c:v>
                </c:pt>
                <c:pt idx="3696">
                  <c:v>10999.98</c:v>
                </c:pt>
                <c:pt idx="3697">
                  <c:v>419.98</c:v>
                </c:pt>
                <c:pt idx="3698">
                  <c:v>5999.98</c:v>
                </c:pt>
                <c:pt idx="3699">
                  <c:v>2899.99</c:v>
                </c:pt>
                <c:pt idx="3700">
                  <c:v>1680.99</c:v>
                </c:pt>
                <c:pt idx="3701">
                  <c:v>1103.98</c:v>
                </c:pt>
                <c:pt idx="3702">
                  <c:v>469.99</c:v>
                </c:pt>
                <c:pt idx="3703">
                  <c:v>5999.98</c:v>
                </c:pt>
                <c:pt idx="3704">
                  <c:v>1239.98</c:v>
                </c:pt>
                <c:pt idx="3705">
                  <c:v>439.99</c:v>
                </c:pt>
                <c:pt idx="3706">
                  <c:v>875.99</c:v>
                </c:pt>
                <c:pt idx="3707">
                  <c:v>3499.99</c:v>
                </c:pt>
                <c:pt idx="3708">
                  <c:v>832.99</c:v>
                </c:pt>
                <c:pt idx="3709">
                  <c:v>6999.98</c:v>
                </c:pt>
                <c:pt idx="3710">
                  <c:v>599.99</c:v>
                </c:pt>
                <c:pt idx="3711">
                  <c:v>470.99</c:v>
                </c:pt>
                <c:pt idx="3712">
                  <c:v>11999.98</c:v>
                </c:pt>
                <c:pt idx="3713">
                  <c:v>9999.98</c:v>
                </c:pt>
                <c:pt idx="3714">
                  <c:v>1099.99</c:v>
                </c:pt>
                <c:pt idx="3715">
                  <c:v>3999.99</c:v>
                </c:pt>
                <c:pt idx="3716">
                  <c:v>469.99</c:v>
                </c:pt>
                <c:pt idx="3717">
                  <c:v>1680.99</c:v>
                </c:pt>
                <c:pt idx="3718">
                  <c:v>339.99</c:v>
                </c:pt>
                <c:pt idx="3719">
                  <c:v>1799.99</c:v>
                </c:pt>
                <c:pt idx="3720">
                  <c:v>5799.98</c:v>
                </c:pt>
                <c:pt idx="3721">
                  <c:v>1295.98</c:v>
                </c:pt>
                <c:pt idx="3722">
                  <c:v>209.99</c:v>
                </c:pt>
                <c:pt idx="3723">
                  <c:v>833.98</c:v>
                </c:pt>
                <c:pt idx="3724">
                  <c:v>469.99</c:v>
                </c:pt>
                <c:pt idx="3725">
                  <c:v>833.98</c:v>
                </c:pt>
                <c:pt idx="3726">
                  <c:v>2199.98</c:v>
                </c:pt>
                <c:pt idx="3727">
                  <c:v>189.99</c:v>
                </c:pt>
                <c:pt idx="3728">
                  <c:v>1999.98</c:v>
                </c:pt>
                <c:pt idx="3729">
                  <c:v>6999.98</c:v>
                </c:pt>
                <c:pt idx="3730">
                  <c:v>551.99</c:v>
                </c:pt>
                <c:pt idx="3731">
                  <c:v>979.98</c:v>
                </c:pt>
                <c:pt idx="3732">
                  <c:v>749.99</c:v>
                </c:pt>
                <c:pt idx="3733">
                  <c:v>979.98</c:v>
                </c:pt>
                <c:pt idx="3734">
                  <c:v>6999.98</c:v>
                </c:pt>
                <c:pt idx="3735">
                  <c:v>858</c:v>
                </c:pt>
                <c:pt idx="3736">
                  <c:v>209.99</c:v>
                </c:pt>
                <c:pt idx="3737">
                  <c:v>999.99</c:v>
                </c:pt>
                <c:pt idx="3738">
                  <c:v>1199.98</c:v>
                </c:pt>
                <c:pt idx="3739">
                  <c:v>832.99</c:v>
                </c:pt>
                <c:pt idx="3740">
                  <c:v>419.98</c:v>
                </c:pt>
                <c:pt idx="3741">
                  <c:v>1999.99</c:v>
                </c:pt>
                <c:pt idx="3742">
                  <c:v>9999.98</c:v>
                </c:pt>
                <c:pt idx="3743">
                  <c:v>659.99</c:v>
                </c:pt>
                <c:pt idx="3744">
                  <c:v>379.98</c:v>
                </c:pt>
                <c:pt idx="3745">
                  <c:v>879.98</c:v>
                </c:pt>
                <c:pt idx="3746">
                  <c:v>1099.98</c:v>
                </c:pt>
                <c:pt idx="3747">
                  <c:v>599.98</c:v>
                </c:pt>
                <c:pt idx="3748">
                  <c:v>539.99</c:v>
                </c:pt>
                <c:pt idx="3749">
                  <c:v>2641.98</c:v>
                </c:pt>
                <c:pt idx="3750">
                  <c:v>4999.99</c:v>
                </c:pt>
                <c:pt idx="3751">
                  <c:v>875.99</c:v>
                </c:pt>
                <c:pt idx="3752">
                  <c:v>999.98</c:v>
                </c:pt>
                <c:pt idx="3753">
                  <c:v>209.99</c:v>
                </c:pt>
                <c:pt idx="3754">
                  <c:v>599.99</c:v>
                </c:pt>
                <c:pt idx="3755">
                  <c:v>1499.98</c:v>
                </c:pt>
                <c:pt idx="3756">
                  <c:v>963.98</c:v>
                </c:pt>
                <c:pt idx="3757">
                  <c:v>5299.99</c:v>
                </c:pt>
                <c:pt idx="3758">
                  <c:v>12999.98</c:v>
                </c:pt>
                <c:pt idx="3759">
                  <c:v>2599.9899999999998</c:v>
                </c:pt>
                <c:pt idx="3760">
                  <c:v>941.98</c:v>
                </c:pt>
                <c:pt idx="3761">
                  <c:v>539.98</c:v>
                </c:pt>
                <c:pt idx="3762">
                  <c:v>339.99</c:v>
                </c:pt>
                <c:pt idx="3763">
                  <c:v>599.99</c:v>
                </c:pt>
                <c:pt idx="3764">
                  <c:v>1751.98</c:v>
                </c:pt>
                <c:pt idx="3765">
                  <c:v>679.98</c:v>
                </c:pt>
                <c:pt idx="3766">
                  <c:v>9999.98</c:v>
                </c:pt>
                <c:pt idx="3767">
                  <c:v>1739.98</c:v>
                </c:pt>
                <c:pt idx="3768">
                  <c:v>1067.98</c:v>
                </c:pt>
                <c:pt idx="3769">
                  <c:v>1799.99</c:v>
                </c:pt>
                <c:pt idx="3770">
                  <c:v>549.99</c:v>
                </c:pt>
                <c:pt idx="3771">
                  <c:v>1199.98</c:v>
                </c:pt>
                <c:pt idx="3772">
                  <c:v>10999.98</c:v>
                </c:pt>
                <c:pt idx="3773">
                  <c:v>349.99</c:v>
                </c:pt>
                <c:pt idx="3774">
                  <c:v>6999.98</c:v>
                </c:pt>
                <c:pt idx="3775">
                  <c:v>449.99</c:v>
                </c:pt>
                <c:pt idx="3776">
                  <c:v>749.99</c:v>
                </c:pt>
                <c:pt idx="3777">
                  <c:v>1099.98</c:v>
                </c:pt>
                <c:pt idx="3778">
                  <c:v>761.99</c:v>
                </c:pt>
                <c:pt idx="3779">
                  <c:v>599.98</c:v>
                </c:pt>
                <c:pt idx="3780">
                  <c:v>489.99</c:v>
                </c:pt>
                <c:pt idx="3781">
                  <c:v>429</c:v>
                </c:pt>
                <c:pt idx="3782">
                  <c:v>329.99</c:v>
                </c:pt>
                <c:pt idx="3783">
                  <c:v>2999.99</c:v>
                </c:pt>
                <c:pt idx="3784">
                  <c:v>1680.99</c:v>
                </c:pt>
                <c:pt idx="3785">
                  <c:v>699.98</c:v>
                </c:pt>
                <c:pt idx="3786">
                  <c:v>1103.98</c:v>
                </c:pt>
                <c:pt idx="3787">
                  <c:v>2199.98</c:v>
                </c:pt>
                <c:pt idx="3788">
                  <c:v>869.99</c:v>
                </c:pt>
                <c:pt idx="3789">
                  <c:v>2299.9899999999998</c:v>
                </c:pt>
                <c:pt idx="3790">
                  <c:v>5999.98</c:v>
                </c:pt>
                <c:pt idx="3791">
                  <c:v>699.98</c:v>
                </c:pt>
                <c:pt idx="3792">
                  <c:v>1499.98</c:v>
                </c:pt>
                <c:pt idx="3793">
                  <c:v>833.98</c:v>
                </c:pt>
                <c:pt idx="3794">
                  <c:v>3199.99</c:v>
                </c:pt>
                <c:pt idx="3795">
                  <c:v>416.99</c:v>
                </c:pt>
                <c:pt idx="3796">
                  <c:v>539.98</c:v>
                </c:pt>
                <c:pt idx="3797">
                  <c:v>5499.99</c:v>
                </c:pt>
                <c:pt idx="3798">
                  <c:v>469.99</c:v>
                </c:pt>
                <c:pt idx="3799">
                  <c:v>346.99</c:v>
                </c:pt>
                <c:pt idx="3800">
                  <c:v>379.98</c:v>
                </c:pt>
                <c:pt idx="3801">
                  <c:v>2599.9899999999998</c:v>
                </c:pt>
                <c:pt idx="3802">
                  <c:v>1599.98</c:v>
                </c:pt>
                <c:pt idx="3803">
                  <c:v>3361.98</c:v>
                </c:pt>
                <c:pt idx="3804">
                  <c:v>3199.99</c:v>
                </c:pt>
                <c:pt idx="3805">
                  <c:v>416.99</c:v>
                </c:pt>
                <c:pt idx="3806">
                  <c:v>1739.98</c:v>
                </c:pt>
                <c:pt idx="3807">
                  <c:v>1999.98</c:v>
                </c:pt>
                <c:pt idx="3808">
                  <c:v>2299.9899999999998</c:v>
                </c:pt>
                <c:pt idx="3809">
                  <c:v>501.98</c:v>
                </c:pt>
                <c:pt idx="3810">
                  <c:v>269.99</c:v>
                </c:pt>
                <c:pt idx="3811">
                  <c:v>599.99</c:v>
                </c:pt>
                <c:pt idx="3812">
                  <c:v>599.99</c:v>
                </c:pt>
                <c:pt idx="3813">
                  <c:v>469.99</c:v>
                </c:pt>
                <c:pt idx="3814">
                  <c:v>416.99</c:v>
                </c:pt>
                <c:pt idx="3815">
                  <c:v>875.99</c:v>
                </c:pt>
                <c:pt idx="3816">
                  <c:v>1239.98</c:v>
                </c:pt>
                <c:pt idx="3817">
                  <c:v>249.99</c:v>
                </c:pt>
                <c:pt idx="3818">
                  <c:v>963.98</c:v>
                </c:pt>
                <c:pt idx="3819">
                  <c:v>1469.99</c:v>
                </c:pt>
                <c:pt idx="3820">
                  <c:v>549.99</c:v>
                </c:pt>
                <c:pt idx="3821">
                  <c:v>599.99</c:v>
                </c:pt>
                <c:pt idx="3822">
                  <c:v>1199.98</c:v>
                </c:pt>
                <c:pt idx="3823">
                  <c:v>599.98</c:v>
                </c:pt>
                <c:pt idx="3824">
                  <c:v>209.99</c:v>
                </c:pt>
                <c:pt idx="3825">
                  <c:v>659.99</c:v>
                </c:pt>
                <c:pt idx="3826">
                  <c:v>1319.98</c:v>
                </c:pt>
                <c:pt idx="3827">
                  <c:v>6999.98</c:v>
                </c:pt>
                <c:pt idx="3828">
                  <c:v>470.99</c:v>
                </c:pt>
                <c:pt idx="3829">
                  <c:v>209.99</c:v>
                </c:pt>
                <c:pt idx="3830">
                  <c:v>599.99</c:v>
                </c:pt>
                <c:pt idx="3831">
                  <c:v>349.99</c:v>
                </c:pt>
                <c:pt idx="3832">
                  <c:v>481.99</c:v>
                </c:pt>
                <c:pt idx="3833">
                  <c:v>209.99</c:v>
                </c:pt>
                <c:pt idx="3834">
                  <c:v>599.98</c:v>
                </c:pt>
                <c:pt idx="3835">
                  <c:v>469.99</c:v>
                </c:pt>
                <c:pt idx="3836">
                  <c:v>416.99</c:v>
                </c:pt>
                <c:pt idx="3837">
                  <c:v>3361.98</c:v>
                </c:pt>
                <c:pt idx="3838">
                  <c:v>4999.9799999999996</c:v>
                </c:pt>
                <c:pt idx="3839">
                  <c:v>963.98</c:v>
                </c:pt>
                <c:pt idx="3840">
                  <c:v>1999.98</c:v>
                </c:pt>
                <c:pt idx="3841">
                  <c:v>599.99</c:v>
                </c:pt>
                <c:pt idx="3842">
                  <c:v>659.99</c:v>
                </c:pt>
                <c:pt idx="3843">
                  <c:v>250.99</c:v>
                </c:pt>
                <c:pt idx="3844">
                  <c:v>4999.9799999999996</c:v>
                </c:pt>
                <c:pt idx="3845">
                  <c:v>899.99</c:v>
                </c:pt>
                <c:pt idx="3846">
                  <c:v>999.99</c:v>
                </c:pt>
                <c:pt idx="3847">
                  <c:v>2999.99</c:v>
                </c:pt>
                <c:pt idx="3848">
                  <c:v>899.99</c:v>
                </c:pt>
                <c:pt idx="3849">
                  <c:v>2999.99</c:v>
                </c:pt>
                <c:pt idx="3850">
                  <c:v>2499.9899999999998</c:v>
                </c:pt>
                <c:pt idx="3851">
                  <c:v>5599.98</c:v>
                </c:pt>
                <c:pt idx="3852">
                  <c:v>399.98</c:v>
                </c:pt>
                <c:pt idx="3853">
                  <c:v>3099.98</c:v>
                </c:pt>
                <c:pt idx="3854">
                  <c:v>1799.98</c:v>
                </c:pt>
                <c:pt idx="3855">
                  <c:v>2999.98</c:v>
                </c:pt>
                <c:pt idx="3856">
                  <c:v>919.99</c:v>
                </c:pt>
                <c:pt idx="3857">
                  <c:v>749.99</c:v>
                </c:pt>
                <c:pt idx="3858">
                  <c:v>1839.98</c:v>
                </c:pt>
                <c:pt idx="3859">
                  <c:v>319.99</c:v>
                </c:pt>
                <c:pt idx="3860">
                  <c:v>749.99</c:v>
                </c:pt>
                <c:pt idx="3861">
                  <c:v>599.99</c:v>
                </c:pt>
                <c:pt idx="3862">
                  <c:v>1099.99</c:v>
                </c:pt>
                <c:pt idx="3863">
                  <c:v>416.99</c:v>
                </c:pt>
                <c:pt idx="3864">
                  <c:v>2699.99</c:v>
                </c:pt>
                <c:pt idx="3865">
                  <c:v>639.98</c:v>
                </c:pt>
                <c:pt idx="3866">
                  <c:v>269.99</c:v>
                </c:pt>
                <c:pt idx="3867">
                  <c:v>479.99</c:v>
                </c:pt>
                <c:pt idx="3868">
                  <c:v>1359.98</c:v>
                </c:pt>
                <c:pt idx="3869">
                  <c:v>859.98</c:v>
                </c:pt>
                <c:pt idx="3870">
                  <c:v>979.98</c:v>
                </c:pt>
                <c:pt idx="3871">
                  <c:v>279.99</c:v>
                </c:pt>
                <c:pt idx="3872">
                  <c:v>2599.9899999999998</c:v>
                </c:pt>
                <c:pt idx="3873">
                  <c:v>369.99</c:v>
                </c:pt>
                <c:pt idx="3874">
                  <c:v>3599.98</c:v>
                </c:pt>
                <c:pt idx="3875">
                  <c:v>799.99</c:v>
                </c:pt>
                <c:pt idx="3876">
                  <c:v>369.99</c:v>
                </c:pt>
                <c:pt idx="3877">
                  <c:v>419.98</c:v>
                </c:pt>
                <c:pt idx="3878">
                  <c:v>1839.98</c:v>
                </c:pt>
                <c:pt idx="3879">
                  <c:v>279.99</c:v>
                </c:pt>
                <c:pt idx="3880">
                  <c:v>9999.98</c:v>
                </c:pt>
                <c:pt idx="3881">
                  <c:v>1359.98</c:v>
                </c:pt>
                <c:pt idx="3882">
                  <c:v>599.98</c:v>
                </c:pt>
                <c:pt idx="3883">
                  <c:v>549.99</c:v>
                </c:pt>
                <c:pt idx="3884">
                  <c:v>647.99</c:v>
                </c:pt>
                <c:pt idx="3885">
                  <c:v>9999.98</c:v>
                </c:pt>
                <c:pt idx="3886">
                  <c:v>8999.98</c:v>
                </c:pt>
                <c:pt idx="3887">
                  <c:v>219.98</c:v>
                </c:pt>
                <c:pt idx="3888">
                  <c:v>269.99</c:v>
                </c:pt>
                <c:pt idx="3889">
                  <c:v>2299.9899999999998</c:v>
                </c:pt>
                <c:pt idx="3890">
                  <c:v>4499.9799999999996</c:v>
                </c:pt>
                <c:pt idx="3891">
                  <c:v>1999.98</c:v>
                </c:pt>
                <c:pt idx="3892">
                  <c:v>6499.99</c:v>
                </c:pt>
                <c:pt idx="3893">
                  <c:v>539.98</c:v>
                </c:pt>
                <c:pt idx="3894">
                  <c:v>3999.99</c:v>
                </c:pt>
                <c:pt idx="3895">
                  <c:v>2799.99</c:v>
                </c:pt>
                <c:pt idx="3896">
                  <c:v>4999.99</c:v>
                </c:pt>
                <c:pt idx="3897">
                  <c:v>12999.98</c:v>
                </c:pt>
                <c:pt idx="3898">
                  <c:v>3199.99</c:v>
                </c:pt>
                <c:pt idx="3899">
                  <c:v>2599.9899999999998</c:v>
                </c:pt>
                <c:pt idx="3900">
                  <c:v>419.98</c:v>
                </c:pt>
                <c:pt idx="3901">
                  <c:v>1699.98</c:v>
                </c:pt>
                <c:pt idx="3902">
                  <c:v>1499.98</c:v>
                </c:pt>
                <c:pt idx="3903">
                  <c:v>10999.98</c:v>
                </c:pt>
                <c:pt idx="3904">
                  <c:v>1799.98</c:v>
                </c:pt>
                <c:pt idx="3905">
                  <c:v>501.98</c:v>
                </c:pt>
                <c:pt idx="3906">
                  <c:v>1559.99</c:v>
                </c:pt>
                <c:pt idx="3907">
                  <c:v>209.99</c:v>
                </c:pt>
                <c:pt idx="3908">
                  <c:v>559.99</c:v>
                </c:pt>
                <c:pt idx="3909">
                  <c:v>299.99</c:v>
                </c:pt>
                <c:pt idx="3910">
                  <c:v>6999.98</c:v>
                </c:pt>
                <c:pt idx="3911">
                  <c:v>693.98</c:v>
                </c:pt>
                <c:pt idx="3912">
                  <c:v>3299.99</c:v>
                </c:pt>
                <c:pt idx="3913">
                  <c:v>1599.98</c:v>
                </c:pt>
                <c:pt idx="3914">
                  <c:v>1103.98</c:v>
                </c:pt>
                <c:pt idx="3915">
                  <c:v>999.99</c:v>
                </c:pt>
                <c:pt idx="3916">
                  <c:v>4999.99</c:v>
                </c:pt>
                <c:pt idx="3917">
                  <c:v>9999.98</c:v>
                </c:pt>
                <c:pt idx="3918">
                  <c:v>6399.98</c:v>
                </c:pt>
                <c:pt idx="3919">
                  <c:v>3098</c:v>
                </c:pt>
                <c:pt idx="3920">
                  <c:v>1499.98</c:v>
                </c:pt>
                <c:pt idx="3921">
                  <c:v>2999.98</c:v>
                </c:pt>
                <c:pt idx="3922">
                  <c:v>4499.99</c:v>
                </c:pt>
                <c:pt idx="3923">
                  <c:v>898</c:v>
                </c:pt>
                <c:pt idx="3924">
                  <c:v>749.99</c:v>
                </c:pt>
                <c:pt idx="3925">
                  <c:v>179.98</c:v>
                </c:pt>
                <c:pt idx="3926">
                  <c:v>10599.98</c:v>
                </c:pt>
                <c:pt idx="3927">
                  <c:v>749.99</c:v>
                </c:pt>
                <c:pt idx="3928">
                  <c:v>4999.99</c:v>
                </c:pt>
                <c:pt idx="3929">
                  <c:v>5499.99</c:v>
                </c:pt>
                <c:pt idx="3930">
                  <c:v>9999.98</c:v>
                </c:pt>
                <c:pt idx="3931">
                  <c:v>1799.99</c:v>
                </c:pt>
                <c:pt idx="3932">
                  <c:v>4499.9799999999996</c:v>
                </c:pt>
                <c:pt idx="3933">
                  <c:v>9999.98</c:v>
                </c:pt>
                <c:pt idx="3934">
                  <c:v>3098</c:v>
                </c:pt>
                <c:pt idx="3935">
                  <c:v>3499.99</c:v>
                </c:pt>
                <c:pt idx="3936">
                  <c:v>749.99</c:v>
                </c:pt>
                <c:pt idx="3937">
                  <c:v>2599.9899999999998</c:v>
                </c:pt>
                <c:pt idx="3938">
                  <c:v>2599.9899999999998</c:v>
                </c:pt>
                <c:pt idx="3939">
                  <c:v>2299.9899999999998</c:v>
                </c:pt>
                <c:pt idx="3940">
                  <c:v>539.98</c:v>
                </c:pt>
                <c:pt idx="3941">
                  <c:v>559.98</c:v>
                </c:pt>
                <c:pt idx="3942">
                  <c:v>1499.99</c:v>
                </c:pt>
                <c:pt idx="3943">
                  <c:v>1799.99</c:v>
                </c:pt>
                <c:pt idx="3944">
                  <c:v>1751.98</c:v>
                </c:pt>
                <c:pt idx="3945">
                  <c:v>559.98</c:v>
                </c:pt>
                <c:pt idx="3946">
                  <c:v>299.98</c:v>
                </c:pt>
                <c:pt idx="3947">
                  <c:v>489.99</c:v>
                </c:pt>
                <c:pt idx="3948">
                  <c:v>833.98</c:v>
                </c:pt>
                <c:pt idx="3949">
                  <c:v>639.99</c:v>
                </c:pt>
                <c:pt idx="3950">
                  <c:v>799.99</c:v>
                </c:pt>
                <c:pt idx="3951">
                  <c:v>299.98</c:v>
                </c:pt>
                <c:pt idx="3952">
                  <c:v>1499.98</c:v>
                </c:pt>
                <c:pt idx="3953">
                  <c:v>279.99</c:v>
                </c:pt>
                <c:pt idx="3954">
                  <c:v>2599.9899999999998</c:v>
                </c:pt>
                <c:pt idx="3955">
                  <c:v>7499.99</c:v>
                </c:pt>
                <c:pt idx="3956">
                  <c:v>899.98</c:v>
                </c:pt>
                <c:pt idx="3957">
                  <c:v>2599.9899999999998</c:v>
                </c:pt>
                <c:pt idx="3958">
                  <c:v>5999.98</c:v>
                </c:pt>
                <c:pt idx="3959">
                  <c:v>639.98</c:v>
                </c:pt>
                <c:pt idx="3960">
                  <c:v>3599.98</c:v>
                </c:pt>
                <c:pt idx="3961">
                  <c:v>1559.99</c:v>
                </c:pt>
                <c:pt idx="3962">
                  <c:v>919.99</c:v>
                </c:pt>
                <c:pt idx="3963">
                  <c:v>1799.98</c:v>
                </c:pt>
                <c:pt idx="3964">
                  <c:v>279.99</c:v>
                </c:pt>
                <c:pt idx="3965">
                  <c:v>659.99</c:v>
                </c:pt>
                <c:pt idx="3966">
                  <c:v>1632.99</c:v>
                </c:pt>
                <c:pt idx="3967">
                  <c:v>1499.98</c:v>
                </c:pt>
                <c:pt idx="3968">
                  <c:v>4999.99</c:v>
                </c:pt>
                <c:pt idx="3969">
                  <c:v>2698</c:v>
                </c:pt>
                <c:pt idx="3970">
                  <c:v>1999.98</c:v>
                </c:pt>
                <c:pt idx="3971">
                  <c:v>7199.98</c:v>
                </c:pt>
                <c:pt idx="3972">
                  <c:v>5799.98</c:v>
                </c:pt>
                <c:pt idx="3973">
                  <c:v>501.98</c:v>
                </c:pt>
                <c:pt idx="3974">
                  <c:v>647.99</c:v>
                </c:pt>
                <c:pt idx="3975">
                  <c:v>23999.98</c:v>
                </c:pt>
                <c:pt idx="3976">
                  <c:v>2499.9899999999998</c:v>
                </c:pt>
                <c:pt idx="3977">
                  <c:v>470.99</c:v>
                </c:pt>
                <c:pt idx="3978">
                  <c:v>1549.99</c:v>
                </c:pt>
                <c:pt idx="3979">
                  <c:v>4999.99</c:v>
                </c:pt>
                <c:pt idx="3980">
                  <c:v>749.99</c:v>
                </c:pt>
                <c:pt idx="3981">
                  <c:v>3199.99</c:v>
                </c:pt>
                <c:pt idx="3982">
                  <c:v>3798</c:v>
                </c:pt>
                <c:pt idx="3983">
                  <c:v>3499.99</c:v>
                </c:pt>
                <c:pt idx="3984">
                  <c:v>1499.99</c:v>
                </c:pt>
                <c:pt idx="3985">
                  <c:v>5198</c:v>
                </c:pt>
                <c:pt idx="3986">
                  <c:v>1499</c:v>
                </c:pt>
                <c:pt idx="3987">
                  <c:v>1099.98</c:v>
                </c:pt>
                <c:pt idx="3988">
                  <c:v>250.99</c:v>
                </c:pt>
                <c:pt idx="3989">
                  <c:v>979.98</c:v>
                </c:pt>
                <c:pt idx="3990">
                  <c:v>4499.99</c:v>
                </c:pt>
                <c:pt idx="3991">
                  <c:v>539.98</c:v>
                </c:pt>
                <c:pt idx="3992">
                  <c:v>3999.99</c:v>
                </c:pt>
                <c:pt idx="3993">
                  <c:v>419.98</c:v>
                </c:pt>
                <c:pt idx="3994">
                  <c:v>3599.98</c:v>
                </c:pt>
                <c:pt idx="3995">
                  <c:v>1499.99</c:v>
                </c:pt>
                <c:pt idx="3996">
                  <c:v>1059.98</c:v>
                </c:pt>
                <c:pt idx="3997">
                  <c:v>3599.98</c:v>
                </c:pt>
                <c:pt idx="3998">
                  <c:v>749.99</c:v>
                </c:pt>
                <c:pt idx="3999">
                  <c:v>639.98</c:v>
                </c:pt>
                <c:pt idx="4000">
                  <c:v>3499.99</c:v>
                </c:pt>
                <c:pt idx="4001">
                  <c:v>4399.9799999999996</c:v>
                </c:pt>
                <c:pt idx="4002">
                  <c:v>1839.98</c:v>
                </c:pt>
                <c:pt idx="4003">
                  <c:v>3599.98</c:v>
                </c:pt>
                <c:pt idx="4004">
                  <c:v>2499.9899999999998</c:v>
                </c:pt>
                <c:pt idx="4005">
                  <c:v>1320.99</c:v>
                </c:pt>
                <c:pt idx="4006">
                  <c:v>9999.98</c:v>
                </c:pt>
                <c:pt idx="4007">
                  <c:v>919.99</c:v>
                </c:pt>
                <c:pt idx="4008">
                  <c:v>1499.99</c:v>
                </c:pt>
                <c:pt idx="4009">
                  <c:v>6999.98</c:v>
                </c:pt>
                <c:pt idx="4010">
                  <c:v>699.98</c:v>
                </c:pt>
                <c:pt idx="4011">
                  <c:v>6399.98</c:v>
                </c:pt>
                <c:pt idx="4012">
                  <c:v>1499.98</c:v>
                </c:pt>
                <c:pt idx="4013">
                  <c:v>470.99</c:v>
                </c:pt>
                <c:pt idx="4014">
                  <c:v>1839.98</c:v>
                </c:pt>
                <c:pt idx="4015">
                  <c:v>529.99</c:v>
                </c:pt>
                <c:pt idx="4016">
                  <c:v>999.99</c:v>
                </c:pt>
                <c:pt idx="4017">
                  <c:v>179.98</c:v>
                </c:pt>
                <c:pt idx="4018">
                  <c:v>1799.98</c:v>
                </c:pt>
                <c:pt idx="4019">
                  <c:v>859.98</c:v>
                </c:pt>
                <c:pt idx="4020">
                  <c:v>459.98</c:v>
                </c:pt>
                <c:pt idx="4021">
                  <c:v>1799.98</c:v>
                </c:pt>
                <c:pt idx="4022">
                  <c:v>479.99</c:v>
                </c:pt>
                <c:pt idx="4023">
                  <c:v>2199.98</c:v>
                </c:pt>
                <c:pt idx="4024">
                  <c:v>959.99</c:v>
                </c:pt>
                <c:pt idx="4025">
                  <c:v>1499.99</c:v>
                </c:pt>
                <c:pt idx="4026">
                  <c:v>749.99</c:v>
                </c:pt>
                <c:pt idx="4027">
                  <c:v>6999.98</c:v>
                </c:pt>
                <c:pt idx="4028">
                  <c:v>693.98</c:v>
                </c:pt>
                <c:pt idx="4029">
                  <c:v>469.99</c:v>
                </c:pt>
                <c:pt idx="4030">
                  <c:v>6399.98</c:v>
                </c:pt>
                <c:pt idx="4031">
                  <c:v>209.99</c:v>
                </c:pt>
                <c:pt idx="4032">
                  <c:v>349.99</c:v>
                </c:pt>
                <c:pt idx="4033">
                  <c:v>1099.98</c:v>
                </c:pt>
                <c:pt idx="4034">
                  <c:v>1799.99</c:v>
                </c:pt>
                <c:pt idx="4035">
                  <c:v>2999.98</c:v>
                </c:pt>
                <c:pt idx="4036">
                  <c:v>1499.99</c:v>
                </c:pt>
                <c:pt idx="4037">
                  <c:v>369.99</c:v>
                </c:pt>
                <c:pt idx="4038">
                  <c:v>249.99</c:v>
                </c:pt>
                <c:pt idx="4039">
                  <c:v>899.99</c:v>
                </c:pt>
                <c:pt idx="4040">
                  <c:v>4499.99</c:v>
                </c:pt>
                <c:pt idx="4041">
                  <c:v>449.99</c:v>
                </c:pt>
                <c:pt idx="4042">
                  <c:v>2999.99</c:v>
                </c:pt>
                <c:pt idx="4043">
                  <c:v>659.98</c:v>
                </c:pt>
                <c:pt idx="4044">
                  <c:v>6399.98</c:v>
                </c:pt>
                <c:pt idx="4045">
                  <c:v>319.99</c:v>
                </c:pt>
                <c:pt idx="4046">
                  <c:v>2939.98</c:v>
                </c:pt>
                <c:pt idx="4047">
                  <c:v>1999.98</c:v>
                </c:pt>
                <c:pt idx="4048">
                  <c:v>899.99</c:v>
                </c:pt>
                <c:pt idx="4049">
                  <c:v>481.99</c:v>
                </c:pt>
                <c:pt idx="4050">
                  <c:v>3599.98</c:v>
                </c:pt>
                <c:pt idx="4051">
                  <c:v>1059.98</c:v>
                </c:pt>
                <c:pt idx="4052">
                  <c:v>639.98</c:v>
                </c:pt>
                <c:pt idx="4053">
                  <c:v>369.99</c:v>
                </c:pt>
                <c:pt idx="4054">
                  <c:v>379.98</c:v>
                </c:pt>
                <c:pt idx="4055">
                  <c:v>1799.98</c:v>
                </c:pt>
                <c:pt idx="4056">
                  <c:v>209.99</c:v>
                </c:pt>
                <c:pt idx="4057">
                  <c:v>659.99</c:v>
                </c:pt>
                <c:pt idx="4058">
                  <c:v>10599.98</c:v>
                </c:pt>
                <c:pt idx="4059">
                  <c:v>319.98</c:v>
                </c:pt>
                <c:pt idx="4060">
                  <c:v>4999.9799999999996</c:v>
                </c:pt>
                <c:pt idx="4061">
                  <c:v>3599.99</c:v>
                </c:pt>
                <c:pt idx="4062">
                  <c:v>2999.98</c:v>
                </c:pt>
                <c:pt idx="4063">
                  <c:v>1839.98</c:v>
                </c:pt>
                <c:pt idx="4064">
                  <c:v>679.99</c:v>
                </c:pt>
                <c:pt idx="4065">
                  <c:v>1999.99</c:v>
                </c:pt>
                <c:pt idx="4066">
                  <c:v>2199.9899999999998</c:v>
                </c:pt>
                <c:pt idx="4067">
                  <c:v>939.98</c:v>
                </c:pt>
                <c:pt idx="4068">
                  <c:v>2999.99</c:v>
                </c:pt>
                <c:pt idx="4069">
                  <c:v>3999.99</c:v>
                </c:pt>
                <c:pt idx="4070">
                  <c:v>749.99</c:v>
                </c:pt>
                <c:pt idx="4071">
                  <c:v>1295.98</c:v>
                </c:pt>
                <c:pt idx="4072">
                  <c:v>833.98</c:v>
                </c:pt>
                <c:pt idx="4073">
                  <c:v>749.99</c:v>
                </c:pt>
                <c:pt idx="4074">
                  <c:v>3098</c:v>
                </c:pt>
                <c:pt idx="4075">
                  <c:v>479.99</c:v>
                </c:pt>
                <c:pt idx="4076">
                  <c:v>939.98</c:v>
                </c:pt>
                <c:pt idx="4077">
                  <c:v>2499.9899999999998</c:v>
                </c:pt>
                <c:pt idx="4078">
                  <c:v>1099.98</c:v>
                </c:pt>
                <c:pt idx="4079">
                  <c:v>1819.98</c:v>
                </c:pt>
                <c:pt idx="4080">
                  <c:v>229.99</c:v>
                </c:pt>
                <c:pt idx="4081">
                  <c:v>209.99</c:v>
                </c:pt>
                <c:pt idx="4082">
                  <c:v>379.99</c:v>
                </c:pt>
                <c:pt idx="4083">
                  <c:v>429.99</c:v>
                </c:pt>
                <c:pt idx="4084">
                  <c:v>1499.98</c:v>
                </c:pt>
                <c:pt idx="4085">
                  <c:v>5599.98</c:v>
                </c:pt>
                <c:pt idx="4086">
                  <c:v>4999.9799999999996</c:v>
                </c:pt>
                <c:pt idx="4087">
                  <c:v>4999.99</c:v>
                </c:pt>
                <c:pt idx="4088">
                  <c:v>289.99</c:v>
                </c:pt>
                <c:pt idx="4089">
                  <c:v>419.98</c:v>
                </c:pt>
                <c:pt idx="4090">
                  <c:v>759.98</c:v>
                </c:pt>
                <c:pt idx="4091">
                  <c:v>269.99</c:v>
                </c:pt>
                <c:pt idx="4092">
                  <c:v>5599.98</c:v>
                </c:pt>
                <c:pt idx="4093">
                  <c:v>5999.98</c:v>
                </c:pt>
                <c:pt idx="4094">
                  <c:v>859.98</c:v>
                </c:pt>
                <c:pt idx="4095">
                  <c:v>489.99</c:v>
                </c:pt>
                <c:pt idx="4096">
                  <c:v>799.99</c:v>
                </c:pt>
                <c:pt idx="4097">
                  <c:v>1665.98</c:v>
                </c:pt>
                <c:pt idx="4098">
                  <c:v>399.99</c:v>
                </c:pt>
                <c:pt idx="4099">
                  <c:v>832.99</c:v>
                </c:pt>
                <c:pt idx="4100">
                  <c:v>599.98</c:v>
                </c:pt>
                <c:pt idx="4101">
                  <c:v>749.99</c:v>
                </c:pt>
                <c:pt idx="4102">
                  <c:v>579.99</c:v>
                </c:pt>
                <c:pt idx="4103">
                  <c:v>5198</c:v>
                </c:pt>
                <c:pt idx="4104">
                  <c:v>1799.98</c:v>
                </c:pt>
                <c:pt idx="4105">
                  <c:v>1299.99</c:v>
                </c:pt>
                <c:pt idx="4106">
                  <c:v>6399.98</c:v>
                </c:pt>
                <c:pt idx="4107">
                  <c:v>289.99</c:v>
                </c:pt>
                <c:pt idx="4108">
                  <c:v>269.99</c:v>
                </c:pt>
                <c:pt idx="4109">
                  <c:v>9999.98</c:v>
                </c:pt>
                <c:pt idx="4110">
                  <c:v>9999.98</c:v>
                </c:pt>
                <c:pt idx="4111">
                  <c:v>679.99</c:v>
                </c:pt>
                <c:pt idx="4112">
                  <c:v>2999.99</c:v>
                </c:pt>
                <c:pt idx="4113">
                  <c:v>1499.98</c:v>
                </c:pt>
                <c:pt idx="4114">
                  <c:v>1839.98</c:v>
                </c:pt>
                <c:pt idx="4115">
                  <c:v>5299.99</c:v>
                </c:pt>
                <c:pt idx="4116">
                  <c:v>833.98</c:v>
                </c:pt>
                <c:pt idx="4117">
                  <c:v>559.98</c:v>
                </c:pt>
                <c:pt idx="4118">
                  <c:v>5999.98</c:v>
                </c:pt>
                <c:pt idx="4119">
                  <c:v>739.98</c:v>
                </c:pt>
                <c:pt idx="4120">
                  <c:v>3265.98</c:v>
                </c:pt>
                <c:pt idx="4121">
                  <c:v>429</c:v>
                </c:pt>
                <c:pt idx="4122">
                  <c:v>499.98</c:v>
                </c:pt>
                <c:pt idx="4123">
                  <c:v>659.99</c:v>
                </c:pt>
                <c:pt idx="4124">
                  <c:v>3499.99</c:v>
                </c:pt>
                <c:pt idx="4125">
                  <c:v>1399.98</c:v>
                </c:pt>
                <c:pt idx="4126">
                  <c:v>419.98</c:v>
                </c:pt>
                <c:pt idx="4127">
                  <c:v>1279.98</c:v>
                </c:pt>
                <c:pt idx="4128">
                  <c:v>4999.9799999999996</c:v>
                </c:pt>
                <c:pt idx="4129">
                  <c:v>1359.98</c:v>
                </c:pt>
                <c:pt idx="4130">
                  <c:v>1499</c:v>
                </c:pt>
                <c:pt idx="4131">
                  <c:v>1799.98</c:v>
                </c:pt>
                <c:pt idx="4132">
                  <c:v>899.99</c:v>
                </c:pt>
                <c:pt idx="4133">
                  <c:v>2299.9899999999998</c:v>
                </c:pt>
                <c:pt idx="4134">
                  <c:v>6999.98</c:v>
                </c:pt>
                <c:pt idx="4135">
                  <c:v>1899</c:v>
                </c:pt>
                <c:pt idx="4136">
                  <c:v>559.98</c:v>
                </c:pt>
                <c:pt idx="4137">
                  <c:v>1523.98</c:v>
                </c:pt>
                <c:pt idx="4138">
                  <c:v>1839.98</c:v>
                </c:pt>
                <c:pt idx="4139">
                  <c:v>679.99</c:v>
                </c:pt>
                <c:pt idx="4140">
                  <c:v>749.99</c:v>
                </c:pt>
                <c:pt idx="4141">
                  <c:v>416.99</c:v>
                </c:pt>
                <c:pt idx="4142">
                  <c:v>449.99</c:v>
                </c:pt>
                <c:pt idx="4143">
                  <c:v>979.98</c:v>
                </c:pt>
                <c:pt idx="4144">
                  <c:v>9999.98</c:v>
                </c:pt>
                <c:pt idx="4145">
                  <c:v>639.98</c:v>
                </c:pt>
                <c:pt idx="4146">
                  <c:v>89.99</c:v>
                </c:pt>
                <c:pt idx="4147">
                  <c:v>209.99</c:v>
                </c:pt>
                <c:pt idx="4148">
                  <c:v>6399.98</c:v>
                </c:pt>
                <c:pt idx="4149">
                  <c:v>3599.98</c:v>
                </c:pt>
                <c:pt idx="4150">
                  <c:v>749.99</c:v>
                </c:pt>
                <c:pt idx="4151">
                  <c:v>1199.98</c:v>
                </c:pt>
                <c:pt idx="4152">
                  <c:v>319.99</c:v>
                </c:pt>
                <c:pt idx="4153">
                  <c:v>859.98</c:v>
                </c:pt>
                <c:pt idx="4154">
                  <c:v>2999.99</c:v>
                </c:pt>
                <c:pt idx="4155">
                  <c:v>3098</c:v>
                </c:pt>
                <c:pt idx="4156">
                  <c:v>1799.98</c:v>
                </c:pt>
                <c:pt idx="4157">
                  <c:v>469.99</c:v>
                </c:pt>
                <c:pt idx="4158">
                  <c:v>5599.98</c:v>
                </c:pt>
                <c:pt idx="4159">
                  <c:v>2499.9899999999998</c:v>
                </c:pt>
                <c:pt idx="4160">
                  <c:v>6999.98</c:v>
                </c:pt>
                <c:pt idx="4161">
                  <c:v>1319.98</c:v>
                </c:pt>
                <c:pt idx="4162">
                  <c:v>319.99</c:v>
                </c:pt>
                <c:pt idx="4163">
                  <c:v>319.99</c:v>
                </c:pt>
                <c:pt idx="4164">
                  <c:v>3999.99</c:v>
                </c:pt>
                <c:pt idx="4165">
                  <c:v>749.99</c:v>
                </c:pt>
                <c:pt idx="4166">
                  <c:v>2999.99</c:v>
                </c:pt>
                <c:pt idx="4167">
                  <c:v>749.99</c:v>
                </c:pt>
                <c:pt idx="4168">
                  <c:v>1899</c:v>
                </c:pt>
                <c:pt idx="4169">
                  <c:v>249.99</c:v>
                </c:pt>
                <c:pt idx="4170">
                  <c:v>859.98</c:v>
                </c:pt>
                <c:pt idx="4171">
                  <c:v>2999.99</c:v>
                </c:pt>
                <c:pt idx="4172">
                  <c:v>559.98</c:v>
                </c:pt>
                <c:pt idx="4173">
                  <c:v>9999.98</c:v>
                </c:pt>
                <c:pt idx="4174">
                  <c:v>3199.98</c:v>
                </c:pt>
                <c:pt idx="4175">
                  <c:v>999.99</c:v>
                </c:pt>
                <c:pt idx="4176">
                  <c:v>1559.99</c:v>
                </c:pt>
                <c:pt idx="4177">
                  <c:v>799.99</c:v>
                </c:pt>
                <c:pt idx="4178">
                  <c:v>1119.98</c:v>
                </c:pt>
                <c:pt idx="4179">
                  <c:v>3199.98</c:v>
                </c:pt>
                <c:pt idx="4180">
                  <c:v>959.99</c:v>
                </c:pt>
                <c:pt idx="4181">
                  <c:v>4999.99</c:v>
                </c:pt>
                <c:pt idx="4182">
                  <c:v>2199.98</c:v>
                </c:pt>
                <c:pt idx="4183">
                  <c:v>2599</c:v>
                </c:pt>
                <c:pt idx="4184">
                  <c:v>5599.98</c:v>
                </c:pt>
                <c:pt idx="4185">
                  <c:v>2299.9899999999998</c:v>
                </c:pt>
                <c:pt idx="4186">
                  <c:v>89.99</c:v>
                </c:pt>
                <c:pt idx="4187">
                  <c:v>979.98</c:v>
                </c:pt>
                <c:pt idx="4188">
                  <c:v>7499.99</c:v>
                </c:pt>
                <c:pt idx="4189">
                  <c:v>1499.98</c:v>
                </c:pt>
                <c:pt idx="4190">
                  <c:v>416.99</c:v>
                </c:pt>
                <c:pt idx="4191">
                  <c:v>4499.99</c:v>
                </c:pt>
                <c:pt idx="4192">
                  <c:v>1499.98</c:v>
                </c:pt>
                <c:pt idx="4193">
                  <c:v>501.98</c:v>
                </c:pt>
                <c:pt idx="4194">
                  <c:v>469.99</c:v>
                </c:pt>
                <c:pt idx="4195">
                  <c:v>1399.98</c:v>
                </c:pt>
                <c:pt idx="4196">
                  <c:v>1409.99</c:v>
                </c:pt>
                <c:pt idx="4197">
                  <c:v>4499.99</c:v>
                </c:pt>
                <c:pt idx="4198">
                  <c:v>269.99</c:v>
                </c:pt>
                <c:pt idx="4199">
                  <c:v>419.98</c:v>
                </c:pt>
                <c:pt idx="4200">
                  <c:v>4499.99</c:v>
                </c:pt>
                <c:pt idx="4201">
                  <c:v>1999.99</c:v>
                </c:pt>
                <c:pt idx="4202">
                  <c:v>679.98</c:v>
                </c:pt>
                <c:pt idx="4203">
                  <c:v>209.99</c:v>
                </c:pt>
                <c:pt idx="4204">
                  <c:v>3798</c:v>
                </c:pt>
                <c:pt idx="4205">
                  <c:v>1279.98</c:v>
                </c:pt>
                <c:pt idx="4206">
                  <c:v>875.99</c:v>
                </c:pt>
                <c:pt idx="4207">
                  <c:v>1999.98</c:v>
                </c:pt>
                <c:pt idx="4208">
                  <c:v>319.99</c:v>
                </c:pt>
                <c:pt idx="4209">
                  <c:v>1279.98</c:v>
                </c:pt>
                <c:pt idx="4210">
                  <c:v>1799.98</c:v>
                </c:pt>
                <c:pt idx="4211">
                  <c:v>5499.99</c:v>
                </c:pt>
                <c:pt idx="4212">
                  <c:v>749.99</c:v>
                </c:pt>
                <c:pt idx="4213">
                  <c:v>2299.9899999999998</c:v>
                </c:pt>
                <c:pt idx="4214">
                  <c:v>2699.99</c:v>
                </c:pt>
                <c:pt idx="4215">
                  <c:v>1599.98</c:v>
                </c:pt>
                <c:pt idx="4216">
                  <c:v>5999.98</c:v>
                </c:pt>
                <c:pt idx="4217">
                  <c:v>539.98</c:v>
                </c:pt>
                <c:pt idx="4218">
                  <c:v>489.99</c:v>
                </c:pt>
                <c:pt idx="4219">
                  <c:v>6399.98</c:v>
                </c:pt>
                <c:pt idx="4220">
                  <c:v>559.99</c:v>
                </c:pt>
                <c:pt idx="4221">
                  <c:v>5999.98</c:v>
                </c:pt>
                <c:pt idx="4222">
                  <c:v>1799.98</c:v>
                </c:pt>
                <c:pt idx="4223">
                  <c:v>1469.99</c:v>
                </c:pt>
                <c:pt idx="4224">
                  <c:v>599.98</c:v>
                </c:pt>
                <c:pt idx="4225">
                  <c:v>899.99</c:v>
                </c:pt>
                <c:pt idx="4226">
                  <c:v>299.98</c:v>
                </c:pt>
                <c:pt idx="4227">
                  <c:v>833.98</c:v>
                </c:pt>
                <c:pt idx="4228">
                  <c:v>419.98</c:v>
                </c:pt>
                <c:pt idx="4229">
                  <c:v>319.99</c:v>
                </c:pt>
                <c:pt idx="4230">
                  <c:v>1665.98</c:v>
                </c:pt>
                <c:pt idx="4231">
                  <c:v>1499</c:v>
                </c:pt>
                <c:pt idx="4232">
                  <c:v>1099.98</c:v>
                </c:pt>
                <c:pt idx="4233">
                  <c:v>679.98</c:v>
                </c:pt>
                <c:pt idx="4234">
                  <c:v>749.99</c:v>
                </c:pt>
                <c:pt idx="4235">
                  <c:v>5599.98</c:v>
                </c:pt>
                <c:pt idx="4236">
                  <c:v>639.99</c:v>
                </c:pt>
                <c:pt idx="4237">
                  <c:v>319.98</c:v>
                </c:pt>
                <c:pt idx="4238">
                  <c:v>289.99</c:v>
                </c:pt>
                <c:pt idx="4239">
                  <c:v>469.99</c:v>
                </c:pt>
                <c:pt idx="4240">
                  <c:v>489.99</c:v>
                </c:pt>
                <c:pt idx="4241">
                  <c:v>470.99</c:v>
                </c:pt>
                <c:pt idx="4242">
                  <c:v>159.99</c:v>
                </c:pt>
                <c:pt idx="4243">
                  <c:v>4999.9799999999996</c:v>
                </c:pt>
                <c:pt idx="4244">
                  <c:v>639.98</c:v>
                </c:pt>
                <c:pt idx="4245">
                  <c:v>533.99</c:v>
                </c:pt>
                <c:pt idx="4246">
                  <c:v>549.99</c:v>
                </c:pt>
                <c:pt idx="4247">
                  <c:v>1295.98</c:v>
                </c:pt>
                <c:pt idx="4248">
                  <c:v>1259.9000000000001</c:v>
                </c:pt>
                <c:pt idx="4249">
                  <c:v>4499.99</c:v>
                </c:pt>
                <c:pt idx="4250">
                  <c:v>299.99</c:v>
                </c:pt>
                <c:pt idx="4251">
                  <c:v>749.99</c:v>
                </c:pt>
                <c:pt idx="4252">
                  <c:v>7999.98</c:v>
                </c:pt>
                <c:pt idx="4253">
                  <c:v>1999.98</c:v>
                </c:pt>
                <c:pt idx="4254">
                  <c:v>1499.99</c:v>
                </c:pt>
                <c:pt idx="4255">
                  <c:v>1399.98</c:v>
                </c:pt>
                <c:pt idx="4256">
                  <c:v>89.99</c:v>
                </c:pt>
                <c:pt idx="4257">
                  <c:v>499.99</c:v>
                </c:pt>
                <c:pt idx="4258">
                  <c:v>529.99</c:v>
                </c:pt>
                <c:pt idx="4259">
                  <c:v>369.99</c:v>
                </c:pt>
                <c:pt idx="4260">
                  <c:v>2999.99</c:v>
                </c:pt>
                <c:pt idx="4261">
                  <c:v>12999.98</c:v>
                </c:pt>
                <c:pt idx="4262">
                  <c:v>1549</c:v>
                </c:pt>
                <c:pt idx="4263">
                  <c:v>833.98</c:v>
                </c:pt>
                <c:pt idx="4264">
                  <c:v>1499</c:v>
                </c:pt>
                <c:pt idx="4265">
                  <c:v>4999.9799999999996</c:v>
                </c:pt>
                <c:pt idx="4266">
                  <c:v>3099.98</c:v>
                </c:pt>
                <c:pt idx="4267">
                  <c:v>1319.98</c:v>
                </c:pt>
                <c:pt idx="4268">
                  <c:v>1799.98</c:v>
                </c:pt>
                <c:pt idx="4269">
                  <c:v>2999.99</c:v>
                </c:pt>
                <c:pt idx="4270">
                  <c:v>2698</c:v>
                </c:pt>
                <c:pt idx="4271">
                  <c:v>2999.98</c:v>
                </c:pt>
                <c:pt idx="4272">
                  <c:v>449</c:v>
                </c:pt>
                <c:pt idx="4273">
                  <c:v>3199.99</c:v>
                </c:pt>
                <c:pt idx="4274">
                  <c:v>739.98</c:v>
                </c:pt>
                <c:pt idx="4275">
                  <c:v>199.99</c:v>
                </c:pt>
                <c:pt idx="4276">
                  <c:v>4999.99</c:v>
                </c:pt>
                <c:pt idx="4277">
                  <c:v>11999.98</c:v>
                </c:pt>
                <c:pt idx="4278">
                  <c:v>1599.98</c:v>
                </c:pt>
                <c:pt idx="4279">
                  <c:v>1699.98</c:v>
                </c:pt>
                <c:pt idx="4280">
                  <c:v>2499.9899999999998</c:v>
                </c:pt>
                <c:pt idx="4281">
                  <c:v>979.98</c:v>
                </c:pt>
                <c:pt idx="4282">
                  <c:v>941.98</c:v>
                </c:pt>
                <c:pt idx="4283">
                  <c:v>279.99</c:v>
                </c:pt>
                <c:pt idx="4284">
                  <c:v>5999.98</c:v>
                </c:pt>
                <c:pt idx="4285">
                  <c:v>5199.9799999999996</c:v>
                </c:pt>
                <c:pt idx="4286">
                  <c:v>1799.99</c:v>
                </c:pt>
                <c:pt idx="4287">
                  <c:v>109.99</c:v>
                </c:pt>
                <c:pt idx="4288">
                  <c:v>799.99</c:v>
                </c:pt>
                <c:pt idx="4289">
                  <c:v>219.98</c:v>
                </c:pt>
                <c:pt idx="4290">
                  <c:v>489.99</c:v>
                </c:pt>
                <c:pt idx="4291">
                  <c:v>899.99</c:v>
                </c:pt>
                <c:pt idx="4292">
                  <c:v>999.99</c:v>
                </c:pt>
                <c:pt idx="4293">
                  <c:v>1799.98</c:v>
                </c:pt>
                <c:pt idx="4294">
                  <c:v>1799.98</c:v>
                </c:pt>
                <c:pt idx="4295">
                  <c:v>3798</c:v>
                </c:pt>
                <c:pt idx="4296">
                  <c:v>1199.98</c:v>
                </c:pt>
                <c:pt idx="4297">
                  <c:v>6399.98</c:v>
                </c:pt>
                <c:pt idx="4298">
                  <c:v>699.98</c:v>
                </c:pt>
                <c:pt idx="4299">
                  <c:v>5299.99</c:v>
                </c:pt>
                <c:pt idx="4300">
                  <c:v>2799.99</c:v>
                </c:pt>
                <c:pt idx="4301">
                  <c:v>579.98</c:v>
                </c:pt>
                <c:pt idx="4302">
                  <c:v>3098</c:v>
                </c:pt>
                <c:pt idx="4303">
                  <c:v>979.98</c:v>
                </c:pt>
                <c:pt idx="4304">
                  <c:v>999.99</c:v>
                </c:pt>
                <c:pt idx="4305">
                  <c:v>2999.99</c:v>
                </c:pt>
                <c:pt idx="4306">
                  <c:v>899.99</c:v>
                </c:pt>
                <c:pt idx="4307">
                  <c:v>1499.98</c:v>
                </c:pt>
                <c:pt idx="4308">
                  <c:v>1319.98</c:v>
                </c:pt>
                <c:pt idx="4309">
                  <c:v>419.98</c:v>
                </c:pt>
                <c:pt idx="4310">
                  <c:v>1919.98</c:v>
                </c:pt>
                <c:pt idx="4311">
                  <c:v>1499.98</c:v>
                </c:pt>
                <c:pt idx="4312">
                  <c:v>919.99</c:v>
                </c:pt>
                <c:pt idx="4313">
                  <c:v>1499.99</c:v>
                </c:pt>
                <c:pt idx="4314">
                  <c:v>489.99</c:v>
                </c:pt>
                <c:pt idx="4315">
                  <c:v>9999.98</c:v>
                </c:pt>
                <c:pt idx="4316">
                  <c:v>4999.99</c:v>
                </c:pt>
                <c:pt idx="4317">
                  <c:v>9999.98</c:v>
                </c:pt>
                <c:pt idx="4318">
                  <c:v>489.99</c:v>
                </c:pt>
                <c:pt idx="4319">
                  <c:v>1359.98</c:v>
                </c:pt>
                <c:pt idx="4320">
                  <c:v>639.98</c:v>
                </c:pt>
                <c:pt idx="4321">
                  <c:v>6999.98</c:v>
                </c:pt>
                <c:pt idx="4322">
                  <c:v>1359.98</c:v>
                </c:pt>
                <c:pt idx="4323">
                  <c:v>4999.9799999999996</c:v>
                </c:pt>
                <c:pt idx="4324">
                  <c:v>319.99</c:v>
                </c:pt>
                <c:pt idx="4325">
                  <c:v>3119.98</c:v>
                </c:pt>
                <c:pt idx="4326">
                  <c:v>489.99</c:v>
                </c:pt>
                <c:pt idx="4327">
                  <c:v>489.99</c:v>
                </c:pt>
                <c:pt idx="4328">
                  <c:v>199.99</c:v>
                </c:pt>
                <c:pt idx="4329">
                  <c:v>4499.99</c:v>
                </c:pt>
                <c:pt idx="4330">
                  <c:v>3099.98</c:v>
                </c:pt>
                <c:pt idx="4331">
                  <c:v>2999.99</c:v>
                </c:pt>
                <c:pt idx="4332">
                  <c:v>2299.9899999999998</c:v>
                </c:pt>
                <c:pt idx="4333">
                  <c:v>699.98</c:v>
                </c:pt>
                <c:pt idx="4334">
                  <c:v>2299.9899999999998</c:v>
                </c:pt>
                <c:pt idx="4335">
                  <c:v>2499.9899999999998</c:v>
                </c:pt>
                <c:pt idx="4336">
                  <c:v>2999.99</c:v>
                </c:pt>
                <c:pt idx="4337">
                  <c:v>559.98</c:v>
                </c:pt>
                <c:pt idx="4338">
                  <c:v>875.99</c:v>
                </c:pt>
                <c:pt idx="4339">
                  <c:v>299.99</c:v>
                </c:pt>
                <c:pt idx="4340">
                  <c:v>749.99</c:v>
                </c:pt>
                <c:pt idx="4341">
                  <c:v>319.99</c:v>
                </c:pt>
                <c:pt idx="4342">
                  <c:v>599.98</c:v>
                </c:pt>
                <c:pt idx="4343">
                  <c:v>449.99</c:v>
                </c:pt>
                <c:pt idx="4344">
                  <c:v>3119.98</c:v>
                </c:pt>
                <c:pt idx="4345">
                  <c:v>5999.98</c:v>
                </c:pt>
                <c:pt idx="4346">
                  <c:v>759.98</c:v>
                </c:pt>
                <c:pt idx="4347">
                  <c:v>429.99</c:v>
                </c:pt>
                <c:pt idx="4348">
                  <c:v>859.98</c:v>
                </c:pt>
                <c:pt idx="4349">
                  <c:v>1499.98</c:v>
                </c:pt>
                <c:pt idx="4350">
                  <c:v>499.98</c:v>
                </c:pt>
                <c:pt idx="4351">
                  <c:v>739.98</c:v>
                </c:pt>
                <c:pt idx="4352">
                  <c:v>1499.98</c:v>
                </c:pt>
                <c:pt idx="4353">
                  <c:v>2599</c:v>
                </c:pt>
                <c:pt idx="4354">
                  <c:v>599.99</c:v>
                </c:pt>
                <c:pt idx="4355">
                  <c:v>899.99</c:v>
                </c:pt>
                <c:pt idx="4356">
                  <c:v>959.98</c:v>
                </c:pt>
                <c:pt idx="4357">
                  <c:v>449.99</c:v>
                </c:pt>
                <c:pt idx="4358">
                  <c:v>1919.98</c:v>
                </c:pt>
                <c:pt idx="4359">
                  <c:v>3199.98</c:v>
                </c:pt>
                <c:pt idx="4360">
                  <c:v>5999.98</c:v>
                </c:pt>
                <c:pt idx="4361">
                  <c:v>7199.98</c:v>
                </c:pt>
                <c:pt idx="4362">
                  <c:v>3199.99</c:v>
                </c:pt>
                <c:pt idx="4363">
                  <c:v>1599.98</c:v>
                </c:pt>
                <c:pt idx="4364">
                  <c:v>470.99</c:v>
                </c:pt>
                <c:pt idx="4365">
                  <c:v>1799.99</c:v>
                </c:pt>
                <c:pt idx="4366">
                  <c:v>319.98</c:v>
                </c:pt>
                <c:pt idx="4367">
                  <c:v>749.99</c:v>
                </c:pt>
                <c:pt idx="4368">
                  <c:v>6399.98</c:v>
                </c:pt>
                <c:pt idx="4369">
                  <c:v>2939.98</c:v>
                </c:pt>
                <c:pt idx="4370">
                  <c:v>319.99</c:v>
                </c:pt>
                <c:pt idx="4371">
                  <c:v>599.99</c:v>
                </c:pt>
                <c:pt idx="4372">
                  <c:v>639.99</c:v>
                </c:pt>
                <c:pt idx="4373">
                  <c:v>529.99</c:v>
                </c:pt>
                <c:pt idx="4374">
                  <c:v>250.99</c:v>
                </c:pt>
                <c:pt idx="4375">
                  <c:v>1549</c:v>
                </c:pt>
                <c:pt idx="4376">
                  <c:v>1059.98</c:v>
                </c:pt>
                <c:pt idx="4377">
                  <c:v>898</c:v>
                </c:pt>
                <c:pt idx="4378">
                  <c:v>1199.98</c:v>
                </c:pt>
                <c:pt idx="4379">
                  <c:v>159.99</c:v>
                </c:pt>
                <c:pt idx="4380">
                  <c:v>899.99</c:v>
                </c:pt>
                <c:pt idx="4381">
                  <c:v>909.99</c:v>
                </c:pt>
                <c:pt idx="4382">
                  <c:v>899.98</c:v>
                </c:pt>
                <c:pt idx="4383">
                  <c:v>319.99</c:v>
                </c:pt>
                <c:pt idx="4384">
                  <c:v>1059.98</c:v>
                </c:pt>
                <c:pt idx="4385">
                  <c:v>1099.98</c:v>
                </c:pt>
                <c:pt idx="4386">
                  <c:v>10599.98</c:v>
                </c:pt>
                <c:pt idx="4387">
                  <c:v>3499.99</c:v>
                </c:pt>
                <c:pt idx="4388">
                  <c:v>9999.98</c:v>
                </c:pt>
                <c:pt idx="4389">
                  <c:v>14999.98</c:v>
                </c:pt>
                <c:pt idx="4390">
                  <c:v>2999.98</c:v>
                </c:pt>
                <c:pt idx="4391">
                  <c:v>3361.98</c:v>
                </c:pt>
                <c:pt idx="4392">
                  <c:v>1199.99</c:v>
                </c:pt>
                <c:pt idx="4393">
                  <c:v>319.99</c:v>
                </c:pt>
                <c:pt idx="4394">
                  <c:v>639.98</c:v>
                </c:pt>
                <c:pt idx="4395">
                  <c:v>379.99</c:v>
                </c:pt>
                <c:pt idx="4396">
                  <c:v>416.99</c:v>
                </c:pt>
                <c:pt idx="4397">
                  <c:v>1751.98</c:v>
                </c:pt>
                <c:pt idx="4398">
                  <c:v>189.99</c:v>
                </c:pt>
                <c:pt idx="4399">
                  <c:v>1499.98</c:v>
                </c:pt>
                <c:pt idx="4400">
                  <c:v>6399.98</c:v>
                </c:pt>
                <c:pt idx="4401">
                  <c:v>449.99</c:v>
                </c:pt>
                <c:pt idx="4402">
                  <c:v>5999.98</c:v>
                </c:pt>
                <c:pt idx="4403">
                  <c:v>539.98</c:v>
                </c:pt>
                <c:pt idx="4404">
                  <c:v>2599</c:v>
                </c:pt>
                <c:pt idx="4405">
                  <c:v>3099.98</c:v>
                </c:pt>
                <c:pt idx="4406">
                  <c:v>389.99</c:v>
                </c:pt>
                <c:pt idx="4407">
                  <c:v>858</c:v>
                </c:pt>
                <c:pt idx="4408">
                  <c:v>1469.99</c:v>
                </c:pt>
                <c:pt idx="4409">
                  <c:v>2998</c:v>
                </c:pt>
                <c:pt idx="4410">
                  <c:v>909.99</c:v>
                </c:pt>
                <c:pt idx="4411">
                  <c:v>749.99</c:v>
                </c:pt>
                <c:pt idx="4412">
                  <c:v>9999.98</c:v>
                </c:pt>
                <c:pt idx="4413">
                  <c:v>4599.9799999999996</c:v>
                </c:pt>
                <c:pt idx="4414">
                  <c:v>1799.98</c:v>
                </c:pt>
                <c:pt idx="4415">
                  <c:v>9999.98</c:v>
                </c:pt>
                <c:pt idx="4416">
                  <c:v>1999.98</c:v>
                </c:pt>
                <c:pt idx="4417">
                  <c:v>6999.98</c:v>
                </c:pt>
                <c:pt idx="4418">
                  <c:v>1799.98</c:v>
                </c:pt>
                <c:pt idx="4419">
                  <c:v>4999.99</c:v>
                </c:pt>
                <c:pt idx="4420">
                  <c:v>1919.98</c:v>
                </c:pt>
                <c:pt idx="4421">
                  <c:v>6399.98</c:v>
                </c:pt>
                <c:pt idx="4422">
                  <c:v>2599.9899999999998</c:v>
                </c:pt>
                <c:pt idx="4423">
                  <c:v>4599.9799999999996</c:v>
                </c:pt>
                <c:pt idx="4424">
                  <c:v>2399.98</c:v>
                </c:pt>
                <c:pt idx="4425">
                  <c:v>419.98</c:v>
                </c:pt>
                <c:pt idx="4426">
                  <c:v>5199.9799999999996</c:v>
                </c:pt>
                <c:pt idx="4427">
                  <c:v>1359.98</c:v>
                </c:pt>
                <c:pt idx="4428">
                  <c:v>1359.98</c:v>
                </c:pt>
                <c:pt idx="4429">
                  <c:v>4999.9799999999996</c:v>
                </c:pt>
                <c:pt idx="4430">
                  <c:v>5999.98</c:v>
                </c:pt>
                <c:pt idx="4431">
                  <c:v>4499.99</c:v>
                </c:pt>
                <c:pt idx="4432">
                  <c:v>659.98</c:v>
                </c:pt>
                <c:pt idx="4433">
                  <c:v>2998</c:v>
                </c:pt>
                <c:pt idx="4434">
                  <c:v>346.99</c:v>
                </c:pt>
                <c:pt idx="4435">
                  <c:v>579.98</c:v>
                </c:pt>
                <c:pt idx="4436">
                  <c:v>4499.99</c:v>
                </c:pt>
                <c:pt idx="4437">
                  <c:v>6999.98</c:v>
                </c:pt>
                <c:pt idx="4438">
                  <c:v>1799.98</c:v>
                </c:pt>
                <c:pt idx="4439">
                  <c:v>179.98</c:v>
                </c:pt>
                <c:pt idx="4440">
                  <c:v>489.99</c:v>
                </c:pt>
                <c:pt idx="4441">
                  <c:v>1359.98</c:v>
                </c:pt>
                <c:pt idx="4442">
                  <c:v>999.99</c:v>
                </c:pt>
                <c:pt idx="4443">
                  <c:v>2999.98</c:v>
                </c:pt>
                <c:pt idx="4444">
                  <c:v>299.99</c:v>
                </c:pt>
                <c:pt idx="4445">
                  <c:v>1599.99</c:v>
                </c:pt>
                <c:pt idx="4446">
                  <c:v>1469.99</c:v>
                </c:pt>
                <c:pt idx="4447">
                  <c:v>1499.98</c:v>
                </c:pt>
                <c:pt idx="4448">
                  <c:v>1549</c:v>
                </c:pt>
                <c:pt idx="4449">
                  <c:v>639.98</c:v>
                </c:pt>
                <c:pt idx="4450">
                  <c:v>449.99</c:v>
                </c:pt>
                <c:pt idx="4451">
                  <c:v>5999.98</c:v>
                </c:pt>
                <c:pt idx="4452">
                  <c:v>6499.99</c:v>
                </c:pt>
                <c:pt idx="4453">
                  <c:v>2698</c:v>
                </c:pt>
                <c:pt idx="4454">
                  <c:v>2799.99</c:v>
                </c:pt>
                <c:pt idx="4455">
                  <c:v>1549.99</c:v>
                </c:pt>
                <c:pt idx="4456">
                  <c:v>5499.99</c:v>
                </c:pt>
                <c:pt idx="4457">
                  <c:v>749.99</c:v>
                </c:pt>
                <c:pt idx="4458">
                  <c:v>679.99</c:v>
                </c:pt>
                <c:pt idx="4459">
                  <c:v>469.99</c:v>
                </c:pt>
                <c:pt idx="4460">
                  <c:v>551.99</c:v>
                </c:pt>
                <c:pt idx="4461">
                  <c:v>3999.98</c:v>
                </c:pt>
                <c:pt idx="4462">
                  <c:v>859.98</c:v>
                </c:pt>
                <c:pt idx="4463">
                  <c:v>299.99</c:v>
                </c:pt>
                <c:pt idx="4464">
                  <c:v>11999.98</c:v>
                </c:pt>
                <c:pt idx="4465">
                  <c:v>539.98</c:v>
                </c:pt>
                <c:pt idx="4466">
                  <c:v>749.99</c:v>
                </c:pt>
                <c:pt idx="4467">
                  <c:v>1899</c:v>
                </c:pt>
                <c:pt idx="4468">
                  <c:v>5999.98</c:v>
                </c:pt>
                <c:pt idx="4469">
                  <c:v>459.98</c:v>
                </c:pt>
                <c:pt idx="4470">
                  <c:v>647.99</c:v>
                </c:pt>
                <c:pt idx="4471">
                  <c:v>349.99</c:v>
                </c:pt>
                <c:pt idx="4472">
                  <c:v>1799.98</c:v>
                </c:pt>
                <c:pt idx="4473">
                  <c:v>6499.99</c:v>
                </c:pt>
                <c:pt idx="4474">
                  <c:v>3499.99</c:v>
                </c:pt>
                <c:pt idx="4475">
                  <c:v>1469.99</c:v>
                </c:pt>
                <c:pt idx="4476">
                  <c:v>399.98</c:v>
                </c:pt>
                <c:pt idx="4477">
                  <c:v>6399.98</c:v>
                </c:pt>
                <c:pt idx="4478">
                  <c:v>209.99</c:v>
                </c:pt>
                <c:pt idx="4479">
                  <c:v>1199.98</c:v>
                </c:pt>
                <c:pt idx="4480">
                  <c:v>2199.9899999999998</c:v>
                </c:pt>
                <c:pt idx="4481">
                  <c:v>5599.98</c:v>
                </c:pt>
                <c:pt idx="4482">
                  <c:v>4599.9799999999996</c:v>
                </c:pt>
                <c:pt idx="4483">
                  <c:v>1699.98</c:v>
                </c:pt>
                <c:pt idx="4484">
                  <c:v>3299.99</c:v>
                </c:pt>
                <c:pt idx="4485">
                  <c:v>2819.98</c:v>
                </c:pt>
                <c:pt idx="4486">
                  <c:v>1469.99</c:v>
                </c:pt>
                <c:pt idx="4487">
                  <c:v>2299.9899999999998</c:v>
                </c:pt>
                <c:pt idx="4488">
                  <c:v>1799.98</c:v>
                </c:pt>
                <c:pt idx="4489">
                  <c:v>939.98</c:v>
                </c:pt>
                <c:pt idx="4490">
                  <c:v>1099.98</c:v>
                </c:pt>
                <c:pt idx="4491">
                  <c:v>833.98</c:v>
                </c:pt>
                <c:pt idx="4492">
                  <c:v>749.99</c:v>
                </c:pt>
                <c:pt idx="4493">
                  <c:v>479.99</c:v>
                </c:pt>
                <c:pt idx="4494">
                  <c:v>10999.98</c:v>
                </c:pt>
                <c:pt idx="4495">
                  <c:v>647.99</c:v>
                </c:pt>
                <c:pt idx="4496">
                  <c:v>23999.98</c:v>
                </c:pt>
                <c:pt idx="4497">
                  <c:v>1199.98</c:v>
                </c:pt>
                <c:pt idx="4498">
                  <c:v>6399.98</c:v>
                </c:pt>
                <c:pt idx="4499">
                  <c:v>429</c:v>
                </c:pt>
                <c:pt idx="4500">
                  <c:v>299.98</c:v>
                </c:pt>
                <c:pt idx="4501">
                  <c:v>402.99</c:v>
                </c:pt>
                <c:pt idx="4502">
                  <c:v>4999.9799999999996</c:v>
                </c:pt>
                <c:pt idx="4503">
                  <c:v>6999.98</c:v>
                </c:pt>
                <c:pt idx="4504">
                  <c:v>759.98</c:v>
                </c:pt>
                <c:pt idx="4505">
                  <c:v>279.99</c:v>
                </c:pt>
                <c:pt idx="4506">
                  <c:v>899.98</c:v>
                </c:pt>
                <c:pt idx="4507">
                  <c:v>209.99</c:v>
                </c:pt>
                <c:pt idx="4508">
                  <c:v>1919.98</c:v>
                </c:pt>
                <c:pt idx="4509">
                  <c:v>699.98</c:v>
                </c:pt>
                <c:pt idx="4510">
                  <c:v>1799.99</c:v>
                </c:pt>
                <c:pt idx="4511">
                  <c:v>6999.98</c:v>
                </c:pt>
                <c:pt idx="4512">
                  <c:v>833.98</c:v>
                </c:pt>
                <c:pt idx="4513">
                  <c:v>869.99</c:v>
                </c:pt>
                <c:pt idx="4514">
                  <c:v>6499.99</c:v>
                </c:pt>
                <c:pt idx="4515">
                  <c:v>5599.98</c:v>
                </c:pt>
                <c:pt idx="4516">
                  <c:v>749.99</c:v>
                </c:pt>
                <c:pt idx="4517">
                  <c:v>499.99</c:v>
                </c:pt>
                <c:pt idx="4518">
                  <c:v>899.98</c:v>
                </c:pt>
                <c:pt idx="4519">
                  <c:v>3599.99</c:v>
                </c:pt>
                <c:pt idx="4520">
                  <c:v>469.99</c:v>
                </c:pt>
                <c:pt idx="4521">
                  <c:v>3499.99</c:v>
                </c:pt>
                <c:pt idx="4522">
                  <c:v>6999.98</c:v>
                </c:pt>
                <c:pt idx="4523">
                  <c:v>959.99</c:v>
                </c:pt>
                <c:pt idx="4524">
                  <c:v>469.99</c:v>
                </c:pt>
                <c:pt idx="4525">
                  <c:v>1499.98</c:v>
                </c:pt>
                <c:pt idx="4526">
                  <c:v>1399.98</c:v>
                </c:pt>
                <c:pt idx="4527">
                  <c:v>1119.98</c:v>
                </c:pt>
                <c:pt idx="4528">
                  <c:v>659.99</c:v>
                </c:pt>
                <c:pt idx="4529">
                  <c:v>5599.98</c:v>
                </c:pt>
                <c:pt idx="4530">
                  <c:v>5499.99</c:v>
                </c:pt>
                <c:pt idx="4531">
                  <c:v>299.98</c:v>
                </c:pt>
                <c:pt idx="4532">
                  <c:v>7999.98</c:v>
                </c:pt>
                <c:pt idx="4533">
                  <c:v>2299.9899999999998</c:v>
                </c:pt>
                <c:pt idx="4534">
                  <c:v>2939.98</c:v>
                </c:pt>
                <c:pt idx="4535">
                  <c:v>489.99</c:v>
                </c:pt>
                <c:pt idx="4536">
                  <c:v>549.99</c:v>
                </c:pt>
                <c:pt idx="4537">
                  <c:v>2999.99</c:v>
                </c:pt>
                <c:pt idx="4538">
                  <c:v>209.99</c:v>
                </c:pt>
                <c:pt idx="4539">
                  <c:v>749.99</c:v>
                </c:pt>
                <c:pt idx="4540">
                  <c:v>279.99</c:v>
                </c:pt>
                <c:pt idx="4541">
                  <c:v>1099.98</c:v>
                </c:pt>
                <c:pt idx="4542">
                  <c:v>6499.99</c:v>
                </c:pt>
                <c:pt idx="4543">
                  <c:v>469.99</c:v>
                </c:pt>
                <c:pt idx="4544">
                  <c:v>3798</c:v>
                </c:pt>
                <c:pt idx="4545">
                  <c:v>3199.99</c:v>
                </c:pt>
                <c:pt idx="4546">
                  <c:v>6999.98</c:v>
                </c:pt>
                <c:pt idx="4547">
                  <c:v>659.99</c:v>
                </c:pt>
                <c:pt idx="4548">
                  <c:v>289.99</c:v>
                </c:pt>
                <c:pt idx="4549">
                  <c:v>939.98</c:v>
                </c:pt>
                <c:pt idx="4550">
                  <c:v>1799.98</c:v>
                </c:pt>
                <c:pt idx="4551">
                  <c:v>2698</c:v>
                </c:pt>
                <c:pt idx="4552">
                  <c:v>2819.98</c:v>
                </c:pt>
                <c:pt idx="4553">
                  <c:v>999.99</c:v>
                </c:pt>
                <c:pt idx="4554">
                  <c:v>2899.99</c:v>
                </c:pt>
                <c:pt idx="4555">
                  <c:v>2699.99</c:v>
                </c:pt>
                <c:pt idx="4556">
                  <c:v>2599.9899999999998</c:v>
                </c:pt>
                <c:pt idx="4557">
                  <c:v>679.98</c:v>
                </c:pt>
                <c:pt idx="4558">
                  <c:v>449</c:v>
                </c:pt>
                <c:pt idx="4559">
                  <c:v>6399.98</c:v>
                </c:pt>
                <c:pt idx="4560">
                  <c:v>319.99</c:v>
                </c:pt>
                <c:pt idx="4561">
                  <c:v>1999.98</c:v>
                </c:pt>
                <c:pt idx="4562">
                  <c:v>1469.99</c:v>
                </c:pt>
                <c:pt idx="4563">
                  <c:v>4399.9799999999996</c:v>
                </c:pt>
                <c:pt idx="4564">
                  <c:v>559.98</c:v>
                </c:pt>
                <c:pt idx="4565">
                  <c:v>3199.99</c:v>
                </c:pt>
                <c:pt idx="4566">
                  <c:v>250.99</c:v>
                </c:pt>
                <c:pt idx="4567">
                  <c:v>6399.98</c:v>
                </c:pt>
                <c:pt idx="4568">
                  <c:v>3499.99</c:v>
                </c:pt>
                <c:pt idx="4569">
                  <c:v>899.99</c:v>
                </c:pt>
                <c:pt idx="4570">
                  <c:v>269.99</c:v>
                </c:pt>
                <c:pt idx="4571">
                  <c:v>379.99</c:v>
                </c:pt>
                <c:pt idx="4572">
                  <c:v>209.99</c:v>
                </c:pt>
                <c:pt idx="4573">
                  <c:v>899.99</c:v>
                </c:pt>
                <c:pt idx="4574">
                  <c:v>299.99</c:v>
                </c:pt>
                <c:pt idx="4575">
                  <c:v>1359.98</c:v>
                </c:pt>
                <c:pt idx="4576">
                  <c:v>919.99</c:v>
                </c:pt>
                <c:pt idx="4577">
                  <c:v>9999.98</c:v>
                </c:pt>
                <c:pt idx="4578">
                  <c:v>319.99</c:v>
                </c:pt>
                <c:pt idx="4579">
                  <c:v>4999.99</c:v>
                </c:pt>
                <c:pt idx="4580">
                  <c:v>533.99</c:v>
                </c:pt>
                <c:pt idx="4581">
                  <c:v>899.99</c:v>
                </c:pt>
                <c:pt idx="4582">
                  <c:v>2999.99</c:v>
                </c:pt>
                <c:pt idx="4583">
                  <c:v>11999.99</c:v>
                </c:pt>
                <c:pt idx="4584">
                  <c:v>1399.98</c:v>
                </c:pt>
                <c:pt idx="4585">
                  <c:v>559.99</c:v>
                </c:pt>
                <c:pt idx="4586">
                  <c:v>1199.98</c:v>
                </c:pt>
                <c:pt idx="4587">
                  <c:v>1799.98</c:v>
                </c:pt>
                <c:pt idx="4588">
                  <c:v>2999.99</c:v>
                </c:pt>
                <c:pt idx="4589">
                  <c:v>3199.99</c:v>
                </c:pt>
                <c:pt idx="4590">
                  <c:v>1359.98</c:v>
                </c:pt>
                <c:pt idx="4591">
                  <c:v>2999.99</c:v>
                </c:pt>
                <c:pt idx="4592">
                  <c:v>919.99</c:v>
                </c:pt>
                <c:pt idx="4593">
                  <c:v>1059.98</c:v>
                </c:pt>
                <c:pt idx="4594">
                  <c:v>1799.98</c:v>
                </c:pt>
                <c:pt idx="4595">
                  <c:v>179.98</c:v>
                </c:pt>
                <c:pt idx="4596">
                  <c:v>469.99</c:v>
                </c:pt>
                <c:pt idx="4597">
                  <c:v>539.99</c:v>
                </c:pt>
                <c:pt idx="4598">
                  <c:v>7999.98</c:v>
                </c:pt>
                <c:pt idx="4599">
                  <c:v>269.99</c:v>
                </c:pt>
                <c:pt idx="4600">
                  <c:v>939.98</c:v>
                </c:pt>
                <c:pt idx="4601">
                  <c:v>419.98</c:v>
                </c:pt>
                <c:pt idx="4602">
                  <c:v>416.99</c:v>
                </c:pt>
                <c:pt idx="4603">
                  <c:v>319.99</c:v>
                </c:pt>
                <c:pt idx="4604">
                  <c:v>6999.98</c:v>
                </c:pt>
                <c:pt idx="4605">
                  <c:v>559.98</c:v>
                </c:pt>
                <c:pt idx="4606">
                  <c:v>941.98</c:v>
                </c:pt>
                <c:pt idx="4607">
                  <c:v>1599.98</c:v>
                </c:pt>
                <c:pt idx="4608">
                  <c:v>5198</c:v>
                </c:pt>
                <c:pt idx="4609">
                  <c:v>559.98</c:v>
                </c:pt>
                <c:pt idx="4610">
                  <c:v>7199.98</c:v>
                </c:pt>
                <c:pt idx="4611">
                  <c:v>899.99</c:v>
                </c:pt>
                <c:pt idx="4612">
                  <c:v>1499.98</c:v>
                </c:pt>
                <c:pt idx="4613">
                  <c:v>3499.99</c:v>
                </c:pt>
                <c:pt idx="4614">
                  <c:v>899.99</c:v>
                </c:pt>
                <c:pt idx="4615">
                  <c:v>279.99</c:v>
                </c:pt>
                <c:pt idx="4616">
                  <c:v>693.98</c:v>
                </c:pt>
                <c:pt idx="4617">
                  <c:v>939.98</c:v>
                </c:pt>
                <c:pt idx="4618">
                  <c:v>299.98</c:v>
                </c:pt>
                <c:pt idx="4619">
                  <c:v>489.99</c:v>
                </c:pt>
                <c:pt idx="4620">
                  <c:v>289.99</c:v>
                </c:pt>
                <c:pt idx="4621">
                  <c:v>599.99</c:v>
                </c:pt>
                <c:pt idx="4622">
                  <c:v>2999.98</c:v>
                </c:pt>
                <c:pt idx="4623">
                  <c:v>529.99</c:v>
                </c:pt>
                <c:pt idx="4624">
                  <c:v>579.98</c:v>
                </c:pt>
                <c:pt idx="4625">
                  <c:v>1739.98</c:v>
                </c:pt>
                <c:pt idx="4626">
                  <c:v>1799.98</c:v>
                </c:pt>
                <c:pt idx="4627">
                  <c:v>5299.99</c:v>
                </c:pt>
                <c:pt idx="4628">
                  <c:v>2799.99</c:v>
                </c:pt>
                <c:pt idx="4629">
                  <c:v>3599.98</c:v>
                </c:pt>
                <c:pt idx="4630">
                  <c:v>449.99</c:v>
                </c:pt>
                <c:pt idx="4631">
                  <c:v>899.98</c:v>
                </c:pt>
                <c:pt idx="4632">
                  <c:v>7999.98</c:v>
                </c:pt>
                <c:pt idx="4633">
                  <c:v>299.99</c:v>
                </c:pt>
                <c:pt idx="4634">
                  <c:v>2799.99</c:v>
                </c:pt>
                <c:pt idx="4635">
                  <c:v>539.98</c:v>
                </c:pt>
                <c:pt idx="4636">
                  <c:v>369.99</c:v>
                </c:pt>
                <c:pt idx="4637">
                  <c:v>319.99</c:v>
                </c:pt>
                <c:pt idx="4638">
                  <c:v>3199.99</c:v>
                </c:pt>
                <c:pt idx="4639">
                  <c:v>832.99</c:v>
                </c:pt>
                <c:pt idx="4640">
                  <c:v>481.99</c:v>
                </c:pt>
                <c:pt idx="4641">
                  <c:v>6999.98</c:v>
                </c:pt>
                <c:pt idx="4642">
                  <c:v>1295.98</c:v>
                </c:pt>
                <c:pt idx="4643">
                  <c:v>1599.98</c:v>
                </c:pt>
                <c:pt idx="4644">
                  <c:v>419.98</c:v>
                </c:pt>
                <c:pt idx="4645">
                  <c:v>1279.98</c:v>
                </c:pt>
                <c:pt idx="4646">
                  <c:v>799.99</c:v>
                </c:pt>
                <c:pt idx="4647">
                  <c:v>4999.9799999999996</c:v>
                </c:pt>
                <c:pt idx="4648">
                  <c:v>6399.98</c:v>
                </c:pt>
                <c:pt idx="4649">
                  <c:v>599.99</c:v>
                </c:pt>
                <c:pt idx="4650">
                  <c:v>299.99</c:v>
                </c:pt>
                <c:pt idx="4651">
                  <c:v>559.98</c:v>
                </c:pt>
                <c:pt idx="4652">
                  <c:v>939.98</c:v>
                </c:pt>
                <c:pt idx="4653">
                  <c:v>699.98</c:v>
                </c:pt>
                <c:pt idx="4654">
                  <c:v>4499.9799999999996</c:v>
                </c:pt>
                <c:pt idx="4655">
                  <c:v>289.99</c:v>
                </c:pt>
                <c:pt idx="4656">
                  <c:v>3098</c:v>
                </c:pt>
                <c:pt idx="4657">
                  <c:v>2299.9899999999998</c:v>
                </c:pt>
                <c:pt idx="4658">
                  <c:v>9999.98</c:v>
                </c:pt>
                <c:pt idx="4659">
                  <c:v>2999.99</c:v>
                </c:pt>
                <c:pt idx="4660">
                  <c:v>419.98</c:v>
                </c:pt>
                <c:pt idx="4661">
                  <c:v>699.98</c:v>
                </c:pt>
                <c:pt idx="4662">
                  <c:v>469.99</c:v>
                </c:pt>
                <c:pt idx="4663">
                  <c:v>5599.98</c:v>
                </c:pt>
                <c:pt idx="4664">
                  <c:v>416.99</c:v>
                </c:pt>
                <c:pt idx="4665">
                  <c:v>12999.98</c:v>
                </c:pt>
                <c:pt idx="4666">
                  <c:v>805.98</c:v>
                </c:pt>
                <c:pt idx="4667">
                  <c:v>533.99</c:v>
                </c:pt>
                <c:pt idx="4668">
                  <c:v>379.99</c:v>
                </c:pt>
                <c:pt idx="4669">
                  <c:v>349.99</c:v>
                </c:pt>
                <c:pt idx="4670">
                  <c:v>449</c:v>
                </c:pt>
                <c:pt idx="4671">
                  <c:v>3199.99</c:v>
                </c:pt>
                <c:pt idx="4672">
                  <c:v>2599.9899999999998</c:v>
                </c:pt>
                <c:pt idx="4673">
                  <c:v>599.99</c:v>
                </c:pt>
                <c:pt idx="4674">
                  <c:v>6999.98</c:v>
                </c:pt>
                <c:pt idx="4675">
                  <c:v>189.99</c:v>
                </c:pt>
                <c:pt idx="4676">
                  <c:v>963.98</c:v>
                </c:pt>
                <c:pt idx="4677">
                  <c:v>4999.99</c:v>
                </c:pt>
                <c:pt idx="4678">
                  <c:v>319.99</c:v>
                </c:pt>
                <c:pt idx="4679">
                  <c:v>832.99</c:v>
                </c:pt>
                <c:pt idx="4680">
                  <c:v>1159.98</c:v>
                </c:pt>
                <c:pt idx="4681">
                  <c:v>1549</c:v>
                </c:pt>
                <c:pt idx="4682">
                  <c:v>539.98</c:v>
                </c:pt>
                <c:pt idx="4683">
                  <c:v>7999.98</c:v>
                </c:pt>
                <c:pt idx="4684">
                  <c:v>919.99</c:v>
                </c:pt>
                <c:pt idx="4685">
                  <c:v>833.98</c:v>
                </c:pt>
                <c:pt idx="4686">
                  <c:v>379.99</c:v>
                </c:pt>
                <c:pt idx="4687">
                  <c:v>459.98</c:v>
                </c:pt>
                <c:pt idx="4688">
                  <c:v>1799.98</c:v>
                </c:pt>
                <c:pt idx="4689">
                  <c:v>459.98</c:v>
                </c:pt>
                <c:pt idx="4690">
                  <c:v>209.99</c:v>
                </c:pt>
                <c:pt idx="4691">
                  <c:v>619.99</c:v>
                </c:pt>
                <c:pt idx="4692">
                  <c:v>4499.99</c:v>
                </c:pt>
                <c:pt idx="4693">
                  <c:v>2999.98</c:v>
                </c:pt>
                <c:pt idx="4694">
                  <c:v>899.99</c:v>
                </c:pt>
                <c:pt idx="4695">
                  <c:v>999.99</c:v>
                </c:pt>
                <c:pt idx="4696">
                  <c:v>659.99</c:v>
                </c:pt>
                <c:pt idx="4697">
                  <c:v>209.99</c:v>
                </c:pt>
                <c:pt idx="4698">
                  <c:v>999.99</c:v>
                </c:pt>
                <c:pt idx="4699">
                  <c:v>1059.98</c:v>
                </c:pt>
                <c:pt idx="4700">
                  <c:v>349.99</c:v>
                </c:pt>
                <c:pt idx="4701">
                  <c:v>1499.98</c:v>
                </c:pt>
                <c:pt idx="4702">
                  <c:v>639.98</c:v>
                </c:pt>
                <c:pt idx="4703">
                  <c:v>533.99</c:v>
                </c:pt>
                <c:pt idx="4704">
                  <c:v>832.99</c:v>
                </c:pt>
                <c:pt idx="4705">
                  <c:v>6399.98</c:v>
                </c:pt>
                <c:pt idx="4706">
                  <c:v>2799.99</c:v>
                </c:pt>
                <c:pt idx="4707">
                  <c:v>6399.98</c:v>
                </c:pt>
                <c:pt idx="4708">
                  <c:v>749.99</c:v>
                </c:pt>
                <c:pt idx="4709">
                  <c:v>699.99</c:v>
                </c:pt>
                <c:pt idx="4710">
                  <c:v>639.98</c:v>
                </c:pt>
                <c:pt idx="4711">
                  <c:v>679.98</c:v>
                </c:pt>
                <c:pt idx="4712">
                  <c:v>639.98</c:v>
                </c:pt>
                <c:pt idx="4713">
                  <c:v>1559.99</c:v>
                </c:pt>
                <c:pt idx="4714">
                  <c:v>4999.99</c:v>
                </c:pt>
                <c:pt idx="4715">
                  <c:v>639.98</c:v>
                </c:pt>
                <c:pt idx="4716">
                  <c:v>1499</c:v>
                </c:pt>
                <c:pt idx="4717">
                  <c:v>4599.9799999999996</c:v>
                </c:pt>
                <c:pt idx="4718">
                  <c:v>539.98</c:v>
                </c:pt>
                <c:pt idx="4719">
                  <c:v>4599.9799999999996</c:v>
                </c:pt>
                <c:pt idx="4720">
                  <c:v>899.99</c:v>
                </c:pt>
                <c:pt idx="4721">
                  <c:v>2499.9899999999998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EC-475A-A507-1D7B6DB1B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-50"/>
        <c:axId val="1474458400"/>
        <c:axId val="1"/>
      </c:barChart>
      <c:catAx>
        <c:axId val="1474458400"/>
        <c:scaling>
          <c:orientation val="minMax"/>
        </c:scaling>
        <c:delete val="0"/>
        <c:axPos val="l"/>
        <c:majorGridlines>
          <c:spPr>
            <a:ln w="3175">
              <a:solidFill>
                <a:srgbClr val="333333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extTo"/>
        <c:spPr>
          <a:ln w="6350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C0C0C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tickLblSkip val="169"/>
        <c:tickMarkSkip val="1"/>
        <c:noMultiLvlLbl val="0"/>
      </c:catAx>
      <c:valAx>
        <c:axId val="1"/>
        <c:scaling>
          <c:orientation val="minMax"/>
        </c:scaling>
        <c:delete val="0"/>
        <c:axPos val="b"/>
        <c:majorGridlines>
          <c:spPr>
            <a:ln w="3175">
              <a:solidFill>
                <a:srgbClr val="333333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extTo"/>
        <c:spPr>
          <a:ln w="6350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C0C0C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7445840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</xdr:colOff>
      <xdr:row>1</xdr:row>
      <xdr:rowOff>99060</xdr:rowOff>
    </xdr:from>
    <xdr:to>
      <xdr:col>12</xdr:col>
      <xdr:colOff>129540</xdr:colOff>
      <xdr:row>16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12936F9-235E-4BBC-04F8-D0BACEE63C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45720</xdr:colOff>
      <xdr:row>0</xdr:row>
      <xdr:rowOff>0</xdr:rowOff>
    </xdr:from>
    <xdr:to>
      <xdr:col>30</xdr:col>
      <xdr:colOff>76200</xdr:colOff>
      <xdr:row>26</xdr:row>
      <xdr:rowOff>45720</xdr:rowOff>
    </xdr:to>
    <xdr:graphicFrame macro="">
      <xdr:nvGraphicFramePr>
        <xdr:cNvPr id="1034" name="Chart 1">
          <a:extLst>
            <a:ext uri="{FF2B5EF4-FFF2-40B4-BE49-F238E27FC236}">
              <a16:creationId xmlns:a16="http://schemas.microsoft.com/office/drawing/2014/main" id="{3B6945CE-9125-C44E-2F6C-DB85050B13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avit\OneDrive\Desktop\Orders.csv" TargetMode="External"/><Relationship Id="rId1" Type="http://schemas.openxmlformats.org/officeDocument/2006/relationships/externalLinkPath" Target="file:///C:\Users\pavit\OneDrive\Desktop\Orders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rders"/>
    </sheetNames>
    <sheetDataSet>
      <sheetData sheetId="0">
        <row r="2">
          <cell r="A2">
            <v>1</v>
          </cell>
          <cell r="B2">
            <v>42370</v>
          </cell>
        </row>
        <row r="3">
          <cell r="A3">
            <v>2</v>
          </cell>
          <cell r="B3">
            <v>42370</v>
          </cell>
        </row>
        <row r="4">
          <cell r="A4">
            <v>3</v>
          </cell>
          <cell r="B4">
            <v>42371</v>
          </cell>
        </row>
        <row r="5">
          <cell r="A5">
            <v>4</v>
          </cell>
          <cell r="B5">
            <v>42372</v>
          </cell>
        </row>
        <row r="6">
          <cell r="A6">
            <v>5</v>
          </cell>
          <cell r="B6">
            <v>42372</v>
          </cell>
        </row>
        <row r="7">
          <cell r="A7">
            <v>6</v>
          </cell>
          <cell r="B7">
            <v>42373</v>
          </cell>
        </row>
        <row r="8">
          <cell r="A8">
            <v>7</v>
          </cell>
          <cell r="B8">
            <v>42373</v>
          </cell>
        </row>
        <row r="9">
          <cell r="A9">
            <v>8</v>
          </cell>
          <cell r="B9">
            <v>42373</v>
          </cell>
        </row>
        <row r="10">
          <cell r="A10">
            <v>9</v>
          </cell>
          <cell r="B10">
            <v>42374</v>
          </cell>
        </row>
        <row r="11">
          <cell r="A11">
            <v>10</v>
          </cell>
          <cell r="B11">
            <v>42374</v>
          </cell>
        </row>
        <row r="12">
          <cell r="A12">
            <v>11</v>
          </cell>
          <cell r="B12">
            <v>42374</v>
          </cell>
        </row>
        <row r="13">
          <cell r="A13">
            <v>12</v>
          </cell>
          <cell r="B13">
            <v>42375</v>
          </cell>
        </row>
        <row r="14">
          <cell r="A14">
            <v>13</v>
          </cell>
          <cell r="B14">
            <v>42377</v>
          </cell>
        </row>
        <row r="15">
          <cell r="A15">
            <v>14</v>
          </cell>
          <cell r="B15">
            <v>42378</v>
          </cell>
        </row>
        <row r="16">
          <cell r="A16">
            <v>15</v>
          </cell>
          <cell r="B16">
            <v>42378</v>
          </cell>
        </row>
        <row r="17">
          <cell r="A17">
            <v>16</v>
          </cell>
          <cell r="B17">
            <v>42381</v>
          </cell>
        </row>
        <row r="18">
          <cell r="A18">
            <v>17</v>
          </cell>
          <cell r="B18">
            <v>42381</v>
          </cell>
        </row>
        <row r="19">
          <cell r="A19">
            <v>18</v>
          </cell>
          <cell r="B19">
            <v>42383</v>
          </cell>
        </row>
        <row r="20">
          <cell r="A20">
            <v>19</v>
          </cell>
          <cell r="B20">
            <v>42383</v>
          </cell>
        </row>
        <row r="21">
          <cell r="A21">
            <v>20</v>
          </cell>
          <cell r="B21">
            <v>42383</v>
          </cell>
        </row>
        <row r="22">
          <cell r="A22">
            <v>21</v>
          </cell>
          <cell r="B22">
            <v>42384</v>
          </cell>
        </row>
        <row r="23">
          <cell r="A23">
            <v>22</v>
          </cell>
          <cell r="B23">
            <v>42385</v>
          </cell>
        </row>
        <row r="24">
          <cell r="A24">
            <v>23</v>
          </cell>
          <cell r="B24">
            <v>42385</v>
          </cell>
        </row>
        <row r="25">
          <cell r="A25">
            <v>24</v>
          </cell>
          <cell r="B25">
            <v>42387</v>
          </cell>
        </row>
        <row r="26">
          <cell r="A26">
            <v>25</v>
          </cell>
          <cell r="B26">
            <v>42387</v>
          </cell>
        </row>
        <row r="27">
          <cell r="A27">
            <v>26</v>
          </cell>
          <cell r="B27">
            <v>42387</v>
          </cell>
        </row>
        <row r="28">
          <cell r="A28">
            <v>27</v>
          </cell>
          <cell r="B28">
            <v>42388</v>
          </cell>
        </row>
        <row r="29">
          <cell r="A29">
            <v>28</v>
          </cell>
          <cell r="B29">
            <v>42388</v>
          </cell>
        </row>
        <row r="30">
          <cell r="A30">
            <v>29</v>
          </cell>
          <cell r="B30">
            <v>42389</v>
          </cell>
        </row>
        <row r="31">
          <cell r="A31">
            <v>30</v>
          </cell>
          <cell r="B31">
            <v>42389</v>
          </cell>
        </row>
        <row r="32">
          <cell r="A32">
            <v>31</v>
          </cell>
          <cell r="B32">
            <v>42389</v>
          </cell>
        </row>
        <row r="33">
          <cell r="A33">
            <v>32</v>
          </cell>
          <cell r="B33">
            <v>42390</v>
          </cell>
        </row>
        <row r="34">
          <cell r="A34">
            <v>33</v>
          </cell>
          <cell r="B34">
            <v>42390</v>
          </cell>
        </row>
        <row r="35">
          <cell r="A35">
            <v>34</v>
          </cell>
          <cell r="B35">
            <v>42391</v>
          </cell>
        </row>
        <row r="36">
          <cell r="A36">
            <v>35</v>
          </cell>
          <cell r="B36">
            <v>42391</v>
          </cell>
        </row>
        <row r="37">
          <cell r="A37">
            <v>36</v>
          </cell>
          <cell r="B37">
            <v>42392</v>
          </cell>
        </row>
        <row r="38">
          <cell r="A38">
            <v>37</v>
          </cell>
          <cell r="B38">
            <v>42394</v>
          </cell>
        </row>
        <row r="39">
          <cell r="A39">
            <v>38</v>
          </cell>
          <cell r="B39">
            <v>42394</v>
          </cell>
        </row>
        <row r="40">
          <cell r="A40">
            <v>39</v>
          </cell>
          <cell r="B40">
            <v>42394</v>
          </cell>
        </row>
        <row r="41">
          <cell r="A41">
            <v>40</v>
          </cell>
          <cell r="B41">
            <v>42396</v>
          </cell>
        </row>
        <row r="42">
          <cell r="A42">
            <v>41</v>
          </cell>
          <cell r="B42">
            <v>42396</v>
          </cell>
        </row>
        <row r="43">
          <cell r="A43">
            <v>42</v>
          </cell>
          <cell r="B43">
            <v>42396</v>
          </cell>
        </row>
        <row r="44">
          <cell r="A44">
            <v>43</v>
          </cell>
          <cell r="B44">
            <v>42396</v>
          </cell>
        </row>
        <row r="45">
          <cell r="A45">
            <v>44</v>
          </cell>
          <cell r="B45">
            <v>42397</v>
          </cell>
        </row>
        <row r="46">
          <cell r="A46">
            <v>45</v>
          </cell>
          <cell r="B46">
            <v>42397</v>
          </cell>
        </row>
        <row r="47">
          <cell r="A47">
            <v>46</v>
          </cell>
          <cell r="B47">
            <v>42398</v>
          </cell>
        </row>
        <row r="48">
          <cell r="A48">
            <v>47</v>
          </cell>
          <cell r="B48">
            <v>42398</v>
          </cell>
        </row>
        <row r="49">
          <cell r="A49">
            <v>48</v>
          </cell>
          <cell r="B49">
            <v>42399</v>
          </cell>
        </row>
        <row r="50">
          <cell r="A50">
            <v>49</v>
          </cell>
          <cell r="B50">
            <v>42400</v>
          </cell>
        </row>
        <row r="51">
          <cell r="A51">
            <v>50</v>
          </cell>
          <cell r="B51">
            <v>42400</v>
          </cell>
        </row>
        <row r="52">
          <cell r="A52">
            <v>51</v>
          </cell>
          <cell r="B52">
            <v>42401</v>
          </cell>
        </row>
        <row r="53">
          <cell r="A53">
            <v>52</v>
          </cell>
          <cell r="B53">
            <v>42403</v>
          </cell>
        </row>
        <row r="54">
          <cell r="A54">
            <v>53</v>
          </cell>
          <cell r="B54">
            <v>42403</v>
          </cell>
        </row>
        <row r="55">
          <cell r="A55">
            <v>54</v>
          </cell>
          <cell r="B55">
            <v>42404</v>
          </cell>
        </row>
        <row r="56">
          <cell r="A56">
            <v>55</v>
          </cell>
          <cell r="B56">
            <v>42404</v>
          </cell>
        </row>
        <row r="57">
          <cell r="A57">
            <v>56</v>
          </cell>
          <cell r="B57">
            <v>42404</v>
          </cell>
        </row>
        <row r="58">
          <cell r="A58">
            <v>57</v>
          </cell>
          <cell r="B58">
            <v>42404</v>
          </cell>
        </row>
        <row r="59">
          <cell r="A59">
            <v>58</v>
          </cell>
          <cell r="B59">
            <v>42405</v>
          </cell>
        </row>
        <row r="60">
          <cell r="A60">
            <v>59</v>
          </cell>
          <cell r="B60">
            <v>42405</v>
          </cell>
        </row>
        <row r="61">
          <cell r="A61">
            <v>60</v>
          </cell>
          <cell r="B61">
            <v>42406</v>
          </cell>
        </row>
        <row r="62">
          <cell r="A62">
            <v>61</v>
          </cell>
          <cell r="B62">
            <v>42406</v>
          </cell>
        </row>
        <row r="63">
          <cell r="A63">
            <v>62</v>
          </cell>
          <cell r="B63">
            <v>42407</v>
          </cell>
        </row>
        <row r="64">
          <cell r="A64">
            <v>63</v>
          </cell>
          <cell r="B64">
            <v>42407</v>
          </cell>
        </row>
        <row r="65">
          <cell r="A65">
            <v>64</v>
          </cell>
          <cell r="B65">
            <v>42407</v>
          </cell>
        </row>
        <row r="66">
          <cell r="A66">
            <v>65</v>
          </cell>
          <cell r="B66">
            <v>42408</v>
          </cell>
        </row>
        <row r="67">
          <cell r="A67">
            <v>66</v>
          </cell>
          <cell r="B67">
            <v>42409</v>
          </cell>
        </row>
        <row r="68">
          <cell r="A68">
            <v>67</v>
          </cell>
          <cell r="B68">
            <v>42409</v>
          </cell>
        </row>
        <row r="69">
          <cell r="A69">
            <v>68</v>
          </cell>
          <cell r="B69">
            <v>42410</v>
          </cell>
        </row>
        <row r="70">
          <cell r="A70">
            <v>69</v>
          </cell>
          <cell r="B70">
            <v>42410</v>
          </cell>
        </row>
        <row r="71">
          <cell r="A71">
            <v>70</v>
          </cell>
          <cell r="B71">
            <v>42411</v>
          </cell>
        </row>
        <row r="72">
          <cell r="A72">
            <v>71</v>
          </cell>
          <cell r="B72">
            <v>42411</v>
          </cell>
        </row>
        <row r="73">
          <cell r="A73">
            <v>72</v>
          </cell>
          <cell r="B73">
            <v>42412</v>
          </cell>
        </row>
        <row r="74">
          <cell r="A74">
            <v>73</v>
          </cell>
          <cell r="B74">
            <v>42412</v>
          </cell>
        </row>
        <row r="75">
          <cell r="A75">
            <v>74</v>
          </cell>
          <cell r="B75">
            <v>42413</v>
          </cell>
        </row>
        <row r="76">
          <cell r="A76">
            <v>75</v>
          </cell>
          <cell r="B76">
            <v>42414</v>
          </cell>
        </row>
        <row r="77">
          <cell r="A77">
            <v>76</v>
          </cell>
          <cell r="B77">
            <v>42416</v>
          </cell>
        </row>
        <row r="78">
          <cell r="A78">
            <v>77</v>
          </cell>
          <cell r="B78">
            <v>42416</v>
          </cell>
        </row>
        <row r="79">
          <cell r="A79">
            <v>78</v>
          </cell>
          <cell r="B79">
            <v>42416</v>
          </cell>
        </row>
        <row r="80">
          <cell r="A80">
            <v>79</v>
          </cell>
          <cell r="B80">
            <v>42417</v>
          </cell>
        </row>
        <row r="81">
          <cell r="A81">
            <v>80</v>
          </cell>
          <cell r="B81">
            <v>42417</v>
          </cell>
        </row>
        <row r="82">
          <cell r="A82">
            <v>81</v>
          </cell>
          <cell r="B82">
            <v>42417</v>
          </cell>
        </row>
        <row r="83">
          <cell r="A83">
            <v>82</v>
          </cell>
          <cell r="B83">
            <v>42418</v>
          </cell>
        </row>
        <row r="84">
          <cell r="A84">
            <v>83</v>
          </cell>
          <cell r="B84">
            <v>42419</v>
          </cell>
        </row>
        <row r="85">
          <cell r="A85">
            <v>84</v>
          </cell>
          <cell r="B85">
            <v>42420</v>
          </cell>
        </row>
        <row r="86">
          <cell r="A86">
            <v>85</v>
          </cell>
          <cell r="B86">
            <v>42420</v>
          </cell>
        </row>
        <row r="87">
          <cell r="A87">
            <v>86</v>
          </cell>
          <cell r="B87">
            <v>42421</v>
          </cell>
        </row>
        <row r="88">
          <cell r="A88">
            <v>87</v>
          </cell>
          <cell r="B88">
            <v>42421</v>
          </cell>
        </row>
        <row r="89">
          <cell r="A89">
            <v>88</v>
          </cell>
          <cell r="B89">
            <v>42421</v>
          </cell>
        </row>
        <row r="90">
          <cell r="A90">
            <v>89</v>
          </cell>
          <cell r="B90">
            <v>42421</v>
          </cell>
        </row>
        <row r="91">
          <cell r="A91">
            <v>90</v>
          </cell>
          <cell r="B91">
            <v>42423</v>
          </cell>
        </row>
        <row r="92">
          <cell r="A92">
            <v>91</v>
          </cell>
          <cell r="B92">
            <v>42425</v>
          </cell>
        </row>
        <row r="93">
          <cell r="A93">
            <v>92</v>
          </cell>
          <cell r="B93">
            <v>42425</v>
          </cell>
        </row>
        <row r="94">
          <cell r="A94">
            <v>93</v>
          </cell>
          <cell r="B94">
            <v>42426</v>
          </cell>
        </row>
        <row r="95">
          <cell r="A95">
            <v>94</v>
          </cell>
          <cell r="B95">
            <v>42427</v>
          </cell>
        </row>
        <row r="96">
          <cell r="A96">
            <v>95</v>
          </cell>
          <cell r="B96">
            <v>42427</v>
          </cell>
        </row>
        <row r="97">
          <cell r="A97">
            <v>96</v>
          </cell>
          <cell r="B97">
            <v>42427</v>
          </cell>
        </row>
        <row r="98">
          <cell r="A98">
            <v>97</v>
          </cell>
          <cell r="B98">
            <v>42428</v>
          </cell>
        </row>
        <row r="99">
          <cell r="A99">
            <v>98</v>
          </cell>
          <cell r="B99">
            <v>42428</v>
          </cell>
        </row>
        <row r="100">
          <cell r="A100">
            <v>99</v>
          </cell>
          <cell r="B100">
            <v>42429</v>
          </cell>
        </row>
        <row r="101">
          <cell r="A101">
            <v>100</v>
          </cell>
          <cell r="B101">
            <v>42430</v>
          </cell>
        </row>
        <row r="102">
          <cell r="A102">
            <v>101</v>
          </cell>
          <cell r="B102">
            <v>42430</v>
          </cell>
        </row>
        <row r="103">
          <cell r="A103">
            <v>102</v>
          </cell>
          <cell r="B103">
            <v>42431</v>
          </cell>
        </row>
        <row r="104">
          <cell r="A104">
            <v>103</v>
          </cell>
          <cell r="B104">
            <v>42432</v>
          </cell>
        </row>
        <row r="105">
          <cell r="A105">
            <v>104</v>
          </cell>
          <cell r="B105">
            <v>42432</v>
          </cell>
        </row>
        <row r="106">
          <cell r="A106">
            <v>105</v>
          </cell>
          <cell r="B106">
            <v>42432</v>
          </cell>
        </row>
        <row r="107">
          <cell r="A107">
            <v>106</v>
          </cell>
          <cell r="B107">
            <v>42433</v>
          </cell>
        </row>
        <row r="108">
          <cell r="A108">
            <v>107</v>
          </cell>
          <cell r="B108">
            <v>42435</v>
          </cell>
        </row>
        <row r="109">
          <cell r="A109">
            <v>108</v>
          </cell>
          <cell r="B109">
            <v>42435</v>
          </cell>
        </row>
        <row r="110">
          <cell r="A110">
            <v>109</v>
          </cell>
          <cell r="B110">
            <v>42435</v>
          </cell>
        </row>
        <row r="111">
          <cell r="A111">
            <v>110</v>
          </cell>
          <cell r="B111">
            <v>42435</v>
          </cell>
        </row>
        <row r="112">
          <cell r="A112">
            <v>111</v>
          </cell>
          <cell r="B112">
            <v>42436</v>
          </cell>
        </row>
        <row r="113">
          <cell r="A113">
            <v>112</v>
          </cell>
          <cell r="B113">
            <v>42437</v>
          </cell>
        </row>
        <row r="114">
          <cell r="A114">
            <v>113</v>
          </cell>
          <cell r="B114">
            <v>42437</v>
          </cell>
        </row>
        <row r="115">
          <cell r="A115">
            <v>114</v>
          </cell>
          <cell r="B115">
            <v>42437</v>
          </cell>
        </row>
        <row r="116">
          <cell r="A116">
            <v>115</v>
          </cell>
          <cell r="B116">
            <v>42438</v>
          </cell>
        </row>
        <row r="117">
          <cell r="A117">
            <v>116</v>
          </cell>
          <cell r="B117">
            <v>42439</v>
          </cell>
        </row>
        <row r="118">
          <cell r="A118">
            <v>117</v>
          </cell>
          <cell r="B118">
            <v>42439</v>
          </cell>
        </row>
        <row r="119">
          <cell r="A119">
            <v>118</v>
          </cell>
          <cell r="B119">
            <v>42441</v>
          </cell>
        </row>
        <row r="120">
          <cell r="A120">
            <v>119</v>
          </cell>
          <cell r="B120">
            <v>42441</v>
          </cell>
        </row>
        <row r="121">
          <cell r="A121">
            <v>120</v>
          </cell>
          <cell r="B121">
            <v>42443</v>
          </cell>
        </row>
        <row r="122">
          <cell r="A122">
            <v>121</v>
          </cell>
          <cell r="B122">
            <v>42443</v>
          </cell>
        </row>
        <row r="123">
          <cell r="A123">
            <v>122</v>
          </cell>
          <cell r="B123">
            <v>42443</v>
          </cell>
        </row>
        <row r="124">
          <cell r="A124">
            <v>123</v>
          </cell>
          <cell r="B124">
            <v>42444</v>
          </cell>
        </row>
        <row r="125">
          <cell r="A125">
            <v>124</v>
          </cell>
          <cell r="B125">
            <v>42445</v>
          </cell>
        </row>
        <row r="126">
          <cell r="A126">
            <v>125</v>
          </cell>
          <cell r="B126">
            <v>42445</v>
          </cell>
        </row>
        <row r="127">
          <cell r="A127">
            <v>126</v>
          </cell>
          <cell r="B127">
            <v>42445</v>
          </cell>
        </row>
        <row r="128">
          <cell r="A128">
            <v>127</v>
          </cell>
          <cell r="B128">
            <v>42446</v>
          </cell>
        </row>
        <row r="129">
          <cell r="A129">
            <v>128</v>
          </cell>
          <cell r="B129">
            <v>42447</v>
          </cell>
        </row>
        <row r="130">
          <cell r="A130">
            <v>129</v>
          </cell>
          <cell r="B130">
            <v>42448</v>
          </cell>
        </row>
        <row r="131">
          <cell r="A131">
            <v>130</v>
          </cell>
          <cell r="B131">
            <v>42448</v>
          </cell>
        </row>
        <row r="132">
          <cell r="A132">
            <v>131</v>
          </cell>
          <cell r="B132">
            <v>42448</v>
          </cell>
        </row>
        <row r="133">
          <cell r="A133">
            <v>132</v>
          </cell>
          <cell r="B133">
            <v>42449</v>
          </cell>
        </row>
        <row r="134">
          <cell r="A134">
            <v>133</v>
          </cell>
          <cell r="B134">
            <v>42449</v>
          </cell>
        </row>
        <row r="135">
          <cell r="A135">
            <v>134</v>
          </cell>
          <cell r="B135">
            <v>42449</v>
          </cell>
        </row>
        <row r="136">
          <cell r="A136">
            <v>135</v>
          </cell>
          <cell r="B136">
            <v>42450</v>
          </cell>
        </row>
        <row r="137">
          <cell r="A137">
            <v>136</v>
          </cell>
          <cell r="B137">
            <v>42450</v>
          </cell>
        </row>
        <row r="138">
          <cell r="A138">
            <v>137</v>
          </cell>
          <cell r="B138">
            <v>42452</v>
          </cell>
        </row>
        <row r="139">
          <cell r="A139">
            <v>138</v>
          </cell>
          <cell r="B139">
            <v>42452</v>
          </cell>
        </row>
        <row r="140">
          <cell r="A140">
            <v>139</v>
          </cell>
          <cell r="B140">
            <v>42452</v>
          </cell>
        </row>
        <row r="141">
          <cell r="A141">
            <v>140</v>
          </cell>
          <cell r="B141">
            <v>42452</v>
          </cell>
        </row>
        <row r="142">
          <cell r="A142">
            <v>141</v>
          </cell>
          <cell r="B142">
            <v>42454</v>
          </cell>
        </row>
        <row r="143">
          <cell r="A143">
            <v>142</v>
          </cell>
          <cell r="B143">
            <v>42455</v>
          </cell>
        </row>
        <row r="144">
          <cell r="A144">
            <v>143</v>
          </cell>
          <cell r="B144">
            <v>42455</v>
          </cell>
        </row>
        <row r="145">
          <cell r="A145">
            <v>144</v>
          </cell>
          <cell r="B145">
            <v>42455</v>
          </cell>
        </row>
        <row r="146">
          <cell r="A146">
            <v>145</v>
          </cell>
          <cell r="B146">
            <v>42456</v>
          </cell>
        </row>
        <row r="147">
          <cell r="A147">
            <v>146</v>
          </cell>
          <cell r="B147">
            <v>42457</v>
          </cell>
        </row>
        <row r="148">
          <cell r="A148">
            <v>147</v>
          </cell>
          <cell r="B148">
            <v>42457</v>
          </cell>
        </row>
        <row r="149">
          <cell r="A149">
            <v>148</v>
          </cell>
          <cell r="B149">
            <v>42457</v>
          </cell>
        </row>
        <row r="150">
          <cell r="A150">
            <v>149</v>
          </cell>
          <cell r="B150">
            <v>42457</v>
          </cell>
        </row>
        <row r="151">
          <cell r="A151">
            <v>150</v>
          </cell>
          <cell r="B151">
            <v>42458</v>
          </cell>
        </row>
        <row r="152">
          <cell r="A152">
            <v>151</v>
          </cell>
          <cell r="B152">
            <v>42458</v>
          </cell>
        </row>
        <row r="153">
          <cell r="A153">
            <v>152</v>
          </cell>
          <cell r="B153">
            <v>42458</v>
          </cell>
        </row>
        <row r="154">
          <cell r="A154">
            <v>153</v>
          </cell>
          <cell r="B154">
            <v>42459</v>
          </cell>
        </row>
        <row r="155">
          <cell r="A155">
            <v>154</v>
          </cell>
          <cell r="B155">
            <v>42460</v>
          </cell>
        </row>
        <row r="156">
          <cell r="A156">
            <v>155</v>
          </cell>
          <cell r="B156">
            <v>42462</v>
          </cell>
        </row>
        <row r="157">
          <cell r="A157">
            <v>156</v>
          </cell>
          <cell r="B157">
            <v>42463</v>
          </cell>
        </row>
        <row r="158">
          <cell r="A158">
            <v>157</v>
          </cell>
          <cell r="B158">
            <v>42463</v>
          </cell>
        </row>
        <row r="159">
          <cell r="A159">
            <v>158</v>
          </cell>
          <cell r="B159">
            <v>42464</v>
          </cell>
        </row>
        <row r="160">
          <cell r="A160">
            <v>159</v>
          </cell>
          <cell r="B160">
            <v>42464</v>
          </cell>
        </row>
        <row r="161">
          <cell r="A161">
            <v>160</v>
          </cell>
          <cell r="B161">
            <v>42464</v>
          </cell>
        </row>
        <row r="162">
          <cell r="A162">
            <v>161</v>
          </cell>
          <cell r="B162">
            <v>42464</v>
          </cell>
        </row>
        <row r="163">
          <cell r="A163">
            <v>162</v>
          </cell>
          <cell r="B163">
            <v>42466</v>
          </cell>
        </row>
        <row r="164">
          <cell r="A164">
            <v>163</v>
          </cell>
          <cell r="B164">
            <v>42466</v>
          </cell>
        </row>
        <row r="165">
          <cell r="A165">
            <v>164</v>
          </cell>
          <cell r="B165">
            <v>42467</v>
          </cell>
        </row>
        <row r="166">
          <cell r="A166">
            <v>165</v>
          </cell>
          <cell r="B166">
            <v>42468</v>
          </cell>
        </row>
        <row r="167">
          <cell r="A167">
            <v>166</v>
          </cell>
          <cell r="B167">
            <v>42468</v>
          </cell>
        </row>
        <row r="168">
          <cell r="A168">
            <v>167</v>
          </cell>
          <cell r="B168">
            <v>42468</v>
          </cell>
        </row>
        <row r="169">
          <cell r="A169">
            <v>168</v>
          </cell>
          <cell r="B169">
            <v>42469</v>
          </cell>
        </row>
        <row r="170">
          <cell r="A170">
            <v>169</v>
          </cell>
          <cell r="B170">
            <v>42470</v>
          </cell>
        </row>
        <row r="171">
          <cell r="A171">
            <v>170</v>
          </cell>
          <cell r="B171">
            <v>42470</v>
          </cell>
        </row>
        <row r="172">
          <cell r="A172">
            <v>171</v>
          </cell>
          <cell r="B172">
            <v>42471</v>
          </cell>
        </row>
        <row r="173">
          <cell r="A173">
            <v>172</v>
          </cell>
          <cell r="B173">
            <v>42471</v>
          </cell>
        </row>
        <row r="174">
          <cell r="A174">
            <v>173</v>
          </cell>
          <cell r="B174">
            <v>42471</v>
          </cell>
        </row>
        <row r="175">
          <cell r="A175">
            <v>174</v>
          </cell>
          <cell r="B175">
            <v>42472</v>
          </cell>
        </row>
        <row r="176">
          <cell r="A176">
            <v>175</v>
          </cell>
          <cell r="B176">
            <v>42473</v>
          </cell>
        </row>
        <row r="177">
          <cell r="A177">
            <v>176</v>
          </cell>
          <cell r="B177">
            <v>42475</v>
          </cell>
        </row>
        <row r="178">
          <cell r="A178">
            <v>177</v>
          </cell>
          <cell r="B178">
            <v>42476</v>
          </cell>
        </row>
        <row r="179">
          <cell r="A179">
            <v>178</v>
          </cell>
          <cell r="B179">
            <v>42476</v>
          </cell>
        </row>
        <row r="180">
          <cell r="A180">
            <v>179</v>
          </cell>
          <cell r="B180">
            <v>42477</v>
          </cell>
        </row>
        <row r="181">
          <cell r="A181">
            <v>180</v>
          </cell>
          <cell r="B181">
            <v>42477</v>
          </cell>
        </row>
        <row r="182">
          <cell r="A182">
            <v>181</v>
          </cell>
          <cell r="B182">
            <v>42478</v>
          </cell>
        </row>
        <row r="183">
          <cell r="A183">
            <v>182</v>
          </cell>
          <cell r="B183">
            <v>42478</v>
          </cell>
        </row>
        <row r="184">
          <cell r="A184">
            <v>183</v>
          </cell>
          <cell r="B184">
            <v>42479</v>
          </cell>
        </row>
        <row r="185">
          <cell r="A185">
            <v>184</v>
          </cell>
          <cell r="B185">
            <v>42479</v>
          </cell>
        </row>
        <row r="186">
          <cell r="A186">
            <v>185</v>
          </cell>
          <cell r="B186">
            <v>42480</v>
          </cell>
        </row>
        <row r="187">
          <cell r="A187">
            <v>186</v>
          </cell>
          <cell r="B187">
            <v>42481</v>
          </cell>
        </row>
        <row r="188">
          <cell r="A188">
            <v>187</v>
          </cell>
          <cell r="B188">
            <v>42482</v>
          </cell>
        </row>
        <row r="189">
          <cell r="A189">
            <v>188</v>
          </cell>
          <cell r="B189">
            <v>42482</v>
          </cell>
        </row>
        <row r="190">
          <cell r="A190">
            <v>189</v>
          </cell>
          <cell r="B190">
            <v>42483</v>
          </cell>
        </row>
        <row r="191">
          <cell r="A191">
            <v>190</v>
          </cell>
          <cell r="B191">
            <v>42483</v>
          </cell>
        </row>
        <row r="192">
          <cell r="A192">
            <v>191</v>
          </cell>
          <cell r="B192">
            <v>42487</v>
          </cell>
        </row>
        <row r="193">
          <cell r="A193">
            <v>192</v>
          </cell>
          <cell r="B193">
            <v>42487</v>
          </cell>
        </row>
        <row r="194">
          <cell r="A194">
            <v>193</v>
          </cell>
          <cell r="B194">
            <v>42488</v>
          </cell>
        </row>
        <row r="195">
          <cell r="A195">
            <v>194</v>
          </cell>
          <cell r="B195">
            <v>42488</v>
          </cell>
        </row>
        <row r="196">
          <cell r="A196">
            <v>195</v>
          </cell>
          <cell r="B196">
            <v>42488</v>
          </cell>
        </row>
        <row r="197">
          <cell r="A197">
            <v>196</v>
          </cell>
          <cell r="B197">
            <v>42488</v>
          </cell>
        </row>
        <row r="198">
          <cell r="A198">
            <v>197</v>
          </cell>
          <cell r="B198">
            <v>42490</v>
          </cell>
        </row>
        <row r="199">
          <cell r="A199">
            <v>198</v>
          </cell>
          <cell r="B199">
            <v>42491</v>
          </cell>
        </row>
        <row r="200">
          <cell r="A200">
            <v>199</v>
          </cell>
          <cell r="B200">
            <v>42491</v>
          </cell>
        </row>
        <row r="201">
          <cell r="A201">
            <v>200</v>
          </cell>
          <cell r="B201">
            <v>42491</v>
          </cell>
        </row>
        <row r="202">
          <cell r="A202">
            <v>201</v>
          </cell>
          <cell r="B202">
            <v>42491</v>
          </cell>
        </row>
        <row r="203">
          <cell r="A203">
            <v>202</v>
          </cell>
          <cell r="B203">
            <v>42493</v>
          </cell>
        </row>
        <row r="204">
          <cell r="A204">
            <v>203</v>
          </cell>
          <cell r="B204">
            <v>42493</v>
          </cell>
        </row>
        <row r="205">
          <cell r="A205">
            <v>204</v>
          </cell>
          <cell r="B205">
            <v>42494</v>
          </cell>
        </row>
        <row r="206">
          <cell r="A206">
            <v>205</v>
          </cell>
          <cell r="B206">
            <v>42494</v>
          </cell>
        </row>
        <row r="207">
          <cell r="A207">
            <v>206</v>
          </cell>
          <cell r="B207">
            <v>42494</v>
          </cell>
        </row>
        <row r="208">
          <cell r="A208">
            <v>207</v>
          </cell>
          <cell r="B208">
            <v>42495</v>
          </cell>
        </row>
        <row r="209">
          <cell r="A209">
            <v>208</v>
          </cell>
          <cell r="B209">
            <v>42496</v>
          </cell>
        </row>
        <row r="210">
          <cell r="A210">
            <v>209</v>
          </cell>
          <cell r="B210">
            <v>42497</v>
          </cell>
        </row>
        <row r="211">
          <cell r="A211">
            <v>210</v>
          </cell>
          <cell r="B211">
            <v>42497</v>
          </cell>
        </row>
        <row r="212">
          <cell r="A212">
            <v>211</v>
          </cell>
          <cell r="B212">
            <v>42497</v>
          </cell>
        </row>
        <row r="213">
          <cell r="A213">
            <v>212</v>
          </cell>
          <cell r="B213">
            <v>42498</v>
          </cell>
        </row>
        <row r="214">
          <cell r="A214">
            <v>213</v>
          </cell>
          <cell r="B214">
            <v>42498</v>
          </cell>
        </row>
        <row r="215">
          <cell r="A215">
            <v>214</v>
          </cell>
          <cell r="B215">
            <v>42500</v>
          </cell>
        </row>
        <row r="216">
          <cell r="A216">
            <v>215</v>
          </cell>
          <cell r="B216">
            <v>42500</v>
          </cell>
        </row>
        <row r="217">
          <cell r="A217">
            <v>216</v>
          </cell>
          <cell r="B217">
            <v>42501</v>
          </cell>
        </row>
        <row r="218">
          <cell r="A218">
            <v>217</v>
          </cell>
          <cell r="B218">
            <v>42501</v>
          </cell>
        </row>
        <row r="219">
          <cell r="A219">
            <v>218</v>
          </cell>
          <cell r="B219">
            <v>42502</v>
          </cell>
        </row>
        <row r="220">
          <cell r="A220">
            <v>219</v>
          </cell>
          <cell r="B220">
            <v>42502</v>
          </cell>
        </row>
        <row r="221">
          <cell r="A221">
            <v>220</v>
          </cell>
          <cell r="B221">
            <v>42502</v>
          </cell>
        </row>
        <row r="222">
          <cell r="A222">
            <v>221</v>
          </cell>
          <cell r="B222">
            <v>42503</v>
          </cell>
        </row>
        <row r="223">
          <cell r="A223">
            <v>222</v>
          </cell>
          <cell r="B223">
            <v>42503</v>
          </cell>
        </row>
        <row r="224">
          <cell r="A224">
            <v>223</v>
          </cell>
          <cell r="B224">
            <v>42505</v>
          </cell>
        </row>
        <row r="225">
          <cell r="A225">
            <v>224</v>
          </cell>
          <cell r="B225">
            <v>42507</v>
          </cell>
        </row>
        <row r="226">
          <cell r="A226">
            <v>225</v>
          </cell>
          <cell r="B226">
            <v>42507</v>
          </cell>
        </row>
        <row r="227">
          <cell r="A227">
            <v>226</v>
          </cell>
          <cell r="B227">
            <v>42507</v>
          </cell>
        </row>
        <row r="228">
          <cell r="A228">
            <v>227</v>
          </cell>
          <cell r="B228">
            <v>42507</v>
          </cell>
        </row>
        <row r="229">
          <cell r="A229">
            <v>228</v>
          </cell>
          <cell r="B229">
            <v>42507</v>
          </cell>
        </row>
        <row r="230">
          <cell r="A230">
            <v>229</v>
          </cell>
          <cell r="B230">
            <v>42509</v>
          </cell>
        </row>
        <row r="231">
          <cell r="A231">
            <v>230</v>
          </cell>
          <cell r="B231">
            <v>42509</v>
          </cell>
        </row>
        <row r="232">
          <cell r="A232">
            <v>231</v>
          </cell>
          <cell r="B232">
            <v>42509</v>
          </cell>
        </row>
        <row r="233">
          <cell r="A233">
            <v>232</v>
          </cell>
          <cell r="B233">
            <v>42510</v>
          </cell>
        </row>
        <row r="234">
          <cell r="A234">
            <v>233</v>
          </cell>
          <cell r="B234">
            <v>42511</v>
          </cell>
        </row>
        <row r="235">
          <cell r="A235">
            <v>234</v>
          </cell>
          <cell r="B235">
            <v>42512</v>
          </cell>
        </row>
        <row r="236">
          <cell r="A236">
            <v>235</v>
          </cell>
          <cell r="B236">
            <v>42514</v>
          </cell>
        </row>
        <row r="237">
          <cell r="A237">
            <v>236</v>
          </cell>
          <cell r="B237">
            <v>42515</v>
          </cell>
        </row>
        <row r="238">
          <cell r="A238">
            <v>237</v>
          </cell>
          <cell r="B238">
            <v>42515</v>
          </cell>
        </row>
        <row r="239">
          <cell r="A239">
            <v>238</v>
          </cell>
          <cell r="B239">
            <v>42516</v>
          </cell>
        </row>
        <row r="240">
          <cell r="A240">
            <v>239</v>
          </cell>
          <cell r="B240">
            <v>42517</v>
          </cell>
        </row>
        <row r="241">
          <cell r="A241">
            <v>240</v>
          </cell>
          <cell r="B241">
            <v>42517</v>
          </cell>
        </row>
        <row r="242">
          <cell r="A242">
            <v>241</v>
          </cell>
          <cell r="B242">
            <v>42517</v>
          </cell>
        </row>
        <row r="243">
          <cell r="A243">
            <v>242</v>
          </cell>
          <cell r="B243">
            <v>42517</v>
          </cell>
        </row>
        <row r="244">
          <cell r="A244">
            <v>243</v>
          </cell>
          <cell r="B244">
            <v>42517</v>
          </cell>
        </row>
        <row r="245">
          <cell r="A245">
            <v>244</v>
          </cell>
          <cell r="B245">
            <v>42518</v>
          </cell>
        </row>
        <row r="246">
          <cell r="A246">
            <v>245</v>
          </cell>
          <cell r="B246">
            <v>42519</v>
          </cell>
        </row>
        <row r="247">
          <cell r="A247">
            <v>246</v>
          </cell>
          <cell r="B247">
            <v>42520</v>
          </cell>
        </row>
        <row r="248">
          <cell r="A248">
            <v>247</v>
          </cell>
          <cell r="B248">
            <v>42520</v>
          </cell>
        </row>
        <row r="249">
          <cell r="A249">
            <v>248</v>
          </cell>
          <cell r="B249">
            <v>42520</v>
          </cell>
        </row>
        <row r="250">
          <cell r="A250">
            <v>249</v>
          </cell>
          <cell r="B250">
            <v>42522</v>
          </cell>
        </row>
        <row r="251">
          <cell r="A251">
            <v>250</v>
          </cell>
          <cell r="B251">
            <v>42522</v>
          </cell>
        </row>
        <row r="252">
          <cell r="A252">
            <v>251</v>
          </cell>
          <cell r="B252">
            <v>42522</v>
          </cell>
        </row>
        <row r="253">
          <cell r="A253">
            <v>252</v>
          </cell>
          <cell r="B253">
            <v>42522</v>
          </cell>
        </row>
        <row r="254">
          <cell r="A254">
            <v>253</v>
          </cell>
          <cell r="B254">
            <v>42523</v>
          </cell>
        </row>
        <row r="255">
          <cell r="A255">
            <v>254</v>
          </cell>
          <cell r="B255">
            <v>42524</v>
          </cell>
        </row>
        <row r="256">
          <cell r="A256">
            <v>255</v>
          </cell>
          <cell r="B256">
            <v>42524</v>
          </cell>
        </row>
        <row r="257">
          <cell r="A257">
            <v>256</v>
          </cell>
          <cell r="B257">
            <v>42525</v>
          </cell>
        </row>
        <row r="258">
          <cell r="A258">
            <v>257</v>
          </cell>
          <cell r="B258">
            <v>42526</v>
          </cell>
        </row>
        <row r="259">
          <cell r="A259">
            <v>258</v>
          </cell>
          <cell r="B259">
            <v>42527</v>
          </cell>
        </row>
        <row r="260">
          <cell r="A260">
            <v>259</v>
          </cell>
          <cell r="B260">
            <v>42527</v>
          </cell>
        </row>
        <row r="261">
          <cell r="A261">
            <v>260</v>
          </cell>
          <cell r="B261">
            <v>42527</v>
          </cell>
        </row>
        <row r="262">
          <cell r="A262">
            <v>261</v>
          </cell>
          <cell r="B262">
            <v>42529</v>
          </cell>
        </row>
        <row r="263">
          <cell r="A263">
            <v>262</v>
          </cell>
          <cell r="B263">
            <v>42529</v>
          </cell>
        </row>
        <row r="264">
          <cell r="A264">
            <v>263</v>
          </cell>
          <cell r="B264">
            <v>42530</v>
          </cell>
        </row>
        <row r="265">
          <cell r="A265">
            <v>264</v>
          </cell>
          <cell r="B265">
            <v>42531</v>
          </cell>
        </row>
        <row r="266">
          <cell r="A266">
            <v>265</v>
          </cell>
          <cell r="B266">
            <v>42531</v>
          </cell>
        </row>
        <row r="267">
          <cell r="A267">
            <v>266</v>
          </cell>
          <cell r="B267">
            <v>42531</v>
          </cell>
        </row>
        <row r="268">
          <cell r="A268">
            <v>267</v>
          </cell>
          <cell r="B268">
            <v>42532</v>
          </cell>
        </row>
        <row r="269">
          <cell r="A269">
            <v>268</v>
          </cell>
          <cell r="B269">
            <v>42532</v>
          </cell>
        </row>
        <row r="270">
          <cell r="A270">
            <v>269</v>
          </cell>
          <cell r="B270">
            <v>42533</v>
          </cell>
        </row>
        <row r="271">
          <cell r="A271">
            <v>270</v>
          </cell>
          <cell r="B271">
            <v>42533</v>
          </cell>
        </row>
        <row r="272">
          <cell r="A272">
            <v>271</v>
          </cell>
          <cell r="B272">
            <v>42534</v>
          </cell>
        </row>
        <row r="273">
          <cell r="A273">
            <v>272</v>
          </cell>
          <cell r="B273">
            <v>42536</v>
          </cell>
        </row>
        <row r="274">
          <cell r="A274">
            <v>273</v>
          </cell>
          <cell r="B274">
            <v>42537</v>
          </cell>
        </row>
        <row r="275">
          <cell r="A275">
            <v>274</v>
          </cell>
          <cell r="B275">
            <v>42538</v>
          </cell>
        </row>
        <row r="276">
          <cell r="A276">
            <v>275</v>
          </cell>
          <cell r="B276">
            <v>42538</v>
          </cell>
        </row>
        <row r="277">
          <cell r="A277">
            <v>276</v>
          </cell>
          <cell r="B277">
            <v>42539</v>
          </cell>
        </row>
        <row r="278">
          <cell r="A278">
            <v>277</v>
          </cell>
          <cell r="B278">
            <v>42540</v>
          </cell>
        </row>
        <row r="279">
          <cell r="A279">
            <v>278</v>
          </cell>
          <cell r="B279">
            <v>42541</v>
          </cell>
        </row>
        <row r="280">
          <cell r="A280">
            <v>279</v>
          </cell>
          <cell r="B280">
            <v>42542</v>
          </cell>
        </row>
        <row r="281">
          <cell r="A281">
            <v>280</v>
          </cell>
          <cell r="B281">
            <v>42542</v>
          </cell>
        </row>
        <row r="282">
          <cell r="A282">
            <v>281</v>
          </cell>
          <cell r="B282">
            <v>42542</v>
          </cell>
        </row>
        <row r="283">
          <cell r="A283">
            <v>282</v>
          </cell>
          <cell r="B283">
            <v>42543</v>
          </cell>
        </row>
        <row r="284">
          <cell r="A284">
            <v>283</v>
          </cell>
          <cell r="B284">
            <v>42544</v>
          </cell>
        </row>
        <row r="285">
          <cell r="A285">
            <v>284</v>
          </cell>
          <cell r="B285">
            <v>42544</v>
          </cell>
        </row>
        <row r="286">
          <cell r="A286">
            <v>285</v>
          </cell>
          <cell r="B286">
            <v>42546</v>
          </cell>
        </row>
        <row r="287">
          <cell r="A287">
            <v>286</v>
          </cell>
          <cell r="B287">
            <v>42546</v>
          </cell>
        </row>
        <row r="288">
          <cell r="A288">
            <v>287</v>
          </cell>
          <cell r="B288">
            <v>42546</v>
          </cell>
        </row>
        <row r="289">
          <cell r="A289">
            <v>288</v>
          </cell>
          <cell r="B289">
            <v>42546</v>
          </cell>
        </row>
        <row r="290">
          <cell r="A290">
            <v>289</v>
          </cell>
          <cell r="B290">
            <v>42548</v>
          </cell>
        </row>
        <row r="291">
          <cell r="A291">
            <v>290</v>
          </cell>
          <cell r="B291">
            <v>42549</v>
          </cell>
        </row>
        <row r="292">
          <cell r="A292">
            <v>291</v>
          </cell>
          <cell r="B292">
            <v>42550</v>
          </cell>
        </row>
        <row r="293">
          <cell r="A293">
            <v>292</v>
          </cell>
          <cell r="B293">
            <v>42550</v>
          </cell>
        </row>
        <row r="294">
          <cell r="A294">
            <v>293</v>
          </cell>
          <cell r="B294">
            <v>42551</v>
          </cell>
        </row>
        <row r="295">
          <cell r="A295">
            <v>294</v>
          </cell>
          <cell r="B295">
            <v>42552</v>
          </cell>
        </row>
        <row r="296">
          <cell r="A296">
            <v>295</v>
          </cell>
          <cell r="B296">
            <v>42552</v>
          </cell>
        </row>
        <row r="297">
          <cell r="A297">
            <v>296</v>
          </cell>
          <cell r="B297">
            <v>42555</v>
          </cell>
        </row>
        <row r="298">
          <cell r="A298">
            <v>297</v>
          </cell>
          <cell r="B298">
            <v>42555</v>
          </cell>
        </row>
        <row r="299">
          <cell r="A299">
            <v>298</v>
          </cell>
          <cell r="B299">
            <v>42555</v>
          </cell>
        </row>
        <row r="300">
          <cell r="A300">
            <v>299</v>
          </cell>
          <cell r="B300">
            <v>42556</v>
          </cell>
        </row>
        <row r="301">
          <cell r="A301">
            <v>300</v>
          </cell>
          <cell r="B301">
            <v>42556</v>
          </cell>
        </row>
        <row r="302">
          <cell r="A302">
            <v>301</v>
          </cell>
          <cell r="B302">
            <v>42557</v>
          </cell>
        </row>
        <row r="303">
          <cell r="A303">
            <v>302</v>
          </cell>
          <cell r="B303">
            <v>42557</v>
          </cell>
        </row>
        <row r="304">
          <cell r="A304">
            <v>303</v>
          </cell>
          <cell r="B304">
            <v>42558</v>
          </cell>
        </row>
        <row r="305">
          <cell r="A305">
            <v>304</v>
          </cell>
          <cell r="B305">
            <v>42558</v>
          </cell>
        </row>
        <row r="306">
          <cell r="A306">
            <v>305</v>
          </cell>
          <cell r="B306">
            <v>42558</v>
          </cell>
        </row>
        <row r="307">
          <cell r="A307">
            <v>306</v>
          </cell>
          <cell r="B307">
            <v>42560</v>
          </cell>
        </row>
        <row r="308">
          <cell r="A308">
            <v>307</v>
          </cell>
          <cell r="B308">
            <v>42560</v>
          </cell>
        </row>
        <row r="309">
          <cell r="A309">
            <v>308</v>
          </cell>
          <cell r="B309">
            <v>42562</v>
          </cell>
        </row>
        <row r="310">
          <cell r="A310">
            <v>309</v>
          </cell>
          <cell r="B310">
            <v>42562</v>
          </cell>
        </row>
        <row r="311">
          <cell r="A311">
            <v>310</v>
          </cell>
          <cell r="B311">
            <v>42563</v>
          </cell>
        </row>
        <row r="312">
          <cell r="A312">
            <v>311</v>
          </cell>
          <cell r="B312">
            <v>42563</v>
          </cell>
        </row>
        <row r="313">
          <cell r="A313">
            <v>312</v>
          </cell>
          <cell r="B313">
            <v>42564</v>
          </cell>
        </row>
        <row r="314">
          <cell r="A314">
            <v>313</v>
          </cell>
          <cell r="B314">
            <v>42565</v>
          </cell>
        </row>
        <row r="315">
          <cell r="A315">
            <v>314</v>
          </cell>
          <cell r="B315">
            <v>42566</v>
          </cell>
        </row>
        <row r="316">
          <cell r="A316">
            <v>315</v>
          </cell>
          <cell r="B316">
            <v>42567</v>
          </cell>
        </row>
        <row r="317">
          <cell r="A317">
            <v>316</v>
          </cell>
          <cell r="B317">
            <v>42568</v>
          </cell>
        </row>
        <row r="318">
          <cell r="A318">
            <v>317</v>
          </cell>
          <cell r="B318">
            <v>42568</v>
          </cell>
        </row>
        <row r="319">
          <cell r="A319">
            <v>318</v>
          </cell>
          <cell r="B319">
            <v>42568</v>
          </cell>
        </row>
        <row r="320">
          <cell r="A320">
            <v>319</v>
          </cell>
          <cell r="B320">
            <v>42569</v>
          </cell>
        </row>
        <row r="321">
          <cell r="A321">
            <v>320</v>
          </cell>
          <cell r="B321">
            <v>42570</v>
          </cell>
        </row>
        <row r="322">
          <cell r="A322">
            <v>321</v>
          </cell>
          <cell r="B322">
            <v>42570</v>
          </cell>
        </row>
        <row r="323">
          <cell r="A323">
            <v>322</v>
          </cell>
          <cell r="B323">
            <v>42570</v>
          </cell>
        </row>
        <row r="324">
          <cell r="A324">
            <v>323</v>
          </cell>
          <cell r="B324">
            <v>42570</v>
          </cell>
        </row>
        <row r="325">
          <cell r="A325">
            <v>324</v>
          </cell>
          <cell r="B325">
            <v>42571</v>
          </cell>
        </row>
        <row r="326">
          <cell r="A326">
            <v>325</v>
          </cell>
          <cell r="B326">
            <v>42571</v>
          </cell>
        </row>
        <row r="327">
          <cell r="A327">
            <v>326</v>
          </cell>
          <cell r="B327">
            <v>42571</v>
          </cell>
        </row>
        <row r="328">
          <cell r="A328">
            <v>327</v>
          </cell>
          <cell r="B328">
            <v>42572</v>
          </cell>
        </row>
        <row r="329">
          <cell r="A329">
            <v>328</v>
          </cell>
          <cell r="B329">
            <v>42574</v>
          </cell>
        </row>
        <row r="330">
          <cell r="A330">
            <v>329</v>
          </cell>
          <cell r="B330">
            <v>42575</v>
          </cell>
        </row>
        <row r="331">
          <cell r="A331">
            <v>330</v>
          </cell>
          <cell r="B331">
            <v>42575</v>
          </cell>
        </row>
        <row r="332">
          <cell r="A332">
            <v>331</v>
          </cell>
          <cell r="B332">
            <v>42575</v>
          </cell>
        </row>
        <row r="333">
          <cell r="A333">
            <v>332</v>
          </cell>
          <cell r="B333">
            <v>42575</v>
          </cell>
        </row>
        <row r="334">
          <cell r="A334">
            <v>333</v>
          </cell>
          <cell r="B334">
            <v>42576</v>
          </cell>
        </row>
        <row r="335">
          <cell r="A335">
            <v>334</v>
          </cell>
          <cell r="B335">
            <v>42576</v>
          </cell>
        </row>
        <row r="336">
          <cell r="A336">
            <v>335</v>
          </cell>
          <cell r="B336">
            <v>42576</v>
          </cell>
        </row>
        <row r="337">
          <cell r="A337">
            <v>336</v>
          </cell>
          <cell r="B337">
            <v>42577</v>
          </cell>
        </row>
        <row r="338">
          <cell r="A338">
            <v>337</v>
          </cell>
          <cell r="B338">
            <v>42577</v>
          </cell>
        </row>
        <row r="339">
          <cell r="A339">
            <v>338</v>
          </cell>
          <cell r="B339">
            <v>42579</v>
          </cell>
        </row>
        <row r="340">
          <cell r="A340">
            <v>339</v>
          </cell>
          <cell r="B340">
            <v>42579</v>
          </cell>
        </row>
        <row r="341">
          <cell r="A341">
            <v>340</v>
          </cell>
          <cell r="B341">
            <v>42580</v>
          </cell>
        </row>
        <row r="342">
          <cell r="A342">
            <v>341</v>
          </cell>
          <cell r="B342">
            <v>42582</v>
          </cell>
        </row>
        <row r="343">
          <cell r="A343">
            <v>342</v>
          </cell>
          <cell r="B343">
            <v>42582</v>
          </cell>
        </row>
        <row r="344">
          <cell r="A344">
            <v>343</v>
          </cell>
          <cell r="B344">
            <v>42582</v>
          </cell>
        </row>
        <row r="345">
          <cell r="A345">
            <v>344</v>
          </cell>
          <cell r="B345">
            <v>42583</v>
          </cell>
        </row>
        <row r="346">
          <cell r="A346">
            <v>345</v>
          </cell>
          <cell r="B346">
            <v>42583</v>
          </cell>
        </row>
        <row r="347">
          <cell r="A347">
            <v>346</v>
          </cell>
          <cell r="B347">
            <v>42583</v>
          </cell>
        </row>
        <row r="348">
          <cell r="A348">
            <v>347</v>
          </cell>
          <cell r="B348">
            <v>42584</v>
          </cell>
        </row>
        <row r="349">
          <cell r="A349">
            <v>348</v>
          </cell>
          <cell r="B349">
            <v>42584</v>
          </cell>
        </row>
        <row r="350">
          <cell r="A350">
            <v>349</v>
          </cell>
          <cell r="B350">
            <v>42585</v>
          </cell>
        </row>
        <row r="351">
          <cell r="A351">
            <v>350</v>
          </cell>
          <cell r="B351">
            <v>42585</v>
          </cell>
        </row>
        <row r="352">
          <cell r="A352">
            <v>351</v>
          </cell>
          <cell r="B352">
            <v>42585</v>
          </cell>
        </row>
        <row r="353">
          <cell r="A353">
            <v>352</v>
          </cell>
          <cell r="B353">
            <v>42585</v>
          </cell>
        </row>
        <row r="354">
          <cell r="A354">
            <v>353</v>
          </cell>
          <cell r="B354">
            <v>42585</v>
          </cell>
        </row>
        <row r="355">
          <cell r="A355">
            <v>354</v>
          </cell>
          <cell r="B355">
            <v>42585</v>
          </cell>
        </row>
        <row r="356">
          <cell r="A356">
            <v>355</v>
          </cell>
          <cell r="B356">
            <v>42585</v>
          </cell>
        </row>
        <row r="357">
          <cell r="A357">
            <v>356</v>
          </cell>
          <cell r="B357">
            <v>42586</v>
          </cell>
        </row>
        <row r="358">
          <cell r="A358">
            <v>357</v>
          </cell>
          <cell r="B358">
            <v>42587</v>
          </cell>
        </row>
        <row r="359">
          <cell r="A359">
            <v>358</v>
          </cell>
          <cell r="B359">
            <v>42587</v>
          </cell>
        </row>
        <row r="360">
          <cell r="A360">
            <v>359</v>
          </cell>
          <cell r="B360">
            <v>42589</v>
          </cell>
        </row>
        <row r="361">
          <cell r="A361">
            <v>360</v>
          </cell>
          <cell r="B361">
            <v>42589</v>
          </cell>
        </row>
        <row r="362">
          <cell r="A362">
            <v>361</v>
          </cell>
          <cell r="B362">
            <v>42590</v>
          </cell>
        </row>
        <row r="363">
          <cell r="A363">
            <v>362</v>
          </cell>
          <cell r="B363">
            <v>42591</v>
          </cell>
        </row>
        <row r="364">
          <cell r="A364">
            <v>363</v>
          </cell>
          <cell r="B364">
            <v>42593</v>
          </cell>
        </row>
        <row r="365">
          <cell r="A365">
            <v>364</v>
          </cell>
          <cell r="B365">
            <v>42594</v>
          </cell>
        </row>
        <row r="366">
          <cell r="A366">
            <v>365</v>
          </cell>
          <cell r="B366">
            <v>42595</v>
          </cell>
        </row>
        <row r="367">
          <cell r="A367">
            <v>366</v>
          </cell>
          <cell r="B367">
            <v>42595</v>
          </cell>
        </row>
        <row r="368">
          <cell r="A368">
            <v>367</v>
          </cell>
          <cell r="B368">
            <v>42596</v>
          </cell>
        </row>
        <row r="369">
          <cell r="A369">
            <v>368</v>
          </cell>
          <cell r="B369">
            <v>42596</v>
          </cell>
        </row>
        <row r="370">
          <cell r="A370">
            <v>369</v>
          </cell>
          <cell r="B370">
            <v>42597</v>
          </cell>
        </row>
        <row r="371">
          <cell r="A371">
            <v>370</v>
          </cell>
          <cell r="B371">
            <v>42597</v>
          </cell>
        </row>
        <row r="372">
          <cell r="A372">
            <v>371</v>
          </cell>
          <cell r="B372">
            <v>42597</v>
          </cell>
        </row>
        <row r="373">
          <cell r="A373">
            <v>372</v>
          </cell>
          <cell r="B373">
            <v>42598</v>
          </cell>
        </row>
        <row r="374">
          <cell r="A374">
            <v>373</v>
          </cell>
          <cell r="B374">
            <v>42598</v>
          </cell>
        </row>
        <row r="375">
          <cell r="A375">
            <v>374</v>
          </cell>
          <cell r="B375">
            <v>42599</v>
          </cell>
        </row>
        <row r="376">
          <cell r="A376">
            <v>375</v>
          </cell>
          <cell r="B376">
            <v>42599</v>
          </cell>
        </row>
        <row r="377">
          <cell r="A377">
            <v>376</v>
          </cell>
          <cell r="B377">
            <v>42599</v>
          </cell>
        </row>
        <row r="378">
          <cell r="A378">
            <v>377</v>
          </cell>
          <cell r="B378">
            <v>42599</v>
          </cell>
        </row>
        <row r="379">
          <cell r="A379">
            <v>378</v>
          </cell>
          <cell r="B379">
            <v>42599</v>
          </cell>
        </row>
        <row r="380">
          <cell r="A380">
            <v>379</v>
          </cell>
          <cell r="B380">
            <v>42600</v>
          </cell>
        </row>
        <row r="381">
          <cell r="A381">
            <v>380</v>
          </cell>
          <cell r="B381">
            <v>42601</v>
          </cell>
        </row>
        <row r="382">
          <cell r="A382">
            <v>381</v>
          </cell>
          <cell r="B382">
            <v>42601</v>
          </cell>
        </row>
        <row r="383">
          <cell r="A383">
            <v>382</v>
          </cell>
          <cell r="B383">
            <v>42602</v>
          </cell>
        </row>
        <row r="384">
          <cell r="A384">
            <v>383</v>
          </cell>
          <cell r="B384">
            <v>42602</v>
          </cell>
        </row>
        <row r="385">
          <cell r="A385">
            <v>384</v>
          </cell>
          <cell r="B385">
            <v>42602</v>
          </cell>
        </row>
        <row r="386">
          <cell r="A386">
            <v>385</v>
          </cell>
          <cell r="B386">
            <v>42602</v>
          </cell>
        </row>
        <row r="387">
          <cell r="A387">
            <v>386</v>
          </cell>
          <cell r="B387">
            <v>42602</v>
          </cell>
        </row>
        <row r="388">
          <cell r="A388">
            <v>387</v>
          </cell>
          <cell r="B388">
            <v>42602</v>
          </cell>
        </row>
        <row r="389">
          <cell r="A389">
            <v>388</v>
          </cell>
          <cell r="B389">
            <v>42603</v>
          </cell>
        </row>
        <row r="390">
          <cell r="A390">
            <v>389</v>
          </cell>
          <cell r="B390">
            <v>42604</v>
          </cell>
        </row>
        <row r="391">
          <cell r="A391">
            <v>390</v>
          </cell>
          <cell r="B391">
            <v>42604</v>
          </cell>
        </row>
        <row r="392">
          <cell r="A392">
            <v>391</v>
          </cell>
          <cell r="B392">
            <v>42605</v>
          </cell>
        </row>
        <row r="393">
          <cell r="A393">
            <v>392</v>
          </cell>
          <cell r="B393">
            <v>42605</v>
          </cell>
        </row>
        <row r="394">
          <cell r="A394">
            <v>393</v>
          </cell>
          <cell r="B394">
            <v>42607</v>
          </cell>
        </row>
        <row r="395">
          <cell r="A395">
            <v>394</v>
          </cell>
          <cell r="B395">
            <v>42608</v>
          </cell>
        </row>
        <row r="396">
          <cell r="A396">
            <v>395</v>
          </cell>
          <cell r="B396">
            <v>42608</v>
          </cell>
        </row>
        <row r="397">
          <cell r="A397">
            <v>396</v>
          </cell>
          <cell r="B397">
            <v>42609</v>
          </cell>
        </row>
        <row r="398">
          <cell r="A398">
            <v>397</v>
          </cell>
          <cell r="B398">
            <v>42610</v>
          </cell>
        </row>
        <row r="399">
          <cell r="A399">
            <v>398</v>
          </cell>
          <cell r="B399">
            <v>42611</v>
          </cell>
        </row>
        <row r="400">
          <cell r="A400">
            <v>399</v>
          </cell>
          <cell r="B400">
            <v>42611</v>
          </cell>
        </row>
        <row r="401">
          <cell r="A401">
            <v>400</v>
          </cell>
          <cell r="B401">
            <v>42611</v>
          </cell>
        </row>
        <row r="402">
          <cell r="A402">
            <v>401</v>
          </cell>
          <cell r="B402">
            <v>42612</v>
          </cell>
        </row>
        <row r="403">
          <cell r="A403">
            <v>402</v>
          </cell>
          <cell r="B403">
            <v>42612</v>
          </cell>
        </row>
        <row r="404">
          <cell r="A404">
            <v>403</v>
          </cell>
          <cell r="B404">
            <v>42613</v>
          </cell>
        </row>
        <row r="405">
          <cell r="A405">
            <v>404</v>
          </cell>
          <cell r="B405">
            <v>42613</v>
          </cell>
        </row>
        <row r="406">
          <cell r="A406">
            <v>405</v>
          </cell>
          <cell r="B406">
            <v>42613</v>
          </cell>
        </row>
        <row r="407">
          <cell r="A407">
            <v>406</v>
          </cell>
          <cell r="B407">
            <v>42613</v>
          </cell>
        </row>
        <row r="408">
          <cell r="A408">
            <v>407</v>
          </cell>
          <cell r="B408">
            <v>42614</v>
          </cell>
        </row>
        <row r="409">
          <cell r="A409">
            <v>408</v>
          </cell>
          <cell r="B409">
            <v>42614</v>
          </cell>
        </row>
        <row r="410">
          <cell r="A410">
            <v>409</v>
          </cell>
          <cell r="B410">
            <v>42614</v>
          </cell>
        </row>
        <row r="411">
          <cell r="A411">
            <v>410</v>
          </cell>
          <cell r="B411">
            <v>42614</v>
          </cell>
        </row>
        <row r="412">
          <cell r="A412">
            <v>411</v>
          </cell>
          <cell r="B412">
            <v>42615</v>
          </cell>
        </row>
        <row r="413">
          <cell r="A413">
            <v>412</v>
          </cell>
          <cell r="B413">
            <v>42615</v>
          </cell>
        </row>
        <row r="414">
          <cell r="A414">
            <v>413</v>
          </cell>
          <cell r="B414">
            <v>42615</v>
          </cell>
        </row>
        <row r="415">
          <cell r="A415">
            <v>414</v>
          </cell>
          <cell r="B415">
            <v>42616</v>
          </cell>
        </row>
        <row r="416">
          <cell r="A416">
            <v>415</v>
          </cell>
          <cell r="B416">
            <v>42616</v>
          </cell>
        </row>
        <row r="417">
          <cell r="A417">
            <v>416</v>
          </cell>
          <cell r="B417">
            <v>42616</v>
          </cell>
        </row>
        <row r="418">
          <cell r="A418">
            <v>417</v>
          </cell>
          <cell r="B418">
            <v>42617</v>
          </cell>
        </row>
        <row r="419">
          <cell r="A419">
            <v>418</v>
          </cell>
          <cell r="B419">
            <v>42617</v>
          </cell>
        </row>
        <row r="420">
          <cell r="A420">
            <v>419</v>
          </cell>
          <cell r="B420">
            <v>42617</v>
          </cell>
        </row>
        <row r="421">
          <cell r="A421">
            <v>420</v>
          </cell>
          <cell r="B421">
            <v>42618</v>
          </cell>
        </row>
        <row r="422">
          <cell r="A422">
            <v>421</v>
          </cell>
          <cell r="B422">
            <v>42618</v>
          </cell>
        </row>
        <row r="423">
          <cell r="A423">
            <v>422</v>
          </cell>
          <cell r="B423">
            <v>42619</v>
          </cell>
        </row>
        <row r="424">
          <cell r="A424">
            <v>423</v>
          </cell>
          <cell r="B424">
            <v>42619</v>
          </cell>
        </row>
        <row r="425">
          <cell r="A425">
            <v>424</v>
          </cell>
          <cell r="B425">
            <v>42621</v>
          </cell>
        </row>
        <row r="426">
          <cell r="A426">
            <v>425</v>
          </cell>
          <cell r="B426">
            <v>42621</v>
          </cell>
        </row>
        <row r="427">
          <cell r="A427">
            <v>426</v>
          </cell>
          <cell r="B427">
            <v>42621</v>
          </cell>
        </row>
        <row r="428">
          <cell r="A428">
            <v>427</v>
          </cell>
          <cell r="B428">
            <v>42622</v>
          </cell>
        </row>
        <row r="429">
          <cell r="A429">
            <v>428</v>
          </cell>
          <cell r="B429">
            <v>42622</v>
          </cell>
        </row>
        <row r="430">
          <cell r="A430">
            <v>429</v>
          </cell>
          <cell r="B430">
            <v>42623</v>
          </cell>
        </row>
        <row r="431">
          <cell r="A431">
            <v>430</v>
          </cell>
          <cell r="B431">
            <v>42624</v>
          </cell>
        </row>
        <row r="432">
          <cell r="A432">
            <v>431</v>
          </cell>
          <cell r="B432">
            <v>42624</v>
          </cell>
        </row>
        <row r="433">
          <cell r="A433">
            <v>432</v>
          </cell>
          <cell r="B433">
            <v>42625</v>
          </cell>
        </row>
        <row r="434">
          <cell r="A434">
            <v>433</v>
          </cell>
          <cell r="B434">
            <v>42625</v>
          </cell>
        </row>
        <row r="435">
          <cell r="A435">
            <v>434</v>
          </cell>
          <cell r="B435">
            <v>42626</v>
          </cell>
        </row>
        <row r="436">
          <cell r="A436">
            <v>435</v>
          </cell>
          <cell r="B436">
            <v>42627</v>
          </cell>
        </row>
        <row r="437">
          <cell r="A437">
            <v>436</v>
          </cell>
          <cell r="B437">
            <v>42629</v>
          </cell>
        </row>
        <row r="438">
          <cell r="A438">
            <v>437</v>
          </cell>
          <cell r="B438">
            <v>42629</v>
          </cell>
        </row>
        <row r="439">
          <cell r="A439">
            <v>438</v>
          </cell>
          <cell r="B439">
            <v>42629</v>
          </cell>
        </row>
        <row r="440">
          <cell r="A440">
            <v>439</v>
          </cell>
          <cell r="B440">
            <v>42630</v>
          </cell>
        </row>
        <row r="441">
          <cell r="A441">
            <v>440</v>
          </cell>
          <cell r="B441">
            <v>42630</v>
          </cell>
        </row>
        <row r="442">
          <cell r="A442">
            <v>441</v>
          </cell>
          <cell r="B442">
            <v>42631</v>
          </cell>
        </row>
        <row r="443">
          <cell r="A443">
            <v>442</v>
          </cell>
          <cell r="B443">
            <v>42631</v>
          </cell>
        </row>
        <row r="444">
          <cell r="A444">
            <v>443</v>
          </cell>
          <cell r="B444">
            <v>42631</v>
          </cell>
        </row>
        <row r="445">
          <cell r="A445">
            <v>444</v>
          </cell>
          <cell r="B445">
            <v>42632</v>
          </cell>
        </row>
        <row r="446">
          <cell r="A446">
            <v>445</v>
          </cell>
          <cell r="B446">
            <v>42632</v>
          </cell>
        </row>
        <row r="447">
          <cell r="A447">
            <v>446</v>
          </cell>
          <cell r="B447">
            <v>42632</v>
          </cell>
        </row>
        <row r="448">
          <cell r="A448">
            <v>447</v>
          </cell>
          <cell r="B448">
            <v>42633</v>
          </cell>
        </row>
        <row r="449">
          <cell r="A449">
            <v>448</v>
          </cell>
          <cell r="B449">
            <v>42634</v>
          </cell>
        </row>
        <row r="450">
          <cell r="A450">
            <v>449</v>
          </cell>
          <cell r="B450">
            <v>42634</v>
          </cell>
        </row>
        <row r="451">
          <cell r="A451">
            <v>450</v>
          </cell>
          <cell r="B451">
            <v>42634</v>
          </cell>
        </row>
        <row r="452">
          <cell r="A452">
            <v>451</v>
          </cell>
          <cell r="B452">
            <v>42634</v>
          </cell>
        </row>
        <row r="453">
          <cell r="A453">
            <v>452</v>
          </cell>
          <cell r="B453">
            <v>42635</v>
          </cell>
        </row>
        <row r="454">
          <cell r="A454">
            <v>453</v>
          </cell>
          <cell r="B454">
            <v>42635</v>
          </cell>
        </row>
        <row r="455">
          <cell r="A455">
            <v>454</v>
          </cell>
          <cell r="B455">
            <v>42636</v>
          </cell>
        </row>
        <row r="456">
          <cell r="A456">
            <v>455</v>
          </cell>
          <cell r="B456">
            <v>42636</v>
          </cell>
        </row>
        <row r="457">
          <cell r="A457">
            <v>456</v>
          </cell>
          <cell r="B457">
            <v>42636</v>
          </cell>
        </row>
        <row r="458">
          <cell r="A458">
            <v>457</v>
          </cell>
          <cell r="B458">
            <v>42637</v>
          </cell>
        </row>
        <row r="459">
          <cell r="A459">
            <v>458</v>
          </cell>
          <cell r="B459">
            <v>42638</v>
          </cell>
        </row>
        <row r="460">
          <cell r="A460">
            <v>459</v>
          </cell>
          <cell r="B460">
            <v>42638</v>
          </cell>
        </row>
        <row r="461">
          <cell r="A461">
            <v>460</v>
          </cell>
          <cell r="B461">
            <v>42638</v>
          </cell>
        </row>
        <row r="462">
          <cell r="A462">
            <v>461</v>
          </cell>
          <cell r="B462">
            <v>42639</v>
          </cell>
        </row>
        <row r="463">
          <cell r="A463">
            <v>462</v>
          </cell>
          <cell r="B463">
            <v>42640</v>
          </cell>
        </row>
        <row r="464">
          <cell r="A464">
            <v>463</v>
          </cell>
          <cell r="B464">
            <v>42640</v>
          </cell>
        </row>
        <row r="465">
          <cell r="A465">
            <v>464</v>
          </cell>
          <cell r="B465">
            <v>42641</v>
          </cell>
        </row>
        <row r="466">
          <cell r="A466">
            <v>465</v>
          </cell>
          <cell r="B466">
            <v>42641</v>
          </cell>
        </row>
        <row r="467">
          <cell r="A467">
            <v>466</v>
          </cell>
          <cell r="B467">
            <v>42641</v>
          </cell>
        </row>
        <row r="468">
          <cell r="A468">
            <v>467</v>
          </cell>
          <cell r="B468">
            <v>42641</v>
          </cell>
        </row>
        <row r="469">
          <cell r="A469">
            <v>468</v>
          </cell>
          <cell r="B469">
            <v>42642</v>
          </cell>
        </row>
        <row r="470">
          <cell r="A470">
            <v>469</v>
          </cell>
          <cell r="B470">
            <v>42642</v>
          </cell>
        </row>
        <row r="471">
          <cell r="A471">
            <v>470</v>
          </cell>
          <cell r="B471">
            <v>42643</v>
          </cell>
        </row>
        <row r="472">
          <cell r="A472">
            <v>471</v>
          </cell>
          <cell r="B472">
            <v>42643</v>
          </cell>
        </row>
        <row r="473">
          <cell r="A473">
            <v>472</v>
          </cell>
          <cell r="B473">
            <v>42643</v>
          </cell>
        </row>
        <row r="474">
          <cell r="A474">
            <v>473</v>
          </cell>
          <cell r="B474">
            <v>42643</v>
          </cell>
        </row>
        <row r="475">
          <cell r="A475">
            <v>474</v>
          </cell>
          <cell r="B475">
            <v>42644</v>
          </cell>
        </row>
        <row r="476">
          <cell r="A476">
            <v>475</v>
          </cell>
          <cell r="B476">
            <v>42644</v>
          </cell>
        </row>
        <row r="477">
          <cell r="A477">
            <v>476</v>
          </cell>
          <cell r="B477">
            <v>42644</v>
          </cell>
        </row>
        <row r="478">
          <cell r="A478">
            <v>477</v>
          </cell>
          <cell r="B478">
            <v>42645</v>
          </cell>
        </row>
        <row r="479">
          <cell r="A479">
            <v>478</v>
          </cell>
          <cell r="B479">
            <v>42645</v>
          </cell>
        </row>
        <row r="480">
          <cell r="A480">
            <v>479</v>
          </cell>
          <cell r="B480">
            <v>42646</v>
          </cell>
        </row>
        <row r="481">
          <cell r="A481">
            <v>480</v>
          </cell>
          <cell r="B481">
            <v>42647</v>
          </cell>
        </row>
        <row r="482">
          <cell r="A482">
            <v>481</v>
          </cell>
          <cell r="B482">
            <v>42647</v>
          </cell>
        </row>
        <row r="483">
          <cell r="A483">
            <v>482</v>
          </cell>
          <cell r="B483">
            <v>42648</v>
          </cell>
        </row>
        <row r="484">
          <cell r="A484">
            <v>483</v>
          </cell>
          <cell r="B484">
            <v>42649</v>
          </cell>
        </row>
        <row r="485">
          <cell r="A485">
            <v>484</v>
          </cell>
          <cell r="B485">
            <v>42649</v>
          </cell>
        </row>
        <row r="486">
          <cell r="A486">
            <v>485</v>
          </cell>
          <cell r="B486">
            <v>42649</v>
          </cell>
        </row>
        <row r="487">
          <cell r="A487">
            <v>486</v>
          </cell>
          <cell r="B487">
            <v>42649</v>
          </cell>
        </row>
        <row r="488">
          <cell r="A488">
            <v>487</v>
          </cell>
          <cell r="B488">
            <v>42649</v>
          </cell>
        </row>
        <row r="489">
          <cell r="A489">
            <v>488</v>
          </cell>
          <cell r="B489">
            <v>42649</v>
          </cell>
        </row>
        <row r="490">
          <cell r="A490">
            <v>489</v>
          </cell>
          <cell r="B490">
            <v>42649</v>
          </cell>
        </row>
        <row r="491">
          <cell r="A491">
            <v>490</v>
          </cell>
          <cell r="B491">
            <v>42650</v>
          </cell>
        </row>
        <row r="492">
          <cell r="A492">
            <v>491</v>
          </cell>
          <cell r="B492">
            <v>42651</v>
          </cell>
        </row>
        <row r="493">
          <cell r="A493">
            <v>492</v>
          </cell>
          <cell r="B493">
            <v>42652</v>
          </cell>
        </row>
        <row r="494">
          <cell r="A494">
            <v>493</v>
          </cell>
          <cell r="B494">
            <v>42652</v>
          </cell>
        </row>
        <row r="495">
          <cell r="A495">
            <v>494</v>
          </cell>
          <cell r="B495">
            <v>42652</v>
          </cell>
        </row>
        <row r="496">
          <cell r="A496">
            <v>495</v>
          </cell>
          <cell r="B496">
            <v>42653</v>
          </cell>
        </row>
        <row r="497">
          <cell r="A497">
            <v>496</v>
          </cell>
          <cell r="B497">
            <v>42653</v>
          </cell>
        </row>
        <row r="498">
          <cell r="A498">
            <v>497</v>
          </cell>
          <cell r="B498">
            <v>42653</v>
          </cell>
        </row>
        <row r="499">
          <cell r="A499">
            <v>498</v>
          </cell>
          <cell r="B499">
            <v>42653</v>
          </cell>
        </row>
        <row r="500">
          <cell r="A500">
            <v>499</v>
          </cell>
          <cell r="B500">
            <v>42654</v>
          </cell>
        </row>
        <row r="501">
          <cell r="A501">
            <v>500</v>
          </cell>
          <cell r="B501">
            <v>42654</v>
          </cell>
        </row>
        <row r="502">
          <cell r="A502">
            <v>501</v>
          </cell>
          <cell r="B502">
            <v>42654</v>
          </cell>
        </row>
        <row r="503">
          <cell r="A503">
            <v>502</v>
          </cell>
          <cell r="B503">
            <v>42655</v>
          </cell>
        </row>
        <row r="504">
          <cell r="A504">
            <v>503</v>
          </cell>
          <cell r="B504">
            <v>42656</v>
          </cell>
        </row>
        <row r="505">
          <cell r="A505">
            <v>504</v>
          </cell>
          <cell r="B505">
            <v>42657</v>
          </cell>
        </row>
        <row r="506">
          <cell r="A506">
            <v>505</v>
          </cell>
          <cell r="B506">
            <v>42657</v>
          </cell>
        </row>
        <row r="507">
          <cell r="A507">
            <v>506</v>
          </cell>
          <cell r="B507">
            <v>42657</v>
          </cell>
        </row>
        <row r="508">
          <cell r="A508">
            <v>507</v>
          </cell>
          <cell r="B508">
            <v>42658</v>
          </cell>
        </row>
        <row r="509">
          <cell r="A509">
            <v>508</v>
          </cell>
          <cell r="B509">
            <v>42658</v>
          </cell>
        </row>
        <row r="510">
          <cell r="A510">
            <v>509</v>
          </cell>
          <cell r="B510">
            <v>42659</v>
          </cell>
        </row>
        <row r="511">
          <cell r="A511">
            <v>510</v>
          </cell>
          <cell r="B511">
            <v>42660</v>
          </cell>
        </row>
        <row r="512">
          <cell r="A512">
            <v>511</v>
          </cell>
          <cell r="B512">
            <v>42661</v>
          </cell>
        </row>
        <row r="513">
          <cell r="A513">
            <v>512</v>
          </cell>
          <cell r="B513">
            <v>42662</v>
          </cell>
        </row>
        <row r="514">
          <cell r="A514">
            <v>513</v>
          </cell>
          <cell r="B514">
            <v>42662</v>
          </cell>
        </row>
        <row r="515">
          <cell r="A515">
            <v>514</v>
          </cell>
          <cell r="B515">
            <v>42662</v>
          </cell>
        </row>
        <row r="516">
          <cell r="A516">
            <v>515</v>
          </cell>
          <cell r="B516">
            <v>42662</v>
          </cell>
        </row>
        <row r="517">
          <cell r="A517">
            <v>516</v>
          </cell>
          <cell r="B517">
            <v>42664</v>
          </cell>
        </row>
        <row r="518">
          <cell r="A518">
            <v>517</v>
          </cell>
          <cell r="B518">
            <v>42664</v>
          </cell>
        </row>
        <row r="519">
          <cell r="A519">
            <v>518</v>
          </cell>
          <cell r="B519">
            <v>42665</v>
          </cell>
        </row>
        <row r="520">
          <cell r="A520">
            <v>519</v>
          </cell>
          <cell r="B520">
            <v>42665</v>
          </cell>
        </row>
        <row r="521">
          <cell r="A521">
            <v>520</v>
          </cell>
          <cell r="B521">
            <v>42666</v>
          </cell>
        </row>
        <row r="522">
          <cell r="A522">
            <v>521</v>
          </cell>
          <cell r="B522">
            <v>42666</v>
          </cell>
        </row>
        <row r="523">
          <cell r="A523">
            <v>522</v>
          </cell>
          <cell r="B523">
            <v>42666</v>
          </cell>
        </row>
        <row r="524">
          <cell r="A524">
            <v>523</v>
          </cell>
          <cell r="B524">
            <v>42667</v>
          </cell>
        </row>
        <row r="525">
          <cell r="A525">
            <v>524</v>
          </cell>
          <cell r="B525">
            <v>42668</v>
          </cell>
        </row>
        <row r="526">
          <cell r="A526">
            <v>525</v>
          </cell>
          <cell r="B526">
            <v>42669</v>
          </cell>
        </row>
        <row r="527">
          <cell r="A527">
            <v>526</v>
          </cell>
          <cell r="B527">
            <v>42669</v>
          </cell>
        </row>
        <row r="528">
          <cell r="A528">
            <v>527</v>
          </cell>
          <cell r="B528">
            <v>42670</v>
          </cell>
        </row>
        <row r="529">
          <cell r="A529">
            <v>528</v>
          </cell>
          <cell r="B529">
            <v>42671</v>
          </cell>
        </row>
        <row r="530">
          <cell r="A530">
            <v>529</v>
          </cell>
          <cell r="B530">
            <v>42671</v>
          </cell>
        </row>
        <row r="531">
          <cell r="A531">
            <v>530</v>
          </cell>
          <cell r="B531">
            <v>42671</v>
          </cell>
        </row>
        <row r="532">
          <cell r="A532">
            <v>531</v>
          </cell>
          <cell r="B532">
            <v>42671</v>
          </cell>
        </row>
        <row r="533">
          <cell r="A533">
            <v>532</v>
          </cell>
          <cell r="B533">
            <v>42672</v>
          </cell>
        </row>
        <row r="534">
          <cell r="A534">
            <v>533</v>
          </cell>
          <cell r="B534">
            <v>42672</v>
          </cell>
        </row>
        <row r="535">
          <cell r="A535">
            <v>534</v>
          </cell>
          <cell r="B535">
            <v>42672</v>
          </cell>
        </row>
        <row r="536">
          <cell r="A536">
            <v>535</v>
          </cell>
          <cell r="B536">
            <v>42672</v>
          </cell>
        </row>
        <row r="537">
          <cell r="A537">
            <v>536</v>
          </cell>
          <cell r="B537">
            <v>42674</v>
          </cell>
        </row>
        <row r="538">
          <cell r="A538">
            <v>537</v>
          </cell>
          <cell r="B538">
            <v>42674</v>
          </cell>
        </row>
        <row r="539">
          <cell r="A539">
            <v>538</v>
          </cell>
          <cell r="B539">
            <v>42676</v>
          </cell>
        </row>
        <row r="540">
          <cell r="A540">
            <v>539</v>
          </cell>
          <cell r="B540">
            <v>42676</v>
          </cell>
        </row>
        <row r="541">
          <cell r="A541">
            <v>540</v>
          </cell>
          <cell r="B541">
            <v>42677</v>
          </cell>
        </row>
        <row r="542">
          <cell r="A542">
            <v>541</v>
          </cell>
          <cell r="B542">
            <v>42678</v>
          </cell>
        </row>
        <row r="543">
          <cell r="A543">
            <v>542</v>
          </cell>
          <cell r="B543">
            <v>42678</v>
          </cell>
        </row>
        <row r="544">
          <cell r="A544">
            <v>543</v>
          </cell>
          <cell r="B544">
            <v>42680</v>
          </cell>
        </row>
        <row r="545">
          <cell r="A545">
            <v>544</v>
          </cell>
          <cell r="B545">
            <v>42680</v>
          </cell>
        </row>
        <row r="546">
          <cell r="A546">
            <v>545</v>
          </cell>
          <cell r="B546">
            <v>42682</v>
          </cell>
        </row>
        <row r="547">
          <cell r="A547">
            <v>546</v>
          </cell>
          <cell r="B547">
            <v>42683</v>
          </cell>
        </row>
        <row r="548">
          <cell r="A548">
            <v>547</v>
          </cell>
          <cell r="B548">
            <v>42683</v>
          </cell>
        </row>
        <row r="549">
          <cell r="A549">
            <v>548</v>
          </cell>
          <cell r="B549">
            <v>42685</v>
          </cell>
        </row>
        <row r="550">
          <cell r="A550">
            <v>549</v>
          </cell>
          <cell r="B550">
            <v>42686</v>
          </cell>
        </row>
        <row r="551">
          <cell r="A551">
            <v>550</v>
          </cell>
          <cell r="B551">
            <v>42686</v>
          </cell>
        </row>
        <row r="552">
          <cell r="A552">
            <v>551</v>
          </cell>
          <cell r="B552">
            <v>42686</v>
          </cell>
        </row>
        <row r="553">
          <cell r="A553">
            <v>552</v>
          </cell>
          <cell r="B553">
            <v>42686</v>
          </cell>
        </row>
        <row r="554">
          <cell r="A554">
            <v>553</v>
          </cell>
          <cell r="B554">
            <v>42686</v>
          </cell>
        </row>
        <row r="555">
          <cell r="A555">
            <v>554</v>
          </cell>
          <cell r="B555">
            <v>42687</v>
          </cell>
        </row>
        <row r="556">
          <cell r="A556">
            <v>555</v>
          </cell>
          <cell r="B556">
            <v>42687</v>
          </cell>
        </row>
        <row r="557">
          <cell r="A557">
            <v>556</v>
          </cell>
          <cell r="B557">
            <v>42687</v>
          </cell>
        </row>
        <row r="558">
          <cell r="A558">
            <v>557</v>
          </cell>
          <cell r="B558">
            <v>42688</v>
          </cell>
        </row>
        <row r="559">
          <cell r="A559">
            <v>558</v>
          </cell>
          <cell r="B559">
            <v>42689</v>
          </cell>
        </row>
        <row r="560">
          <cell r="A560">
            <v>559</v>
          </cell>
          <cell r="B560">
            <v>42690</v>
          </cell>
        </row>
        <row r="561">
          <cell r="A561">
            <v>560</v>
          </cell>
          <cell r="B561">
            <v>42692</v>
          </cell>
        </row>
        <row r="562">
          <cell r="A562">
            <v>561</v>
          </cell>
          <cell r="B562">
            <v>42693</v>
          </cell>
        </row>
        <row r="563">
          <cell r="A563">
            <v>562</v>
          </cell>
          <cell r="B563">
            <v>42693</v>
          </cell>
        </row>
        <row r="564">
          <cell r="A564">
            <v>563</v>
          </cell>
          <cell r="B564">
            <v>42694</v>
          </cell>
        </row>
        <row r="565">
          <cell r="A565">
            <v>564</v>
          </cell>
          <cell r="B565">
            <v>42694</v>
          </cell>
        </row>
        <row r="566">
          <cell r="A566">
            <v>565</v>
          </cell>
          <cell r="B566">
            <v>42695</v>
          </cell>
        </row>
        <row r="567">
          <cell r="A567">
            <v>566</v>
          </cell>
          <cell r="B567">
            <v>42696</v>
          </cell>
        </row>
        <row r="568">
          <cell r="A568">
            <v>567</v>
          </cell>
          <cell r="B568">
            <v>42696</v>
          </cell>
        </row>
        <row r="569">
          <cell r="A569">
            <v>568</v>
          </cell>
          <cell r="B569">
            <v>42697</v>
          </cell>
        </row>
        <row r="570">
          <cell r="A570">
            <v>569</v>
          </cell>
          <cell r="B570">
            <v>42697</v>
          </cell>
        </row>
        <row r="571">
          <cell r="A571">
            <v>570</v>
          </cell>
          <cell r="B571">
            <v>42697</v>
          </cell>
        </row>
        <row r="572">
          <cell r="A572">
            <v>571</v>
          </cell>
          <cell r="B572">
            <v>42698</v>
          </cell>
        </row>
        <row r="573">
          <cell r="A573">
            <v>572</v>
          </cell>
          <cell r="B573">
            <v>42698</v>
          </cell>
        </row>
        <row r="574">
          <cell r="A574">
            <v>573</v>
          </cell>
          <cell r="B574">
            <v>42698</v>
          </cell>
        </row>
        <row r="575">
          <cell r="A575">
            <v>574</v>
          </cell>
          <cell r="B575">
            <v>42700</v>
          </cell>
        </row>
        <row r="576">
          <cell r="A576">
            <v>575</v>
          </cell>
          <cell r="B576">
            <v>42701</v>
          </cell>
        </row>
        <row r="577">
          <cell r="A577">
            <v>576</v>
          </cell>
          <cell r="B577">
            <v>42701</v>
          </cell>
        </row>
        <row r="578">
          <cell r="A578">
            <v>577</v>
          </cell>
          <cell r="B578">
            <v>42701</v>
          </cell>
        </row>
        <row r="579">
          <cell r="A579">
            <v>578</v>
          </cell>
          <cell r="B579">
            <v>42701</v>
          </cell>
        </row>
        <row r="580">
          <cell r="A580">
            <v>579</v>
          </cell>
          <cell r="B580">
            <v>42701</v>
          </cell>
        </row>
        <row r="581">
          <cell r="A581">
            <v>580</v>
          </cell>
          <cell r="B581">
            <v>42704</v>
          </cell>
        </row>
        <row r="582">
          <cell r="A582">
            <v>581</v>
          </cell>
          <cell r="B582">
            <v>42707</v>
          </cell>
        </row>
        <row r="583">
          <cell r="A583">
            <v>582</v>
          </cell>
          <cell r="B583">
            <v>42708</v>
          </cell>
        </row>
        <row r="584">
          <cell r="A584">
            <v>583</v>
          </cell>
          <cell r="B584">
            <v>42708</v>
          </cell>
        </row>
        <row r="585">
          <cell r="A585">
            <v>584</v>
          </cell>
          <cell r="B585">
            <v>42708</v>
          </cell>
        </row>
        <row r="586">
          <cell r="A586">
            <v>585</v>
          </cell>
          <cell r="B586">
            <v>42708</v>
          </cell>
        </row>
        <row r="587">
          <cell r="A587">
            <v>586</v>
          </cell>
          <cell r="B587">
            <v>42708</v>
          </cell>
        </row>
        <row r="588">
          <cell r="A588">
            <v>587</v>
          </cell>
          <cell r="B588">
            <v>42710</v>
          </cell>
        </row>
        <row r="589">
          <cell r="A589">
            <v>588</v>
          </cell>
          <cell r="B589">
            <v>42710</v>
          </cell>
        </row>
        <row r="590">
          <cell r="A590">
            <v>589</v>
          </cell>
          <cell r="B590">
            <v>42710</v>
          </cell>
        </row>
        <row r="591">
          <cell r="A591">
            <v>590</v>
          </cell>
          <cell r="B591">
            <v>42710</v>
          </cell>
        </row>
        <row r="592">
          <cell r="A592">
            <v>591</v>
          </cell>
          <cell r="B592">
            <v>42710</v>
          </cell>
        </row>
        <row r="593">
          <cell r="A593">
            <v>592</v>
          </cell>
          <cell r="B593">
            <v>42710</v>
          </cell>
        </row>
        <row r="594">
          <cell r="A594">
            <v>593</v>
          </cell>
          <cell r="B594">
            <v>42711</v>
          </cell>
        </row>
        <row r="595">
          <cell r="A595">
            <v>594</v>
          </cell>
          <cell r="B595">
            <v>42711</v>
          </cell>
        </row>
        <row r="596">
          <cell r="A596">
            <v>595</v>
          </cell>
          <cell r="B596">
            <v>42712</v>
          </cell>
        </row>
        <row r="597">
          <cell r="A597">
            <v>596</v>
          </cell>
          <cell r="B597">
            <v>42712</v>
          </cell>
        </row>
        <row r="598">
          <cell r="A598">
            <v>597</v>
          </cell>
          <cell r="B598">
            <v>42712</v>
          </cell>
        </row>
        <row r="599">
          <cell r="A599">
            <v>598</v>
          </cell>
          <cell r="B599">
            <v>42713</v>
          </cell>
        </row>
        <row r="600">
          <cell r="A600">
            <v>599</v>
          </cell>
          <cell r="B600">
            <v>42713</v>
          </cell>
        </row>
        <row r="601">
          <cell r="A601">
            <v>600</v>
          </cell>
          <cell r="B601">
            <v>42713</v>
          </cell>
        </row>
        <row r="602">
          <cell r="A602">
            <v>601</v>
          </cell>
          <cell r="B602">
            <v>42713</v>
          </cell>
        </row>
        <row r="603">
          <cell r="A603">
            <v>602</v>
          </cell>
          <cell r="B603">
            <v>42713</v>
          </cell>
        </row>
        <row r="604">
          <cell r="A604">
            <v>603</v>
          </cell>
          <cell r="B604">
            <v>42713</v>
          </cell>
        </row>
        <row r="605">
          <cell r="A605">
            <v>604</v>
          </cell>
          <cell r="B605">
            <v>42714</v>
          </cell>
        </row>
        <row r="606">
          <cell r="A606">
            <v>605</v>
          </cell>
          <cell r="B606">
            <v>42714</v>
          </cell>
        </row>
        <row r="607">
          <cell r="A607">
            <v>606</v>
          </cell>
          <cell r="B607">
            <v>42715</v>
          </cell>
        </row>
        <row r="608">
          <cell r="A608">
            <v>607</v>
          </cell>
          <cell r="B608">
            <v>42715</v>
          </cell>
        </row>
        <row r="609">
          <cell r="A609">
            <v>608</v>
          </cell>
          <cell r="B609">
            <v>42716</v>
          </cell>
        </row>
        <row r="610">
          <cell r="A610">
            <v>609</v>
          </cell>
          <cell r="B610">
            <v>42716</v>
          </cell>
        </row>
        <row r="611">
          <cell r="A611">
            <v>610</v>
          </cell>
          <cell r="B611">
            <v>42717</v>
          </cell>
        </row>
        <row r="612">
          <cell r="A612">
            <v>611</v>
          </cell>
          <cell r="B612">
            <v>42719</v>
          </cell>
        </row>
        <row r="613">
          <cell r="A613">
            <v>612</v>
          </cell>
          <cell r="B613">
            <v>42720</v>
          </cell>
        </row>
        <row r="614">
          <cell r="A614">
            <v>613</v>
          </cell>
          <cell r="B614">
            <v>42721</v>
          </cell>
        </row>
        <row r="615">
          <cell r="A615">
            <v>614</v>
          </cell>
          <cell r="B615">
            <v>42722</v>
          </cell>
        </row>
        <row r="616">
          <cell r="A616">
            <v>615</v>
          </cell>
          <cell r="B616">
            <v>42723</v>
          </cell>
        </row>
        <row r="617">
          <cell r="A617">
            <v>616</v>
          </cell>
          <cell r="B617">
            <v>42724</v>
          </cell>
        </row>
        <row r="618">
          <cell r="A618">
            <v>617</v>
          </cell>
          <cell r="B618">
            <v>42725</v>
          </cell>
        </row>
        <row r="619">
          <cell r="A619">
            <v>618</v>
          </cell>
          <cell r="B619">
            <v>42725</v>
          </cell>
        </row>
        <row r="620">
          <cell r="A620">
            <v>619</v>
          </cell>
          <cell r="B620">
            <v>42726</v>
          </cell>
        </row>
        <row r="621">
          <cell r="A621">
            <v>620</v>
          </cell>
          <cell r="B621">
            <v>42726</v>
          </cell>
        </row>
        <row r="622">
          <cell r="A622">
            <v>621</v>
          </cell>
          <cell r="B622">
            <v>42727</v>
          </cell>
        </row>
        <row r="623">
          <cell r="A623">
            <v>622</v>
          </cell>
          <cell r="B623">
            <v>42727</v>
          </cell>
        </row>
        <row r="624">
          <cell r="A624">
            <v>623</v>
          </cell>
          <cell r="B624">
            <v>42728</v>
          </cell>
        </row>
        <row r="625">
          <cell r="A625">
            <v>624</v>
          </cell>
          <cell r="B625">
            <v>42728</v>
          </cell>
        </row>
        <row r="626">
          <cell r="A626">
            <v>625</v>
          </cell>
          <cell r="B626">
            <v>42729</v>
          </cell>
        </row>
        <row r="627">
          <cell r="A627">
            <v>626</v>
          </cell>
          <cell r="B627">
            <v>42729</v>
          </cell>
        </row>
        <row r="628">
          <cell r="A628">
            <v>627</v>
          </cell>
          <cell r="B628">
            <v>42729</v>
          </cell>
        </row>
        <row r="629">
          <cell r="A629">
            <v>628</v>
          </cell>
          <cell r="B629">
            <v>42730</v>
          </cell>
        </row>
        <row r="630">
          <cell r="A630">
            <v>629</v>
          </cell>
          <cell r="B630">
            <v>42730</v>
          </cell>
        </row>
        <row r="631">
          <cell r="A631">
            <v>630</v>
          </cell>
          <cell r="B631">
            <v>42730</v>
          </cell>
        </row>
        <row r="632">
          <cell r="A632">
            <v>631</v>
          </cell>
          <cell r="B632">
            <v>42731</v>
          </cell>
        </row>
        <row r="633">
          <cell r="A633">
            <v>632</v>
          </cell>
          <cell r="B633">
            <v>42731</v>
          </cell>
        </row>
        <row r="634">
          <cell r="A634">
            <v>633</v>
          </cell>
          <cell r="B634">
            <v>42732</v>
          </cell>
        </row>
        <row r="635">
          <cell r="A635">
            <v>634</v>
          </cell>
          <cell r="B635">
            <v>42733</v>
          </cell>
        </row>
        <row r="636">
          <cell r="A636">
            <v>635</v>
          </cell>
          <cell r="B636">
            <v>42734</v>
          </cell>
        </row>
        <row r="637">
          <cell r="A637">
            <v>636</v>
          </cell>
          <cell r="B637">
            <v>42738</v>
          </cell>
        </row>
        <row r="638">
          <cell r="A638">
            <v>637</v>
          </cell>
          <cell r="B638">
            <v>42738</v>
          </cell>
        </row>
        <row r="639">
          <cell r="A639">
            <v>638</v>
          </cell>
          <cell r="B639">
            <v>42739</v>
          </cell>
        </row>
        <row r="640">
          <cell r="A640">
            <v>639</v>
          </cell>
          <cell r="B640">
            <v>42741</v>
          </cell>
        </row>
        <row r="641">
          <cell r="A641">
            <v>640</v>
          </cell>
          <cell r="B641">
            <v>42741</v>
          </cell>
        </row>
        <row r="642">
          <cell r="A642">
            <v>641</v>
          </cell>
          <cell r="B642">
            <v>42742</v>
          </cell>
        </row>
        <row r="643">
          <cell r="A643">
            <v>642</v>
          </cell>
          <cell r="B643">
            <v>42742</v>
          </cell>
        </row>
        <row r="644">
          <cell r="A644">
            <v>643</v>
          </cell>
          <cell r="B644">
            <v>42743</v>
          </cell>
        </row>
        <row r="645">
          <cell r="A645">
            <v>644</v>
          </cell>
          <cell r="B645">
            <v>42743</v>
          </cell>
        </row>
        <row r="646">
          <cell r="A646">
            <v>645</v>
          </cell>
          <cell r="B646">
            <v>42743</v>
          </cell>
        </row>
        <row r="647">
          <cell r="A647">
            <v>646</v>
          </cell>
          <cell r="B647">
            <v>42744</v>
          </cell>
        </row>
        <row r="648">
          <cell r="A648">
            <v>647</v>
          </cell>
          <cell r="B648">
            <v>42744</v>
          </cell>
        </row>
        <row r="649">
          <cell r="A649">
            <v>648</v>
          </cell>
          <cell r="B649">
            <v>42744</v>
          </cell>
        </row>
        <row r="650">
          <cell r="A650">
            <v>649</v>
          </cell>
          <cell r="B650">
            <v>42745</v>
          </cell>
        </row>
        <row r="651">
          <cell r="A651">
            <v>650</v>
          </cell>
          <cell r="B651">
            <v>42746</v>
          </cell>
        </row>
        <row r="652">
          <cell r="A652">
            <v>651</v>
          </cell>
          <cell r="B652">
            <v>42746</v>
          </cell>
        </row>
        <row r="653">
          <cell r="A653">
            <v>652</v>
          </cell>
          <cell r="B653">
            <v>42747</v>
          </cell>
        </row>
        <row r="654">
          <cell r="A654">
            <v>653</v>
          </cell>
          <cell r="B654">
            <v>42749</v>
          </cell>
        </row>
        <row r="655">
          <cell r="A655">
            <v>654</v>
          </cell>
          <cell r="B655">
            <v>42749</v>
          </cell>
        </row>
        <row r="656">
          <cell r="A656">
            <v>655</v>
          </cell>
          <cell r="B656">
            <v>42751</v>
          </cell>
        </row>
        <row r="657">
          <cell r="A657">
            <v>656</v>
          </cell>
          <cell r="B657">
            <v>42751</v>
          </cell>
        </row>
        <row r="658">
          <cell r="A658">
            <v>657</v>
          </cell>
          <cell r="B658">
            <v>42752</v>
          </cell>
        </row>
        <row r="659">
          <cell r="A659">
            <v>658</v>
          </cell>
          <cell r="B659">
            <v>42752</v>
          </cell>
        </row>
        <row r="660">
          <cell r="A660">
            <v>659</v>
          </cell>
          <cell r="B660">
            <v>42752</v>
          </cell>
        </row>
        <row r="661">
          <cell r="A661">
            <v>660</v>
          </cell>
          <cell r="B661">
            <v>42753</v>
          </cell>
        </row>
        <row r="662">
          <cell r="A662">
            <v>661</v>
          </cell>
          <cell r="B662">
            <v>42753</v>
          </cell>
        </row>
        <row r="663">
          <cell r="A663">
            <v>662</v>
          </cell>
          <cell r="B663">
            <v>42754</v>
          </cell>
        </row>
        <row r="664">
          <cell r="A664">
            <v>663</v>
          </cell>
          <cell r="B664">
            <v>42755</v>
          </cell>
        </row>
        <row r="665">
          <cell r="A665">
            <v>664</v>
          </cell>
          <cell r="B665">
            <v>42755</v>
          </cell>
        </row>
        <row r="666">
          <cell r="A666">
            <v>665</v>
          </cell>
          <cell r="B666">
            <v>42756</v>
          </cell>
        </row>
        <row r="667">
          <cell r="A667">
            <v>666</v>
          </cell>
          <cell r="B667">
            <v>42756</v>
          </cell>
        </row>
        <row r="668">
          <cell r="A668">
            <v>667</v>
          </cell>
          <cell r="B668">
            <v>42757</v>
          </cell>
        </row>
        <row r="669">
          <cell r="A669">
            <v>668</v>
          </cell>
          <cell r="B669">
            <v>42757</v>
          </cell>
        </row>
        <row r="670">
          <cell r="A670">
            <v>669</v>
          </cell>
          <cell r="B670">
            <v>42758</v>
          </cell>
        </row>
        <row r="671">
          <cell r="A671">
            <v>670</v>
          </cell>
          <cell r="B671">
            <v>42759</v>
          </cell>
        </row>
        <row r="672">
          <cell r="A672">
            <v>671</v>
          </cell>
          <cell r="B672">
            <v>42760</v>
          </cell>
        </row>
        <row r="673">
          <cell r="A673">
            <v>672</v>
          </cell>
          <cell r="B673">
            <v>42761</v>
          </cell>
        </row>
        <row r="674">
          <cell r="A674">
            <v>673</v>
          </cell>
          <cell r="B674">
            <v>42761</v>
          </cell>
        </row>
        <row r="675">
          <cell r="A675">
            <v>674</v>
          </cell>
          <cell r="B675">
            <v>42762</v>
          </cell>
        </row>
        <row r="676">
          <cell r="A676">
            <v>675</v>
          </cell>
          <cell r="B676">
            <v>42763</v>
          </cell>
        </row>
        <row r="677">
          <cell r="A677">
            <v>676</v>
          </cell>
          <cell r="B677">
            <v>42763</v>
          </cell>
        </row>
        <row r="678">
          <cell r="A678">
            <v>677</v>
          </cell>
          <cell r="B678">
            <v>42763</v>
          </cell>
        </row>
        <row r="679">
          <cell r="A679">
            <v>678</v>
          </cell>
          <cell r="B679">
            <v>42763</v>
          </cell>
        </row>
        <row r="680">
          <cell r="A680">
            <v>679</v>
          </cell>
          <cell r="B680">
            <v>42764</v>
          </cell>
        </row>
        <row r="681">
          <cell r="A681">
            <v>680</v>
          </cell>
          <cell r="B681">
            <v>42764</v>
          </cell>
        </row>
        <row r="682">
          <cell r="A682">
            <v>681</v>
          </cell>
          <cell r="B682">
            <v>42764</v>
          </cell>
        </row>
        <row r="683">
          <cell r="A683">
            <v>682</v>
          </cell>
          <cell r="B683">
            <v>42764</v>
          </cell>
        </row>
        <row r="684">
          <cell r="A684">
            <v>683</v>
          </cell>
          <cell r="B684">
            <v>42764</v>
          </cell>
        </row>
        <row r="685">
          <cell r="A685">
            <v>684</v>
          </cell>
          <cell r="B685">
            <v>42766</v>
          </cell>
        </row>
        <row r="686">
          <cell r="A686">
            <v>685</v>
          </cell>
          <cell r="B686">
            <v>42766</v>
          </cell>
        </row>
        <row r="687">
          <cell r="A687">
            <v>686</v>
          </cell>
          <cell r="B687">
            <v>42767</v>
          </cell>
        </row>
        <row r="688">
          <cell r="A688">
            <v>687</v>
          </cell>
          <cell r="B688">
            <v>42768</v>
          </cell>
        </row>
        <row r="689">
          <cell r="A689">
            <v>688</v>
          </cell>
          <cell r="B689">
            <v>42768</v>
          </cell>
        </row>
        <row r="690">
          <cell r="A690">
            <v>689</v>
          </cell>
          <cell r="B690">
            <v>42768</v>
          </cell>
        </row>
        <row r="691">
          <cell r="A691">
            <v>690</v>
          </cell>
          <cell r="B691">
            <v>42769</v>
          </cell>
        </row>
        <row r="692">
          <cell r="A692">
            <v>691</v>
          </cell>
          <cell r="B692">
            <v>42770</v>
          </cell>
        </row>
        <row r="693">
          <cell r="A693">
            <v>692</v>
          </cell>
          <cell r="B693">
            <v>42771</v>
          </cell>
        </row>
        <row r="694">
          <cell r="A694">
            <v>693</v>
          </cell>
          <cell r="B694">
            <v>42771</v>
          </cell>
        </row>
        <row r="695">
          <cell r="A695">
            <v>694</v>
          </cell>
          <cell r="B695">
            <v>42771</v>
          </cell>
        </row>
        <row r="696">
          <cell r="A696">
            <v>695</v>
          </cell>
          <cell r="B696">
            <v>42771</v>
          </cell>
        </row>
        <row r="697">
          <cell r="A697">
            <v>696</v>
          </cell>
          <cell r="B697">
            <v>42771</v>
          </cell>
        </row>
        <row r="698">
          <cell r="A698">
            <v>697</v>
          </cell>
          <cell r="B698">
            <v>42772</v>
          </cell>
        </row>
        <row r="699">
          <cell r="A699">
            <v>698</v>
          </cell>
          <cell r="B699">
            <v>42772</v>
          </cell>
        </row>
        <row r="700">
          <cell r="A700">
            <v>699</v>
          </cell>
          <cell r="B700">
            <v>42772</v>
          </cell>
        </row>
        <row r="701">
          <cell r="A701">
            <v>700</v>
          </cell>
          <cell r="B701">
            <v>42773</v>
          </cell>
        </row>
        <row r="702">
          <cell r="A702">
            <v>701</v>
          </cell>
          <cell r="B702">
            <v>42773</v>
          </cell>
        </row>
        <row r="703">
          <cell r="A703">
            <v>702</v>
          </cell>
          <cell r="B703">
            <v>42774</v>
          </cell>
        </row>
        <row r="704">
          <cell r="A704">
            <v>703</v>
          </cell>
          <cell r="B704">
            <v>42774</v>
          </cell>
        </row>
        <row r="705">
          <cell r="A705">
            <v>704</v>
          </cell>
          <cell r="B705">
            <v>42774</v>
          </cell>
        </row>
        <row r="706">
          <cell r="A706">
            <v>705</v>
          </cell>
          <cell r="B706">
            <v>42774</v>
          </cell>
        </row>
        <row r="707">
          <cell r="A707">
            <v>706</v>
          </cell>
          <cell r="B707">
            <v>42775</v>
          </cell>
        </row>
        <row r="708">
          <cell r="A708">
            <v>707</v>
          </cell>
          <cell r="B708">
            <v>42775</v>
          </cell>
        </row>
        <row r="709">
          <cell r="A709">
            <v>708</v>
          </cell>
          <cell r="B709">
            <v>42776</v>
          </cell>
        </row>
        <row r="710">
          <cell r="A710">
            <v>709</v>
          </cell>
          <cell r="B710">
            <v>42777</v>
          </cell>
        </row>
        <row r="711">
          <cell r="A711">
            <v>710</v>
          </cell>
          <cell r="B711">
            <v>42779</v>
          </cell>
        </row>
        <row r="712">
          <cell r="A712">
            <v>711</v>
          </cell>
          <cell r="B712">
            <v>42779</v>
          </cell>
        </row>
        <row r="713">
          <cell r="A713">
            <v>712</v>
          </cell>
          <cell r="B713">
            <v>42779</v>
          </cell>
        </row>
        <row r="714">
          <cell r="A714">
            <v>713</v>
          </cell>
          <cell r="B714">
            <v>42779</v>
          </cell>
        </row>
        <row r="715">
          <cell r="A715">
            <v>714</v>
          </cell>
          <cell r="B715">
            <v>42780</v>
          </cell>
        </row>
        <row r="716">
          <cell r="A716">
            <v>715</v>
          </cell>
          <cell r="B716">
            <v>42781</v>
          </cell>
        </row>
        <row r="717">
          <cell r="A717">
            <v>716</v>
          </cell>
          <cell r="B717">
            <v>42781</v>
          </cell>
        </row>
        <row r="718">
          <cell r="A718">
            <v>717</v>
          </cell>
          <cell r="B718">
            <v>42781</v>
          </cell>
        </row>
        <row r="719">
          <cell r="A719">
            <v>718</v>
          </cell>
          <cell r="B719">
            <v>42782</v>
          </cell>
        </row>
        <row r="720">
          <cell r="A720">
            <v>719</v>
          </cell>
          <cell r="B720">
            <v>42782</v>
          </cell>
        </row>
        <row r="721">
          <cell r="A721">
            <v>720</v>
          </cell>
          <cell r="B721">
            <v>42782</v>
          </cell>
        </row>
        <row r="722">
          <cell r="A722">
            <v>721</v>
          </cell>
          <cell r="B722">
            <v>42782</v>
          </cell>
        </row>
        <row r="723">
          <cell r="A723">
            <v>722</v>
          </cell>
          <cell r="B723">
            <v>42784</v>
          </cell>
        </row>
        <row r="724">
          <cell r="A724">
            <v>723</v>
          </cell>
          <cell r="B724">
            <v>42785</v>
          </cell>
        </row>
        <row r="725">
          <cell r="A725">
            <v>724</v>
          </cell>
          <cell r="B725">
            <v>42785</v>
          </cell>
        </row>
        <row r="726">
          <cell r="A726">
            <v>725</v>
          </cell>
          <cell r="B726">
            <v>42785</v>
          </cell>
        </row>
        <row r="727">
          <cell r="A727">
            <v>726</v>
          </cell>
          <cell r="B727">
            <v>42785</v>
          </cell>
        </row>
        <row r="728">
          <cell r="A728">
            <v>727</v>
          </cell>
          <cell r="B728">
            <v>42785</v>
          </cell>
        </row>
        <row r="729">
          <cell r="A729">
            <v>728</v>
          </cell>
          <cell r="B729">
            <v>42786</v>
          </cell>
        </row>
        <row r="730">
          <cell r="A730">
            <v>729</v>
          </cell>
          <cell r="B730">
            <v>42786</v>
          </cell>
        </row>
        <row r="731">
          <cell r="A731">
            <v>730</v>
          </cell>
          <cell r="B731">
            <v>42787</v>
          </cell>
        </row>
        <row r="732">
          <cell r="A732">
            <v>731</v>
          </cell>
          <cell r="B732">
            <v>42791</v>
          </cell>
        </row>
        <row r="733">
          <cell r="A733">
            <v>732</v>
          </cell>
          <cell r="B733">
            <v>42792</v>
          </cell>
        </row>
        <row r="734">
          <cell r="A734">
            <v>733</v>
          </cell>
          <cell r="B734">
            <v>42792</v>
          </cell>
        </row>
        <row r="735">
          <cell r="A735">
            <v>734</v>
          </cell>
          <cell r="B735">
            <v>42792</v>
          </cell>
        </row>
        <row r="736">
          <cell r="A736">
            <v>735</v>
          </cell>
          <cell r="B736">
            <v>42793</v>
          </cell>
        </row>
        <row r="737">
          <cell r="A737">
            <v>736</v>
          </cell>
          <cell r="B737">
            <v>42793</v>
          </cell>
        </row>
        <row r="738">
          <cell r="A738">
            <v>737</v>
          </cell>
          <cell r="B738">
            <v>42793</v>
          </cell>
        </row>
        <row r="739">
          <cell r="A739">
            <v>738</v>
          </cell>
          <cell r="B739">
            <v>42794</v>
          </cell>
        </row>
        <row r="740">
          <cell r="A740">
            <v>739</v>
          </cell>
          <cell r="B740">
            <v>42794</v>
          </cell>
        </row>
        <row r="741">
          <cell r="A741">
            <v>740</v>
          </cell>
          <cell r="B741">
            <v>42794</v>
          </cell>
        </row>
        <row r="742">
          <cell r="A742">
            <v>741</v>
          </cell>
          <cell r="B742">
            <v>42794</v>
          </cell>
        </row>
        <row r="743">
          <cell r="A743">
            <v>742</v>
          </cell>
          <cell r="B743">
            <v>42794</v>
          </cell>
        </row>
        <row r="744">
          <cell r="A744">
            <v>743</v>
          </cell>
          <cell r="B744">
            <v>42795</v>
          </cell>
        </row>
        <row r="745">
          <cell r="A745">
            <v>744</v>
          </cell>
          <cell r="B745">
            <v>42795</v>
          </cell>
        </row>
        <row r="746">
          <cell r="A746">
            <v>745</v>
          </cell>
          <cell r="B746">
            <v>42795</v>
          </cell>
        </row>
        <row r="747">
          <cell r="A747">
            <v>746</v>
          </cell>
          <cell r="B747">
            <v>42796</v>
          </cell>
        </row>
        <row r="748">
          <cell r="A748">
            <v>747</v>
          </cell>
          <cell r="B748">
            <v>42797</v>
          </cell>
        </row>
        <row r="749">
          <cell r="A749">
            <v>748</v>
          </cell>
          <cell r="B749">
            <v>42797</v>
          </cell>
        </row>
        <row r="750">
          <cell r="A750">
            <v>749</v>
          </cell>
          <cell r="B750">
            <v>42798</v>
          </cell>
        </row>
        <row r="751">
          <cell r="A751">
            <v>750</v>
          </cell>
          <cell r="B751">
            <v>42798</v>
          </cell>
        </row>
        <row r="752">
          <cell r="A752">
            <v>751</v>
          </cell>
          <cell r="B752">
            <v>42799</v>
          </cell>
        </row>
        <row r="753">
          <cell r="A753">
            <v>752</v>
          </cell>
          <cell r="B753">
            <v>42799</v>
          </cell>
        </row>
        <row r="754">
          <cell r="A754">
            <v>753</v>
          </cell>
          <cell r="B754">
            <v>42799</v>
          </cell>
        </row>
        <row r="755">
          <cell r="A755">
            <v>754</v>
          </cell>
          <cell r="B755">
            <v>42800</v>
          </cell>
        </row>
        <row r="756">
          <cell r="A756">
            <v>755</v>
          </cell>
          <cell r="B756">
            <v>42800</v>
          </cell>
        </row>
        <row r="757">
          <cell r="A757">
            <v>756</v>
          </cell>
          <cell r="B757">
            <v>42800</v>
          </cell>
        </row>
        <row r="758">
          <cell r="A758">
            <v>757</v>
          </cell>
          <cell r="B758">
            <v>42800</v>
          </cell>
        </row>
        <row r="759">
          <cell r="A759">
            <v>758</v>
          </cell>
          <cell r="B759">
            <v>42800</v>
          </cell>
        </row>
        <row r="760">
          <cell r="A760">
            <v>759</v>
          </cell>
          <cell r="B760">
            <v>42801</v>
          </cell>
        </row>
        <row r="761">
          <cell r="A761">
            <v>760</v>
          </cell>
          <cell r="B761">
            <v>42801</v>
          </cell>
        </row>
        <row r="762">
          <cell r="A762">
            <v>761</v>
          </cell>
          <cell r="B762">
            <v>42801</v>
          </cell>
        </row>
        <row r="763">
          <cell r="A763">
            <v>762</v>
          </cell>
          <cell r="B763">
            <v>42802</v>
          </cell>
        </row>
        <row r="764">
          <cell r="A764">
            <v>763</v>
          </cell>
          <cell r="B764">
            <v>42802</v>
          </cell>
        </row>
        <row r="765">
          <cell r="A765">
            <v>764</v>
          </cell>
          <cell r="B765">
            <v>42803</v>
          </cell>
        </row>
        <row r="766">
          <cell r="A766">
            <v>765</v>
          </cell>
          <cell r="B766">
            <v>42803</v>
          </cell>
        </row>
        <row r="767">
          <cell r="A767">
            <v>766</v>
          </cell>
          <cell r="B767">
            <v>42803</v>
          </cell>
        </row>
        <row r="768">
          <cell r="A768">
            <v>767</v>
          </cell>
          <cell r="B768">
            <v>42803</v>
          </cell>
        </row>
        <row r="769">
          <cell r="A769">
            <v>768</v>
          </cell>
          <cell r="B769">
            <v>42803</v>
          </cell>
        </row>
        <row r="770">
          <cell r="A770">
            <v>769</v>
          </cell>
          <cell r="B770">
            <v>42803</v>
          </cell>
        </row>
        <row r="771">
          <cell r="A771">
            <v>770</v>
          </cell>
          <cell r="B771">
            <v>42803</v>
          </cell>
        </row>
        <row r="772">
          <cell r="A772">
            <v>771</v>
          </cell>
          <cell r="B772">
            <v>42805</v>
          </cell>
        </row>
        <row r="773">
          <cell r="A773">
            <v>772</v>
          </cell>
          <cell r="B773">
            <v>42805</v>
          </cell>
        </row>
        <row r="774">
          <cell r="A774">
            <v>773</v>
          </cell>
          <cell r="B774">
            <v>42805</v>
          </cell>
        </row>
        <row r="775">
          <cell r="A775">
            <v>774</v>
          </cell>
          <cell r="B775">
            <v>42806</v>
          </cell>
        </row>
        <row r="776">
          <cell r="A776">
            <v>775</v>
          </cell>
          <cell r="B776">
            <v>42806</v>
          </cell>
        </row>
        <row r="777">
          <cell r="A777">
            <v>776</v>
          </cell>
          <cell r="B777">
            <v>42807</v>
          </cell>
        </row>
        <row r="778">
          <cell r="A778">
            <v>777</v>
          </cell>
          <cell r="B778">
            <v>42807</v>
          </cell>
        </row>
        <row r="779">
          <cell r="A779">
            <v>778</v>
          </cell>
          <cell r="B779">
            <v>42809</v>
          </cell>
        </row>
        <row r="780">
          <cell r="A780">
            <v>779</v>
          </cell>
          <cell r="B780">
            <v>42809</v>
          </cell>
        </row>
        <row r="781">
          <cell r="A781">
            <v>780</v>
          </cell>
          <cell r="B781">
            <v>42809</v>
          </cell>
        </row>
        <row r="782">
          <cell r="A782">
            <v>781</v>
          </cell>
          <cell r="B782">
            <v>42809</v>
          </cell>
        </row>
        <row r="783">
          <cell r="A783">
            <v>782</v>
          </cell>
          <cell r="B783">
            <v>42809</v>
          </cell>
        </row>
        <row r="784">
          <cell r="A784">
            <v>783</v>
          </cell>
          <cell r="B784">
            <v>42810</v>
          </cell>
        </row>
        <row r="785">
          <cell r="A785">
            <v>784</v>
          </cell>
          <cell r="B785">
            <v>42810</v>
          </cell>
        </row>
        <row r="786">
          <cell r="A786">
            <v>785</v>
          </cell>
          <cell r="B786">
            <v>42812</v>
          </cell>
        </row>
        <row r="787">
          <cell r="A787">
            <v>786</v>
          </cell>
          <cell r="B787">
            <v>42812</v>
          </cell>
        </row>
        <row r="788">
          <cell r="A788">
            <v>787</v>
          </cell>
          <cell r="B788">
            <v>42812</v>
          </cell>
        </row>
        <row r="789">
          <cell r="A789">
            <v>788</v>
          </cell>
          <cell r="B789">
            <v>42812</v>
          </cell>
        </row>
        <row r="790">
          <cell r="A790">
            <v>789</v>
          </cell>
          <cell r="B790">
            <v>42813</v>
          </cell>
        </row>
        <row r="791">
          <cell r="A791">
            <v>790</v>
          </cell>
          <cell r="B791">
            <v>42813</v>
          </cell>
        </row>
        <row r="792">
          <cell r="A792">
            <v>791</v>
          </cell>
          <cell r="B792">
            <v>42814</v>
          </cell>
        </row>
        <row r="793">
          <cell r="A793">
            <v>792</v>
          </cell>
          <cell r="B793">
            <v>42816</v>
          </cell>
        </row>
        <row r="794">
          <cell r="A794">
            <v>793</v>
          </cell>
          <cell r="B794">
            <v>42817</v>
          </cell>
        </row>
        <row r="795">
          <cell r="A795">
            <v>794</v>
          </cell>
          <cell r="B795">
            <v>42817</v>
          </cell>
        </row>
        <row r="796">
          <cell r="A796">
            <v>795</v>
          </cell>
          <cell r="B796">
            <v>42817</v>
          </cell>
        </row>
        <row r="797">
          <cell r="A797">
            <v>796</v>
          </cell>
          <cell r="B797">
            <v>42817</v>
          </cell>
        </row>
        <row r="798">
          <cell r="A798">
            <v>797</v>
          </cell>
          <cell r="B798">
            <v>42818</v>
          </cell>
        </row>
        <row r="799">
          <cell r="A799">
            <v>798</v>
          </cell>
          <cell r="B799">
            <v>42820</v>
          </cell>
        </row>
        <row r="800">
          <cell r="A800">
            <v>799</v>
          </cell>
          <cell r="B800">
            <v>42821</v>
          </cell>
        </row>
        <row r="801">
          <cell r="A801">
            <v>800</v>
          </cell>
          <cell r="B801">
            <v>42821</v>
          </cell>
        </row>
        <row r="802">
          <cell r="A802">
            <v>801</v>
          </cell>
          <cell r="B802">
            <v>42822</v>
          </cell>
        </row>
        <row r="803">
          <cell r="A803">
            <v>802</v>
          </cell>
          <cell r="B803">
            <v>42822</v>
          </cell>
        </row>
        <row r="804">
          <cell r="A804">
            <v>803</v>
          </cell>
          <cell r="B804">
            <v>42822</v>
          </cell>
        </row>
        <row r="805">
          <cell r="A805">
            <v>804</v>
          </cell>
          <cell r="B805">
            <v>42823</v>
          </cell>
        </row>
        <row r="806">
          <cell r="A806">
            <v>805</v>
          </cell>
          <cell r="B806">
            <v>42823</v>
          </cell>
        </row>
        <row r="807">
          <cell r="A807">
            <v>806</v>
          </cell>
          <cell r="B807">
            <v>42824</v>
          </cell>
        </row>
        <row r="808">
          <cell r="A808">
            <v>807</v>
          </cell>
          <cell r="B808">
            <v>42824</v>
          </cell>
        </row>
        <row r="809">
          <cell r="A809">
            <v>808</v>
          </cell>
          <cell r="B809">
            <v>42825</v>
          </cell>
        </row>
        <row r="810">
          <cell r="A810">
            <v>809</v>
          </cell>
          <cell r="B810">
            <v>42825</v>
          </cell>
        </row>
        <row r="811">
          <cell r="A811">
            <v>810</v>
          </cell>
          <cell r="B811">
            <v>42826</v>
          </cell>
        </row>
        <row r="812">
          <cell r="A812">
            <v>811</v>
          </cell>
          <cell r="B812">
            <v>42826</v>
          </cell>
        </row>
        <row r="813">
          <cell r="A813">
            <v>812</v>
          </cell>
          <cell r="B813">
            <v>42826</v>
          </cell>
        </row>
        <row r="814">
          <cell r="A814">
            <v>813</v>
          </cell>
          <cell r="B814">
            <v>42826</v>
          </cell>
        </row>
        <row r="815">
          <cell r="A815">
            <v>814</v>
          </cell>
          <cell r="B815">
            <v>42827</v>
          </cell>
        </row>
        <row r="816">
          <cell r="A816">
            <v>815</v>
          </cell>
          <cell r="B816">
            <v>42828</v>
          </cell>
        </row>
        <row r="817">
          <cell r="A817">
            <v>816</v>
          </cell>
          <cell r="B817">
            <v>42828</v>
          </cell>
        </row>
        <row r="818">
          <cell r="A818">
            <v>817</v>
          </cell>
          <cell r="B818">
            <v>42829</v>
          </cell>
        </row>
        <row r="819">
          <cell r="A819">
            <v>818</v>
          </cell>
          <cell r="B819">
            <v>42829</v>
          </cell>
        </row>
        <row r="820">
          <cell r="A820">
            <v>819</v>
          </cell>
          <cell r="B820">
            <v>42829</v>
          </cell>
        </row>
        <row r="821">
          <cell r="A821">
            <v>820</v>
          </cell>
          <cell r="B821">
            <v>42830</v>
          </cell>
        </row>
        <row r="822">
          <cell r="A822">
            <v>821</v>
          </cell>
          <cell r="B822">
            <v>42830</v>
          </cell>
        </row>
        <row r="823">
          <cell r="A823">
            <v>822</v>
          </cell>
          <cell r="B823">
            <v>42831</v>
          </cell>
        </row>
        <row r="824">
          <cell r="A824">
            <v>823</v>
          </cell>
          <cell r="B824">
            <v>42831</v>
          </cell>
        </row>
        <row r="825">
          <cell r="A825">
            <v>824</v>
          </cell>
          <cell r="B825">
            <v>42832</v>
          </cell>
        </row>
        <row r="826">
          <cell r="A826">
            <v>825</v>
          </cell>
          <cell r="B826">
            <v>42832</v>
          </cell>
        </row>
        <row r="827">
          <cell r="A827">
            <v>826</v>
          </cell>
          <cell r="B827">
            <v>42832</v>
          </cell>
        </row>
        <row r="828">
          <cell r="A828">
            <v>827</v>
          </cell>
          <cell r="B828">
            <v>42832</v>
          </cell>
        </row>
        <row r="829">
          <cell r="A829">
            <v>828</v>
          </cell>
          <cell r="B829">
            <v>42834</v>
          </cell>
        </row>
        <row r="830">
          <cell r="A830">
            <v>829</v>
          </cell>
          <cell r="B830">
            <v>42834</v>
          </cell>
        </row>
        <row r="831">
          <cell r="A831">
            <v>830</v>
          </cell>
          <cell r="B831">
            <v>42836</v>
          </cell>
        </row>
        <row r="832">
          <cell r="A832">
            <v>831</v>
          </cell>
          <cell r="B832">
            <v>42836</v>
          </cell>
        </row>
        <row r="833">
          <cell r="A833">
            <v>832</v>
          </cell>
          <cell r="B833">
            <v>42836</v>
          </cell>
        </row>
        <row r="834">
          <cell r="A834">
            <v>833</v>
          </cell>
          <cell r="B834">
            <v>42837</v>
          </cell>
        </row>
        <row r="835">
          <cell r="A835">
            <v>834</v>
          </cell>
          <cell r="B835">
            <v>42837</v>
          </cell>
        </row>
        <row r="836">
          <cell r="A836">
            <v>835</v>
          </cell>
          <cell r="B836">
            <v>42838</v>
          </cell>
        </row>
        <row r="837">
          <cell r="A837">
            <v>836</v>
          </cell>
          <cell r="B837">
            <v>42838</v>
          </cell>
        </row>
        <row r="838">
          <cell r="A838">
            <v>837</v>
          </cell>
          <cell r="B838">
            <v>42838</v>
          </cell>
        </row>
        <row r="839">
          <cell r="A839">
            <v>838</v>
          </cell>
          <cell r="B839">
            <v>42839</v>
          </cell>
        </row>
        <row r="840">
          <cell r="A840">
            <v>839</v>
          </cell>
          <cell r="B840">
            <v>42840</v>
          </cell>
        </row>
        <row r="841">
          <cell r="A841">
            <v>840</v>
          </cell>
          <cell r="B841">
            <v>42840</v>
          </cell>
        </row>
        <row r="842">
          <cell r="A842">
            <v>841</v>
          </cell>
          <cell r="B842">
            <v>42840</v>
          </cell>
        </row>
        <row r="843">
          <cell r="A843">
            <v>842</v>
          </cell>
          <cell r="B843">
            <v>42840</v>
          </cell>
        </row>
        <row r="844">
          <cell r="A844">
            <v>843</v>
          </cell>
          <cell r="B844">
            <v>42841</v>
          </cell>
        </row>
        <row r="845">
          <cell r="A845">
            <v>844</v>
          </cell>
          <cell r="B845">
            <v>42841</v>
          </cell>
        </row>
        <row r="846">
          <cell r="A846">
            <v>845</v>
          </cell>
          <cell r="B846">
            <v>42842</v>
          </cell>
        </row>
        <row r="847">
          <cell r="A847">
            <v>846</v>
          </cell>
          <cell r="B847">
            <v>42842</v>
          </cell>
        </row>
        <row r="848">
          <cell r="A848">
            <v>847</v>
          </cell>
          <cell r="B848">
            <v>42843</v>
          </cell>
        </row>
        <row r="849">
          <cell r="A849">
            <v>848</v>
          </cell>
          <cell r="B849">
            <v>42843</v>
          </cell>
        </row>
        <row r="850">
          <cell r="A850">
            <v>849</v>
          </cell>
          <cell r="B850">
            <v>42844</v>
          </cell>
        </row>
        <row r="851">
          <cell r="A851">
            <v>850</v>
          </cell>
          <cell r="B851">
            <v>42844</v>
          </cell>
        </row>
        <row r="852">
          <cell r="A852">
            <v>851</v>
          </cell>
          <cell r="B852">
            <v>42845</v>
          </cell>
        </row>
        <row r="853">
          <cell r="A853">
            <v>852</v>
          </cell>
          <cell r="B853">
            <v>42846</v>
          </cell>
        </row>
        <row r="854">
          <cell r="A854">
            <v>853</v>
          </cell>
          <cell r="B854">
            <v>42846</v>
          </cell>
        </row>
        <row r="855">
          <cell r="A855">
            <v>854</v>
          </cell>
          <cell r="B855">
            <v>42847</v>
          </cell>
        </row>
        <row r="856">
          <cell r="A856">
            <v>855</v>
          </cell>
          <cell r="B856">
            <v>42847</v>
          </cell>
        </row>
        <row r="857">
          <cell r="A857">
            <v>856</v>
          </cell>
          <cell r="B857">
            <v>42848</v>
          </cell>
        </row>
        <row r="858">
          <cell r="A858">
            <v>857</v>
          </cell>
          <cell r="B858">
            <v>42849</v>
          </cell>
        </row>
        <row r="859">
          <cell r="A859">
            <v>858</v>
          </cell>
          <cell r="B859">
            <v>42850</v>
          </cell>
        </row>
        <row r="860">
          <cell r="A860">
            <v>859</v>
          </cell>
          <cell r="B860">
            <v>42850</v>
          </cell>
        </row>
        <row r="861">
          <cell r="A861">
            <v>860</v>
          </cell>
          <cell r="B861">
            <v>42852</v>
          </cell>
        </row>
        <row r="862">
          <cell r="A862">
            <v>861</v>
          </cell>
          <cell r="B862">
            <v>42852</v>
          </cell>
        </row>
        <row r="863">
          <cell r="A863">
            <v>862</v>
          </cell>
          <cell r="B863">
            <v>42852</v>
          </cell>
        </row>
        <row r="864">
          <cell r="A864">
            <v>863</v>
          </cell>
          <cell r="B864">
            <v>42853</v>
          </cell>
        </row>
        <row r="865">
          <cell r="A865">
            <v>864</v>
          </cell>
          <cell r="B865">
            <v>42853</v>
          </cell>
        </row>
        <row r="866">
          <cell r="A866">
            <v>865</v>
          </cell>
          <cell r="B866">
            <v>42854</v>
          </cell>
        </row>
        <row r="867">
          <cell r="A867">
            <v>866</v>
          </cell>
          <cell r="B867">
            <v>42854</v>
          </cell>
        </row>
        <row r="868">
          <cell r="A868">
            <v>867</v>
          </cell>
          <cell r="B868">
            <v>42856</v>
          </cell>
        </row>
        <row r="869">
          <cell r="A869">
            <v>868</v>
          </cell>
          <cell r="B869">
            <v>42856</v>
          </cell>
        </row>
        <row r="870">
          <cell r="A870">
            <v>869</v>
          </cell>
          <cell r="B870">
            <v>42856</v>
          </cell>
        </row>
        <row r="871">
          <cell r="A871">
            <v>870</v>
          </cell>
          <cell r="B871">
            <v>42856</v>
          </cell>
        </row>
        <row r="872">
          <cell r="A872">
            <v>871</v>
          </cell>
          <cell r="B872">
            <v>42857</v>
          </cell>
        </row>
        <row r="873">
          <cell r="A873">
            <v>872</v>
          </cell>
          <cell r="B873">
            <v>42858</v>
          </cell>
        </row>
        <row r="874">
          <cell r="A874">
            <v>873</v>
          </cell>
          <cell r="B874">
            <v>42858</v>
          </cell>
        </row>
        <row r="875">
          <cell r="A875">
            <v>874</v>
          </cell>
          <cell r="B875">
            <v>42859</v>
          </cell>
        </row>
        <row r="876">
          <cell r="A876">
            <v>875</v>
          </cell>
          <cell r="B876">
            <v>42860</v>
          </cell>
        </row>
        <row r="877">
          <cell r="A877">
            <v>876</v>
          </cell>
          <cell r="B877">
            <v>42860</v>
          </cell>
        </row>
        <row r="878">
          <cell r="A878">
            <v>877</v>
          </cell>
          <cell r="B878">
            <v>42861</v>
          </cell>
        </row>
        <row r="879">
          <cell r="A879">
            <v>878</v>
          </cell>
          <cell r="B879">
            <v>42862</v>
          </cell>
        </row>
        <row r="880">
          <cell r="A880">
            <v>879</v>
          </cell>
          <cell r="B880">
            <v>42863</v>
          </cell>
        </row>
        <row r="881">
          <cell r="A881">
            <v>880</v>
          </cell>
          <cell r="B881">
            <v>42863</v>
          </cell>
        </row>
        <row r="882">
          <cell r="A882">
            <v>881</v>
          </cell>
          <cell r="B882">
            <v>42863</v>
          </cell>
        </row>
        <row r="883">
          <cell r="A883">
            <v>882</v>
          </cell>
          <cell r="B883">
            <v>42864</v>
          </cell>
        </row>
        <row r="884">
          <cell r="A884">
            <v>883</v>
          </cell>
          <cell r="B884">
            <v>42866</v>
          </cell>
        </row>
        <row r="885">
          <cell r="A885">
            <v>884</v>
          </cell>
          <cell r="B885">
            <v>42866</v>
          </cell>
        </row>
        <row r="886">
          <cell r="A886">
            <v>885</v>
          </cell>
          <cell r="B886">
            <v>42868</v>
          </cell>
        </row>
        <row r="887">
          <cell r="A887">
            <v>886</v>
          </cell>
          <cell r="B887">
            <v>42868</v>
          </cell>
        </row>
        <row r="888">
          <cell r="A888">
            <v>887</v>
          </cell>
          <cell r="B888">
            <v>42868</v>
          </cell>
        </row>
        <row r="889">
          <cell r="A889">
            <v>888</v>
          </cell>
          <cell r="B889">
            <v>42869</v>
          </cell>
        </row>
        <row r="890">
          <cell r="A890">
            <v>889</v>
          </cell>
          <cell r="B890">
            <v>42869</v>
          </cell>
        </row>
        <row r="891">
          <cell r="A891">
            <v>890</v>
          </cell>
          <cell r="B891">
            <v>42870</v>
          </cell>
        </row>
        <row r="892">
          <cell r="A892">
            <v>891</v>
          </cell>
          <cell r="B892">
            <v>42870</v>
          </cell>
        </row>
        <row r="893">
          <cell r="A893">
            <v>892</v>
          </cell>
          <cell r="B893">
            <v>42870</v>
          </cell>
        </row>
        <row r="894">
          <cell r="A894">
            <v>893</v>
          </cell>
          <cell r="B894">
            <v>42871</v>
          </cell>
        </row>
        <row r="895">
          <cell r="A895">
            <v>894</v>
          </cell>
          <cell r="B895">
            <v>42871</v>
          </cell>
        </row>
        <row r="896">
          <cell r="A896">
            <v>895</v>
          </cell>
          <cell r="B896">
            <v>42873</v>
          </cell>
        </row>
        <row r="897">
          <cell r="A897">
            <v>896</v>
          </cell>
          <cell r="B897">
            <v>42874</v>
          </cell>
        </row>
        <row r="898">
          <cell r="A898">
            <v>897</v>
          </cell>
          <cell r="B898">
            <v>42875</v>
          </cell>
        </row>
        <row r="899">
          <cell r="A899">
            <v>898</v>
          </cell>
          <cell r="B899">
            <v>42875</v>
          </cell>
        </row>
        <row r="900">
          <cell r="A900">
            <v>899</v>
          </cell>
          <cell r="B900">
            <v>42875</v>
          </cell>
        </row>
        <row r="901">
          <cell r="A901">
            <v>900</v>
          </cell>
          <cell r="B901">
            <v>42875</v>
          </cell>
        </row>
        <row r="902">
          <cell r="A902">
            <v>901</v>
          </cell>
          <cell r="B902">
            <v>42876</v>
          </cell>
        </row>
        <row r="903">
          <cell r="A903">
            <v>902</v>
          </cell>
          <cell r="B903">
            <v>42876</v>
          </cell>
        </row>
        <row r="904">
          <cell r="A904">
            <v>903</v>
          </cell>
          <cell r="B904">
            <v>42877</v>
          </cell>
        </row>
        <row r="905">
          <cell r="A905">
            <v>904</v>
          </cell>
          <cell r="B905">
            <v>42878</v>
          </cell>
        </row>
        <row r="906">
          <cell r="A906">
            <v>905</v>
          </cell>
          <cell r="B906">
            <v>42878</v>
          </cell>
        </row>
        <row r="907">
          <cell r="A907">
            <v>906</v>
          </cell>
          <cell r="B907">
            <v>42878</v>
          </cell>
        </row>
        <row r="908">
          <cell r="A908">
            <v>907</v>
          </cell>
          <cell r="B908">
            <v>42879</v>
          </cell>
        </row>
        <row r="909">
          <cell r="A909">
            <v>908</v>
          </cell>
          <cell r="B909">
            <v>42880</v>
          </cell>
        </row>
        <row r="910">
          <cell r="A910">
            <v>909</v>
          </cell>
          <cell r="B910">
            <v>42881</v>
          </cell>
        </row>
        <row r="911">
          <cell r="A911">
            <v>910</v>
          </cell>
          <cell r="B911">
            <v>42881</v>
          </cell>
        </row>
        <row r="912">
          <cell r="A912">
            <v>911</v>
          </cell>
          <cell r="B912">
            <v>42881</v>
          </cell>
        </row>
        <row r="913">
          <cell r="A913">
            <v>912</v>
          </cell>
          <cell r="B913">
            <v>42882</v>
          </cell>
        </row>
        <row r="914">
          <cell r="A914">
            <v>913</v>
          </cell>
          <cell r="B914">
            <v>42882</v>
          </cell>
        </row>
        <row r="915">
          <cell r="A915">
            <v>914</v>
          </cell>
          <cell r="B915">
            <v>42883</v>
          </cell>
        </row>
        <row r="916">
          <cell r="A916">
            <v>915</v>
          </cell>
          <cell r="B916">
            <v>42883</v>
          </cell>
        </row>
        <row r="917">
          <cell r="A917">
            <v>916</v>
          </cell>
          <cell r="B917">
            <v>42883</v>
          </cell>
        </row>
        <row r="918">
          <cell r="A918">
            <v>917</v>
          </cell>
          <cell r="B918">
            <v>42884</v>
          </cell>
        </row>
        <row r="919">
          <cell r="A919">
            <v>918</v>
          </cell>
          <cell r="B919">
            <v>42885</v>
          </cell>
        </row>
        <row r="920">
          <cell r="A920">
            <v>919</v>
          </cell>
          <cell r="B920">
            <v>42885</v>
          </cell>
        </row>
        <row r="921">
          <cell r="A921">
            <v>920</v>
          </cell>
          <cell r="B921">
            <v>42885</v>
          </cell>
        </row>
        <row r="922">
          <cell r="A922">
            <v>921</v>
          </cell>
          <cell r="B922">
            <v>42886</v>
          </cell>
        </row>
        <row r="923">
          <cell r="A923">
            <v>922</v>
          </cell>
          <cell r="B923">
            <v>42886</v>
          </cell>
        </row>
        <row r="924">
          <cell r="A924">
            <v>923</v>
          </cell>
          <cell r="B924">
            <v>42886</v>
          </cell>
        </row>
        <row r="925">
          <cell r="A925">
            <v>924</v>
          </cell>
          <cell r="B925">
            <v>42888</v>
          </cell>
        </row>
        <row r="926">
          <cell r="A926">
            <v>925</v>
          </cell>
          <cell r="B926">
            <v>42888</v>
          </cell>
        </row>
        <row r="927">
          <cell r="A927">
            <v>926</v>
          </cell>
          <cell r="B927">
            <v>42889</v>
          </cell>
        </row>
        <row r="928">
          <cell r="A928">
            <v>927</v>
          </cell>
          <cell r="B928">
            <v>42889</v>
          </cell>
        </row>
        <row r="929">
          <cell r="A929">
            <v>928</v>
          </cell>
          <cell r="B929">
            <v>42891</v>
          </cell>
        </row>
        <row r="930">
          <cell r="A930">
            <v>929</v>
          </cell>
          <cell r="B930">
            <v>42891</v>
          </cell>
        </row>
        <row r="931">
          <cell r="A931">
            <v>930</v>
          </cell>
          <cell r="B931">
            <v>42891</v>
          </cell>
        </row>
        <row r="932">
          <cell r="A932">
            <v>931</v>
          </cell>
          <cell r="B932">
            <v>42893</v>
          </cell>
        </row>
        <row r="933">
          <cell r="A933">
            <v>932</v>
          </cell>
          <cell r="B933">
            <v>42893</v>
          </cell>
        </row>
        <row r="934">
          <cell r="A934">
            <v>933</v>
          </cell>
          <cell r="B934">
            <v>42893</v>
          </cell>
        </row>
        <row r="935">
          <cell r="A935">
            <v>934</v>
          </cell>
          <cell r="B935">
            <v>42895</v>
          </cell>
        </row>
        <row r="936">
          <cell r="A936">
            <v>935</v>
          </cell>
          <cell r="B936">
            <v>42896</v>
          </cell>
        </row>
        <row r="937">
          <cell r="A937">
            <v>936</v>
          </cell>
          <cell r="B937">
            <v>42896</v>
          </cell>
        </row>
        <row r="938">
          <cell r="A938">
            <v>937</v>
          </cell>
          <cell r="B938">
            <v>42897</v>
          </cell>
        </row>
        <row r="939">
          <cell r="A939">
            <v>938</v>
          </cell>
          <cell r="B939">
            <v>42897</v>
          </cell>
        </row>
        <row r="940">
          <cell r="A940">
            <v>939</v>
          </cell>
          <cell r="B940">
            <v>42897</v>
          </cell>
        </row>
        <row r="941">
          <cell r="A941">
            <v>940</v>
          </cell>
          <cell r="B941">
            <v>42898</v>
          </cell>
        </row>
        <row r="942">
          <cell r="A942">
            <v>941</v>
          </cell>
          <cell r="B942">
            <v>42898</v>
          </cell>
        </row>
        <row r="943">
          <cell r="A943">
            <v>942</v>
          </cell>
          <cell r="B943">
            <v>42899</v>
          </cell>
        </row>
        <row r="944">
          <cell r="A944">
            <v>943</v>
          </cell>
          <cell r="B944">
            <v>42899</v>
          </cell>
        </row>
        <row r="945">
          <cell r="A945">
            <v>944</v>
          </cell>
          <cell r="B945">
            <v>42900</v>
          </cell>
        </row>
        <row r="946">
          <cell r="A946">
            <v>945</v>
          </cell>
          <cell r="B946">
            <v>42900</v>
          </cell>
        </row>
        <row r="947">
          <cell r="A947">
            <v>946</v>
          </cell>
          <cell r="B947">
            <v>42900</v>
          </cell>
        </row>
        <row r="948">
          <cell r="A948">
            <v>947</v>
          </cell>
          <cell r="B948">
            <v>42901</v>
          </cell>
        </row>
        <row r="949">
          <cell r="A949">
            <v>948</v>
          </cell>
          <cell r="B949">
            <v>42901</v>
          </cell>
        </row>
        <row r="950">
          <cell r="A950">
            <v>949</v>
          </cell>
          <cell r="B950">
            <v>42902</v>
          </cell>
        </row>
        <row r="951">
          <cell r="A951">
            <v>950</v>
          </cell>
          <cell r="B951">
            <v>42902</v>
          </cell>
        </row>
        <row r="952">
          <cell r="A952">
            <v>951</v>
          </cell>
          <cell r="B952">
            <v>42902</v>
          </cell>
        </row>
        <row r="953">
          <cell r="A953">
            <v>952</v>
          </cell>
          <cell r="B953">
            <v>42902</v>
          </cell>
        </row>
        <row r="954">
          <cell r="A954">
            <v>953</v>
          </cell>
          <cell r="B954">
            <v>42902</v>
          </cell>
        </row>
        <row r="955">
          <cell r="A955">
            <v>954</v>
          </cell>
          <cell r="B955">
            <v>42903</v>
          </cell>
        </row>
        <row r="956">
          <cell r="A956">
            <v>955</v>
          </cell>
          <cell r="B956">
            <v>42903</v>
          </cell>
        </row>
        <row r="957">
          <cell r="A957">
            <v>956</v>
          </cell>
          <cell r="B957">
            <v>42903</v>
          </cell>
        </row>
        <row r="958">
          <cell r="A958">
            <v>957</v>
          </cell>
          <cell r="B958">
            <v>42903</v>
          </cell>
        </row>
        <row r="959">
          <cell r="A959">
            <v>958</v>
          </cell>
          <cell r="B959">
            <v>42904</v>
          </cell>
        </row>
        <row r="960">
          <cell r="A960">
            <v>959</v>
          </cell>
          <cell r="B960">
            <v>42904</v>
          </cell>
        </row>
        <row r="961">
          <cell r="A961">
            <v>960</v>
          </cell>
          <cell r="B961">
            <v>42904</v>
          </cell>
        </row>
        <row r="962">
          <cell r="A962">
            <v>961</v>
          </cell>
          <cell r="B962">
            <v>42905</v>
          </cell>
        </row>
        <row r="963">
          <cell r="A963">
            <v>962</v>
          </cell>
          <cell r="B963">
            <v>42905</v>
          </cell>
        </row>
        <row r="964">
          <cell r="A964">
            <v>963</v>
          </cell>
          <cell r="B964">
            <v>42905</v>
          </cell>
        </row>
        <row r="965">
          <cell r="A965">
            <v>964</v>
          </cell>
          <cell r="B965">
            <v>42906</v>
          </cell>
        </row>
        <row r="966">
          <cell r="A966">
            <v>965</v>
          </cell>
          <cell r="B966">
            <v>42906</v>
          </cell>
        </row>
        <row r="967">
          <cell r="A967">
            <v>966</v>
          </cell>
          <cell r="B967">
            <v>42906</v>
          </cell>
        </row>
        <row r="968">
          <cell r="A968">
            <v>967</v>
          </cell>
          <cell r="B968">
            <v>42907</v>
          </cell>
        </row>
        <row r="969">
          <cell r="A969">
            <v>968</v>
          </cell>
          <cell r="B969">
            <v>42907</v>
          </cell>
        </row>
        <row r="970">
          <cell r="A970">
            <v>969</v>
          </cell>
          <cell r="B970">
            <v>42907</v>
          </cell>
        </row>
        <row r="971">
          <cell r="A971">
            <v>970</v>
          </cell>
          <cell r="B971">
            <v>42908</v>
          </cell>
        </row>
        <row r="972">
          <cell r="A972">
            <v>971</v>
          </cell>
          <cell r="B972">
            <v>42908</v>
          </cell>
        </row>
        <row r="973">
          <cell r="A973">
            <v>972</v>
          </cell>
          <cell r="B973">
            <v>42909</v>
          </cell>
        </row>
        <row r="974">
          <cell r="A974">
            <v>973</v>
          </cell>
          <cell r="B974">
            <v>42910</v>
          </cell>
        </row>
        <row r="975">
          <cell r="A975">
            <v>974</v>
          </cell>
          <cell r="B975">
            <v>42910</v>
          </cell>
        </row>
        <row r="976">
          <cell r="A976">
            <v>975</v>
          </cell>
          <cell r="B976">
            <v>42911</v>
          </cell>
        </row>
        <row r="977">
          <cell r="A977">
            <v>976</v>
          </cell>
          <cell r="B977">
            <v>42911</v>
          </cell>
        </row>
        <row r="978">
          <cell r="A978">
            <v>977</v>
          </cell>
          <cell r="B978">
            <v>42912</v>
          </cell>
        </row>
        <row r="979">
          <cell r="A979">
            <v>978</v>
          </cell>
          <cell r="B979">
            <v>42912</v>
          </cell>
        </row>
        <row r="980">
          <cell r="A980">
            <v>979</v>
          </cell>
          <cell r="B980">
            <v>42912</v>
          </cell>
        </row>
        <row r="981">
          <cell r="A981">
            <v>980</v>
          </cell>
          <cell r="B981">
            <v>42912</v>
          </cell>
        </row>
        <row r="982">
          <cell r="A982">
            <v>981</v>
          </cell>
          <cell r="B982">
            <v>42912</v>
          </cell>
        </row>
        <row r="983">
          <cell r="A983">
            <v>982</v>
          </cell>
          <cell r="B983">
            <v>42912</v>
          </cell>
        </row>
        <row r="984">
          <cell r="A984">
            <v>983</v>
          </cell>
          <cell r="B984">
            <v>42913</v>
          </cell>
        </row>
        <row r="985">
          <cell r="A985">
            <v>984</v>
          </cell>
          <cell r="B985">
            <v>42913</v>
          </cell>
        </row>
        <row r="986">
          <cell r="A986">
            <v>985</v>
          </cell>
          <cell r="B986">
            <v>42916</v>
          </cell>
        </row>
        <row r="987">
          <cell r="A987">
            <v>986</v>
          </cell>
          <cell r="B987">
            <v>42916</v>
          </cell>
        </row>
        <row r="988">
          <cell r="A988">
            <v>987</v>
          </cell>
          <cell r="B988">
            <v>42918</v>
          </cell>
        </row>
        <row r="989">
          <cell r="A989">
            <v>988</v>
          </cell>
          <cell r="B989">
            <v>42918</v>
          </cell>
        </row>
        <row r="990">
          <cell r="A990">
            <v>989</v>
          </cell>
          <cell r="B990">
            <v>42918</v>
          </cell>
        </row>
        <row r="991">
          <cell r="A991">
            <v>990</v>
          </cell>
          <cell r="B991">
            <v>42920</v>
          </cell>
        </row>
        <row r="992">
          <cell r="A992">
            <v>991</v>
          </cell>
          <cell r="B992">
            <v>42922</v>
          </cell>
        </row>
        <row r="993">
          <cell r="A993">
            <v>992</v>
          </cell>
          <cell r="B993">
            <v>42923</v>
          </cell>
        </row>
        <row r="994">
          <cell r="A994">
            <v>993</v>
          </cell>
          <cell r="B994">
            <v>42925</v>
          </cell>
        </row>
        <row r="995">
          <cell r="A995">
            <v>994</v>
          </cell>
          <cell r="B995">
            <v>42925</v>
          </cell>
        </row>
        <row r="996">
          <cell r="A996">
            <v>995</v>
          </cell>
          <cell r="B996">
            <v>42927</v>
          </cell>
        </row>
        <row r="997">
          <cell r="A997">
            <v>996</v>
          </cell>
          <cell r="B997">
            <v>42927</v>
          </cell>
        </row>
        <row r="998">
          <cell r="A998">
            <v>997</v>
          </cell>
          <cell r="B998">
            <v>42927</v>
          </cell>
        </row>
        <row r="999">
          <cell r="A999">
            <v>998</v>
          </cell>
          <cell r="B999">
            <v>42928</v>
          </cell>
        </row>
        <row r="1000">
          <cell r="A1000">
            <v>999</v>
          </cell>
          <cell r="B1000">
            <v>42928</v>
          </cell>
        </row>
        <row r="1001">
          <cell r="A1001">
            <v>1000</v>
          </cell>
          <cell r="B1001">
            <v>42928</v>
          </cell>
        </row>
        <row r="1002">
          <cell r="A1002">
            <v>1001</v>
          </cell>
          <cell r="B1002">
            <v>42929</v>
          </cell>
        </row>
        <row r="1003">
          <cell r="A1003">
            <v>1002</v>
          </cell>
          <cell r="B1003">
            <v>42930</v>
          </cell>
        </row>
        <row r="1004">
          <cell r="A1004">
            <v>1003</v>
          </cell>
          <cell r="B1004">
            <v>42930</v>
          </cell>
        </row>
        <row r="1005">
          <cell r="A1005">
            <v>1004</v>
          </cell>
          <cell r="B1005">
            <v>42930</v>
          </cell>
        </row>
        <row r="1006">
          <cell r="A1006">
            <v>1005</v>
          </cell>
          <cell r="B1006">
            <v>42931</v>
          </cell>
        </row>
        <row r="1007">
          <cell r="A1007">
            <v>1006</v>
          </cell>
          <cell r="B1007">
            <v>42931</v>
          </cell>
        </row>
        <row r="1008">
          <cell r="A1008">
            <v>1007</v>
          </cell>
          <cell r="B1008">
            <v>42932</v>
          </cell>
        </row>
        <row r="1009">
          <cell r="A1009">
            <v>1008</v>
          </cell>
          <cell r="B1009">
            <v>42932</v>
          </cell>
        </row>
        <row r="1010">
          <cell r="A1010">
            <v>1009</v>
          </cell>
          <cell r="B1010">
            <v>42932</v>
          </cell>
        </row>
        <row r="1011">
          <cell r="A1011">
            <v>1010</v>
          </cell>
          <cell r="B1011">
            <v>42934</v>
          </cell>
        </row>
        <row r="1012">
          <cell r="A1012">
            <v>1011</v>
          </cell>
          <cell r="B1012">
            <v>42934</v>
          </cell>
        </row>
        <row r="1013">
          <cell r="A1013">
            <v>1012</v>
          </cell>
          <cell r="B1013">
            <v>42934</v>
          </cell>
        </row>
        <row r="1014">
          <cell r="A1014">
            <v>1013</v>
          </cell>
          <cell r="B1014">
            <v>42935</v>
          </cell>
        </row>
        <row r="1015">
          <cell r="A1015">
            <v>1014</v>
          </cell>
          <cell r="B1015">
            <v>42935</v>
          </cell>
        </row>
        <row r="1016">
          <cell r="A1016">
            <v>1015</v>
          </cell>
          <cell r="B1016">
            <v>42935</v>
          </cell>
        </row>
        <row r="1017">
          <cell r="A1017">
            <v>1016</v>
          </cell>
          <cell r="B1017">
            <v>42935</v>
          </cell>
        </row>
        <row r="1018">
          <cell r="A1018">
            <v>1017</v>
          </cell>
          <cell r="B1018">
            <v>42936</v>
          </cell>
        </row>
        <row r="1019">
          <cell r="A1019">
            <v>1018</v>
          </cell>
          <cell r="B1019">
            <v>42938</v>
          </cell>
        </row>
        <row r="1020">
          <cell r="A1020">
            <v>1019</v>
          </cell>
          <cell r="B1020">
            <v>42938</v>
          </cell>
        </row>
        <row r="1021">
          <cell r="A1021">
            <v>1020</v>
          </cell>
          <cell r="B1021">
            <v>42939</v>
          </cell>
        </row>
        <row r="1022">
          <cell r="A1022">
            <v>1021</v>
          </cell>
          <cell r="B1022">
            <v>42939</v>
          </cell>
        </row>
        <row r="1023">
          <cell r="A1023">
            <v>1022</v>
          </cell>
          <cell r="B1023">
            <v>42939</v>
          </cell>
        </row>
        <row r="1024">
          <cell r="A1024">
            <v>1023</v>
          </cell>
          <cell r="B1024">
            <v>42939</v>
          </cell>
        </row>
        <row r="1025">
          <cell r="A1025">
            <v>1024</v>
          </cell>
          <cell r="B1025">
            <v>42939</v>
          </cell>
        </row>
        <row r="1026">
          <cell r="A1026">
            <v>1025</v>
          </cell>
          <cell r="B1026">
            <v>42939</v>
          </cell>
        </row>
        <row r="1027">
          <cell r="A1027">
            <v>1026</v>
          </cell>
          <cell r="B1027">
            <v>42942</v>
          </cell>
        </row>
        <row r="1028">
          <cell r="A1028">
            <v>1027</v>
          </cell>
          <cell r="B1028">
            <v>42942</v>
          </cell>
        </row>
        <row r="1029">
          <cell r="A1029">
            <v>1028</v>
          </cell>
          <cell r="B1029">
            <v>42943</v>
          </cell>
        </row>
        <row r="1030">
          <cell r="A1030">
            <v>1029</v>
          </cell>
          <cell r="B1030">
            <v>42945</v>
          </cell>
        </row>
        <row r="1031">
          <cell r="A1031">
            <v>1030</v>
          </cell>
          <cell r="B1031">
            <v>42945</v>
          </cell>
        </row>
        <row r="1032">
          <cell r="A1032">
            <v>1031</v>
          </cell>
          <cell r="B1032">
            <v>42946</v>
          </cell>
        </row>
        <row r="1033">
          <cell r="A1033">
            <v>1032</v>
          </cell>
          <cell r="B1033">
            <v>42946</v>
          </cell>
        </row>
        <row r="1034">
          <cell r="A1034">
            <v>1033</v>
          </cell>
          <cell r="B1034">
            <v>42946</v>
          </cell>
        </row>
        <row r="1035">
          <cell r="A1035">
            <v>1034</v>
          </cell>
          <cell r="B1035">
            <v>42946</v>
          </cell>
        </row>
        <row r="1036">
          <cell r="A1036">
            <v>1035</v>
          </cell>
          <cell r="B1036">
            <v>42946</v>
          </cell>
        </row>
        <row r="1037">
          <cell r="A1037">
            <v>1036</v>
          </cell>
          <cell r="B1037">
            <v>42946</v>
          </cell>
        </row>
        <row r="1038">
          <cell r="A1038">
            <v>1037</v>
          </cell>
          <cell r="B1038">
            <v>42947</v>
          </cell>
        </row>
        <row r="1039">
          <cell r="A1039">
            <v>1038</v>
          </cell>
          <cell r="B1039">
            <v>42947</v>
          </cell>
        </row>
        <row r="1040">
          <cell r="A1040">
            <v>1039</v>
          </cell>
          <cell r="B1040">
            <v>42949</v>
          </cell>
        </row>
        <row r="1041">
          <cell r="A1041">
            <v>1040</v>
          </cell>
          <cell r="B1041">
            <v>42951</v>
          </cell>
        </row>
        <row r="1042">
          <cell r="A1042">
            <v>1041</v>
          </cell>
          <cell r="B1042">
            <v>42951</v>
          </cell>
        </row>
        <row r="1043">
          <cell r="A1043">
            <v>1042</v>
          </cell>
          <cell r="B1043">
            <v>42953</v>
          </cell>
        </row>
        <row r="1044">
          <cell r="A1044">
            <v>1043</v>
          </cell>
          <cell r="B1044">
            <v>42953</v>
          </cell>
        </row>
        <row r="1045">
          <cell r="A1045">
            <v>1044</v>
          </cell>
          <cell r="B1045">
            <v>42954</v>
          </cell>
        </row>
        <row r="1046">
          <cell r="A1046">
            <v>1045</v>
          </cell>
          <cell r="B1046">
            <v>42954</v>
          </cell>
        </row>
        <row r="1047">
          <cell r="A1047">
            <v>1046</v>
          </cell>
          <cell r="B1047">
            <v>42954</v>
          </cell>
        </row>
        <row r="1048">
          <cell r="A1048">
            <v>1047</v>
          </cell>
          <cell r="B1048">
            <v>42955</v>
          </cell>
        </row>
        <row r="1049">
          <cell r="A1049">
            <v>1048</v>
          </cell>
          <cell r="B1049">
            <v>42955</v>
          </cell>
        </row>
        <row r="1050">
          <cell r="A1050">
            <v>1049</v>
          </cell>
          <cell r="B1050">
            <v>42956</v>
          </cell>
        </row>
        <row r="1051">
          <cell r="A1051">
            <v>1050</v>
          </cell>
          <cell r="B1051">
            <v>42956</v>
          </cell>
        </row>
        <row r="1052">
          <cell r="A1052">
            <v>1051</v>
          </cell>
          <cell r="B1052">
            <v>42957</v>
          </cell>
        </row>
        <row r="1053">
          <cell r="A1053">
            <v>1052</v>
          </cell>
          <cell r="B1053">
            <v>42957</v>
          </cell>
        </row>
        <row r="1054">
          <cell r="A1054">
            <v>1053</v>
          </cell>
          <cell r="B1054">
            <v>42957</v>
          </cell>
        </row>
        <row r="1055">
          <cell r="A1055">
            <v>1054</v>
          </cell>
          <cell r="B1055">
            <v>42958</v>
          </cell>
        </row>
        <row r="1056">
          <cell r="A1056">
            <v>1055</v>
          </cell>
          <cell r="B1056">
            <v>42959</v>
          </cell>
        </row>
        <row r="1057">
          <cell r="A1057">
            <v>1056</v>
          </cell>
          <cell r="B1057">
            <v>42959</v>
          </cell>
        </row>
        <row r="1058">
          <cell r="A1058">
            <v>1057</v>
          </cell>
          <cell r="B1058">
            <v>42959</v>
          </cell>
        </row>
        <row r="1059">
          <cell r="A1059">
            <v>1058</v>
          </cell>
          <cell r="B1059">
            <v>42960</v>
          </cell>
        </row>
        <row r="1060">
          <cell r="A1060">
            <v>1059</v>
          </cell>
          <cell r="B1060">
            <v>42961</v>
          </cell>
        </row>
        <row r="1061">
          <cell r="A1061">
            <v>1060</v>
          </cell>
          <cell r="B1061">
            <v>42962</v>
          </cell>
        </row>
        <row r="1062">
          <cell r="A1062">
            <v>1061</v>
          </cell>
          <cell r="B1062">
            <v>42962</v>
          </cell>
        </row>
        <row r="1063">
          <cell r="A1063">
            <v>1062</v>
          </cell>
          <cell r="B1063">
            <v>42962</v>
          </cell>
        </row>
        <row r="1064">
          <cell r="A1064">
            <v>1063</v>
          </cell>
          <cell r="B1064">
            <v>42963</v>
          </cell>
        </row>
        <row r="1065">
          <cell r="A1065">
            <v>1064</v>
          </cell>
          <cell r="B1065">
            <v>42963</v>
          </cell>
        </row>
        <row r="1066">
          <cell r="A1066">
            <v>1065</v>
          </cell>
          <cell r="B1066">
            <v>42964</v>
          </cell>
        </row>
        <row r="1067">
          <cell r="A1067">
            <v>1066</v>
          </cell>
          <cell r="B1067">
            <v>42964</v>
          </cell>
        </row>
        <row r="1068">
          <cell r="A1068">
            <v>1067</v>
          </cell>
          <cell r="B1068">
            <v>42964</v>
          </cell>
        </row>
        <row r="1069">
          <cell r="A1069">
            <v>1068</v>
          </cell>
          <cell r="B1069">
            <v>42964</v>
          </cell>
        </row>
        <row r="1070">
          <cell r="A1070">
            <v>1069</v>
          </cell>
          <cell r="B1070">
            <v>42964</v>
          </cell>
        </row>
        <row r="1071">
          <cell r="A1071">
            <v>1070</v>
          </cell>
          <cell r="B1071">
            <v>42964</v>
          </cell>
        </row>
        <row r="1072">
          <cell r="A1072">
            <v>1071</v>
          </cell>
          <cell r="B1072">
            <v>42964</v>
          </cell>
        </row>
        <row r="1073">
          <cell r="A1073">
            <v>1072</v>
          </cell>
          <cell r="B1073">
            <v>42965</v>
          </cell>
        </row>
        <row r="1074">
          <cell r="A1074">
            <v>1073</v>
          </cell>
          <cell r="B1074">
            <v>42965</v>
          </cell>
        </row>
        <row r="1075">
          <cell r="A1075">
            <v>1074</v>
          </cell>
          <cell r="B1075">
            <v>42966</v>
          </cell>
        </row>
        <row r="1076">
          <cell r="A1076">
            <v>1075</v>
          </cell>
          <cell r="B1076">
            <v>42966</v>
          </cell>
        </row>
        <row r="1077">
          <cell r="A1077">
            <v>1076</v>
          </cell>
          <cell r="B1077">
            <v>42966</v>
          </cell>
        </row>
        <row r="1078">
          <cell r="A1078">
            <v>1077</v>
          </cell>
          <cell r="B1078">
            <v>42966</v>
          </cell>
        </row>
        <row r="1079">
          <cell r="A1079">
            <v>1078</v>
          </cell>
          <cell r="B1079">
            <v>42966</v>
          </cell>
        </row>
        <row r="1080">
          <cell r="A1080">
            <v>1079</v>
          </cell>
          <cell r="B1080">
            <v>42966</v>
          </cell>
        </row>
        <row r="1081">
          <cell r="A1081">
            <v>1080</v>
          </cell>
          <cell r="B1081">
            <v>42966</v>
          </cell>
        </row>
        <row r="1082">
          <cell r="A1082">
            <v>1081</v>
          </cell>
          <cell r="B1082">
            <v>42966</v>
          </cell>
        </row>
        <row r="1083">
          <cell r="A1083">
            <v>1082</v>
          </cell>
          <cell r="B1083">
            <v>42967</v>
          </cell>
        </row>
        <row r="1084">
          <cell r="A1084">
            <v>1083</v>
          </cell>
          <cell r="B1084">
            <v>42967</v>
          </cell>
        </row>
        <row r="1085">
          <cell r="A1085">
            <v>1084</v>
          </cell>
          <cell r="B1085">
            <v>42968</v>
          </cell>
        </row>
        <row r="1086">
          <cell r="A1086">
            <v>1085</v>
          </cell>
          <cell r="B1086">
            <v>42968</v>
          </cell>
        </row>
        <row r="1087">
          <cell r="A1087">
            <v>1086</v>
          </cell>
          <cell r="B1087">
            <v>42968</v>
          </cell>
        </row>
        <row r="1088">
          <cell r="A1088">
            <v>1087</v>
          </cell>
          <cell r="B1088">
            <v>42969</v>
          </cell>
        </row>
        <row r="1089">
          <cell r="A1089">
            <v>1088</v>
          </cell>
          <cell r="B1089">
            <v>42969</v>
          </cell>
        </row>
        <row r="1090">
          <cell r="A1090">
            <v>1089</v>
          </cell>
          <cell r="B1090">
            <v>42970</v>
          </cell>
        </row>
        <row r="1091">
          <cell r="A1091">
            <v>1090</v>
          </cell>
          <cell r="B1091">
            <v>42971</v>
          </cell>
        </row>
        <row r="1092">
          <cell r="A1092">
            <v>1091</v>
          </cell>
          <cell r="B1092">
            <v>42971</v>
          </cell>
        </row>
        <row r="1093">
          <cell r="A1093">
            <v>1092</v>
          </cell>
          <cell r="B1093">
            <v>42972</v>
          </cell>
        </row>
        <row r="1094">
          <cell r="A1094">
            <v>1093</v>
          </cell>
          <cell r="B1094">
            <v>42972</v>
          </cell>
        </row>
        <row r="1095">
          <cell r="A1095">
            <v>1094</v>
          </cell>
          <cell r="B1095">
            <v>42972</v>
          </cell>
        </row>
        <row r="1096">
          <cell r="A1096">
            <v>1095</v>
          </cell>
          <cell r="B1096">
            <v>42973</v>
          </cell>
        </row>
        <row r="1097">
          <cell r="A1097">
            <v>1096</v>
          </cell>
          <cell r="B1097">
            <v>42974</v>
          </cell>
        </row>
        <row r="1098">
          <cell r="A1098">
            <v>1097</v>
          </cell>
          <cell r="B1098">
            <v>42974</v>
          </cell>
        </row>
        <row r="1099">
          <cell r="A1099">
            <v>1098</v>
          </cell>
          <cell r="B1099">
            <v>42975</v>
          </cell>
        </row>
        <row r="1100">
          <cell r="A1100">
            <v>1099</v>
          </cell>
          <cell r="B1100">
            <v>42975</v>
          </cell>
        </row>
        <row r="1101">
          <cell r="A1101">
            <v>1100</v>
          </cell>
          <cell r="B1101">
            <v>42975</v>
          </cell>
        </row>
        <row r="1102">
          <cell r="A1102">
            <v>1101</v>
          </cell>
          <cell r="B1102">
            <v>42976</v>
          </cell>
        </row>
        <row r="1103">
          <cell r="A1103">
            <v>1102</v>
          </cell>
          <cell r="B1103">
            <v>42976</v>
          </cell>
        </row>
        <row r="1104">
          <cell r="A1104">
            <v>1103</v>
          </cell>
          <cell r="B1104">
            <v>42978</v>
          </cell>
        </row>
        <row r="1105">
          <cell r="A1105">
            <v>1104</v>
          </cell>
          <cell r="B1105">
            <v>42979</v>
          </cell>
        </row>
        <row r="1106">
          <cell r="A1106">
            <v>1105</v>
          </cell>
          <cell r="B1106">
            <v>42979</v>
          </cell>
        </row>
        <row r="1107">
          <cell r="A1107">
            <v>1106</v>
          </cell>
          <cell r="B1107">
            <v>42980</v>
          </cell>
        </row>
        <row r="1108">
          <cell r="A1108">
            <v>1107</v>
          </cell>
          <cell r="B1108">
            <v>42980</v>
          </cell>
        </row>
        <row r="1109">
          <cell r="A1109">
            <v>1108</v>
          </cell>
          <cell r="B1109">
            <v>42981</v>
          </cell>
        </row>
        <row r="1110">
          <cell r="A1110">
            <v>1109</v>
          </cell>
          <cell r="B1110">
            <v>42981</v>
          </cell>
        </row>
        <row r="1111">
          <cell r="A1111">
            <v>1110</v>
          </cell>
          <cell r="B1111">
            <v>42982</v>
          </cell>
        </row>
        <row r="1112">
          <cell r="A1112">
            <v>1111</v>
          </cell>
          <cell r="B1112">
            <v>42982</v>
          </cell>
        </row>
        <row r="1113">
          <cell r="A1113">
            <v>1112</v>
          </cell>
          <cell r="B1113">
            <v>42983</v>
          </cell>
        </row>
        <row r="1114">
          <cell r="A1114">
            <v>1113</v>
          </cell>
          <cell r="B1114">
            <v>42984</v>
          </cell>
        </row>
        <row r="1115">
          <cell r="A1115">
            <v>1114</v>
          </cell>
          <cell r="B1115">
            <v>42984</v>
          </cell>
        </row>
        <row r="1116">
          <cell r="A1116">
            <v>1115</v>
          </cell>
          <cell r="B1116">
            <v>42985</v>
          </cell>
        </row>
        <row r="1117">
          <cell r="A1117">
            <v>1116</v>
          </cell>
          <cell r="B1117">
            <v>42986</v>
          </cell>
        </row>
        <row r="1118">
          <cell r="A1118">
            <v>1117</v>
          </cell>
          <cell r="B1118">
            <v>42986</v>
          </cell>
        </row>
        <row r="1119">
          <cell r="A1119">
            <v>1118</v>
          </cell>
          <cell r="B1119">
            <v>42986</v>
          </cell>
        </row>
        <row r="1120">
          <cell r="A1120">
            <v>1119</v>
          </cell>
          <cell r="B1120">
            <v>42988</v>
          </cell>
        </row>
        <row r="1121">
          <cell r="A1121">
            <v>1120</v>
          </cell>
          <cell r="B1121">
            <v>42988</v>
          </cell>
        </row>
        <row r="1122">
          <cell r="A1122">
            <v>1121</v>
          </cell>
          <cell r="B1122">
            <v>42989</v>
          </cell>
        </row>
        <row r="1123">
          <cell r="A1123">
            <v>1122</v>
          </cell>
          <cell r="B1123">
            <v>42990</v>
          </cell>
        </row>
        <row r="1124">
          <cell r="A1124">
            <v>1123</v>
          </cell>
          <cell r="B1124">
            <v>42991</v>
          </cell>
        </row>
        <row r="1125">
          <cell r="A1125">
            <v>1124</v>
          </cell>
          <cell r="B1125">
            <v>42991</v>
          </cell>
        </row>
        <row r="1126">
          <cell r="A1126">
            <v>1125</v>
          </cell>
          <cell r="B1126">
            <v>42992</v>
          </cell>
        </row>
        <row r="1127">
          <cell r="A1127">
            <v>1126</v>
          </cell>
          <cell r="B1127">
            <v>42992</v>
          </cell>
        </row>
        <row r="1128">
          <cell r="A1128">
            <v>1127</v>
          </cell>
          <cell r="B1128">
            <v>42993</v>
          </cell>
        </row>
        <row r="1129">
          <cell r="A1129">
            <v>1128</v>
          </cell>
          <cell r="B1129">
            <v>42993</v>
          </cell>
        </row>
        <row r="1130">
          <cell r="A1130">
            <v>1129</v>
          </cell>
          <cell r="B1130">
            <v>42995</v>
          </cell>
        </row>
        <row r="1131">
          <cell r="A1131">
            <v>1130</v>
          </cell>
          <cell r="B1131">
            <v>42996</v>
          </cell>
        </row>
        <row r="1132">
          <cell r="A1132">
            <v>1131</v>
          </cell>
          <cell r="B1132">
            <v>42996</v>
          </cell>
        </row>
        <row r="1133">
          <cell r="A1133">
            <v>1132</v>
          </cell>
          <cell r="B1133">
            <v>42997</v>
          </cell>
        </row>
        <row r="1134">
          <cell r="A1134">
            <v>1133</v>
          </cell>
          <cell r="B1134">
            <v>42997</v>
          </cell>
        </row>
        <row r="1135">
          <cell r="A1135">
            <v>1134</v>
          </cell>
          <cell r="B1135">
            <v>42997</v>
          </cell>
        </row>
        <row r="1136">
          <cell r="A1136">
            <v>1135</v>
          </cell>
          <cell r="B1136">
            <v>42997</v>
          </cell>
        </row>
        <row r="1137">
          <cell r="A1137">
            <v>1136</v>
          </cell>
          <cell r="B1137">
            <v>42998</v>
          </cell>
        </row>
        <row r="1138">
          <cell r="A1138">
            <v>1137</v>
          </cell>
          <cell r="B1138">
            <v>42998</v>
          </cell>
        </row>
        <row r="1139">
          <cell r="A1139">
            <v>1138</v>
          </cell>
          <cell r="B1139">
            <v>42999</v>
          </cell>
        </row>
        <row r="1140">
          <cell r="A1140">
            <v>1139</v>
          </cell>
          <cell r="B1140">
            <v>42999</v>
          </cell>
        </row>
        <row r="1141">
          <cell r="A1141">
            <v>1140</v>
          </cell>
          <cell r="B1141">
            <v>42999</v>
          </cell>
        </row>
        <row r="1142">
          <cell r="A1142">
            <v>1141</v>
          </cell>
          <cell r="B1142">
            <v>43000</v>
          </cell>
        </row>
        <row r="1143">
          <cell r="A1143">
            <v>1142</v>
          </cell>
          <cell r="B1143">
            <v>43001</v>
          </cell>
        </row>
        <row r="1144">
          <cell r="A1144">
            <v>1143</v>
          </cell>
          <cell r="B1144">
            <v>43002</v>
          </cell>
        </row>
        <row r="1145">
          <cell r="A1145">
            <v>1144</v>
          </cell>
          <cell r="B1145">
            <v>43002</v>
          </cell>
        </row>
        <row r="1146">
          <cell r="A1146">
            <v>1145</v>
          </cell>
          <cell r="B1146">
            <v>43003</v>
          </cell>
        </row>
        <row r="1147">
          <cell r="A1147">
            <v>1146</v>
          </cell>
          <cell r="B1147">
            <v>43003</v>
          </cell>
        </row>
        <row r="1148">
          <cell r="A1148">
            <v>1147</v>
          </cell>
          <cell r="B1148">
            <v>43003</v>
          </cell>
        </row>
        <row r="1149">
          <cell r="A1149">
            <v>1148</v>
          </cell>
          <cell r="B1149">
            <v>43003</v>
          </cell>
        </row>
        <row r="1150">
          <cell r="A1150">
            <v>1149</v>
          </cell>
          <cell r="B1150">
            <v>43005</v>
          </cell>
        </row>
        <row r="1151">
          <cell r="A1151">
            <v>1150</v>
          </cell>
          <cell r="B1151">
            <v>43006</v>
          </cell>
        </row>
        <row r="1152">
          <cell r="A1152">
            <v>1151</v>
          </cell>
          <cell r="B1152">
            <v>43007</v>
          </cell>
        </row>
        <row r="1153">
          <cell r="A1153">
            <v>1152</v>
          </cell>
          <cell r="B1153">
            <v>43007</v>
          </cell>
        </row>
        <row r="1154">
          <cell r="A1154">
            <v>1153</v>
          </cell>
          <cell r="B1154">
            <v>43008</v>
          </cell>
        </row>
        <row r="1155">
          <cell r="A1155">
            <v>1154</v>
          </cell>
          <cell r="B1155">
            <v>43008</v>
          </cell>
        </row>
        <row r="1156">
          <cell r="A1156">
            <v>1155</v>
          </cell>
          <cell r="B1156">
            <v>43008</v>
          </cell>
        </row>
        <row r="1157">
          <cell r="A1157">
            <v>1156</v>
          </cell>
          <cell r="B1157">
            <v>43008</v>
          </cell>
        </row>
        <row r="1158">
          <cell r="A1158">
            <v>1157</v>
          </cell>
          <cell r="B1158">
            <v>43009</v>
          </cell>
        </row>
        <row r="1159">
          <cell r="A1159">
            <v>1158</v>
          </cell>
          <cell r="B1159">
            <v>43009</v>
          </cell>
        </row>
        <row r="1160">
          <cell r="A1160">
            <v>1159</v>
          </cell>
          <cell r="B1160">
            <v>43009</v>
          </cell>
        </row>
        <row r="1161">
          <cell r="A1161">
            <v>1160</v>
          </cell>
          <cell r="B1161">
            <v>43009</v>
          </cell>
        </row>
        <row r="1162">
          <cell r="A1162">
            <v>1161</v>
          </cell>
          <cell r="B1162">
            <v>43009</v>
          </cell>
        </row>
        <row r="1163">
          <cell r="A1163">
            <v>1162</v>
          </cell>
          <cell r="B1163">
            <v>43009</v>
          </cell>
        </row>
        <row r="1164">
          <cell r="A1164">
            <v>1163</v>
          </cell>
          <cell r="B1164">
            <v>43009</v>
          </cell>
        </row>
        <row r="1165">
          <cell r="A1165">
            <v>1164</v>
          </cell>
          <cell r="B1165">
            <v>43009</v>
          </cell>
        </row>
        <row r="1166">
          <cell r="A1166">
            <v>1165</v>
          </cell>
          <cell r="B1166">
            <v>43010</v>
          </cell>
        </row>
        <row r="1167">
          <cell r="A1167">
            <v>1166</v>
          </cell>
          <cell r="B1167">
            <v>43011</v>
          </cell>
        </row>
        <row r="1168">
          <cell r="A1168">
            <v>1167</v>
          </cell>
          <cell r="B1168">
            <v>43012</v>
          </cell>
        </row>
        <row r="1169">
          <cell r="A1169">
            <v>1168</v>
          </cell>
          <cell r="B1169">
            <v>43012</v>
          </cell>
        </row>
        <row r="1170">
          <cell r="A1170">
            <v>1169</v>
          </cell>
          <cell r="B1170">
            <v>43012</v>
          </cell>
        </row>
        <row r="1171">
          <cell r="A1171">
            <v>1170</v>
          </cell>
          <cell r="B1171">
            <v>43013</v>
          </cell>
        </row>
        <row r="1172">
          <cell r="A1172">
            <v>1171</v>
          </cell>
          <cell r="B1172">
            <v>43013</v>
          </cell>
        </row>
        <row r="1173">
          <cell r="A1173">
            <v>1172</v>
          </cell>
          <cell r="B1173">
            <v>43015</v>
          </cell>
        </row>
        <row r="1174">
          <cell r="A1174">
            <v>1173</v>
          </cell>
          <cell r="B1174">
            <v>43016</v>
          </cell>
        </row>
        <row r="1175">
          <cell r="A1175">
            <v>1174</v>
          </cell>
          <cell r="B1175">
            <v>43016</v>
          </cell>
        </row>
        <row r="1176">
          <cell r="A1176">
            <v>1175</v>
          </cell>
          <cell r="B1176">
            <v>43017</v>
          </cell>
        </row>
        <row r="1177">
          <cell r="A1177">
            <v>1176</v>
          </cell>
          <cell r="B1177">
            <v>43018</v>
          </cell>
        </row>
        <row r="1178">
          <cell r="A1178">
            <v>1177</v>
          </cell>
          <cell r="B1178">
            <v>43020</v>
          </cell>
        </row>
        <row r="1179">
          <cell r="A1179">
            <v>1178</v>
          </cell>
          <cell r="B1179">
            <v>43020</v>
          </cell>
        </row>
        <row r="1180">
          <cell r="A1180">
            <v>1179</v>
          </cell>
          <cell r="B1180">
            <v>43020</v>
          </cell>
        </row>
        <row r="1181">
          <cell r="A1181">
            <v>1180</v>
          </cell>
          <cell r="B1181">
            <v>43021</v>
          </cell>
        </row>
        <row r="1182">
          <cell r="A1182">
            <v>1181</v>
          </cell>
          <cell r="B1182">
            <v>43021</v>
          </cell>
        </row>
        <row r="1183">
          <cell r="A1183">
            <v>1182</v>
          </cell>
          <cell r="B1183">
            <v>43021</v>
          </cell>
        </row>
        <row r="1184">
          <cell r="A1184">
            <v>1183</v>
          </cell>
          <cell r="B1184">
            <v>43022</v>
          </cell>
        </row>
        <row r="1185">
          <cell r="A1185">
            <v>1184</v>
          </cell>
          <cell r="B1185">
            <v>43022</v>
          </cell>
        </row>
        <row r="1186">
          <cell r="A1186">
            <v>1185</v>
          </cell>
          <cell r="B1186">
            <v>43022</v>
          </cell>
        </row>
        <row r="1187">
          <cell r="A1187">
            <v>1186</v>
          </cell>
          <cell r="B1187">
            <v>43022</v>
          </cell>
        </row>
        <row r="1188">
          <cell r="A1188">
            <v>1187</v>
          </cell>
          <cell r="B1188">
            <v>43023</v>
          </cell>
        </row>
        <row r="1189">
          <cell r="A1189">
            <v>1188</v>
          </cell>
          <cell r="B1189">
            <v>43023</v>
          </cell>
        </row>
        <row r="1190">
          <cell r="A1190">
            <v>1189</v>
          </cell>
          <cell r="B1190">
            <v>43023</v>
          </cell>
        </row>
        <row r="1191">
          <cell r="A1191">
            <v>1190</v>
          </cell>
          <cell r="B1191">
            <v>43024</v>
          </cell>
        </row>
        <row r="1192">
          <cell r="A1192">
            <v>1191</v>
          </cell>
          <cell r="B1192">
            <v>43025</v>
          </cell>
        </row>
        <row r="1193">
          <cell r="A1193">
            <v>1192</v>
          </cell>
          <cell r="B1193">
            <v>43025</v>
          </cell>
        </row>
        <row r="1194">
          <cell r="A1194">
            <v>1193</v>
          </cell>
          <cell r="B1194">
            <v>43025</v>
          </cell>
        </row>
        <row r="1195">
          <cell r="A1195">
            <v>1194</v>
          </cell>
          <cell r="B1195">
            <v>43027</v>
          </cell>
        </row>
        <row r="1196">
          <cell r="A1196">
            <v>1195</v>
          </cell>
          <cell r="B1196">
            <v>43027</v>
          </cell>
        </row>
        <row r="1197">
          <cell r="A1197">
            <v>1196</v>
          </cell>
          <cell r="B1197">
            <v>43027</v>
          </cell>
        </row>
        <row r="1198">
          <cell r="A1198">
            <v>1197</v>
          </cell>
          <cell r="B1198">
            <v>43029</v>
          </cell>
        </row>
        <row r="1199">
          <cell r="A1199">
            <v>1198</v>
          </cell>
          <cell r="B1199">
            <v>43030</v>
          </cell>
        </row>
        <row r="1200">
          <cell r="A1200">
            <v>1199</v>
          </cell>
          <cell r="B1200">
            <v>43031</v>
          </cell>
        </row>
        <row r="1201">
          <cell r="A1201">
            <v>1200</v>
          </cell>
          <cell r="B1201">
            <v>43031</v>
          </cell>
        </row>
        <row r="1202">
          <cell r="A1202">
            <v>1201</v>
          </cell>
          <cell r="B1202">
            <v>43031</v>
          </cell>
        </row>
        <row r="1203">
          <cell r="A1203">
            <v>1202</v>
          </cell>
          <cell r="B1203">
            <v>43032</v>
          </cell>
        </row>
        <row r="1204">
          <cell r="A1204">
            <v>1203</v>
          </cell>
          <cell r="B1204">
            <v>43033</v>
          </cell>
        </row>
        <row r="1205">
          <cell r="A1205">
            <v>1204</v>
          </cell>
          <cell r="B1205">
            <v>43033</v>
          </cell>
        </row>
        <row r="1206">
          <cell r="A1206">
            <v>1205</v>
          </cell>
          <cell r="B1206">
            <v>43034</v>
          </cell>
        </row>
        <row r="1207">
          <cell r="A1207">
            <v>1206</v>
          </cell>
          <cell r="B1207">
            <v>43034</v>
          </cell>
        </row>
        <row r="1208">
          <cell r="A1208">
            <v>1207</v>
          </cell>
          <cell r="B1208">
            <v>43034</v>
          </cell>
        </row>
        <row r="1209">
          <cell r="A1209">
            <v>1208</v>
          </cell>
          <cell r="B1209">
            <v>43034</v>
          </cell>
        </row>
        <row r="1210">
          <cell r="A1210">
            <v>1209</v>
          </cell>
          <cell r="B1210">
            <v>43034</v>
          </cell>
        </row>
        <row r="1211">
          <cell r="A1211">
            <v>1210</v>
          </cell>
          <cell r="B1211">
            <v>43034</v>
          </cell>
        </row>
        <row r="1212">
          <cell r="A1212">
            <v>1211</v>
          </cell>
          <cell r="B1212">
            <v>43035</v>
          </cell>
        </row>
        <row r="1213">
          <cell r="A1213">
            <v>1212</v>
          </cell>
          <cell r="B1213">
            <v>43035</v>
          </cell>
        </row>
        <row r="1214">
          <cell r="A1214">
            <v>1213</v>
          </cell>
          <cell r="B1214">
            <v>43035</v>
          </cell>
        </row>
        <row r="1215">
          <cell r="A1215">
            <v>1214</v>
          </cell>
          <cell r="B1215">
            <v>43036</v>
          </cell>
        </row>
        <row r="1216">
          <cell r="A1216">
            <v>1215</v>
          </cell>
          <cell r="B1216">
            <v>43036</v>
          </cell>
        </row>
        <row r="1217">
          <cell r="A1217">
            <v>1216</v>
          </cell>
          <cell r="B1217">
            <v>43036</v>
          </cell>
        </row>
        <row r="1218">
          <cell r="A1218">
            <v>1217</v>
          </cell>
          <cell r="B1218">
            <v>43036</v>
          </cell>
        </row>
        <row r="1219">
          <cell r="A1219">
            <v>1218</v>
          </cell>
          <cell r="B1219">
            <v>43038</v>
          </cell>
        </row>
        <row r="1220">
          <cell r="A1220">
            <v>1219</v>
          </cell>
          <cell r="B1220">
            <v>43038</v>
          </cell>
        </row>
        <row r="1221">
          <cell r="A1221">
            <v>1220</v>
          </cell>
          <cell r="B1221">
            <v>43039</v>
          </cell>
        </row>
        <row r="1222">
          <cell r="A1222">
            <v>1221</v>
          </cell>
          <cell r="B1222">
            <v>43039</v>
          </cell>
        </row>
        <row r="1223">
          <cell r="A1223">
            <v>1222</v>
          </cell>
          <cell r="B1223">
            <v>43040</v>
          </cell>
        </row>
        <row r="1224">
          <cell r="A1224">
            <v>1223</v>
          </cell>
          <cell r="B1224">
            <v>43041</v>
          </cell>
        </row>
        <row r="1225">
          <cell r="A1225">
            <v>1224</v>
          </cell>
          <cell r="B1225">
            <v>43042</v>
          </cell>
        </row>
        <row r="1226">
          <cell r="A1226">
            <v>1225</v>
          </cell>
          <cell r="B1226">
            <v>43043</v>
          </cell>
        </row>
        <row r="1227">
          <cell r="A1227">
            <v>1226</v>
          </cell>
          <cell r="B1227">
            <v>43043</v>
          </cell>
        </row>
        <row r="1228">
          <cell r="A1228">
            <v>1227</v>
          </cell>
          <cell r="B1228">
            <v>43043</v>
          </cell>
        </row>
        <row r="1229">
          <cell r="A1229">
            <v>1228</v>
          </cell>
          <cell r="B1229">
            <v>43043</v>
          </cell>
        </row>
        <row r="1230">
          <cell r="A1230">
            <v>1229</v>
          </cell>
          <cell r="B1230">
            <v>43044</v>
          </cell>
        </row>
        <row r="1231">
          <cell r="A1231">
            <v>1230</v>
          </cell>
          <cell r="B1231">
            <v>43044</v>
          </cell>
        </row>
        <row r="1232">
          <cell r="A1232">
            <v>1231</v>
          </cell>
          <cell r="B1232">
            <v>43044</v>
          </cell>
        </row>
        <row r="1233">
          <cell r="A1233">
            <v>1232</v>
          </cell>
          <cell r="B1233">
            <v>43045</v>
          </cell>
        </row>
        <row r="1234">
          <cell r="A1234">
            <v>1233</v>
          </cell>
          <cell r="B1234">
            <v>43045</v>
          </cell>
        </row>
        <row r="1235">
          <cell r="A1235">
            <v>1234</v>
          </cell>
          <cell r="B1235">
            <v>43046</v>
          </cell>
        </row>
        <row r="1236">
          <cell r="A1236">
            <v>1235</v>
          </cell>
          <cell r="B1236">
            <v>43046</v>
          </cell>
        </row>
        <row r="1237">
          <cell r="A1237">
            <v>1236</v>
          </cell>
          <cell r="B1237">
            <v>43047</v>
          </cell>
        </row>
        <row r="1238">
          <cell r="A1238">
            <v>1237</v>
          </cell>
          <cell r="B1238">
            <v>43048</v>
          </cell>
        </row>
        <row r="1239">
          <cell r="A1239">
            <v>1238</v>
          </cell>
          <cell r="B1239">
            <v>43048</v>
          </cell>
        </row>
        <row r="1240">
          <cell r="A1240">
            <v>1239</v>
          </cell>
          <cell r="B1240">
            <v>43048</v>
          </cell>
        </row>
        <row r="1241">
          <cell r="A1241">
            <v>1240</v>
          </cell>
          <cell r="B1241">
            <v>43049</v>
          </cell>
        </row>
        <row r="1242">
          <cell r="A1242">
            <v>1241</v>
          </cell>
          <cell r="B1242">
            <v>43049</v>
          </cell>
        </row>
        <row r="1243">
          <cell r="A1243">
            <v>1242</v>
          </cell>
          <cell r="B1243">
            <v>43050</v>
          </cell>
        </row>
        <row r="1244">
          <cell r="A1244">
            <v>1243</v>
          </cell>
          <cell r="B1244">
            <v>43050</v>
          </cell>
        </row>
        <row r="1245">
          <cell r="A1245">
            <v>1244</v>
          </cell>
          <cell r="B1245">
            <v>43051</v>
          </cell>
        </row>
        <row r="1246">
          <cell r="A1246">
            <v>1245</v>
          </cell>
          <cell r="B1246">
            <v>43052</v>
          </cell>
        </row>
        <row r="1247">
          <cell r="A1247">
            <v>1246</v>
          </cell>
          <cell r="B1247">
            <v>43052</v>
          </cell>
        </row>
        <row r="1248">
          <cell r="A1248">
            <v>1247</v>
          </cell>
          <cell r="B1248">
            <v>43055</v>
          </cell>
        </row>
        <row r="1249">
          <cell r="A1249">
            <v>1248</v>
          </cell>
          <cell r="B1249">
            <v>43055</v>
          </cell>
        </row>
        <row r="1250">
          <cell r="A1250">
            <v>1249</v>
          </cell>
          <cell r="B1250">
            <v>43056</v>
          </cell>
        </row>
        <row r="1251">
          <cell r="A1251">
            <v>1250</v>
          </cell>
          <cell r="B1251">
            <v>43056</v>
          </cell>
        </row>
        <row r="1252">
          <cell r="A1252">
            <v>1251</v>
          </cell>
          <cell r="B1252">
            <v>43056</v>
          </cell>
        </row>
        <row r="1253">
          <cell r="A1253">
            <v>1252</v>
          </cell>
          <cell r="B1253">
            <v>43057</v>
          </cell>
        </row>
        <row r="1254">
          <cell r="A1254">
            <v>1253</v>
          </cell>
          <cell r="B1254">
            <v>43057</v>
          </cell>
        </row>
        <row r="1255">
          <cell r="A1255">
            <v>1254</v>
          </cell>
          <cell r="B1255">
            <v>43057</v>
          </cell>
        </row>
        <row r="1256">
          <cell r="A1256">
            <v>1255</v>
          </cell>
          <cell r="B1256">
            <v>43058</v>
          </cell>
        </row>
        <row r="1257">
          <cell r="A1257">
            <v>1256</v>
          </cell>
          <cell r="B1257">
            <v>43058</v>
          </cell>
        </row>
        <row r="1258">
          <cell r="A1258">
            <v>1257</v>
          </cell>
          <cell r="B1258">
            <v>43058</v>
          </cell>
        </row>
        <row r="1259">
          <cell r="A1259">
            <v>1258</v>
          </cell>
          <cell r="B1259">
            <v>43059</v>
          </cell>
        </row>
        <row r="1260">
          <cell r="A1260">
            <v>1259</v>
          </cell>
          <cell r="B1260">
            <v>43060</v>
          </cell>
        </row>
        <row r="1261">
          <cell r="A1261">
            <v>1260</v>
          </cell>
          <cell r="B1261">
            <v>43061</v>
          </cell>
        </row>
        <row r="1262">
          <cell r="A1262">
            <v>1261</v>
          </cell>
          <cell r="B1262">
            <v>43062</v>
          </cell>
        </row>
        <row r="1263">
          <cell r="A1263">
            <v>1262</v>
          </cell>
          <cell r="B1263">
            <v>43062</v>
          </cell>
        </row>
        <row r="1264">
          <cell r="A1264">
            <v>1263</v>
          </cell>
          <cell r="B1264">
            <v>43062</v>
          </cell>
        </row>
        <row r="1265">
          <cell r="A1265">
            <v>1264</v>
          </cell>
          <cell r="B1265">
            <v>43063</v>
          </cell>
        </row>
        <row r="1266">
          <cell r="A1266">
            <v>1265</v>
          </cell>
          <cell r="B1266">
            <v>43063</v>
          </cell>
        </row>
        <row r="1267">
          <cell r="A1267">
            <v>1266</v>
          </cell>
          <cell r="B1267">
            <v>43064</v>
          </cell>
        </row>
        <row r="1268">
          <cell r="A1268">
            <v>1267</v>
          </cell>
          <cell r="B1268">
            <v>43064</v>
          </cell>
        </row>
        <row r="1269">
          <cell r="A1269">
            <v>1268</v>
          </cell>
          <cell r="B1269">
            <v>43065</v>
          </cell>
        </row>
        <row r="1270">
          <cell r="A1270">
            <v>1269</v>
          </cell>
          <cell r="B1270">
            <v>43065</v>
          </cell>
        </row>
        <row r="1271">
          <cell r="A1271">
            <v>1270</v>
          </cell>
          <cell r="B1271">
            <v>43065</v>
          </cell>
        </row>
        <row r="1272">
          <cell r="A1272">
            <v>1271</v>
          </cell>
          <cell r="B1272">
            <v>43066</v>
          </cell>
        </row>
        <row r="1273">
          <cell r="A1273">
            <v>1272</v>
          </cell>
          <cell r="B1273">
            <v>43066</v>
          </cell>
        </row>
        <row r="1274">
          <cell r="A1274">
            <v>1273</v>
          </cell>
          <cell r="B1274">
            <v>43066</v>
          </cell>
        </row>
        <row r="1275">
          <cell r="A1275">
            <v>1274</v>
          </cell>
          <cell r="B1275">
            <v>43067</v>
          </cell>
        </row>
        <row r="1276">
          <cell r="A1276">
            <v>1275</v>
          </cell>
          <cell r="B1276">
            <v>43068</v>
          </cell>
        </row>
        <row r="1277">
          <cell r="A1277">
            <v>1276</v>
          </cell>
          <cell r="B1277">
            <v>43069</v>
          </cell>
        </row>
        <row r="1278">
          <cell r="A1278">
            <v>1277</v>
          </cell>
          <cell r="B1278">
            <v>43070</v>
          </cell>
        </row>
        <row r="1279">
          <cell r="A1279">
            <v>1278</v>
          </cell>
          <cell r="B1279">
            <v>43070</v>
          </cell>
        </row>
        <row r="1280">
          <cell r="A1280">
            <v>1279</v>
          </cell>
          <cell r="B1280">
            <v>43070</v>
          </cell>
        </row>
        <row r="1281">
          <cell r="A1281">
            <v>1280</v>
          </cell>
          <cell r="B1281">
            <v>43070</v>
          </cell>
        </row>
        <row r="1282">
          <cell r="A1282">
            <v>1281</v>
          </cell>
          <cell r="B1282">
            <v>43071</v>
          </cell>
        </row>
        <row r="1283">
          <cell r="A1283">
            <v>1282</v>
          </cell>
          <cell r="B1283">
            <v>43072</v>
          </cell>
        </row>
        <row r="1284">
          <cell r="A1284">
            <v>1283</v>
          </cell>
          <cell r="B1284">
            <v>43073</v>
          </cell>
        </row>
        <row r="1285">
          <cell r="A1285">
            <v>1284</v>
          </cell>
          <cell r="B1285">
            <v>43073</v>
          </cell>
        </row>
        <row r="1286">
          <cell r="A1286">
            <v>1285</v>
          </cell>
          <cell r="B1286">
            <v>43073</v>
          </cell>
        </row>
        <row r="1287">
          <cell r="A1287">
            <v>1286</v>
          </cell>
          <cell r="B1287">
            <v>43073</v>
          </cell>
        </row>
        <row r="1288">
          <cell r="A1288">
            <v>1287</v>
          </cell>
          <cell r="B1288">
            <v>43076</v>
          </cell>
        </row>
        <row r="1289">
          <cell r="A1289">
            <v>1288</v>
          </cell>
          <cell r="B1289">
            <v>43076</v>
          </cell>
        </row>
        <row r="1290">
          <cell r="A1290">
            <v>1289</v>
          </cell>
          <cell r="B1290">
            <v>43077</v>
          </cell>
        </row>
        <row r="1291">
          <cell r="A1291">
            <v>1290</v>
          </cell>
          <cell r="B1291">
            <v>43077</v>
          </cell>
        </row>
        <row r="1292">
          <cell r="A1292">
            <v>1291</v>
          </cell>
          <cell r="B1292">
            <v>43078</v>
          </cell>
        </row>
        <row r="1293">
          <cell r="A1293">
            <v>1292</v>
          </cell>
          <cell r="B1293">
            <v>43079</v>
          </cell>
        </row>
        <row r="1294">
          <cell r="A1294">
            <v>1293</v>
          </cell>
          <cell r="B1294">
            <v>43079</v>
          </cell>
        </row>
        <row r="1295">
          <cell r="A1295">
            <v>1294</v>
          </cell>
          <cell r="B1295">
            <v>43080</v>
          </cell>
        </row>
        <row r="1296">
          <cell r="A1296">
            <v>1295</v>
          </cell>
          <cell r="B1296">
            <v>43080</v>
          </cell>
        </row>
        <row r="1297">
          <cell r="A1297">
            <v>1296</v>
          </cell>
          <cell r="B1297">
            <v>43083</v>
          </cell>
        </row>
        <row r="1298">
          <cell r="A1298">
            <v>1297</v>
          </cell>
          <cell r="B1298">
            <v>43083</v>
          </cell>
        </row>
        <row r="1299">
          <cell r="A1299">
            <v>1298</v>
          </cell>
          <cell r="B1299">
            <v>43083</v>
          </cell>
        </row>
        <row r="1300">
          <cell r="A1300">
            <v>1299</v>
          </cell>
          <cell r="B1300">
            <v>43084</v>
          </cell>
        </row>
        <row r="1301">
          <cell r="A1301">
            <v>1300</v>
          </cell>
          <cell r="B1301">
            <v>43084</v>
          </cell>
        </row>
        <row r="1302">
          <cell r="A1302">
            <v>1301</v>
          </cell>
          <cell r="B1302">
            <v>43085</v>
          </cell>
        </row>
        <row r="1303">
          <cell r="A1303">
            <v>1302</v>
          </cell>
          <cell r="B1303">
            <v>43085</v>
          </cell>
        </row>
        <row r="1304">
          <cell r="A1304">
            <v>1303</v>
          </cell>
          <cell r="B1304">
            <v>43085</v>
          </cell>
        </row>
        <row r="1305">
          <cell r="A1305">
            <v>1304</v>
          </cell>
          <cell r="B1305">
            <v>43085</v>
          </cell>
        </row>
        <row r="1306">
          <cell r="A1306">
            <v>1305</v>
          </cell>
          <cell r="B1306">
            <v>43086</v>
          </cell>
        </row>
        <row r="1307">
          <cell r="A1307">
            <v>1306</v>
          </cell>
          <cell r="B1307">
            <v>43089</v>
          </cell>
        </row>
        <row r="1308">
          <cell r="A1308">
            <v>1307</v>
          </cell>
          <cell r="B1308">
            <v>43091</v>
          </cell>
        </row>
        <row r="1309">
          <cell r="A1309">
            <v>1308</v>
          </cell>
          <cell r="B1309">
            <v>43091</v>
          </cell>
        </row>
        <row r="1310">
          <cell r="A1310">
            <v>1309</v>
          </cell>
          <cell r="B1310">
            <v>43091</v>
          </cell>
        </row>
        <row r="1311">
          <cell r="A1311">
            <v>1310</v>
          </cell>
          <cell r="B1311">
            <v>43093</v>
          </cell>
        </row>
        <row r="1312">
          <cell r="A1312">
            <v>1311</v>
          </cell>
          <cell r="B1312">
            <v>43093</v>
          </cell>
        </row>
        <row r="1313">
          <cell r="A1313">
            <v>1312</v>
          </cell>
          <cell r="B1313">
            <v>43094</v>
          </cell>
        </row>
        <row r="1314">
          <cell r="A1314">
            <v>1313</v>
          </cell>
          <cell r="B1314">
            <v>43094</v>
          </cell>
        </row>
        <row r="1315">
          <cell r="A1315">
            <v>1314</v>
          </cell>
          <cell r="B1315">
            <v>43094</v>
          </cell>
        </row>
        <row r="1316">
          <cell r="A1316">
            <v>1315</v>
          </cell>
          <cell r="B1316">
            <v>43094</v>
          </cell>
        </row>
        <row r="1317">
          <cell r="A1317">
            <v>1316</v>
          </cell>
          <cell r="B1317">
            <v>43095</v>
          </cell>
        </row>
        <row r="1318">
          <cell r="A1318">
            <v>1317</v>
          </cell>
          <cell r="B1318">
            <v>43096</v>
          </cell>
        </row>
        <row r="1319">
          <cell r="A1319">
            <v>1318</v>
          </cell>
          <cell r="B1319">
            <v>43096</v>
          </cell>
        </row>
        <row r="1320">
          <cell r="A1320">
            <v>1319</v>
          </cell>
          <cell r="B1320">
            <v>43096</v>
          </cell>
        </row>
        <row r="1321">
          <cell r="A1321">
            <v>1320</v>
          </cell>
          <cell r="B1321">
            <v>43097</v>
          </cell>
        </row>
        <row r="1322">
          <cell r="A1322">
            <v>1321</v>
          </cell>
          <cell r="B1322">
            <v>43099</v>
          </cell>
        </row>
        <row r="1323">
          <cell r="A1323">
            <v>1322</v>
          </cell>
          <cell r="B1323">
            <v>43100</v>
          </cell>
        </row>
        <row r="1324">
          <cell r="A1324">
            <v>1323</v>
          </cell>
          <cell r="B1324">
            <v>43100</v>
          </cell>
        </row>
        <row r="1325">
          <cell r="A1325">
            <v>1324</v>
          </cell>
          <cell r="B1325">
            <v>43101</v>
          </cell>
        </row>
        <row r="1326">
          <cell r="A1326">
            <v>1325</v>
          </cell>
          <cell r="B1326">
            <v>43101</v>
          </cell>
        </row>
        <row r="1327">
          <cell r="A1327">
            <v>1326</v>
          </cell>
          <cell r="B1327">
            <v>43101</v>
          </cell>
        </row>
        <row r="1328">
          <cell r="A1328">
            <v>1327</v>
          </cell>
          <cell r="B1328">
            <v>43102</v>
          </cell>
        </row>
        <row r="1329">
          <cell r="A1329">
            <v>1328</v>
          </cell>
          <cell r="B1329">
            <v>43102</v>
          </cell>
        </row>
        <row r="1330">
          <cell r="A1330">
            <v>1329</v>
          </cell>
          <cell r="B1330">
            <v>43104</v>
          </cell>
        </row>
        <row r="1331">
          <cell r="A1331">
            <v>1330</v>
          </cell>
          <cell r="B1331">
            <v>43104</v>
          </cell>
        </row>
        <row r="1332">
          <cell r="A1332">
            <v>1331</v>
          </cell>
          <cell r="B1332">
            <v>43105</v>
          </cell>
        </row>
        <row r="1333">
          <cell r="A1333">
            <v>1332</v>
          </cell>
          <cell r="B1333">
            <v>43106</v>
          </cell>
        </row>
        <row r="1334">
          <cell r="A1334">
            <v>1333</v>
          </cell>
          <cell r="B1334">
            <v>43106</v>
          </cell>
        </row>
        <row r="1335">
          <cell r="A1335">
            <v>1334</v>
          </cell>
          <cell r="B1335">
            <v>43107</v>
          </cell>
        </row>
        <row r="1336">
          <cell r="A1336">
            <v>1335</v>
          </cell>
          <cell r="B1336">
            <v>43107</v>
          </cell>
        </row>
        <row r="1337">
          <cell r="A1337">
            <v>1336</v>
          </cell>
          <cell r="B1337">
            <v>43109</v>
          </cell>
        </row>
        <row r="1338">
          <cell r="A1338">
            <v>1337</v>
          </cell>
          <cell r="B1338">
            <v>43109</v>
          </cell>
        </row>
        <row r="1339">
          <cell r="A1339">
            <v>1338</v>
          </cell>
          <cell r="B1339">
            <v>43110</v>
          </cell>
        </row>
        <row r="1340">
          <cell r="A1340">
            <v>1339</v>
          </cell>
          <cell r="B1340">
            <v>43111</v>
          </cell>
        </row>
        <row r="1341">
          <cell r="A1341">
            <v>1340</v>
          </cell>
          <cell r="B1341">
            <v>43112</v>
          </cell>
        </row>
        <row r="1342">
          <cell r="A1342">
            <v>1341</v>
          </cell>
          <cell r="B1342">
            <v>43112</v>
          </cell>
        </row>
        <row r="1343">
          <cell r="A1343">
            <v>1342</v>
          </cell>
          <cell r="B1343">
            <v>43112</v>
          </cell>
        </row>
        <row r="1344">
          <cell r="A1344">
            <v>1343</v>
          </cell>
          <cell r="B1344">
            <v>43113</v>
          </cell>
        </row>
        <row r="1345">
          <cell r="A1345">
            <v>1344</v>
          </cell>
          <cell r="B1345">
            <v>43113</v>
          </cell>
        </row>
        <row r="1346">
          <cell r="A1346">
            <v>1345</v>
          </cell>
          <cell r="B1346">
            <v>43114</v>
          </cell>
        </row>
        <row r="1347">
          <cell r="A1347">
            <v>1346</v>
          </cell>
          <cell r="B1347">
            <v>43114</v>
          </cell>
        </row>
        <row r="1348">
          <cell r="A1348">
            <v>1347</v>
          </cell>
          <cell r="B1348">
            <v>43115</v>
          </cell>
        </row>
        <row r="1349">
          <cell r="A1349">
            <v>1348</v>
          </cell>
          <cell r="B1349">
            <v>43115</v>
          </cell>
        </row>
        <row r="1350">
          <cell r="A1350">
            <v>1349</v>
          </cell>
          <cell r="B1350">
            <v>43115</v>
          </cell>
        </row>
        <row r="1351">
          <cell r="A1351">
            <v>1350</v>
          </cell>
          <cell r="B1351">
            <v>43115</v>
          </cell>
        </row>
        <row r="1352">
          <cell r="A1352">
            <v>1351</v>
          </cell>
          <cell r="B1352">
            <v>43116</v>
          </cell>
        </row>
        <row r="1353">
          <cell r="A1353">
            <v>1352</v>
          </cell>
          <cell r="B1353">
            <v>43116</v>
          </cell>
        </row>
        <row r="1354">
          <cell r="A1354">
            <v>1353</v>
          </cell>
          <cell r="B1354">
            <v>43117</v>
          </cell>
        </row>
        <row r="1355">
          <cell r="A1355">
            <v>1354</v>
          </cell>
          <cell r="B1355">
            <v>43119</v>
          </cell>
        </row>
        <row r="1356">
          <cell r="A1356">
            <v>1355</v>
          </cell>
          <cell r="B1356">
            <v>43119</v>
          </cell>
        </row>
        <row r="1357">
          <cell r="A1357">
            <v>1356</v>
          </cell>
          <cell r="B1357">
            <v>43119</v>
          </cell>
        </row>
        <row r="1358">
          <cell r="A1358">
            <v>1357</v>
          </cell>
          <cell r="B1358">
            <v>43120</v>
          </cell>
        </row>
        <row r="1359">
          <cell r="A1359">
            <v>1358</v>
          </cell>
          <cell r="B1359">
            <v>43121</v>
          </cell>
        </row>
        <row r="1360">
          <cell r="A1360">
            <v>1359</v>
          </cell>
          <cell r="B1360">
            <v>43121</v>
          </cell>
        </row>
        <row r="1361">
          <cell r="A1361">
            <v>1360</v>
          </cell>
          <cell r="B1361">
            <v>43122</v>
          </cell>
        </row>
        <row r="1362">
          <cell r="A1362">
            <v>1361</v>
          </cell>
          <cell r="B1362">
            <v>43122</v>
          </cell>
        </row>
        <row r="1363">
          <cell r="A1363">
            <v>1362</v>
          </cell>
          <cell r="B1363">
            <v>43123</v>
          </cell>
        </row>
        <row r="1364">
          <cell r="A1364">
            <v>1363</v>
          </cell>
          <cell r="B1364">
            <v>43124</v>
          </cell>
        </row>
        <row r="1365">
          <cell r="A1365">
            <v>1364</v>
          </cell>
          <cell r="B1365">
            <v>43125</v>
          </cell>
        </row>
        <row r="1366">
          <cell r="A1366">
            <v>1365</v>
          </cell>
          <cell r="B1366">
            <v>43125</v>
          </cell>
        </row>
        <row r="1367">
          <cell r="A1367">
            <v>1366</v>
          </cell>
          <cell r="B1367">
            <v>43126</v>
          </cell>
        </row>
        <row r="1368">
          <cell r="A1368">
            <v>1367</v>
          </cell>
          <cell r="B1368">
            <v>43127</v>
          </cell>
        </row>
        <row r="1369">
          <cell r="A1369">
            <v>1368</v>
          </cell>
          <cell r="B1369">
            <v>43127</v>
          </cell>
        </row>
        <row r="1370">
          <cell r="A1370">
            <v>1369</v>
          </cell>
          <cell r="B1370">
            <v>43128</v>
          </cell>
        </row>
        <row r="1371">
          <cell r="A1371">
            <v>1370</v>
          </cell>
          <cell r="B1371">
            <v>43128</v>
          </cell>
        </row>
        <row r="1372">
          <cell r="A1372">
            <v>1371</v>
          </cell>
          <cell r="B1372">
            <v>43129</v>
          </cell>
        </row>
        <row r="1373">
          <cell r="A1373">
            <v>1372</v>
          </cell>
          <cell r="B1373">
            <v>43129</v>
          </cell>
        </row>
        <row r="1374">
          <cell r="A1374">
            <v>1373</v>
          </cell>
          <cell r="B1374">
            <v>43129</v>
          </cell>
        </row>
        <row r="1375">
          <cell r="A1375">
            <v>1374</v>
          </cell>
          <cell r="B1375">
            <v>43130</v>
          </cell>
        </row>
        <row r="1376">
          <cell r="A1376">
            <v>1375</v>
          </cell>
          <cell r="B1376">
            <v>43130</v>
          </cell>
        </row>
        <row r="1377">
          <cell r="A1377">
            <v>1376</v>
          </cell>
          <cell r="B1377">
            <v>43132</v>
          </cell>
        </row>
        <row r="1378">
          <cell r="A1378">
            <v>1377</v>
          </cell>
          <cell r="B1378">
            <v>43132</v>
          </cell>
        </row>
        <row r="1379">
          <cell r="A1379">
            <v>1378</v>
          </cell>
          <cell r="B1379">
            <v>43133</v>
          </cell>
        </row>
        <row r="1380">
          <cell r="A1380">
            <v>1379</v>
          </cell>
          <cell r="B1380">
            <v>43133</v>
          </cell>
        </row>
        <row r="1381">
          <cell r="A1381">
            <v>1380</v>
          </cell>
          <cell r="B1381">
            <v>43136</v>
          </cell>
        </row>
        <row r="1382">
          <cell r="A1382">
            <v>1381</v>
          </cell>
          <cell r="B1382">
            <v>43136</v>
          </cell>
        </row>
        <row r="1383">
          <cell r="A1383">
            <v>1382</v>
          </cell>
          <cell r="B1383">
            <v>43137</v>
          </cell>
        </row>
        <row r="1384">
          <cell r="A1384">
            <v>1383</v>
          </cell>
          <cell r="B1384">
            <v>43138</v>
          </cell>
        </row>
        <row r="1385">
          <cell r="A1385">
            <v>1384</v>
          </cell>
          <cell r="B1385">
            <v>43139</v>
          </cell>
        </row>
        <row r="1386">
          <cell r="A1386">
            <v>1385</v>
          </cell>
          <cell r="B1386">
            <v>43139</v>
          </cell>
        </row>
        <row r="1387">
          <cell r="A1387">
            <v>1386</v>
          </cell>
          <cell r="B1387">
            <v>43140</v>
          </cell>
        </row>
        <row r="1388">
          <cell r="A1388">
            <v>1387</v>
          </cell>
          <cell r="B1388">
            <v>43140</v>
          </cell>
        </row>
        <row r="1389">
          <cell r="A1389">
            <v>1388</v>
          </cell>
          <cell r="B1389">
            <v>43140</v>
          </cell>
        </row>
        <row r="1390">
          <cell r="A1390">
            <v>1389</v>
          </cell>
          <cell r="B1390">
            <v>43142</v>
          </cell>
        </row>
        <row r="1391">
          <cell r="A1391">
            <v>1390</v>
          </cell>
          <cell r="B1391">
            <v>43143</v>
          </cell>
        </row>
        <row r="1392">
          <cell r="A1392">
            <v>1391</v>
          </cell>
          <cell r="B1392">
            <v>43144</v>
          </cell>
        </row>
        <row r="1393">
          <cell r="A1393">
            <v>1392</v>
          </cell>
          <cell r="B1393">
            <v>43144</v>
          </cell>
        </row>
        <row r="1394">
          <cell r="A1394">
            <v>1393</v>
          </cell>
          <cell r="B1394">
            <v>43145</v>
          </cell>
        </row>
        <row r="1395">
          <cell r="A1395">
            <v>1394</v>
          </cell>
          <cell r="B1395">
            <v>43145</v>
          </cell>
        </row>
        <row r="1396">
          <cell r="A1396">
            <v>1395</v>
          </cell>
          <cell r="B1396">
            <v>43146</v>
          </cell>
        </row>
        <row r="1397">
          <cell r="A1397">
            <v>1396</v>
          </cell>
          <cell r="B1397">
            <v>43146</v>
          </cell>
        </row>
        <row r="1398">
          <cell r="A1398">
            <v>1397</v>
          </cell>
          <cell r="B1398">
            <v>43146</v>
          </cell>
        </row>
        <row r="1399">
          <cell r="A1399">
            <v>1398</v>
          </cell>
          <cell r="B1399">
            <v>43147</v>
          </cell>
        </row>
        <row r="1400">
          <cell r="A1400">
            <v>1399</v>
          </cell>
          <cell r="B1400">
            <v>43147</v>
          </cell>
        </row>
        <row r="1401">
          <cell r="A1401">
            <v>1400</v>
          </cell>
          <cell r="B1401">
            <v>43148</v>
          </cell>
        </row>
        <row r="1402">
          <cell r="A1402">
            <v>1401</v>
          </cell>
          <cell r="B1402">
            <v>43149</v>
          </cell>
        </row>
        <row r="1403">
          <cell r="A1403">
            <v>1402</v>
          </cell>
          <cell r="B1403">
            <v>43150</v>
          </cell>
        </row>
        <row r="1404">
          <cell r="A1404">
            <v>1403</v>
          </cell>
          <cell r="B1404">
            <v>43152</v>
          </cell>
        </row>
        <row r="1405">
          <cell r="A1405">
            <v>1404</v>
          </cell>
          <cell r="B1405">
            <v>43154</v>
          </cell>
        </row>
        <row r="1406">
          <cell r="A1406">
            <v>1405</v>
          </cell>
          <cell r="B1406">
            <v>43156</v>
          </cell>
        </row>
        <row r="1407">
          <cell r="A1407">
            <v>1406</v>
          </cell>
          <cell r="B1407">
            <v>43156</v>
          </cell>
        </row>
        <row r="1408">
          <cell r="A1408">
            <v>1407</v>
          </cell>
          <cell r="B1408">
            <v>43157</v>
          </cell>
        </row>
        <row r="1409">
          <cell r="A1409">
            <v>1408</v>
          </cell>
          <cell r="B1409">
            <v>43157</v>
          </cell>
        </row>
        <row r="1410">
          <cell r="A1410">
            <v>1409</v>
          </cell>
          <cell r="B1410">
            <v>43157</v>
          </cell>
        </row>
        <row r="1411">
          <cell r="A1411">
            <v>1410</v>
          </cell>
          <cell r="B1411">
            <v>43158</v>
          </cell>
        </row>
        <row r="1412">
          <cell r="A1412">
            <v>1411</v>
          </cell>
          <cell r="B1412">
            <v>43160</v>
          </cell>
        </row>
        <row r="1413">
          <cell r="A1413">
            <v>1412</v>
          </cell>
          <cell r="B1413">
            <v>43160</v>
          </cell>
        </row>
        <row r="1414">
          <cell r="A1414">
            <v>1413</v>
          </cell>
          <cell r="B1414">
            <v>43160</v>
          </cell>
        </row>
        <row r="1415">
          <cell r="A1415">
            <v>1414</v>
          </cell>
          <cell r="B1415">
            <v>43162</v>
          </cell>
        </row>
        <row r="1416">
          <cell r="A1416">
            <v>1415</v>
          </cell>
          <cell r="B1416">
            <v>43162</v>
          </cell>
        </row>
        <row r="1417">
          <cell r="A1417">
            <v>1416</v>
          </cell>
          <cell r="B1417">
            <v>43162</v>
          </cell>
        </row>
        <row r="1418">
          <cell r="A1418">
            <v>1417</v>
          </cell>
          <cell r="B1418">
            <v>43163</v>
          </cell>
        </row>
        <row r="1419">
          <cell r="A1419">
            <v>1418</v>
          </cell>
          <cell r="B1419">
            <v>43163</v>
          </cell>
        </row>
        <row r="1420">
          <cell r="A1420">
            <v>1419</v>
          </cell>
          <cell r="B1420">
            <v>43163</v>
          </cell>
        </row>
        <row r="1421">
          <cell r="A1421">
            <v>1420</v>
          </cell>
          <cell r="B1421">
            <v>43163</v>
          </cell>
        </row>
        <row r="1422">
          <cell r="A1422">
            <v>1421</v>
          </cell>
          <cell r="B1422">
            <v>43164</v>
          </cell>
        </row>
        <row r="1423">
          <cell r="A1423">
            <v>1422</v>
          </cell>
          <cell r="B1423">
            <v>43164</v>
          </cell>
        </row>
        <row r="1424">
          <cell r="A1424">
            <v>1423</v>
          </cell>
          <cell r="B1424">
            <v>43165</v>
          </cell>
        </row>
        <row r="1425">
          <cell r="A1425">
            <v>1424</v>
          </cell>
          <cell r="B1425">
            <v>43166</v>
          </cell>
        </row>
        <row r="1426">
          <cell r="A1426">
            <v>1425</v>
          </cell>
          <cell r="B1426">
            <v>43166</v>
          </cell>
        </row>
        <row r="1427">
          <cell r="A1427">
            <v>1426</v>
          </cell>
          <cell r="B1427">
            <v>43166</v>
          </cell>
        </row>
        <row r="1428">
          <cell r="A1428">
            <v>1427</v>
          </cell>
          <cell r="B1428">
            <v>43166</v>
          </cell>
        </row>
        <row r="1429">
          <cell r="A1429">
            <v>1428</v>
          </cell>
          <cell r="B1429">
            <v>43167</v>
          </cell>
        </row>
        <row r="1430">
          <cell r="A1430">
            <v>1429</v>
          </cell>
          <cell r="B1430">
            <v>43167</v>
          </cell>
        </row>
        <row r="1431">
          <cell r="A1431">
            <v>1430</v>
          </cell>
          <cell r="B1431">
            <v>43169</v>
          </cell>
        </row>
        <row r="1432">
          <cell r="A1432">
            <v>1431</v>
          </cell>
          <cell r="B1432">
            <v>43170</v>
          </cell>
        </row>
        <row r="1433">
          <cell r="A1433">
            <v>1432</v>
          </cell>
          <cell r="B1433">
            <v>43170</v>
          </cell>
        </row>
        <row r="1434">
          <cell r="A1434">
            <v>1433</v>
          </cell>
          <cell r="B1434">
            <v>43170</v>
          </cell>
        </row>
        <row r="1435">
          <cell r="A1435">
            <v>1434</v>
          </cell>
          <cell r="B1435">
            <v>43173</v>
          </cell>
        </row>
        <row r="1436">
          <cell r="A1436">
            <v>1435</v>
          </cell>
          <cell r="B1436">
            <v>43173</v>
          </cell>
        </row>
        <row r="1437">
          <cell r="A1437">
            <v>1436</v>
          </cell>
          <cell r="B1437">
            <v>43173</v>
          </cell>
        </row>
        <row r="1438">
          <cell r="A1438">
            <v>1437</v>
          </cell>
          <cell r="B1438">
            <v>43174</v>
          </cell>
        </row>
        <row r="1439">
          <cell r="A1439">
            <v>1438</v>
          </cell>
          <cell r="B1439">
            <v>43174</v>
          </cell>
        </row>
        <row r="1440">
          <cell r="A1440">
            <v>1439</v>
          </cell>
          <cell r="B1440">
            <v>43174</v>
          </cell>
        </row>
        <row r="1441">
          <cell r="A1441">
            <v>1440</v>
          </cell>
          <cell r="B1441">
            <v>43174</v>
          </cell>
        </row>
        <row r="1442">
          <cell r="A1442">
            <v>1441</v>
          </cell>
          <cell r="B1442">
            <v>43174</v>
          </cell>
        </row>
        <row r="1443">
          <cell r="A1443">
            <v>1442</v>
          </cell>
          <cell r="B1443">
            <v>43175</v>
          </cell>
        </row>
        <row r="1444">
          <cell r="A1444">
            <v>1443</v>
          </cell>
          <cell r="B1444">
            <v>43175</v>
          </cell>
        </row>
        <row r="1445">
          <cell r="A1445">
            <v>1444</v>
          </cell>
          <cell r="B1445">
            <v>43175</v>
          </cell>
        </row>
        <row r="1446">
          <cell r="A1446">
            <v>1445</v>
          </cell>
          <cell r="B1446">
            <v>43176</v>
          </cell>
        </row>
        <row r="1447">
          <cell r="A1447">
            <v>1446</v>
          </cell>
          <cell r="B1447">
            <v>43176</v>
          </cell>
        </row>
        <row r="1448">
          <cell r="A1448">
            <v>1447</v>
          </cell>
          <cell r="B1448">
            <v>43177</v>
          </cell>
        </row>
        <row r="1449">
          <cell r="A1449">
            <v>1448</v>
          </cell>
          <cell r="B1449">
            <v>43177</v>
          </cell>
        </row>
        <row r="1450">
          <cell r="A1450">
            <v>1449</v>
          </cell>
          <cell r="B1450">
            <v>43177</v>
          </cell>
        </row>
        <row r="1451">
          <cell r="A1451">
            <v>1450</v>
          </cell>
          <cell r="B1451">
            <v>43178</v>
          </cell>
        </row>
        <row r="1452">
          <cell r="A1452">
            <v>1451</v>
          </cell>
          <cell r="B1452">
            <v>43178</v>
          </cell>
        </row>
        <row r="1453">
          <cell r="A1453">
            <v>1452</v>
          </cell>
          <cell r="B1453">
            <v>43179</v>
          </cell>
        </row>
        <row r="1454">
          <cell r="A1454">
            <v>1453</v>
          </cell>
          <cell r="B1454">
            <v>43179</v>
          </cell>
        </row>
        <row r="1455">
          <cell r="A1455">
            <v>1454</v>
          </cell>
          <cell r="B1455">
            <v>43179</v>
          </cell>
        </row>
        <row r="1456">
          <cell r="A1456">
            <v>1455</v>
          </cell>
          <cell r="B1456">
            <v>43179</v>
          </cell>
        </row>
        <row r="1457">
          <cell r="A1457">
            <v>1456</v>
          </cell>
          <cell r="B1457">
            <v>43179</v>
          </cell>
        </row>
        <row r="1458">
          <cell r="A1458">
            <v>1457</v>
          </cell>
          <cell r="B1458">
            <v>43179</v>
          </cell>
        </row>
        <row r="1459">
          <cell r="A1459">
            <v>1458</v>
          </cell>
          <cell r="B1459">
            <v>43179</v>
          </cell>
        </row>
        <row r="1460">
          <cell r="A1460">
            <v>1459</v>
          </cell>
          <cell r="B1460">
            <v>43180</v>
          </cell>
        </row>
        <row r="1461">
          <cell r="A1461">
            <v>1460</v>
          </cell>
          <cell r="B1461">
            <v>43180</v>
          </cell>
        </row>
        <row r="1462">
          <cell r="A1462">
            <v>1461</v>
          </cell>
          <cell r="B1462">
            <v>43181</v>
          </cell>
        </row>
        <row r="1463">
          <cell r="A1463">
            <v>1462</v>
          </cell>
          <cell r="B1463">
            <v>43181</v>
          </cell>
        </row>
        <row r="1464">
          <cell r="A1464">
            <v>1463</v>
          </cell>
          <cell r="B1464">
            <v>43182</v>
          </cell>
        </row>
        <row r="1465">
          <cell r="A1465">
            <v>1464</v>
          </cell>
          <cell r="B1465">
            <v>43183</v>
          </cell>
        </row>
        <row r="1466">
          <cell r="A1466">
            <v>1465</v>
          </cell>
          <cell r="B1466">
            <v>43184</v>
          </cell>
        </row>
        <row r="1467">
          <cell r="A1467">
            <v>1466</v>
          </cell>
          <cell r="B1467">
            <v>43185</v>
          </cell>
        </row>
        <row r="1468">
          <cell r="A1468">
            <v>1467</v>
          </cell>
          <cell r="B1468">
            <v>43185</v>
          </cell>
        </row>
        <row r="1469">
          <cell r="A1469">
            <v>1468</v>
          </cell>
          <cell r="B1469">
            <v>43186</v>
          </cell>
        </row>
        <row r="1470">
          <cell r="A1470">
            <v>1469</v>
          </cell>
          <cell r="B1470">
            <v>43186</v>
          </cell>
        </row>
        <row r="1471">
          <cell r="A1471">
            <v>1470</v>
          </cell>
          <cell r="B1471">
            <v>43187</v>
          </cell>
        </row>
        <row r="1472">
          <cell r="A1472">
            <v>1471</v>
          </cell>
          <cell r="B1472">
            <v>43187</v>
          </cell>
        </row>
        <row r="1473">
          <cell r="A1473">
            <v>1472</v>
          </cell>
          <cell r="B1473">
            <v>43188</v>
          </cell>
        </row>
        <row r="1474">
          <cell r="A1474">
            <v>1473</v>
          </cell>
          <cell r="B1474">
            <v>43189</v>
          </cell>
        </row>
        <row r="1475">
          <cell r="A1475">
            <v>1474</v>
          </cell>
          <cell r="B1475">
            <v>43189</v>
          </cell>
        </row>
        <row r="1476">
          <cell r="A1476">
            <v>1475</v>
          </cell>
          <cell r="B1476">
            <v>43189</v>
          </cell>
        </row>
        <row r="1477">
          <cell r="A1477">
            <v>1476</v>
          </cell>
          <cell r="B1477">
            <v>43190</v>
          </cell>
        </row>
        <row r="1478">
          <cell r="A1478">
            <v>1477</v>
          </cell>
          <cell r="B1478">
            <v>43190</v>
          </cell>
        </row>
        <row r="1479">
          <cell r="A1479">
            <v>1478</v>
          </cell>
          <cell r="B1479">
            <v>43190</v>
          </cell>
        </row>
        <row r="1480">
          <cell r="A1480">
            <v>1479</v>
          </cell>
          <cell r="B1480">
            <v>43191</v>
          </cell>
        </row>
        <row r="1481">
          <cell r="A1481">
            <v>1480</v>
          </cell>
          <cell r="B1481">
            <v>43191</v>
          </cell>
        </row>
        <row r="1482">
          <cell r="A1482">
            <v>1481</v>
          </cell>
          <cell r="B1482">
            <v>43191</v>
          </cell>
        </row>
        <row r="1483">
          <cell r="A1483">
            <v>1482</v>
          </cell>
          <cell r="B1483">
            <v>43191</v>
          </cell>
        </row>
        <row r="1484">
          <cell r="A1484">
            <v>1483</v>
          </cell>
          <cell r="B1484">
            <v>43192</v>
          </cell>
        </row>
        <row r="1485">
          <cell r="A1485">
            <v>1484</v>
          </cell>
          <cell r="B1485">
            <v>43192</v>
          </cell>
        </row>
        <row r="1486">
          <cell r="A1486">
            <v>1485</v>
          </cell>
          <cell r="B1486">
            <v>43192</v>
          </cell>
        </row>
        <row r="1487">
          <cell r="A1487">
            <v>1486</v>
          </cell>
          <cell r="B1487">
            <v>43192</v>
          </cell>
        </row>
        <row r="1488">
          <cell r="A1488">
            <v>1487</v>
          </cell>
          <cell r="B1488">
            <v>43193</v>
          </cell>
        </row>
        <row r="1489">
          <cell r="A1489">
            <v>1488</v>
          </cell>
          <cell r="B1489">
            <v>43193</v>
          </cell>
        </row>
        <row r="1490">
          <cell r="A1490">
            <v>1489</v>
          </cell>
          <cell r="B1490">
            <v>43193</v>
          </cell>
        </row>
        <row r="1491">
          <cell r="A1491">
            <v>1490</v>
          </cell>
          <cell r="B1491">
            <v>43193</v>
          </cell>
        </row>
        <row r="1492">
          <cell r="A1492">
            <v>1491</v>
          </cell>
          <cell r="B1492">
            <v>43194</v>
          </cell>
        </row>
        <row r="1493">
          <cell r="A1493">
            <v>1492</v>
          </cell>
          <cell r="B1493">
            <v>43194</v>
          </cell>
        </row>
        <row r="1494">
          <cell r="A1494">
            <v>1493</v>
          </cell>
          <cell r="B1494">
            <v>43194</v>
          </cell>
        </row>
        <row r="1495">
          <cell r="A1495">
            <v>1494</v>
          </cell>
          <cell r="B1495">
            <v>43195</v>
          </cell>
        </row>
        <row r="1496">
          <cell r="A1496">
            <v>1495</v>
          </cell>
          <cell r="B1496">
            <v>43195</v>
          </cell>
        </row>
        <row r="1497">
          <cell r="A1497">
            <v>1496</v>
          </cell>
          <cell r="B1497">
            <v>43196</v>
          </cell>
        </row>
        <row r="1498">
          <cell r="A1498">
            <v>1497</v>
          </cell>
          <cell r="B1498">
            <v>43196</v>
          </cell>
        </row>
        <row r="1499">
          <cell r="A1499">
            <v>1498</v>
          </cell>
          <cell r="B1499">
            <v>43196</v>
          </cell>
        </row>
        <row r="1500">
          <cell r="A1500">
            <v>1499</v>
          </cell>
          <cell r="B1500">
            <v>43196</v>
          </cell>
        </row>
        <row r="1501">
          <cell r="A1501">
            <v>1500</v>
          </cell>
          <cell r="B1501">
            <v>43196</v>
          </cell>
        </row>
        <row r="1502">
          <cell r="A1502">
            <v>1501</v>
          </cell>
          <cell r="B1502">
            <v>43196</v>
          </cell>
        </row>
        <row r="1503">
          <cell r="A1503">
            <v>1502</v>
          </cell>
          <cell r="B1503">
            <v>43196</v>
          </cell>
        </row>
        <row r="1504">
          <cell r="A1504">
            <v>1503</v>
          </cell>
          <cell r="B1504">
            <v>43197</v>
          </cell>
        </row>
        <row r="1505">
          <cell r="A1505">
            <v>1504</v>
          </cell>
          <cell r="B1505">
            <v>43198</v>
          </cell>
        </row>
        <row r="1506">
          <cell r="A1506">
            <v>1505</v>
          </cell>
          <cell r="B1506">
            <v>43198</v>
          </cell>
        </row>
        <row r="1507">
          <cell r="A1507">
            <v>1506</v>
          </cell>
          <cell r="B1507">
            <v>43198</v>
          </cell>
        </row>
        <row r="1508">
          <cell r="A1508">
            <v>1507</v>
          </cell>
          <cell r="B1508">
            <v>43198</v>
          </cell>
        </row>
        <row r="1509">
          <cell r="A1509">
            <v>1508</v>
          </cell>
          <cell r="B1509">
            <v>43198</v>
          </cell>
        </row>
        <row r="1510">
          <cell r="A1510">
            <v>1509</v>
          </cell>
          <cell r="B1510">
            <v>43199</v>
          </cell>
        </row>
        <row r="1511">
          <cell r="A1511">
            <v>1510</v>
          </cell>
          <cell r="B1511">
            <v>43199</v>
          </cell>
        </row>
        <row r="1512">
          <cell r="A1512">
            <v>1511</v>
          </cell>
          <cell r="B1512">
            <v>43199</v>
          </cell>
        </row>
        <row r="1513">
          <cell r="A1513">
            <v>1512</v>
          </cell>
          <cell r="B1513">
            <v>43199</v>
          </cell>
        </row>
        <row r="1514">
          <cell r="A1514">
            <v>1513</v>
          </cell>
          <cell r="B1514">
            <v>43200</v>
          </cell>
        </row>
        <row r="1515">
          <cell r="A1515">
            <v>1514</v>
          </cell>
          <cell r="B1515">
            <v>43200</v>
          </cell>
        </row>
        <row r="1516">
          <cell r="A1516">
            <v>1515</v>
          </cell>
          <cell r="B1516">
            <v>43200</v>
          </cell>
        </row>
        <row r="1517">
          <cell r="A1517">
            <v>1516</v>
          </cell>
          <cell r="B1517">
            <v>43201</v>
          </cell>
        </row>
        <row r="1518">
          <cell r="A1518">
            <v>1517</v>
          </cell>
          <cell r="B1518">
            <v>43201</v>
          </cell>
        </row>
        <row r="1519">
          <cell r="A1519">
            <v>1518</v>
          </cell>
          <cell r="B1519">
            <v>43201</v>
          </cell>
        </row>
        <row r="1520">
          <cell r="A1520">
            <v>1519</v>
          </cell>
          <cell r="B1520">
            <v>43201</v>
          </cell>
        </row>
        <row r="1521">
          <cell r="A1521">
            <v>1520</v>
          </cell>
          <cell r="B1521">
            <v>43201</v>
          </cell>
        </row>
        <row r="1522">
          <cell r="A1522">
            <v>1521</v>
          </cell>
          <cell r="B1522">
            <v>43202</v>
          </cell>
        </row>
        <row r="1523">
          <cell r="A1523">
            <v>1522</v>
          </cell>
          <cell r="B1523">
            <v>43202</v>
          </cell>
        </row>
        <row r="1524">
          <cell r="A1524">
            <v>1523</v>
          </cell>
          <cell r="B1524">
            <v>43202</v>
          </cell>
        </row>
        <row r="1525">
          <cell r="A1525">
            <v>1524</v>
          </cell>
          <cell r="B1525">
            <v>43202</v>
          </cell>
        </row>
        <row r="1526">
          <cell r="A1526">
            <v>1525</v>
          </cell>
          <cell r="B1526">
            <v>43202</v>
          </cell>
        </row>
        <row r="1527">
          <cell r="A1527">
            <v>1526</v>
          </cell>
          <cell r="B1527">
            <v>43202</v>
          </cell>
        </row>
        <row r="1528">
          <cell r="A1528">
            <v>1527</v>
          </cell>
          <cell r="B1528">
            <v>43202</v>
          </cell>
        </row>
        <row r="1529">
          <cell r="A1529">
            <v>1528</v>
          </cell>
          <cell r="B1529">
            <v>43202</v>
          </cell>
        </row>
        <row r="1530">
          <cell r="A1530">
            <v>1529</v>
          </cell>
          <cell r="B1530">
            <v>43202</v>
          </cell>
        </row>
        <row r="1531">
          <cell r="A1531">
            <v>1530</v>
          </cell>
          <cell r="B1531">
            <v>43203</v>
          </cell>
        </row>
        <row r="1532">
          <cell r="A1532">
            <v>1531</v>
          </cell>
          <cell r="B1532">
            <v>43203</v>
          </cell>
        </row>
        <row r="1533">
          <cell r="A1533">
            <v>1532</v>
          </cell>
          <cell r="B1533">
            <v>43203</v>
          </cell>
        </row>
        <row r="1534">
          <cell r="A1534">
            <v>1533</v>
          </cell>
          <cell r="B1534">
            <v>43203</v>
          </cell>
        </row>
        <row r="1535">
          <cell r="A1535">
            <v>1534</v>
          </cell>
          <cell r="B1535">
            <v>43204</v>
          </cell>
        </row>
        <row r="1536">
          <cell r="A1536">
            <v>1535</v>
          </cell>
          <cell r="B1536">
            <v>43204</v>
          </cell>
        </row>
        <row r="1537">
          <cell r="A1537">
            <v>1536</v>
          </cell>
          <cell r="B1537">
            <v>43204</v>
          </cell>
        </row>
        <row r="1538">
          <cell r="A1538">
            <v>1537</v>
          </cell>
          <cell r="B1538">
            <v>43205</v>
          </cell>
        </row>
        <row r="1539">
          <cell r="A1539">
            <v>1538</v>
          </cell>
          <cell r="B1539">
            <v>43205</v>
          </cell>
        </row>
        <row r="1540">
          <cell r="A1540">
            <v>1539</v>
          </cell>
          <cell r="B1540">
            <v>43205</v>
          </cell>
        </row>
        <row r="1541">
          <cell r="A1541">
            <v>1540</v>
          </cell>
          <cell r="B1541">
            <v>43206</v>
          </cell>
        </row>
        <row r="1542">
          <cell r="A1542">
            <v>1541</v>
          </cell>
          <cell r="B1542">
            <v>43206</v>
          </cell>
        </row>
        <row r="1543">
          <cell r="A1543">
            <v>1542</v>
          </cell>
          <cell r="B1543">
            <v>43206</v>
          </cell>
        </row>
        <row r="1544">
          <cell r="A1544">
            <v>1543</v>
          </cell>
          <cell r="B1544">
            <v>43206</v>
          </cell>
        </row>
        <row r="1545">
          <cell r="A1545">
            <v>1544</v>
          </cell>
          <cell r="B1545">
            <v>43207</v>
          </cell>
        </row>
        <row r="1546">
          <cell r="A1546">
            <v>1545</v>
          </cell>
          <cell r="B1546">
            <v>43207</v>
          </cell>
        </row>
        <row r="1547">
          <cell r="A1547">
            <v>1546</v>
          </cell>
          <cell r="B1547">
            <v>43207</v>
          </cell>
        </row>
        <row r="1548">
          <cell r="A1548">
            <v>1547</v>
          </cell>
          <cell r="B1548">
            <v>43207</v>
          </cell>
        </row>
        <row r="1549">
          <cell r="A1549">
            <v>1548</v>
          </cell>
          <cell r="B1549">
            <v>43207</v>
          </cell>
        </row>
        <row r="1550">
          <cell r="A1550">
            <v>1549</v>
          </cell>
          <cell r="B1550">
            <v>43207</v>
          </cell>
        </row>
        <row r="1551">
          <cell r="A1551">
            <v>1550</v>
          </cell>
          <cell r="B1551">
            <v>43207</v>
          </cell>
        </row>
        <row r="1552">
          <cell r="A1552">
            <v>1551</v>
          </cell>
          <cell r="B1552">
            <v>43207</v>
          </cell>
        </row>
        <row r="1553">
          <cell r="A1553">
            <v>1552</v>
          </cell>
          <cell r="B1553">
            <v>43207</v>
          </cell>
        </row>
        <row r="1554">
          <cell r="A1554">
            <v>1553</v>
          </cell>
          <cell r="B1554">
            <v>43208</v>
          </cell>
        </row>
        <row r="1555">
          <cell r="A1555">
            <v>1554</v>
          </cell>
          <cell r="B1555">
            <v>43208</v>
          </cell>
        </row>
        <row r="1556">
          <cell r="A1556">
            <v>1555</v>
          </cell>
          <cell r="B1556">
            <v>43208</v>
          </cell>
        </row>
        <row r="1557">
          <cell r="A1557">
            <v>1556</v>
          </cell>
          <cell r="B1557">
            <v>43208</v>
          </cell>
        </row>
        <row r="1558">
          <cell r="A1558">
            <v>1557</v>
          </cell>
          <cell r="B1558">
            <v>43209</v>
          </cell>
        </row>
        <row r="1559">
          <cell r="A1559">
            <v>1558</v>
          </cell>
          <cell r="B1559">
            <v>43209</v>
          </cell>
        </row>
        <row r="1560">
          <cell r="A1560">
            <v>1559</v>
          </cell>
          <cell r="B1560">
            <v>43210</v>
          </cell>
        </row>
        <row r="1561">
          <cell r="A1561">
            <v>1560</v>
          </cell>
          <cell r="B1561">
            <v>43210</v>
          </cell>
        </row>
        <row r="1562">
          <cell r="A1562">
            <v>1561</v>
          </cell>
          <cell r="B1562">
            <v>43210</v>
          </cell>
        </row>
        <row r="1563">
          <cell r="A1563">
            <v>1562</v>
          </cell>
          <cell r="B1563">
            <v>43210</v>
          </cell>
        </row>
        <row r="1564">
          <cell r="A1564">
            <v>1563</v>
          </cell>
          <cell r="B1564">
            <v>43210</v>
          </cell>
        </row>
        <row r="1565">
          <cell r="A1565">
            <v>1564</v>
          </cell>
          <cell r="B1565">
            <v>43211</v>
          </cell>
        </row>
        <row r="1566">
          <cell r="A1566">
            <v>1565</v>
          </cell>
          <cell r="B1566">
            <v>43211</v>
          </cell>
        </row>
        <row r="1567">
          <cell r="A1567">
            <v>1566</v>
          </cell>
          <cell r="B1567">
            <v>43211</v>
          </cell>
        </row>
        <row r="1568">
          <cell r="A1568">
            <v>1567</v>
          </cell>
          <cell r="B1568">
            <v>43211</v>
          </cell>
        </row>
        <row r="1569">
          <cell r="A1569">
            <v>1568</v>
          </cell>
          <cell r="B1569">
            <v>43211</v>
          </cell>
        </row>
        <row r="1570">
          <cell r="A1570">
            <v>1569</v>
          </cell>
          <cell r="B1570">
            <v>43212</v>
          </cell>
        </row>
        <row r="1571">
          <cell r="A1571">
            <v>1570</v>
          </cell>
          <cell r="B1571">
            <v>43212</v>
          </cell>
        </row>
        <row r="1572">
          <cell r="A1572">
            <v>1571</v>
          </cell>
          <cell r="B1572">
            <v>43212</v>
          </cell>
        </row>
        <row r="1573">
          <cell r="A1573">
            <v>1572</v>
          </cell>
          <cell r="B1573">
            <v>43212</v>
          </cell>
        </row>
        <row r="1574">
          <cell r="A1574">
            <v>1573</v>
          </cell>
          <cell r="B1574">
            <v>43213</v>
          </cell>
        </row>
        <row r="1575">
          <cell r="A1575">
            <v>1574</v>
          </cell>
          <cell r="B1575">
            <v>43213</v>
          </cell>
        </row>
        <row r="1576">
          <cell r="A1576">
            <v>1575</v>
          </cell>
          <cell r="B1576">
            <v>43213</v>
          </cell>
        </row>
        <row r="1577">
          <cell r="A1577">
            <v>1576</v>
          </cell>
          <cell r="B1577">
            <v>43213</v>
          </cell>
        </row>
        <row r="1578">
          <cell r="A1578">
            <v>1577</v>
          </cell>
          <cell r="B1578">
            <v>43213</v>
          </cell>
        </row>
        <row r="1579">
          <cell r="A1579">
            <v>1578</v>
          </cell>
          <cell r="B1579">
            <v>43213</v>
          </cell>
        </row>
        <row r="1580">
          <cell r="A1580">
            <v>1579</v>
          </cell>
          <cell r="B1580">
            <v>43214</v>
          </cell>
        </row>
        <row r="1581">
          <cell r="A1581">
            <v>1580</v>
          </cell>
          <cell r="B1581">
            <v>43214</v>
          </cell>
        </row>
        <row r="1582">
          <cell r="A1582">
            <v>1581</v>
          </cell>
          <cell r="B1582">
            <v>43215</v>
          </cell>
        </row>
        <row r="1583">
          <cell r="A1583">
            <v>1582</v>
          </cell>
          <cell r="B1583">
            <v>43215</v>
          </cell>
        </row>
        <row r="1584">
          <cell r="A1584">
            <v>1583</v>
          </cell>
          <cell r="B1584">
            <v>43215</v>
          </cell>
        </row>
        <row r="1585">
          <cell r="A1585">
            <v>1584</v>
          </cell>
          <cell r="B1585">
            <v>43216</v>
          </cell>
        </row>
        <row r="1586">
          <cell r="A1586">
            <v>1585</v>
          </cell>
          <cell r="B1586">
            <v>43216</v>
          </cell>
        </row>
        <row r="1587">
          <cell r="A1587">
            <v>1586</v>
          </cell>
          <cell r="B1587">
            <v>43216</v>
          </cell>
        </row>
        <row r="1588">
          <cell r="A1588">
            <v>1587</v>
          </cell>
          <cell r="B1588">
            <v>43216</v>
          </cell>
        </row>
        <row r="1589">
          <cell r="A1589">
            <v>1588</v>
          </cell>
          <cell r="B1589">
            <v>43216</v>
          </cell>
        </row>
        <row r="1590">
          <cell r="A1590">
            <v>1589</v>
          </cell>
          <cell r="B1590">
            <v>43217</v>
          </cell>
        </row>
        <row r="1591">
          <cell r="A1591">
            <v>1590</v>
          </cell>
          <cell r="B1591">
            <v>43217</v>
          </cell>
        </row>
        <row r="1592">
          <cell r="A1592">
            <v>1591</v>
          </cell>
          <cell r="B1592">
            <v>43217</v>
          </cell>
        </row>
        <row r="1593">
          <cell r="A1593">
            <v>1592</v>
          </cell>
          <cell r="B1593">
            <v>43217</v>
          </cell>
        </row>
        <row r="1594">
          <cell r="A1594">
            <v>1593</v>
          </cell>
          <cell r="B1594">
            <v>43217</v>
          </cell>
        </row>
        <row r="1595">
          <cell r="A1595">
            <v>1594</v>
          </cell>
          <cell r="B1595">
            <v>43218</v>
          </cell>
        </row>
        <row r="1596">
          <cell r="A1596">
            <v>1595</v>
          </cell>
          <cell r="B1596">
            <v>43218</v>
          </cell>
        </row>
        <row r="1597">
          <cell r="A1597">
            <v>1596</v>
          </cell>
          <cell r="B1597">
            <v>43218</v>
          </cell>
        </row>
        <row r="1598">
          <cell r="A1598">
            <v>1597</v>
          </cell>
          <cell r="B1598">
            <v>43218</v>
          </cell>
        </row>
        <row r="1599">
          <cell r="A1599">
            <v>1598</v>
          </cell>
          <cell r="B1599">
            <v>43219</v>
          </cell>
        </row>
        <row r="1600">
          <cell r="A1600">
            <v>1599</v>
          </cell>
          <cell r="B1600">
            <v>43219</v>
          </cell>
        </row>
        <row r="1601">
          <cell r="A1601">
            <v>1600</v>
          </cell>
          <cell r="B1601">
            <v>43219</v>
          </cell>
        </row>
        <row r="1602">
          <cell r="A1602">
            <v>1601</v>
          </cell>
          <cell r="B1602">
            <v>43219</v>
          </cell>
        </row>
        <row r="1603">
          <cell r="A1603">
            <v>1602</v>
          </cell>
          <cell r="B1603">
            <v>43220</v>
          </cell>
        </row>
        <row r="1604">
          <cell r="A1604">
            <v>1603</v>
          </cell>
          <cell r="B1604">
            <v>43220</v>
          </cell>
        </row>
        <row r="1605">
          <cell r="A1605">
            <v>1604</v>
          </cell>
          <cell r="B1605">
            <v>43268</v>
          </cell>
        </row>
        <row r="1606">
          <cell r="A1606">
            <v>1605</v>
          </cell>
          <cell r="B1606">
            <v>43282</v>
          </cell>
        </row>
        <row r="1607">
          <cell r="A1607">
            <v>1606</v>
          </cell>
          <cell r="B1607">
            <v>43291</v>
          </cell>
        </row>
        <row r="1608">
          <cell r="A1608">
            <v>1607</v>
          </cell>
          <cell r="B1608">
            <v>43292</v>
          </cell>
        </row>
        <row r="1609">
          <cell r="A1609">
            <v>1608</v>
          </cell>
          <cell r="B1609">
            <v>43293</v>
          </cell>
        </row>
        <row r="1610">
          <cell r="A1610">
            <v>1609</v>
          </cell>
          <cell r="B1610">
            <v>43335</v>
          </cell>
        </row>
        <row r="1611">
          <cell r="A1611">
            <v>1610</v>
          </cell>
          <cell r="B1611">
            <v>43337</v>
          </cell>
        </row>
        <row r="1612">
          <cell r="A1612">
            <v>1611</v>
          </cell>
          <cell r="B1612">
            <v>43349</v>
          </cell>
        </row>
        <row r="1613">
          <cell r="A1613">
            <v>1612</v>
          </cell>
          <cell r="B1613">
            <v>43394</v>
          </cell>
        </row>
        <row r="1614">
          <cell r="A1614">
            <v>1613</v>
          </cell>
          <cell r="B1614">
            <v>43422</v>
          </cell>
        </row>
        <row r="1615">
          <cell r="A1615">
            <v>1614</v>
          </cell>
          <cell r="B1615">
            <v>43432</v>
          </cell>
        </row>
        <row r="1616">
          <cell r="A1616">
            <v>1615</v>
          </cell>
          <cell r="B1616">
            <v>43462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vithra Dharmalingam" refreshedDate="45500.827621412034" createdVersion="1" refreshedVersion="8" recordCount="4723" upgradeOnRefresh="1" xr:uid="{FA6BC317-754D-4CC5-A228-4AA1876C1E39}">
  <cacheSource type="worksheet">
    <worksheetSource ref="A1:K65536" sheet="order item"/>
  </cacheSource>
  <cacheFields count="10">
    <cacheField name="order_id" numFmtId="0">
      <sharedItems containsString="0" containsBlank="1" containsNumber="1" containsInteger="1" minValue="1" maxValue="1615" count="1616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m/>
      </sharedItems>
    </cacheField>
    <cacheField name="item_id" numFmtId="0">
      <sharedItems containsString="0" containsBlank="1" containsNumber="1" containsInteger="1" minValue="1" maxValue="5" count="6">
        <n v="1"/>
        <n v="2"/>
        <n v="3"/>
        <n v="4"/>
        <n v="5"/>
        <m/>
      </sharedItems>
    </cacheField>
    <cacheField name="product_id" numFmtId="0">
      <sharedItems containsString="0" containsBlank="1" containsNumber="1" containsInteger="1" minValue="2" maxValue="315" count="308">
        <n v="20"/>
        <n v="8"/>
        <n v="10"/>
        <n v="16"/>
        <n v="4"/>
        <n v="3"/>
        <n v="2"/>
        <n v="17"/>
        <n v="26"/>
        <n v="18"/>
        <n v="12"/>
        <n v="9"/>
        <n v="15"/>
        <n v="22"/>
        <n v="7"/>
        <n v="14"/>
        <n v="11"/>
        <n v="13"/>
        <n v="6"/>
        <n v="23"/>
        <n v="21"/>
        <n v="5"/>
        <n v="25"/>
        <n v="19"/>
        <n v="24"/>
        <n v="85"/>
        <n v="106"/>
        <n v="103"/>
        <n v="56"/>
        <n v="53"/>
        <n v="73"/>
        <n v="72"/>
        <n v="61"/>
        <n v="32"/>
        <n v="30"/>
        <n v="76"/>
        <n v="109"/>
        <n v="62"/>
        <n v="64"/>
        <n v="68"/>
        <n v="99"/>
        <n v="42"/>
        <n v="47"/>
        <n v="95"/>
        <n v="97"/>
        <n v="90"/>
        <n v="78"/>
        <n v="79"/>
        <n v="102"/>
        <n v="94"/>
        <n v="67"/>
        <n v="74"/>
        <n v="43"/>
        <n v="80"/>
        <n v="88"/>
        <n v="110"/>
        <n v="83"/>
        <n v="33"/>
        <n v="52"/>
        <n v="54"/>
        <n v="49"/>
        <n v="29"/>
        <n v="39"/>
        <n v="70"/>
        <n v="59"/>
        <n v="63"/>
        <n v="55"/>
        <n v="41"/>
        <n v="71"/>
        <n v="50"/>
        <n v="101"/>
        <n v="58"/>
        <n v="98"/>
        <n v="84"/>
        <n v="48"/>
        <n v="108"/>
        <n v="28"/>
        <n v="104"/>
        <n v="45"/>
        <n v="69"/>
        <n v="51"/>
        <n v="96"/>
        <n v="66"/>
        <n v="38"/>
        <n v="89"/>
        <n v="75"/>
        <n v="105"/>
        <n v="91"/>
        <n v="37"/>
        <n v="81"/>
        <n v="82"/>
        <n v="60"/>
        <n v="107"/>
        <n v="31"/>
        <n v="57"/>
        <n v="40"/>
        <n v="100"/>
        <n v="27"/>
        <n v="34"/>
        <n v="44"/>
        <n v="35"/>
        <n v="93"/>
        <n v="92"/>
        <n v="111"/>
        <n v="77"/>
        <n v="65"/>
        <n v="86"/>
        <n v="36"/>
        <n v="87"/>
        <n v="46"/>
        <n v="120"/>
        <n v="235"/>
        <n v="139"/>
        <n v="257"/>
        <n v="209"/>
        <n v="190"/>
        <n v="269"/>
        <n v="151"/>
        <n v="180"/>
        <n v="241"/>
        <n v="129"/>
        <n v="228"/>
        <n v="311"/>
        <n v="247"/>
        <n v="143"/>
        <n v="283"/>
        <n v="232"/>
        <n v="243"/>
        <n v="230"/>
        <n v="282"/>
        <n v="253"/>
        <n v="290"/>
        <n v="145"/>
        <n v="300"/>
        <n v="296"/>
        <n v="179"/>
        <n v="298"/>
        <n v="205"/>
        <n v="304"/>
        <n v="203"/>
        <n v="160"/>
        <n v="138"/>
        <n v="157"/>
        <n v="207"/>
        <n v="185"/>
        <n v="153"/>
        <n v="169"/>
        <n v="175"/>
        <n v="237"/>
        <n v="215"/>
        <n v="234"/>
        <n v="270"/>
        <n v="244"/>
        <n v="184"/>
        <n v="206"/>
        <n v="172"/>
        <n v="164"/>
        <n v="134"/>
        <n v="150"/>
        <n v="249"/>
        <n v="263"/>
        <n v="148"/>
        <n v="147"/>
        <n v="168"/>
        <n v="305"/>
        <n v="250"/>
        <n v="159"/>
        <n v="297"/>
        <n v="133"/>
        <n v="136"/>
        <n v="233"/>
        <n v="166"/>
        <n v="149"/>
        <n v="313"/>
        <n v="192"/>
        <n v="199"/>
        <n v="276"/>
        <n v="130"/>
        <n v="307"/>
        <n v="163"/>
        <n v="204"/>
        <n v="155"/>
        <n v="152"/>
        <n v="144"/>
        <n v="236"/>
        <n v="115"/>
        <n v="128"/>
        <n v="200"/>
        <n v="132"/>
        <n v="131"/>
        <n v="124"/>
        <n v="113"/>
        <n v="186"/>
        <n v="213"/>
        <n v="208"/>
        <n v="223"/>
        <n v="181"/>
        <n v="182"/>
        <n v="188"/>
        <n v="142"/>
        <n v="118"/>
        <n v="255"/>
        <n v="229"/>
        <n v="274"/>
        <n v="214"/>
        <n v="225"/>
        <n v="135"/>
        <n v="238"/>
        <n v="292"/>
        <n v="262"/>
        <n v="306"/>
        <n v="251"/>
        <n v="171"/>
        <n v="227"/>
        <n v="295"/>
        <n v="277"/>
        <n v="240"/>
        <n v="268"/>
        <n v="165"/>
        <n v="226"/>
        <n v="127"/>
        <n v="210"/>
        <n v="224"/>
        <n v="217"/>
        <n v="275"/>
        <n v="112"/>
        <n v="254"/>
        <n v="189"/>
        <n v="273"/>
        <n v="220"/>
        <n v="193"/>
        <n v="162"/>
        <n v="266"/>
        <n v="114"/>
        <n v="137"/>
        <n v="301"/>
        <n v="170"/>
        <n v="265"/>
        <n v="222"/>
        <n v="308"/>
        <n v="264"/>
        <n v="245"/>
        <n v="194"/>
        <n v="242"/>
        <n v="219"/>
        <n v="197"/>
        <n v="302"/>
        <n v="140"/>
        <n v="281"/>
        <n v="216"/>
        <n v="126"/>
        <n v="187"/>
        <n v="221"/>
        <n v="252"/>
        <n v="161"/>
        <n v="198"/>
        <n v="286"/>
        <n v="141"/>
        <n v="260"/>
        <n v="116"/>
        <n v="178"/>
        <n v="271"/>
        <n v="123"/>
        <n v="239"/>
        <n v="173"/>
        <n v="299"/>
        <n v="117"/>
        <n v="246"/>
        <n v="272"/>
        <n v="258"/>
        <n v="201"/>
        <n v="167"/>
        <n v="294"/>
        <n v="310"/>
        <n v="278"/>
        <n v="287"/>
        <n v="261"/>
        <n v="248"/>
        <n v="191"/>
        <n v="256"/>
        <n v="280"/>
        <n v="122"/>
        <n v="196"/>
        <n v="218"/>
        <n v="293"/>
        <n v="231"/>
        <n v="259"/>
        <n v="288"/>
        <n v="202"/>
        <n v="158"/>
        <n v="303"/>
        <n v="314"/>
        <n v="156"/>
        <n v="183"/>
        <n v="177"/>
        <n v="119"/>
        <n v="315"/>
        <n v="285"/>
        <n v="174"/>
        <n v="309"/>
        <n v="279"/>
        <n v="146"/>
        <n v="312"/>
        <n v="212"/>
        <n v="211"/>
        <n v="176"/>
        <n v="289"/>
        <m/>
      </sharedItems>
    </cacheField>
    <cacheField name="quantity" numFmtId="0">
      <sharedItems containsString="0" containsBlank="1" containsNumber="1" containsInteger="1" minValue="1" maxValue="2"/>
    </cacheField>
    <cacheField name="list_price" numFmtId="165">
      <sharedItems containsString="0" containsBlank="1" containsNumber="1" minValue="89.99" maxValue="11999.99"/>
    </cacheField>
    <cacheField name="discount" numFmtId="165">
      <sharedItems containsString="0" containsBlank="1" containsNumber="1" minValue="0.05" maxValue="0.2"/>
    </cacheField>
    <cacheField name="Total sales" numFmtId="165">
      <sharedItems containsString="0" containsBlank="1" containsNumber="1" minValue="89.99" maxValue="23999.98"/>
    </cacheField>
    <cacheField name="Total amount" numFmtId="165">
      <sharedItems containsString="0" containsBlank="1" containsNumber="1" minValue="8578988.8800000008" maxValue="8578988.8800000008"/>
    </cacheField>
    <cacheField name="Products" numFmtId="0">
      <sharedItems containsBlank="1" count="279">
        <s v="Electra Townie Original 7D EQ - Women's - 2016"/>
        <s v="Trek Remedy 29 Carbon Frameset - 2016"/>
        <s v="Surly Straggler - 2016"/>
        <s v="Electra Townie Original 7D EQ - 2016"/>
        <s v="Trek Fuel EX 8 29 - 2016"/>
        <s v="Surly Wednesday Frameset - 2016"/>
        <s v="Ritchey Timberwolf Frameset - 2016"/>
        <s v="Pure Cycles Vine 8-Speed - 2016"/>
        <s v="Pure Cycles Western 3-Speed - Women's - 2015/2016"/>
        <s v="Electra Townie Original 21D - 2016"/>
        <s v="Trek Conduit+ - 2016"/>
        <s v="Electra Moto 1 - 2016"/>
        <s v="Electra Girl's Hawaii 1 (16-inch) - 2015/2016"/>
        <s v="Trek Slash 8 27.5 - 2016"/>
        <s v="Surly Straggler 650b - 2016"/>
        <s v="Electra Cruiser 1 (24-Inch) - 2016"/>
        <s v="Surly Ice Cream Truck Frameset - 2016"/>
        <s v="Electra Girl's Hawaii 1 (20-inch) - 2015/2016"/>
        <s v="Heller Shagamaw Frame - 2016"/>
        <s v="Electra Townie Original 7D - 2015/2016"/>
        <s v="Pure Cycles William 3-Speed - 2016"/>
        <s v="Haro Downtown 16 - 2017"/>
        <s v="Sun Bicycles Cruz 3 - 2017"/>
        <s v="Sun Bicycles Streamway 3 - 2017"/>
        <s v="Trek Domane SLR 6 Disc - 2017"/>
        <s v="Surly Ogre Frameset - 2017"/>
        <s v="Sun Bicycles Brickell Tandem 7 - 2017"/>
        <s v="Sun Bicycles Biscayne Tandem 7 - 2017"/>
        <s v="Trek Powerfly 8 FS Plus - 2017"/>
        <s v="Trek Farley Alloy Frameset - 2017"/>
        <s v="Surly Ice Cream Truck Frameset - 2017"/>
        <s v="Electra Girl's Hawaii 1 16&quot; - 2017"/>
        <s v="Sun Bicycles Cruz 7 - Women's - 2017"/>
        <s v="Trek Boone 7 - 2017"/>
        <s v="Electra Townie Original 7D - 2017"/>
        <s v="Electra Sugar Skulls 1 (20-inch) - Girl's - 2017"/>
        <s v="Trek Fuel EX 5 27.5 Plus - 2017"/>
        <s v="Trek Remedy 9.8 - 2017"/>
        <s v="Electra Savannah 3i (20-inch) - Girl's - 2017"/>
        <s v="Trek Precaliber 16 Girls - 2017"/>
        <s v="Sun Bicycles Biscayne Tandem CB - 2017"/>
        <s v="Sun Bicycles Boardwalk (24-inch Wheels) - 2017"/>
        <s v="Haro Shredder Pro 20 - 2017"/>
        <s v="Sun Bicycles Revolutions 24 - Girl's - 2017"/>
        <s v="Electra Cruiser Lux 1 - 2017"/>
        <s v="Trek Fuel EX 9.8 27.5 Plus - 2017"/>
        <s v="Sun Bicycles Brickell Tandem CB - 2017"/>
        <s v="Trek Precaliber 12 Girls - 2017"/>
        <s v="Sun Bicycles Drifter 7 - 2017"/>
        <s v="Trek Boy's Kickster - 2015/2017"/>
        <s v="Surly Wednesday Frameset - 2017"/>
        <s v="Surly Steamroller - 2017"/>
        <s v="Trek Domane SL Disc Frameset - 2017"/>
        <s v="Trek Domane SL 6 - 2017"/>
        <s v="Trek X-Caliber 8 - 2017"/>
        <s v="Trek Stache 5 - 2017"/>
        <s v="Electra Amsterdam Original 3i - 2015/2017"/>
        <s v="Trek Domane S 5 Disc - 2017"/>
        <s v="Trek Boone Race Shop Limited - 2017"/>
        <s v="Trek Domane S 6 - 2017"/>
        <s v="Haro Shift R3 - 2017"/>
        <s v="Sun Bicycles Atlas X-Type - 2017"/>
        <s v="Trek Silque SLR 7 Women's - 2017"/>
        <s v="Electra Townie 7D (20-inch) - Boys' - 2017"/>
        <s v="Trek Madone 9.2 - 2017"/>
        <s v="Electra Straight 8 3i (20-inch) - Boy's - 2017"/>
        <s v="Sun Bicycles Lil Kitt'n - 2017"/>
        <s v="Trek Emonda S 4 - 2017"/>
        <s v="Sun Bicycles Cruz 3 - Women's - 2017"/>
        <s v="Surly Karate Monkey 27.5+ Frameset - 2017"/>
        <s v="Sun Bicycles Streamway - 2017"/>
        <s v="Haro SR 1.2 - 2017"/>
        <s v="Sun Bicycles Cruz 7 - 2017"/>
        <s v="Trek Silque SLR 8 Women's - 2017"/>
        <s v="Electra Moto 3i (20-inch) - Boy's - 2017"/>
        <s v="Sun Bicycles Revolutions 24 - 2017"/>
        <s v="Haro Flightline Two 26 Plus - 2017"/>
        <s v="Trek Precaliber 16 Boys - 2017"/>
        <s v="Electra Cruiser Lux Fat Tire 1 Ladies - 2017"/>
        <s v="Sun Bicycles Streamway 7 - 2017"/>
        <s v="Trek Precaliber 24 (21-Speed) - Girls - 2017"/>
        <s v="Haro Flightline One ST - 2017"/>
        <s v="Electra Amsterdam Fashion 7i Ladies' - 2017"/>
        <s v="Electra Amsterdam Original 3i Ladies' - 2017"/>
        <s v="Sun Bicycles ElectroLite - 2017"/>
        <s v="Surly Wednesday - 2017"/>
        <s v="Trek Emonda S 5 - 2017"/>
        <s v="Trek Fuel EX 9.8 29 - 2017"/>
        <s v="Electra Townie 3i EQ (20-inch) - Boys' - 2017"/>
        <s v="Surly Big Dummy Frameset - 2017"/>
        <s v="Trek Session DH 27.5 Carbon Frameset - 2017"/>
        <s v="Haro SR 1.1 - 2017"/>
        <s v="Sun Bicycles Spider 3i - 2017"/>
        <s v="Haro Shredder 20 Girls - 2017"/>
        <s v="Haro Shredder 20 - 2017"/>
        <s v="Sun Bicycles Drifter 7 - Women's - 2017"/>
        <s v="Electra Glam Punk 3i Ladies' - 2017"/>
        <s v="Sun Bicycles Lil Bolt Type-R - 2017"/>
        <s v="Trek Girl's Kickster - 2017"/>
        <s v="Surly Troll Frameset - 2017"/>
        <s v="Trek Precaliber 12 Boys - 2017"/>
        <s v="Haro SR 1.3 - 2017"/>
        <s v="Trek Fuel EX 7 29 - 2018"/>
        <s v="Electra Koa 3i Ladies' - 2018"/>
        <s v="Trek Remedy 7 27.5 - 2018"/>
        <s v="Electra Amsterdam Fashion 3i Ladies' - 2017/2018"/>
        <s v="Trek Crockett 7 Disc - 2018"/>
        <s v="Trek Dual Sport+ - 2018"/>
        <s v="Trek Precaliber 12 Boy's - 2018"/>
        <s v="Trek Domane ALR 4 Disc Women's - 2018"/>
        <s v="Trek Domane AL 3 Women's - 2018"/>
        <s v="Electra Townie Commute 8D - 2018"/>
        <s v="Trek X-Caliber 7 - 2018"/>
        <s v="Electra Cruiser 7D Tall - 2016/2018"/>
        <s v="Electra Townie Original 7D EQ - 2018"/>
        <s v="Trek Domane ALR 3 - 2018"/>
        <s v="Electra Heartchya 1 (20-inch) - Girl's - 2018"/>
        <s v="Electra Cruiser Lux 7D Ladies' - 2018"/>
        <s v="Electra Townie Original 21D EQ Ladies' - 2018"/>
        <s v="Electra Cruiser Lux 1 Ladies' - 2018"/>
        <s v="Electra Cyclosaurus 1 (16-inch) - Boy's - 2018"/>
        <s v="Electra Townie Go! 8i Ladies' - 2018"/>
        <s v="Electra Superbolt 3i 20&quot; - 2018"/>
        <s v="Trek Domane ALR 5 Disc - 2018"/>
        <s v="Electra Townie Balloon 3i EQ Ladies' - 2018"/>
        <s v="Electra Treasure 3i 20&quot; - 2018"/>
        <s v="Trek Domane AL 3 - 2018"/>
        <s v="Electra Water Lily 1 (16-inch) - Girl's - 2018"/>
        <s v="Trek Super Commuter+ 8S - 2018"/>
        <s v="Electra Townie Original 21D EQ - 2017/2018"/>
        <s v="Trek Powerfly 7 FS - 2018"/>
        <s v="Trek Emonda SLR 6 - 2018"/>
        <s v="Trek Fuel EX 5 Plus - 2018"/>
        <s v="Trek Domane SL Frameset Women's - 2018"/>
        <s v="Trek Boone 7 Disc - 2018"/>
        <s v="Trek Conduit+ - 2018"/>
        <s v="Trek Domane SL 7 Women's - 2018"/>
        <s v="Trek Emonda SLR 8 - 2018"/>
        <s v="Trek Domane SLR Frameset - 2018"/>
        <s v="Electra Relic 3i - 2018"/>
        <s v="Electra Queen of Hearts 3i - 2018"/>
        <s v="Electra Daydreamer 3i Ladies' - 2018"/>
        <s v="Trek Precaliber 16 Boy's - 2018"/>
        <s v="Electra Townie Original 21D Ladies' - 2018"/>
        <s v="Trek Domane SL 6 Disc - 2018"/>
        <s v="Trek Boone 5 Disc - 2018"/>
        <s v="Trek Domane ALR Disc Frameset - 2018"/>
        <s v="Surly Straggler 650b - 2018"/>
        <s v="Trek Remedy 27.5 C Frameset - 2018"/>
        <s v="Trek Emonda SL 7 - 2018"/>
        <s v="Electra White Water 3i - 2018"/>
        <s v="Strider Classic 12 Balance Bike - 2018"/>
        <s v="Trek Domane SL 8 Disc - 2018"/>
        <s v="Trek Domane ALR 5 Gravel - 2018"/>
        <s v="Surly Straggler - 2018"/>
        <s v="Electra Townie Balloon 3i EQ - 2017/2018"/>
        <s v="Electra Townie Go! 8i - 2017/2018"/>
        <s v="Trek Emonda ALR 6 - 2018"/>
        <s v="Electra Under-The-Sea 1 16&quot; - 2018"/>
        <s v="Trek Procaliber Frameset - 2018"/>
        <s v="Trek Procaliber 6 - 2018"/>
        <s v="Electra Cruiser Lux Fat Tire 7D - 2018"/>
        <s v="Trek Domane AL 2 Women's - 2018"/>
        <s v="Trek Domane SLR 8 Disc - 2018"/>
        <s v="Electra Townie Original 1 Ladies' - 2018"/>
        <s v="Electra Townie Commute Go! Ladies' - 2018"/>
        <s v="Trek Precaliber 24 (7-Speed) - Boys - 2018"/>
        <s v="Trek Stache Carbon Frameset - 2018"/>
        <s v="Electra Townie Balloon 8D EQ - 2016/2017/2018"/>
        <s v="Surly Pack Rat - 2018"/>
        <s v="Trek Super Commuter+ 7 - 2018"/>
        <s v="Trek Domane SLR 9 Disc - 2018"/>
        <s v="Trek Domane SL 5 Disc Women's - 2018"/>
        <s v="Trek Domane ALR 4 Disc - 2018"/>
        <s v="Electra Morningstar 3i Ladies' - 2018"/>
        <s v="Trek Fuel EX 8 29 - 2018"/>
        <s v="Surly ECR 27.5 - 2018"/>
        <s v="Trek Powerfly 5 - 2018"/>
        <s v="Trek Procal AL Frameset - 2018"/>
        <s v="Heller Bloodhound Trail - 2018"/>
        <s v="Surly Krampus - 2018"/>
        <s v="Trek Marlin 5 - 2018"/>
        <s v="Trek CrossRip+ - 2018"/>
        <s v="Electra Cruiser 1 - 2016/2017/2018"/>
        <s v="Trek Crockett 5 Disc - 2018"/>
        <s v="Electra Cruiser Lux 3i - 2018"/>
        <s v="Trek Domane SL 5 - 2018"/>
        <s v="Trek Domane SL 5 Disc - 2018"/>
        <s v="Trek XM700+ Lowstep - 2018"/>
        <s v="Trek Fuel EX 8 29 XT - 2018"/>
        <s v="Trek X-Caliber 8 - 2018"/>
        <s v="Electra Townie Balloon 7i EQ Ladies' - 2017/2018"/>
        <s v="Electra Cruiser Lux 1 - 2016/2018"/>
        <s v="Trek Precaliber 20 Boy's - 2018"/>
        <s v="Electra Tiger Shark 3i - 2018"/>
        <s v="Electra Delivery 3i - 2016/2017/2018"/>
        <s v="Trek X-Caliber Frameset - 2018"/>
        <s v="Electra Sweet Ride 3i (20-inch) - Girls' - 2018"/>
        <s v="Trek MT 201 - 2018"/>
        <s v="Electra Townie Commute Go! - 2018"/>
        <s v="Trek Domane SL 6 - 2018"/>
        <s v="Electra Cruiser 7D (24-Inch) Ladies' - 2016/2018"/>
        <s v="Electra Treasure 1 20&quot; - 2018"/>
        <s v="Trek Precaliber 24 21-speed Boy's - 2018"/>
        <s v="Electra Townie Commute 27D Ladies - 2018"/>
        <s v="Trek Kickster - 2018"/>
        <s v="Trek 1120 - 2018"/>
        <s v="Surly Pack Rat Frameset - 2018"/>
        <s v="Electra Cruiser Lux 7D - 2018"/>
        <s v="Electra Straight 8 3i - 2018"/>
        <s v="Trek Precaliber 20 Girl's - 2018"/>
        <s v="Trek 820 - 2018"/>
        <s v="Trek Lift+ Lowstep - 2018"/>
        <s v="Trek Precaliber 20 6-speed Girl's - 2018"/>
        <s v="Electra Cruiser 1 Ladies' - 2018"/>
        <s v="Trek Lift+ - 2018"/>
        <s v="Trek Emonda SL 6 Disc - 2018"/>
        <s v="Trek Superfly 20 - 2018"/>
        <s v="Trek Marlin 6 - 2018"/>
        <s v="Heller Shagamaw GX1 - 2018"/>
        <s v="Electra Townie Balloon 7i EQ - 2018"/>
        <s v="Trek CrossRip 2 - 2018"/>
        <s v="Strider Strider 20 Sport - 2018"/>
        <s v="Electra Cruiser 1 Tall - 2016/2018"/>
        <s v="Electra Townie Balloon 8D EQ Ladies' - 2016/2017/2018"/>
        <s v="Strider Sport 16 - 2018"/>
        <s v="Electra Townie Original 3i EQ - 2017/2018"/>
        <s v="Trek XM700+ - 2018"/>
        <s v="Electra Townie Commute 8D Ladies' - 2018"/>
        <s v="Electra Moto 3i - 2018"/>
        <s v="Trek Verve+ Lowstep - 2018"/>
        <s v="Electra Townie Original 1 - 2018"/>
        <s v="Trek Remedy 9.8 27.5 - 2018"/>
        <s v="Electra Super Moto 8i - 2018"/>
        <s v="Surly Big Fat Dummy Frameset - 2018"/>
        <s v="Trek Neko+ - 2018"/>
        <s v="Electra Cruiser 7D Ladies' - 2016/2018"/>
        <s v="Surly ECR - 2018"/>
        <s v="Electra Starship 1 16&quot; - 2018"/>
        <s v="Trek Stache 5 - 2018"/>
        <s v="Trek Marlin 7 - 2017/2018"/>
        <s v="Trek Domane AL 2 - 2018"/>
        <s v="Trek Precaliber 16 Girl's - 2018"/>
        <s v="Trek Farley Carbon Frameset - 2018"/>
        <s v="Trek Domane ALR Frameset - 2018"/>
        <s v="Electra Townie Original 21D - 2018"/>
        <s v="Trek Ticket S Frame - 2018"/>
        <s v="Electra Townie Original 3i EQ Ladies' - 2018"/>
        <s v="Trek Precaliber 20 6-speed Boy's - 2018"/>
        <s v="Electra Amsterdam Royal 8i - 2017/2018"/>
        <s v="Trek Powerfly 5 FS - 2018"/>
        <s v="Surly ECR Frameset - 2018"/>
        <s v="Electra Tiger Shark 3i (20-inch) - Boys' - 2018"/>
        <s v="Trek Precaliber 24 21-speed Girl's - 2018"/>
        <s v="Electra Straight 8 1 (16-inch) - Boy's - 2018"/>
        <s v="Electra Townie Original 7D EQ Ladies' - 2017/2018"/>
        <s v="Electra Loft Go! 8i - 2018"/>
        <s v="Electra Townie Commute 27D - 2018"/>
        <s v="Trek Superfly 24 - 2017/2018"/>
        <s v="Surly Troll Frameset - 2018"/>
        <s v="Trek Verve+ - 2018"/>
        <s v="Electra Cruiser 7D - 2016/2017/2018"/>
        <s v="Electra Tiger Shark 1 (20-inch) - Boys' - 2018"/>
        <s v="Electra Cruiser Lux 3i Ladies' - 2018"/>
        <s v="Electra Amsterdam Royal 8i Ladies - 2018"/>
        <s v="Electra Straight 8 1 (20-inch) - Boy's - 2018"/>
        <s v="Trek Powerfly 5 Women's - 2018"/>
        <s v="Trek CrossRip 1 - 2018"/>
        <s v="Trek Domane SL Frameset - 2018"/>
        <s v="Trek Domane SL 5 Women's - 2018"/>
        <s v="Trek Domane SLR 6 Disc - 2018"/>
        <s v="Trek Kids' Neko - 2018"/>
        <s v="Electra Soft Serve 1 (16-inch) - Girl's - 2018"/>
        <s v="Trek Domane SLR Disc Frameset - 2018"/>
        <s v="Trek Precaliber 24 7-speed Girl's - 2018"/>
        <s v="Trek Domane SLR 6 - 2018"/>
        <s v="Trek Madone 9 Frameset - 2018"/>
        <s v="Electra Superbolt 1 20&quot; - 2018"/>
        <m/>
      </sharedItems>
    </cacheField>
    <cacheField name="Store_name" numFmtId="0">
      <sharedItems containsBlank="1" count="4">
        <s v="Santa Cruz Bikes"/>
        <s v="Baldwin Bikes"/>
        <s v="Rowlett Bikes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vithra Dharmalingam" refreshedDate="45500.893385300929" createdVersion="8" refreshedVersion="8" minRefreshableVersion="3" recordCount="4722" xr:uid="{30B5404C-CEAB-401C-9683-22699BAF9845}">
  <cacheSource type="worksheet">
    <worksheetSource ref="A1:K4723" sheet="order item"/>
  </cacheSource>
  <cacheFields count="10">
    <cacheField name="order_id" numFmtId="0">
      <sharedItems containsSemiMixedTypes="0" containsString="0" containsNumber="1" containsInteger="1" minValue="1" maxValue="1615"/>
    </cacheField>
    <cacheField name="item_id" numFmtId="0">
      <sharedItems containsSemiMixedTypes="0" containsString="0" containsNumber="1" containsInteger="1" minValue="1" maxValue="5"/>
    </cacheField>
    <cacheField name="product_id" numFmtId="0">
      <sharedItems containsSemiMixedTypes="0" containsString="0" containsNumber="1" containsInteger="1" minValue="2" maxValue="315"/>
    </cacheField>
    <cacheField name="quantity" numFmtId="0">
      <sharedItems containsSemiMixedTypes="0" containsString="0" containsNumber="1" containsInteger="1" minValue="1" maxValue="2" count="2">
        <n v="1"/>
        <n v="2"/>
      </sharedItems>
    </cacheField>
    <cacheField name="list_price" numFmtId="165">
      <sharedItems containsSemiMixedTypes="0" containsString="0" containsNumber="1" minValue="89.99" maxValue="11999.99"/>
    </cacheField>
    <cacheField name="discount" numFmtId="165">
      <sharedItems containsSemiMixedTypes="0" containsString="0" containsNumber="1" minValue="0.05" maxValue="0.2" count="4">
        <n v="0.2"/>
        <n v="7.0000000000000007E-2"/>
        <n v="0.05"/>
        <n v="0.1"/>
      </sharedItems>
    </cacheField>
    <cacheField name="Total sales" numFmtId="165">
      <sharedItems containsSemiMixedTypes="0" containsString="0" containsNumber="1" minValue="89.99" maxValue="23999.98" count="200">
        <n v="599.99"/>
        <n v="3599.98"/>
        <n v="3098"/>
        <n v="1199.98"/>
        <n v="2899.99"/>
        <n v="999.99"/>
        <n v="1499.98"/>
        <n v="429"/>
        <n v="449"/>
        <n v="1099.98"/>
        <n v="1999.98"/>
        <n v="5999.98"/>
        <n v="529.99"/>
        <n v="858"/>
        <n v="269.99"/>
        <n v="7999.98"/>
        <n v="1799.99"/>
        <n v="539.98"/>
        <n v="5799.98"/>
        <n v="1680.99"/>
        <n v="469.99"/>
        <n v="898"/>
        <n v="599.98"/>
        <n v="299.99"/>
        <n v="1320.99"/>
        <n v="3999.99"/>
        <n v="999.98"/>
        <n v="1549"/>
        <n v="2999.99"/>
        <n v="1059.98"/>
        <n v="749.99"/>
        <n v="549.99"/>
        <n v="3361.98"/>
        <n v="499.99"/>
        <n v="2641.98"/>
        <n v="939.98"/>
        <n v="659.98"/>
        <n v="899.98"/>
        <n v="551.99"/>
        <n v="5499.99"/>
        <n v="619.99"/>
        <n v="9999.98"/>
        <n v="833.98"/>
        <n v="3499.99"/>
        <n v="489.99"/>
        <n v="4599.9799999999996"/>
        <n v="10599.98"/>
        <n v="699.98"/>
        <n v="209.99"/>
        <n v="647.99"/>
        <n v="402.99"/>
        <n v="329.99"/>
        <n v="979.98"/>
        <n v="499.98"/>
        <n v="6999.98"/>
        <n v="501.98"/>
        <n v="439.99"/>
        <n v="5299.99"/>
        <n v="761.99"/>
        <n v="379.98"/>
        <n v="941.98"/>
        <n v="250.99"/>
        <n v="149.99"/>
        <n v="875.99"/>
        <n v="6399.98"/>
        <n v="2999.98"/>
        <n v="659.99"/>
        <n v="5199.9799999999996"/>
        <n v="5399.98"/>
        <n v="2939.98"/>
        <n v="249.99"/>
        <n v="416.99"/>
        <n v="449.99"/>
        <n v="1751.98"/>
        <n v="5999.99"/>
        <n v="679.98"/>
        <n v="4999.99"/>
        <n v="1499.99"/>
        <n v="109.99"/>
        <n v="2499.9899999999998"/>
        <n v="963.98"/>
        <n v="1739.98"/>
        <n v="2699.99"/>
        <n v="12999.98"/>
        <n v="419.98"/>
        <n v="1067.98"/>
        <n v="759.98"/>
        <n v="299.98"/>
        <n v="2199.98"/>
        <n v="3119.98"/>
        <n v="2599.9899999999998"/>
        <n v="10999.98"/>
        <n v="481.99"/>
        <n v="189.99"/>
        <n v="1632.99"/>
        <n v="1103.98"/>
        <n v="1319.98"/>
        <n v="3999.98"/>
        <n v="869.99"/>
        <n v="349.99"/>
        <n v="1559.99"/>
        <n v="2299.9899999999998"/>
        <n v="1999.99"/>
        <n v="1239.98"/>
        <n v="1079.98"/>
        <n v="879.98"/>
        <n v="832.99"/>
        <n v="470.99"/>
        <n v="1599.98"/>
        <n v="219.98"/>
        <n v="693.98"/>
        <n v="1099.99"/>
        <n v="1469.99"/>
        <n v="1665.98"/>
        <n v="1295.98"/>
        <n v="3265.98"/>
        <n v="1523.98"/>
        <n v="4999.9799999999996"/>
        <n v="346.99"/>
        <n v="339.99"/>
        <n v="3199.99"/>
        <n v="11999.98"/>
        <n v="6499.99"/>
        <n v="805.98"/>
        <n v="2819.98"/>
        <n v="379.99"/>
        <n v="1409.99"/>
        <n v="539.99"/>
        <n v="533.99"/>
        <n v="799.99"/>
        <n v="899.99"/>
        <n v="5599.98"/>
        <n v="399.98"/>
        <n v="3099.98"/>
        <n v="1799.98"/>
        <n v="919.99"/>
        <n v="1839.98"/>
        <n v="319.99"/>
        <n v="639.98"/>
        <n v="479.99"/>
        <n v="1359.98"/>
        <n v="859.98"/>
        <n v="279.99"/>
        <n v="369.99"/>
        <n v="8999.98"/>
        <n v="4499.9799999999996"/>
        <n v="2799.99"/>
        <n v="1699.98"/>
        <n v="559.99"/>
        <n v="3299.99"/>
        <n v="4499.99"/>
        <n v="179.98"/>
        <n v="559.98"/>
        <n v="639.99"/>
        <n v="7499.99"/>
        <n v="2698"/>
        <n v="7199.98"/>
        <n v="23999.98"/>
        <n v="1549.99"/>
        <n v="3798"/>
        <n v="5198"/>
        <n v="1499"/>
        <n v="4399.9799999999996"/>
        <n v="459.98"/>
        <n v="959.99"/>
        <n v="319.98"/>
        <n v="3599.99"/>
        <n v="679.99"/>
        <n v="2199.9899999999998"/>
        <n v="1819.98"/>
        <n v="229.99"/>
        <n v="429.99"/>
        <n v="289.99"/>
        <n v="399.99"/>
        <n v="579.99"/>
        <n v="1299.99"/>
        <n v="739.98"/>
        <n v="1399.98"/>
        <n v="1279.98"/>
        <n v="1899"/>
        <n v="89.99"/>
        <n v="3199.98"/>
        <n v="1119.98"/>
        <n v="2599"/>
        <n v="159.99"/>
        <n v="1259.9000000000001"/>
        <n v="199.99"/>
        <n v="579.98"/>
        <n v="1919.98"/>
        <n v="959.98"/>
        <n v="909.99"/>
        <n v="14999.98"/>
        <n v="1199.99"/>
        <n v="389.99"/>
        <n v="2998"/>
        <n v="2399.98"/>
        <n v="1599.99"/>
        <n v="11999.99"/>
        <n v="1159.98"/>
        <n v="699.99"/>
      </sharedItems>
    </cacheField>
    <cacheField name="Total amount" numFmtId="165">
      <sharedItems containsString="0" containsBlank="1" containsNumber="1" minValue="8578988.8800000008" maxValue="8578988.8800000008" count="2">
        <n v="8578988.8800000008"/>
        <m/>
      </sharedItems>
    </cacheField>
    <cacheField name="Products" numFmtId="0">
      <sharedItems/>
    </cacheField>
    <cacheField name="Store_name" numFmtId="0">
      <sharedItems count="3">
        <s v="Santa Cruz Bikes"/>
        <s v="Baldwin Bikes"/>
        <s v="Rowlett Bik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23">
  <r>
    <x v="0"/>
    <x v="0"/>
    <x v="0"/>
    <n v="1"/>
    <n v="599.99"/>
    <n v="0.2"/>
    <n v="599.99"/>
    <n v="8578988.8800000008"/>
    <x v="0"/>
    <x v="0"/>
  </r>
  <r>
    <x v="0"/>
    <x v="1"/>
    <x v="1"/>
    <n v="2"/>
    <n v="1799.99"/>
    <n v="7.0000000000000007E-2"/>
    <n v="3599.98"/>
    <m/>
    <x v="1"/>
    <x v="0"/>
  </r>
  <r>
    <x v="0"/>
    <x v="2"/>
    <x v="2"/>
    <n v="2"/>
    <n v="1549"/>
    <n v="0.05"/>
    <n v="3098"/>
    <m/>
    <x v="2"/>
    <x v="0"/>
  </r>
  <r>
    <x v="0"/>
    <x v="3"/>
    <x v="3"/>
    <n v="2"/>
    <n v="599.99"/>
    <n v="0.05"/>
    <n v="1199.98"/>
    <m/>
    <x v="3"/>
    <x v="0"/>
  </r>
  <r>
    <x v="0"/>
    <x v="4"/>
    <x v="4"/>
    <n v="1"/>
    <n v="2899.99"/>
    <n v="0.2"/>
    <n v="2899.99"/>
    <m/>
    <x v="4"/>
    <x v="0"/>
  </r>
  <r>
    <x v="1"/>
    <x v="0"/>
    <x v="0"/>
    <n v="1"/>
    <n v="599.99"/>
    <n v="7.0000000000000007E-2"/>
    <n v="599.99"/>
    <m/>
    <x v="0"/>
    <x v="1"/>
  </r>
  <r>
    <x v="1"/>
    <x v="1"/>
    <x v="3"/>
    <n v="2"/>
    <n v="599.99"/>
    <n v="0.05"/>
    <n v="1199.98"/>
    <m/>
    <x v="3"/>
    <x v="1"/>
  </r>
  <r>
    <x v="2"/>
    <x v="0"/>
    <x v="5"/>
    <n v="1"/>
    <n v="999.99"/>
    <n v="0.05"/>
    <n v="999.99"/>
    <m/>
    <x v="5"/>
    <x v="1"/>
  </r>
  <r>
    <x v="2"/>
    <x v="1"/>
    <x v="0"/>
    <n v="1"/>
    <n v="599.99"/>
    <n v="0.05"/>
    <n v="599.99"/>
    <m/>
    <x v="0"/>
    <x v="1"/>
  </r>
  <r>
    <x v="3"/>
    <x v="0"/>
    <x v="6"/>
    <n v="2"/>
    <n v="749.99"/>
    <n v="0.1"/>
    <n v="1499.98"/>
    <m/>
    <x v="6"/>
    <x v="0"/>
  </r>
  <r>
    <x v="4"/>
    <x v="0"/>
    <x v="2"/>
    <n v="2"/>
    <n v="1549"/>
    <n v="0.05"/>
    <n v="3098"/>
    <m/>
    <x v="2"/>
    <x v="1"/>
  </r>
  <r>
    <x v="4"/>
    <x v="1"/>
    <x v="7"/>
    <n v="1"/>
    <n v="429"/>
    <n v="7.0000000000000007E-2"/>
    <n v="429"/>
    <m/>
    <x v="7"/>
    <x v="1"/>
  </r>
  <r>
    <x v="4"/>
    <x v="2"/>
    <x v="8"/>
    <n v="1"/>
    <n v="599.99"/>
    <n v="7.0000000000000007E-2"/>
    <n v="599.99"/>
    <m/>
    <x v="3"/>
    <x v="1"/>
  </r>
  <r>
    <x v="5"/>
    <x v="0"/>
    <x v="9"/>
    <n v="1"/>
    <n v="449"/>
    <n v="7.0000000000000007E-2"/>
    <n v="449"/>
    <m/>
    <x v="8"/>
    <x v="1"/>
  </r>
  <r>
    <x v="5"/>
    <x v="1"/>
    <x v="10"/>
    <n v="2"/>
    <n v="549.99"/>
    <n v="0.05"/>
    <n v="1099.98"/>
    <m/>
    <x v="9"/>
    <x v="1"/>
  </r>
  <r>
    <x v="5"/>
    <x v="2"/>
    <x v="0"/>
    <n v="1"/>
    <n v="599.99"/>
    <n v="0.1"/>
    <n v="599.99"/>
    <m/>
    <x v="0"/>
    <x v="1"/>
  </r>
  <r>
    <x v="5"/>
    <x v="3"/>
    <x v="5"/>
    <n v="2"/>
    <n v="999.99"/>
    <n v="7.0000000000000007E-2"/>
    <n v="1999.98"/>
    <m/>
    <x v="5"/>
    <x v="1"/>
  </r>
  <r>
    <x v="5"/>
    <x v="4"/>
    <x v="11"/>
    <n v="2"/>
    <n v="2999.99"/>
    <n v="7.0000000000000007E-2"/>
    <n v="5999.98"/>
    <m/>
    <x v="10"/>
    <x v="1"/>
  </r>
  <r>
    <x v="6"/>
    <x v="0"/>
    <x v="12"/>
    <n v="1"/>
    <n v="529.99"/>
    <n v="7.0000000000000007E-2"/>
    <n v="529.99"/>
    <m/>
    <x v="11"/>
    <x v="1"/>
  </r>
  <r>
    <x v="6"/>
    <x v="1"/>
    <x v="5"/>
    <n v="1"/>
    <n v="999.99"/>
    <n v="0.1"/>
    <n v="999.99"/>
    <m/>
    <x v="5"/>
    <x v="1"/>
  </r>
  <r>
    <x v="6"/>
    <x v="2"/>
    <x v="7"/>
    <n v="2"/>
    <n v="429"/>
    <n v="0.1"/>
    <n v="858"/>
    <m/>
    <x v="7"/>
    <x v="1"/>
  </r>
  <r>
    <x v="7"/>
    <x v="0"/>
    <x v="13"/>
    <n v="1"/>
    <n v="269.99"/>
    <n v="0.05"/>
    <n v="269.99"/>
    <m/>
    <x v="12"/>
    <x v="1"/>
  </r>
  <r>
    <x v="7"/>
    <x v="1"/>
    <x v="0"/>
    <n v="2"/>
    <n v="599.99"/>
    <n v="7.0000000000000007E-2"/>
    <n v="1199.98"/>
    <m/>
    <x v="0"/>
    <x v="1"/>
  </r>
  <r>
    <x v="8"/>
    <x v="0"/>
    <x v="14"/>
    <n v="2"/>
    <n v="3999.99"/>
    <n v="0.1"/>
    <n v="7999.98"/>
    <m/>
    <x v="13"/>
    <x v="0"/>
  </r>
  <r>
    <x v="9"/>
    <x v="0"/>
    <x v="15"/>
    <n v="1"/>
    <n v="269.99"/>
    <n v="0.1"/>
    <n v="269.99"/>
    <m/>
    <x v="12"/>
    <x v="1"/>
  </r>
  <r>
    <x v="10"/>
    <x v="0"/>
    <x v="1"/>
    <n v="1"/>
    <n v="1799.99"/>
    <n v="0.05"/>
    <n v="1799.99"/>
    <m/>
    <x v="1"/>
    <x v="1"/>
  </r>
  <r>
    <x v="10"/>
    <x v="1"/>
    <x v="13"/>
    <n v="2"/>
    <n v="269.99"/>
    <n v="0.1"/>
    <n v="539.98"/>
    <m/>
    <x v="12"/>
    <x v="1"/>
  </r>
  <r>
    <x v="10"/>
    <x v="2"/>
    <x v="3"/>
    <n v="2"/>
    <n v="599.99"/>
    <n v="0.2"/>
    <n v="1199.98"/>
    <m/>
    <x v="3"/>
    <x v="1"/>
  </r>
  <r>
    <x v="11"/>
    <x v="0"/>
    <x v="4"/>
    <n v="2"/>
    <n v="2899.99"/>
    <n v="0.1"/>
    <n v="5799.98"/>
    <m/>
    <x v="4"/>
    <x v="0"/>
  </r>
  <r>
    <x v="11"/>
    <x v="1"/>
    <x v="16"/>
    <n v="1"/>
    <n v="1680.99"/>
    <n v="0.05"/>
    <n v="1680.99"/>
    <m/>
    <x v="14"/>
    <x v="0"/>
  </r>
  <r>
    <x v="12"/>
    <x v="0"/>
    <x v="17"/>
    <n v="1"/>
    <n v="269.99"/>
    <n v="0.1"/>
    <n v="269.99"/>
    <m/>
    <x v="15"/>
    <x v="1"/>
  </r>
  <r>
    <x v="12"/>
    <x v="1"/>
    <x v="7"/>
    <n v="2"/>
    <n v="429"/>
    <n v="0.05"/>
    <n v="858"/>
    <m/>
    <x v="7"/>
    <x v="1"/>
  </r>
  <r>
    <x v="12"/>
    <x v="2"/>
    <x v="0"/>
    <n v="2"/>
    <n v="599.99"/>
    <n v="0.1"/>
    <n v="1199.98"/>
    <m/>
    <x v="0"/>
    <x v="1"/>
  </r>
  <r>
    <x v="12"/>
    <x v="3"/>
    <x v="3"/>
    <n v="2"/>
    <n v="599.99"/>
    <n v="0.05"/>
    <n v="1199.98"/>
    <m/>
    <x v="3"/>
    <x v="1"/>
  </r>
  <r>
    <x v="13"/>
    <x v="0"/>
    <x v="18"/>
    <n v="1"/>
    <n v="469.99"/>
    <n v="7.0000000000000007E-2"/>
    <n v="469.99"/>
    <m/>
    <x v="16"/>
    <x v="0"/>
  </r>
  <r>
    <x v="14"/>
    <x v="0"/>
    <x v="10"/>
    <n v="2"/>
    <n v="549.99"/>
    <n v="7.0000000000000007E-2"/>
    <n v="1099.98"/>
    <m/>
    <x v="9"/>
    <x v="1"/>
  </r>
  <r>
    <x v="14"/>
    <x v="1"/>
    <x v="1"/>
    <n v="1"/>
    <n v="1799.99"/>
    <n v="7.0000000000000007E-2"/>
    <n v="1799.99"/>
    <m/>
    <x v="1"/>
    <x v="1"/>
  </r>
  <r>
    <x v="14"/>
    <x v="2"/>
    <x v="9"/>
    <n v="2"/>
    <n v="449"/>
    <n v="0.05"/>
    <n v="898"/>
    <m/>
    <x v="8"/>
    <x v="1"/>
  </r>
  <r>
    <x v="14"/>
    <x v="3"/>
    <x v="19"/>
    <n v="2"/>
    <n v="299.99"/>
    <n v="0.2"/>
    <n v="599.98"/>
    <m/>
    <x v="17"/>
    <x v="1"/>
  </r>
  <r>
    <x v="15"/>
    <x v="0"/>
    <x v="1"/>
    <n v="1"/>
    <n v="1799.99"/>
    <n v="0.2"/>
    <n v="1799.99"/>
    <m/>
    <x v="1"/>
    <x v="0"/>
  </r>
  <r>
    <x v="15"/>
    <x v="1"/>
    <x v="20"/>
    <n v="1"/>
    <n v="269.99"/>
    <n v="0.05"/>
    <n v="269.99"/>
    <m/>
    <x v="15"/>
    <x v="0"/>
  </r>
  <r>
    <x v="15"/>
    <x v="2"/>
    <x v="17"/>
    <n v="2"/>
    <n v="269.99"/>
    <n v="7.0000000000000007E-2"/>
    <n v="539.98"/>
    <m/>
    <x v="15"/>
    <x v="0"/>
  </r>
  <r>
    <x v="15"/>
    <x v="3"/>
    <x v="15"/>
    <n v="1"/>
    <n v="269.99"/>
    <n v="7.0000000000000007E-2"/>
    <n v="269.99"/>
    <m/>
    <x v="12"/>
    <x v="0"/>
  </r>
  <r>
    <x v="16"/>
    <x v="0"/>
    <x v="1"/>
    <n v="1"/>
    <n v="1799.99"/>
    <n v="7.0000000000000007E-2"/>
    <n v="1799.99"/>
    <m/>
    <x v="1"/>
    <x v="0"/>
  </r>
  <r>
    <x v="16"/>
    <x v="1"/>
    <x v="19"/>
    <n v="1"/>
    <n v="299.99"/>
    <n v="0.1"/>
    <n v="299.99"/>
    <m/>
    <x v="17"/>
    <x v="0"/>
  </r>
  <r>
    <x v="16"/>
    <x v="2"/>
    <x v="21"/>
    <n v="1"/>
    <n v="1320.99"/>
    <n v="0.1"/>
    <n v="1320.99"/>
    <m/>
    <x v="18"/>
    <x v="0"/>
  </r>
  <r>
    <x v="16"/>
    <x v="3"/>
    <x v="0"/>
    <n v="2"/>
    <n v="599.99"/>
    <n v="0.2"/>
    <n v="1199.98"/>
    <m/>
    <x v="0"/>
    <x v="0"/>
  </r>
  <r>
    <x v="17"/>
    <x v="0"/>
    <x v="6"/>
    <n v="2"/>
    <n v="749.99"/>
    <n v="0.2"/>
    <n v="1499.98"/>
    <m/>
    <x v="6"/>
    <x v="0"/>
  </r>
  <r>
    <x v="17"/>
    <x v="1"/>
    <x v="13"/>
    <n v="1"/>
    <n v="269.99"/>
    <n v="0.05"/>
    <n v="269.99"/>
    <m/>
    <x v="12"/>
    <x v="0"/>
  </r>
  <r>
    <x v="17"/>
    <x v="2"/>
    <x v="14"/>
    <n v="1"/>
    <n v="3999.99"/>
    <n v="0.1"/>
    <n v="3999.99"/>
    <m/>
    <x v="13"/>
    <x v="0"/>
  </r>
  <r>
    <x v="17"/>
    <x v="3"/>
    <x v="22"/>
    <n v="2"/>
    <n v="499.99"/>
    <n v="0.05"/>
    <n v="999.98"/>
    <m/>
    <x v="19"/>
    <x v="0"/>
  </r>
  <r>
    <x v="17"/>
    <x v="4"/>
    <x v="11"/>
    <n v="2"/>
    <n v="2999.99"/>
    <n v="0.1"/>
    <n v="5999.98"/>
    <m/>
    <x v="10"/>
    <x v="0"/>
  </r>
  <r>
    <x v="18"/>
    <x v="0"/>
    <x v="2"/>
    <n v="1"/>
    <n v="1549"/>
    <n v="7.0000000000000007E-2"/>
    <n v="1549"/>
    <m/>
    <x v="2"/>
    <x v="0"/>
  </r>
  <r>
    <x v="18"/>
    <x v="1"/>
    <x v="11"/>
    <n v="2"/>
    <n v="2999.99"/>
    <n v="0.2"/>
    <n v="5999.98"/>
    <m/>
    <x v="10"/>
    <x v="0"/>
  </r>
  <r>
    <x v="19"/>
    <x v="0"/>
    <x v="11"/>
    <n v="1"/>
    <n v="2999.99"/>
    <n v="7.0000000000000007E-2"/>
    <n v="2999.99"/>
    <m/>
    <x v="10"/>
    <x v="0"/>
  </r>
  <r>
    <x v="19"/>
    <x v="1"/>
    <x v="2"/>
    <n v="2"/>
    <n v="1549"/>
    <n v="7.0000000000000007E-2"/>
    <n v="3098"/>
    <m/>
    <x v="2"/>
    <x v="0"/>
  </r>
  <r>
    <x v="20"/>
    <x v="0"/>
    <x v="15"/>
    <n v="1"/>
    <n v="269.99"/>
    <n v="0.05"/>
    <n v="269.99"/>
    <m/>
    <x v="12"/>
    <x v="1"/>
  </r>
  <r>
    <x v="20"/>
    <x v="1"/>
    <x v="7"/>
    <n v="1"/>
    <n v="429"/>
    <n v="0.1"/>
    <n v="429"/>
    <m/>
    <x v="7"/>
    <x v="1"/>
  </r>
  <r>
    <x v="20"/>
    <x v="2"/>
    <x v="2"/>
    <n v="1"/>
    <n v="1549"/>
    <n v="7.0000000000000007E-2"/>
    <n v="1549"/>
    <m/>
    <x v="2"/>
    <x v="1"/>
  </r>
  <r>
    <x v="21"/>
    <x v="0"/>
    <x v="12"/>
    <n v="2"/>
    <n v="529.99"/>
    <n v="0.2"/>
    <n v="1059.98"/>
    <m/>
    <x v="11"/>
    <x v="0"/>
  </r>
  <r>
    <x v="21"/>
    <x v="1"/>
    <x v="13"/>
    <n v="1"/>
    <n v="269.99"/>
    <n v="0.05"/>
    <n v="269.99"/>
    <m/>
    <x v="12"/>
    <x v="0"/>
  </r>
  <r>
    <x v="22"/>
    <x v="0"/>
    <x v="4"/>
    <n v="2"/>
    <n v="2899.99"/>
    <n v="0.05"/>
    <n v="5799.98"/>
    <m/>
    <x v="4"/>
    <x v="0"/>
  </r>
  <r>
    <x v="22"/>
    <x v="1"/>
    <x v="19"/>
    <n v="2"/>
    <n v="299.99"/>
    <n v="0.1"/>
    <n v="599.98"/>
    <m/>
    <x v="17"/>
    <x v="0"/>
  </r>
  <r>
    <x v="22"/>
    <x v="2"/>
    <x v="17"/>
    <n v="1"/>
    <n v="269.99"/>
    <n v="0.2"/>
    <n v="269.99"/>
    <m/>
    <x v="15"/>
    <x v="0"/>
  </r>
  <r>
    <x v="23"/>
    <x v="0"/>
    <x v="5"/>
    <n v="2"/>
    <n v="999.99"/>
    <n v="0.1"/>
    <n v="1999.98"/>
    <m/>
    <x v="5"/>
    <x v="1"/>
  </r>
  <r>
    <x v="23"/>
    <x v="1"/>
    <x v="9"/>
    <n v="2"/>
    <n v="449"/>
    <n v="7.0000000000000007E-2"/>
    <n v="898"/>
    <m/>
    <x v="8"/>
    <x v="1"/>
  </r>
  <r>
    <x v="24"/>
    <x v="0"/>
    <x v="19"/>
    <n v="2"/>
    <n v="299.99"/>
    <n v="0.2"/>
    <n v="599.98"/>
    <m/>
    <x v="17"/>
    <x v="1"/>
  </r>
  <r>
    <x v="24"/>
    <x v="1"/>
    <x v="2"/>
    <n v="2"/>
    <n v="1549"/>
    <n v="0.2"/>
    <n v="3098"/>
    <m/>
    <x v="2"/>
    <x v="1"/>
  </r>
  <r>
    <x v="24"/>
    <x v="2"/>
    <x v="13"/>
    <n v="1"/>
    <n v="269.99"/>
    <n v="0.2"/>
    <n v="269.99"/>
    <m/>
    <x v="12"/>
    <x v="1"/>
  </r>
  <r>
    <x v="24"/>
    <x v="3"/>
    <x v="15"/>
    <n v="1"/>
    <n v="269.99"/>
    <n v="0.2"/>
    <n v="269.99"/>
    <m/>
    <x v="12"/>
    <x v="1"/>
  </r>
  <r>
    <x v="24"/>
    <x v="4"/>
    <x v="20"/>
    <n v="1"/>
    <n v="269.99"/>
    <n v="0.1"/>
    <n v="269.99"/>
    <m/>
    <x v="15"/>
    <x v="1"/>
  </r>
  <r>
    <x v="25"/>
    <x v="0"/>
    <x v="14"/>
    <n v="1"/>
    <n v="3999.99"/>
    <n v="0.05"/>
    <n v="3999.99"/>
    <m/>
    <x v="13"/>
    <x v="1"/>
  </r>
  <r>
    <x v="25"/>
    <x v="1"/>
    <x v="6"/>
    <n v="1"/>
    <n v="749.99"/>
    <n v="0.2"/>
    <n v="749.99"/>
    <m/>
    <x v="6"/>
    <x v="1"/>
  </r>
  <r>
    <x v="25"/>
    <x v="2"/>
    <x v="10"/>
    <n v="1"/>
    <n v="549.99"/>
    <n v="0.2"/>
    <n v="549.99"/>
    <m/>
    <x v="9"/>
    <x v="1"/>
  </r>
  <r>
    <x v="25"/>
    <x v="3"/>
    <x v="20"/>
    <n v="2"/>
    <n v="269.99"/>
    <n v="7.0000000000000007E-2"/>
    <n v="539.98"/>
    <m/>
    <x v="15"/>
    <x v="1"/>
  </r>
  <r>
    <x v="26"/>
    <x v="0"/>
    <x v="21"/>
    <n v="1"/>
    <n v="1320.99"/>
    <n v="0.2"/>
    <n v="1320.99"/>
    <m/>
    <x v="18"/>
    <x v="1"/>
  </r>
  <r>
    <x v="26"/>
    <x v="1"/>
    <x v="23"/>
    <n v="1"/>
    <n v="449"/>
    <n v="0.2"/>
    <n v="449"/>
    <m/>
    <x v="20"/>
    <x v="1"/>
  </r>
  <r>
    <x v="26"/>
    <x v="2"/>
    <x v="8"/>
    <n v="2"/>
    <n v="599.99"/>
    <n v="7.0000000000000007E-2"/>
    <n v="1199.98"/>
    <m/>
    <x v="3"/>
    <x v="1"/>
  </r>
  <r>
    <x v="26"/>
    <x v="3"/>
    <x v="1"/>
    <n v="1"/>
    <n v="1799.99"/>
    <n v="7.0000000000000007E-2"/>
    <n v="1799.99"/>
    <m/>
    <x v="1"/>
    <x v="1"/>
  </r>
  <r>
    <x v="27"/>
    <x v="0"/>
    <x v="21"/>
    <n v="1"/>
    <n v="1320.99"/>
    <n v="0.05"/>
    <n v="1320.99"/>
    <m/>
    <x v="18"/>
    <x v="1"/>
  </r>
  <r>
    <x v="27"/>
    <x v="1"/>
    <x v="14"/>
    <n v="2"/>
    <n v="3999.99"/>
    <n v="0.2"/>
    <n v="7999.98"/>
    <m/>
    <x v="13"/>
    <x v="1"/>
  </r>
  <r>
    <x v="27"/>
    <x v="2"/>
    <x v="15"/>
    <n v="2"/>
    <n v="269.99"/>
    <n v="0.1"/>
    <n v="539.98"/>
    <m/>
    <x v="12"/>
    <x v="1"/>
  </r>
  <r>
    <x v="27"/>
    <x v="3"/>
    <x v="18"/>
    <n v="1"/>
    <n v="469.99"/>
    <n v="0.05"/>
    <n v="469.99"/>
    <m/>
    <x v="16"/>
    <x v="1"/>
  </r>
  <r>
    <x v="28"/>
    <x v="0"/>
    <x v="24"/>
    <n v="2"/>
    <n v="549.99"/>
    <n v="0.05"/>
    <n v="1099.98"/>
    <m/>
    <x v="9"/>
    <x v="1"/>
  </r>
  <r>
    <x v="28"/>
    <x v="1"/>
    <x v="18"/>
    <n v="1"/>
    <n v="469.99"/>
    <n v="0.2"/>
    <n v="469.99"/>
    <m/>
    <x v="16"/>
    <x v="1"/>
  </r>
  <r>
    <x v="28"/>
    <x v="2"/>
    <x v="20"/>
    <n v="2"/>
    <n v="269.99"/>
    <n v="0.1"/>
    <n v="539.98"/>
    <m/>
    <x v="15"/>
    <x v="1"/>
  </r>
  <r>
    <x v="28"/>
    <x v="3"/>
    <x v="1"/>
    <n v="1"/>
    <n v="1799.99"/>
    <n v="0.2"/>
    <n v="1799.99"/>
    <m/>
    <x v="1"/>
    <x v="1"/>
  </r>
  <r>
    <x v="28"/>
    <x v="4"/>
    <x v="15"/>
    <n v="2"/>
    <n v="269.99"/>
    <n v="0.05"/>
    <n v="539.98"/>
    <m/>
    <x v="12"/>
    <x v="1"/>
  </r>
  <r>
    <x v="29"/>
    <x v="0"/>
    <x v="8"/>
    <n v="1"/>
    <n v="599.99"/>
    <n v="0.05"/>
    <n v="599.99"/>
    <m/>
    <x v="3"/>
    <x v="1"/>
  </r>
  <r>
    <x v="29"/>
    <x v="1"/>
    <x v="7"/>
    <n v="1"/>
    <n v="429"/>
    <n v="7.0000000000000007E-2"/>
    <n v="429"/>
    <m/>
    <x v="7"/>
    <x v="1"/>
  </r>
  <r>
    <x v="29"/>
    <x v="2"/>
    <x v="23"/>
    <n v="1"/>
    <n v="449"/>
    <n v="0.1"/>
    <n v="449"/>
    <m/>
    <x v="20"/>
    <x v="1"/>
  </r>
  <r>
    <x v="29"/>
    <x v="3"/>
    <x v="4"/>
    <n v="1"/>
    <n v="2899.99"/>
    <n v="0.1"/>
    <n v="2899.99"/>
    <m/>
    <x v="4"/>
    <x v="1"/>
  </r>
  <r>
    <x v="29"/>
    <x v="4"/>
    <x v="14"/>
    <n v="2"/>
    <n v="3999.99"/>
    <n v="0.1"/>
    <n v="7999.98"/>
    <m/>
    <x v="13"/>
    <x v="1"/>
  </r>
  <r>
    <x v="30"/>
    <x v="0"/>
    <x v="16"/>
    <n v="2"/>
    <n v="1680.99"/>
    <n v="0.05"/>
    <n v="3361.98"/>
    <m/>
    <x v="14"/>
    <x v="2"/>
  </r>
  <r>
    <x v="30"/>
    <x v="1"/>
    <x v="11"/>
    <n v="2"/>
    <n v="2999.99"/>
    <n v="0.2"/>
    <n v="5999.98"/>
    <m/>
    <x v="10"/>
    <x v="2"/>
  </r>
  <r>
    <x v="31"/>
    <x v="0"/>
    <x v="1"/>
    <n v="2"/>
    <n v="1799.99"/>
    <n v="7.0000000000000007E-2"/>
    <n v="3599.98"/>
    <m/>
    <x v="1"/>
    <x v="0"/>
  </r>
  <r>
    <x v="31"/>
    <x v="1"/>
    <x v="10"/>
    <n v="2"/>
    <n v="549.99"/>
    <n v="7.0000000000000007E-2"/>
    <n v="1099.98"/>
    <m/>
    <x v="9"/>
    <x v="0"/>
  </r>
  <r>
    <x v="31"/>
    <x v="2"/>
    <x v="22"/>
    <n v="2"/>
    <n v="499.99"/>
    <n v="0.1"/>
    <n v="999.98"/>
    <m/>
    <x v="19"/>
    <x v="0"/>
  </r>
  <r>
    <x v="32"/>
    <x v="0"/>
    <x v="19"/>
    <n v="2"/>
    <n v="299.99"/>
    <n v="7.0000000000000007E-2"/>
    <n v="599.98"/>
    <m/>
    <x v="17"/>
    <x v="1"/>
  </r>
  <r>
    <x v="32"/>
    <x v="1"/>
    <x v="14"/>
    <n v="1"/>
    <n v="3999.99"/>
    <n v="0.1"/>
    <n v="3999.99"/>
    <m/>
    <x v="13"/>
    <x v="1"/>
  </r>
  <r>
    <x v="33"/>
    <x v="0"/>
    <x v="1"/>
    <n v="2"/>
    <n v="1799.99"/>
    <n v="7.0000000000000007E-2"/>
    <n v="3599.98"/>
    <m/>
    <x v="1"/>
    <x v="1"/>
  </r>
  <r>
    <x v="33"/>
    <x v="1"/>
    <x v="2"/>
    <n v="2"/>
    <n v="1549"/>
    <n v="0.1"/>
    <n v="3098"/>
    <m/>
    <x v="2"/>
    <x v="1"/>
  </r>
  <r>
    <x v="33"/>
    <x v="2"/>
    <x v="7"/>
    <n v="2"/>
    <n v="429"/>
    <n v="0.2"/>
    <n v="858"/>
    <m/>
    <x v="7"/>
    <x v="1"/>
  </r>
  <r>
    <x v="34"/>
    <x v="0"/>
    <x v="9"/>
    <n v="1"/>
    <n v="449"/>
    <n v="0.05"/>
    <n v="449"/>
    <m/>
    <x v="8"/>
    <x v="1"/>
  </r>
  <r>
    <x v="34"/>
    <x v="1"/>
    <x v="0"/>
    <n v="2"/>
    <n v="599.99"/>
    <n v="0.05"/>
    <n v="1199.98"/>
    <m/>
    <x v="0"/>
    <x v="1"/>
  </r>
  <r>
    <x v="34"/>
    <x v="2"/>
    <x v="21"/>
    <n v="1"/>
    <n v="1320.99"/>
    <n v="0.2"/>
    <n v="1320.99"/>
    <m/>
    <x v="18"/>
    <x v="1"/>
  </r>
  <r>
    <x v="34"/>
    <x v="3"/>
    <x v="20"/>
    <n v="2"/>
    <n v="269.99"/>
    <n v="7.0000000000000007E-2"/>
    <n v="539.98"/>
    <m/>
    <x v="15"/>
    <x v="1"/>
  </r>
  <r>
    <x v="34"/>
    <x v="4"/>
    <x v="13"/>
    <n v="1"/>
    <n v="269.99"/>
    <n v="7.0000000000000007E-2"/>
    <n v="269.99"/>
    <m/>
    <x v="12"/>
    <x v="1"/>
  </r>
  <r>
    <x v="35"/>
    <x v="0"/>
    <x v="11"/>
    <n v="1"/>
    <n v="2999.99"/>
    <n v="7.0000000000000007E-2"/>
    <n v="2999.99"/>
    <m/>
    <x v="10"/>
    <x v="1"/>
  </r>
  <r>
    <x v="35"/>
    <x v="1"/>
    <x v="21"/>
    <n v="1"/>
    <n v="1320.99"/>
    <n v="0.05"/>
    <n v="1320.99"/>
    <m/>
    <x v="18"/>
    <x v="1"/>
  </r>
  <r>
    <x v="35"/>
    <x v="2"/>
    <x v="5"/>
    <n v="2"/>
    <n v="999.99"/>
    <n v="0.2"/>
    <n v="1999.98"/>
    <m/>
    <x v="5"/>
    <x v="1"/>
  </r>
  <r>
    <x v="36"/>
    <x v="0"/>
    <x v="3"/>
    <n v="2"/>
    <n v="599.99"/>
    <n v="0.05"/>
    <n v="1199.98"/>
    <m/>
    <x v="3"/>
    <x v="1"/>
  </r>
  <r>
    <x v="37"/>
    <x v="0"/>
    <x v="14"/>
    <n v="2"/>
    <n v="3999.99"/>
    <n v="0.05"/>
    <n v="7999.98"/>
    <m/>
    <x v="13"/>
    <x v="1"/>
  </r>
  <r>
    <x v="37"/>
    <x v="1"/>
    <x v="19"/>
    <n v="1"/>
    <n v="299.99"/>
    <n v="7.0000000000000007E-2"/>
    <n v="299.99"/>
    <m/>
    <x v="17"/>
    <x v="1"/>
  </r>
  <r>
    <x v="37"/>
    <x v="2"/>
    <x v="22"/>
    <n v="1"/>
    <n v="499.99"/>
    <n v="0.2"/>
    <n v="499.99"/>
    <m/>
    <x v="19"/>
    <x v="1"/>
  </r>
  <r>
    <x v="37"/>
    <x v="3"/>
    <x v="2"/>
    <n v="2"/>
    <n v="1549"/>
    <n v="0.1"/>
    <n v="3098"/>
    <m/>
    <x v="2"/>
    <x v="1"/>
  </r>
  <r>
    <x v="37"/>
    <x v="4"/>
    <x v="24"/>
    <n v="1"/>
    <n v="549.99"/>
    <n v="7.0000000000000007E-2"/>
    <n v="549.99"/>
    <m/>
    <x v="9"/>
    <x v="1"/>
  </r>
  <r>
    <x v="38"/>
    <x v="0"/>
    <x v="13"/>
    <n v="2"/>
    <n v="269.99"/>
    <n v="0.2"/>
    <n v="539.98"/>
    <m/>
    <x v="12"/>
    <x v="1"/>
  </r>
  <r>
    <x v="38"/>
    <x v="1"/>
    <x v="3"/>
    <n v="2"/>
    <n v="599.99"/>
    <n v="0.2"/>
    <n v="1199.98"/>
    <m/>
    <x v="3"/>
    <x v="1"/>
  </r>
  <r>
    <x v="38"/>
    <x v="2"/>
    <x v="5"/>
    <n v="2"/>
    <n v="999.99"/>
    <n v="0.05"/>
    <n v="1999.98"/>
    <m/>
    <x v="5"/>
    <x v="1"/>
  </r>
  <r>
    <x v="38"/>
    <x v="3"/>
    <x v="12"/>
    <n v="1"/>
    <n v="529.99"/>
    <n v="0.1"/>
    <n v="529.99"/>
    <m/>
    <x v="11"/>
    <x v="1"/>
  </r>
  <r>
    <x v="39"/>
    <x v="0"/>
    <x v="7"/>
    <n v="1"/>
    <n v="429"/>
    <n v="0.2"/>
    <n v="429"/>
    <m/>
    <x v="7"/>
    <x v="0"/>
  </r>
  <r>
    <x v="39"/>
    <x v="1"/>
    <x v="1"/>
    <n v="2"/>
    <n v="1799.99"/>
    <n v="0.2"/>
    <n v="3599.98"/>
    <m/>
    <x v="1"/>
    <x v="0"/>
  </r>
  <r>
    <x v="40"/>
    <x v="0"/>
    <x v="21"/>
    <n v="1"/>
    <n v="1320.99"/>
    <n v="0.1"/>
    <n v="1320.99"/>
    <m/>
    <x v="18"/>
    <x v="1"/>
  </r>
  <r>
    <x v="40"/>
    <x v="1"/>
    <x v="23"/>
    <n v="2"/>
    <n v="449"/>
    <n v="0.2"/>
    <n v="898"/>
    <m/>
    <x v="20"/>
    <x v="1"/>
  </r>
  <r>
    <x v="40"/>
    <x v="2"/>
    <x v="8"/>
    <n v="2"/>
    <n v="599.99"/>
    <n v="0.2"/>
    <n v="1199.98"/>
    <m/>
    <x v="3"/>
    <x v="1"/>
  </r>
  <r>
    <x v="41"/>
    <x v="0"/>
    <x v="23"/>
    <n v="1"/>
    <n v="449"/>
    <n v="0.05"/>
    <n v="449"/>
    <m/>
    <x v="20"/>
    <x v="1"/>
  </r>
  <r>
    <x v="42"/>
    <x v="0"/>
    <x v="17"/>
    <n v="2"/>
    <n v="269.99"/>
    <n v="0.1"/>
    <n v="539.98"/>
    <m/>
    <x v="15"/>
    <x v="1"/>
  </r>
  <r>
    <x v="42"/>
    <x v="1"/>
    <x v="10"/>
    <n v="2"/>
    <n v="549.99"/>
    <n v="0.05"/>
    <n v="1099.98"/>
    <m/>
    <x v="9"/>
    <x v="1"/>
  </r>
  <r>
    <x v="43"/>
    <x v="0"/>
    <x v="14"/>
    <n v="1"/>
    <n v="3999.99"/>
    <n v="0.1"/>
    <n v="3999.99"/>
    <m/>
    <x v="13"/>
    <x v="1"/>
  </r>
  <r>
    <x v="43"/>
    <x v="1"/>
    <x v="3"/>
    <n v="1"/>
    <n v="599.99"/>
    <n v="0.05"/>
    <n v="599.99"/>
    <m/>
    <x v="3"/>
    <x v="1"/>
  </r>
  <r>
    <x v="44"/>
    <x v="0"/>
    <x v="4"/>
    <n v="2"/>
    <n v="2899.99"/>
    <n v="0.2"/>
    <n v="5799.98"/>
    <m/>
    <x v="4"/>
    <x v="1"/>
  </r>
  <r>
    <x v="44"/>
    <x v="1"/>
    <x v="13"/>
    <n v="1"/>
    <n v="269.99"/>
    <n v="7.0000000000000007E-2"/>
    <n v="269.99"/>
    <m/>
    <x v="12"/>
    <x v="1"/>
  </r>
  <r>
    <x v="44"/>
    <x v="2"/>
    <x v="20"/>
    <n v="2"/>
    <n v="269.99"/>
    <n v="0.05"/>
    <n v="539.98"/>
    <m/>
    <x v="15"/>
    <x v="1"/>
  </r>
  <r>
    <x v="45"/>
    <x v="0"/>
    <x v="7"/>
    <n v="1"/>
    <n v="429"/>
    <n v="0.1"/>
    <n v="429"/>
    <m/>
    <x v="7"/>
    <x v="1"/>
  </r>
  <r>
    <x v="46"/>
    <x v="0"/>
    <x v="18"/>
    <n v="1"/>
    <n v="469.99"/>
    <n v="0.05"/>
    <n v="469.99"/>
    <m/>
    <x v="16"/>
    <x v="1"/>
  </r>
  <r>
    <x v="46"/>
    <x v="1"/>
    <x v="12"/>
    <n v="1"/>
    <n v="529.99"/>
    <n v="0.1"/>
    <n v="529.99"/>
    <m/>
    <x v="11"/>
    <x v="1"/>
  </r>
  <r>
    <x v="46"/>
    <x v="2"/>
    <x v="22"/>
    <n v="2"/>
    <n v="499.99"/>
    <n v="7.0000000000000007E-2"/>
    <n v="999.98"/>
    <m/>
    <x v="19"/>
    <x v="1"/>
  </r>
  <r>
    <x v="46"/>
    <x v="3"/>
    <x v="17"/>
    <n v="1"/>
    <n v="269.99"/>
    <n v="0.2"/>
    <n v="269.99"/>
    <m/>
    <x v="15"/>
    <x v="1"/>
  </r>
  <r>
    <x v="47"/>
    <x v="0"/>
    <x v="16"/>
    <n v="1"/>
    <n v="1680.99"/>
    <n v="0.1"/>
    <n v="1680.99"/>
    <m/>
    <x v="14"/>
    <x v="1"/>
  </r>
  <r>
    <x v="47"/>
    <x v="1"/>
    <x v="4"/>
    <n v="1"/>
    <n v="2899.99"/>
    <n v="0.2"/>
    <n v="2899.99"/>
    <m/>
    <x v="4"/>
    <x v="1"/>
  </r>
  <r>
    <x v="47"/>
    <x v="2"/>
    <x v="21"/>
    <n v="2"/>
    <n v="1320.99"/>
    <n v="0.1"/>
    <n v="2641.98"/>
    <m/>
    <x v="18"/>
    <x v="1"/>
  </r>
  <r>
    <x v="47"/>
    <x v="3"/>
    <x v="15"/>
    <n v="2"/>
    <n v="269.99"/>
    <n v="7.0000000000000007E-2"/>
    <n v="539.98"/>
    <m/>
    <x v="12"/>
    <x v="1"/>
  </r>
  <r>
    <x v="48"/>
    <x v="0"/>
    <x v="17"/>
    <n v="2"/>
    <n v="269.99"/>
    <n v="7.0000000000000007E-2"/>
    <n v="539.98"/>
    <m/>
    <x v="15"/>
    <x v="1"/>
  </r>
  <r>
    <x v="49"/>
    <x v="0"/>
    <x v="5"/>
    <n v="1"/>
    <n v="999.99"/>
    <n v="0.05"/>
    <n v="999.99"/>
    <m/>
    <x v="5"/>
    <x v="2"/>
  </r>
  <r>
    <x v="49"/>
    <x v="1"/>
    <x v="8"/>
    <n v="2"/>
    <n v="599.99"/>
    <n v="7.0000000000000007E-2"/>
    <n v="1199.98"/>
    <m/>
    <x v="3"/>
    <x v="2"/>
  </r>
  <r>
    <x v="49"/>
    <x v="2"/>
    <x v="17"/>
    <n v="2"/>
    <n v="269.99"/>
    <n v="0.2"/>
    <n v="539.98"/>
    <m/>
    <x v="15"/>
    <x v="2"/>
  </r>
  <r>
    <x v="50"/>
    <x v="0"/>
    <x v="17"/>
    <n v="1"/>
    <n v="269.99"/>
    <n v="0.05"/>
    <n v="269.99"/>
    <m/>
    <x v="15"/>
    <x v="1"/>
  </r>
  <r>
    <x v="50"/>
    <x v="1"/>
    <x v="0"/>
    <n v="1"/>
    <n v="599.99"/>
    <n v="0.05"/>
    <n v="599.99"/>
    <m/>
    <x v="0"/>
    <x v="1"/>
  </r>
  <r>
    <x v="50"/>
    <x v="2"/>
    <x v="8"/>
    <n v="2"/>
    <n v="599.99"/>
    <n v="0.2"/>
    <n v="1199.98"/>
    <m/>
    <x v="3"/>
    <x v="1"/>
  </r>
  <r>
    <x v="51"/>
    <x v="0"/>
    <x v="22"/>
    <n v="1"/>
    <n v="499.99"/>
    <n v="7.0000000000000007E-2"/>
    <n v="499.99"/>
    <m/>
    <x v="19"/>
    <x v="0"/>
  </r>
  <r>
    <x v="52"/>
    <x v="0"/>
    <x v="1"/>
    <n v="2"/>
    <n v="1799.99"/>
    <n v="0.2"/>
    <n v="3599.98"/>
    <m/>
    <x v="1"/>
    <x v="1"/>
  </r>
  <r>
    <x v="52"/>
    <x v="1"/>
    <x v="19"/>
    <n v="2"/>
    <n v="299.99"/>
    <n v="0.05"/>
    <n v="599.98"/>
    <m/>
    <x v="17"/>
    <x v="1"/>
  </r>
  <r>
    <x v="52"/>
    <x v="2"/>
    <x v="15"/>
    <n v="2"/>
    <n v="269.99"/>
    <n v="0.2"/>
    <n v="539.98"/>
    <m/>
    <x v="12"/>
    <x v="1"/>
  </r>
  <r>
    <x v="52"/>
    <x v="3"/>
    <x v="22"/>
    <n v="2"/>
    <n v="499.99"/>
    <n v="0.1"/>
    <n v="999.98"/>
    <m/>
    <x v="19"/>
    <x v="1"/>
  </r>
  <r>
    <x v="53"/>
    <x v="0"/>
    <x v="8"/>
    <n v="2"/>
    <n v="599.99"/>
    <n v="0.2"/>
    <n v="1199.98"/>
    <m/>
    <x v="3"/>
    <x v="1"/>
  </r>
  <r>
    <x v="53"/>
    <x v="1"/>
    <x v="5"/>
    <n v="1"/>
    <n v="999.99"/>
    <n v="0.2"/>
    <n v="999.99"/>
    <m/>
    <x v="5"/>
    <x v="1"/>
  </r>
  <r>
    <x v="54"/>
    <x v="0"/>
    <x v="20"/>
    <n v="1"/>
    <n v="269.99"/>
    <n v="0.05"/>
    <n v="269.99"/>
    <m/>
    <x v="15"/>
    <x v="1"/>
  </r>
  <r>
    <x v="54"/>
    <x v="1"/>
    <x v="22"/>
    <n v="2"/>
    <n v="499.99"/>
    <n v="0.2"/>
    <n v="999.98"/>
    <m/>
    <x v="19"/>
    <x v="1"/>
  </r>
  <r>
    <x v="54"/>
    <x v="2"/>
    <x v="12"/>
    <n v="2"/>
    <n v="529.99"/>
    <n v="0.2"/>
    <n v="1059.98"/>
    <m/>
    <x v="11"/>
    <x v="1"/>
  </r>
  <r>
    <x v="55"/>
    <x v="0"/>
    <x v="0"/>
    <n v="2"/>
    <n v="599.99"/>
    <n v="7.0000000000000007E-2"/>
    <n v="1199.98"/>
    <m/>
    <x v="0"/>
    <x v="1"/>
  </r>
  <r>
    <x v="56"/>
    <x v="0"/>
    <x v="19"/>
    <n v="2"/>
    <n v="299.99"/>
    <n v="0.1"/>
    <n v="599.98"/>
    <m/>
    <x v="17"/>
    <x v="1"/>
  </r>
  <r>
    <x v="56"/>
    <x v="1"/>
    <x v="23"/>
    <n v="2"/>
    <n v="449"/>
    <n v="0.2"/>
    <n v="898"/>
    <m/>
    <x v="20"/>
    <x v="1"/>
  </r>
  <r>
    <x v="56"/>
    <x v="2"/>
    <x v="17"/>
    <n v="1"/>
    <n v="269.99"/>
    <n v="7.0000000000000007E-2"/>
    <n v="269.99"/>
    <m/>
    <x v="15"/>
    <x v="1"/>
  </r>
  <r>
    <x v="57"/>
    <x v="0"/>
    <x v="15"/>
    <n v="2"/>
    <n v="269.99"/>
    <n v="0.05"/>
    <n v="539.98"/>
    <m/>
    <x v="12"/>
    <x v="1"/>
  </r>
  <r>
    <x v="57"/>
    <x v="1"/>
    <x v="9"/>
    <n v="1"/>
    <n v="449"/>
    <n v="7.0000000000000007E-2"/>
    <n v="449"/>
    <m/>
    <x v="8"/>
    <x v="1"/>
  </r>
  <r>
    <x v="57"/>
    <x v="2"/>
    <x v="19"/>
    <n v="1"/>
    <n v="299.99"/>
    <n v="0.1"/>
    <n v="299.99"/>
    <m/>
    <x v="17"/>
    <x v="1"/>
  </r>
  <r>
    <x v="58"/>
    <x v="0"/>
    <x v="20"/>
    <n v="1"/>
    <n v="269.99"/>
    <n v="0.05"/>
    <n v="269.99"/>
    <m/>
    <x v="15"/>
    <x v="1"/>
  </r>
  <r>
    <x v="58"/>
    <x v="1"/>
    <x v="6"/>
    <n v="1"/>
    <n v="749.99"/>
    <n v="0.1"/>
    <n v="749.99"/>
    <m/>
    <x v="6"/>
    <x v="1"/>
  </r>
  <r>
    <x v="58"/>
    <x v="2"/>
    <x v="7"/>
    <n v="2"/>
    <n v="429"/>
    <n v="0.1"/>
    <n v="858"/>
    <m/>
    <x v="7"/>
    <x v="1"/>
  </r>
  <r>
    <x v="59"/>
    <x v="0"/>
    <x v="15"/>
    <n v="2"/>
    <n v="269.99"/>
    <n v="0.05"/>
    <n v="539.98"/>
    <m/>
    <x v="12"/>
    <x v="0"/>
  </r>
  <r>
    <x v="59"/>
    <x v="1"/>
    <x v="4"/>
    <n v="1"/>
    <n v="2899.99"/>
    <n v="0.1"/>
    <n v="2899.99"/>
    <m/>
    <x v="4"/>
    <x v="0"/>
  </r>
  <r>
    <x v="59"/>
    <x v="2"/>
    <x v="12"/>
    <n v="1"/>
    <n v="529.99"/>
    <n v="7.0000000000000007E-2"/>
    <n v="529.99"/>
    <m/>
    <x v="11"/>
    <x v="0"/>
  </r>
  <r>
    <x v="59"/>
    <x v="3"/>
    <x v="13"/>
    <n v="1"/>
    <n v="269.99"/>
    <n v="0.2"/>
    <n v="269.99"/>
    <m/>
    <x v="12"/>
    <x v="0"/>
  </r>
  <r>
    <x v="60"/>
    <x v="0"/>
    <x v="22"/>
    <n v="1"/>
    <n v="499.99"/>
    <n v="0.1"/>
    <n v="499.99"/>
    <m/>
    <x v="19"/>
    <x v="1"/>
  </r>
  <r>
    <x v="60"/>
    <x v="1"/>
    <x v="12"/>
    <n v="2"/>
    <n v="529.99"/>
    <n v="0.05"/>
    <n v="1059.98"/>
    <m/>
    <x v="11"/>
    <x v="1"/>
  </r>
  <r>
    <x v="60"/>
    <x v="2"/>
    <x v="21"/>
    <n v="2"/>
    <n v="1320.99"/>
    <n v="0.2"/>
    <n v="2641.98"/>
    <m/>
    <x v="18"/>
    <x v="1"/>
  </r>
  <r>
    <x v="61"/>
    <x v="0"/>
    <x v="15"/>
    <n v="1"/>
    <n v="269.99"/>
    <n v="7.0000000000000007E-2"/>
    <n v="269.99"/>
    <m/>
    <x v="12"/>
    <x v="0"/>
  </r>
  <r>
    <x v="61"/>
    <x v="1"/>
    <x v="1"/>
    <n v="2"/>
    <n v="1799.99"/>
    <n v="0.1"/>
    <n v="3599.98"/>
    <m/>
    <x v="1"/>
    <x v="0"/>
  </r>
  <r>
    <x v="61"/>
    <x v="2"/>
    <x v="13"/>
    <n v="2"/>
    <n v="269.99"/>
    <n v="0.1"/>
    <n v="539.98"/>
    <m/>
    <x v="12"/>
    <x v="0"/>
  </r>
  <r>
    <x v="62"/>
    <x v="0"/>
    <x v="22"/>
    <n v="2"/>
    <n v="499.99"/>
    <n v="0.1"/>
    <n v="999.98"/>
    <m/>
    <x v="19"/>
    <x v="1"/>
  </r>
  <r>
    <x v="62"/>
    <x v="1"/>
    <x v="23"/>
    <n v="2"/>
    <n v="449"/>
    <n v="0.05"/>
    <n v="898"/>
    <m/>
    <x v="20"/>
    <x v="1"/>
  </r>
  <r>
    <x v="62"/>
    <x v="2"/>
    <x v="5"/>
    <n v="1"/>
    <n v="999.99"/>
    <n v="0.1"/>
    <n v="999.99"/>
    <m/>
    <x v="5"/>
    <x v="1"/>
  </r>
  <r>
    <x v="63"/>
    <x v="0"/>
    <x v="22"/>
    <n v="2"/>
    <n v="499.99"/>
    <n v="0.1"/>
    <n v="999.98"/>
    <m/>
    <x v="19"/>
    <x v="1"/>
  </r>
  <r>
    <x v="63"/>
    <x v="1"/>
    <x v="13"/>
    <n v="2"/>
    <n v="269.99"/>
    <n v="0.2"/>
    <n v="539.98"/>
    <m/>
    <x v="12"/>
    <x v="1"/>
  </r>
  <r>
    <x v="63"/>
    <x v="2"/>
    <x v="19"/>
    <n v="2"/>
    <n v="299.99"/>
    <n v="0.2"/>
    <n v="599.98"/>
    <m/>
    <x v="17"/>
    <x v="1"/>
  </r>
  <r>
    <x v="63"/>
    <x v="3"/>
    <x v="24"/>
    <n v="2"/>
    <n v="549.99"/>
    <n v="0.1"/>
    <n v="1099.98"/>
    <m/>
    <x v="9"/>
    <x v="1"/>
  </r>
  <r>
    <x v="64"/>
    <x v="0"/>
    <x v="10"/>
    <n v="1"/>
    <n v="549.99"/>
    <n v="0.1"/>
    <n v="549.99"/>
    <m/>
    <x v="9"/>
    <x v="1"/>
  </r>
  <r>
    <x v="65"/>
    <x v="0"/>
    <x v="6"/>
    <n v="1"/>
    <n v="749.99"/>
    <n v="0.2"/>
    <n v="749.99"/>
    <m/>
    <x v="6"/>
    <x v="1"/>
  </r>
  <r>
    <x v="65"/>
    <x v="1"/>
    <x v="19"/>
    <n v="1"/>
    <n v="299.99"/>
    <n v="7.0000000000000007E-2"/>
    <n v="299.99"/>
    <m/>
    <x v="17"/>
    <x v="1"/>
  </r>
  <r>
    <x v="65"/>
    <x v="2"/>
    <x v="10"/>
    <n v="1"/>
    <n v="549.99"/>
    <n v="7.0000000000000007E-2"/>
    <n v="549.99"/>
    <m/>
    <x v="9"/>
    <x v="1"/>
  </r>
  <r>
    <x v="66"/>
    <x v="0"/>
    <x v="19"/>
    <n v="2"/>
    <n v="299.99"/>
    <n v="0.2"/>
    <n v="599.98"/>
    <m/>
    <x v="17"/>
    <x v="2"/>
  </r>
  <r>
    <x v="66"/>
    <x v="1"/>
    <x v="10"/>
    <n v="2"/>
    <n v="549.99"/>
    <n v="0.1"/>
    <n v="1099.98"/>
    <m/>
    <x v="9"/>
    <x v="2"/>
  </r>
  <r>
    <x v="66"/>
    <x v="2"/>
    <x v="20"/>
    <n v="1"/>
    <n v="269.99"/>
    <n v="0.2"/>
    <n v="269.99"/>
    <m/>
    <x v="15"/>
    <x v="2"/>
  </r>
  <r>
    <x v="66"/>
    <x v="3"/>
    <x v="21"/>
    <n v="2"/>
    <n v="1320.99"/>
    <n v="0.1"/>
    <n v="2641.98"/>
    <m/>
    <x v="18"/>
    <x v="2"/>
  </r>
  <r>
    <x v="66"/>
    <x v="4"/>
    <x v="23"/>
    <n v="1"/>
    <n v="449"/>
    <n v="0.2"/>
    <n v="449"/>
    <m/>
    <x v="20"/>
    <x v="2"/>
  </r>
  <r>
    <x v="67"/>
    <x v="0"/>
    <x v="17"/>
    <n v="2"/>
    <n v="269.99"/>
    <n v="7.0000000000000007E-2"/>
    <n v="539.98"/>
    <m/>
    <x v="15"/>
    <x v="1"/>
  </r>
  <r>
    <x v="67"/>
    <x v="1"/>
    <x v="7"/>
    <n v="1"/>
    <n v="429"/>
    <n v="0.1"/>
    <n v="429"/>
    <m/>
    <x v="7"/>
    <x v="1"/>
  </r>
  <r>
    <x v="68"/>
    <x v="0"/>
    <x v="13"/>
    <n v="2"/>
    <n v="269.99"/>
    <n v="0.1"/>
    <n v="539.98"/>
    <m/>
    <x v="12"/>
    <x v="1"/>
  </r>
  <r>
    <x v="68"/>
    <x v="1"/>
    <x v="21"/>
    <n v="1"/>
    <n v="1320.99"/>
    <n v="0.2"/>
    <n v="1320.99"/>
    <m/>
    <x v="18"/>
    <x v="1"/>
  </r>
  <r>
    <x v="68"/>
    <x v="2"/>
    <x v="2"/>
    <n v="1"/>
    <n v="1549"/>
    <n v="0.05"/>
    <n v="1549"/>
    <m/>
    <x v="2"/>
    <x v="1"/>
  </r>
  <r>
    <x v="69"/>
    <x v="0"/>
    <x v="5"/>
    <n v="2"/>
    <n v="999.99"/>
    <n v="0.05"/>
    <n v="1999.98"/>
    <m/>
    <x v="5"/>
    <x v="2"/>
  </r>
  <r>
    <x v="69"/>
    <x v="1"/>
    <x v="9"/>
    <n v="1"/>
    <n v="449"/>
    <n v="0.2"/>
    <n v="449"/>
    <m/>
    <x v="8"/>
    <x v="2"/>
  </r>
  <r>
    <x v="69"/>
    <x v="2"/>
    <x v="0"/>
    <n v="1"/>
    <n v="599.99"/>
    <n v="0.05"/>
    <n v="599.99"/>
    <m/>
    <x v="0"/>
    <x v="2"/>
  </r>
  <r>
    <x v="70"/>
    <x v="0"/>
    <x v="8"/>
    <n v="2"/>
    <n v="599.99"/>
    <n v="0.05"/>
    <n v="1199.98"/>
    <m/>
    <x v="3"/>
    <x v="1"/>
  </r>
  <r>
    <x v="70"/>
    <x v="1"/>
    <x v="24"/>
    <n v="1"/>
    <n v="549.99"/>
    <n v="0.2"/>
    <n v="549.99"/>
    <m/>
    <x v="9"/>
    <x v="1"/>
  </r>
  <r>
    <x v="70"/>
    <x v="2"/>
    <x v="9"/>
    <n v="1"/>
    <n v="449"/>
    <n v="0.1"/>
    <n v="449"/>
    <m/>
    <x v="8"/>
    <x v="1"/>
  </r>
  <r>
    <x v="71"/>
    <x v="0"/>
    <x v="7"/>
    <n v="2"/>
    <n v="429"/>
    <n v="7.0000000000000007E-2"/>
    <n v="858"/>
    <m/>
    <x v="7"/>
    <x v="0"/>
  </r>
  <r>
    <x v="71"/>
    <x v="1"/>
    <x v="10"/>
    <n v="1"/>
    <n v="549.99"/>
    <n v="0.05"/>
    <n v="549.99"/>
    <m/>
    <x v="9"/>
    <x v="0"/>
  </r>
  <r>
    <x v="71"/>
    <x v="2"/>
    <x v="17"/>
    <n v="2"/>
    <n v="269.99"/>
    <n v="0.1"/>
    <n v="539.98"/>
    <m/>
    <x v="15"/>
    <x v="0"/>
  </r>
  <r>
    <x v="72"/>
    <x v="0"/>
    <x v="13"/>
    <n v="1"/>
    <n v="269.99"/>
    <n v="7.0000000000000007E-2"/>
    <n v="269.99"/>
    <m/>
    <x v="12"/>
    <x v="1"/>
  </r>
  <r>
    <x v="72"/>
    <x v="1"/>
    <x v="8"/>
    <n v="2"/>
    <n v="599.99"/>
    <n v="0.05"/>
    <n v="1199.98"/>
    <m/>
    <x v="3"/>
    <x v="1"/>
  </r>
  <r>
    <x v="72"/>
    <x v="2"/>
    <x v="5"/>
    <n v="2"/>
    <n v="999.99"/>
    <n v="7.0000000000000007E-2"/>
    <n v="1999.98"/>
    <m/>
    <x v="5"/>
    <x v="1"/>
  </r>
  <r>
    <x v="72"/>
    <x v="3"/>
    <x v="22"/>
    <n v="1"/>
    <n v="499.99"/>
    <n v="7.0000000000000007E-2"/>
    <n v="499.99"/>
    <m/>
    <x v="19"/>
    <x v="1"/>
  </r>
  <r>
    <x v="72"/>
    <x v="4"/>
    <x v="19"/>
    <n v="2"/>
    <n v="299.99"/>
    <n v="0.2"/>
    <n v="599.98"/>
    <m/>
    <x v="17"/>
    <x v="1"/>
  </r>
  <r>
    <x v="73"/>
    <x v="0"/>
    <x v="3"/>
    <n v="2"/>
    <n v="599.99"/>
    <n v="0.05"/>
    <n v="1199.98"/>
    <m/>
    <x v="3"/>
    <x v="1"/>
  </r>
  <r>
    <x v="73"/>
    <x v="1"/>
    <x v="18"/>
    <n v="1"/>
    <n v="469.99"/>
    <n v="7.0000000000000007E-2"/>
    <n v="469.99"/>
    <m/>
    <x v="16"/>
    <x v="1"/>
  </r>
  <r>
    <x v="74"/>
    <x v="0"/>
    <x v="5"/>
    <n v="1"/>
    <n v="999.99"/>
    <n v="0.1"/>
    <n v="999.99"/>
    <m/>
    <x v="5"/>
    <x v="1"/>
  </r>
  <r>
    <x v="74"/>
    <x v="1"/>
    <x v="14"/>
    <n v="2"/>
    <n v="3999.99"/>
    <n v="7.0000000000000007E-2"/>
    <n v="7999.98"/>
    <m/>
    <x v="13"/>
    <x v="1"/>
  </r>
  <r>
    <x v="74"/>
    <x v="2"/>
    <x v="12"/>
    <n v="1"/>
    <n v="529.99"/>
    <n v="0.2"/>
    <n v="529.99"/>
    <m/>
    <x v="11"/>
    <x v="1"/>
  </r>
  <r>
    <x v="75"/>
    <x v="0"/>
    <x v="10"/>
    <n v="1"/>
    <n v="549.99"/>
    <n v="0.05"/>
    <n v="549.99"/>
    <m/>
    <x v="9"/>
    <x v="1"/>
  </r>
  <r>
    <x v="75"/>
    <x v="1"/>
    <x v="16"/>
    <n v="2"/>
    <n v="1680.99"/>
    <n v="0.1"/>
    <n v="3361.98"/>
    <m/>
    <x v="14"/>
    <x v="1"/>
  </r>
  <r>
    <x v="75"/>
    <x v="2"/>
    <x v="21"/>
    <n v="1"/>
    <n v="1320.99"/>
    <n v="7.0000000000000007E-2"/>
    <n v="1320.99"/>
    <m/>
    <x v="18"/>
    <x v="1"/>
  </r>
  <r>
    <x v="76"/>
    <x v="0"/>
    <x v="0"/>
    <n v="1"/>
    <n v="599.99"/>
    <n v="7.0000000000000007E-2"/>
    <n v="599.99"/>
    <m/>
    <x v="0"/>
    <x v="0"/>
  </r>
  <r>
    <x v="76"/>
    <x v="1"/>
    <x v="24"/>
    <n v="2"/>
    <n v="549.99"/>
    <n v="0.1"/>
    <n v="1099.98"/>
    <m/>
    <x v="9"/>
    <x v="0"/>
  </r>
  <r>
    <x v="76"/>
    <x v="2"/>
    <x v="8"/>
    <n v="1"/>
    <n v="599.99"/>
    <n v="0.2"/>
    <n v="599.99"/>
    <m/>
    <x v="3"/>
    <x v="0"/>
  </r>
  <r>
    <x v="76"/>
    <x v="3"/>
    <x v="22"/>
    <n v="1"/>
    <n v="499.99"/>
    <n v="0.2"/>
    <n v="499.99"/>
    <m/>
    <x v="19"/>
    <x v="0"/>
  </r>
  <r>
    <x v="77"/>
    <x v="0"/>
    <x v="7"/>
    <n v="1"/>
    <n v="429"/>
    <n v="7.0000000000000007E-2"/>
    <n v="429"/>
    <m/>
    <x v="7"/>
    <x v="1"/>
  </r>
  <r>
    <x v="77"/>
    <x v="1"/>
    <x v="23"/>
    <n v="1"/>
    <n v="449"/>
    <n v="0.2"/>
    <n v="449"/>
    <m/>
    <x v="20"/>
    <x v="1"/>
  </r>
  <r>
    <x v="77"/>
    <x v="2"/>
    <x v="9"/>
    <n v="2"/>
    <n v="449"/>
    <n v="0.1"/>
    <n v="898"/>
    <m/>
    <x v="8"/>
    <x v="1"/>
  </r>
  <r>
    <x v="77"/>
    <x v="3"/>
    <x v="15"/>
    <n v="2"/>
    <n v="269.99"/>
    <n v="0.1"/>
    <n v="539.98"/>
    <m/>
    <x v="12"/>
    <x v="1"/>
  </r>
  <r>
    <x v="78"/>
    <x v="0"/>
    <x v="11"/>
    <n v="2"/>
    <n v="2999.99"/>
    <n v="0.1"/>
    <n v="5999.98"/>
    <m/>
    <x v="10"/>
    <x v="0"/>
  </r>
  <r>
    <x v="78"/>
    <x v="1"/>
    <x v="7"/>
    <n v="2"/>
    <n v="429"/>
    <n v="0.05"/>
    <n v="858"/>
    <m/>
    <x v="7"/>
    <x v="0"/>
  </r>
  <r>
    <x v="78"/>
    <x v="2"/>
    <x v="18"/>
    <n v="1"/>
    <n v="469.99"/>
    <n v="0.1"/>
    <n v="469.99"/>
    <m/>
    <x v="16"/>
    <x v="0"/>
  </r>
  <r>
    <x v="78"/>
    <x v="3"/>
    <x v="22"/>
    <n v="2"/>
    <n v="499.99"/>
    <n v="7.0000000000000007E-2"/>
    <n v="999.98"/>
    <m/>
    <x v="19"/>
    <x v="0"/>
  </r>
  <r>
    <x v="79"/>
    <x v="0"/>
    <x v="8"/>
    <n v="1"/>
    <n v="599.99"/>
    <n v="0.1"/>
    <n v="599.99"/>
    <m/>
    <x v="3"/>
    <x v="1"/>
  </r>
  <r>
    <x v="79"/>
    <x v="1"/>
    <x v="24"/>
    <n v="1"/>
    <n v="549.99"/>
    <n v="0.1"/>
    <n v="549.99"/>
    <m/>
    <x v="9"/>
    <x v="1"/>
  </r>
  <r>
    <x v="79"/>
    <x v="2"/>
    <x v="7"/>
    <n v="1"/>
    <n v="429"/>
    <n v="0.2"/>
    <n v="429"/>
    <m/>
    <x v="7"/>
    <x v="1"/>
  </r>
  <r>
    <x v="80"/>
    <x v="0"/>
    <x v="2"/>
    <n v="2"/>
    <n v="1549"/>
    <n v="0.2"/>
    <n v="3098"/>
    <m/>
    <x v="2"/>
    <x v="1"/>
  </r>
  <r>
    <x v="80"/>
    <x v="1"/>
    <x v="19"/>
    <n v="2"/>
    <n v="299.99"/>
    <n v="0.05"/>
    <n v="599.98"/>
    <m/>
    <x v="17"/>
    <x v="1"/>
  </r>
  <r>
    <x v="80"/>
    <x v="2"/>
    <x v="22"/>
    <n v="2"/>
    <n v="499.99"/>
    <n v="0.05"/>
    <n v="999.98"/>
    <m/>
    <x v="19"/>
    <x v="1"/>
  </r>
  <r>
    <x v="81"/>
    <x v="0"/>
    <x v="22"/>
    <n v="2"/>
    <n v="499.99"/>
    <n v="0.1"/>
    <n v="999.98"/>
    <m/>
    <x v="19"/>
    <x v="1"/>
  </r>
  <r>
    <x v="81"/>
    <x v="1"/>
    <x v="16"/>
    <n v="2"/>
    <n v="1680.99"/>
    <n v="0.2"/>
    <n v="3361.98"/>
    <m/>
    <x v="14"/>
    <x v="1"/>
  </r>
  <r>
    <x v="82"/>
    <x v="0"/>
    <x v="0"/>
    <n v="1"/>
    <n v="599.99"/>
    <n v="0.2"/>
    <n v="599.99"/>
    <m/>
    <x v="0"/>
    <x v="0"/>
  </r>
  <r>
    <x v="82"/>
    <x v="1"/>
    <x v="5"/>
    <n v="2"/>
    <n v="999.99"/>
    <n v="0.05"/>
    <n v="1999.98"/>
    <m/>
    <x v="5"/>
    <x v="0"/>
  </r>
  <r>
    <x v="83"/>
    <x v="0"/>
    <x v="19"/>
    <n v="2"/>
    <n v="299.99"/>
    <n v="7.0000000000000007E-2"/>
    <n v="599.98"/>
    <m/>
    <x v="17"/>
    <x v="1"/>
  </r>
  <r>
    <x v="83"/>
    <x v="1"/>
    <x v="12"/>
    <n v="2"/>
    <n v="529.99"/>
    <n v="7.0000000000000007E-2"/>
    <n v="1059.98"/>
    <m/>
    <x v="11"/>
    <x v="1"/>
  </r>
  <r>
    <x v="84"/>
    <x v="0"/>
    <x v="4"/>
    <n v="2"/>
    <n v="2899.99"/>
    <n v="0.05"/>
    <n v="5799.98"/>
    <m/>
    <x v="4"/>
    <x v="1"/>
  </r>
  <r>
    <x v="84"/>
    <x v="1"/>
    <x v="9"/>
    <n v="1"/>
    <n v="449"/>
    <n v="7.0000000000000007E-2"/>
    <n v="449"/>
    <m/>
    <x v="8"/>
    <x v="1"/>
  </r>
  <r>
    <x v="85"/>
    <x v="0"/>
    <x v="11"/>
    <n v="2"/>
    <n v="2999.99"/>
    <n v="0.1"/>
    <n v="5999.98"/>
    <m/>
    <x v="10"/>
    <x v="1"/>
  </r>
  <r>
    <x v="85"/>
    <x v="1"/>
    <x v="19"/>
    <n v="2"/>
    <n v="299.99"/>
    <n v="7.0000000000000007E-2"/>
    <n v="599.98"/>
    <m/>
    <x v="17"/>
    <x v="1"/>
  </r>
  <r>
    <x v="85"/>
    <x v="2"/>
    <x v="20"/>
    <n v="2"/>
    <n v="269.99"/>
    <n v="0.2"/>
    <n v="539.98"/>
    <m/>
    <x v="15"/>
    <x v="1"/>
  </r>
  <r>
    <x v="85"/>
    <x v="3"/>
    <x v="12"/>
    <n v="1"/>
    <n v="529.99"/>
    <n v="0.1"/>
    <n v="529.99"/>
    <m/>
    <x v="11"/>
    <x v="1"/>
  </r>
  <r>
    <x v="86"/>
    <x v="0"/>
    <x v="0"/>
    <n v="2"/>
    <n v="599.99"/>
    <n v="0.2"/>
    <n v="1199.98"/>
    <m/>
    <x v="0"/>
    <x v="1"/>
  </r>
  <r>
    <x v="86"/>
    <x v="1"/>
    <x v="19"/>
    <n v="2"/>
    <n v="299.99"/>
    <n v="0.1"/>
    <n v="599.98"/>
    <m/>
    <x v="17"/>
    <x v="1"/>
  </r>
  <r>
    <x v="87"/>
    <x v="0"/>
    <x v="2"/>
    <n v="1"/>
    <n v="1549"/>
    <n v="7.0000000000000007E-2"/>
    <n v="1549"/>
    <m/>
    <x v="2"/>
    <x v="1"/>
  </r>
  <r>
    <x v="87"/>
    <x v="1"/>
    <x v="1"/>
    <n v="2"/>
    <n v="1799.99"/>
    <n v="0.1"/>
    <n v="3599.98"/>
    <m/>
    <x v="1"/>
    <x v="1"/>
  </r>
  <r>
    <x v="87"/>
    <x v="2"/>
    <x v="14"/>
    <n v="1"/>
    <n v="3999.99"/>
    <n v="0.1"/>
    <n v="3999.99"/>
    <m/>
    <x v="13"/>
    <x v="1"/>
  </r>
  <r>
    <x v="88"/>
    <x v="0"/>
    <x v="21"/>
    <n v="1"/>
    <n v="1320.99"/>
    <n v="0.05"/>
    <n v="1320.99"/>
    <m/>
    <x v="18"/>
    <x v="2"/>
  </r>
  <r>
    <x v="88"/>
    <x v="1"/>
    <x v="18"/>
    <n v="2"/>
    <n v="469.99"/>
    <n v="0.1"/>
    <n v="939.98"/>
    <m/>
    <x v="16"/>
    <x v="2"/>
  </r>
  <r>
    <x v="89"/>
    <x v="0"/>
    <x v="5"/>
    <n v="1"/>
    <n v="999.99"/>
    <n v="0.1"/>
    <n v="999.99"/>
    <m/>
    <x v="5"/>
    <x v="1"/>
  </r>
  <r>
    <x v="89"/>
    <x v="1"/>
    <x v="18"/>
    <n v="1"/>
    <n v="469.99"/>
    <n v="7.0000000000000007E-2"/>
    <n v="469.99"/>
    <m/>
    <x v="16"/>
    <x v="1"/>
  </r>
  <r>
    <x v="90"/>
    <x v="0"/>
    <x v="16"/>
    <n v="1"/>
    <n v="1680.99"/>
    <n v="0.1"/>
    <n v="1680.99"/>
    <m/>
    <x v="14"/>
    <x v="0"/>
  </r>
  <r>
    <x v="90"/>
    <x v="1"/>
    <x v="22"/>
    <n v="1"/>
    <n v="499.99"/>
    <n v="0.05"/>
    <n v="499.99"/>
    <m/>
    <x v="19"/>
    <x v="0"/>
  </r>
  <r>
    <x v="90"/>
    <x v="2"/>
    <x v="12"/>
    <n v="2"/>
    <n v="529.99"/>
    <n v="7.0000000000000007E-2"/>
    <n v="1059.98"/>
    <m/>
    <x v="11"/>
    <x v="0"/>
  </r>
  <r>
    <x v="90"/>
    <x v="3"/>
    <x v="17"/>
    <n v="2"/>
    <n v="269.99"/>
    <n v="7.0000000000000007E-2"/>
    <n v="539.98"/>
    <m/>
    <x v="15"/>
    <x v="0"/>
  </r>
  <r>
    <x v="91"/>
    <x v="0"/>
    <x v="1"/>
    <n v="1"/>
    <n v="1799.99"/>
    <n v="0.1"/>
    <n v="1799.99"/>
    <m/>
    <x v="1"/>
    <x v="1"/>
  </r>
  <r>
    <x v="92"/>
    <x v="0"/>
    <x v="13"/>
    <n v="2"/>
    <n v="269.99"/>
    <n v="7.0000000000000007E-2"/>
    <n v="539.98"/>
    <m/>
    <x v="12"/>
    <x v="0"/>
  </r>
  <r>
    <x v="92"/>
    <x v="1"/>
    <x v="7"/>
    <n v="1"/>
    <n v="429"/>
    <n v="0.05"/>
    <n v="429"/>
    <m/>
    <x v="7"/>
    <x v="0"/>
  </r>
  <r>
    <x v="92"/>
    <x v="2"/>
    <x v="20"/>
    <n v="1"/>
    <n v="269.99"/>
    <n v="0.1"/>
    <n v="269.99"/>
    <m/>
    <x v="15"/>
    <x v="0"/>
  </r>
  <r>
    <x v="92"/>
    <x v="3"/>
    <x v="6"/>
    <n v="1"/>
    <n v="749.99"/>
    <n v="0.2"/>
    <n v="749.99"/>
    <m/>
    <x v="6"/>
    <x v="0"/>
  </r>
  <r>
    <x v="92"/>
    <x v="4"/>
    <x v="2"/>
    <n v="2"/>
    <n v="1549"/>
    <n v="7.0000000000000007E-2"/>
    <n v="3098"/>
    <m/>
    <x v="2"/>
    <x v="0"/>
  </r>
  <r>
    <x v="93"/>
    <x v="0"/>
    <x v="10"/>
    <n v="1"/>
    <n v="549.99"/>
    <n v="0.05"/>
    <n v="549.99"/>
    <m/>
    <x v="9"/>
    <x v="0"/>
  </r>
  <r>
    <x v="93"/>
    <x v="1"/>
    <x v="4"/>
    <n v="1"/>
    <n v="2899.99"/>
    <n v="0.2"/>
    <n v="2899.99"/>
    <m/>
    <x v="4"/>
    <x v="0"/>
  </r>
  <r>
    <x v="93"/>
    <x v="2"/>
    <x v="16"/>
    <n v="1"/>
    <n v="1680.99"/>
    <n v="0.2"/>
    <n v="1680.99"/>
    <m/>
    <x v="14"/>
    <x v="0"/>
  </r>
  <r>
    <x v="93"/>
    <x v="3"/>
    <x v="20"/>
    <n v="2"/>
    <n v="269.99"/>
    <n v="7.0000000000000007E-2"/>
    <n v="539.98"/>
    <m/>
    <x v="15"/>
    <x v="0"/>
  </r>
  <r>
    <x v="94"/>
    <x v="0"/>
    <x v="2"/>
    <n v="2"/>
    <n v="1549"/>
    <n v="0.2"/>
    <n v="3098"/>
    <m/>
    <x v="2"/>
    <x v="1"/>
  </r>
  <r>
    <x v="94"/>
    <x v="1"/>
    <x v="23"/>
    <n v="1"/>
    <n v="449"/>
    <n v="0.1"/>
    <n v="449"/>
    <m/>
    <x v="20"/>
    <x v="1"/>
  </r>
  <r>
    <x v="94"/>
    <x v="2"/>
    <x v="1"/>
    <n v="2"/>
    <n v="1799.99"/>
    <n v="0.2"/>
    <n v="3599.98"/>
    <m/>
    <x v="1"/>
    <x v="1"/>
  </r>
  <r>
    <x v="94"/>
    <x v="3"/>
    <x v="0"/>
    <n v="2"/>
    <n v="599.99"/>
    <n v="0.05"/>
    <n v="1199.98"/>
    <m/>
    <x v="0"/>
    <x v="1"/>
  </r>
  <r>
    <x v="95"/>
    <x v="0"/>
    <x v="8"/>
    <n v="1"/>
    <n v="599.99"/>
    <n v="0.1"/>
    <n v="599.99"/>
    <m/>
    <x v="3"/>
    <x v="1"/>
  </r>
  <r>
    <x v="95"/>
    <x v="1"/>
    <x v="19"/>
    <n v="1"/>
    <n v="299.99"/>
    <n v="0.05"/>
    <n v="299.99"/>
    <m/>
    <x v="17"/>
    <x v="1"/>
  </r>
  <r>
    <x v="96"/>
    <x v="0"/>
    <x v="0"/>
    <n v="2"/>
    <n v="599.99"/>
    <n v="0.2"/>
    <n v="1199.98"/>
    <m/>
    <x v="0"/>
    <x v="1"/>
  </r>
  <r>
    <x v="96"/>
    <x v="1"/>
    <x v="6"/>
    <n v="1"/>
    <n v="749.99"/>
    <n v="7.0000000000000007E-2"/>
    <n v="749.99"/>
    <m/>
    <x v="6"/>
    <x v="1"/>
  </r>
  <r>
    <x v="96"/>
    <x v="2"/>
    <x v="18"/>
    <n v="2"/>
    <n v="469.99"/>
    <n v="0.2"/>
    <n v="939.98"/>
    <m/>
    <x v="16"/>
    <x v="1"/>
  </r>
  <r>
    <x v="96"/>
    <x v="3"/>
    <x v="23"/>
    <n v="1"/>
    <n v="449"/>
    <n v="0.1"/>
    <n v="449"/>
    <m/>
    <x v="20"/>
    <x v="1"/>
  </r>
  <r>
    <x v="97"/>
    <x v="0"/>
    <x v="23"/>
    <n v="1"/>
    <n v="449"/>
    <n v="7.0000000000000007E-2"/>
    <n v="449"/>
    <m/>
    <x v="20"/>
    <x v="1"/>
  </r>
  <r>
    <x v="97"/>
    <x v="1"/>
    <x v="20"/>
    <n v="1"/>
    <n v="269.99"/>
    <n v="0.1"/>
    <n v="269.99"/>
    <m/>
    <x v="15"/>
    <x v="1"/>
  </r>
  <r>
    <x v="97"/>
    <x v="2"/>
    <x v="6"/>
    <n v="1"/>
    <n v="749.99"/>
    <n v="0.2"/>
    <n v="749.99"/>
    <m/>
    <x v="6"/>
    <x v="1"/>
  </r>
  <r>
    <x v="97"/>
    <x v="3"/>
    <x v="13"/>
    <n v="2"/>
    <n v="269.99"/>
    <n v="0.2"/>
    <n v="539.98"/>
    <m/>
    <x v="12"/>
    <x v="1"/>
  </r>
  <r>
    <x v="98"/>
    <x v="0"/>
    <x v="17"/>
    <n v="1"/>
    <n v="269.99"/>
    <n v="0.2"/>
    <n v="269.99"/>
    <m/>
    <x v="15"/>
    <x v="2"/>
  </r>
  <r>
    <x v="98"/>
    <x v="1"/>
    <x v="20"/>
    <n v="1"/>
    <n v="269.99"/>
    <n v="0.2"/>
    <n v="269.99"/>
    <m/>
    <x v="15"/>
    <x v="2"/>
  </r>
  <r>
    <x v="98"/>
    <x v="2"/>
    <x v="22"/>
    <n v="2"/>
    <n v="499.99"/>
    <n v="0.05"/>
    <n v="999.98"/>
    <m/>
    <x v="19"/>
    <x v="2"/>
  </r>
  <r>
    <x v="98"/>
    <x v="3"/>
    <x v="14"/>
    <n v="2"/>
    <n v="3999.99"/>
    <n v="7.0000000000000007E-2"/>
    <n v="7999.98"/>
    <m/>
    <x v="13"/>
    <x v="2"/>
  </r>
  <r>
    <x v="98"/>
    <x v="4"/>
    <x v="19"/>
    <n v="2"/>
    <n v="299.99"/>
    <n v="0.2"/>
    <n v="599.98"/>
    <m/>
    <x v="17"/>
    <x v="2"/>
  </r>
  <r>
    <x v="99"/>
    <x v="0"/>
    <x v="10"/>
    <n v="2"/>
    <n v="549.99"/>
    <n v="0.05"/>
    <n v="1099.98"/>
    <m/>
    <x v="9"/>
    <x v="1"/>
  </r>
  <r>
    <x v="99"/>
    <x v="1"/>
    <x v="16"/>
    <n v="2"/>
    <n v="1680.99"/>
    <n v="0.1"/>
    <n v="3361.98"/>
    <m/>
    <x v="14"/>
    <x v="1"/>
  </r>
  <r>
    <x v="99"/>
    <x v="2"/>
    <x v="14"/>
    <n v="2"/>
    <n v="3999.99"/>
    <n v="0.2"/>
    <n v="7999.98"/>
    <m/>
    <x v="13"/>
    <x v="1"/>
  </r>
  <r>
    <x v="99"/>
    <x v="3"/>
    <x v="3"/>
    <n v="2"/>
    <n v="599.99"/>
    <n v="0.2"/>
    <n v="1199.98"/>
    <m/>
    <x v="3"/>
    <x v="1"/>
  </r>
  <r>
    <x v="99"/>
    <x v="4"/>
    <x v="24"/>
    <n v="2"/>
    <n v="549.99"/>
    <n v="0.1"/>
    <n v="1099.98"/>
    <m/>
    <x v="9"/>
    <x v="1"/>
  </r>
  <r>
    <x v="100"/>
    <x v="0"/>
    <x v="10"/>
    <n v="2"/>
    <n v="549.99"/>
    <n v="0.2"/>
    <n v="1099.98"/>
    <m/>
    <x v="9"/>
    <x v="2"/>
  </r>
  <r>
    <x v="101"/>
    <x v="0"/>
    <x v="12"/>
    <n v="1"/>
    <n v="529.99"/>
    <n v="0.05"/>
    <n v="529.99"/>
    <m/>
    <x v="11"/>
    <x v="1"/>
  </r>
  <r>
    <x v="101"/>
    <x v="1"/>
    <x v="13"/>
    <n v="1"/>
    <n v="269.99"/>
    <n v="7.0000000000000007E-2"/>
    <n v="269.99"/>
    <m/>
    <x v="12"/>
    <x v="1"/>
  </r>
  <r>
    <x v="102"/>
    <x v="0"/>
    <x v="7"/>
    <n v="1"/>
    <n v="429"/>
    <n v="7.0000000000000007E-2"/>
    <n v="429"/>
    <m/>
    <x v="7"/>
    <x v="0"/>
  </r>
  <r>
    <x v="102"/>
    <x v="1"/>
    <x v="5"/>
    <n v="1"/>
    <n v="999.99"/>
    <n v="0.05"/>
    <n v="999.99"/>
    <m/>
    <x v="5"/>
    <x v="0"/>
  </r>
  <r>
    <x v="102"/>
    <x v="2"/>
    <x v="9"/>
    <n v="1"/>
    <n v="449"/>
    <n v="0.2"/>
    <n v="449"/>
    <m/>
    <x v="8"/>
    <x v="0"/>
  </r>
  <r>
    <x v="102"/>
    <x v="3"/>
    <x v="12"/>
    <n v="2"/>
    <n v="529.99"/>
    <n v="0.1"/>
    <n v="1059.98"/>
    <m/>
    <x v="11"/>
    <x v="0"/>
  </r>
  <r>
    <x v="102"/>
    <x v="4"/>
    <x v="11"/>
    <n v="2"/>
    <n v="2999.99"/>
    <n v="0.1"/>
    <n v="5999.98"/>
    <m/>
    <x v="10"/>
    <x v="0"/>
  </r>
  <r>
    <x v="103"/>
    <x v="0"/>
    <x v="23"/>
    <n v="2"/>
    <n v="449"/>
    <n v="0.1"/>
    <n v="898"/>
    <m/>
    <x v="20"/>
    <x v="1"/>
  </r>
  <r>
    <x v="103"/>
    <x v="1"/>
    <x v="8"/>
    <n v="1"/>
    <n v="599.99"/>
    <n v="0.05"/>
    <n v="599.99"/>
    <m/>
    <x v="3"/>
    <x v="1"/>
  </r>
  <r>
    <x v="104"/>
    <x v="0"/>
    <x v="16"/>
    <n v="2"/>
    <n v="1680.99"/>
    <n v="0.2"/>
    <n v="3361.98"/>
    <m/>
    <x v="14"/>
    <x v="1"/>
  </r>
  <r>
    <x v="104"/>
    <x v="1"/>
    <x v="5"/>
    <n v="1"/>
    <n v="999.99"/>
    <n v="0.05"/>
    <n v="999.99"/>
    <m/>
    <x v="5"/>
    <x v="1"/>
  </r>
  <r>
    <x v="104"/>
    <x v="2"/>
    <x v="11"/>
    <n v="1"/>
    <n v="2999.99"/>
    <n v="0.05"/>
    <n v="2999.99"/>
    <m/>
    <x v="10"/>
    <x v="1"/>
  </r>
  <r>
    <x v="105"/>
    <x v="0"/>
    <x v="7"/>
    <n v="1"/>
    <n v="429"/>
    <n v="0.1"/>
    <n v="429"/>
    <m/>
    <x v="7"/>
    <x v="2"/>
  </r>
  <r>
    <x v="105"/>
    <x v="1"/>
    <x v="17"/>
    <n v="2"/>
    <n v="269.99"/>
    <n v="0.1"/>
    <n v="539.98"/>
    <m/>
    <x v="15"/>
    <x v="2"/>
  </r>
  <r>
    <x v="106"/>
    <x v="0"/>
    <x v="23"/>
    <n v="1"/>
    <n v="449"/>
    <n v="0.2"/>
    <n v="449"/>
    <m/>
    <x v="20"/>
    <x v="0"/>
  </r>
  <r>
    <x v="106"/>
    <x v="1"/>
    <x v="17"/>
    <n v="2"/>
    <n v="269.99"/>
    <n v="0.1"/>
    <n v="539.98"/>
    <m/>
    <x v="15"/>
    <x v="0"/>
  </r>
  <r>
    <x v="107"/>
    <x v="0"/>
    <x v="16"/>
    <n v="1"/>
    <n v="1680.99"/>
    <n v="0.1"/>
    <n v="1680.99"/>
    <m/>
    <x v="14"/>
    <x v="1"/>
  </r>
  <r>
    <x v="107"/>
    <x v="1"/>
    <x v="13"/>
    <n v="2"/>
    <n v="269.99"/>
    <n v="7.0000000000000007E-2"/>
    <n v="539.98"/>
    <m/>
    <x v="12"/>
    <x v="1"/>
  </r>
  <r>
    <x v="107"/>
    <x v="2"/>
    <x v="3"/>
    <n v="2"/>
    <n v="599.99"/>
    <n v="0.05"/>
    <n v="1199.98"/>
    <m/>
    <x v="3"/>
    <x v="1"/>
  </r>
  <r>
    <x v="108"/>
    <x v="0"/>
    <x v="13"/>
    <n v="2"/>
    <n v="269.99"/>
    <n v="0.1"/>
    <n v="539.98"/>
    <m/>
    <x v="12"/>
    <x v="1"/>
  </r>
  <r>
    <x v="108"/>
    <x v="1"/>
    <x v="18"/>
    <n v="1"/>
    <n v="469.99"/>
    <n v="7.0000000000000007E-2"/>
    <n v="469.99"/>
    <m/>
    <x v="16"/>
    <x v="1"/>
  </r>
  <r>
    <x v="109"/>
    <x v="0"/>
    <x v="15"/>
    <n v="1"/>
    <n v="269.99"/>
    <n v="0.1"/>
    <n v="269.99"/>
    <m/>
    <x v="12"/>
    <x v="2"/>
  </r>
  <r>
    <x v="110"/>
    <x v="0"/>
    <x v="15"/>
    <n v="1"/>
    <n v="269.99"/>
    <n v="0.1"/>
    <n v="269.99"/>
    <m/>
    <x v="12"/>
    <x v="1"/>
  </r>
  <r>
    <x v="110"/>
    <x v="1"/>
    <x v="10"/>
    <n v="2"/>
    <n v="549.99"/>
    <n v="7.0000000000000007E-2"/>
    <n v="1099.98"/>
    <m/>
    <x v="9"/>
    <x v="1"/>
  </r>
  <r>
    <x v="111"/>
    <x v="0"/>
    <x v="19"/>
    <n v="2"/>
    <n v="299.99"/>
    <n v="0.2"/>
    <n v="599.98"/>
    <m/>
    <x v="17"/>
    <x v="1"/>
  </r>
  <r>
    <x v="111"/>
    <x v="1"/>
    <x v="22"/>
    <n v="2"/>
    <n v="499.99"/>
    <n v="7.0000000000000007E-2"/>
    <n v="999.98"/>
    <m/>
    <x v="19"/>
    <x v="1"/>
  </r>
  <r>
    <x v="111"/>
    <x v="2"/>
    <x v="24"/>
    <n v="2"/>
    <n v="549.99"/>
    <n v="0.05"/>
    <n v="1099.98"/>
    <m/>
    <x v="9"/>
    <x v="1"/>
  </r>
  <r>
    <x v="111"/>
    <x v="3"/>
    <x v="21"/>
    <n v="1"/>
    <n v="1320.99"/>
    <n v="0.2"/>
    <n v="1320.99"/>
    <m/>
    <x v="18"/>
    <x v="1"/>
  </r>
  <r>
    <x v="112"/>
    <x v="0"/>
    <x v="10"/>
    <n v="2"/>
    <n v="549.99"/>
    <n v="7.0000000000000007E-2"/>
    <n v="1099.98"/>
    <m/>
    <x v="9"/>
    <x v="1"/>
  </r>
  <r>
    <x v="112"/>
    <x v="1"/>
    <x v="24"/>
    <n v="2"/>
    <n v="549.99"/>
    <n v="0.1"/>
    <n v="1099.98"/>
    <m/>
    <x v="9"/>
    <x v="1"/>
  </r>
  <r>
    <x v="112"/>
    <x v="2"/>
    <x v="18"/>
    <n v="1"/>
    <n v="469.99"/>
    <n v="7.0000000000000007E-2"/>
    <n v="469.99"/>
    <m/>
    <x v="16"/>
    <x v="1"/>
  </r>
  <r>
    <x v="112"/>
    <x v="3"/>
    <x v="19"/>
    <n v="1"/>
    <n v="299.99"/>
    <n v="0.2"/>
    <n v="299.99"/>
    <m/>
    <x v="17"/>
    <x v="1"/>
  </r>
  <r>
    <x v="112"/>
    <x v="4"/>
    <x v="21"/>
    <n v="2"/>
    <n v="1320.99"/>
    <n v="0.2"/>
    <n v="2641.98"/>
    <m/>
    <x v="18"/>
    <x v="1"/>
  </r>
  <r>
    <x v="113"/>
    <x v="0"/>
    <x v="10"/>
    <n v="1"/>
    <n v="549.99"/>
    <n v="0.05"/>
    <n v="549.99"/>
    <m/>
    <x v="9"/>
    <x v="1"/>
  </r>
  <r>
    <x v="113"/>
    <x v="1"/>
    <x v="6"/>
    <n v="1"/>
    <n v="749.99"/>
    <n v="7.0000000000000007E-2"/>
    <n v="749.99"/>
    <m/>
    <x v="6"/>
    <x v="1"/>
  </r>
  <r>
    <x v="113"/>
    <x v="2"/>
    <x v="17"/>
    <n v="2"/>
    <n v="269.99"/>
    <n v="0.1"/>
    <n v="539.98"/>
    <m/>
    <x v="15"/>
    <x v="1"/>
  </r>
  <r>
    <x v="114"/>
    <x v="0"/>
    <x v="13"/>
    <n v="1"/>
    <n v="269.99"/>
    <n v="0.2"/>
    <n v="269.99"/>
    <m/>
    <x v="12"/>
    <x v="1"/>
  </r>
  <r>
    <x v="114"/>
    <x v="1"/>
    <x v="23"/>
    <n v="1"/>
    <n v="449"/>
    <n v="0.1"/>
    <n v="449"/>
    <m/>
    <x v="20"/>
    <x v="1"/>
  </r>
  <r>
    <x v="115"/>
    <x v="0"/>
    <x v="8"/>
    <n v="1"/>
    <n v="599.99"/>
    <n v="0.05"/>
    <n v="599.99"/>
    <m/>
    <x v="3"/>
    <x v="1"/>
  </r>
  <r>
    <x v="116"/>
    <x v="0"/>
    <x v="13"/>
    <n v="2"/>
    <n v="269.99"/>
    <n v="0.2"/>
    <n v="539.98"/>
    <m/>
    <x v="12"/>
    <x v="1"/>
  </r>
  <r>
    <x v="116"/>
    <x v="1"/>
    <x v="8"/>
    <n v="1"/>
    <n v="599.99"/>
    <n v="0.05"/>
    <n v="599.99"/>
    <m/>
    <x v="3"/>
    <x v="1"/>
  </r>
  <r>
    <x v="116"/>
    <x v="2"/>
    <x v="15"/>
    <n v="1"/>
    <n v="269.99"/>
    <n v="0.2"/>
    <n v="269.99"/>
    <m/>
    <x v="12"/>
    <x v="1"/>
  </r>
  <r>
    <x v="116"/>
    <x v="3"/>
    <x v="23"/>
    <n v="1"/>
    <n v="449"/>
    <n v="0.05"/>
    <n v="449"/>
    <m/>
    <x v="20"/>
    <x v="1"/>
  </r>
  <r>
    <x v="117"/>
    <x v="0"/>
    <x v="9"/>
    <n v="1"/>
    <n v="449"/>
    <n v="7.0000000000000007E-2"/>
    <n v="449"/>
    <m/>
    <x v="8"/>
    <x v="0"/>
  </r>
  <r>
    <x v="117"/>
    <x v="1"/>
    <x v="4"/>
    <n v="1"/>
    <n v="2899.99"/>
    <n v="7.0000000000000007E-2"/>
    <n v="2899.99"/>
    <m/>
    <x v="4"/>
    <x v="0"/>
  </r>
  <r>
    <x v="117"/>
    <x v="2"/>
    <x v="18"/>
    <n v="1"/>
    <n v="469.99"/>
    <n v="7.0000000000000007E-2"/>
    <n v="469.99"/>
    <m/>
    <x v="16"/>
    <x v="0"/>
  </r>
  <r>
    <x v="117"/>
    <x v="3"/>
    <x v="5"/>
    <n v="2"/>
    <n v="999.99"/>
    <n v="0.1"/>
    <n v="1999.98"/>
    <m/>
    <x v="5"/>
    <x v="0"/>
  </r>
  <r>
    <x v="117"/>
    <x v="4"/>
    <x v="19"/>
    <n v="2"/>
    <n v="299.99"/>
    <n v="7.0000000000000007E-2"/>
    <n v="599.98"/>
    <m/>
    <x v="17"/>
    <x v="0"/>
  </r>
  <r>
    <x v="118"/>
    <x v="0"/>
    <x v="22"/>
    <n v="1"/>
    <n v="499.99"/>
    <n v="0.05"/>
    <n v="499.99"/>
    <m/>
    <x v="19"/>
    <x v="1"/>
  </r>
  <r>
    <x v="119"/>
    <x v="0"/>
    <x v="17"/>
    <n v="2"/>
    <n v="269.99"/>
    <n v="0.05"/>
    <n v="539.98"/>
    <m/>
    <x v="15"/>
    <x v="1"/>
  </r>
  <r>
    <x v="119"/>
    <x v="1"/>
    <x v="18"/>
    <n v="2"/>
    <n v="469.99"/>
    <n v="0.05"/>
    <n v="939.98"/>
    <m/>
    <x v="16"/>
    <x v="1"/>
  </r>
  <r>
    <x v="119"/>
    <x v="2"/>
    <x v="2"/>
    <n v="2"/>
    <n v="1549"/>
    <n v="0.05"/>
    <n v="3098"/>
    <m/>
    <x v="2"/>
    <x v="1"/>
  </r>
  <r>
    <x v="119"/>
    <x v="3"/>
    <x v="7"/>
    <n v="1"/>
    <n v="429"/>
    <n v="0.05"/>
    <n v="429"/>
    <m/>
    <x v="7"/>
    <x v="1"/>
  </r>
  <r>
    <x v="119"/>
    <x v="4"/>
    <x v="3"/>
    <n v="2"/>
    <n v="599.99"/>
    <n v="0.2"/>
    <n v="1199.98"/>
    <m/>
    <x v="3"/>
    <x v="1"/>
  </r>
  <r>
    <x v="120"/>
    <x v="0"/>
    <x v="21"/>
    <n v="1"/>
    <n v="1320.99"/>
    <n v="0.2"/>
    <n v="1320.99"/>
    <m/>
    <x v="18"/>
    <x v="1"/>
  </r>
  <r>
    <x v="120"/>
    <x v="1"/>
    <x v="15"/>
    <n v="2"/>
    <n v="269.99"/>
    <n v="0.1"/>
    <n v="539.98"/>
    <m/>
    <x v="12"/>
    <x v="1"/>
  </r>
  <r>
    <x v="120"/>
    <x v="2"/>
    <x v="4"/>
    <n v="2"/>
    <n v="2899.99"/>
    <n v="0.1"/>
    <n v="5799.98"/>
    <m/>
    <x v="4"/>
    <x v="1"/>
  </r>
  <r>
    <x v="120"/>
    <x v="3"/>
    <x v="24"/>
    <n v="2"/>
    <n v="549.99"/>
    <n v="7.0000000000000007E-2"/>
    <n v="1099.98"/>
    <m/>
    <x v="9"/>
    <x v="1"/>
  </r>
  <r>
    <x v="120"/>
    <x v="4"/>
    <x v="6"/>
    <n v="2"/>
    <n v="749.99"/>
    <n v="0.05"/>
    <n v="1499.98"/>
    <m/>
    <x v="6"/>
    <x v="1"/>
  </r>
  <r>
    <x v="121"/>
    <x v="0"/>
    <x v="3"/>
    <n v="1"/>
    <n v="599.99"/>
    <n v="0.1"/>
    <n v="599.99"/>
    <m/>
    <x v="3"/>
    <x v="1"/>
  </r>
  <r>
    <x v="122"/>
    <x v="0"/>
    <x v="10"/>
    <n v="2"/>
    <n v="549.99"/>
    <n v="0.1"/>
    <n v="1099.98"/>
    <m/>
    <x v="9"/>
    <x v="1"/>
  </r>
  <r>
    <x v="123"/>
    <x v="0"/>
    <x v="3"/>
    <n v="1"/>
    <n v="599.99"/>
    <n v="0.05"/>
    <n v="599.99"/>
    <m/>
    <x v="3"/>
    <x v="0"/>
  </r>
  <r>
    <x v="123"/>
    <x v="1"/>
    <x v="4"/>
    <n v="1"/>
    <n v="2899.99"/>
    <n v="7.0000000000000007E-2"/>
    <n v="2899.99"/>
    <m/>
    <x v="4"/>
    <x v="0"/>
  </r>
  <r>
    <x v="123"/>
    <x v="2"/>
    <x v="14"/>
    <n v="2"/>
    <n v="3999.99"/>
    <n v="0.05"/>
    <n v="7999.98"/>
    <m/>
    <x v="13"/>
    <x v="0"/>
  </r>
  <r>
    <x v="124"/>
    <x v="0"/>
    <x v="7"/>
    <n v="1"/>
    <n v="429"/>
    <n v="0.1"/>
    <n v="429"/>
    <m/>
    <x v="7"/>
    <x v="1"/>
  </r>
  <r>
    <x v="125"/>
    <x v="0"/>
    <x v="11"/>
    <n v="2"/>
    <n v="2999.99"/>
    <n v="0.05"/>
    <n v="5999.98"/>
    <m/>
    <x v="10"/>
    <x v="1"/>
  </r>
  <r>
    <x v="126"/>
    <x v="0"/>
    <x v="7"/>
    <n v="1"/>
    <n v="429"/>
    <n v="7.0000000000000007E-2"/>
    <n v="429"/>
    <m/>
    <x v="7"/>
    <x v="2"/>
  </r>
  <r>
    <x v="126"/>
    <x v="1"/>
    <x v="0"/>
    <n v="1"/>
    <n v="599.99"/>
    <n v="0.1"/>
    <n v="599.99"/>
    <m/>
    <x v="0"/>
    <x v="2"/>
  </r>
  <r>
    <x v="126"/>
    <x v="2"/>
    <x v="4"/>
    <n v="2"/>
    <n v="2899.99"/>
    <n v="7.0000000000000007E-2"/>
    <n v="5799.98"/>
    <m/>
    <x v="4"/>
    <x v="2"/>
  </r>
  <r>
    <x v="127"/>
    <x v="0"/>
    <x v="24"/>
    <n v="2"/>
    <n v="549.99"/>
    <n v="0.1"/>
    <n v="1099.98"/>
    <m/>
    <x v="9"/>
    <x v="1"/>
  </r>
  <r>
    <x v="127"/>
    <x v="1"/>
    <x v="3"/>
    <n v="2"/>
    <n v="599.99"/>
    <n v="0.1"/>
    <n v="1199.98"/>
    <m/>
    <x v="3"/>
    <x v="1"/>
  </r>
  <r>
    <x v="127"/>
    <x v="2"/>
    <x v="4"/>
    <n v="2"/>
    <n v="2899.99"/>
    <n v="0.2"/>
    <n v="5799.98"/>
    <m/>
    <x v="4"/>
    <x v="1"/>
  </r>
  <r>
    <x v="127"/>
    <x v="3"/>
    <x v="5"/>
    <n v="2"/>
    <n v="999.99"/>
    <n v="0.2"/>
    <n v="1999.98"/>
    <m/>
    <x v="5"/>
    <x v="1"/>
  </r>
  <r>
    <x v="128"/>
    <x v="0"/>
    <x v="9"/>
    <n v="1"/>
    <n v="449"/>
    <n v="0.1"/>
    <n v="449"/>
    <m/>
    <x v="8"/>
    <x v="1"/>
  </r>
  <r>
    <x v="128"/>
    <x v="1"/>
    <x v="11"/>
    <n v="1"/>
    <n v="2999.99"/>
    <n v="0.1"/>
    <n v="2999.99"/>
    <m/>
    <x v="10"/>
    <x v="1"/>
  </r>
  <r>
    <x v="129"/>
    <x v="0"/>
    <x v="8"/>
    <n v="1"/>
    <n v="599.99"/>
    <n v="0.05"/>
    <n v="599.99"/>
    <m/>
    <x v="3"/>
    <x v="1"/>
  </r>
  <r>
    <x v="129"/>
    <x v="1"/>
    <x v="21"/>
    <n v="2"/>
    <n v="1320.99"/>
    <n v="7.0000000000000007E-2"/>
    <n v="2641.98"/>
    <m/>
    <x v="18"/>
    <x v="1"/>
  </r>
  <r>
    <x v="130"/>
    <x v="0"/>
    <x v="13"/>
    <n v="2"/>
    <n v="269.99"/>
    <n v="0.2"/>
    <n v="539.98"/>
    <m/>
    <x v="12"/>
    <x v="2"/>
  </r>
  <r>
    <x v="130"/>
    <x v="1"/>
    <x v="4"/>
    <n v="2"/>
    <n v="2899.99"/>
    <n v="7.0000000000000007E-2"/>
    <n v="5799.98"/>
    <m/>
    <x v="4"/>
    <x v="2"/>
  </r>
  <r>
    <x v="130"/>
    <x v="2"/>
    <x v="24"/>
    <n v="2"/>
    <n v="549.99"/>
    <n v="0.1"/>
    <n v="1099.98"/>
    <m/>
    <x v="9"/>
    <x v="2"/>
  </r>
  <r>
    <x v="131"/>
    <x v="0"/>
    <x v="6"/>
    <n v="2"/>
    <n v="749.99"/>
    <n v="0.05"/>
    <n v="1499.98"/>
    <m/>
    <x v="6"/>
    <x v="0"/>
  </r>
  <r>
    <x v="131"/>
    <x v="1"/>
    <x v="0"/>
    <n v="1"/>
    <n v="599.99"/>
    <n v="0.05"/>
    <n v="599.99"/>
    <m/>
    <x v="0"/>
    <x v="0"/>
  </r>
  <r>
    <x v="131"/>
    <x v="2"/>
    <x v="11"/>
    <n v="1"/>
    <n v="2999.99"/>
    <n v="0.1"/>
    <n v="2999.99"/>
    <m/>
    <x v="10"/>
    <x v="0"/>
  </r>
  <r>
    <x v="132"/>
    <x v="0"/>
    <x v="17"/>
    <n v="2"/>
    <n v="269.99"/>
    <n v="0.05"/>
    <n v="539.98"/>
    <m/>
    <x v="15"/>
    <x v="1"/>
  </r>
  <r>
    <x v="132"/>
    <x v="1"/>
    <x v="13"/>
    <n v="1"/>
    <n v="269.99"/>
    <n v="0.2"/>
    <n v="269.99"/>
    <m/>
    <x v="12"/>
    <x v="1"/>
  </r>
  <r>
    <x v="133"/>
    <x v="0"/>
    <x v="23"/>
    <n v="2"/>
    <n v="449"/>
    <n v="0.1"/>
    <n v="898"/>
    <m/>
    <x v="20"/>
    <x v="1"/>
  </r>
  <r>
    <x v="133"/>
    <x v="1"/>
    <x v="6"/>
    <n v="2"/>
    <n v="749.99"/>
    <n v="7.0000000000000007E-2"/>
    <n v="1499.98"/>
    <m/>
    <x v="6"/>
    <x v="1"/>
  </r>
  <r>
    <x v="133"/>
    <x v="2"/>
    <x v="9"/>
    <n v="2"/>
    <n v="449"/>
    <n v="7.0000000000000007E-2"/>
    <n v="898"/>
    <m/>
    <x v="8"/>
    <x v="1"/>
  </r>
  <r>
    <x v="134"/>
    <x v="0"/>
    <x v="21"/>
    <n v="2"/>
    <n v="1320.99"/>
    <n v="0.05"/>
    <n v="2641.98"/>
    <m/>
    <x v="18"/>
    <x v="1"/>
  </r>
  <r>
    <x v="134"/>
    <x v="1"/>
    <x v="9"/>
    <n v="2"/>
    <n v="449"/>
    <n v="0.05"/>
    <n v="898"/>
    <m/>
    <x v="8"/>
    <x v="1"/>
  </r>
  <r>
    <x v="134"/>
    <x v="2"/>
    <x v="22"/>
    <n v="1"/>
    <n v="499.99"/>
    <n v="0.2"/>
    <n v="499.99"/>
    <m/>
    <x v="19"/>
    <x v="1"/>
  </r>
  <r>
    <x v="134"/>
    <x v="3"/>
    <x v="6"/>
    <n v="1"/>
    <n v="749.99"/>
    <n v="0.05"/>
    <n v="749.99"/>
    <m/>
    <x v="6"/>
    <x v="1"/>
  </r>
  <r>
    <x v="135"/>
    <x v="0"/>
    <x v="14"/>
    <n v="2"/>
    <n v="3999.99"/>
    <n v="0.2"/>
    <n v="7999.98"/>
    <m/>
    <x v="13"/>
    <x v="2"/>
  </r>
  <r>
    <x v="135"/>
    <x v="1"/>
    <x v="5"/>
    <n v="2"/>
    <n v="999.99"/>
    <n v="0.05"/>
    <n v="1999.98"/>
    <m/>
    <x v="5"/>
    <x v="2"/>
  </r>
  <r>
    <x v="136"/>
    <x v="0"/>
    <x v="19"/>
    <n v="1"/>
    <n v="299.99"/>
    <n v="7.0000000000000007E-2"/>
    <n v="299.99"/>
    <m/>
    <x v="17"/>
    <x v="1"/>
  </r>
  <r>
    <x v="136"/>
    <x v="1"/>
    <x v="13"/>
    <n v="1"/>
    <n v="269.99"/>
    <n v="0.1"/>
    <n v="269.99"/>
    <m/>
    <x v="12"/>
    <x v="1"/>
  </r>
  <r>
    <x v="137"/>
    <x v="0"/>
    <x v="3"/>
    <n v="2"/>
    <n v="599.99"/>
    <n v="0.1"/>
    <n v="1199.98"/>
    <m/>
    <x v="3"/>
    <x v="1"/>
  </r>
  <r>
    <x v="137"/>
    <x v="1"/>
    <x v="18"/>
    <n v="1"/>
    <n v="469.99"/>
    <n v="0.2"/>
    <n v="469.99"/>
    <m/>
    <x v="16"/>
    <x v="1"/>
  </r>
  <r>
    <x v="138"/>
    <x v="0"/>
    <x v="23"/>
    <n v="2"/>
    <n v="449"/>
    <n v="7.0000000000000007E-2"/>
    <n v="898"/>
    <m/>
    <x v="20"/>
    <x v="1"/>
  </r>
  <r>
    <x v="138"/>
    <x v="1"/>
    <x v="5"/>
    <n v="1"/>
    <n v="999.99"/>
    <n v="7.0000000000000007E-2"/>
    <n v="999.99"/>
    <m/>
    <x v="5"/>
    <x v="1"/>
  </r>
  <r>
    <x v="139"/>
    <x v="0"/>
    <x v="12"/>
    <n v="1"/>
    <n v="529.99"/>
    <n v="0.2"/>
    <n v="529.99"/>
    <m/>
    <x v="11"/>
    <x v="1"/>
  </r>
  <r>
    <x v="139"/>
    <x v="1"/>
    <x v="20"/>
    <n v="1"/>
    <n v="269.99"/>
    <n v="0.2"/>
    <n v="269.99"/>
    <m/>
    <x v="15"/>
    <x v="1"/>
  </r>
  <r>
    <x v="139"/>
    <x v="2"/>
    <x v="10"/>
    <n v="2"/>
    <n v="549.99"/>
    <n v="0.2"/>
    <n v="1099.98"/>
    <m/>
    <x v="9"/>
    <x v="1"/>
  </r>
  <r>
    <x v="139"/>
    <x v="3"/>
    <x v="5"/>
    <n v="1"/>
    <n v="999.99"/>
    <n v="0.05"/>
    <n v="999.99"/>
    <m/>
    <x v="5"/>
    <x v="1"/>
  </r>
  <r>
    <x v="140"/>
    <x v="0"/>
    <x v="9"/>
    <n v="1"/>
    <n v="449"/>
    <n v="0.2"/>
    <n v="449"/>
    <m/>
    <x v="8"/>
    <x v="1"/>
  </r>
  <r>
    <x v="141"/>
    <x v="0"/>
    <x v="3"/>
    <n v="2"/>
    <n v="599.99"/>
    <n v="0.1"/>
    <n v="1199.98"/>
    <m/>
    <x v="3"/>
    <x v="0"/>
  </r>
  <r>
    <x v="141"/>
    <x v="1"/>
    <x v="16"/>
    <n v="2"/>
    <n v="1680.99"/>
    <n v="0.1"/>
    <n v="3361.98"/>
    <m/>
    <x v="14"/>
    <x v="0"/>
  </r>
  <r>
    <x v="141"/>
    <x v="2"/>
    <x v="23"/>
    <n v="1"/>
    <n v="449"/>
    <n v="7.0000000000000007E-2"/>
    <n v="449"/>
    <m/>
    <x v="20"/>
    <x v="0"/>
  </r>
  <r>
    <x v="142"/>
    <x v="0"/>
    <x v="18"/>
    <n v="1"/>
    <n v="469.99"/>
    <n v="0.2"/>
    <n v="469.99"/>
    <m/>
    <x v="16"/>
    <x v="1"/>
  </r>
  <r>
    <x v="143"/>
    <x v="0"/>
    <x v="1"/>
    <n v="2"/>
    <n v="1799.99"/>
    <n v="0.05"/>
    <n v="3599.98"/>
    <m/>
    <x v="1"/>
    <x v="1"/>
  </r>
  <r>
    <x v="144"/>
    <x v="0"/>
    <x v="16"/>
    <n v="1"/>
    <n v="1680.99"/>
    <n v="0.2"/>
    <n v="1680.99"/>
    <m/>
    <x v="14"/>
    <x v="1"/>
  </r>
  <r>
    <x v="144"/>
    <x v="1"/>
    <x v="11"/>
    <n v="2"/>
    <n v="2999.99"/>
    <n v="0.1"/>
    <n v="5999.98"/>
    <m/>
    <x v="10"/>
    <x v="1"/>
  </r>
  <r>
    <x v="145"/>
    <x v="0"/>
    <x v="5"/>
    <n v="2"/>
    <n v="999.99"/>
    <n v="0.2"/>
    <n v="1999.98"/>
    <m/>
    <x v="5"/>
    <x v="0"/>
  </r>
  <r>
    <x v="145"/>
    <x v="1"/>
    <x v="10"/>
    <n v="1"/>
    <n v="549.99"/>
    <n v="0.1"/>
    <n v="549.99"/>
    <m/>
    <x v="9"/>
    <x v="0"/>
  </r>
  <r>
    <x v="145"/>
    <x v="2"/>
    <x v="0"/>
    <n v="2"/>
    <n v="599.99"/>
    <n v="0.1"/>
    <n v="1199.98"/>
    <m/>
    <x v="0"/>
    <x v="0"/>
  </r>
  <r>
    <x v="145"/>
    <x v="3"/>
    <x v="18"/>
    <n v="2"/>
    <n v="469.99"/>
    <n v="0.05"/>
    <n v="939.98"/>
    <m/>
    <x v="16"/>
    <x v="0"/>
  </r>
  <r>
    <x v="145"/>
    <x v="4"/>
    <x v="6"/>
    <n v="1"/>
    <n v="749.99"/>
    <n v="7.0000000000000007E-2"/>
    <n v="749.99"/>
    <m/>
    <x v="6"/>
    <x v="0"/>
  </r>
  <r>
    <x v="146"/>
    <x v="0"/>
    <x v="8"/>
    <n v="2"/>
    <n v="599.99"/>
    <n v="0.2"/>
    <n v="1199.98"/>
    <m/>
    <x v="3"/>
    <x v="1"/>
  </r>
  <r>
    <x v="147"/>
    <x v="0"/>
    <x v="15"/>
    <n v="1"/>
    <n v="269.99"/>
    <n v="0.05"/>
    <n v="269.99"/>
    <m/>
    <x v="12"/>
    <x v="1"/>
  </r>
  <r>
    <x v="148"/>
    <x v="0"/>
    <x v="10"/>
    <n v="2"/>
    <n v="549.99"/>
    <n v="7.0000000000000007E-2"/>
    <n v="1099.98"/>
    <m/>
    <x v="9"/>
    <x v="1"/>
  </r>
  <r>
    <x v="148"/>
    <x v="1"/>
    <x v="20"/>
    <n v="2"/>
    <n v="269.99"/>
    <n v="7.0000000000000007E-2"/>
    <n v="539.98"/>
    <m/>
    <x v="15"/>
    <x v="1"/>
  </r>
  <r>
    <x v="149"/>
    <x v="0"/>
    <x v="14"/>
    <n v="1"/>
    <n v="3999.99"/>
    <n v="0.1"/>
    <n v="3999.99"/>
    <m/>
    <x v="13"/>
    <x v="0"/>
  </r>
  <r>
    <x v="149"/>
    <x v="1"/>
    <x v="5"/>
    <n v="1"/>
    <n v="999.99"/>
    <n v="0.2"/>
    <n v="999.99"/>
    <m/>
    <x v="5"/>
    <x v="0"/>
  </r>
  <r>
    <x v="149"/>
    <x v="2"/>
    <x v="7"/>
    <n v="1"/>
    <n v="429"/>
    <n v="7.0000000000000007E-2"/>
    <n v="429"/>
    <m/>
    <x v="7"/>
    <x v="0"/>
  </r>
  <r>
    <x v="149"/>
    <x v="3"/>
    <x v="22"/>
    <n v="2"/>
    <n v="499.99"/>
    <n v="7.0000000000000007E-2"/>
    <n v="999.98"/>
    <m/>
    <x v="19"/>
    <x v="0"/>
  </r>
  <r>
    <x v="150"/>
    <x v="0"/>
    <x v="7"/>
    <n v="1"/>
    <n v="429"/>
    <n v="0.1"/>
    <n v="429"/>
    <m/>
    <x v="7"/>
    <x v="0"/>
  </r>
  <r>
    <x v="150"/>
    <x v="1"/>
    <x v="8"/>
    <n v="1"/>
    <n v="599.99"/>
    <n v="0.1"/>
    <n v="599.99"/>
    <m/>
    <x v="3"/>
    <x v="0"/>
  </r>
  <r>
    <x v="151"/>
    <x v="0"/>
    <x v="18"/>
    <n v="2"/>
    <n v="469.99"/>
    <n v="0.2"/>
    <n v="939.98"/>
    <m/>
    <x v="16"/>
    <x v="1"/>
  </r>
  <r>
    <x v="151"/>
    <x v="1"/>
    <x v="13"/>
    <n v="2"/>
    <n v="269.99"/>
    <n v="0.2"/>
    <n v="539.98"/>
    <m/>
    <x v="12"/>
    <x v="1"/>
  </r>
  <r>
    <x v="151"/>
    <x v="2"/>
    <x v="3"/>
    <n v="2"/>
    <n v="599.99"/>
    <n v="7.0000000000000007E-2"/>
    <n v="1199.98"/>
    <m/>
    <x v="3"/>
    <x v="1"/>
  </r>
  <r>
    <x v="152"/>
    <x v="0"/>
    <x v="3"/>
    <n v="1"/>
    <n v="599.99"/>
    <n v="7.0000000000000007E-2"/>
    <n v="599.99"/>
    <m/>
    <x v="3"/>
    <x v="1"/>
  </r>
  <r>
    <x v="152"/>
    <x v="1"/>
    <x v="1"/>
    <n v="1"/>
    <n v="1799.99"/>
    <n v="7.0000000000000007E-2"/>
    <n v="1799.99"/>
    <m/>
    <x v="1"/>
    <x v="1"/>
  </r>
  <r>
    <x v="152"/>
    <x v="2"/>
    <x v="12"/>
    <n v="2"/>
    <n v="529.99"/>
    <n v="0.05"/>
    <n v="1059.98"/>
    <m/>
    <x v="11"/>
    <x v="1"/>
  </r>
  <r>
    <x v="153"/>
    <x v="0"/>
    <x v="10"/>
    <n v="1"/>
    <n v="549.99"/>
    <n v="0.1"/>
    <n v="549.99"/>
    <m/>
    <x v="9"/>
    <x v="0"/>
  </r>
  <r>
    <x v="154"/>
    <x v="0"/>
    <x v="1"/>
    <n v="1"/>
    <n v="1799.99"/>
    <n v="0.1"/>
    <n v="1799.99"/>
    <m/>
    <x v="1"/>
    <x v="1"/>
  </r>
  <r>
    <x v="155"/>
    <x v="0"/>
    <x v="9"/>
    <n v="2"/>
    <n v="449"/>
    <n v="0.2"/>
    <n v="898"/>
    <m/>
    <x v="8"/>
    <x v="0"/>
  </r>
  <r>
    <x v="155"/>
    <x v="1"/>
    <x v="7"/>
    <n v="2"/>
    <n v="429"/>
    <n v="0.05"/>
    <n v="858"/>
    <m/>
    <x v="7"/>
    <x v="0"/>
  </r>
  <r>
    <x v="155"/>
    <x v="2"/>
    <x v="18"/>
    <n v="1"/>
    <n v="469.99"/>
    <n v="7.0000000000000007E-2"/>
    <n v="469.99"/>
    <m/>
    <x v="16"/>
    <x v="0"/>
  </r>
  <r>
    <x v="156"/>
    <x v="0"/>
    <x v="4"/>
    <n v="1"/>
    <n v="2899.99"/>
    <n v="0.1"/>
    <n v="2899.99"/>
    <m/>
    <x v="4"/>
    <x v="2"/>
  </r>
  <r>
    <x v="156"/>
    <x v="1"/>
    <x v="14"/>
    <n v="2"/>
    <n v="3999.99"/>
    <n v="7.0000000000000007E-2"/>
    <n v="7999.98"/>
    <m/>
    <x v="13"/>
    <x v="2"/>
  </r>
  <r>
    <x v="157"/>
    <x v="0"/>
    <x v="24"/>
    <n v="1"/>
    <n v="549.99"/>
    <n v="0.1"/>
    <n v="549.99"/>
    <m/>
    <x v="9"/>
    <x v="2"/>
  </r>
  <r>
    <x v="158"/>
    <x v="0"/>
    <x v="17"/>
    <n v="1"/>
    <n v="269.99"/>
    <n v="0.2"/>
    <n v="269.99"/>
    <m/>
    <x v="15"/>
    <x v="0"/>
  </r>
  <r>
    <x v="159"/>
    <x v="0"/>
    <x v="20"/>
    <n v="1"/>
    <n v="269.99"/>
    <n v="7.0000000000000007E-2"/>
    <n v="269.99"/>
    <m/>
    <x v="15"/>
    <x v="1"/>
  </r>
  <r>
    <x v="159"/>
    <x v="1"/>
    <x v="12"/>
    <n v="2"/>
    <n v="529.99"/>
    <n v="7.0000000000000007E-2"/>
    <n v="1059.98"/>
    <m/>
    <x v="11"/>
    <x v="1"/>
  </r>
  <r>
    <x v="159"/>
    <x v="2"/>
    <x v="9"/>
    <n v="2"/>
    <n v="449"/>
    <n v="0.1"/>
    <n v="898"/>
    <m/>
    <x v="8"/>
    <x v="1"/>
  </r>
  <r>
    <x v="159"/>
    <x v="3"/>
    <x v="16"/>
    <n v="1"/>
    <n v="1680.99"/>
    <n v="0.05"/>
    <n v="1680.99"/>
    <m/>
    <x v="14"/>
    <x v="1"/>
  </r>
  <r>
    <x v="160"/>
    <x v="0"/>
    <x v="24"/>
    <n v="2"/>
    <n v="549.99"/>
    <n v="7.0000000000000007E-2"/>
    <n v="1099.98"/>
    <m/>
    <x v="9"/>
    <x v="1"/>
  </r>
  <r>
    <x v="160"/>
    <x v="1"/>
    <x v="13"/>
    <n v="1"/>
    <n v="269.99"/>
    <n v="0.05"/>
    <n v="269.99"/>
    <m/>
    <x v="12"/>
    <x v="1"/>
  </r>
  <r>
    <x v="160"/>
    <x v="2"/>
    <x v="14"/>
    <n v="2"/>
    <n v="3999.99"/>
    <n v="0.05"/>
    <n v="7999.98"/>
    <m/>
    <x v="13"/>
    <x v="1"/>
  </r>
  <r>
    <x v="161"/>
    <x v="0"/>
    <x v="9"/>
    <n v="1"/>
    <n v="449"/>
    <n v="7.0000000000000007E-2"/>
    <n v="449"/>
    <m/>
    <x v="8"/>
    <x v="0"/>
  </r>
  <r>
    <x v="161"/>
    <x v="1"/>
    <x v="20"/>
    <n v="2"/>
    <n v="269.99"/>
    <n v="7.0000000000000007E-2"/>
    <n v="539.98"/>
    <m/>
    <x v="15"/>
    <x v="0"/>
  </r>
  <r>
    <x v="161"/>
    <x v="2"/>
    <x v="5"/>
    <n v="2"/>
    <n v="999.99"/>
    <n v="0.1"/>
    <n v="1999.98"/>
    <m/>
    <x v="5"/>
    <x v="0"/>
  </r>
  <r>
    <x v="162"/>
    <x v="0"/>
    <x v="10"/>
    <n v="1"/>
    <n v="549.99"/>
    <n v="0.1"/>
    <n v="549.99"/>
    <m/>
    <x v="9"/>
    <x v="1"/>
  </r>
  <r>
    <x v="162"/>
    <x v="1"/>
    <x v="9"/>
    <n v="1"/>
    <n v="449"/>
    <n v="0.2"/>
    <n v="449"/>
    <m/>
    <x v="8"/>
    <x v="1"/>
  </r>
  <r>
    <x v="163"/>
    <x v="0"/>
    <x v="4"/>
    <n v="2"/>
    <n v="2899.99"/>
    <n v="0.05"/>
    <n v="5799.98"/>
    <m/>
    <x v="4"/>
    <x v="1"/>
  </r>
  <r>
    <x v="163"/>
    <x v="1"/>
    <x v="2"/>
    <n v="2"/>
    <n v="1549"/>
    <n v="0.05"/>
    <n v="3098"/>
    <m/>
    <x v="2"/>
    <x v="1"/>
  </r>
  <r>
    <x v="163"/>
    <x v="2"/>
    <x v="15"/>
    <n v="1"/>
    <n v="269.99"/>
    <n v="0.1"/>
    <n v="269.99"/>
    <m/>
    <x v="12"/>
    <x v="1"/>
  </r>
  <r>
    <x v="164"/>
    <x v="0"/>
    <x v="4"/>
    <n v="2"/>
    <n v="2899.99"/>
    <n v="0.05"/>
    <n v="5799.98"/>
    <m/>
    <x v="4"/>
    <x v="0"/>
  </r>
  <r>
    <x v="164"/>
    <x v="1"/>
    <x v="19"/>
    <n v="1"/>
    <n v="299.99"/>
    <n v="0.2"/>
    <n v="299.99"/>
    <m/>
    <x v="17"/>
    <x v="0"/>
  </r>
  <r>
    <x v="164"/>
    <x v="2"/>
    <x v="6"/>
    <n v="1"/>
    <n v="749.99"/>
    <n v="0.05"/>
    <n v="749.99"/>
    <m/>
    <x v="6"/>
    <x v="0"/>
  </r>
  <r>
    <x v="165"/>
    <x v="0"/>
    <x v="2"/>
    <n v="2"/>
    <n v="1549"/>
    <n v="0.1"/>
    <n v="3098"/>
    <m/>
    <x v="2"/>
    <x v="1"/>
  </r>
  <r>
    <x v="165"/>
    <x v="1"/>
    <x v="16"/>
    <n v="1"/>
    <n v="1680.99"/>
    <n v="0.2"/>
    <n v="1680.99"/>
    <m/>
    <x v="14"/>
    <x v="1"/>
  </r>
  <r>
    <x v="166"/>
    <x v="0"/>
    <x v="10"/>
    <n v="1"/>
    <n v="549.99"/>
    <n v="0.05"/>
    <n v="549.99"/>
    <m/>
    <x v="9"/>
    <x v="1"/>
  </r>
  <r>
    <x v="166"/>
    <x v="1"/>
    <x v="2"/>
    <n v="1"/>
    <n v="1549"/>
    <n v="0.2"/>
    <n v="1549"/>
    <m/>
    <x v="2"/>
    <x v="1"/>
  </r>
  <r>
    <x v="166"/>
    <x v="2"/>
    <x v="17"/>
    <n v="2"/>
    <n v="269.99"/>
    <n v="0.05"/>
    <n v="539.98"/>
    <m/>
    <x v="15"/>
    <x v="1"/>
  </r>
  <r>
    <x v="166"/>
    <x v="3"/>
    <x v="14"/>
    <n v="2"/>
    <n v="3999.99"/>
    <n v="0.05"/>
    <n v="7999.98"/>
    <m/>
    <x v="13"/>
    <x v="1"/>
  </r>
  <r>
    <x v="167"/>
    <x v="0"/>
    <x v="18"/>
    <n v="1"/>
    <n v="469.99"/>
    <n v="0.1"/>
    <n v="469.99"/>
    <m/>
    <x v="16"/>
    <x v="0"/>
  </r>
  <r>
    <x v="167"/>
    <x v="1"/>
    <x v="16"/>
    <n v="2"/>
    <n v="1680.99"/>
    <n v="7.0000000000000007E-2"/>
    <n v="3361.98"/>
    <m/>
    <x v="14"/>
    <x v="0"/>
  </r>
  <r>
    <x v="167"/>
    <x v="2"/>
    <x v="10"/>
    <n v="2"/>
    <n v="549.99"/>
    <n v="7.0000000000000007E-2"/>
    <n v="1099.98"/>
    <m/>
    <x v="9"/>
    <x v="0"/>
  </r>
  <r>
    <x v="167"/>
    <x v="3"/>
    <x v="13"/>
    <n v="2"/>
    <n v="269.99"/>
    <n v="0.2"/>
    <n v="539.98"/>
    <m/>
    <x v="12"/>
    <x v="0"/>
  </r>
  <r>
    <x v="168"/>
    <x v="0"/>
    <x v="0"/>
    <n v="2"/>
    <n v="599.99"/>
    <n v="0.1"/>
    <n v="1199.98"/>
    <m/>
    <x v="0"/>
    <x v="1"/>
  </r>
  <r>
    <x v="168"/>
    <x v="1"/>
    <x v="21"/>
    <n v="1"/>
    <n v="1320.99"/>
    <n v="0.05"/>
    <n v="1320.99"/>
    <m/>
    <x v="18"/>
    <x v="1"/>
  </r>
  <r>
    <x v="168"/>
    <x v="2"/>
    <x v="2"/>
    <n v="1"/>
    <n v="1549"/>
    <n v="0.2"/>
    <n v="1549"/>
    <m/>
    <x v="2"/>
    <x v="1"/>
  </r>
  <r>
    <x v="168"/>
    <x v="3"/>
    <x v="16"/>
    <n v="1"/>
    <n v="1680.99"/>
    <n v="0.2"/>
    <n v="1680.99"/>
    <m/>
    <x v="14"/>
    <x v="1"/>
  </r>
  <r>
    <x v="168"/>
    <x v="4"/>
    <x v="15"/>
    <n v="2"/>
    <n v="269.99"/>
    <n v="0.05"/>
    <n v="539.98"/>
    <m/>
    <x v="12"/>
    <x v="1"/>
  </r>
  <r>
    <x v="169"/>
    <x v="0"/>
    <x v="10"/>
    <n v="2"/>
    <n v="549.99"/>
    <n v="0.1"/>
    <n v="1099.98"/>
    <m/>
    <x v="9"/>
    <x v="1"/>
  </r>
  <r>
    <x v="169"/>
    <x v="1"/>
    <x v="24"/>
    <n v="1"/>
    <n v="549.99"/>
    <n v="0.05"/>
    <n v="549.99"/>
    <m/>
    <x v="9"/>
    <x v="1"/>
  </r>
  <r>
    <x v="169"/>
    <x v="2"/>
    <x v="14"/>
    <n v="1"/>
    <n v="3999.99"/>
    <n v="0.2"/>
    <n v="3999.99"/>
    <m/>
    <x v="13"/>
    <x v="1"/>
  </r>
  <r>
    <x v="169"/>
    <x v="3"/>
    <x v="9"/>
    <n v="2"/>
    <n v="449"/>
    <n v="0.05"/>
    <n v="898"/>
    <m/>
    <x v="8"/>
    <x v="1"/>
  </r>
  <r>
    <x v="170"/>
    <x v="0"/>
    <x v="1"/>
    <n v="1"/>
    <n v="1799.99"/>
    <n v="0.05"/>
    <n v="1799.99"/>
    <m/>
    <x v="1"/>
    <x v="0"/>
  </r>
  <r>
    <x v="171"/>
    <x v="0"/>
    <x v="19"/>
    <n v="1"/>
    <n v="299.99"/>
    <n v="7.0000000000000007E-2"/>
    <n v="299.99"/>
    <m/>
    <x v="17"/>
    <x v="1"/>
  </r>
  <r>
    <x v="171"/>
    <x v="1"/>
    <x v="3"/>
    <n v="1"/>
    <n v="599.99"/>
    <n v="0.2"/>
    <n v="599.99"/>
    <m/>
    <x v="3"/>
    <x v="1"/>
  </r>
  <r>
    <x v="172"/>
    <x v="0"/>
    <x v="15"/>
    <n v="1"/>
    <n v="269.99"/>
    <n v="0.05"/>
    <n v="269.99"/>
    <m/>
    <x v="12"/>
    <x v="2"/>
  </r>
  <r>
    <x v="172"/>
    <x v="1"/>
    <x v="3"/>
    <n v="1"/>
    <n v="599.99"/>
    <n v="0.2"/>
    <n v="599.99"/>
    <m/>
    <x v="3"/>
    <x v="2"/>
  </r>
  <r>
    <x v="172"/>
    <x v="2"/>
    <x v="0"/>
    <n v="2"/>
    <n v="599.99"/>
    <n v="0.05"/>
    <n v="1199.98"/>
    <m/>
    <x v="0"/>
    <x v="2"/>
  </r>
  <r>
    <x v="173"/>
    <x v="0"/>
    <x v="13"/>
    <n v="2"/>
    <n v="269.99"/>
    <n v="0.2"/>
    <n v="539.98"/>
    <m/>
    <x v="12"/>
    <x v="1"/>
  </r>
  <r>
    <x v="173"/>
    <x v="1"/>
    <x v="23"/>
    <n v="2"/>
    <n v="449"/>
    <n v="0.1"/>
    <n v="898"/>
    <m/>
    <x v="20"/>
    <x v="1"/>
  </r>
  <r>
    <x v="174"/>
    <x v="0"/>
    <x v="21"/>
    <n v="1"/>
    <n v="1320.99"/>
    <n v="0.1"/>
    <n v="1320.99"/>
    <m/>
    <x v="18"/>
    <x v="1"/>
  </r>
  <r>
    <x v="174"/>
    <x v="1"/>
    <x v="6"/>
    <n v="2"/>
    <n v="749.99"/>
    <n v="0.2"/>
    <n v="1499.98"/>
    <m/>
    <x v="6"/>
    <x v="1"/>
  </r>
  <r>
    <x v="174"/>
    <x v="2"/>
    <x v="20"/>
    <n v="2"/>
    <n v="269.99"/>
    <n v="0.1"/>
    <n v="539.98"/>
    <m/>
    <x v="15"/>
    <x v="1"/>
  </r>
  <r>
    <x v="174"/>
    <x v="3"/>
    <x v="23"/>
    <n v="1"/>
    <n v="449"/>
    <n v="7.0000000000000007E-2"/>
    <n v="449"/>
    <m/>
    <x v="20"/>
    <x v="1"/>
  </r>
  <r>
    <x v="175"/>
    <x v="0"/>
    <x v="6"/>
    <n v="2"/>
    <n v="749.99"/>
    <n v="7.0000000000000007E-2"/>
    <n v="1499.98"/>
    <m/>
    <x v="6"/>
    <x v="1"/>
  </r>
  <r>
    <x v="175"/>
    <x v="1"/>
    <x v="16"/>
    <n v="2"/>
    <n v="1680.99"/>
    <n v="0.2"/>
    <n v="3361.98"/>
    <m/>
    <x v="14"/>
    <x v="1"/>
  </r>
  <r>
    <x v="175"/>
    <x v="2"/>
    <x v="3"/>
    <n v="2"/>
    <n v="599.99"/>
    <n v="0.05"/>
    <n v="1199.98"/>
    <m/>
    <x v="3"/>
    <x v="1"/>
  </r>
  <r>
    <x v="176"/>
    <x v="0"/>
    <x v="0"/>
    <n v="2"/>
    <n v="599.99"/>
    <n v="0.1"/>
    <n v="1199.98"/>
    <m/>
    <x v="0"/>
    <x v="0"/>
  </r>
  <r>
    <x v="177"/>
    <x v="0"/>
    <x v="2"/>
    <n v="2"/>
    <n v="1549"/>
    <n v="0.2"/>
    <n v="3098"/>
    <m/>
    <x v="2"/>
    <x v="1"/>
  </r>
  <r>
    <x v="177"/>
    <x v="1"/>
    <x v="10"/>
    <n v="1"/>
    <n v="549.99"/>
    <n v="0.05"/>
    <n v="549.99"/>
    <m/>
    <x v="9"/>
    <x v="1"/>
  </r>
  <r>
    <x v="177"/>
    <x v="2"/>
    <x v="5"/>
    <n v="1"/>
    <n v="999.99"/>
    <n v="0.1"/>
    <n v="999.99"/>
    <m/>
    <x v="5"/>
    <x v="1"/>
  </r>
  <r>
    <x v="177"/>
    <x v="3"/>
    <x v="9"/>
    <n v="1"/>
    <n v="449"/>
    <n v="7.0000000000000007E-2"/>
    <n v="449"/>
    <m/>
    <x v="8"/>
    <x v="1"/>
  </r>
  <r>
    <x v="178"/>
    <x v="0"/>
    <x v="17"/>
    <n v="2"/>
    <n v="269.99"/>
    <n v="0.05"/>
    <n v="539.98"/>
    <m/>
    <x v="15"/>
    <x v="1"/>
  </r>
  <r>
    <x v="178"/>
    <x v="1"/>
    <x v="8"/>
    <n v="1"/>
    <n v="599.99"/>
    <n v="0.1"/>
    <n v="599.99"/>
    <m/>
    <x v="3"/>
    <x v="1"/>
  </r>
  <r>
    <x v="178"/>
    <x v="2"/>
    <x v="9"/>
    <n v="1"/>
    <n v="449"/>
    <n v="0.2"/>
    <n v="449"/>
    <m/>
    <x v="8"/>
    <x v="1"/>
  </r>
  <r>
    <x v="178"/>
    <x v="3"/>
    <x v="10"/>
    <n v="2"/>
    <n v="549.99"/>
    <n v="0.2"/>
    <n v="1099.98"/>
    <m/>
    <x v="9"/>
    <x v="1"/>
  </r>
  <r>
    <x v="178"/>
    <x v="4"/>
    <x v="0"/>
    <n v="2"/>
    <n v="599.99"/>
    <n v="0.1"/>
    <n v="1199.98"/>
    <m/>
    <x v="0"/>
    <x v="1"/>
  </r>
  <r>
    <x v="179"/>
    <x v="0"/>
    <x v="3"/>
    <n v="1"/>
    <n v="599.99"/>
    <n v="7.0000000000000007E-2"/>
    <n v="599.99"/>
    <m/>
    <x v="3"/>
    <x v="1"/>
  </r>
  <r>
    <x v="180"/>
    <x v="0"/>
    <x v="2"/>
    <n v="1"/>
    <n v="1549"/>
    <n v="0.05"/>
    <n v="1549"/>
    <m/>
    <x v="2"/>
    <x v="0"/>
  </r>
  <r>
    <x v="180"/>
    <x v="1"/>
    <x v="16"/>
    <n v="1"/>
    <n v="1680.99"/>
    <n v="0.1"/>
    <n v="1680.99"/>
    <m/>
    <x v="14"/>
    <x v="0"/>
  </r>
  <r>
    <x v="180"/>
    <x v="2"/>
    <x v="12"/>
    <n v="2"/>
    <n v="529.99"/>
    <n v="0.2"/>
    <n v="1059.98"/>
    <m/>
    <x v="11"/>
    <x v="0"/>
  </r>
  <r>
    <x v="180"/>
    <x v="3"/>
    <x v="24"/>
    <n v="2"/>
    <n v="549.99"/>
    <n v="0.05"/>
    <n v="1099.98"/>
    <m/>
    <x v="9"/>
    <x v="0"/>
  </r>
  <r>
    <x v="181"/>
    <x v="0"/>
    <x v="22"/>
    <n v="2"/>
    <n v="499.99"/>
    <n v="0.05"/>
    <n v="999.98"/>
    <m/>
    <x v="19"/>
    <x v="1"/>
  </r>
  <r>
    <x v="181"/>
    <x v="1"/>
    <x v="24"/>
    <n v="2"/>
    <n v="549.99"/>
    <n v="7.0000000000000007E-2"/>
    <n v="1099.98"/>
    <m/>
    <x v="9"/>
    <x v="1"/>
  </r>
  <r>
    <x v="182"/>
    <x v="0"/>
    <x v="16"/>
    <n v="2"/>
    <n v="1680.99"/>
    <n v="0.2"/>
    <n v="3361.98"/>
    <m/>
    <x v="14"/>
    <x v="1"/>
  </r>
  <r>
    <x v="182"/>
    <x v="1"/>
    <x v="10"/>
    <n v="2"/>
    <n v="549.99"/>
    <n v="0.05"/>
    <n v="1099.98"/>
    <m/>
    <x v="9"/>
    <x v="1"/>
  </r>
  <r>
    <x v="182"/>
    <x v="2"/>
    <x v="23"/>
    <n v="1"/>
    <n v="449"/>
    <n v="7.0000000000000007E-2"/>
    <n v="449"/>
    <m/>
    <x v="20"/>
    <x v="1"/>
  </r>
  <r>
    <x v="182"/>
    <x v="3"/>
    <x v="7"/>
    <n v="1"/>
    <n v="429"/>
    <n v="7.0000000000000007E-2"/>
    <n v="429"/>
    <m/>
    <x v="7"/>
    <x v="1"/>
  </r>
  <r>
    <x v="183"/>
    <x v="0"/>
    <x v="4"/>
    <n v="1"/>
    <n v="2899.99"/>
    <n v="0.2"/>
    <n v="2899.99"/>
    <m/>
    <x v="4"/>
    <x v="1"/>
  </r>
  <r>
    <x v="183"/>
    <x v="1"/>
    <x v="21"/>
    <n v="1"/>
    <n v="1320.99"/>
    <n v="0.1"/>
    <n v="1320.99"/>
    <m/>
    <x v="18"/>
    <x v="1"/>
  </r>
  <r>
    <x v="183"/>
    <x v="2"/>
    <x v="15"/>
    <n v="1"/>
    <n v="269.99"/>
    <n v="0.1"/>
    <n v="269.99"/>
    <m/>
    <x v="12"/>
    <x v="1"/>
  </r>
  <r>
    <x v="184"/>
    <x v="0"/>
    <x v="0"/>
    <n v="1"/>
    <n v="599.99"/>
    <n v="0.1"/>
    <n v="599.99"/>
    <m/>
    <x v="0"/>
    <x v="0"/>
  </r>
  <r>
    <x v="184"/>
    <x v="1"/>
    <x v="1"/>
    <n v="1"/>
    <n v="1799.99"/>
    <n v="0.05"/>
    <n v="1799.99"/>
    <m/>
    <x v="1"/>
    <x v="0"/>
  </r>
  <r>
    <x v="185"/>
    <x v="0"/>
    <x v="4"/>
    <n v="1"/>
    <n v="2899.99"/>
    <n v="0.1"/>
    <n v="2899.99"/>
    <m/>
    <x v="4"/>
    <x v="1"/>
  </r>
  <r>
    <x v="185"/>
    <x v="1"/>
    <x v="18"/>
    <n v="1"/>
    <n v="469.99"/>
    <n v="0.1"/>
    <n v="469.99"/>
    <m/>
    <x v="16"/>
    <x v="1"/>
  </r>
  <r>
    <x v="186"/>
    <x v="0"/>
    <x v="21"/>
    <n v="1"/>
    <n v="1320.99"/>
    <n v="0.05"/>
    <n v="1320.99"/>
    <m/>
    <x v="18"/>
    <x v="1"/>
  </r>
  <r>
    <x v="187"/>
    <x v="0"/>
    <x v="14"/>
    <n v="2"/>
    <n v="3999.99"/>
    <n v="7.0000000000000007E-2"/>
    <n v="7999.98"/>
    <m/>
    <x v="13"/>
    <x v="1"/>
  </r>
  <r>
    <x v="188"/>
    <x v="0"/>
    <x v="3"/>
    <n v="2"/>
    <n v="599.99"/>
    <n v="0.2"/>
    <n v="1199.98"/>
    <m/>
    <x v="3"/>
    <x v="0"/>
  </r>
  <r>
    <x v="189"/>
    <x v="0"/>
    <x v="24"/>
    <n v="1"/>
    <n v="549.99"/>
    <n v="0.05"/>
    <n v="549.99"/>
    <m/>
    <x v="9"/>
    <x v="1"/>
  </r>
  <r>
    <x v="189"/>
    <x v="1"/>
    <x v="12"/>
    <n v="1"/>
    <n v="529.99"/>
    <n v="0.2"/>
    <n v="529.99"/>
    <m/>
    <x v="11"/>
    <x v="1"/>
  </r>
  <r>
    <x v="189"/>
    <x v="2"/>
    <x v="5"/>
    <n v="2"/>
    <n v="999.99"/>
    <n v="0.2"/>
    <n v="1999.98"/>
    <m/>
    <x v="5"/>
    <x v="1"/>
  </r>
  <r>
    <x v="190"/>
    <x v="0"/>
    <x v="22"/>
    <n v="1"/>
    <n v="499.99"/>
    <n v="0.05"/>
    <n v="499.99"/>
    <m/>
    <x v="19"/>
    <x v="0"/>
  </r>
  <r>
    <x v="190"/>
    <x v="1"/>
    <x v="10"/>
    <n v="2"/>
    <n v="549.99"/>
    <n v="0.2"/>
    <n v="1099.98"/>
    <m/>
    <x v="9"/>
    <x v="0"/>
  </r>
  <r>
    <x v="190"/>
    <x v="2"/>
    <x v="5"/>
    <n v="1"/>
    <n v="999.99"/>
    <n v="7.0000000000000007E-2"/>
    <n v="999.99"/>
    <m/>
    <x v="5"/>
    <x v="0"/>
  </r>
  <r>
    <x v="190"/>
    <x v="3"/>
    <x v="1"/>
    <n v="2"/>
    <n v="1799.99"/>
    <n v="0.05"/>
    <n v="3599.98"/>
    <m/>
    <x v="1"/>
    <x v="0"/>
  </r>
  <r>
    <x v="190"/>
    <x v="4"/>
    <x v="19"/>
    <n v="1"/>
    <n v="299.99"/>
    <n v="0.05"/>
    <n v="299.99"/>
    <m/>
    <x v="17"/>
    <x v="0"/>
  </r>
  <r>
    <x v="191"/>
    <x v="0"/>
    <x v="1"/>
    <n v="2"/>
    <n v="1799.99"/>
    <n v="0.1"/>
    <n v="3599.98"/>
    <m/>
    <x v="1"/>
    <x v="1"/>
  </r>
  <r>
    <x v="191"/>
    <x v="1"/>
    <x v="22"/>
    <n v="1"/>
    <n v="499.99"/>
    <n v="7.0000000000000007E-2"/>
    <n v="499.99"/>
    <m/>
    <x v="19"/>
    <x v="1"/>
  </r>
  <r>
    <x v="191"/>
    <x v="2"/>
    <x v="6"/>
    <n v="1"/>
    <n v="749.99"/>
    <n v="0.05"/>
    <n v="749.99"/>
    <m/>
    <x v="6"/>
    <x v="1"/>
  </r>
  <r>
    <x v="191"/>
    <x v="3"/>
    <x v="24"/>
    <n v="2"/>
    <n v="549.99"/>
    <n v="7.0000000000000007E-2"/>
    <n v="1099.98"/>
    <m/>
    <x v="9"/>
    <x v="1"/>
  </r>
  <r>
    <x v="191"/>
    <x v="4"/>
    <x v="2"/>
    <n v="2"/>
    <n v="1549"/>
    <n v="0.2"/>
    <n v="3098"/>
    <m/>
    <x v="2"/>
    <x v="1"/>
  </r>
  <r>
    <x v="192"/>
    <x v="0"/>
    <x v="10"/>
    <n v="2"/>
    <n v="549.99"/>
    <n v="0.1"/>
    <n v="1099.98"/>
    <m/>
    <x v="9"/>
    <x v="0"/>
  </r>
  <r>
    <x v="193"/>
    <x v="0"/>
    <x v="20"/>
    <n v="2"/>
    <n v="269.99"/>
    <n v="0.2"/>
    <n v="539.98"/>
    <m/>
    <x v="15"/>
    <x v="1"/>
  </r>
  <r>
    <x v="194"/>
    <x v="0"/>
    <x v="9"/>
    <n v="1"/>
    <n v="449"/>
    <n v="0.2"/>
    <n v="449"/>
    <m/>
    <x v="8"/>
    <x v="1"/>
  </r>
  <r>
    <x v="194"/>
    <x v="1"/>
    <x v="15"/>
    <n v="1"/>
    <n v="269.99"/>
    <n v="0.05"/>
    <n v="269.99"/>
    <m/>
    <x v="12"/>
    <x v="1"/>
  </r>
  <r>
    <x v="194"/>
    <x v="2"/>
    <x v="21"/>
    <n v="2"/>
    <n v="1320.99"/>
    <n v="0.2"/>
    <n v="2641.98"/>
    <m/>
    <x v="18"/>
    <x v="1"/>
  </r>
  <r>
    <x v="194"/>
    <x v="3"/>
    <x v="4"/>
    <n v="2"/>
    <n v="2899.99"/>
    <n v="0.2"/>
    <n v="5799.98"/>
    <m/>
    <x v="4"/>
    <x v="1"/>
  </r>
  <r>
    <x v="194"/>
    <x v="4"/>
    <x v="20"/>
    <n v="2"/>
    <n v="269.99"/>
    <n v="0.1"/>
    <n v="539.98"/>
    <m/>
    <x v="15"/>
    <x v="1"/>
  </r>
  <r>
    <x v="195"/>
    <x v="0"/>
    <x v="18"/>
    <n v="1"/>
    <n v="469.99"/>
    <n v="0.05"/>
    <n v="469.99"/>
    <m/>
    <x v="16"/>
    <x v="1"/>
  </r>
  <r>
    <x v="195"/>
    <x v="1"/>
    <x v="5"/>
    <n v="2"/>
    <n v="999.99"/>
    <n v="7.0000000000000007E-2"/>
    <n v="1999.98"/>
    <m/>
    <x v="5"/>
    <x v="1"/>
  </r>
  <r>
    <x v="195"/>
    <x v="2"/>
    <x v="2"/>
    <n v="2"/>
    <n v="1549"/>
    <n v="7.0000000000000007E-2"/>
    <n v="3098"/>
    <m/>
    <x v="2"/>
    <x v="1"/>
  </r>
  <r>
    <x v="195"/>
    <x v="3"/>
    <x v="10"/>
    <n v="1"/>
    <n v="549.99"/>
    <n v="7.0000000000000007E-2"/>
    <n v="549.99"/>
    <m/>
    <x v="9"/>
    <x v="1"/>
  </r>
  <r>
    <x v="195"/>
    <x v="4"/>
    <x v="0"/>
    <n v="1"/>
    <n v="599.99"/>
    <n v="0.1"/>
    <n v="599.99"/>
    <m/>
    <x v="0"/>
    <x v="1"/>
  </r>
  <r>
    <x v="196"/>
    <x v="0"/>
    <x v="4"/>
    <n v="2"/>
    <n v="2899.99"/>
    <n v="0.2"/>
    <n v="5799.98"/>
    <m/>
    <x v="4"/>
    <x v="1"/>
  </r>
  <r>
    <x v="196"/>
    <x v="1"/>
    <x v="6"/>
    <n v="2"/>
    <n v="749.99"/>
    <n v="7.0000000000000007E-2"/>
    <n v="1499.98"/>
    <m/>
    <x v="6"/>
    <x v="1"/>
  </r>
  <r>
    <x v="197"/>
    <x v="0"/>
    <x v="18"/>
    <n v="2"/>
    <n v="469.99"/>
    <n v="0.05"/>
    <n v="939.98"/>
    <m/>
    <x v="16"/>
    <x v="1"/>
  </r>
  <r>
    <x v="197"/>
    <x v="1"/>
    <x v="0"/>
    <n v="2"/>
    <n v="599.99"/>
    <n v="7.0000000000000007E-2"/>
    <n v="1199.98"/>
    <m/>
    <x v="0"/>
    <x v="1"/>
  </r>
  <r>
    <x v="197"/>
    <x v="2"/>
    <x v="1"/>
    <n v="2"/>
    <n v="1799.99"/>
    <n v="0.2"/>
    <n v="3599.98"/>
    <m/>
    <x v="1"/>
    <x v="1"/>
  </r>
  <r>
    <x v="197"/>
    <x v="3"/>
    <x v="17"/>
    <n v="2"/>
    <n v="269.99"/>
    <n v="0.05"/>
    <n v="539.98"/>
    <m/>
    <x v="15"/>
    <x v="1"/>
  </r>
  <r>
    <x v="197"/>
    <x v="4"/>
    <x v="7"/>
    <n v="1"/>
    <n v="429"/>
    <n v="0.05"/>
    <n v="429"/>
    <m/>
    <x v="7"/>
    <x v="1"/>
  </r>
  <r>
    <x v="198"/>
    <x v="0"/>
    <x v="22"/>
    <n v="2"/>
    <n v="499.99"/>
    <n v="0.05"/>
    <n v="999.98"/>
    <m/>
    <x v="19"/>
    <x v="1"/>
  </r>
  <r>
    <x v="198"/>
    <x v="1"/>
    <x v="9"/>
    <n v="2"/>
    <n v="449"/>
    <n v="7.0000000000000007E-2"/>
    <n v="898"/>
    <m/>
    <x v="8"/>
    <x v="1"/>
  </r>
  <r>
    <x v="198"/>
    <x v="2"/>
    <x v="4"/>
    <n v="1"/>
    <n v="2899.99"/>
    <n v="0.2"/>
    <n v="2899.99"/>
    <m/>
    <x v="4"/>
    <x v="1"/>
  </r>
  <r>
    <x v="199"/>
    <x v="0"/>
    <x v="19"/>
    <n v="2"/>
    <n v="299.99"/>
    <n v="0.05"/>
    <n v="599.98"/>
    <m/>
    <x v="17"/>
    <x v="1"/>
  </r>
  <r>
    <x v="199"/>
    <x v="1"/>
    <x v="13"/>
    <n v="2"/>
    <n v="269.99"/>
    <n v="7.0000000000000007E-2"/>
    <n v="539.98"/>
    <m/>
    <x v="12"/>
    <x v="1"/>
  </r>
  <r>
    <x v="200"/>
    <x v="0"/>
    <x v="24"/>
    <n v="1"/>
    <n v="549.99"/>
    <n v="0.05"/>
    <n v="549.99"/>
    <m/>
    <x v="9"/>
    <x v="2"/>
  </r>
  <r>
    <x v="200"/>
    <x v="1"/>
    <x v="14"/>
    <n v="1"/>
    <n v="3999.99"/>
    <n v="0.2"/>
    <n v="3999.99"/>
    <m/>
    <x v="13"/>
    <x v="2"/>
  </r>
  <r>
    <x v="200"/>
    <x v="2"/>
    <x v="15"/>
    <n v="2"/>
    <n v="269.99"/>
    <n v="0.1"/>
    <n v="539.98"/>
    <m/>
    <x v="12"/>
    <x v="2"/>
  </r>
  <r>
    <x v="200"/>
    <x v="3"/>
    <x v="7"/>
    <n v="1"/>
    <n v="429"/>
    <n v="0.05"/>
    <n v="429"/>
    <m/>
    <x v="7"/>
    <x v="2"/>
  </r>
  <r>
    <x v="201"/>
    <x v="0"/>
    <x v="1"/>
    <n v="1"/>
    <n v="1799.99"/>
    <n v="7.0000000000000007E-2"/>
    <n v="1799.99"/>
    <m/>
    <x v="1"/>
    <x v="0"/>
  </r>
  <r>
    <x v="201"/>
    <x v="1"/>
    <x v="7"/>
    <n v="1"/>
    <n v="429"/>
    <n v="0.05"/>
    <n v="429"/>
    <m/>
    <x v="7"/>
    <x v="0"/>
  </r>
  <r>
    <x v="201"/>
    <x v="2"/>
    <x v="12"/>
    <n v="2"/>
    <n v="529.99"/>
    <n v="0.05"/>
    <n v="1059.98"/>
    <m/>
    <x v="11"/>
    <x v="0"/>
  </r>
  <r>
    <x v="201"/>
    <x v="3"/>
    <x v="22"/>
    <n v="2"/>
    <n v="499.99"/>
    <n v="0.05"/>
    <n v="999.98"/>
    <m/>
    <x v="19"/>
    <x v="0"/>
  </r>
  <r>
    <x v="202"/>
    <x v="0"/>
    <x v="8"/>
    <n v="1"/>
    <n v="599.99"/>
    <n v="0.05"/>
    <n v="599.99"/>
    <m/>
    <x v="3"/>
    <x v="2"/>
  </r>
  <r>
    <x v="202"/>
    <x v="1"/>
    <x v="5"/>
    <n v="2"/>
    <n v="999.99"/>
    <n v="0.1"/>
    <n v="1999.98"/>
    <m/>
    <x v="5"/>
    <x v="2"/>
  </r>
  <r>
    <x v="202"/>
    <x v="2"/>
    <x v="7"/>
    <n v="2"/>
    <n v="429"/>
    <n v="0.2"/>
    <n v="858"/>
    <m/>
    <x v="7"/>
    <x v="2"/>
  </r>
  <r>
    <x v="202"/>
    <x v="3"/>
    <x v="23"/>
    <n v="2"/>
    <n v="449"/>
    <n v="7.0000000000000007E-2"/>
    <n v="898"/>
    <m/>
    <x v="20"/>
    <x v="2"/>
  </r>
  <r>
    <x v="203"/>
    <x v="0"/>
    <x v="18"/>
    <n v="2"/>
    <n v="469.99"/>
    <n v="7.0000000000000007E-2"/>
    <n v="939.98"/>
    <m/>
    <x v="16"/>
    <x v="1"/>
  </r>
  <r>
    <x v="203"/>
    <x v="1"/>
    <x v="7"/>
    <n v="2"/>
    <n v="429"/>
    <n v="0.1"/>
    <n v="858"/>
    <m/>
    <x v="7"/>
    <x v="1"/>
  </r>
  <r>
    <x v="204"/>
    <x v="0"/>
    <x v="13"/>
    <n v="2"/>
    <n v="269.99"/>
    <n v="0.05"/>
    <n v="539.98"/>
    <m/>
    <x v="12"/>
    <x v="1"/>
  </r>
  <r>
    <x v="204"/>
    <x v="1"/>
    <x v="24"/>
    <n v="2"/>
    <n v="549.99"/>
    <n v="0.1"/>
    <n v="1099.98"/>
    <m/>
    <x v="9"/>
    <x v="1"/>
  </r>
  <r>
    <x v="205"/>
    <x v="0"/>
    <x v="22"/>
    <n v="1"/>
    <n v="499.99"/>
    <n v="0.05"/>
    <n v="499.99"/>
    <m/>
    <x v="19"/>
    <x v="2"/>
  </r>
  <r>
    <x v="205"/>
    <x v="1"/>
    <x v="0"/>
    <n v="1"/>
    <n v="599.99"/>
    <n v="0.2"/>
    <n v="599.99"/>
    <m/>
    <x v="0"/>
    <x v="2"/>
  </r>
  <r>
    <x v="206"/>
    <x v="0"/>
    <x v="10"/>
    <n v="2"/>
    <n v="549.99"/>
    <n v="0.2"/>
    <n v="1099.98"/>
    <m/>
    <x v="9"/>
    <x v="1"/>
  </r>
  <r>
    <x v="206"/>
    <x v="1"/>
    <x v="21"/>
    <n v="1"/>
    <n v="1320.99"/>
    <n v="0.05"/>
    <n v="1320.99"/>
    <m/>
    <x v="18"/>
    <x v="1"/>
  </r>
  <r>
    <x v="206"/>
    <x v="2"/>
    <x v="16"/>
    <n v="2"/>
    <n v="1680.99"/>
    <n v="7.0000000000000007E-2"/>
    <n v="3361.98"/>
    <m/>
    <x v="14"/>
    <x v="1"/>
  </r>
  <r>
    <x v="206"/>
    <x v="3"/>
    <x v="14"/>
    <n v="2"/>
    <n v="3999.99"/>
    <n v="0.1"/>
    <n v="7999.98"/>
    <m/>
    <x v="13"/>
    <x v="1"/>
  </r>
  <r>
    <x v="207"/>
    <x v="0"/>
    <x v="18"/>
    <n v="2"/>
    <n v="469.99"/>
    <n v="0.05"/>
    <n v="939.98"/>
    <m/>
    <x v="16"/>
    <x v="1"/>
  </r>
  <r>
    <x v="207"/>
    <x v="1"/>
    <x v="4"/>
    <n v="2"/>
    <n v="2899.99"/>
    <n v="7.0000000000000007E-2"/>
    <n v="5799.98"/>
    <m/>
    <x v="4"/>
    <x v="1"/>
  </r>
  <r>
    <x v="207"/>
    <x v="2"/>
    <x v="5"/>
    <n v="1"/>
    <n v="999.99"/>
    <n v="0.05"/>
    <n v="999.99"/>
    <m/>
    <x v="5"/>
    <x v="1"/>
  </r>
  <r>
    <x v="207"/>
    <x v="3"/>
    <x v="10"/>
    <n v="1"/>
    <n v="549.99"/>
    <n v="0.2"/>
    <n v="549.99"/>
    <m/>
    <x v="9"/>
    <x v="1"/>
  </r>
  <r>
    <x v="207"/>
    <x v="4"/>
    <x v="2"/>
    <n v="2"/>
    <n v="1549"/>
    <n v="0.05"/>
    <n v="3098"/>
    <m/>
    <x v="2"/>
    <x v="1"/>
  </r>
  <r>
    <x v="208"/>
    <x v="0"/>
    <x v="17"/>
    <n v="1"/>
    <n v="269.99"/>
    <n v="0.1"/>
    <n v="269.99"/>
    <m/>
    <x v="15"/>
    <x v="1"/>
  </r>
  <r>
    <x v="209"/>
    <x v="0"/>
    <x v="15"/>
    <n v="1"/>
    <n v="269.99"/>
    <n v="7.0000000000000007E-2"/>
    <n v="269.99"/>
    <m/>
    <x v="12"/>
    <x v="1"/>
  </r>
  <r>
    <x v="209"/>
    <x v="1"/>
    <x v="17"/>
    <n v="2"/>
    <n v="269.99"/>
    <n v="0.2"/>
    <n v="539.98"/>
    <m/>
    <x v="15"/>
    <x v="1"/>
  </r>
  <r>
    <x v="210"/>
    <x v="0"/>
    <x v="2"/>
    <n v="1"/>
    <n v="1549"/>
    <n v="7.0000000000000007E-2"/>
    <n v="1549"/>
    <m/>
    <x v="2"/>
    <x v="1"/>
  </r>
  <r>
    <x v="210"/>
    <x v="1"/>
    <x v="6"/>
    <n v="2"/>
    <n v="749.99"/>
    <n v="7.0000000000000007E-2"/>
    <n v="1499.98"/>
    <m/>
    <x v="6"/>
    <x v="1"/>
  </r>
  <r>
    <x v="211"/>
    <x v="0"/>
    <x v="3"/>
    <n v="2"/>
    <n v="599.99"/>
    <n v="7.0000000000000007E-2"/>
    <n v="1199.98"/>
    <m/>
    <x v="3"/>
    <x v="1"/>
  </r>
  <r>
    <x v="211"/>
    <x v="1"/>
    <x v="10"/>
    <n v="2"/>
    <n v="549.99"/>
    <n v="0.2"/>
    <n v="1099.98"/>
    <m/>
    <x v="9"/>
    <x v="1"/>
  </r>
  <r>
    <x v="211"/>
    <x v="2"/>
    <x v="23"/>
    <n v="1"/>
    <n v="449"/>
    <n v="0.1"/>
    <n v="449"/>
    <m/>
    <x v="20"/>
    <x v="1"/>
  </r>
  <r>
    <x v="211"/>
    <x v="3"/>
    <x v="14"/>
    <n v="1"/>
    <n v="3999.99"/>
    <n v="0.2"/>
    <n v="3999.99"/>
    <m/>
    <x v="13"/>
    <x v="1"/>
  </r>
  <r>
    <x v="212"/>
    <x v="0"/>
    <x v="17"/>
    <n v="1"/>
    <n v="269.99"/>
    <n v="0.1"/>
    <n v="269.99"/>
    <m/>
    <x v="15"/>
    <x v="2"/>
  </r>
  <r>
    <x v="213"/>
    <x v="0"/>
    <x v="20"/>
    <n v="1"/>
    <n v="269.99"/>
    <n v="0.1"/>
    <n v="269.99"/>
    <m/>
    <x v="15"/>
    <x v="1"/>
  </r>
  <r>
    <x v="214"/>
    <x v="0"/>
    <x v="23"/>
    <n v="1"/>
    <n v="449"/>
    <n v="7.0000000000000007E-2"/>
    <n v="449"/>
    <m/>
    <x v="20"/>
    <x v="1"/>
  </r>
  <r>
    <x v="214"/>
    <x v="1"/>
    <x v="10"/>
    <n v="2"/>
    <n v="549.99"/>
    <n v="0.1"/>
    <n v="1099.98"/>
    <m/>
    <x v="9"/>
    <x v="1"/>
  </r>
  <r>
    <x v="215"/>
    <x v="0"/>
    <x v="13"/>
    <n v="2"/>
    <n v="269.99"/>
    <n v="0.1"/>
    <n v="539.98"/>
    <m/>
    <x v="12"/>
    <x v="0"/>
  </r>
  <r>
    <x v="215"/>
    <x v="1"/>
    <x v="3"/>
    <n v="2"/>
    <n v="599.99"/>
    <n v="0.05"/>
    <n v="1199.98"/>
    <m/>
    <x v="3"/>
    <x v="0"/>
  </r>
  <r>
    <x v="216"/>
    <x v="0"/>
    <x v="9"/>
    <n v="1"/>
    <n v="449"/>
    <n v="0.1"/>
    <n v="449"/>
    <m/>
    <x v="8"/>
    <x v="1"/>
  </r>
  <r>
    <x v="216"/>
    <x v="1"/>
    <x v="2"/>
    <n v="2"/>
    <n v="1549"/>
    <n v="0.1"/>
    <n v="3098"/>
    <m/>
    <x v="2"/>
    <x v="1"/>
  </r>
  <r>
    <x v="216"/>
    <x v="2"/>
    <x v="7"/>
    <n v="1"/>
    <n v="429"/>
    <n v="7.0000000000000007E-2"/>
    <n v="429"/>
    <m/>
    <x v="7"/>
    <x v="1"/>
  </r>
  <r>
    <x v="217"/>
    <x v="0"/>
    <x v="6"/>
    <n v="2"/>
    <n v="749.99"/>
    <n v="0.1"/>
    <n v="1499.98"/>
    <m/>
    <x v="6"/>
    <x v="1"/>
  </r>
  <r>
    <x v="217"/>
    <x v="1"/>
    <x v="17"/>
    <n v="1"/>
    <n v="269.99"/>
    <n v="7.0000000000000007E-2"/>
    <n v="269.99"/>
    <m/>
    <x v="15"/>
    <x v="1"/>
  </r>
  <r>
    <x v="217"/>
    <x v="2"/>
    <x v="10"/>
    <n v="1"/>
    <n v="549.99"/>
    <n v="0.05"/>
    <n v="549.99"/>
    <m/>
    <x v="9"/>
    <x v="1"/>
  </r>
  <r>
    <x v="218"/>
    <x v="0"/>
    <x v="8"/>
    <n v="1"/>
    <n v="599.99"/>
    <n v="0.05"/>
    <n v="599.99"/>
    <m/>
    <x v="3"/>
    <x v="1"/>
  </r>
  <r>
    <x v="218"/>
    <x v="1"/>
    <x v="21"/>
    <n v="1"/>
    <n v="1320.99"/>
    <n v="0.2"/>
    <n v="1320.99"/>
    <m/>
    <x v="18"/>
    <x v="1"/>
  </r>
  <r>
    <x v="219"/>
    <x v="0"/>
    <x v="18"/>
    <n v="2"/>
    <n v="469.99"/>
    <n v="0.05"/>
    <n v="939.98"/>
    <m/>
    <x v="16"/>
    <x v="1"/>
  </r>
  <r>
    <x v="219"/>
    <x v="1"/>
    <x v="22"/>
    <n v="1"/>
    <n v="499.99"/>
    <n v="7.0000000000000007E-2"/>
    <n v="499.99"/>
    <m/>
    <x v="19"/>
    <x v="1"/>
  </r>
  <r>
    <x v="219"/>
    <x v="2"/>
    <x v="13"/>
    <n v="2"/>
    <n v="269.99"/>
    <n v="0.1"/>
    <n v="539.98"/>
    <m/>
    <x v="12"/>
    <x v="1"/>
  </r>
  <r>
    <x v="219"/>
    <x v="3"/>
    <x v="5"/>
    <n v="2"/>
    <n v="999.99"/>
    <n v="0.2"/>
    <n v="1999.98"/>
    <m/>
    <x v="5"/>
    <x v="1"/>
  </r>
  <r>
    <x v="220"/>
    <x v="0"/>
    <x v="16"/>
    <n v="2"/>
    <n v="1680.99"/>
    <n v="7.0000000000000007E-2"/>
    <n v="3361.98"/>
    <m/>
    <x v="14"/>
    <x v="0"/>
  </r>
  <r>
    <x v="221"/>
    <x v="0"/>
    <x v="2"/>
    <n v="1"/>
    <n v="1549"/>
    <n v="0.1"/>
    <n v="1549"/>
    <m/>
    <x v="2"/>
    <x v="1"/>
  </r>
  <r>
    <x v="221"/>
    <x v="1"/>
    <x v="6"/>
    <n v="2"/>
    <n v="749.99"/>
    <n v="0.1"/>
    <n v="1499.98"/>
    <m/>
    <x v="6"/>
    <x v="1"/>
  </r>
  <r>
    <x v="222"/>
    <x v="0"/>
    <x v="14"/>
    <n v="2"/>
    <n v="3999.99"/>
    <n v="0.05"/>
    <n v="7999.98"/>
    <m/>
    <x v="13"/>
    <x v="1"/>
  </r>
  <r>
    <x v="222"/>
    <x v="1"/>
    <x v="21"/>
    <n v="1"/>
    <n v="1320.99"/>
    <n v="0.2"/>
    <n v="1320.99"/>
    <m/>
    <x v="18"/>
    <x v="1"/>
  </r>
  <r>
    <x v="222"/>
    <x v="2"/>
    <x v="20"/>
    <n v="2"/>
    <n v="269.99"/>
    <n v="0.1"/>
    <n v="539.98"/>
    <m/>
    <x v="15"/>
    <x v="1"/>
  </r>
  <r>
    <x v="222"/>
    <x v="3"/>
    <x v="0"/>
    <n v="1"/>
    <n v="599.99"/>
    <n v="0.05"/>
    <n v="599.99"/>
    <m/>
    <x v="0"/>
    <x v="1"/>
  </r>
  <r>
    <x v="222"/>
    <x v="4"/>
    <x v="12"/>
    <n v="1"/>
    <n v="529.99"/>
    <n v="0.05"/>
    <n v="529.99"/>
    <m/>
    <x v="11"/>
    <x v="1"/>
  </r>
  <r>
    <x v="223"/>
    <x v="0"/>
    <x v="18"/>
    <n v="1"/>
    <n v="469.99"/>
    <n v="7.0000000000000007E-2"/>
    <n v="469.99"/>
    <m/>
    <x v="16"/>
    <x v="0"/>
  </r>
  <r>
    <x v="223"/>
    <x v="1"/>
    <x v="16"/>
    <n v="2"/>
    <n v="1680.99"/>
    <n v="0.1"/>
    <n v="3361.98"/>
    <m/>
    <x v="14"/>
    <x v="0"/>
  </r>
  <r>
    <x v="223"/>
    <x v="2"/>
    <x v="2"/>
    <n v="2"/>
    <n v="1549"/>
    <n v="0.2"/>
    <n v="3098"/>
    <m/>
    <x v="2"/>
    <x v="0"/>
  </r>
  <r>
    <x v="223"/>
    <x v="3"/>
    <x v="22"/>
    <n v="1"/>
    <n v="499.99"/>
    <n v="0.05"/>
    <n v="499.99"/>
    <m/>
    <x v="19"/>
    <x v="0"/>
  </r>
  <r>
    <x v="224"/>
    <x v="0"/>
    <x v="20"/>
    <n v="1"/>
    <n v="269.99"/>
    <n v="0.1"/>
    <n v="269.99"/>
    <m/>
    <x v="15"/>
    <x v="0"/>
  </r>
  <r>
    <x v="224"/>
    <x v="1"/>
    <x v="11"/>
    <n v="1"/>
    <n v="2999.99"/>
    <n v="0.1"/>
    <n v="2999.99"/>
    <m/>
    <x v="10"/>
    <x v="0"/>
  </r>
  <r>
    <x v="225"/>
    <x v="0"/>
    <x v="6"/>
    <n v="1"/>
    <n v="749.99"/>
    <n v="0.05"/>
    <n v="749.99"/>
    <m/>
    <x v="6"/>
    <x v="0"/>
  </r>
  <r>
    <x v="226"/>
    <x v="0"/>
    <x v="5"/>
    <n v="2"/>
    <n v="999.99"/>
    <n v="0.05"/>
    <n v="1999.98"/>
    <m/>
    <x v="5"/>
    <x v="1"/>
  </r>
  <r>
    <x v="226"/>
    <x v="1"/>
    <x v="12"/>
    <n v="2"/>
    <n v="529.99"/>
    <n v="0.1"/>
    <n v="1059.98"/>
    <m/>
    <x v="11"/>
    <x v="1"/>
  </r>
  <r>
    <x v="227"/>
    <x v="0"/>
    <x v="22"/>
    <n v="1"/>
    <n v="499.99"/>
    <n v="0.2"/>
    <n v="499.99"/>
    <m/>
    <x v="19"/>
    <x v="1"/>
  </r>
  <r>
    <x v="227"/>
    <x v="1"/>
    <x v="6"/>
    <n v="2"/>
    <n v="749.99"/>
    <n v="7.0000000000000007E-2"/>
    <n v="1499.98"/>
    <m/>
    <x v="6"/>
    <x v="1"/>
  </r>
  <r>
    <x v="227"/>
    <x v="2"/>
    <x v="19"/>
    <n v="2"/>
    <n v="299.99"/>
    <n v="0.1"/>
    <n v="599.98"/>
    <m/>
    <x v="17"/>
    <x v="1"/>
  </r>
  <r>
    <x v="227"/>
    <x v="3"/>
    <x v="4"/>
    <n v="1"/>
    <n v="2899.99"/>
    <n v="0.2"/>
    <n v="2899.99"/>
    <m/>
    <x v="4"/>
    <x v="1"/>
  </r>
  <r>
    <x v="227"/>
    <x v="4"/>
    <x v="13"/>
    <n v="1"/>
    <n v="269.99"/>
    <n v="0.05"/>
    <n v="269.99"/>
    <m/>
    <x v="12"/>
    <x v="1"/>
  </r>
  <r>
    <x v="228"/>
    <x v="0"/>
    <x v="22"/>
    <n v="2"/>
    <n v="499.99"/>
    <n v="0.2"/>
    <n v="999.98"/>
    <m/>
    <x v="19"/>
    <x v="1"/>
  </r>
  <r>
    <x v="228"/>
    <x v="1"/>
    <x v="21"/>
    <n v="2"/>
    <n v="1320.99"/>
    <n v="0.1"/>
    <n v="2641.98"/>
    <m/>
    <x v="18"/>
    <x v="1"/>
  </r>
  <r>
    <x v="228"/>
    <x v="2"/>
    <x v="1"/>
    <n v="1"/>
    <n v="1799.99"/>
    <n v="0.2"/>
    <n v="1799.99"/>
    <m/>
    <x v="1"/>
    <x v="1"/>
  </r>
  <r>
    <x v="229"/>
    <x v="0"/>
    <x v="16"/>
    <n v="2"/>
    <n v="1680.99"/>
    <n v="7.0000000000000007E-2"/>
    <n v="3361.98"/>
    <m/>
    <x v="14"/>
    <x v="1"/>
  </r>
  <r>
    <x v="230"/>
    <x v="0"/>
    <x v="1"/>
    <n v="2"/>
    <n v="1799.99"/>
    <n v="7.0000000000000007E-2"/>
    <n v="3599.98"/>
    <m/>
    <x v="1"/>
    <x v="1"/>
  </r>
  <r>
    <x v="230"/>
    <x v="1"/>
    <x v="15"/>
    <n v="2"/>
    <n v="269.99"/>
    <n v="0.2"/>
    <n v="539.98"/>
    <m/>
    <x v="12"/>
    <x v="1"/>
  </r>
  <r>
    <x v="230"/>
    <x v="2"/>
    <x v="21"/>
    <n v="2"/>
    <n v="1320.99"/>
    <n v="0.2"/>
    <n v="2641.98"/>
    <m/>
    <x v="18"/>
    <x v="1"/>
  </r>
  <r>
    <x v="231"/>
    <x v="0"/>
    <x v="9"/>
    <n v="1"/>
    <n v="449"/>
    <n v="7.0000000000000007E-2"/>
    <n v="449"/>
    <m/>
    <x v="8"/>
    <x v="0"/>
  </r>
  <r>
    <x v="231"/>
    <x v="1"/>
    <x v="16"/>
    <n v="2"/>
    <n v="1680.99"/>
    <n v="0.05"/>
    <n v="3361.98"/>
    <m/>
    <x v="14"/>
    <x v="0"/>
  </r>
  <r>
    <x v="231"/>
    <x v="2"/>
    <x v="8"/>
    <n v="2"/>
    <n v="599.99"/>
    <n v="7.0000000000000007E-2"/>
    <n v="1199.98"/>
    <m/>
    <x v="3"/>
    <x v="0"/>
  </r>
  <r>
    <x v="231"/>
    <x v="3"/>
    <x v="1"/>
    <n v="2"/>
    <n v="1799.99"/>
    <n v="0.1"/>
    <n v="3599.98"/>
    <m/>
    <x v="1"/>
    <x v="0"/>
  </r>
  <r>
    <x v="232"/>
    <x v="0"/>
    <x v="15"/>
    <n v="1"/>
    <n v="269.99"/>
    <n v="0.1"/>
    <n v="269.99"/>
    <m/>
    <x v="12"/>
    <x v="1"/>
  </r>
  <r>
    <x v="232"/>
    <x v="1"/>
    <x v="3"/>
    <n v="2"/>
    <n v="599.99"/>
    <n v="0.1"/>
    <n v="1199.98"/>
    <m/>
    <x v="3"/>
    <x v="1"/>
  </r>
  <r>
    <x v="232"/>
    <x v="2"/>
    <x v="10"/>
    <n v="1"/>
    <n v="549.99"/>
    <n v="0.2"/>
    <n v="549.99"/>
    <m/>
    <x v="9"/>
    <x v="1"/>
  </r>
  <r>
    <x v="232"/>
    <x v="3"/>
    <x v="12"/>
    <n v="2"/>
    <n v="529.99"/>
    <n v="7.0000000000000007E-2"/>
    <n v="1059.98"/>
    <m/>
    <x v="11"/>
    <x v="1"/>
  </r>
  <r>
    <x v="233"/>
    <x v="0"/>
    <x v="16"/>
    <n v="2"/>
    <n v="1680.99"/>
    <n v="0.2"/>
    <n v="3361.98"/>
    <m/>
    <x v="14"/>
    <x v="1"/>
  </r>
  <r>
    <x v="233"/>
    <x v="1"/>
    <x v="7"/>
    <n v="2"/>
    <n v="429"/>
    <n v="0.05"/>
    <n v="858"/>
    <m/>
    <x v="7"/>
    <x v="1"/>
  </r>
  <r>
    <x v="233"/>
    <x v="2"/>
    <x v="10"/>
    <n v="1"/>
    <n v="549.99"/>
    <n v="0.1"/>
    <n v="549.99"/>
    <m/>
    <x v="9"/>
    <x v="1"/>
  </r>
  <r>
    <x v="233"/>
    <x v="3"/>
    <x v="14"/>
    <n v="1"/>
    <n v="3999.99"/>
    <n v="0.05"/>
    <n v="3999.99"/>
    <m/>
    <x v="13"/>
    <x v="1"/>
  </r>
  <r>
    <x v="233"/>
    <x v="4"/>
    <x v="19"/>
    <n v="1"/>
    <n v="299.99"/>
    <n v="0.1"/>
    <n v="299.99"/>
    <m/>
    <x v="17"/>
    <x v="1"/>
  </r>
  <r>
    <x v="234"/>
    <x v="0"/>
    <x v="18"/>
    <n v="1"/>
    <n v="469.99"/>
    <n v="7.0000000000000007E-2"/>
    <n v="469.99"/>
    <m/>
    <x v="16"/>
    <x v="1"/>
  </r>
  <r>
    <x v="234"/>
    <x v="1"/>
    <x v="17"/>
    <n v="2"/>
    <n v="269.99"/>
    <n v="0.05"/>
    <n v="539.98"/>
    <m/>
    <x v="15"/>
    <x v="1"/>
  </r>
  <r>
    <x v="234"/>
    <x v="2"/>
    <x v="14"/>
    <n v="2"/>
    <n v="3999.99"/>
    <n v="0.05"/>
    <n v="7999.98"/>
    <m/>
    <x v="13"/>
    <x v="1"/>
  </r>
  <r>
    <x v="235"/>
    <x v="0"/>
    <x v="5"/>
    <n v="2"/>
    <n v="999.99"/>
    <n v="7.0000000000000007E-2"/>
    <n v="1999.98"/>
    <m/>
    <x v="5"/>
    <x v="1"/>
  </r>
  <r>
    <x v="235"/>
    <x v="1"/>
    <x v="6"/>
    <n v="2"/>
    <n v="749.99"/>
    <n v="0.1"/>
    <n v="1499.98"/>
    <m/>
    <x v="6"/>
    <x v="1"/>
  </r>
  <r>
    <x v="235"/>
    <x v="2"/>
    <x v="4"/>
    <n v="2"/>
    <n v="2899.99"/>
    <n v="0.1"/>
    <n v="5799.98"/>
    <m/>
    <x v="4"/>
    <x v="1"/>
  </r>
  <r>
    <x v="236"/>
    <x v="0"/>
    <x v="12"/>
    <n v="1"/>
    <n v="529.99"/>
    <n v="0.2"/>
    <n v="529.99"/>
    <m/>
    <x v="11"/>
    <x v="1"/>
  </r>
  <r>
    <x v="236"/>
    <x v="1"/>
    <x v="24"/>
    <n v="1"/>
    <n v="549.99"/>
    <n v="7.0000000000000007E-2"/>
    <n v="549.99"/>
    <m/>
    <x v="9"/>
    <x v="1"/>
  </r>
  <r>
    <x v="236"/>
    <x v="2"/>
    <x v="0"/>
    <n v="2"/>
    <n v="599.99"/>
    <n v="0.2"/>
    <n v="1199.98"/>
    <m/>
    <x v="0"/>
    <x v="1"/>
  </r>
  <r>
    <x v="236"/>
    <x v="3"/>
    <x v="8"/>
    <n v="1"/>
    <n v="599.99"/>
    <n v="0.05"/>
    <n v="599.99"/>
    <m/>
    <x v="3"/>
    <x v="1"/>
  </r>
  <r>
    <x v="237"/>
    <x v="0"/>
    <x v="0"/>
    <n v="2"/>
    <n v="599.99"/>
    <n v="0.2"/>
    <n v="1199.98"/>
    <m/>
    <x v="0"/>
    <x v="1"/>
  </r>
  <r>
    <x v="237"/>
    <x v="1"/>
    <x v="22"/>
    <n v="1"/>
    <n v="499.99"/>
    <n v="7.0000000000000007E-2"/>
    <n v="499.99"/>
    <m/>
    <x v="19"/>
    <x v="1"/>
  </r>
  <r>
    <x v="237"/>
    <x v="2"/>
    <x v="17"/>
    <n v="2"/>
    <n v="269.99"/>
    <n v="0.2"/>
    <n v="539.98"/>
    <m/>
    <x v="15"/>
    <x v="1"/>
  </r>
  <r>
    <x v="237"/>
    <x v="3"/>
    <x v="13"/>
    <n v="2"/>
    <n v="269.99"/>
    <n v="0.05"/>
    <n v="539.98"/>
    <m/>
    <x v="12"/>
    <x v="1"/>
  </r>
  <r>
    <x v="237"/>
    <x v="4"/>
    <x v="14"/>
    <n v="1"/>
    <n v="3999.99"/>
    <n v="7.0000000000000007E-2"/>
    <n v="3999.99"/>
    <m/>
    <x v="13"/>
    <x v="1"/>
  </r>
  <r>
    <x v="238"/>
    <x v="0"/>
    <x v="3"/>
    <n v="2"/>
    <n v="599.99"/>
    <n v="0.1"/>
    <n v="1199.98"/>
    <m/>
    <x v="3"/>
    <x v="2"/>
  </r>
  <r>
    <x v="238"/>
    <x v="1"/>
    <x v="20"/>
    <n v="2"/>
    <n v="269.99"/>
    <n v="0.05"/>
    <n v="539.98"/>
    <m/>
    <x v="15"/>
    <x v="2"/>
  </r>
  <r>
    <x v="238"/>
    <x v="2"/>
    <x v="9"/>
    <n v="1"/>
    <n v="449"/>
    <n v="7.0000000000000007E-2"/>
    <n v="449"/>
    <m/>
    <x v="8"/>
    <x v="2"/>
  </r>
  <r>
    <x v="238"/>
    <x v="3"/>
    <x v="4"/>
    <n v="2"/>
    <n v="2899.99"/>
    <n v="7.0000000000000007E-2"/>
    <n v="5799.98"/>
    <m/>
    <x v="4"/>
    <x v="2"/>
  </r>
  <r>
    <x v="239"/>
    <x v="0"/>
    <x v="11"/>
    <n v="1"/>
    <n v="2999.99"/>
    <n v="7.0000000000000007E-2"/>
    <n v="2999.99"/>
    <m/>
    <x v="10"/>
    <x v="1"/>
  </r>
  <r>
    <x v="239"/>
    <x v="1"/>
    <x v="1"/>
    <n v="1"/>
    <n v="1799.99"/>
    <n v="7.0000000000000007E-2"/>
    <n v="1799.99"/>
    <m/>
    <x v="1"/>
    <x v="1"/>
  </r>
  <r>
    <x v="239"/>
    <x v="2"/>
    <x v="21"/>
    <n v="1"/>
    <n v="1320.99"/>
    <n v="7.0000000000000007E-2"/>
    <n v="1320.99"/>
    <m/>
    <x v="18"/>
    <x v="1"/>
  </r>
  <r>
    <x v="239"/>
    <x v="3"/>
    <x v="9"/>
    <n v="2"/>
    <n v="449"/>
    <n v="7.0000000000000007E-2"/>
    <n v="898"/>
    <m/>
    <x v="8"/>
    <x v="1"/>
  </r>
  <r>
    <x v="240"/>
    <x v="0"/>
    <x v="14"/>
    <n v="1"/>
    <n v="3999.99"/>
    <n v="0.2"/>
    <n v="3999.99"/>
    <m/>
    <x v="13"/>
    <x v="1"/>
  </r>
  <r>
    <x v="241"/>
    <x v="0"/>
    <x v="5"/>
    <n v="1"/>
    <n v="999.99"/>
    <n v="0.2"/>
    <n v="999.99"/>
    <m/>
    <x v="5"/>
    <x v="1"/>
  </r>
  <r>
    <x v="242"/>
    <x v="0"/>
    <x v="22"/>
    <n v="2"/>
    <n v="499.99"/>
    <n v="0.05"/>
    <n v="999.98"/>
    <m/>
    <x v="19"/>
    <x v="2"/>
  </r>
  <r>
    <x v="242"/>
    <x v="1"/>
    <x v="23"/>
    <n v="2"/>
    <n v="449"/>
    <n v="7.0000000000000007E-2"/>
    <n v="898"/>
    <m/>
    <x v="20"/>
    <x v="2"/>
  </r>
  <r>
    <x v="242"/>
    <x v="2"/>
    <x v="14"/>
    <n v="2"/>
    <n v="3999.99"/>
    <n v="0.05"/>
    <n v="7999.98"/>
    <m/>
    <x v="13"/>
    <x v="2"/>
  </r>
  <r>
    <x v="243"/>
    <x v="0"/>
    <x v="23"/>
    <n v="1"/>
    <n v="449"/>
    <n v="7.0000000000000007E-2"/>
    <n v="449"/>
    <m/>
    <x v="20"/>
    <x v="1"/>
  </r>
  <r>
    <x v="243"/>
    <x v="1"/>
    <x v="22"/>
    <n v="1"/>
    <n v="499.99"/>
    <n v="0.2"/>
    <n v="499.99"/>
    <m/>
    <x v="19"/>
    <x v="1"/>
  </r>
  <r>
    <x v="243"/>
    <x v="2"/>
    <x v="13"/>
    <n v="1"/>
    <n v="269.99"/>
    <n v="0.1"/>
    <n v="269.99"/>
    <m/>
    <x v="12"/>
    <x v="1"/>
  </r>
  <r>
    <x v="244"/>
    <x v="0"/>
    <x v="2"/>
    <n v="2"/>
    <n v="1549"/>
    <n v="0.05"/>
    <n v="3098"/>
    <m/>
    <x v="2"/>
    <x v="1"/>
  </r>
  <r>
    <x v="244"/>
    <x v="1"/>
    <x v="1"/>
    <n v="1"/>
    <n v="1799.99"/>
    <n v="0.1"/>
    <n v="1799.99"/>
    <m/>
    <x v="1"/>
    <x v="1"/>
  </r>
  <r>
    <x v="245"/>
    <x v="0"/>
    <x v="7"/>
    <n v="2"/>
    <n v="429"/>
    <n v="0.2"/>
    <n v="858"/>
    <m/>
    <x v="7"/>
    <x v="1"/>
  </r>
  <r>
    <x v="246"/>
    <x v="0"/>
    <x v="22"/>
    <n v="1"/>
    <n v="499.99"/>
    <n v="7.0000000000000007E-2"/>
    <n v="499.99"/>
    <m/>
    <x v="19"/>
    <x v="0"/>
  </r>
  <r>
    <x v="246"/>
    <x v="1"/>
    <x v="5"/>
    <n v="1"/>
    <n v="999.99"/>
    <n v="0.2"/>
    <n v="999.99"/>
    <m/>
    <x v="5"/>
    <x v="0"/>
  </r>
  <r>
    <x v="247"/>
    <x v="0"/>
    <x v="17"/>
    <n v="1"/>
    <n v="269.99"/>
    <n v="0.1"/>
    <n v="269.99"/>
    <m/>
    <x v="15"/>
    <x v="1"/>
  </r>
  <r>
    <x v="247"/>
    <x v="1"/>
    <x v="8"/>
    <n v="2"/>
    <n v="599.99"/>
    <n v="0.1"/>
    <n v="1199.98"/>
    <m/>
    <x v="3"/>
    <x v="1"/>
  </r>
  <r>
    <x v="247"/>
    <x v="2"/>
    <x v="7"/>
    <n v="1"/>
    <n v="429"/>
    <n v="0.1"/>
    <n v="429"/>
    <m/>
    <x v="7"/>
    <x v="1"/>
  </r>
  <r>
    <x v="247"/>
    <x v="3"/>
    <x v="11"/>
    <n v="1"/>
    <n v="2999.99"/>
    <n v="0.2"/>
    <n v="2999.99"/>
    <m/>
    <x v="10"/>
    <x v="1"/>
  </r>
  <r>
    <x v="248"/>
    <x v="0"/>
    <x v="14"/>
    <n v="2"/>
    <n v="3999.99"/>
    <n v="0.05"/>
    <n v="7999.98"/>
    <m/>
    <x v="13"/>
    <x v="1"/>
  </r>
  <r>
    <x v="248"/>
    <x v="1"/>
    <x v="9"/>
    <n v="2"/>
    <n v="449"/>
    <n v="0.05"/>
    <n v="898"/>
    <m/>
    <x v="8"/>
    <x v="1"/>
  </r>
  <r>
    <x v="248"/>
    <x v="2"/>
    <x v="13"/>
    <n v="1"/>
    <n v="269.99"/>
    <n v="0.1"/>
    <n v="269.99"/>
    <m/>
    <x v="12"/>
    <x v="1"/>
  </r>
  <r>
    <x v="249"/>
    <x v="0"/>
    <x v="7"/>
    <n v="2"/>
    <n v="429"/>
    <n v="0.05"/>
    <n v="858"/>
    <m/>
    <x v="7"/>
    <x v="1"/>
  </r>
  <r>
    <x v="249"/>
    <x v="1"/>
    <x v="16"/>
    <n v="2"/>
    <n v="1680.99"/>
    <n v="0.1"/>
    <n v="3361.98"/>
    <m/>
    <x v="14"/>
    <x v="1"/>
  </r>
  <r>
    <x v="250"/>
    <x v="0"/>
    <x v="19"/>
    <n v="2"/>
    <n v="299.99"/>
    <n v="0.2"/>
    <n v="599.98"/>
    <m/>
    <x v="17"/>
    <x v="1"/>
  </r>
  <r>
    <x v="250"/>
    <x v="1"/>
    <x v="13"/>
    <n v="2"/>
    <n v="269.99"/>
    <n v="0.05"/>
    <n v="539.98"/>
    <m/>
    <x v="12"/>
    <x v="1"/>
  </r>
  <r>
    <x v="251"/>
    <x v="0"/>
    <x v="16"/>
    <n v="2"/>
    <n v="1680.99"/>
    <n v="0.1"/>
    <n v="3361.98"/>
    <m/>
    <x v="14"/>
    <x v="2"/>
  </r>
  <r>
    <x v="251"/>
    <x v="1"/>
    <x v="4"/>
    <n v="1"/>
    <n v="2899.99"/>
    <n v="7.0000000000000007E-2"/>
    <n v="2899.99"/>
    <m/>
    <x v="4"/>
    <x v="2"/>
  </r>
  <r>
    <x v="251"/>
    <x v="2"/>
    <x v="23"/>
    <n v="1"/>
    <n v="449"/>
    <n v="0.1"/>
    <n v="449"/>
    <m/>
    <x v="20"/>
    <x v="2"/>
  </r>
  <r>
    <x v="252"/>
    <x v="0"/>
    <x v="16"/>
    <n v="2"/>
    <n v="1680.99"/>
    <n v="7.0000000000000007E-2"/>
    <n v="3361.98"/>
    <m/>
    <x v="14"/>
    <x v="1"/>
  </r>
  <r>
    <x v="253"/>
    <x v="0"/>
    <x v="18"/>
    <n v="2"/>
    <n v="469.99"/>
    <n v="7.0000000000000007E-2"/>
    <n v="939.98"/>
    <m/>
    <x v="16"/>
    <x v="1"/>
  </r>
  <r>
    <x v="253"/>
    <x v="1"/>
    <x v="5"/>
    <n v="1"/>
    <n v="999.99"/>
    <n v="0.05"/>
    <n v="999.99"/>
    <m/>
    <x v="5"/>
    <x v="1"/>
  </r>
  <r>
    <x v="253"/>
    <x v="2"/>
    <x v="10"/>
    <n v="1"/>
    <n v="549.99"/>
    <n v="0.05"/>
    <n v="549.99"/>
    <m/>
    <x v="9"/>
    <x v="1"/>
  </r>
  <r>
    <x v="254"/>
    <x v="0"/>
    <x v="21"/>
    <n v="2"/>
    <n v="1320.99"/>
    <n v="0.1"/>
    <n v="2641.98"/>
    <m/>
    <x v="18"/>
    <x v="1"/>
  </r>
  <r>
    <x v="254"/>
    <x v="1"/>
    <x v="15"/>
    <n v="1"/>
    <n v="269.99"/>
    <n v="0.2"/>
    <n v="269.99"/>
    <m/>
    <x v="12"/>
    <x v="1"/>
  </r>
  <r>
    <x v="254"/>
    <x v="2"/>
    <x v="6"/>
    <n v="2"/>
    <n v="749.99"/>
    <n v="0.2"/>
    <n v="1499.98"/>
    <m/>
    <x v="6"/>
    <x v="1"/>
  </r>
  <r>
    <x v="254"/>
    <x v="3"/>
    <x v="20"/>
    <n v="1"/>
    <n v="269.99"/>
    <n v="7.0000000000000007E-2"/>
    <n v="269.99"/>
    <m/>
    <x v="15"/>
    <x v="1"/>
  </r>
  <r>
    <x v="255"/>
    <x v="0"/>
    <x v="16"/>
    <n v="1"/>
    <n v="1680.99"/>
    <n v="0.1"/>
    <n v="1680.99"/>
    <m/>
    <x v="14"/>
    <x v="1"/>
  </r>
  <r>
    <x v="255"/>
    <x v="1"/>
    <x v="20"/>
    <n v="1"/>
    <n v="269.99"/>
    <n v="0.05"/>
    <n v="269.99"/>
    <m/>
    <x v="15"/>
    <x v="1"/>
  </r>
  <r>
    <x v="256"/>
    <x v="0"/>
    <x v="1"/>
    <n v="2"/>
    <n v="1799.99"/>
    <n v="7.0000000000000007E-2"/>
    <n v="3599.98"/>
    <m/>
    <x v="1"/>
    <x v="0"/>
  </r>
  <r>
    <x v="256"/>
    <x v="1"/>
    <x v="17"/>
    <n v="2"/>
    <n v="269.99"/>
    <n v="0.2"/>
    <n v="539.98"/>
    <m/>
    <x v="15"/>
    <x v="0"/>
  </r>
  <r>
    <x v="256"/>
    <x v="2"/>
    <x v="2"/>
    <n v="2"/>
    <n v="1549"/>
    <n v="0.1"/>
    <n v="3098"/>
    <m/>
    <x v="2"/>
    <x v="0"/>
  </r>
  <r>
    <x v="256"/>
    <x v="3"/>
    <x v="12"/>
    <n v="1"/>
    <n v="529.99"/>
    <n v="0.1"/>
    <n v="529.99"/>
    <m/>
    <x v="11"/>
    <x v="0"/>
  </r>
  <r>
    <x v="257"/>
    <x v="0"/>
    <x v="1"/>
    <n v="2"/>
    <n v="1799.99"/>
    <n v="0.05"/>
    <n v="3599.98"/>
    <m/>
    <x v="1"/>
    <x v="1"/>
  </r>
  <r>
    <x v="257"/>
    <x v="1"/>
    <x v="4"/>
    <n v="1"/>
    <n v="2899.99"/>
    <n v="7.0000000000000007E-2"/>
    <n v="2899.99"/>
    <m/>
    <x v="4"/>
    <x v="1"/>
  </r>
  <r>
    <x v="257"/>
    <x v="2"/>
    <x v="23"/>
    <n v="1"/>
    <n v="449"/>
    <n v="7.0000000000000007E-2"/>
    <n v="449"/>
    <m/>
    <x v="20"/>
    <x v="1"/>
  </r>
  <r>
    <x v="257"/>
    <x v="3"/>
    <x v="9"/>
    <n v="1"/>
    <n v="449"/>
    <n v="0.05"/>
    <n v="449"/>
    <m/>
    <x v="8"/>
    <x v="1"/>
  </r>
  <r>
    <x v="258"/>
    <x v="0"/>
    <x v="8"/>
    <n v="1"/>
    <n v="599.99"/>
    <n v="0.05"/>
    <n v="599.99"/>
    <m/>
    <x v="3"/>
    <x v="1"/>
  </r>
  <r>
    <x v="258"/>
    <x v="1"/>
    <x v="18"/>
    <n v="2"/>
    <n v="469.99"/>
    <n v="0.1"/>
    <n v="939.98"/>
    <m/>
    <x v="16"/>
    <x v="1"/>
  </r>
  <r>
    <x v="258"/>
    <x v="2"/>
    <x v="6"/>
    <n v="2"/>
    <n v="749.99"/>
    <n v="0.2"/>
    <n v="1499.98"/>
    <m/>
    <x v="6"/>
    <x v="1"/>
  </r>
  <r>
    <x v="258"/>
    <x v="3"/>
    <x v="4"/>
    <n v="1"/>
    <n v="2899.99"/>
    <n v="0.1"/>
    <n v="2899.99"/>
    <m/>
    <x v="4"/>
    <x v="1"/>
  </r>
  <r>
    <x v="259"/>
    <x v="0"/>
    <x v="19"/>
    <n v="2"/>
    <n v="299.99"/>
    <n v="0.2"/>
    <n v="599.98"/>
    <m/>
    <x v="17"/>
    <x v="1"/>
  </r>
  <r>
    <x v="259"/>
    <x v="1"/>
    <x v="2"/>
    <n v="1"/>
    <n v="1549"/>
    <n v="0.2"/>
    <n v="1549"/>
    <m/>
    <x v="2"/>
    <x v="1"/>
  </r>
  <r>
    <x v="259"/>
    <x v="2"/>
    <x v="24"/>
    <n v="2"/>
    <n v="549.99"/>
    <n v="0.2"/>
    <n v="1099.98"/>
    <m/>
    <x v="9"/>
    <x v="1"/>
  </r>
  <r>
    <x v="260"/>
    <x v="0"/>
    <x v="3"/>
    <n v="2"/>
    <n v="599.99"/>
    <n v="0.05"/>
    <n v="1199.98"/>
    <m/>
    <x v="3"/>
    <x v="0"/>
  </r>
  <r>
    <x v="260"/>
    <x v="1"/>
    <x v="15"/>
    <n v="1"/>
    <n v="269.99"/>
    <n v="0.1"/>
    <n v="269.99"/>
    <m/>
    <x v="12"/>
    <x v="0"/>
  </r>
  <r>
    <x v="260"/>
    <x v="2"/>
    <x v="7"/>
    <n v="2"/>
    <n v="429"/>
    <n v="0.1"/>
    <n v="858"/>
    <m/>
    <x v="7"/>
    <x v="0"/>
  </r>
  <r>
    <x v="261"/>
    <x v="0"/>
    <x v="6"/>
    <n v="1"/>
    <n v="749.99"/>
    <n v="7.0000000000000007E-2"/>
    <n v="749.99"/>
    <m/>
    <x v="6"/>
    <x v="2"/>
  </r>
  <r>
    <x v="261"/>
    <x v="1"/>
    <x v="11"/>
    <n v="2"/>
    <n v="2999.99"/>
    <n v="0.05"/>
    <n v="5999.98"/>
    <m/>
    <x v="10"/>
    <x v="2"/>
  </r>
  <r>
    <x v="262"/>
    <x v="0"/>
    <x v="11"/>
    <n v="1"/>
    <n v="2999.99"/>
    <n v="7.0000000000000007E-2"/>
    <n v="2999.99"/>
    <m/>
    <x v="10"/>
    <x v="1"/>
  </r>
  <r>
    <x v="262"/>
    <x v="1"/>
    <x v="5"/>
    <n v="1"/>
    <n v="999.99"/>
    <n v="0.2"/>
    <n v="999.99"/>
    <m/>
    <x v="5"/>
    <x v="1"/>
  </r>
  <r>
    <x v="262"/>
    <x v="2"/>
    <x v="6"/>
    <n v="2"/>
    <n v="749.99"/>
    <n v="0.05"/>
    <n v="1499.98"/>
    <m/>
    <x v="6"/>
    <x v="1"/>
  </r>
  <r>
    <x v="263"/>
    <x v="0"/>
    <x v="2"/>
    <n v="1"/>
    <n v="1549"/>
    <n v="0.2"/>
    <n v="1549"/>
    <m/>
    <x v="2"/>
    <x v="0"/>
  </r>
  <r>
    <x v="263"/>
    <x v="1"/>
    <x v="24"/>
    <n v="2"/>
    <n v="549.99"/>
    <n v="0.05"/>
    <n v="1099.98"/>
    <m/>
    <x v="9"/>
    <x v="0"/>
  </r>
  <r>
    <x v="263"/>
    <x v="2"/>
    <x v="12"/>
    <n v="2"/>
    <n v="529.99"/>
    <n v="0.1"/>
    <n v="1059.98"/>
    <m/>
    <x v="11"/>
    <x v="0"/>
  </r>
  <r>
    <x v="263"/>
    <x v="3"/>
    <x v="5"/>
    <n v="2"/>
    <n v="999.99"/>
    <n v="7.0000000000000007E-2"/>
    <n v="1999.98"/>
    <m/>
    <x v="5"/>
    <x v="0"/>
  </r>
  <r>
    <x v="264"/>
    <x v="0"/>
    <x v="11"/>
    <n v="2"/>
    <n v="2999.99"/>
    <n v="0.2"/>
    <n v="5999.98"/>
    <m/>
    <x v="10"/>
    <x v="1"/>
  </r>
  <r>
    <x v="265"/>
    <x v="0"/>
    <x v="18"/>
    <n v="2"/>
    <n v="469.99"/>
    <n v="7.0000000000000007E-2"/>
    <n v="939.98"/>
    <m/>
    <x v="16"/>
    <x v="1"/>
  </r>
  <r>
    <x v="265"/>
    <x v="1"/>
    <x v="23"/>
    <n v="1"/>
    <n v="449"/>
    <n v="0.2"/>
    <n v="449"/>
    <m/>
    <x v="20"/>
    <x v="1"/>
  </r>
  <r>
    <x v="265"/>
    <x v="2"/>
    <x v="22"/>
    <n v="1"/>
    <n v="499.99"/>
    <n v="0.05"/>
    <n v="499.99"/>
    <m/>
    <x v="19"/>
    <x v="1"/>
  </r>
  <r>
    <x v="266"/>
    <x v="0"/>
    <x v="13"/>
    <n v="2"/>
    <n v="269.99"/>
    <n v="0.2"/>
    <n v="539.98"/>
    <m/>
    <x v="12"/>
    <x v="0"/>
  </r>
  <r>
    <x v="266"/>
    <x v="1"/>
    <x v="19"/>
    <n v="2"/>
    <n v="299.99"/>
    <n v="0.1"/>
    <n v="599.98"/>
    <m/>
    <x v="17"/>
    <x v="0"/>
  </r>
  <r>
    <x v="266"/>
    <x v="2"/>
    <x v="24"/>
    <n v="1"/>
    <n v="549.99"/>
    <n v="0.1"/>
    <n v="549.99"/>
    <m/>
    <x v="9"/>
    <x v="0"/>
  </r>
  <r>
    <x v="266"/>
    <x v="3"/>
    <x v="14"/>
    <n v="2"/>
    <n v="3999.99"/>
    <n v="7.0000000000000007E-2"/>
    <n v="7999.98"/>
    <m/>
    <x v="13"/>
    <x v="0"/>
  </r>
  <r>
    <x v="266"/>
    <x v="4"/>
    <x v="20"/>
    <n v="1"/>
    <n v="269.99"/>
    <n v="0.05"/>
    <n v="269.99"/>
    <m/>
    <x v="15"/>
    <x v="0"/>
  </r>
  <r>
    <x v="267"/>
    <x v="0"/>
    <x v="14"/>
    <n v="1"/>
    <n v="3999.99"/>
    <n v="0.05"/>
    <n v="3999.99"/>
    <m/>
    <x v="13"/>
    <x v="0"/>
  </r>
  <r>
    <x v="267"/>
    <x v="1"/>
    <x v="18"/>
    <n v="2"/>
    <n v="469.99"/>
    <n v="0.2"/>
    <n v="939.98"/>
    <m/>
    <x v="16"/>
    <x v="0"/>
  </r>
  <r>
    <x v="267"/>
    <x v="2"/>
    <x v="11"/>
    <n v="1"/>
    <n v="2999.99"/>
    <n v="0.1"/>
    <n v="2999.99"/>
    <m/>
    <x v="10"/>
    <x v="0"/>
  </r>
  <r>
    <x v="268"/>
    <x v="0"/>
    <x v="21"/>
    <n v="1"/>
    <n v="1320.99"/>
    <n v="7.0000000000000007E-2"/>
    <n v="1320.99"/>
    <m/>
    <x v="18"/>
    <x v="1"/>
  </r>
  <r>
    <x v="268"/>
    <x v="1"/>
    <x v="19"/>
    <n v="2"/>
    <n v="299.99"/>
    <n v="7.0000000000000007E-2"/>
    <n v="599.98"/>
    <m/>
    <x v="17"/>
    <x v="1"/>
  </r>
  <r>
    <x v="268"/>
    <x v="2"/>
    <x v="9"/>
    <n v="1"/>
    <n v="449"/>
    <n v="0.05"/>
    <n v="449"/>
    <m/>
    <x v="8"/>
    <x v="1"/>
  </r>
  <r>
    <x v="268"/>
    <x v="3"/>
    <x v="5"/>
    <n v="1"/>
    <n v="999.99"/>
    <n v="0.05"/>
    <n v="999.99"/>
    <m/>
    <x v="5"/>
    <x v="1"/>
  </r>
  <r>
    <x v="269"/>
    <x v="0"/>
    <x v="22"/>
    <n v="2"/>
    <n v="499.99"/>
    <n v="0.2"/>
    <n v="999.98"/>
    <m/>
    <x v="19"/>
    <x v="1"/>
  </r>
  <r>
    <x v="269"/>
    <x v="1"/>
    <x v="12"/>
    <n v="1"/>
    <n v="529.99"/>
    <n v="0.1"/>
    <n v="529.99"/>
    <m/>
    <x v="11"/>
    <x v="1"/>
  </r>
  <r>
    <x v="270"/>
    <x v="0"/>
    <x v="16"/>
    <n v="2"/>
    <n v="1680.99"/>
    <n v="7.0000000000000007E-2"/>
    <n v="3361.98"/>
    <m/>
    <x v="14"/>
    <x v="1"/>
  </r>
  <r>
    <x v="270"/>
    <x v="1"/>
    <x v="18"/>
    <n v="2"/>
    <n v="469.99"/>
    <n v="0.05"/>
    <n v="939.98"/>
    <m/>
    <x v="16"/>
    <x v="1"/>
  </r>
  <r>
    <x v="270"/>
    <x v="2"/>
    <x v="17"/>
    <n v="1"/>
    <n v="269.99"/>
    <n v="0.1"/>
    <n v="269.99"/>
    <m/>
    <x v="15"/>
    <x v="1"/>
  </r>
  <r>
    <x v="270"/>
    <x v="3"/>
    <x v="14"/>
    <n v="2"/>
    <n v="3999.99"/>
    <n v="0.1"/>
    <n v="7999.98"/>
    <m/>
    <x v="13"/>
    <x v="1"/>
  </r>
  <r>
    <x v="271"/>
    <x v="0"/>
    <x v="6"/>
    <n v="2"/>
    <n v="749.99"/>
    <n v="7.0000000000000007E-2"/>
    <n v="1499.98"/>
    <m/>
    <x v="6"/>
    <x v="1"/>
  </r>
  <r>
    <x v="271"/>
    <x v="1"/>
    <x v="16"/>
    <n v="1"/>
    <n v="1680.99"/>
    <n v="7.0000000000000007E-2"/>
    <n v="1680.99"/>
    <m/>
    <x v="14"/>
    <x v="1"/>
  </r>
  <r>
    <x v="272"/>
    <x v="0"/>
    <x v="20"/>
    <n v="1"/>
    <n v="269.99"/>
    <n v="0.1"/>
    <n v="269.99"/>
    <m/>
    <x v="15"/>
    <x v="1"/>
  </r>
  <r>
    <x v="273"/>
    <x v="0"/>
    <x v="16"/>
    <n v="2"/>
    <n v="1680.99"/>
    <n v="0.05"/>
    <n v="3361.98"/>
    <m/>
    <x v="14"/>
    <x v="1"/>
  </r>
  <r>
    <x v="273"/>
    <x v="1"/>
    <x v="22"/>
    <n v="2"/>
    <n v="499.99"/>
    <n v="0.1"/>
    <n v="999.98"/>
    <m/>
    <x v="19"/>
    <x v="1"/>
  </r>
  <r>
    <x v="273"/>
    <x v="2"/>
    <x v="11"/>
    <n v="2"/>
    <n v="2999.99"/>
    <n v="7.0000000000000007E-2"/>
    <n v="5999.98"/>
    <m/>
    <x v="10"/>
    <x v="1"/>
  </r>
  <r>
    <x v="274"/>
    <x v="0"/>
    <x v="9"/>
    <n v="1"/>
    <n v="449"/>
    <n v="0.05"/>
    <n v="449"/>
    <m/>
    <x v="8"/>
    <x v="1"/>
  </r>
  <r>
    <x v="274"/>
    <x v="1"/>
    <x v="22"/>
    <n v="1"/>
    <n v="499.99"/>
    <n v="0.1"/>
    <n v="499.99"/>
    <m/>
    <x v="19"/>
    <x v="1"/>
  </r>
  <r>
    <x v="274"/>
    <x v="2"/>
    <x v="14"/>
    <n v="2"/>
    <n v="3999.99"/>
    <n v="0.05"/>
    <n v="7999.98"/>
    <m/>
    <x v="13"/>
    <x v="1"/>
  </r>
  <r>
    <x v="275"/>
    <x v="0"/>
    <x v="5"/>
    <n v="2"/>
    <n v="999.99"/>
    <n v="0.2"/>
    <n v="1999.98"/>
    <m/>
    <x v="5"/>
    <x v="1"/>
  </r>
  <r>
    <x v="275"/>
    <x v="1"/>
    <x v="7"/>
    <n v="1"/>
    <n v="429"/>
    <n v="0.05"/>
    <n v="429"/>
    <m/>
    <x v="7"/>
    <x v="1"/>
  </r>
  <r>
    <x v="275"/>
    <x v="2"/>
    <x v="11"/>
    <n v="2"/>
    <n v="2999.99"/>
    <n v="7.0000000000000007E-2"/>
    <n v="5999.98"/>
    <m/>
    <x v="10"/>
    <x v="1"/>
  </r>
  <r>
    <x v="276"/>
    <x v="0"/>
    <x v="0"/>
    <n v="2"/>
    <n v="599.99"/>
    <n v="0.2"/>
    <n v="1199.98"/>
    <m/>
    <x v="0"/>
    <x v="1"/>
  </r>
  <r>
    <x v="276"/>
    <x v="1"/>
    <x v="18"/>
    <n v="2"/>
    <n v="469.99"/>
    <n v="0.2"/>
    <n v="939.98"/>
    <m/>
    <x v="16"/>
    <x v="1"/>
  </r>
  <r>
    <x v="276"/>
    <x v="2"/>
    <x v="17"/>
    <n v="2"/>
    <n v="269.99"/>
    <n v="0.1"/>
    <n v="539.98"/>
    <m/>
    <x v="15"/>
    <x v="1"/>
  </r>
  <r>
    <x v="277"/>
    <x v="0"/>
    <x v="3"/>
    <n v="1"/>
    <n v="599.99"/>
    <n v="0.2"/>
    <n v="599.99"/>
    <m/>
    <x v="3"/>
    <x v="0"/>
  </r>
  <r>
    <x v="277"/>
    <x v="1"/>
    <x v="23"/>
    <n v="2"/>
    <n v="449"/>
    <n v="7.0000000000000007E-2"/>
    <n v="898"/>
    <m/>
    <x v="20"/>
    <x v="0"/>
  </r>
  <r>
    <x v="277"/>
    <x v="2"/>
    <x v="17"/>
    <n v="1"/>
    <n v="269.99"/>
    <n v="7.0000000000000007E-2"/>
    <n v="269.99"/>
    <m/>
    <x v="15"/>
    <x v="0"/>
  </r>
  <r>
    <x v="277"/>
    <x v="3"/>
    <x v="16"/>
    <n v="2"/>
    <n v="1680.99"/>
    <n v="7.0000000000000007E-2"/>
    <n v="3361.98"/>
    <m/>
    <x v="14"/>
    <x v="0"/>
  </r>
  <r>
    <x v="278"/>
    <x v="0"/>
    <x v="22"/>
    <n v="1"/>
    <n v="499.99"/>
    <n v="7.0000000000000007E-2"/>
    <n v="499.99"/>
    <m/>
    <x v="19"/>
    <x v="1"/>
  </r>
  <r>
    <x v="279"/>
    <x v="0"/>
    <x v="22"/>
    <n v="1"/>
    <n v="499.99"/>
    <n v="7.0000000000000007E-2"/>
    <n v="499.99"/>
    <m/>
    <x v="19"/>
    <x v="1"/>
  </r>
  <r>
    <x v="279"/>
    <x v="1"/>
    <x v="8"/>
    <n v="2"/>
    <n v="599.99"/>
    <n v="7.0000000000000007E-2"/>
    <n v="1199.98"/>
    <m/>
    <x v="3"/>
    <x v="1"/>
  </r>
  <r>
    <x v="279"/>
    <x v="2"/>
    <x v="17"/>
    <n v="1"/>
    <n v="269.99"/>
    <n v="7.0000000000000007E-2"/>
    <n v="269.99"/>
    <m/>
    <x v="15"/>
    <x v="1"/>
  </r>
  <r>
    <x v="280"/>
    <x v="0"/>
    <x v="13"/>
    <n v="1"/>
    <n v="269.99"/>
    <n v="7.0000000000000007E-2"/>
    <n v="269.99"/>
    <m/>
    <x v="12"/>
    <x v="1"/>
  </r>
  <r>
    <x v="280"/>
    <x v="1"/>
    <x v="15"/>
    <n v="2"/>
    <n v="269.99"/>
    <n v="0.1"/>
    <n v="539.98"/>
    <m/>
    <x v="12"/>
    <x v="1"/>
  </r>
  <r>
    <x v="280"/>
    <x v="2"/>
    <x v="14"/>
    <n v="2"/>
    <n v="3999.99"/>
    <n v="7.0000000000000007E-2"/>
    <n v="7999.98"/>
    <m/>
    <x v="13"/>
    <x v="1"/>
  </r>
  <r>
    <x v="281"/>
    <x v="0"/>
    <x v="0"/>
    <n v="1"/>
    <n v="599.99"/>
    <n v="7.0000000000000007E-2"/>
    <n v="599.99"/>
    <m/>
    <x v="0"/>
    <x v="2"/>
  </r>
  <r>
    <x v="281"/>
    <x v="1"/>
    <x v="14"/>
    <n v="2"/>
    <n v="3999.99"/>
    <n v="7.0000000000000007E-2"/>
    <n v="7999.98"/>
    <m/>
    <x v="13"/>
    <x v="2"/>
  </r>
  <r>
    <x v="281"/>
    <x v="2"/>
    <x v="5"/>
    <n v="2"/>
    <n v="999.99"/>
    <n v="0.05"/>
    <n v="1999.98"/>
    <m/>
    <x v="5"/>
    <x v="2"/>
  </r>
  <r>
    <x v="281"/>
    <x v="3"/>
    <x v="3"/>
    <n v="2"/>
    <n v="599.99"/>
    <n v="7.0000000000000007E-2"/>
    <n v="1199.98"/>
    <m/>
    <x v="3"/>
    <x v="2"/>
  </r>
  <r>
    <x v="282"/>
    <x v="0"/>
    <x v="11"/>
    <n v="1"/>
    <n v="2999.99"/>
    <n v="0.05"/>
    <n v="2999.99"/>
    <m/>
    <x v="10"/>
    <x v="0"/>
  </r>
  <r>
    <x v="282"/>
    <x v="1"/>
    <x v="3"/>
    <n v="2"/>
    <n v="599.99"/>
    <n v="0.2"/>
    <n v="1199.98"/>
    <m/>
    <x v="3"/>
    <x v="0"/>
  </r>
  <r>
    <x v="283"/>
    <x v="0"/>
    <x v="24"/>
    <n v="2"/>
    <n v="549.99"/>
    <n v="0.2"/>
    <n v="1099.98"/>
    <m/>
    <x v="9"/>
    <x v="1"/>
  </r>
  <r>
    <x v="283"/>
    <x v="1"/>
    <x v="0"/>
    <n v="1"/>
    <n v="599.99"/>
    <n v="0.2"/>
    <n v="599.99"/>
    <m/>
    <x v="0"/>
    <x v="1"/>
  </r>
  <r>
    <x v="284"/>
    <x v="0"/>
    <x v="3"/>
    <n v="2"/>
    <n v="599.99"/>
    <n v="0.05"/>
    <n v="1199.98"/>
    <m/>
    <x v="3"/>
    <x v="0"/>
  </r>
  <r>
    <x v="284"/>
    <x v="1"/>
    <x v="10"/>
    <n v="1"/>
    <n v="549.99"/>
    <n v="0.05"/>
    <n v="549.99"/>
    <m/>
    <x v="9"/>
    <x v="0"/>
  </r>
  <r>
    <x v="284"/>
    <x v="2"/>
    <x v="6"/>
    <n v="1"/>
    <n v="749.99"/>
    <n v="0.1"/>
    <n v="749.99"/>
    <m/>
    <x v="6"/>
    <x v="0"/>
  </r>
  <r>
    <x v="285"/>
    <x v="0"/>
    <x v="8"/>
    <n v="2"/>
    <n v="599.99"/>
    <n v="0.2"/>
    <n v="1199.98"/>
    <m/>
    <x v="3"/>
    <x v="1"/>
  </r>
  <r>
    <x v="285"/>
    <x v="1"/>
    <x v="20"/>
    <n v="2"/>
    <n v="269.99"/>
    <n v="7.0000000000000007E-2"/>
    <n v="539.98"/>
    <m/>
    <x v="15"/>
    <x v="1"/>
  </r>
  <r>
    <x v="285"/>
    <x v="2"/>
    <x v="3"/>
    <n v="2"/>
    <n v="599.99"/>
    <n v="0.1"/>
    <n v="1199.98"/>
    <m/>
    <x v="3"/>
    <x v="1"/>
  </r>
  <r>
    <x v="285"/>
    <x v="3"/>
    <x v="14"/>
    <n v="1"/>
    <n v="3999.99"/>
    <n v="0.1"/>
    <n v="3999.99"/>
    <m/>
    <x v="13"/>
    <x v="1"/>
  </r>
  <r>
    <x v="286"/>
    <x v="0"/>
    <x v="21"/>
    <n v="1"/>
    <n v="1320.99"/>
    <n v="0.2"/>
    <n v="1320.99"/>
    <m/>
    <x v="18"/>
    <x v="1"/>
  </r>
  <r>
    <x v="286"/>
    <x v="1"/>
    <x v="2"/>
    <n v="1"/>
    <n v="1549"/>
    <n v="0.05"/>
    <n v="1549"/>
    <m/>
    <x v="2"/>
    <x v="1"/>
  </r>
  <r>
    <x v="286"/>
    <x v="2"/>
    <x v="6"/>
    <n v="1"/>
    <n v="749.99"/>
    <n v="0.05"/>
    <n v="749.99"/>
    <m/>
    <x v="6"/>
    <x v="1"/>
  </r>
  <r>
    <x v="286"/>
    <x v="3"/>
    <x v="0"/>
    <n v="1"/>
    <n v="599.99"/>
    <n v="0.05"/>
    <n v="599.99"/>
    <m/>
    <x v="0"/>
    <x v="1"/>
  </r>
  <r>
    <x v="287"/>
    <x v="0"/>
    <x v="4"/>
    <n v="1"/>
    <n v="2899.99"/>
    <n v="0.2"/>
    <n v="2899.99"/>
    <m/>
    <x v="4"/>
    <x v="1"/>
  </r>
  <r>
    <x v="287"/>
    <x v="1"/>
    <x v="2"/>
    <n v="1"/>
    <n v="1549"/>
    <n v="0.1"/>
    <n v="1549"/>
    <m/>
    <x v="2"/>
    <x v="1"/>
  </r>
  <r>
    <x v="287"/>
    <x v="2"/>
    <x v="14"/>
    <n v="2"/>
    <n v="3999.99"/>
    <n v="0.05"/>
    <n v="7999.98"/>
    <m/>
    <x v="13"/>
    <x v="1"/>
  </r>
  <r>
    <x v="288"/>
    <x v="0"/>
    <x v="17"/>
    <n v="1"/>
    <n v="269.99"/>
    <n v="7.0000000000000007E-2"/>
    <n v="269.99"/>
    <m/>
    <x v="15"/>
    <x v="1"/>
  </r>
  <r>
    <x v="288"/>
    <x v="1"/>
    <x v="24"/>
    <n v="1"/>
    <n v="549.99"/>
    <n v="0.2"/>
    <n v="549.99"/>
    <m/>
    <x v="9"/>
    <x v="1"/>
  </r>
  <r>
    <x v="288"/>
    <x v="2"/>
    <x v="7"/>
    <n v="1"/>
    <n v="429"/>
    <n v="0.2"/>
    <n v="429"/>
    <m/>
    <x v="7"/>
    <x v="1"/>
  </r>
  <r>
    <x v="289"/>
    <x v="0"/>
    <x v="6"/>
    <n v="2"/>
    <n v="749.99"/>
    <n v="7.0000000000000007E-2"/>
    <n v="1499.98"/>
    <m/>
    <x v="6"/>
    <x v="1"/>
  </r>
  <r>
    <x v="289"/>
    <x v="1"/>
    <x v="21"/>
    <n v="2"/>
    <n v="1320.99"/>
    <n v="7.0000000000000007E-2"/>
    <n v="2641.98"/>
    <m/>
    <x v="18"/>
    <x v="1"/>
  </r>
  <r>
    <x v="289"/>
    <x v="2"/>
    <x v="20"/>
    <n v="1"/>
    <n v="269.99"/>
    <n v="0.1"/>
    <n v="269.99"/>
    <m/>
    <x v="15"/>
    <x v="1"/>
  </r>
  <r>
    <x v="290"/>
    <x v="0"/>
    <x v="18"/>
    <n v="2"/>
    <n v="469.99"/>
    <n v="0.05"/>
    <n v="939.98"/>
    <m/>
    <x v="16"/>
    <x v="1"/>
  </r>
  <r>
    <x v="290"/>
    <x v="1"/>
    <x v="20"/>
    <n v="2"/>
    <n v="269.99"/>
    <n v="7.0000000000000007E-2"/>
    <n v="539.98"/>
    <m/>
    <x v="15"/>
    <x v="1"/>
  </r>
  <r>
    <x v="291"/>
    <x v="0"/>
    <x v="9"/>
    <n v="2"/>
    <n v="449"/>
    <n v="0.1"/>
    <n v="898"/>
    <m/>
    <x v="8"/>
    <x v="2"/>
  </r>
  <r>
    <x v="291"/>
    <x v="1"/>
    <x v="4"/>
    <n v="1"/>
    <n v="2899.99"/>
    <n v="7.0000000000000007E-2"/>
    <n v="2899.99"/>
    <m/>
    <x v="4"/>
    <x v="2"/>
  </r>
  <r>
    <x v="291"/>
    <x v="2"/>
    <x v="2"/>
    <n v="2"/>
    <n v="1549"/>
    <n v="0.05"/>
    <n v="3098"/>
    <m/>
    <x v="2"/>
    <x v="2"/>
  </r>
  <r>
    <x v="292"/>
    <x v="0"/>
    <x v="23"/>
    <n v="2"/>
    <n v="449"/>
    <n v="0.05"/>
    <n v="898"/>
    <m/>
    <x v="20"/>
    <x v="1"/>
  </r>
  <r>
    <x v="292"/>
    <x v="1"/>
    <x v="18"/>
    <n v="1"/>
    <n v="469.99"/>
    <n v="0.2"/>
    <n v="469.99"/>
    <m/>
    <x v="16"/>
    <x v="1"/>
  </r>
  <r>
    <x v="293"/>
    <x v="0"/>
    <x v="9"/>
    <n v="1"/>
    <n v="449"/>
    <n v="0.2"/>
    <n v="449"/>
    <m/>
    <x v="8"/>
    <x v="1"/>
  </r>
  <r>
    <x v="293"/>
    <x v="1"/>
    <x v="15"/>
    <n v="1"/>
    <n v="269.99"/>
    <n v="0.2"/>
    <n v="269.99"/>
    <m/>
    <x v="12"/>
    <x v="1"/>
  </r>
  <r>
    <x v="293"/>
    <x v="2"/>
    <x v="14"/>
    <n v="2"/>
    <n v="3999.99"/>
    <n v="0.05"/>
    <n v="7999.98"/>
    <m/>
    <x v="13"/>
    <x v="1"/>
  </r>
  <r>
    <x v="293"/>
    <x v="3"/>
    <x v="22"/>
    <n v="2"/>
    <n v="499.99"/>
    <n v="0.2"/>
    <n v="999.98"/>
    <m/>
    <x v="19"/>
    <x v="1"/>
  </r>
  <r>
    <x v="294"/>
    <x v="0"/>
    <x v="13"/>
    <n v="2"/>
    <n v="269.99"/>
    <n v="7.0000000000000007E-2"/>
    <n v="539.98"/>
    <m/>
    <x v="12"/>
    <x v="1"/>
  </r>
  <r>
    <x v="295"/>
    <x v="0"/>
    <x v="22"/>
    <n v="2"/>
    <n v="499.99"/>
    <n v="7.0000000000000007E-2"/>
    <n v="999.98"/>
    <m/>
    <x v="19"/>
    <x v="1"/>
  </r>
  <r>
    <x v="295"/>
    <x v="1"/>
    <x v="10"/>
    <n v="2"/>
    <n v="549.99"/>
    <n v="0.1"/>
    <n v="1099.98"/>
    <m/>
    <x v="9"/>
    <x v="1"/>
  </r>
  <r>
    <x v="295"/>
    <x v="2"/>
    <x v="16"/>
    <n v="2"/>
    <n v="1680.99"/>
    <n v="0.1"/>
    <n v="3361.98"/>
    <m/>
    <x v="14"/>
    <x v="1"/>
  </r>
  <r>
    <x v="295"/>
    <x v="3"/>
    <x v="11"/>
    <n v="1"/>
    <n v="2999.99"/>
    <n v="0.2"/>
    <n v="2999.99"/>
    <m/>
    <x v="10"/>
    <x v="1"/>
  </r>
  <r>
    <x v="296"/>
    <x v="0"/>
    <x v="4"/>
    <n v="2"/>
    <n v="2899.99"/>
    <n v="0.2"/>
    <n v="5799.98"/>
    <m/>
    <x v="4"/>
    <x v="1"/>
  </r>
  <r>
    <x v="297"/>
    <x v="0"/>
    <x v="19"/>
    <n v="1"/>
    <n v="299.99"/>
    <n v="0.2"/>
    <n v="299.99"/>
    <m/>
    <x v="17"/>
    <x v="2"/>
  </r>
  <r>
    <x v="297"/>
    <x v="1"/>
    <x v="18"/>
    <n v="2"/>
    <n v="469.99"/>
    <n v="0.05"/>
    <n v="939.98"/>
    <m/>
    <x v="16"/>
    <x v="2"/>
  </r>
  <r>
    <x v="297"/>
    <x v="2"/>
    <x v="13"/>
    <n v="1"/>
    <n v="269.99"/>
    <n v="0.2"/>
    <n v="269.99"/>
    <m/>
    <x v="12"/>
    <x v="2"/>
  </r>
  <r>
    <x v="297"/>
    <x v="3"/>
    <x v="11"/>
    <n v="1"/>
    <n v="2999.99"/>
    <n v="7.0000000000000007E-2"/>
    <n v="2999.99"/>
    <m/>
    <x v="10"/>
    <x v="2"/>
  </r>
  <r>
    <x v="297"/>
    <x v="4"/>
    <x v="15"/>
    <n v="2"/>
    <n v="269.99"/>
    <n v="0.1"/>
    <n v="539.98"/>
    <m/>
    <x v="12"/>
    <x v="2"/>
  </r>
  <r>
    <x v="298"/>
    <x v="0"/>
    <x v="16"/>
    <n v="2"/>
    <n v="1680.99"/>
    <n v="0.05"/>
    <n v="3361.98"/>
    <m/>
    <x v="14"/>
    <x v="1"/>
  </r>
  <r>
    <x v="298"/>
    <x v="1"/>
    <x v="2"/>
    <n v="2"/>
    <n v="1549"/>
    <n v="0.2"/>
    <n v="3098"/>
    <m/>
    <x v="2"/>
    <x v="1"/>
  </r>
  <r>
    <x v="299"/>
    <x v="0"/>
    <x v="3"/>
    <n v="2"/>
    <n v="599.99"/>
    <n v="0.1"/>
    <n v="1199.98"/>
    <m/>
    <x v="3"/>
    <x v="1"/>
  </r>
  <r>
    <x v="299"/>
    <x v="1"/>
    <x v="11"/>
    <n v="2"/>
    <n v="2999.99"/>
    <n v="0.1"/>
    <n v="5999.98"/>
    <m/>
    <x v="10"/>
    <x v="1"/>
  </r>
  <r>
    <x v="299"/>
    <x v="2"/>
    <x v="2"/>
    <n v="1"/>
    <n v="1549"/>
    <n v="0.1"/>
    <n v="1549"/>
    <m/>
    <x v="2"/>
    <x v="1"/>
  </r>
  <r>
    <x v="299"/>
    <x v="3"/>
    <x v="16"/>
    <n v="2"/>
    <n v="1680.99"/>
    <n v="0.2"/>
    <n v="3361.98"/>
    <m/>
    <x v="14"/>
    <x v="1"/>
  </r>
  <r>
    <x v="300"/>
    <x v="0"/>
    <x v="18"/>
    <n v="1"/>
    <n v="469.99"/>
    <n v="0.05"/>
    <n v="469.99"/>
    <m/>
    <x v="16"/>
    <x v="1"/>
  </r>
  <r>
    <x v="300"/>
    <x v="1"/>
    <x v="13"/>
    <n v="1"/>
    <n v="269.99"/>
    <n v="0.1"/>
    <n v="269.99"/>
    <m/>
    <x v="12"/>
    <x v="1"/>
  </r>
  <r>
    <x v="301"/>
    <x v="0"/>
    <x v="24"/>
    <n v="2"/>
    <n v="549.99"/>
    <n v="0.2"/>
    <n v="1099.98"/>
    <m/>
    <x v="9"/>
    <x v="1"/>
  </r>
  <r>
    <x v="301"/>
    <x v="1"/>
    <x v="9"/>
    <n v="2"/>
    <n v="449"/>
    <n v="7.0000000000000007E-2"/>
    <n v="898"/>
    <m/>
    <x v="8"/>
    <x v="1"/>
  </r>
  <r>
    <x v="301"/>
    <x v="2"/>
    <x v="6"/>
    <n v="2"/>
    <n v="749.99"/>
    <n v="0.2"/>
    <n v="1499.98"/>
    <m/>
    <x v="6"/>
    <x v="1"/>
  </r>
  <r>
    <x v="302"/>
    <x v="0"/>
    <x v="1"/>
    <n v="2"/>
    <n v="1799.99"/>
    <n v="0.05"/>
    <n v="3599.98"/>
    <m/>
    <x v="1"/>
    <x v="1"/>
  </r>
  <r>
    <x v="302"/>
    <x v="1"/>
    <x v="24"/>
    <n v="2"/>
    <n v="549.99"/>
    <n v="0.05"/>
    <n v="1099.98"/>
    <m/>
    <x v="9"/>
    <x v="1"/>
  </r>
  <r>
    <x v="303"/>
    <x v="0"/>
    <x v="2"/>
    <n v="1"/>
    <n v="1549"/>
    <n v="0.05"/>
    <n v="1549"/>
    <m/>
    <x v="2"/>
    <x v="1"/>
  </r>
  <r>
    <x v="303"/>
    <x v="1"/>
    <x v="14"/>
    <n v="2"/>
    <n v="3999.99"/>
    <n v="0.1"/>
    <n v="7999.98"/>
    <m/>
    <x v="13"/>
    <x v="1"/>
  </r>
  <r>
    <x v="303"/>
    <x v="2"/>
    <x v="0"/>
    <n v="1"/>
    <n v="599.99"/>
    <n v="0.1"/>
    <n v="599.99"/>
    <m/>
    <x v="0"/>
    <x v="1"/>
  </r>
  <r>
    <x v="304"/>
    <x v="0"/>
    <x v="2"/>
    <n v="1"/>
    <n v="1549"/>
    <n v="7.0000000000000007E-2"/>
    <n v="1549"/>
    <m/>
    <x v="2"/>
    <x v="1"/>
  </r>
  <r>
    <x v="304"/>
    <x v="1"/>
    <x v="18"/>
    <n v="1"/>
    <n v="469.99"/>
    <n v="0.1"/>
    <n v="469.99"/>
    <m/>
    <x v="16"/>
    <x v="1"/>
  </r>
  <r>
    <x v="304"/>
    <x v="2"/>
    <x v="5"/>
    <n v="2"/>
    <n v="999.99"/>
    <n v="0.2"/>
    <n v="1999.98"/>
    <m/>
    <x v="5"/>
    <x v="1"/>
  </r>
  <r>
    <x v="305"/>
    <x v="0"/>
    <x v="2"/>
    <n v="1"/>
    <n v="1549"/>
    <n v="0.2"/>
    <n v="1549"/>
    <m/>
    <x v="2"/>
    <x v="1"/>
  </r>
  <r>
    <x v="305"/>
    <x v="1"/>
    <x v="13"/>
    <n v="1"/>
    <n v="269.99"/>
    <n v="7.0000000000000007E-2"/>
    <n v="269.99"/>
    <m/>
    <x v="12"/>
    <x v="1"/>
  </r>
  <r>
    <x v="306"/>
    <x v="0"/>
    <x v="12"/>
    <n v="2"/>
    <n v="529.99"/>
    <n v="0.05"/>
    <n v="1059.98"/>
    <m/>
    <x v="11"/>
    <x v="1"/>
  </r>
  <r>
    <x v="307"/>
    <x v="0"/>
    <x v="14"/>
    <n v="1"/>
    <n v="3999.99"/>
    <n v="0.1"/>
    <n v="3999.99"/>
    <m/>
    <x v="13"/>
    <x v="1"/>
  </r>
  <r>
    <x v="307"/>
    <x v="1"/>
    <x v="9"/>
    <n v="2"/>
    <n v="449"/>
    <n v="0.2"/>
    <n v="898"/>
    <m/>
    <x v="8"/>
    <x v="1"/>
  </r>
  <r>
    <x v="307"/>
    <x v="2"/>
    <x v="15"/>
    <n v="1"/>
    <n v="269.99"/>
    <n v="0.2"/>
    <n v="269.99"/>
    <m/>
    <x v="12"/>
    <x v="1"/>
  </r>
  <r>
    <x v="308"/>
    <x v="0"/>
    <x v="5"/>
    <n v="1"/>
    <n v="999.99"/>
    <n v="0.05"/>
    <n v="999.99"/>
    <m/>
    <x v="5"/>
    <x v="1"/>
  </r>
  <r>
    <x v="308"/>
    <x v="1"/>
    <x v="10"/>
    <n v="1"/>
    <n v="549.99"/>
    <n v="0.05"/>
    <n v="549.99"/>
    <m/>
    <x v="9"/>
    <x v="1"/>
  </r>
  <r>
    <x v="309"/>
    <x v="0"/>
    <x v="14"/>
    <n v="2"/>
    <n v="3999.99"/>
    <n v="7.0000000000000007E-2"/>
    <n v="7999.98"/>
    <m/>
    <x v="13"/>
    <x v="0"/>
  </r>
  <r>
    <x v="309"/>
    <x v="1"/>
    <x v="15"/>
    <n v="2"/>
    <n v="269.99"/>
    <n v="0.1"/>
    <n v="539.98"/>
    <m/>
    <x v="12"/>
    <x v="0"/>
  </r>
  <r>
    <x v="309"/>
    <x v="2"/>
    <x v="21"/>
    <n v="2"/>
    <n v="1320.99"/>
    <n v="0.2"/>
    <n v="2641.98"/>
    <m/>
    <x v="18"/>
    <x v="0"/>
  </r>
  <r>
    <x v="309"/>
    <x v="3"/>
    <x v="1"/>
    <n v="1"/>
    <n v="1799.99"/>
    <n v="0.2"/>
    <n v="1799.99"/>
    <m/>
    <x v="1"/>
    <x v="0"/>
  </r>
  <r>
    <x v="310"/>
    <x v="0"/>
    <x v="7"/>
    <n v="2"/>
    <n v="429"/>
    <n v="0.05"/>
    <n v="858"/>
    <m/>
    <x v="7"/>
    <x v="1"/>
  </r>
  <r>
    <x v="310"/>
    <x v="1"/>
    <x v="21"/>
    <n v="2"/>
    <n v="1320.99"/>
    <n v="0.2"/>
    <n v="2641.98"/>
    <m/>
    <x v="18"/>
    <x v="1"/>
  </r>
  <r>
    <x v="311"/>
    <x v="0"/>
    <x v="24"/>
    <n v="2"/>
    <n v="549.99"/>
    <n v="0.05"/>
    <n v="1099.98"/>
    <m/>
    <x v="9"/>
    <x v="1"/>
  </r>
  <r>
    <x v="311"/>
    <x v="1"/>
    <x v="15"/>
    <n v="2"/>
    <n v="269.99"/>
    <n v="7.0000000000000007E-2"/>
    <n v="539.98"/>
    <m/>
    <x v="12"/>
    <x v="1"/>
  </r>
  <r>
    <x v="311"/>
    <x v="2"/>
    <x v="3"/>
    <n v="2"/>
    <n v="599.99"/>
    <n v="0.05"/>
    <n v="1199.98"/>
    <m/>
    <x v="3"/>
    <x v="1"/>
  </r>
  <r>
    <x v="312"/>
    <x v="0"/>
    <x v="4"/>
    <n v="1"/>
    <n v="2899.99"/>
    <n v="7.0000000000000007E-2"/>
    <n v="2899.99"/>
    <m/>
    <x v="4"/>
    <x v="2"/>
  </r>
  <r>
    <x v="312"/>
    <x v="1"/>
    <x v="2"/>
    <n v="2"/>
    <n v="1549"/>
    <n v="7.0000000000000007E-2"/>
    <n v="3098"/>
    <m/>
    <x v="2"/>
    <x v="2"/>
  </r>
  <r>
    <x v="313"/>
    <x v="0"/>
    <x v="21"/>
    <n v="1"/>
    <n v="1320.99"/>
    <n v="7.0000000000000007E-2"/>
    <n v="1320.99"/>
    <m/>
    <x v="18"/>
    <x v="1"/>
  </r>
  <r>
    <x v="313"/>
    <x v="1"/>
    <x v="11"/>
    <n v="1"/>
    <n v="2999.99"/>
    <n v="0.05"/>
    <n v="2999.99"/>
    <m/>
    <x v="10"/>
    <x v="1"/>
  </r>
  <r>
    <x v="313"/>
    <x v="2"/>
    <x v="13"/>
    <n v="2"/>
    <n v="269.99"/>
    <n v="0.2"/>
    <n v="539.98"/>
    <m/>
    <x v="12"/>
    <x v="1"/>
  </r>
  <r>
    <x v="313"/>
    <x v="3"/>
    <x v="14"/>
    <n v="2"/>
    <n v="3999.99"/>
    <n v="7.0000000000000007E-2"/>
    <n v="7999.98"/>
    <m/>
    <x v="13"/>
    <x v="1"/>
  </r>
  <r>
    <x v="314"/>
    <x v="0"/>
    <x v="16"/>
    <n v="1"/>
    <n v="1680.99"/>
    <n v="0.2"/>
    <n v="1680.99"/>
    <m/>
    <x v="14"/>
    <x v="1"/>
  </r>
  <r>
    <x v="314"/>
    <x v="1"/>
    <x v="11"/>
    <n v="1"/>
    <n v="2999.99"/>
    <n v="0.1"/>
    <n v="2999.99"/>
    <m/>
    <x v="10"/>
    <x v="1"/>
  </r>
  <r>
    <x v="315"/>
    <x v="0"/>
    <x v="6"/>
    <n v="2"/>
    <n v="749.99"/>
    <n v="0.2"/>
    <n v="1499.98"/>
    <m/>
    <x v="6"/>
    <x v="1"/>
  </r>
  <r>
    <x v="315"/>
    <x v="1"/>
    <x v="3"/>
    <n v="2"/>
    <n v="599.99"/>
    <n v="0.1"/>
    <n v="1199.98"/>
    <m/>
    <x v="3"/>
    <x v="1"/>
  </r>
  <r>
    <x v="315"/>
    <x v="2"/>
    <x v="0"/>
    <n v="1"/>
    <n v="599.99"/>
    <n v="0.1"/>
    <n v="599.99"/>
    <m/>
    <x v="0"/>
    <x v="1"/>
  </r>
  <r>
    <x v="315"/>
    <x v="3"/>
    <x v="23"/>
    <n v="1"/>
    <n v="449"/>
    <n v="0.2"/>
    <n v="449"/>
    <m/>
    <x v="20"/>
    <x v="1"/>
  </r>
  <r>
    <x v="315"/>
    <x v="4"/>
    <x v="7"/>
    <n v="1"/>
    <n v="429"/>
    <n v="0.05"/>
    <n v="429"/>
    <m/>
    <x v="7"/>
    <x v="1"/>
  </r>
  <r>
    <x v="316"/>
    <x v="0"/>
    <x v="2"/>
    <n v="1"/>
    <n v="1549"/>
    <n v="0.2"/>
    <n v="1549"/>
    <m/>
    <x v="2"/>
    <x v="1"/>
  </r>
  <r>
    <x v="316"/>
    <x v="1"/>
    <x v="13"/>
    <n v="1"/>
    <n v="269.99"/>
    <n v="0.05"/>
    <n v="269.99"/>
    <m/>
    <x v="12"/>
    <x v="1"/>
  </r>
  <r>
    <x v="316"/>
    <x v="2"/>
    <x v="12"/>
    <n v="1"/>
    <n v="529.99"/>
    <n v="0.05"/>
    <n v="529.99"/>
    <m/>
    <x v="11"/>
    <x v="1"/>
  </r>
  <r>
    <x v="316"/>
    <x v="3"/>
    <x v="17"/>
    <n v="2"/>
    <n v="269.99"/>
    <n v="0.2"/>
    <n v="539.98"/>
    <m/>
    <x v="15"/>
    <x v="1"/>
  </r>
  <r>
    <x v="317"/>
    <x v="0"/>
    <x v="17"/>
    <n v="2"/>
    <n v="269.99"/>
    <n v="0.1"/>
    <n v="539.98"/>
    <m/>
    <x v="15"/>
    <x v="1"/>
  </r>
  <r>
    <x v="317"/>
    <x v="1"/>
    <x v="22"/>
    <n v="2"/>
    <n v="499.99"/>
    <n v="0.2"/>
    <n v="999.98"/>
    <m/>
    <x v="19"/>
    <x v="1"/>
  </r>
  <r>
    <x v="317"/>
    <x v="2"/>
    <x v="11"/>
    <n v="1"/>
    <n v="2999.99"/>
    <n v="0.05"/>
    <n v="2999.99"/>
    <m/>
    <x v="10"/>
    <x v="1"/>
  </r>
  <r>
    <x v="318"/>
    <x v="0"/>
    <x v="16"/>
    <n v="1"/>
    <n v="1680.99"/>
    <n v="7.0000000000000007E-2"/>
    <n v="1680.99"/>
    <m/>
    <x v="14"/>
    <x v="1"/>
  </r>
  <r>
    <x v="318"/>
    <x v="1"/>
    <x v="20"/>
    <n v="1"/>
    <n v="269.99"/>
    <n v="0.2"/>
    <n v="269.99"/>
    <m/>
    <x v="15"/>
    <x v="1"/>
  </r>
  <r>
    <x v="318"/>
    <x v="2"/>
    <x v="12"/>
    <n v="2"/>
    <n v="529.99"/>
    <n v="0.1"/>
    <n v="1059.98"/>
    <m/>
    <x v="11"/>
    <x v="1"/>
  </r>
  <r>
    <x v="318"/>
    <x v="3"/>
    <x v="19"/>
    <n v="1"/>
    <n v="299.99"/>
    <n v="0.05"/>
    <n v="299.99"/>
    <m/>
    <x v="17"/>
    <x v="1"/>
  </r>
  <r>
    <x v="319"/>
    <x v="0"/>
    <x v="6"/>
    <n v="1"/>
    <n v="749.99"/>
    <n v="0.1"/>
    <n v="749.99"/>
    <m/>
    <x v="6"/>
    <x v="0"/>
  </r>
  <r>
    <x v="320"/>
    <x v="0"/>
    <x v="4"/>
    <n v="2"/>
    <n v="2899.99"/>
    <n v="0.2"/>
    <n v="5799.98"/>
    <m/>
    <x v="4"/>
    <x v="1"/>
  </r>
  <r>
    <x v="320"/>
    <x v="1"/>
    <x v="10"/>
    <n v="2"/>
    <n v="549.99"/>
    <n v="0.2"/>
    <n v="1099.98"/>
    <m/>
    <x v="9"/>
    <x v="1"/>
  </r>
  <r>
    <x v="320"/>
    <x v="2"/>
    <x v="8"/>
    <n v="1"/>
    <n v="599.99"/>
    <n v="0.2"/>
    <n v="599.99"/>
    <m/>
    <x v="3"/>
    <x v="1"/>
  </r>
  <r>
    <x v="320"/>
    <x v="3"/>
    <x v="19"/>
    <n v="2"/>
    <n v="299.99"/>
    <n v="0.2"/>
    <n v="599.98"/>
    <m/>
    <x v="17"/>
    <x v="1"/>
  </r>
  <r>
    <x v="321"/>
    <x v="0"/>
    <x v="17"/>
    <n v="2"/>
    <n v="269.99"/>
    <n v="0.2"/>
    <n v="539.98"/>
    <m/>
    <x v="15"/>
    <x v="1"/>
  </r>
  <r>
    <x v="321"/>
    <x v="1"/>
    <x v="20"/>
    <n v="1"/>
    <n v="269.99"/>
    <n v="7.0000000000000007E-2"/>
    <n v="269.99"/>
    <m/>
    <x v="15"/>
    <x v="1"/>
  </r>
  <r>
    <x v="322"/>
    <x v="0"/>
    <x v="17"/>
    <n v="2"/>
    <n v="269.99"/>
    <n v="7.0000000000000007E-2"/>
    <n v="539.98"/>
    <m/>
    <x v="15"/>
    <x v="1"/>
  </r>
  <r>
    <x v="322"/>
    <x v="1"/>
    <x v="8"/>
    <n v="2"/>
    <n v="599.99"/>
    <n v="0.1"/>
    <n v="1199.98"/>
    <m/>
    <x v="3"/>
    <x v="1"/>
  </r>
  <r>
    <x v="323"/>
    <x v="0"/>
    <x v="6"/>
    <n v="2"/>
    <n v="749.99"/>
    <n v="0.1"/>
    <n v="1499.98"/>
    <m/>
    <x v="6"/>
    <x v="1"/>
  </r>
  <r>
    <x v="323"/>
    <x v="1"/>
    <x v="7"/>
    <n v="1"/>
    <n v="429"/>
    <n v="0.2"/>
    <n v="429"/>
    <m/>
    <x v="7"/>
    <x v="1"/>
  </r>
  <r>
    <x v="323"/>
    <x v="2"/>
    <x v="13"/>
    <n v="2"/>
    <n v="269.99"/>
    <n v="0.2"/>
    <n v="539.98"/>
    <m/>
    <x v="12"/>
    <x v="1"/>
  </r>
  <r>
    <x v="323"/>
    <x v="3"/>
    <x v="23"/>
    <n v="1"/>
    <n v="449"/>
    <n v="0.05"/>
    <n v="449"/>
    <m/>
    <x v="20"/>
    <x v="1"/>
  </r>
  <r>
    <x v="323"/>
    <x v="4"/>
    <x v="10"/>
    <n v="1"/>
    <n v="549.99"/>
    <n v="0.05"/>
    <n v="549.99"/>
    <m/>
    <x v="9"/>
    <x v="1"/>
  </r>
  <r>
    <x v="324"/>
    <x v="0"/>
    <x v="14"/>
    <n v="1"/>
    <n v="3999.99"/>
    <n v="0.05"/>
    <n v="3999.99"/>
    <m/>
    <x v="13"/>
    <x v="1"/>
  </r>
  <r>
    <x v="324"/>
    <x v="1"/>
    <x v="10"/>
    <n v="1"/>
    <n v="549.99"/>
    <n v="0.2"/>
    <n v="549.99"/>
    <m/>
    <x v="9"/>
    <x v="1"/>
  </r>
  <r>
    <x v="324"/>
    <x v="2"/>
    <x v="18"/>
    <n v="2"/>
    <n v="469.99"/>
    <n v="0.2"/>
    <n v="939.98"/>
    <m/>
    <x v="16"/>
    <x v="1"/>
  </r>
  <r>
    <x v="325"/>
    <x v="0"/>
    <x v="10"/>
    <n v="1"/>
    <n v="549.99"/>
    <n v="0.1"/>
    <n v="549.99"/>
    <m/>
    <x v="9"/>
    <x v="2"/>
  </r>
  <r>
    <x v="325"/>
    <x v="1"/>
    <x v="19"/>
    <n v="1"/>
    <n v="299.99"/>
    <n v="7.0000000000000007E-2"/>
    <n v="299.99"/>
    <m/>
    <x v="17"/>
    <x v="2"/>
  </r>
  <r>
    <x v="326"/>
    <x v="0"/>
    <x v="10"/>
    <n v="2"/>
    <n v="549.99"/>
    <n v="7.0000000000000007E-2"/>
    <n v="1099.98"/>
    <m/>
    <x v="9"/>
    <x v="1"/>
  </r>
  <r>
    <x v="326"/>
    <x v="1"/>
    <x v="17"/>
    <n v="1"/>
    <n v="269.99"/>
    <n v="7.0000000000000007E-2"/>
    <n v="269.99"/>
    <m/>
    <x v="15"/>
    <x v="1"/>
  </r>
  <r>
    <x v="326"/>
    <x v="2"/>
    <x v="4"/>
    <n v="1"/>
    <n v="2899.99"/>
    <n v="0.05"/>
    <n v="2899.99"/>
    <m/>
    <x v="4"/>
    <x v="1"/>
  </r>
  <r>
    <x v="327"/>
    <x v="0"/>
    <x v="18"/>
    <n v="2"/>
    <n v="469.99"/>
    <n v="0.1"/>
    <n v="939.98"/>
    <m/>
    <x v="16"/>
    <x v="1"/>
  </r>
  <r>
    <x v="328"/>
    <x v="0"/>
    <x v="15"/>
    <n v="2"/>
    <n v="269.99"/>
    <n v="7.0000000000000007E-2"/>
    <n v="539.98"/>
    <m/>
    <x v="12"/>
    <x v="1"/>
  </r>
  <r>
    <x v="328"/>
    <x v="1"/>
    <x v="1"/>
    <n v="2"/>
    <n v="1799.99"/>
    <n v="0.05"/>
    <n v="3599.98"/>
    <m/>
    <x v="1"/>
    <x v="1"/>
  </r>
  <r>
    <x v="328"/>
    <x v="2"/>
    <x v="19"/>
    <n v="1"/>
    <n v="299.99"/>
    <n v="0.2"/>
    <n v="299.99"/>
    <m/>
    <x v="17"/>
    <x v="1"/>
  </r>
  <r>
    <x v="328"/>
    <x v="3"/>
    <x v="7"/>
    <n v="1"/>
    <n v="429"/>
    <n v="7.0000000000000007E-2"/>
    <n v="429"/>
    <m/>
    <x v="7"/>
    <x v="1"/>
  </r>
  <r>
    <x v="328"/>
    <x v="4"/>
    <x v="8"/>
    <n v="2"/>
    <n v="599.99"/>
    <n v="0.05"/>
    <n v="1199.98"/>
    <m/>
    <x v="3"/>
    <x v="1"/>
  </r>
  <r>
    <x v="329"/>
    <x v="0"/>
    <x v="20"/>
    <n v="2"/>
    <n v="269.99"/>
    <n v="0.05"/>
    <n v="539.98"/>
    <m/>
    <x v="15"/>
    <x v="1"/>
  </r>
  <r>
    <x v="330"/>
    <x v="0"/>
    <x v="7"/>
    <n v="2"/>
    <n v="429"/>
    <n v="0.1"/>
    <n v="858"/>
    <m/>
    <x v="7"/>
    <x v="1"/>
  </r>
  <r>
    <x v="331"/>
    <x v="0"/>
    <x v="9"/>
    <n v="2"/>
    <n v="449"/>
    <n v="0.05"/>
    <n v="898"/>
    <m/>
    <x v="8"/>
    <x v="1"/>
  </r>
  <r>
    <x v="332"/>
    <x v="0"/>
    <x v="9"/>
    <n v="2"/>
    <n v="449"/>
    <n v="7.0000000000000007E-2"/>
    <n v="898"/>
    <m/>
    <x v="8"/>
    <x v="1"/>
  </r>
  <r>
    <x v="332"/>
    <x v="1"/>
    <x v="1"/>
    <n v="2"/>
    <n v="1799.99"/>
    <n v="0.05"/>
    <n v="3599.98"/>
    <m/>
    <x v="1"/>
    <x v="1"/>
  </r>
  <r>
    <x v="332"/>
    <x v="2"/>
    <x v="5"/>
    <n v="1"/>
    <n v="999.99"/>
    <n v="0.2"/>
    <n v="999.99"/>
    <m/>
    <x v="5"/>
    <x v="1"/>
  </r>
  <r>
    <x v="333"/>
    <x v="0"/>
    <x v="3"/>
    <n v="2"/>
    <n v="599.99"/>
    <n v="0.2"/>
    <n v="1199.98"/>
    <m/>
    <x v="3"/>
    <x v="1"/>
  </r>
  <r>
    <x v="333"/>
    <x v="1"/>
    <x v="11"/>
    <n v="1"/>
    <n v="2999.99"/>
    <n v="0.05"/>
    <n v="2999.99"/>
    <m/>
    <x v="10"/>
    <x v="1"/>
  </r>
  <r>
    <x v="333"/>
    <x v="2"/>
    <x v="5"/>
    <n v="2"/>
    <n v="999.99"/>
    <n v="0.05"/>
    <n v="1999.98"/>
    <m/>
    <x v="5"/>
    <x v="1"/>
  </r>
  <r>
    <x v="334"/>
    <x v="0"/>
    <x v="18"/>
    <n v="1"/>
    <n v="469.99"/>
    <n v="0.1"/>
    <n v="469.99"/>
    <m/>
    <x v="16"/>
    <x v="1"/>
  </r>
  <r>
    <x v="334"/>
    <x v="1"/>
    <x v="6"/>
    <n v="2"/>
    <n v="749.99"/>
    <n v="0.1"/>
    <n v="1499.98"/>
    <m/>
    <x v="6"/>
    <x v="1"/>
  </r>
  <r>
    <x v="334"/>
    <x v="2"/>
    <x v="20"/>
    <n v="1"/>
    <n v="269.99"/>
    <n v="7.0000000000000007E-2"/>
    <n v="269.99"/>
    <m/>
    <x v="15"/>
    <x v="1"/>
  </r>
  <r>
    <x v="335"/>
    <x v="0"/>
    <x v="4"/>
    <n v="1"/>
    <n v="2899.99"/>
    <n v="0.1"/>
    <n v="2899.99"/>
    <m/>
    <x v="4"/>
    <x v="1"/>
  </r>
  <r>
    <x v="335"/>
    <x v="1"/>
    <x v="10"/>
    <n v="1"/>
    <n v="549.99"/>
    <n v="0.2"/>
    <n v="549.99"/>
    <m/>
    <x v="9"/>
    <x v="1"/>
  </r>
  <r>
    <x v="336"/>
    <x v="0"/>
    <x v="9"/>
    <n v="1"/>
    <n v="449"/>
    <n v="0.05"/>
    <n v="449"/>
    <m/>
    <x v="8"/>
    <x v="1"/>
  </r>
  <r>
    <x v="336"/>
    <x v="1"/>
    <x v="4"/>
    <n v="1"/>
    <n v="2899.99"/>
    <n v="0.05"/>
    <n v="2899.99"/>
    <m/>
    <x v="4"/>
    <x v="1"/>
  </r>
  <r>
    <x v="337"/>
    <x v="0"/>
    <x v="18"/>
    <n v="2"/>
    <n v="469.99"/>
    <n v="7.0000000000000007E-2"/>
    <n v="939.98"/>
    <m/>
    <x v="16"/>
    <x v="0"/>
  </r>
  <r>
    <x v="337"/>
    <x v="1"/>
    <x v="2"/>
    <n v="1"/>
    <n v="1549"/>
    <n v="7.0000000000000007E-2"/>
    <n v="1549"/>
    <m/>
    <x v="2"/>
    <x v="0"/>
  </r>
  <r>
    <x v="337"/>
    <x v="2"/>
    <x v="13"/>
    <n v="1"/>
    <n v="269.99"/>
    <n v="0.1"/>
    <n v="269.99"/>
    <m/>
    <x v="12"/>
    <x v="0"/>
  </r>
  <r>
    <x v="337"/>
    <x v="3"/>
    <x v="16"/>
    <n v="2"/>
    <n v="1680.99"/>
    <n v="7.0000000000000007E-2"/>
    <n v="3361.98"/>
    <m/>
    <x v="14"/>
    <x v="0"/>
  </r>
  <r>
    <x v="337"/>
    <x v="4"/>
    <x v="11"/>
    <n v="1"/>
    <n v="2999.99"/>
    <n v="0.05"/>
    <n v="2999.99"/>
    <m/>
    <x v="10"/>
    <x v="0"/>
  </r>
  <r>
    <x v="338"/>
    <x v="0"/>
    <x v="17"/>
    <n v="1"/>
    <n v="269.99"/>
    <n v="0.1"/>
    <n v="269.99"/>
    <m/>
    <x v="15"/>
    <x v="1"/>
  </r>
  <r>
    <x v="338"/>
    <x v="1"/>
    <x v="12"/>
    <n v="2"/>
    <n v="529.99"/>
    <n v="0.05"/>
    <n v="1059.98"/>
    <m/>
    <x v="11"/>
    <x v="1"/>
  </r>
  <r>
    <x v="339"/>
    <x v="0"/>
    <x v="16"/>
    <n v="1"/>
    <n v="1680.99"/>
    <n v="0.05"/>
    <n v="1680.99"/>
    <m/>
    <x v="14"/>
    <x v="1"/>
  </r>
  <r>
    <x v="339"/>
    <x v="1"/>
    <x v="24"/>
    <n v="1"/>
    <n v="549.99"/>
    <n v="0.05"/>
    <n v="549.99"/>
    <m/>
    <x v="9"/>
    <x v="1"/>
  </r>
  <r>
    <x v="339"/>
    <x v="2"/>
    <x v="17"/>
    <n v="2"/>
    <n v="269.99"/>
    <n v="0.1"/>
    <n v="539.98"/>
    <m/>
    <x v="15"/>
    <x v="1"/>
  </r>
  <r>
    <x v="339"/>
    <x v="3"/>
    <x v="10"/>
    <n v="2"/>
    <n v="549.99"/>
    <n v="7.0000000000000007E-2"/>
    <n v="1099.98"/>
    <m/>
    <x v="9"/>
    <x v="1"/>
  </r>
  <r>
    <x v="339"/>
    <x v="4"/>
    <x v="2"/>
    <n v="2"/>
    <n v="1549"/>
    <n v="0.1"/>
    <n v="3098"/>
    <m/>
    <x v="2"/>
    <x v="1"/>
  </r>
  <r>
    <x v="340"/>
    <x v="0"/>
    <x v="19"/>
    <n v="2"/>
    <n v="299.99"/>
    <n v="0.05"/>
    <n v="599.98"/>
    <m/>
    <x v="17"/>
    <x v="0"/>
  </r>
  <r>
    <x v="341"/>
    <x v="0"/>
    <x v="8"/>
    <n v="1"/>
    <n v="599.99"/>
    <n v="7.0000000000000007E-2"/>
    <n v="599.99"/>
    <m/>
    <x v="3"/>
    <x v="1"/>
  </r>
  <r>
    <x v="341"/>
    <x v="1"/>
    <x v="11"/>
    <n v="1"/>
    <n v="2999.99"/>
    <n v="0.2"/>
    <n v="2999.99"/>
    <m/>
    <x v="10"/>
    <x v="1"/>
  </r>
  <r>
    <x v="341"/>
    <x v="2"/>
    <x v="3"/>
    <n v="2"/>
    <n v="599.99"/>
    <n v="0.1"/>
    <n v="1199.98"/>
    <m/>
    <x v="3"/>
    <x v="1"/>
  </r>
  <r>
    <x v="342"/>
    <x v="0"/>
    <x v="0"/>
    <n v="2"/>
    <n v="599.99"/>
    <n v="0.2"/>
    <n v="1199.98"/>
    <m/>
    <x v="0"/>
    <x v="1"/>
  </r>
  <r>
    <x v="342"/>
    <x v="1"/>
    <x v="22"/>
    <n v="1"/>
    <n v="499.99"/>
    <n v="0.05"/>
    <n v="499.99"/>
    <m/>
    <x v="19"/>
    <x v="1"/>
  </r>
  <r>
    <x v="342"/>
    <x v="2"/>
    <x v="21"/>
    <n v="2"/>
    <n v="1320.99"/>
    <n v="0.05"/>
    <n v="2641.98"/>
    <m/>
    <x v="18"/>
    <x v="1"/>
  </r>
  <r>
    <x v="342"/>
    <x v="3"/>
    <x v="2"/>
    <n v="1"/>
    <n v="1549"/>
    <n v="0.1"/>
    <n v="1549"/>
    <m/>
    <x v="2"/>
    <x v="1"/>
  </r>
  <r>
    <x v="343"/>
    <x v="0"/>
    <x v="13"/>
    <n v="1"/>
    <n v="269.99"/>
    <n v="0.05"/>
    <n v="269.99"/>
    <m/>
    <x v="12"/>
    <x v="1"/>
  </r>
  <r>
    <x v="343"/>
    <x v="1"/>
    <x v="9"/>
    <n v="2"/>
    <n v="449"/>
    <n v="7.0000000000000007E-2"/>
    <n v="898"/>
    <m/>
    <x v="8"/>
    <x v="1"/>
  </r>
  <r>
    <x v="343"/>
    <x v="2"/>
    <x v="15"/>
    <n v="1"/>
    <n v="269.99"/>
    <n v="0.2"/>
    <n v="269.99"/>
    <m/>
    <x v="12"/>
    <x v="1"/>
  </r>
  <r>
    <x v="344"/>
    <x v="0"/>
    <x v="9"/>
    <n v="2"/>
    <n v="449"/>
    <n v="0.1"/>
    <n v="898"/>
    <m/>
    <x v="8"/>
    <x v="1"/>
  </r>
  <r>
    <x v="344"/>
    <x v="1"/>
    <x v="24"/>
    <n v="2"/>
    <n v="549.99"/>
    <n v="7.0000000000000007E-2"/>
    <n v="1099.98"/>
    <m/>
    <x v="9"/>
    <x v="1"/>
  </r>
  <r>
    <x v="345"/>
    <x v="0"/>
    <x v="17"/>
    <n v="1"/>
    <n v="269.99"/>
    <n v="7.0000000000000007E-2"/>
    <n v="269.99"/>
    <m/>
    <x v="15"/>
    <x v="2"/>
  </r>
  <r>
    <x v="345"/>
    <x v="1"/>
    <x v="19"/>
    <n v="1"/>
    <n v="299.99"/>
    <n v="0.2"/>
    <n v="299.99"/>
    <m/>
    <x v="17"/>
    <x v="2"/>
  </r>
  <r>
    <x v="345"/>
    <x v="2"/>
    <x v="20"/>
    <n v="1"/>
    <n v="269.99"/>
    <n v="0.1"/>
    <n v="269.99"/>
    <m/>
    <x v="15"/>
    <x v="2"/>
  </r>
  <r>
    <x v="345"/>
    <x v="3"/>
    <x v="12"/>
    <n v="1"/>
    <n v="529.99"/>
    <n v="0.05"/>
    <n v="529.99"/>
    <m/>
    <x v="11"/>
    <x v="2"/>
  </r>
  <r>
    <x v="345"/>
    <x v="4"/>
    <x v="9"/>
    <n v="2"/>
    <n v="449"/>
    <n v="0.05"/>
    <n v="898"/>
    <m/>
    <x v="8"/>
    <x v="2"/>
  </r>
  <r>
    <x v="346"/>
    <x v="0"/>
    <x v="19"/>
    <n v="1"/>
    <n v="299.99"/>
    <n v="7.0000000000000007E-2"/>
    <n v="299.99"/>
    <m/>
    <x v="17"/>
    <x v="1"/>
  </r>
  <r>
    <x v="347"/>
    <x v="0"/>
    <x v="21"/>
    <n v="2"/>
    <n v="1320.99"/>
    <n v="0.05"/>
    <n v="2641.98"/>
    <m/>
    <x v="18"/>
    <x v="2"/>
  </r>
  <r>
    <x v="347"/>
    <x v="1"/>
    <x v="12"/>
    <n v="2"/>
    <n v="529.99"/>
    <n v="7.0000000000000007E-2"/>
    <n v="1059.98"/>
    <m/>
    <x v="11"/>
    <x v="2"/>
  </r>
  <r>
    <x v="348"/>
    <x v="0"/>
    <x v="0"/>
    <n v="2"/>
    <n v="599.99"/>
    <n v="0.2"/>
    <n v="1199.98"/>
    <m/>
    <x v="0"/>
    <x v="0"/>
  </r>
  <r>
    <x v="349"/>
    <x v="0"/>
    <x v="18"/>
    <n v="2"/>
    <n v="469.99"/>
    <n v="0.05"/>
    <n v="939.98"/>
    <m/>
    <x v="16"/>
    <x v="0"/>
  </r>
  <r>
    <x v="349"/>
    <x v="1"/>
    <x v="0"/>
    <n v="1"/>
    <n v="599.99"/>
    <n v="7.0000000000000007E-2"/>
    <n v="599.99"/>
    <m/>
    <x v="0"/>
    <x v="0"/>
  </r>
  <r>
    <x v="349"/>
    <x v="2"/>
    <x v="5"/>
    <n v="1"/>
    <n v="999.99"/>
    <n v="7.0000000000000007E-2"/>
    <n v="999.99"/>
    <m/>
    <x v="5"/>
    <x v="0"/>
  </r>
  <r>
    <x v="350"/>
    <x v="0"/>
    <x v="4"/>
    <n v="2"/>
    <n v="2899.99"/>
    <n v="0.05"/>
    <n v="5799.98"/>
    <m/>
    <x v="4"/>
    <x v="0"/>
  </r>
  <r>
    <x v="350"/>
    <x v="1"/>
    <x v="24"/>
    <n v="2"/>
    <n v="549.99"/>
    <n v="0.1"/>
    <n v="1099.98"/>
    <m/>
    <x v="9"/>
    <x v="0"/>
  </r>
  <r>
    <x v="350"/>
    <x v="2"/>
    <x v="0"/>
    <n v="1"/>
    <n v="599.99"/>
    <n v="0.2"/>
    <n v="599.99"/>
    <m/>
    <x v="0"/>
    <x v="0"/>
  </r>
  <r>
    <x v="350"/>
    <x v="3"/>
    <x v="13"/>
    <n v="2"/>
    <n v="269.99"/>
    <n v="7.0000000000000007E-2"/>
    <n v="539.98"/>
    <m/>
    <x v="12"/>
    <x v="0"/>
  </r>
  <r>
    <x v="351"/>
    <x v="0"/>
    <x v="16"/>
    <n v="1"/>
    <n v="1680.99"/>
    <n v="0.2"/>
    <n v="1680.99"/>
    <m/>
    <x v="14"/>
    <x v="1"/>
  </r>
  <r>
    <x v="351"/>
    <x v="1"/>
    <x v="15"/>
    <n v="1"/>
    <n v="269.99"/>
    <n v="0.2"/>
    <n v="269.99"/>
    <m/>
    <x v="12"/>
    <x v="1"/>
  </r>
  <r>
    <x v="352"/>
    <x v="0"/>
    <x v="6"/>
    <n v="2"/>
    <n v="749.99"/>
    <n v="0.2"/>
    <n v="1499.98"/>
    <m/>
    <x v="6"/>
    <x v="1"/>
  </r>
  <r>
    <x v="353"/>
    <x v="0"/>
    <x v="20"/>
    <n v="1"/>
    <n v="269.99"/>
    <n v="0.2"/>
    <n v="269.99"/>
    <m/>
    <x v="15"/>
    <x v="2"/>
  </r>
  <r>
    <x v="353"/>
    <x v="1"/>
    <x v="23"/>
    <n v="1"/>
    <n v="449"/>
    <n v="0.05"/>
    <n v="449"/>
    <m/>
    <x v="20"/>
    <x v="2"/>
  </r>
  <r>
    <x v="354"/>
    <x v="0"/>
    <x v="3"/>
    <n v="1"/>
    <n v="599.99"/>
    <n v="0.1"/>
    <n v="599.99"/>
    <m/>
    <x v="3"/>
    <x v="2"/>
  </r>
  <r>
    <x v="354"/>
    <x v="1"/>
    <x v="15"/>
    <n v="2"/>
    <n v="269.99"/>
    <n v="7.0000000000000007E-2"/>
    <n v="539.98"/>
    <m/>
    <x v="12"/>
    <x v="2"/>
  </r>
  <r>
    <x v="355"/>
    <x v="0"/>
    <x v="19"/>
    <n v="2"/>
    <n v="299.99"/>
    <n v="0.05"/>
    <n v="599.98"/>
    <m/>
    <x v="17"/>
    <x v="1"/>
  </r>
  <r>
    <x v="355"/>
    <x v="1"/>
    <x v="4"/>
    <n v="1"/>
    <n v="2899.99"/>
    <n v="0.05"/>
    <n v="2899.99"/>
    <m/>
    <x v="4"/>
    <x v="1"/>
  </r>
  <r>
    <x v="355"/>
    <x v="2"/>
    <x v="17"/>
    <n v="1"/>
    <n v="269.99"/>
    <n v="0.05"/>
    <n v="269.99"/>
    <m/>
    <x v="15"/>
    <x v="1"/>
  </r>
  <r>
    <x v="356"/>
    <x v="0"/>
    <x v="7"/>
    <n v="2"/>
    <n v="429"/>
    <n v="0.05"/>
    <n v="858"/>
    <m/>
    <x v="7"/>
    <x v="2"/>
  </r>
  <r>
    <x v="356"/>
    <x v="1"/>
    <x v="20"/>
    <n v="2"/>
    <n v="269.99"/>
    <n v="7.0000000000000007E-2"/>
    <n v="539.98"/>
    <m/>
    <x v="15"/>
    <x v="2"/>
  </r>
  <r>
    <x v="356"/>
    <x v="2"/>
    <x v="24"/>
    <n v="1"/>
    <n v="549.99"/>
    <n v="7.0000000000000007E-2"/>
    <n v="549.99"/>
    <m/>
    <x v="9"/>
    <x v="2"/>
  </r>
  <r>
    <x v="356"/>
    <x v="3"/>
    <x v="11"/>
    <n v="1"/>
    <n v="2999.99"/>
    <n v="0.05"/>
    <n v="2999.99"/>
    <m/>
    <x v="10"/>
    <x v="2"/>
  </r>
  <r>
    <x v="357"/>
    <x v="0"/>
    <x v="20"/>
    <n v="2"/>
    <n v="269.99"/>
    <n v="0.1"/>
    <n v="539.98"/>
    <m/>
    <x v="15"/>
    <x v="1"/>
  </r>
  <r>
    <x v="357"/>
    <x v="1"/>
    <x v="18"/>
    <n v="2"/>
    <n v="469.99"/>
    <n v="7.0000000000000007E-2"/>
    <n v="939.98"/>
    <m/>
    <x v="16"/>
    <x v="1"/>
  </r>
  <r>
    <x v="357"/>
    <x v="2"/>
    <x v="1"/>
    <n v="2"/>
    <n v="1799.99"/>
    <n v="0.05"/>
    <n v="3599.98"/>
    <m/>
    <x v="1"/>
    <x v="1"/>
  </r>
  <r>
    <x v="357"/>
    <x v="3"/>
    <x v="9"/>
    <n v="2"/>
    <n v="449"/>
    <n v="0.1"/>
    <n v="898"/>
    <m/>
    <x v="8"/>
    <x v="1"/>
  </r>
  <r>
    <x v="358"/>
    <x v="0"/>
    <x v="12"/>
    <n v="2"/>
    <n v="529.99"/>
    <n v="7.0000000000000007E-2"/>
    <n v="1059.98"/>
    <m/>
    <x v="11"/>
    <x v="1"/>
  </r>
  <r>
    <x v="358"/>
    <x v="1"/>
    <x v="11"/>
    <n v="2"/>
    <n v="2999.99"/>
    <n v="7.0000000000000007E-2"/>
    <n v="5999.98"/>
    <m/>
    <x v="10"/>
    <x v="1"/>
  </r>
  <r>
    <x v="358"/>
    <x v="2"/>
    <x v="14"/>
    <n v="2"/>
    <n v="3999.99"/>
    <n v="0.2"/>
    <n v="7999.98"/>
    <m/>
    <x v="13"/>
    <x v="1"/>
  </r>
  <r>
    <x v="359"/>
    <x v="0"/>
    <x v="8"/>
    <n v="1"/>
    <n v="599.99"/>
    <n v="0.05"/>
    <n v="599.99"/>
    <m/>
    <x v="3"/>
    <x v="1"/>
  </r>
  <r>
    <x v="359"/>
    <x v="1"/>
    <x v="14"/>
    <n v="2"/>
    <n v="3999.99"/>
    <n v="0.2"/>
    <n v="7999.98"/>
    <m/>
    <x v="13"/>
    <x v="1"/>
  </r>
  <r>
    <x v="359"/>
    <x v="2"/>
    <x v="17"/>
    <n v="2"/>
    <n v="269.99"/>
    <n v="0.05"/>
    <n v="539.98"/>
    <m/>
    <x v="15"/>
    <x v="1"/>
  </r>
  <r>
    <x v="359"/>
    <x v="3"/>
    <x v="22"/>
    <n v="1"/>
    <n v="499.99"/>
    <n v="0.1"/>
    <n v="499.99"/>
    <m/>
    <x v="19"/>
    <x v="1"/>
  </r>
  <r>
    <x v="360"/>
    <x v="0"/>
    <x v="24"/>
    <n v="2"/>
    <n v="549.99"/>
    <n v="0.05"/>
    <n v="1099.98"/>
    <m/>
    <x v="9"/>
    <x v="1"/>
  </r>
  <r>
    <x v="360"/>
    <x v="1"/>
    <x v="18"/>
    <n v="2"/>
    <n v="469.99"/>
    <n v="0.1"/>
    <n v="939.98"/>
    <m/>
    <x v="16"/>
    <x v="1"/>
  </r>
  <r>
    <x v="360"/>
    <x v="2"/>
    <x v="16"/>
    <n v="1"/>
    <n v="1680.99"/>
    <n v="0.1"/>
    <n v="1680.99"/>
    <m/>
    <x v="14"/>
    <x v="1"/>
  </r>
  <r>
    <x v="361"/>
    <x v="0"/>
    <x v="6"/>
    <n v="1"/>
    <n v="749.99"/>
    <n v="7.0000000000000007E-2"/>
    <n v="749.99"/>
    <m/>
    <x v="6"/>
    <x v="0"/>
  </r>
  <r>
    <x v="362"/>
    <x v="0"/>
    <x v="20"/>
    <n v="2"/>
    <n v="269.99"/>
    <n v="0.1"/>
    <n v="539.98"/>
    <m/>
    <x v="15"/>
    <x v="2"/>
  </r>
  <r>
    <x v="362"/>
    <x v="1"/>
    <x v="15"/>
    <n v="1"/>
    <n v="269.99"/>
    <n v="7.0000000000000007E-2"/>
    <n v="269.99"/>
    <m/>
    <x v="12"/>
    <x v="2"/>
  </r>
  <r>
    <x v="362"/>
    <x v="2"/>
    <x v="12"/>
    <n v="1"/>
    <n v="529.99"/>
    <n v="0.1"/>
    <n v="529.99"/>
    <m/>
    <x v="11"/>
    <x v="2"/>
  </r>
  <r>
    <x v="362"/>
    <x v="3"/>
    <x v="0"/>
    <n v="1"/>
    <n v="599.99"/>
    <n v="0.2"/>
    <n v="599.99"/>
    <m/>
    <x v="0"/>
    <x v="2"/>
  </r>
  <r>
    <x v="363"/>
    <x v="0"/>
    <x v="22"/>
    <n v="2"/>
    <n v="499.99"/>
    <n v="0.05"/>
    <n v="999.98"/>
    <m/>
    <x v="19"/>
    <x v="1"/>
  </r>
  <r>
    <x v="364"/>
    <x v="0"/>
    <x v="24"/>
    <n v="2"/>
    <n v="549.99"/>
    <n v="7.0000000000000007E-2"/>
    <n v="1099.98"/>
    <m/>
    <x v="9"/>
    <x v="1"/>
  </r>
  <r>
    <x v="365"/>
    <x v="0"/>
    <x v="20"/>
    <n v="1"/>
    <n v="269.99"/>
    <n v="0.1"/>
    <n v="269.99"/>
    <m/>
    <x v="15"/>
    <x v="2"/>
  </r>
  <r>
    <x v="365"/>
    <x v="1"/>
    <x v="4"/>
    <n v="1"/>
    <n v="2899.99"/>
    <n v="7.0000000000000007E-2"/>
    <n v="2899.99"/>
    <m/>
    <x v="4"/>
    <x v="2"/>
  </r>
  <r>
    <x v="365"/>
    <x v="2"/>
    <x v="3"/>
    <n v="2"/>
    <n v="599.99"/>
    <n v="0.2"/>
    <n v="1199.98"/>
    <m/>
    <x v="3"/>
    <x v="2"/>
  </r>
  <r>
    <x v="366"/>
    <x v="0"/>
    <x v="8"/>
    <n v="2"/>
    <n v="599.99"/>
    <n v="0.1"/>
    <n v="1199.98"/>
    <m/>
    <x v="3"/>
    <x v="1"/>
  </r>
  <r>
    <x v="366"/>
    <x v="1"/>
    <x v="15"/>
    <n v="1"/>
    <n v="269.99"/>
    <n v="0.05"/>
    <n v="269.99"/>
    <m/>
    <x v="12"/>
    <x v="1"/>
  </r>
  <r>
    <x v="366"/>
    <x v="2"/>
    <x v="2"/>
    <n v="2"/>
    <n v="1549"/>
    <n v="0.05"/>
    <n v="3098"/>
    <m/>
    <x v="2"/>
    <x v="1"/>
  </r>
  <r>
    <x v="367"/>
    <x v="0"/>
    <x v="21"/>
    <n v="1"/>
    <n v="1320.99"/>
    <n v="0.2"/>
    <n v="1320.99"/>
    <m/>
    <x v="18"/>
    <x v="1"/>
  </r>
  <r>
    <x v="367"/>
    <x v="1"/>
    <x v="2"/>
    <n v="2"/>
    <n v="1549"/>
    <n v="0.2"/>
    <n v="3098"/>
    <m/>
    <x v="2"/>
    <x v="1"/>
  </r>
  <r>
    <x v="367"/>
    <x v="2"/>
    <x v="20"/>
    <n v="2"/>
    <n v="269.99"/>
    <n v="0.1"/>
    <n v="539.98"/>
    <m/>
    <x v="15"/>
    <x v="1"/>
  </r>
  <r>
    <x v="367"/>
    <x v="3"/>
    <x v="23"/>
    <n v="1"/>
    <n v="449"/>
    <n v="0.05"/>
    <n v="449"/>
    <m/>
    <x v="20"/>
    <x v="1"/>
  </r>
  <r>
    <x v="368"/>
    <x v="0"/>
    <x v="2"/>
    <n v="2"/>
    <n v="1549"/>
    <n v="7.0000000000000007E-2"/>
    <n v="3098"/>
    <m/>
    <x v="2"/>
    <x v="0"/>
  </r>
  <r>
    <x v="369"/>
    <x v="0"/>
    <x v="22"/>
    <n v="2"/>
    <n v="499.99"/>
    <n v="0.05"/>
    <n v="999.98"/>
    <m/>
    <x v="19"/>
    <x v="1"/>
  </r>
  <r>
    <x v="369"/>
    <x v="1"/>
    <x v="4"/>
    <n v="2"/>
    <n v="2899.99"/>
    <n v="0.1"/>
    <n v="5799.98"/>
    <m/>
    <x v="4"/>
    <x v="1"/>
  </r>
  <r>
    <x v="370"/>
    <x v="0"/>
    <x v="15"/>
    <n v="1"/>
    <n v="269.99"/>
    <n v="0.2"/>
    <n v="269.99"/>
    <m/>
    <x v="12"/>
    <x v="1"/>
  </r>
  <r>
    <x v="370"/>
    <x v="1"/>
    <x v="10"/>
    <n v="1"/>
    <n v="549.99"/>
    <n v="0.2"/>
    <n v="549.99"/>
    <m/>
    <x v="9"/>
    <x v="1"/>
  </r>
  <r>
    <x v="371"/>
    <x v="0"/>
    <x v="16"/>
    <n v="1"/>
    <n v="1680.99"/>
    <n v="0.05"/>
    <n v="1680.99"/>
    <m/>
    <x v="14"/>
    <x v="1"/>
  </r>
  <r>
    <x v="371"/>
    <x v="1"/>
    <x v="15"/>
    <n v="2"/>
    <n v="269.99"/>
    <n v="0.1"/>
    <n v="539.98"/>
    <m/>
    <x v="12"/>
    <x v="1"/>
  </r>
  <r>
    <x v="371"/>
    <x v="2"/>
    <x v="21"/>
    <n v="1"/>
    <n v="1320.99"/>
    <n v="0.1"/>
    <n v="1320.99"/>
    <m/>
    <x v="18"/>
    <x v="1"/>
  </r>
  <r>
    <x v="372"/>
    <x v="0"/>
    <x v="1"/>
    <n v="2"/>
    <n v="1799.99"/>
    <n v="0.05"/>
    <n v="3599.98"/>
    <m/>
    <x v="1"/>
    <x v="1"/>
  </r>
  <r>
    <x v="372"/>
    <x v="1"/>
    <x v="13"/>
    <n v="1"/>
    <n v="269.99"/>
    <n v="0.1"/>
    <n v="269.99"/>
    <m/>
    <x v="12"/>
    <x v="1"/>
  </r>
  <r>
    <x v="372"/>
    <x v="2"/>
    <x v="23"/>
    <n v="2"/>
    <n v="449"/>
    <n v="0.2"/>
    <n v="898"/>
    <m/>
    <x v="20"/>
    <x v="1"/>
  </r>
  <r>
    <x v="372"/>
    <x v="3"/>
    <x v="10"/>
    <n v="1"/>
    <n v="549.99"/>
    <n v="0.1"/>
    <n v="549.99"/>
    <m/>
    <x v="9"/>
    <x v="1"/>
  </r>
  <r>
    <x v="372"/>
    <x v="4"/>
    <x v="17"/>
    <n v="1"/>
    <n v="269.99"/>
    <n v="0.1"/>
    <n v="269.99"/>
    <m/>
    <x v="15"/>
    <x v="1"/>
  </r>
  <r>
    <x v="373"/>
    <x v="0"/>
    <x v="2"/>
    <n v="1"/>
    <n v="1549"/>
    <n v="0.1"/>
    <n v="1549"/>
    <m/>
    <x v="2"/>
    <x v="0"/>
  </r>
  <r>
    <x v="373"/>
    <x v="1"/>
    <x v="14"/>
    <n v="1"/>
    <n v="3999.99"/>
    <n v="7.0000000000000007E-2"/>
    <n v="3999.99"/>
    <m/>
    <x v="13"/>
    <x v="0"/>
  </r>
  <r>
    <x v="374"/>
    <x v="0"/>
    <x v="20"/>
    <n v="2"/>
    <n v="269.99"/>
    <n v="0.05"/>
    <n v="539.98"/>
    <m/>
    <x v="15"/>
    <x v="1"/>
  </r>
  <r>
    <x v="374"/>
    <x v="1"/>
    <x v="6"/>
    <n v="2"/>
    <n v="749.99"/>
    <n v="0.05"/>
    <n v="1499.98"/>
    <m/>
    <x v="6"/>
    <x v="1"/>
  </r>
  <r>
    <x v="374"/>
    <x v="2"/>
    <x v="4"/>
    <n v="2"/>
    <n v="2899.99"/>
    <n v="7.0000000000000007E-2"/>
    <n v="5799.98"/>
    <m/>
    <x v="4"/>
    <x v="1"/>
  </r>
  <r>
    <x v="374"/>
    <x v="3"/>
    <x v="10"/>
    <n v="2"/>
    <n v="549.99"/>
    <n v="0.05"/>
    <n v="1099.98"/>
    <m/>
    <x v="9"/>
    <x v="1"/>
  </r>
  <r>
    <x v="375"/>
    <x v="0"/>
    <x v="6"/>
    <n v="2"/>
    <n v="749.99"/>
    <n v="7.0000000000000007E-2"/>
    <n v="1499.98"/>
    <m/>
    <x v="6"/>
    <x v="1"/>
  </r>
  <r>
    <x v="375"/>
    <x v="1"/>
    <x v="19"/>
    <n v="2"/>
    <n v="299.99"/>
    <n v="0.1"/>
    <n v="599.98"/>
    <m/>
    <x v="17"/>
    <x v="1"/>
  </r>
  <r>
    <x v="376"/>
    <x v="0"/>
    <x v="1"/>
    <n v="1"/>
    <n v="1799.99"/>
    <n v="0.05"/>
    <n v="1799.99"/>
    <m/>
    <x v="1"/>
    <x v="1"/>
  </r>
  <r>
    <x v="376"/>
    <x v="1"/>
    <x v="15"/>
    <n v="1"/>
    <n v="269.99"/>
    <n v="7.0000000000000007E-2"/>
    <n v="269.99"/>
    <m/>
    <x v="12"/>
    <x v="1"/>
  </r>
  <r>
    <x v="377"/>
    <x v="0"/>
    <x v="8"/>
    <n v="2"/>
    <n v="599.99"/>
    <n v="0.05"/>
    <n v="1199.98"/>
    <m/>
    <x v="3"/>
    <x v="2"/>
  </r>
  <r>
    <x v="378"/>
    <x v="0"/>
    <x v="11"/>
    <n v="1"/>
    <n v="2999.99"/>
    <n v="7.0000000000000007E-2"/>
    <n v="2999.99"/>
    <m/>
    <x v="10"/>
    <x v="1"/>
  </r>
  <r>
    <x v="378"/>
    <x v="1"/>
    <x v="3"/>
    <n v="1"/>
    <n v="599.99"/>
    <n v="0.2"/>
    <n v="599.99"/>
    <m/>
    <x v="3"/>
    <x v="1"/>
  </r>
  <r>
    <x v="379"/>
    <x v="0"/>
    <x v="3"/>
    <n v="1"/>
    <n v="599.99"/>
    <n v="0.05"/>
    <n v="599.99"/>
    <m/>
    <x v="3"/>
    <x v="1"/>
  </r>
  <r>
    <x v="379"/>
    <x v="1"/>
    <x v="16"/>
    <n v="2"/>
    <n v="1680.99"/>
    <n v="0.05"/>
    <n v="3361.98"/>
    <m/>
    <x v="14"/>
    <x v="1"/>
  </r>
  <r>
    <x v="380"/>
    <x v="0"/>
    <x v="20"/>
    <n v="2"/>
    <n v="269.99"/>
    <n v="7.0000000000000007E-2"/>
    <n v="539.98"/>
    <m/>
    <x v="15"/>
    <x v="1"/>
  </r>
  <r>
    <x v="381"/>
    <x v="0"/>
    <x v="1"/>
    <n v="1"/>
    <n v="1799.99"/>
    <n v="0.1"/>
    <n v="1799.99"/>
    <m/>
    <x v="1"/>
    <x v="1"/>
  </r>
  <r>
    <x v="381"/>
    <x v="1"/>
    <x v="11"/>
    <n v="1"/>
    <n v="2999.99"/>
    <n v="0.1"/>
    <n v="2999.99"/>
    <m/>
    <x v="10"/>
    <x v="1"/>
  </r>
  <r>
    <x v="381"/>
    <x v="2"/>
    <x v="17"/>
    <n v="1"/>
    <n v="269.99"/>
    <n v="7.0000000000000007E-2"/>
    <n v="269.99"/>
    <m/>
    <x v="15"/>
    <x v="1"/>
  </r>
  <r>
    <x v="382"/>
    <x v="0"/>
    <x v="23"/>
    <n v="1"/>
    <n v="449"/>
    <n v="7.0000000000000007E-2"/>
    <n v="449"/>
    <m/>
    <x v="20"/>
    <x v="1"/>
  </r>
  <r>
    <x v="382"/>
    <x v="1"/>
    <x v="13"/>
    <n v="2"/>
    <n v="269.99"/>
    <n v="0.05"/>
    <n v="539.98"/>
    <m/>
    <x v="12"/>
    <x v="1"/>
  </r>
  <r>
    <x v="382"/>
    <x v="2"/>
    <x v="17"/>
    <n v="1"/>
    <n v="269.99"/>
    <n v="0.1"/>
    <n v="269.99"/>
    <m/>
    <x v="15"/>
    <x v="1"/>
  </r>
  <r>
    <x v="382"/>
    <x v="3"/>
    <x v="20"/>
    <n v="2"/>
    <n v="269.99"/>
    <n v="0.05"/>
    <n v="539.98"/>
    <m/>
    <x v="15"/>
    <x v="1"/>
  </r>
  <r>
    <x v="382"/>
    <x v="4"/>
    <x v="15"/>
    <n v="1"/>
    <n v="269.99"/>
    <n v="0.1"/>
    <n v="269.99"/>
    <m/>
    <x v="12"/>
    <x v="1"/>
  </r>
  <r>
    <x v="383"/>
    <x v="0"/>
    <x v="0"/>
    <n v="1"/>
    <n v="599.99"/>
    <n v="0.1"/>
    <n v="599.99"/>
    <m/>
    <x v="0"/>
    <x v="1"/>
  </r>
  <r>
    <x v="383"/>
    <x v="1"/>
    <x v="20"/>
    <n v="2"/>
    <n v="269.99"/>
    <n v="0.2"/>
    <n v="539.98"/>
    <m/>
    <x v="15"/>
    <x v="1"/>
  </r>
  <r>
    <x v="383"/>
    <x v="2"/>
    <x v="1"/>
    <n v="1"/>
    <n v="1799.99"/>
    <n v="0.05"/>
    <n v="1799.99"/>
    <m/>
    <x v="1"/>
    <x v="1"/>
  </r>
  <r>
    <x v="383"/>
    <x v="3"/>
    <x v="12"/>
    <n v="1"/>
    <n v="529.99"/>
    <n v="0.1"/>
    <n v="529.99"/>
    <m/>
    <x v="11"/>
    <x v="1"/>
  </r>
  <r>
    <x v="383"/>
    <x v="4"/>
    <x v="4"/>
    <n v="1"/>
    <n v="2899.99"/>
    <n v="0.2"/>
    <n v="2899.99"/>
    <m/>
    <x v="4"/>
    <x v="1"/>
  </r>
  <r>
    <x v="384"/>
    <x v="0"/>
    <x v="20"/>
    <n v="1"/>
    <n v="269.99"/>
    <n v="7.0000000000000007E-2"/>
    <n v="269.99"/>
    <m/>
    <x v="15"/>
    <x v="1"/>
  </r>
  <r>
    <x v="384"/>
    <x v="1"/>
    <x v="14"/>
    <n v="2"/>
    <n v="3999.99"/>
    <n v="0.2"/>
    <n v="7999.98"/>
    <m/>
    <x v="13"/>
    <x v="1"/>
  </r>
  <r>
    <x v="384"/>
    <x v="2"/>
    <x v="8"/>
    <n v="2"/>
    <n v="599.99"/>
    <n v="0.05"/>
    <n v="1199.98"/>
    <m/>
    <x v="3"/>
    <x v="1"/>
  </r>
  <r>
    <x v="385"/>
    <x v="0"/>
    <x v="1"/>
    <n v="1"/>
    <n v="1799.99"/>
    <n v="0.2"/>
    <n v="1799.99"/>
    <m/>
    <x v="1"/>
    <x v="1"/>
  </r>
  <r>
    <x v="385"/>
    <x v="1"/>
    <x v="5"/>
    <n v="2"/>
    <n v="999.99"/>
    <n v="0.05"/>
    <n v="1999.98"/>
    <m/>
    <x v="5"/>
    <x v="1"/>
  </r>
  <r>
    <x v="385"/>
    <x v="2"/>
    <x v="3"/>
    <n v="2"/>
    <n v="599.99"/>
    <n v="0.2"/>
    <n v="1199.98"/>
    <m/>
    <x v="3"/>
    <x v="1"/>
  </r>
  <r>
    <x v="386"/>
    <x v="0"/>
    <x v="9"/>
    <n v="1"/>
    <n v="449"/>
    <n v="0.2"/>
    <n v="449"/>
    <m/>
    <x v="8"/>
    <x v="2"/>
  </r>
  <r>
    <x v="387"/>
    <x v="0"/>
    <x v="23"/>
    <n v="2"/>
    <n v="449"/>
    <n v="0.2"/>
    <n v="898"/>
    <m/>
    <x v="20"/>
    <x v="2"/>
  </r>
  <r>
    <x v="387"/>
    <x v="1"/>
    <x v="17"/>
    <n v="2"/>
    <n v="269.99"/>
    <n v="7.0000000000000007E-2"/>
    <n v="539.98"/>
    <m/>
    <x v="15"/>
    <x v="2"/>
  </r>
  <r>
    <x v="387"/>
    <x v="2"/>
    <x v="6"/>
    <n v="1"/>
    <n v="749.99"/>
    <n v="7.0000000000000007E-2"/>
    <n v="749.99"/>
    <m/>
    <x v="6"/>
    <x v="2"/>
  </r>
  <r>
    <x v="387"/>
    <x v="3"/>
    <x v="16"/>
    <n v="1"/>
    <n v="1680.99"/>
    <n v="0.1"/>
    <n v="1680.99"/>
    <m/>
    <x v="14"/>
    <x v="2"/>
  </r>
  <r>
    <x v="388"/>
    <x v="0"/>
    <x v="6"/>
    <n v="1"/>
    <n v="749.99"/>
    <n v="7.0000000000000007E-2"/>
    <n v="749.99"/>
    <m/>
    <x v="6"/>
    <x v="0"/>
  </r>
  <r>
    <x v="388"/>
    <x v="1"/>
    <x v="12"/>
    <n v="2"/>
    <n v="529.99"/>
    <n v="7.0000000000000007E-2"/>
    <n v="1059.98"/>
    <m/>
    <x v="11"/>
    <x v="0"/>
  </r>
  <r>
    <x v="388"/>
    <x v="2"/>
    <x v="2"/>
    <n v="2"/>
    <n v="1549"/>
    <n v="0.05"/>
    <n v="3098"/>
    <m/>
    <x v="2"/>
    <x v="0"/>
  </r>
  <r>
    <x v="388"/>
    <x v="3"/>
    <x v="21"/>
    <n v="1"/>
    <n v="1320.99"/>
    <n v="0.05"/>
    <n v="1320.99"/>
    <m/>
    <x v="18"/>
    <x v="0"/>
  </r>
  <r>
    <x v="388"/>
    <x v="4"/>
    <x v="11"/>
    <n v="1"/>
    <n v="2999.99"/>
    <n v="0.2"/>
    <n v="2999.99"/>
    <m/>
    <x v="10"/>
    <x v="0"/>
  </r>
  <r>
    <x v="389"/>
    <x v="0"/>
    <x v="19"/>
    <n v="1"/>
    <n v="299.99"/>
    <n v="0.05"/>
    <n v="299.99"/>
    <m/>
    <x v="17"/>
    <x v="2"/>
  </r>
  <r>
    <x v="389"/>
    <x v="1"/>
    <x v="14"/>
    <n v="2"/>
    <n v="3999.99"/>
    <n v="7.0000000000000007E-2"/>
    <n v="7999.98"/>
    <m/>
    <x v="13"/>
    <x v="2"/>
  </r>
  <r>
    <x v="389"/>
    <x v="2"/>
    <x v="11"/>
    <n v="1"/>
    <n v="2999.99"/>
    <n v="0.05"/>
    <n v="2999.99"/>
    <m/>
    <x v="10"/>
    <x v="2"/>
  </r>
  <r>
    <x v="390"/>
    <x v="0"/>
    <x v="1"/>
    <n v="1"/>
    <n v="1799.99"/>
    <n v="7.0000000000000007E-2"/>
    <n v="1799.99"/>
    <m/>
    <x v="1"/>
    <x v="2"/>
  </r>
  <r>
    <x v="390"/>
    <x v="1"/>
    <x v="21"/>
    <n v="2"/>
    <n v="1320.99"/>
    <n v="0.2"/>
    <n v="2641.98"/>
    <m/>
    <x v="18"/>
    <x v="2"/>
  </r>
  <r>
    <x v="390"/>
    <x v="2"/>
    <x v="24"/>
    <n v="2"/>
    <n v="549.99"/>
    <n v="7.0000000000000007E-2"/>
    <n v="1099.98"/>
    <m/>
    <x v="9"/>
    <x v="2"/>
  </r>
  <r>
    <x v="391"/>
    <x v="0"/>
    <x v="15"/>
    <n v="2"/>
    <n v="269.99"/>
    <n v="0.1"/>
    <n v="539.98"/>
    <m/>
    <x v="12"/>
    <x v="0"/>
  </r>
  <r>
    <x v="391"/>
    <x v="1"/>
    <x v="5"/>
    <n v="2"/>
    <n v="999.99"/>
    <n v="0.05"/>
    <n v="1999.98"/>
    <m/>
    <x v="5"/>
    <x v="0"/>
  </r>
  <r>
    <x v="392"/>
    <x v="0"/>
    <x v="18"/>
    <n v="2"/>
    <n v="469.99"/>
    <n v="0.2"/>
    <n v="939.98"/>
    <m/>
    <x v="16"/>
    <x v="1"/>
  </r>
  <r>
    <x v="393"/>
    <x v="0"/>
    <x v="19"/>
    <n v="1"/>
    <n v="299.99"/>
    <n v="0.05"/>
    <n v="299.99"/>
    <m/>
    <x v="17"/>
    <x v="0"/>
  </r>
  <r>
    <x v="393"/>
    <x v="1"/>
    <x v="3"/>
    <n v="1"/>
    <n v="599.99"/>
    <n v="0.2"/>
    <n v="599.99"/>
    <m/>
    <x v="3"/>
    <x v="0"/>
  </r>
  <r>
    <x v="393"/>
    <x v="2"/>
    <x v="15"/>
    <n v="2"/>
    <n v="269.99"/>
    <n v="0.2"/>
    <n v="539.98"/>
    <m/>
    <x v="12"/>
    <x v="0"/>
  </r>
  <r>
    <x v="394"/>
    <x v="0"/>
    <x v="15"/>
    <n v="1"/>
    <n v="269.99"/>
    <n v="0.05"/>
    <n v="269.99"/>
    <m/>
    <x v="12"/>
    <x v="1"/>
  </r>
  <r>
    <x v="395"/>
    <x v="0"/>
    <x v="10"/>
    <n v="1"/>
    <n v="549.99"/>
    <n v="0.1"/>
    <n v="549.99"/>
    <m/>
    <x v="9"/>
    <x v="1"/>
  </r>
  <r>
    <x v="395"/>
    <x v="1"/>
    <x v="22"/>
    <n v="2"/>
    <n v="499.99"/>
    <n v="0.05"/>
    <n v="999.98"/>
    <m/>
    <x v="19"/>
    <x v="1"/>
  </r>
  <r>
    <x v="395"/>
    <x v="2"/>
    <x v="21"/>
    <n v="1"/>
    <n v="1320.99"/>
    <n v="0.2"/>
    <n v="1320.99"/>
    <m/>
    <x v="18"/>
    <x v="1"/>
  </r>
  <r>
    <x v="396"/>
    <x v="0"/>
    <x v="14"/>
    <n v="1"/>
    <n v="3999.99"/>
    <n v="0.05"/>
    <n v="3999.99"/>
    <m/>
    <x v="13"/>
    <x v="1"/>
  </r>
  <r>
    <x v="397"/>
    <x v="0"/>
    <x v="1"/>
    <n v="2"/>
    <n v="1799.99"/>
    <n v="0.05"/>
    <n v="3599.98"/>
    <m/>
    <x v="1"/>
    <x v="0"/>
  </r>
  <r>
    <x v="397"/>
    <x v="1"/>
    <x v="9"/>
    <n v="2"/>
    <n v="449"/>
    <n v="0.05"/>
    <n v="898"/>
    <m/>
    <x v="8"/>
    <x v="0"/>
  </r>
  <r>
    <x v="397"/>
    <x v="2"/>
    <x v="22"/>
    <n v="1"/>
    <n v="499.99"/>
    <n v="0.2"/>
    <n v="499.99"/>
    <m/>
    <x v="19"/>
    <x v="0"/>
  </r>
  <r>
    <x v="397"/>
    <x v="3"/>
    <x v="7"/>
    <n v="1"/>
    <n v="429"/>
    <n v="0.05"/>
    <n v="429"/>
    <m/>
    <x v="7"/>
    <x v="0"/>
  </r>
  <r>
    <x v="398"/>
    <x v="0"/>
    <x v="22"/>
    <n v="1"/>
    <n v="499.99"/>
    <n v="0.05"/>
    <n v="499.99"/>
    <m/>
    <x v="19"/>
    <x v="1"/>
  </r>
  <r>
    <x v="398"/>
    <x v="1"/>
    <x v="16"/>
    <n v="2"/>
    <n v="1680.99"/>
    <n v="0.05"/>
    <n v="3361.98"/>
    <m/>
    <x v="14"/>
    <x v="1"/>
  </r>
  <r>
    <x v="398"/>
    <x v="2"/>
    <x v="15"/>
    <n v="1"/>
    <n v="269.99"/>
    <n v="0.1"/>
    <n v="269.99"/>
    <m/>
    <x v="12"/>
    <x v="1"/>
  </r>
  <r>
    <x v="399"/>
    <x v="0"/>
    <x v="24"/>
    <n v="2"/>
    <n v="549.99"/>
    <n v="7.0000000000000007E-2"/>
    <n v="1099.98"/>
    <m/>
    <x v="9"/>
    <x v="1"/>
  </r>
  <r>
    <x v="399"/>
    <x v="1"/>
    <x v="11"/>
    <n v="1"/>
    <n v="2999.99"/>
    <n v="0.2"/>
    <n v="2999.99"/>
    <m/>
    <x v="10"/>
    <x v="1"/>
  </r>
  <r>
    <x v="399"/>
    <x v="2"/>
    <x v="5"/>
    <n v="2"/>
    <n v="999.99"/>
    <n v="0.2"/>
    <n v="1999.98"/>
    <m/>
    <x v="5"/>
    <x v="1"/>
  </r>
  <r>
    <x v="400"/>
    <x v="0"/>
    <x v="19"/>
    <n v="1"/>
    <n v="299.99"/>
    <n v="0.2"/>
    <n v="299.99"/>
    <m/>
    <x v="17"/>
    <x v="1"/>
  </r>
  <r>
    <x v="400"/>
    <x v="1"/>
    <x v="2"/>
    <n v="2"/>
    <n v="1549"/>
    <n v="0.2"/>
    <n v="3098"/>
    <m/>
    <x v="2"/>
    <x v="1"/>
  </r>
  <r>
    <x v="401"/>
    <x v="0"/>
    <x v="18"/>
    <n v="2"/>
    <n v="469.99"/>
    <n v="7.0000000000000007E-2"/>
    <n v="939.98"/>
    <m/>
    <x v="16"/>
    <x v="1"/>
  </r>
  <r>
    <x v="401"/>
    <x v="1"/>
    <x v="21"/>
    <n v="1"/>
    <n v="1320.99"/>
    <n v="7.0000000000000007E-2"/>
    <n v="1320.99"/>
    <m/>
    <x v="18"/>
    <x v="1"/>
  </r>
  <r>
    <x v="401"/>
    <x v="2"/>
    <x v="8"/>
    <n v="1"/>
    <n v="599.99"/>
    <n v="0.05"/>
    <n v="599.99"/>
    <m/>
    <x v="3"/>
    <x v="1"/>
  </r>
  <r>
    <x v="402"/>
    <x v="0"/>
    <x v="10"/>
    <n v="2"/>
    <n v="549.99"/>
    <n v="0.1"/>
    <n v="1099.98"/>
    <m/>
    <x v="9"/>
    <x v="0"/>
  </r>
  <r>
    <x v="402"/>
    <x v="1"/>
    <x v="14"/>
    <n v="2"/>
    <n v="3999.99"/>
    <n v="0.2"/>
    <n v="7999.98"/>
    <m/>
    <x v="13"/>
    <x v="0"/>
  </r>
  <r>
    <x v="402"/>
    <x v="2"/>
    <x v="13"/>
    <n v="2"/>
    <n v="269.99"/>
    <n v="0.05"/>
    <n v="539.98"/>
    <m/>
    <x v="12"/>
    <x v="0"/>
  </r>
  <r>
    <x v="402"/>
    <x v="3"/>
    <x v="24"/>
    <n v="1"/>
    <n v="549.99"/>
    <n v="0.2"/>
    <n v="549.99"/>
    <m/>
    <x v="9"/>
    <x v="0"/>
  </r>
  <r>
    <x v="403"/>
    <x v="0"/>
    <x v="11"/>
    <n v="1"/>
    <n v="2999.99"/>
    <n v="7.0000000000000007E-2"/>
    <n v="2999.99"/>
    <m/>
    <x v="10"/>
    <x v="1"/>
  </r>
  <r>
    <x v="403"/>
    <x v="1"/>
    <x v="22"/>
    <n v="2"/>
    <n v="499.99"/>
    <n v="0.05"/>
    <n v="999.98"/>
    <m/>
    <x v="19"/>
    <x v="1"/>
  </r>
  <r>
    <x v="403"/>
    <x v="2"/>
    <x v="3"/>
    <n v="2"/>
    <n v="599.99"/>
    <n v="0.2"/>
    <n v="1199.98"/>
    <m/>
    <x v="3"/>
    <x v="1"/>
  </r>
  <r>
    <x v="404"/>
    <x v="0"/>
    <x v="5"/>
    <n v="2"/>
    <n v="999.99"/>
    <n v="0.2"/>
    <n v="1999.98"/>
    <m/>
    <x v="5"/>
    <x v="1"/>
  </r>
  <r>
    <x v="404"/>
    <x v="1"/>
    <x v="2"/>
    <n v="2"/>
    <n v="1549"/>
    <n v="0.1"/>
    <n v="3098"/>
    <m/>
    <x v="2"/>
    <x v="1"/>
  </r>
  <r>
    <x v="404"/>
    <x v="2"/>
    <x v="15"/>
    <n v="2"/>
    <n v="269.99"/>
    <n v="7.0000000000000007E-2"/>
    <n v="539.98"/>
    <m/>
    <x v="12"/>
    <x v="1"/>
  </r>
  <r>
    <x v="405"/>
    <x v="0"/>
    <x v="4"/>
    <n v="1"/>
    <n v="2899.99"/>
    <n v="0.2"/>
    <n v="2899.99"/>
    <m/>
    <x v="4"/>
    <x v="1"/>
  </r>
  <r>
    <x v="406"/>
    <x v="0"/>
    <x v="0"/>
    <n v="1"/>
    <n v="599.99"/>
    <n v="0.2"/>
    <n v="599.99"/>
    <m/>
    <x v="0"/>
    <x v="2"/>
  </r>
  <r>
    <x v="406"/>
    <x v="1"/>
    <x v="21"/>
    <n v="1"/>
    <n v="1320.99"/>
    <n v="0.05"/>
    <n v="1320.99"/>
    <m/>
    <x v="18"/>
    <x v="2"/>
  </r>
  <r>
    <x v="407"/>
    <x v="0"/>
    <x v="9"/>
    <n v="1"/>
    <n v="449"/>
    <n v="0.2"/>
    <n v="449"/>
    <m/>
    <x v="8"/>
    <x v="0"/>
  </r>
  <r>
    <x v="407"/>
    <x v="1"/>
    <x v="5"/>
    <n v="1"/>
    <n v="999.99"/>
    <n v="7.0000000000000007E-2"/>
    <n v="999.99"/>
    <m/>
    <x v="5"/>
    <x v="0"/>
  </r>
  <r>
    <x v="407"/>
    <x v="2"/>
    <x v="6"/>
    <n v="2"/>
    <n v="749.99"/>
    <n v="7.0000000000000007E-2"/>
    <n v="1499.98"/>
    <m/>
    <x v="6"/>
    <x v="0"/>
  </r>
  <r>
    <x v="407"/>
    <x v="3"/>
    <x v="7"/>
    <n v="2"/>
    <n v="429"/>
    <n v="0.2"/>
    <n v="858"/>
    <m/>
    <x v="7"/>
    <x v="0"/>
  </r>
  <r>
    <x v="408"/>
    <x v="0"/>
    <x v="12"/>
    <n v="1"/>
    <n v="529.99"/>
    <n v="7.0000000000000007E-2"/>
    <n v="529.99"/>
    <m/>
    <x v="11"/>
    <x v="1"/>
  </r>
  <r>
    <x v="408"/>
    <x v="1"/>
    <x v="3"/>
    <n v="2"/>
    <n v="599.99"/>
    <n v="0.2"/>
    <n v="1199.98"/>
    <m/>
    <x v="3"/>
    <x v="1"/>
  </r>
  <r>
    <x v="408"/>
    <x v="2"/>
    <x v="20"/>
    <n v="1"/>
    <n v="269.99"/>
    <n v="0.05"/>
    <n v="269.99"/>
    <m/>
    <x v="15"/>
    <x v="1"/>
  </r>
  <r>
    <x v="409"/>
    <x v="0"/>
    <x v="22"/>
    <n v="1"/>
    <n v="499.99"/>
    <n v="0.1"/>
    <n v="499.99"/>
    <m/>
    <x v="19"/>
    <x v="1"/>
  </r>
  <r>
    <x v="409"/>
    <x v="1"/>
    <x v="11"/>
    <n v="2"/>
    <n v="2999.99"/>
    <n v="0.05"/>
    <n v="5999.98"/>
    <m/>
    <x v="10"/>
    <x v="1"/>
  </r>
  <r>
    <x v="409"/>
    <x v="2"/>
    <x v="24"/>
    <n v="2"/>
    <n v="549.99"/>
    <n v="0.1"/>
    <n v="1099.98"/>
    <m/>
    <x v="9"/>
    <x v="1"/>
  </r>
  <r>
    <x v="410"/>
    <x v="0"/>
    <x v="6"/>
    <n v="1"/>
    <n v="749.99"/>
    <n v="7.0000000000000007E-2"/>
    <n v="749.99"/>
    <m/>
    <x v="6"/>
    <x v="0"/>
  </r>
  <r>
    <x v="410"/>
    <x v="1"/>
    <x v="8"/>
    <n v="2"/>
    <n v="599.99"/>
    <n v="0.05"/>
    <n v="1199.98"/>
    <m/>
    <x v="3"/>
    <x v="0"/>
  </r>
  <r>
    <x v="411"/>
    <x v="0"/>
    <x v="14"/>
    <n v="1"/>
    <n v="3999.99"/>
    <n v="0.1"/>
    <n v="3999.99"/>
    <m/>
    <x v="13"/>
    <x v="0"/>
  </r>
  <r>
    <x v="411"/>
    <x v="1"/>
    <x v="24"/>
    <n v="1"/>
    <n v="549.99"/>
    <n v="7.0000000000000007E-2"/>
    <n v="549.99"/>
    <m/>
    <x v="9"/>
    <x v="0"/>
  </r>
  <r>
    <x v="411"/>
    <x v="2"/>
    <x v="7"/>
    <n v="1"/>
    <n v="429"/>
    <n v="0.1"/>
    <n v="429"/>
    <m/>
    <x v="7"/>
    <x v="0"/>
  </r>
  <r>
    <x v="412"/>
    <x v="0"/>
    <x v="1"/>
    <n v="2"/>
    <n v="1799.99"/>
    <n v="0.05"/>
    <n v="3599.98"/>
    <m/>
    <x v="1"/>
    <x v="1"/>
  </r>
  <r>
    <x v="412"/>
    <x v="1"/>
    <x v="22"/>
    <n v="1"/>
    <n v="499.99"/>
    <n v="0.1"/>
    <n v="499.99"/>
    <m/>
    <x v="19"/>
    <x v="1"/>
  </r>
  <r>
    <x v="412"/>
    <x v="2"/>
    <x v="11"/>
    <n v="1"/>
    <n v="2999.99"/>
    <n v="7.0000000000000007E-2"/>
    <n v="2999.99"/>
    <m/>
    <x v="10"/>
    <x v="1"/>
  </r>
  <r>
    <x v="413"/>
    <x v="0"/>
    <x v="4"/>
    <n v="2"/>
    <n v="2899.99"/>
    <n v="0.1"/>
    <n v="5799.98"/>
    <m/>
    <x v="4"/>
    <x v="1"/>
  </r>
  <r>
    <x v="414"/>
    <x v="0"/>
    <x v="5"/>
    <n v="1"/>
    <n v="999.99"/>
    <n v="7.0000000000000007E-2"/>
    <n v="999.99"/>
    <m/>
    <x v="5"/>
    <x v="1"/>
  </r>
  <r>
    <x v="414"/>
    <x v="1"/>
    <x v="19"/>
    <n v="2"/>
    <n v="299.99"/>
    <n v="0.2"/>
    <n v="599.98"/>
    <m/>
    <x v="17"/>
    <x v="1"/>
  </r>
  <r>
    <x v="414"/>
    <x v="2"/>
    <x v="21"/>
    <n v="1"/>
    <n v="1320.99"/>
    <n v="0.2"/>
    <n v="1320.99"/>
    <m/>
    <x v="18"/>
    <x v="1"/>
  </r>
  <r>
    <x v="414"/>
    <x v="3"/>
    <x v="18"/>
    <n v="2"/>
    <n v="469.99"/>
    <n v="0.05"/>
    <n v="939.98"/>
    <m/>
    <x v="16"/>
    <x v="1"/>
  </r>
  <r>
    <x v="415"/>
    <x v="0"/>
    <x v="13"/>
    <n v="1"/>
    <n v="269.99"/>
    <n v="7.0000000000000007E-2"/>
    <n v="269.99"/>
    <m/>
    <x v="12"/>
    <x v="1"/>
  </r>
  <r>
    <x v="415"/>
    <x v="1"/>
    <x v="15"/>
    <n v="1"/>
    <n v="269.99"/>
    <n v="7.0000000000000007E-2"/>
    <n v="269.99"/>
    <m/>
    <x v="12"/>
    <x v="1"/>
  </r>
  <r>
    <x v="415"/>
    <x v="2"/>
    <x v="24"/>
    <n v="1"/>
    <n v="549.99"/>
    <n v="0.1"/>
    <n v="549.99"/>
    <m/>
    <x v="9"/>
    <x v="1"/>
  </r>
  <r>
    <x v="416"/>
    <x v="0"/>
    <x v="8"/>
    <n v="2"/>
    <n v="599.99"/>
    <n v="7.0000000000000007E-2"/>
    <n v="1199.98"/>
    <m/>
    <x v="3"/>
    <x v="0"/>
  </r>
  <r>
    <x v="416"/>
    <x v="1"/>
    <x v="18"/>
    <n v="2"/>
    <n v="469.99"/>
    <n v="7.0000000000000007E-2"/>
    <n v="939.98"/>
    <m/>
    <x v="16"/>
    <x v="0"/>
  </r>
  <r>
    <x v="417"/>
    <x v="0"/>
    <x v="10"/>
    <n v="1"/>
    <n v="549.99"/>
    <n v="0.05"/>
    <n v="549.99"/>
    <m/>
    <x v="9"/>
    <x v="1"/>
  </r>
  <r>
    <x v="417"/>
    <x v="1"/>
    <x v="0"/>
    <n v="1"/>
    <n v="599.99"/>
    <n v="0.05"/>
    <n v="599.99"/>
    <m/>
    <x v="0"/>
    <x v="1"/>
  </r>
  <r>
    <x v="418"/>
    <x v="0"/>
    <x v="11"/>
    <n v="1"/>
    <n v="2999.99"/>
    <n v="0.05"/>
    <n v="2999.99"/>
    <m/>
    <x v="10"/>
    <x v="2"/>
  </r>
  <r>
    <x v="419"/>
    <x v="0"/>
    <x v="7"/>
    <n v="2"/>
    <n v="429"/>
    <n v="0.2"/>
    <n v="858"/>
    <m/>
    <x v="7"/>
    <x v="0"/>
  </r>
  <r>
    <x v="419"/>
    <x v="1"/>
    <x v="12"/>
    <n v="2"/>
    <n v="529.99"/>
    <n v="0.1"/>
    <n v="1059.98"/>
    <m/>
    <x v="11"/>
    <x v="0"/>
  </r>
  <r>
    <x v="419"/>
    <x v="2"/>
    <x v="5"/>
    <n v="2"/>
    <n v="999.99"/>
    <n v="0.05"/>
    <n v="1999.98"/>
    <m/>
    <x v="5"/>
    <x v="0"/>
  </r>
  <r>
    <x v="420"/>
    <x v="0"/>
    <x v="18"/>
    <n v="2"/>
    <n v="469.99"/>
    <n v="7.0000000000000007E-2"/>
    <n v="939.98"/>
    <m/>
    <x v="16"/>
    <x v="0"/>
  </r>
  <r>
    <x v="420"/>
    <x v="1"/>
    <x v="5"/>
    <n v="2"/>
    <n v="999.99"/>
    <n v="0.2"/>
    <n v="1999.98"/>
    <m/>
    <x v="5"/>
    <x v="0"/>
  </r>
  <r>
    <x v="420"/>
    <x v="2"/>
    <x v="0"/>
    <n v="2"/>
    <n v="599.99"/>
    <n v="0.2"/>
    <n v="1199.98"/>
    <m/>
    <x v="0"/>
    <x v="0"/>
  </r>
  <r>
    <x v="420"/>
    <x v="3"/>
    <x v="4"/>
    <n v="1"/>
    <n v="2899.99"/>
    <n v="7.0000000000000007E-2"/>
    <n v="2899.99"/>
    <m/>
    <x v="4"/>
    <x v="0"/>
  </r>
  <r>
    <x v="420"/>
    <x v="4"/>
    <x v="19"/>
    <n v="2"/>
    <n v="299.99"/>
    <n v="0.2"/>
    <n v="599.98"/>
    <m/>
    <x v="17"/>
    <x v="0"/>
  </r>
  <r>
    <x v="421"/>
    <x v="0"/>
    <x v="0"/>
    <n v="2"/>
    <n v="599.99"/>
    <n v="0.05"/>
    <n v="1199.98"/>
    <m/>
    <x v="0"/>
    <x v="1"/>
  </r>
  <r>
    <x v="422"/>
    <x v="0"/>
    <x v="1"/>
    <n v="2"/>
    <n v="1799.99"/>
    <n v="0.05"/>
    <n v="3599.98"/>
    <m/>
    <x v="1"/>
    <x v="1"/>
  </r>
  <r>
    <x v="422"/>
    <x v="1"/>
    <x v="7"/>
    <n v="1"/>
    <n v="429"/>
    <n v="0.2"/>
    <n v="429"/>
    <m/>
    <x v="7"/>
    <x v="1"/>
  </r>
  <r>
    <x v="422"/>
    <x v="2"/>
    <x v="19"/>
    <n v="2"/>
    <n v="299.99"/>
    <n v="7.0000000000000007E-2"/>
    <n v="599.98"/>
    <m/>
    <x v="17"/>
    <x v="1"/>
  </r>
  <r>
    <x v="422"/>
    <x v="3"/>
    <x v="6"/>
    <n v="1"/>
    <n v="749.99"/>
    <n v="0.2"/>
    <n v="749.99"/>
    <m/>
    <x v="6"/>
    <x v="1"/>
  </r>
  <r>
    <x v="423"/>
    <x v="0"/>
    <x v="13"/>
    <n v="1"/>
    <n v="269.99"/>
    <n v="0.1"/>
    <n v="269.99"/>
    <m/>
    <x v="12"/>
    <x v="0"/>
  </r>
  <r>
    <x v="423"/>
    <x v="1"/>
    <x v="18"/>
    <n v="1"/>
    <n v="469.99"/>
    <n v="0.05"/>
    <n v="469.99"/>
    <m/>
    <x v="16"/>
    <x v="0"/>
  </r>
  <r>
    <x v="424"/>
    <x v="0"/>
    <x v="18"/>
    <n v="1"/>
    <n v="469.99"/>
    <n v="0.1"/>
    <n v="469.99"/>
    <m/>
    <x v="16"/>
    <x v="1"/>
  </r>
  <r>
    <x v="424"/>
    <x v="1"/>
    <x v="20"/>
    <n v="2"/>
    <n v="269.99"/>
    <n v="7.0000000000000007E-2"/>
    <n v="539.98"/>
    <m/>
    <x v="15"/>
    <x v="1"/>
  </r>
  <r>
    <x v="424"/>
    <x v="2"/>
    <x v="23"/>
    <n v="1"/>
    <n v="449"/>
    <n v="0.05"/>
    <n v="449"/>
    <m/>
    <x v="20"/>
    <x v="1"/>
  </r>
  <r>
    <x v="425"/>
    <x v="0"/>
    <x v="2"/>
    <n v="1"/>
    <n v="1549"/>
    <n v="0.1"/>
    <n v="1549"/>
    <m/>
    <x v="2"/>
    <x v="1"/>
  </r>
  <r>
    <x v="425"/>
    <x v="1"/>
    <x v="19"/>
    <n v="2"/>
    <n v="299.99"/>
    <n v="0.05"/>
    <n v="599.98"/>
    <m/>
    <x v="17"/>
    <x v="1"/>
  </r>
  <r>
    <x v="426"/>
    <x v="0"/>
    <x v="10"/>
    <n v="2"/>
    <n v="549.99"/>
    <n v="7.0000000000000007E-2"/>
    <n v="1099.98"/>
    <m/>
    <x v="9"/>
    <x v="0"/>
  </r>
  <r>
    <x v="426"/>
    <x v="1"/>
    <x v="12"/>
    <n v="2"/>
    <n v="529.99"/>
    <n v="0.1"/>
    <n v="1059.98"/>
    <m/>
    <x v="11"/>
    <x v="0"/>
  </r>
  <r>
    <x v="426"/>
    <x v="2"/>
    <x v="8"/>
    <n v="2"/>
    <n v="599.99"/>
    <n v="7.0000000000000007E-2"/>
    <n v="1199.98"/>
    <m/>
    <x v="3"/>
    <x v="0"/>
  </r>
  <r>
    <x v="427"/>
    <x v="0"/>
    <x v="21"/>
    <n v="2"/>
    <n v="1320.99"/>
    <n v="0.2"/>
    <n v="2641.98"/>
    <m/>
    <x v="18"/>
    <x v="1"/>
  </r>
  <r>
    <x v="427"/>
    <x v="1"/>
    <x v="15"/>
    <n v="1"/>
    <n v="269.99"/>
    <n v="0.2"/>
    <n v="269.99"/>
    <m/>
    <x v="12"/>
    <x v="1"/>
  </r>
  <r>
    <x v="428"/>
    <x v="0"/>
    <x v="16"/>
    <n v="1"/>
    <n v="1680.99"/>
    <n v="0.2"/>
    <n v="1680.99"/>
    <m/>
    <x v="14"/>
    <x v="2"/>
  </r>
  <r>
    <x v="428"/>
    <x v="1"/>
    <x v="4"/>
    <n v="2"/>
    <n v="2899.99"/>
    <n v="0.1"/>
    <n v="5799.98"/>
    <m/>
    <x v="4"/>
    <x v="2"/>
  </r>
  <r>
    <x v="428"/>
    <x v="2"/>
    <x v="21"/>
    <n v="2"/>
    <n v="1320.99"/>
    <n v="0.05"/>
    <n v="2641.98"/>
    <m/>
    <x v="18"/>
    <x v="2"/>
  </r>
  <r>
    <x v="428"/>
    <x v="3"/>
    <x v="18"/>
    <n v="1"/>
    <n v="469.99"/>
    <n v="7.0000000000000007E-2"/>
    <n v="469.99"/>
    <m/>
    <x v="16"/>
    <x v="2"/>
  </r>
  <r>
    <x v="428"/>
    <x v="4"/>
    <x v="6"/>
    <n v="1"/>
    <n v="749.99"/>
    <n v="0.1"/>
    <n v="749.99"/>
    <m/>
    <x v="6"/>
    <x v="2"/>
  </r>
  <r>
    <x v="429"/>
    <x v="0"/>
    <x v="13"/>
    <n v="2"/>
    <n v="269.99"/>
    <n v="0.1"/>
    <n v="539.98"/>
    <m/>
    <x v="12"/>
    <x v="1"/>
  </r>
  <r>
    <x v="429"/>
    <x v="1"/>
    <x v="16"/>
    <n v="1"/>
    <n v="1680.99"/>
    <n v="7.0000000000000007E-2"/>
    <n v="1680.99"/>
    <m/>
    <x v="14"/>
    <x v="1"/>
  </r>
  <r>
    <x v="429"/>
    <x v="2"/>
    <x v="4"/>
    <n v="2"/>
    <n v="2899.99"/>
    <n v="0.2"/>
    <n v="5799.98"/>
    <m/>
    <x v="4"/>
    <x v="1"/>
  </r>
  <r>
    <x v="429"/>
    <x v="3"/>
    <x v="17"/>
    <n v="2"/>
    <n v="269.99"/>
    <n v="0.2"/>
    <n v="539.98"/>
    <m/>
    <x v="15"/>
    <x v="1"/>
  </r>
  <r>
    <x v="429"/>
    <x v="4"/>
    <x v="1"/>
    <n v="1"/>
    <n v="1799.99"/>
    <n v="0.2"/>
    <n v="1799.99"/>
    <m/>
    <x v="1"/>
    <x v="1"/>
  </r>
  <r>
    <x v="430"/>
    <x v="0"/>
    <x v="15"/>
    <n v="2"/>
    <n v="269.99"/>
    <n v="0.2"/>
    <n v="539.98"/>
    <m/>
    <x v="12"/>
    <x v="1"/>
  </r>
  <r>
    <x v="430"/>
    <x v="1"/>
    <x v="18"/>
    <n v="1"/>
    <n v="469.99"/>
    <n v="0.1"/>
    <n v="469.99"/>
    <m/>
    <x v="16"/>
    <x v="1"/>
  </r>
  <r>
    <x v="430"/>
    <x v="2"/>
    <x v="9"/>
    <n v="1"/>
    <n v="449"/>
    <n v="0.2"/>
    <n v="449"/>
    <m/>
    <x v="8"/>
    <x v="1"/>
  </r>
  <r>
    <x v="430"/>
    <x v="3"/>
    <x v="17"/>
    <n v="2"/>
    <n v="269.99"/>
    <n v="7.0000000000000007E-2"/>
    <n v="539.98"/>
    <m/>
    <x v="15"/>
    <x v="1"/>
  </r>
  <r>
    <x v="430"/>
    <x v="4"/>
    <x v="23"/>
    <n v="1"/>
    <n v="449"/>
    <n v="7.0000000000000007E-2"/>
    <n v="449"/>
    <m/>
    <x v="20"/>
    <x v="1"/>
  </r>
  <r>
    <x v="431"/>
    <x v="0"/>
    <x v="2"/>
    <n v="2"/>
    <n v="1549"/>
    <n v="0.2"/>
    <n v="3098"/>
    <m/>
    <x v="2"/>
    <x v="0"/>
  </r>
  <r>
    <x v="431"/>
    <x v="1"/>
    <x v="14"/>
    <n v="2"/>
    <n v="3999.99"/>
    <n v="0.05"/>
    <n v="7999.98"/>
    <m/>
    <x v="13"/>
    <x v="0"/>
  </r>
  <r>
    <x v="432"/>
    <x v="0"/>
    <x v="18"/>
    <n v="1"/>
    <n v="469.99"/>
    <n v="0.1"/>
    <n v="469.99"/>
    <m/>
    <x v="16"/>
    <x v="1"/>
  </r>
  <r>
    <x v="432"/>
    <x v="1"/>
    <x v="2"/>
    <n v="1"/>
    <n v="1549"/>
    <n v="0.2"/>
    <n v="1549"/>
    <m/>
    <x v="2"/>
    <x v="1"/>
  </r>
  <r>
    <x v="432"/>
    <x v="2"/>
    <x v="24"/>
    <n v="1"/>
    <n v="549.99"/>
    <n v="0.1"/>
    <n v="549.99"/>
    <m/>
    <x v="9"/>
    <x v="1"/>
  </r>
  <r>
    <x v="432"/>
    <x v="3"/>
    <x v="4"/>
    <n v="1"/>
    <n v="2899.99"/>
    <n v="0.2"/>
    <n v="2899.99"/>
    <m/>
    <x v="4"/>
    <x v="1"/>
  </r>
  <r>
    <x v="433"/>
    <x v="0"/>
    <x v="20"/>
    <n v="1"/>
    <n v="269.99"/>
    <n v="0.05"/>
    <n v="269.99"/>
    <m/>
    <x v="15"/>
    <x v="1"/>
  </r>
  <r>
    <x v="433"/>
    <x v="1"/>
    <x v="0"/>
    <n v="1"/>
    <n v="599.99"/>
    <n v="0.1"/>
    <n v="599.99"/>
    <m/>
    <x v="0"/>
    <x v="1"/>
  </r>
  <r>
    <x v="433"/>
    <x v="2"/>
    <x v="11"/>
    <n v="1"/>
    <n v="2999.99"/>
    <n v="0.2"/>
    <n v="2999.99"/>
    <m/>
    <x v="10"/>
    <x v="1"/>
  </r>
  <r>
    <x v="433"/>
    <x v="3"/>
    <x v="16"/>
    <n v="2"/>
    <n v="1680.99"/>
    <n v="7.0000000000000007E-2"/>
    <n v="3361.98"/>
    <m/>
    <x v="14"/>
    <x v="1"/>
  </r>
  <r>
    <x v="433"/>
    <x v="4"/>
    <x v="9"/>
    <n v="2"/>
    <n v="449"/>
    <n v="0.05"/>
    <n v="898"/>
    <m/>
    <x v="8"/>
    <x v="1"/>
  </r>
  <r>
    <x v="434"/>
    <x v="0"/>
    <x v="13"/>
    <n v="1"/>
    <n v="269.99"/>
    <n v="0.05"/>
    <n v="269.99"/>
    <m/>
    <x v="12"/>
    <x v="2"/>
  </r>
  <r>
    <x v="434"/>
    <x v="1"/>
    <x v="11"/>
    <n v="1"/>
    <n v="2999.99"/>
    <n v="0.05"/>
    <n v="2999.99"/>
    <m/>
    <x v="10"/>
    <x v="2"/>
  </r>
  <r>
    <x v="434"/>
    <x v="2"/>
    <x v="9"/>
    <n v="1"/>
    <n v="449"/>
    <n v="0.05"/>
    <n v="449"/>
    <m/>
    <x v="8"/>
    <x v="2"/>
  </r>
  <r>
    <x v="435"/>
    <x v="0"/>
    <x v="5"/>
    <n v="1"/>
    <n v="999.99"/>
    <n v="0.05"/>
    <n v="999.99"/>
    <m/>
    <x v="5"/>
    <x v="1"/>
  </r>
  <r>
    <x v="435"/>
    <x v="1"/>
    <x v="19"/>
    <n v="1"/>
    <n v="299.99"/>
    <n v="0.2"/>
    <n v="299.99"/>
    <m/>
    <x v="17"/>
    <x v="1"/>
  </r>
  <r>
    <x v="436"/>
    <x v="0"/>
    <x v="5"/>
    <n v="1"/>
    <n v="999.99"/>
    <n v="0.05"/>
    <n v="999.99"/>
    <m/>
    <x v="5"/>
    <x v="1"/>
  </r>
  <r>
    <x v="436"/>
    <x v="1"/>
    <x v="2"/>
    <n v="1"/>
    <n v="1549"/>
    <n v="0.05"/>
    <n v="1549"/>
    <m/>
    <x v="2"/>
    <x v="1"/>
  </r>
  <r>
    <x v="436"/>
    <x v="2"/>
    <x v="1"/>
    <n v="2"/>
    <n v="1799.99"/>
    <n v="0.05"/>
    <n v="3599.98"/>
    <m/>
    <x v="1"/>
    <x v="1"/>
  </r>
  <r>
    <x v="437"/>
    <x v="0"/>
    <x v="4"/>
    <n v="1"/>
    <n v="2899.99"/>
    <n v="7.0000000000000007E-2"/>
    <n v="2899.99"/>
    <m/>
    <x v="4"/>
    <x v="2"/>
  </r>
  <r>
    <x v="437"/>
    <x v="1"/>
    <x v="13"/>
    <n v="1"/>
    <n v="269.99"/>
    <n v="0.1"/>
    <n v="269.99"/>
    <m/>
    <x v="12"/>
    <x v="2"/>
  </r>
  <r>
    <x v="437"/>
    <x v="2"/>
    <x v="1"/>
    <n v="2"/>
    <n v="1799.99"/>
    <n v="0.05"/>
    <n v="3599.98"/>
    <m/>
    <x v="1"/>
    <x v="2"/>
  </r>
  <r>
    <x v="437"/>
    <x v="3"/>
    <x v="17"/>
    <n v="2"/>
    <n v="269.99"/>
    <n v="0.05"/>
    <n v="539.98"/>
    <m/>
    <x v="15"/>
    <x v="2"/>
  </r>
  <r>
    <x v="438"/>
    <x v="0"/>
    <x v="18"/>
    <n v="2"/>
    <n v="469.99"/>
    <n v="7.0000000000000007E-2"/>
    <n v="939.98"/>
    <m/>
    <x v="16"/>
    <x v="1"/>
  </r>
  <r>
    <x v="438"/>
    <x v="1"/>
    <x v="14"/>
    <n v="2"/>
    <n v="3999.99"/>
    <n v="0.05"/>
    <n v="7999.98"/>
    <m/>
    <x v="13"/>
    <x v="1"/>
  </r>
  <r>
    <x v="439"/>
    <x v="0"/>
    <x v="23"/>
    <n v="2"/>
    <n v="449"/>
    <n v="7.0000000000000007E-2"/>
    <n v="898"/>
    <m/>
    <x v="20"/>
    <x v="1"/>
  </r>
  <r>
    <x v="439"/>
    <x v="1"/>
    <x v="4"/>
    <n v="2"/>
    <n v="2899.99"/>
    <n v="7.0000000000000007E-2"/>
    <n v="5799.98"/>
    <m/>
    <x v="4"/>
    <x v="1"/>
  </r>
  <r>
    <x v="440"/>
    <x v="0"/>
    <x v="10"/>
    <n v="1"/>
    <n v="549.99"/>
    <n v="7.0000000000000007E-2"/>
    <n v="549.99"/>
    <m/>
    <x v="9"/>
    <x v="0"/>
  </r>
  <r>
    <x v="440"/>
    <x v="1"/>
    <x v="12"/>
    <n v="1"/>
    <n v="529.99"/>
    <n v="0.1"/>
    <n v="529.99"/>
    <m/>
    <x v="11"/>
    <x v="0"/>
  </r>
  <r>
    <x v="441"/>
    <x v="0"/>
    <x v="3"/>
    <n v="2"/>
    <n v="599.99"/>
    <n v="7.0000000000000007E-2"/>
    <n v="1199.98"/>
    <m/>
    <x v="3"/>
    <x v="1"/>
  </r>
  <r>
    <x v="441"/>
    <x v="1"/>
    <x v="8"/>
    <n v="2"/>
    <n v="599.99"/>
    <n v="0.2"/>
    <n v="1199.98"/>
    <m/>
    <x v="3"/>
    <x v="1"/>
  </r>
  <r>
    <x v="441"/>
    <x v="2"/>
    <x v="18"/>
    <n v="2"/>
    <n v="469.99"/>
    <n v="0.2"/>
    <n v="939.98"/>
    <m/>
    <x v="16"/>
    <x v="1"/>
  </r>
  <r>
    <x v="442"/>
    <x v="0"/>
    <x v="21"/>
    <n v="1"/>
    <n v="1320.99"/>
    <n v="0.05"/>
    <n v="1320.99"/>
    <m/>
    <x v="18"/>
    <x v="1"/>
  </r>
  <r>
    <x v="442"/>
    <x v="1"/>
    <x v="8"/>
    <n v="1"/>
    <n v="599.99"/>
    <n v="0.2"/>
    <n v="599.99"/>
    <m/>
    <x v="3"/>
    <x v="1"/>
  </r>
  <r>
    <x v="443"/>
    <x v="0"/>
    <x v="13"/>
    <n v="1"/>
    <n v="269.99"/>
    <n v="7.0000000000000007E-2"/>
    <n v="269.99"/>
    <m/>
    <x v="12"/>
    <x v="0"/>
  </r>
  <r>
    <x v="443"/>
    <x v="1"/>
    <x v="12"/>
    <n v="2"/>
    <n v="529.99"/>
    <n v="7.0000000000000007E-2"/>
    <n v="1059.98"/>
    <m/>
    <x v="11"/>
    <x v="0"/>
  </r>
  <r>
    <x v="443"/>
    <x v="2"/>
    <x v="0"/>
    <n v="2"/>
    <n v="599.99"/>
    <n v="0.05"/>
    <n v="1199.98"/>
    <m/>
    <x v="0"/>
    <x v="0"/>
  </r>
  <r>
    <x v="443"/>
    <x v="3"/>
    <x v="3"/>
    <n v="1"/>
    <n v="599.99"/>
    <n v="0.1"/>
    <n v="599.99"/>
    <m/>
    <x v="3"/>
    <x v="0"/>
  </r>
  <r>
    <x v="443"/>
    <x v="4"/>
    <x v="2"/>
    <n v="2"/>
    <n v="1549"/>
    <n v="0.2"/>
    <n v="3098"/>
    <m/>
    <x v="2"/>
    <x v="0"/>
  </r>
  <r>
    <x v="444"/>
    <x v="0"/>
    <x v="14"/>
    <n v="1"/>
    <n v="3999.99"/>
    <n v="0.2"/>
    <n v="3999.99"/>
    <m/>
    <x v="13"/>
    <x v="1"/>
  </r>
  <r>
    <x v="444"/>
    <x v="1"/>
    <x v="3"/>
    <n v="1"/>
    <n v="599.99"/>
    <n v="7.0000000000000007E-2"/>
    <n v="599.99"/>
    <m/>
    <x v="3"/>
    <x v="1"/>
  </r>
  <r>
    <x v="444"/>
    <x v="2"/>
    <x v="19"/>
    <n v="1"/>
    <n v="299.99"/>
    <n v="0.2"/>
    <n v="299.99"/>
    <m/>
    <x v="17"/>
    <x v="1"/>
  </r>
  <r>
    <x v="445"/>
    <x v="0"/>
    <x v="13"/>
    <n v="1"/>
    <n v="269.99"/>
    <n v="0.2"/>
    <n v="269.99"/>
    <m/>
    <x v="12"/>
    <x v="1"/>
  </r>
  <r>
    <x v="445"/>
    <x v="1"/>
    <x v="3"/>
    <n v="2"/>
    <n v="599.99"/>
    <n v="7.0000000000000007E-2"/>
    <n v="1199.98"/>
    <m/>
    <x v="3"/>
    <x v="1"/>
  </r>
  <r>
    <x v="446"/>
    <x v="0"/>
    <x v="4"/>
    <n v="2"/>
    <n v="2899.99"/>
    <n v="0.05"/>
    <n v="5799.98"/>
    <m/>
    <x v="4"/>
    <x v="2"/>
  </r>
  <r>
    <x v="446"/>
    <x v="1"/>
    <x v="5"/>
    <n v="1"/>
    <n v="999.99"/>
    <n v="0.1"/>
    <n v="999.99"/>
    <m/>
    <x v="5"/>
    <x v="2"/>
  </r>
  <r>
    <x v="446"/>
    <x v="2"/>
    <x v="1"/>
    <n v="1"/>
    <n v="1799.99"/>
    <n v="7.0000000000000007E-2"/>
    <n v="1799.99"/>
    <m/>
    <x v="1"/>
    <x v="2"/>
  </r>
  <r>
    <x v="447"/>
    <x v="0"/>
    <x v="17"/>
    <n v="2"/>
    <n v="269.99"/>
    <n v="0.05"/>
    <n v="539.98"/>
    <m/>
    <x v="15"/>
    <x v="1"/>
  </r>
  <r>
    <x v="447"/>
    <x v="1"/>
    <x v="18"/>
    <n v="2"/>
    <n v="469.99"/>
    <n v="0.05"/>
    <n v="939.98"/>
    <m/>
    <x v="16"/>
    <x v="1"/>
  </r>
  <r>
    <x v="448"/>
    <x v="0"/>
    <x v="7"/>
    <n v="2"/>
    <n v="429"/>
    <n v="0.05"/>
    <n v="858"/>
    <m/>
    <x v="7"/>
    <x v="1"/>
  </r>
  <r>
    <x v="448"/>
    <x v="1"/>
    <x v="6"/>
    <n v="1"/>
    <n v="749.99"/>
    <n v="0.05"/>
    <n v="749.99"/>
    <m/>
    <x v="6"/>
    <x v="1"/>
  </r>
  <r>
    <x v="448"/>
    <x v="2"/>
    <x v="14"/>
    <n v="2"/>
    <n v="3999.99"/>
    <n v="7.0000000000000007E-2"/>
    <n v="7999.98"/>
    <m/>
    <x v="13"/>
    <x v="1"/>
  </r>
  <r>
    <x v="448"/>
    <x v="3"/>
    <x v="8"/>
    <n v="2"/>
    <n v="599.99"/>
    <n v="0.2"/>
    <n v="1199.98"/>
    <m/>
    <x v="3"/>
    <x v="1"/>
  </r>
  <r>
    <x v="449"/>
    <x v="0"/>
    <x v="24"/>
    <n v="1"/>
    <n v="549.99"/>
    <n v="0.05"/>
    <n v="549.99"/>
    <m/>
    <x v="9"/>
    <x v="1"/>
  </r>
  <r>
    <x v="449"/>
    <x v="1"/>
    <x v="10"/>
    <n v="1"/>
    <n v="549.99"/>
    <n v="7.0000000000000007E-2"/>
    <n v="549.99"/>
    <m/>
    <x v="9"/>
    <x v="1"/>
  </r>
  <r>
    <x v="449"/>
    <x v="2"/>
    <x v="21"/>
    <n v="1"/>
    <n v="1320.99"/>
    <n v="0.1"/>
    <n v="1320.99"/>
    <m/>
    <x v="18"/>
    <x v="1"/>
  </r>
  <r>
    <x v="450"/>
    <x v="0"/>
    <x v="15"/>
    <n v="2"/>
    <n v="269.99"/>
    <n v="0.05"/>
    <n v="539.98"/>
    <m/>
    <x v="12"/>
    <x v="1"/>
  </r>
  <r>
    <x v="451"/>
    <x v="0"/>
    <x v="16"/>
    <n v="1"/>
    <n v="1680.99"/>
    <n v="0.05"/>
    <n v="1680.99"/>
    <m/>
    <x v="14"/>
    <x v="1"/>
  </r>
  <r>
    <x v="451"/>
    <x v="1"/>
    <x v="3"/>
    <n v="1"/>
    <n v="599.99"/>
    <n v="0.05"/>
    <n v="599.99"/>
    <m/>
    <x v="3"/>
    <x v="1"/>
  </r>
  <r>
    <x v="451"/>
    <x v="2"/>
    <x v="14"/>
    <n v="2"/>
    <n v="3999.99"/>
    <n v="0.1"/>
    <n v="7999.98"/>
    <m/>
    <x v="13"/>
    <x v="1"/>
  </r>
  <r>
    <x v="451"/>
    <x v="3"/>
    <x v="1"/>
    <n v="1"/>
    <n v="1799.99"/>
    <n v="0.1"/>
    <n v="1799.99"/>
    <m/>
    <x v="1"/>
    <x v="1"/>
  </r>
  <r>
    <x v="452"/>
    <x v="0"/>
    <x v="19"/>
    <n v="1"/>
    <n v="299.99"/>
    <n v="0.05"/>
    <n v="299.99"/>
    <m/>
    <x v="17"/>
    <x v="1"/>
  </r>
  <r>
    <x v="452"/>
    <x v="1"/>
    <x v="0"/>
    <n v="2"/>
    <n v="599.99"/>
    <n v="0.2"/>
    <n v="1199.98"/>
    <m/>
    <x v="0"/>
    <x v="1"/>
  </r>
  <r>
    <x v="452"/>
    <x v="2"/>
    <x v="4"/>
    <n v="1"/>
    <n v="2899.99"/>
    <n v="0.2"/>
    <n v="2899.99"/>
    <m/>
    <x v="4"/>
    <x v="1"/>
  </r>
  <r>
    <x v="453"/>
    <x v="0"/>
    <x v="22"/>
    <n v="2"/>
    <n v="499.99"/>
    <n v="7.0000000000000007E-2"/>
    <n v="999.98"/>
    <m/>
    <x v="19"/>
    <x v="1"/>
  </r>
  <r>
    <x v="453"/>
    <x v="1"/>
    <x v="17"/>
    <n v="2"/>
    <n v="269.99"/>
    <n v="0.05"/>
    <n v="539.98"/>
    <m/>
    <x v="15"/>
    <x v="1"/>
  </r>
  <r>
    <x v="453"/>
    <x v="2"/>
    <x v="24"/>
    <n v="2"/>
    <n v="549.99"/>
    <n v="0.1"/>
    <n v="1099.98"/>
    <m/>
    <x v="9"/>
    <x v="1"/>
  </r>
  <r>
    <x v="454"/>
    <x v="0"/>
    <x v="11"/>
    <n v="1"/>
    <n v="2999.99"/>
    <n v="0.05"/>
    <n v="2999.99"/>
    <m/>
    <x v="10"/>
    <x v="1"/>
  </r>
  <r>
    <x v="455"/>
    <x v="0"/>
    <x v="7"/>
    <n v="2"/>
    <n v="429"/>
    <n v="7.0000000000000007E-2"/>
    <n v="858"/>
    <m/>
    <x v="7"/>
    <x v="2"/>
  </r>
  <r>
    <x v="455"/>
    <x v="1"/>
    <x v="19"/>
    <n v="1"/>
    <n v="299.99"/>
    <n v="7.0000000000000007E-2"/>
    <n v="299.99"/>
    <m/>
    <x v="17"/>
    <x v="2"/>
  </r>
  <r>
    <x v="456"/>
    <x v="0"/>
    <x v="24"/>
    <n v="2"/>
    <n v="549.99"/>
    <n v="7.0000000000000007E-2"/>
    <n v="1099.98"/>
    <m/>
    <x v="9"/>
    <x v="0"/>
  </r>
  <r>
    <x v="456"/>
    <x v="1"/>
    <x v="6"/>
    <n v="1"/>
    <n v="749.99"/>
    <n v="0.05"/>
    <n v="749.99"/>
    <m/>
    <x v="6"/>
    <x v="0"/>
  </r>
  <r>
    <x v="456"/>
    <x v="2"/>
    <x v="14"/>
    <n v="2"/>
    <n v="3999.99"/>
    <n v="0.1"/>
    <n v="7999.98"/>
    <m/>
    <x v="13"/>
    <x v="0"/>
  </r>
  <r>
    <x v="456"/>
    <x v="3"/>
    <x v="7"/>
    <n v="1"/>
    <n v="429"/>
    <n v="0.2"/>
    <n v="429"/>
    <m/>
    <x v="7"/>
    <x v="0"/>
  </r>
  <r>
    <x v="457"/>
    <x v="0"/>
    <x v="6"/>
    <n v="1"/>
    <n v="749.99"/>
    <n v="0.2"/>
    <n v="749.99"/>
    <m/>
    <x v="6"/>
    <x v="1"/>
  </r>
  <r>
    <x v="457"/>
    <x v="1"/>
    <x v="20"/>
    <n v="2"/>
    <n v="269.99"/>
    <n v="7.0000000000000007E-2"/>
    <n v="539.98"/>
    <m/>
    <x v="15"/>
    <x v="1"/>
  </r>
  <r>
    <x v="457"/>
    <x v="2"/>
    <x v="16"/>
    <n v="1"/>
    <n v="1680.99"/>
    <n v="0.1"/>
    <n v="1680.99"/>
    <m/>
    <x v="14"/>
    <x v="1"/>
  </r>
  <r>
    <x v="457"/>
    <x v="3"/>
    <x v="24"/>
    <n v="1"/>
    <n v="549.99"/>
    <n v="0.2"/>
    <n v="549.99"/>
    <m/>
    <x v="9"/>
    <x v="1"/>
  </r>
  <r>
    <x v="457"/>
    <x v="4"/>
    <x v="5"/>
    <n v="2"/>
    <n v="999.99"/>
    <n v="0.2"/>
    <n v="1999.98"/>
    <m/>
    <x v="5"/>
    <x v="1"/>
  </r>
  <r>
    <x v="458"/>
    <x v="0"/>
    <x v="16"/>
    <n v="1"/>
    <n v="1680.99"/>
    <n v="0.2"/>
    <n v="1680.99"/>
    <m/>
    <x v="14"/>
    <x v="1"/>
  </r>
  <r>
    <x v="459"/>
    <x v="0"/>
    <x v="23"/>
    <n v="1"/>
    <n v="449"/>
    <n v="0.05"/>
    <n v="449"/>
    <m/>
    <x v="20"/>
    <x v="2"/>
  </r>
  <r>
    <x v="459"/>
    <x v="1"/>
    <x v="9"/>
    <n v="2"/>
    <n v="449"/>
    <n v="7.0000000000000007E-2"/>
    <n v="898"/>
    <m/>
    <x v="8"/>
    <x v="2"/>
  </r>
  <r>
    <x v="459"/>
    <x v="2"/>
    <x v="4"/>
    <n v="1"/>
    <n v="2899.99"/>
    <n v="0.2"/>
    <n v="2899.99"/>
    <m/>
    <x v="4"/>
    <x v="2"/>
  </r>
  <r>
    <x v="459"/>
    <x v="3"/>
    <x v="13"/>
    <n v="2"/>
    <n v="269.99"/>
    <n v="0.1"/>
    <n v="539.98"/>
    <m/>
    <x v="12"/>
    <x v="2"/>
  </r>
  <r>
    <x v="460"/>
    <x v="0"/>
    <x v="3"/>
    <n v="1"/>
    <n v="599.99"/>
    <n v="7.0000000000000007E-2"/>
    <n v="599.99"/>
    <m/>
    <x v="3"/>
    <x v="1"/>
  </r>
  <r>
    <x v="460"/>
    <x v="1"/>
    <x v="4"/>
    <n v="1"/>
    <n v="2899.99"/>
    <n v="0.2"/>
    <n v="2899.99"/>
    <m/>
    <x v="4"/>
    <x v="1"/>
  </r>
  <r>
    <x v="460"/>
    <x v="2"/>
    <x v="1"/>
    <n v="2"/>
    <n v="1799.99"/>
    <n v="0.05"/>
    <n v="3599.98"/>
    <m/>
    <x v="1"/>
    <x v="1"/>
  </r>
  <r>
    <x v="460"/>
    <x v="3"/>
    <x v="24"/>
    <n v="1"/>
    <n v="549.99"/>
    <n v="0.1"/>
    <n v="549.99"/>
    <m/>
    <x v="9"/>
    <x v="1"/>
  </r>
  <r>
    <x v="460"/>
    <x v="4"/>
    <x v="9"/>
    <n v="2"/>
    <n v="449"/>
    <n v="0.1"/>
    <n v="898"/>
    <m/>
    <x v="8"/>
    <x v="1"/>
  </r>
  <r>
    <x v="461"/>
    <x v="0"/>
    <x v="10"/>
    <n v="2"/>
    <n v="549.99"/>
    <n v="0.1"/>
    <n v="1099.98"/>
    <m/>
    <x v="9"/>
    <x v="1"/>
  </r>
  <r>
    <x v="462"/>
    <x v="0"/>
    <x v="17"/>
    <n v="2"/>
    <n v="269.99"/>
    <n v="7.0000000000000007E-2"/>
    <n v="539.98"/>
    <m/>
    <x v="15"/>
    <x v="2"/>
  </r>
  <r>
    <x v="463"/>
    <x v="0"/>
    <x v="14"/>
    <n v="1"/>
    <n v="3999.99"/>
    <n v="0.1"/>
    <n v="3999.99"/>
    <m/>
    <x v="13"/>
    <x v="1"/>
  </r>
  <r>
    <x v="464"/>
    <x v="0"/>
    <x v="18"/>
    <n v="2"/>
    <n v="469.99"/>
    <n v="0.1"/>
    <n v="939.98"/>
    <m/>
    <x v="16"/>
    <x v="1"/>
  </r>
  <r>
    <x v="464"/>
    <x v="1"/>
    <x v="22"/>
    <n v="2"/>
    <n v="499.99"/>
    <n v="0.1"/>
    <n v="999.98"/>
    <m/>
    <x v="19"/>
    <x v="1"/>
  </r>
  <r>
    <x v="465"/>
    <x v="0"/>
    <x v="23"/>
    <n v="2"/>
    <n v="449"/>
    <n v="0.2"/>
    <n v="898"/>
    <m/>
    <x v="20"/>
    <x v="1"/>
  </r>
  <r>
    <x v="465"/>
    <x v="1"/>
    <x v="18"/>
    <n v="1"/>
    <n v="469.99"/>
    <n v="0.2"/>
    <n v="469.99"/>
    <m/>
    <x v="16"/>
    <x v="1"/>
  </r>
  <r>
    <x v="465"/>
    <x v="2"/>
    <x v="14"/>
    <n v="2"/>
    <n v="3999.99"/>
    <n v="0.05"/>
    <n v="7999.98"/>
    <m/>
    <x v="13"/>
    <x v="1"/>
  </r>
  <r>
    <x v="465"/>
    <x v="3"/>
    <x v="12"/>
    <n v="1"/>
    <n v="529.99"/>
    <n v="0.1"/>
    <n v="529.99"/>
    <m/>
    <x v="11"/>
    <x v="1"/>
  </r>
  <r>
    <x v="465"/>
    <x v="4"/>
    <x v="21"/>
    <n v="1"/>
    <n v="1320.99"/>
    <n v="0.1"/>
    <n v="1320.99"/>
    <m/>
    <x v="18"/>
    <x v="1"/>
  </r>
  <r>
    <x v="466"/>
    <x v="0"/>
    <x v="23"/>
    <n v="1"/>
    <n v="449"/>
    <n v="7.0000000000000007E-2"/>
    <n v="449"/>
    <m/>
    <x v="20"/>
    <x v="2"/>
  </r>
  <r>
    <x v="466"/>
    <x v="1"/>
    <x v="2"/>
    <n v="1"/>
    <n v="1549"/>
    <n v="7.0000000000000007E-2"/>
    <n v="1549"/>
    <m/>
    <x v="2"/>
    <x v="2"/>
  </r>
  <r>
    <x v="466"/>
    <x v="2"/>
    <x v="13"/>
    <n v="2"/>
    <n v="269.99"/>
    <n v="0.1"/>
    <n v="539.98"/>
    <m/>
    <x v="12"/>
    <x v="2"/>
  </r>
  <r>
    <x v="466"/>
    <x v="3"/>
    <x v="7"/>
    <n v="2"/>
    <n v="429"/>
    <n v="7.0000000000000007E-2"/>
    <n v="858"/>
    <m/>
    <x v="7"/>
    <x v="2"/>
  </r>
  <r>
    <x v="466"/>
    <x v="4"/>
    <x v="16"/>
    <n v="1"/>
    <n v="1680.99"/>
    <n v="0.1"/>
    <n v="1680.99"/>
    <m/>
    <x v="14"/>
    <x v="2"/>
  </r>
  <r>
    <x v="467"/>
    <x v="0"/>
    <x v="23"/>
    <n v="1"/>
    <n v="449"/>
    <n v="0.1"/>
    <n v="449"/>
    <m/>
    <x v="20"/>
    <x v="0"/>
  </r>
  <r>
    <x v="467"/>
    <x v="1"/>
    <x v="11"/>
    <n v="2"/>
    <n v="2999.99"/>
    <n v="0.05"/>
    <n v="5999.98"/>
    <m/>
    <x v="10"/>
    <x v="0"/>
  </r>
  <r>
    <x v="467"/>
    <x v="2"/>
    <x v="2"/>
    <n v="2"/>
    <n v="1549"/>
    <n v="0.05"/>
    <n v="3098"/>
    <m/>
    <x v="2"/>
    <x v="0"/>
  </r>
  <r>
    <x v="467"/>
    <x v="3"/>
    <x v="22"/>
    <n v="1"/>
    <n v="499.99"/>
    <n v="0.1"/>
    <n v="499.99"/>
    <m/>
    <x v="19"/>
    <x v="0"/>
  </r>
  <r>
    <x v="468"/>
    <x v="0"/>
    <x v="1"/>
    <n v="2"/>
    <n v="1799.99"/>
    <n v="0.1"/>
    <n v="3599.98"/>
    <m/>
    <x v="1"/>
    <x v="1"/>
  </r>
  <r>
    <x v="468"/>
    <x v="1"/>
    <x v="4"/>
    <n v="1"/>
    <n v="2899.99"/>
    <n v="7.0000000000000007E-2"/>
    <n v="2899.99"/>
    <m/>
    <x v="4"/>
    <x v="1"/>
  </r>
  <r>
    <x v="468"/>
    <x v="2"/>
    <x v="12"/>
    <n v="2"/>
    <n v="529.99"/>
    <n v="0.2"/>
    <n v="1059.98"/>
    <m/>
    <x v="11"/>
    <x v="1"/>
  </r>
  <r>
    <x v="469"/>
    <x v="0"/>
    <x v="9"/>
    <n v="1"/>
    <n v="449"/>
    <n v="0.05"/>
    <n v="449"/>
    <m/>
    <x v="8"/>
    <x v="0"/>
  </r>
  <r>
    <x v="469"/>
    <x v="1"/>
    <x v="17"/>
    <n v="1"/>
    <n v="269.99"/>
    <n v="0.05"/>
    <n v="269.99"/>
    <m/>
    <x v="15"/>
    <x v="0"/>
  </r>
  <r>
    <x v="469"/>
    <x v="2"/>
    <x v="1"/>
    <n v="2"/>
    <n v="1799.99"/>
    <n v="0.2"/>
    <n v="3599.98"/>
    <m/>
    <x v="1"/>
    <x v="0"/>
  </r>
  <r>
    <x v="470"/>
    <x v="0"/>
    <x v="15"/>
    <n v="1"/>
    <n v="269.99"/>
    <n v="0.2"/>
    <n v="269.99"/>
    <m/>
    <x v="12"/>
    <x v="0"/>
  </r>
  <r>
    <x v="470"/>
    <x v="1"/>
    <x v="17"/>
    <n v="2"/>
    <n v="269.99"/>
    <n v="0.05"/>
    <n v="539.98"/>
    <m/>
    <x v="15"/>
    <x v="0"/>
  </r>
  <r>
    <x v="471"/>
    <x v="0"/>
    <x v="12"/>
    <n v="1"/>
    <n v="529.99"/>
    <n v="0.1"/>
    <n v="529.99"/>
    <m/>
    <x v="11"/>
    <x v="1"/>
  </r>
  <r>
    <x v="471"/>
    <x v="1"/>
    <x v="20"/>
    <n v="2"/>
    <n v="269.99"/>
    <n v="0.1"/>
    <n v="539.98"/>
    <m/>
    <x v="15"/>
    <x v="1"/>
  </r>
  <r>
    <x v="472"/>
    <x v="0"/>
    <x v="8"/>
    <n v="1"/>
    <n v="599.99"/>
    <n v="7.0000000000000007E-2"/>
    <n v="599.99"/>
    <m/>
    <x v="3"/>
    <x v="1"/>
  </r>
  <r>
    <x v="473"/>
    <x v="0"/>
    <x v="23"/>
    <n v="2"/>
    <n v="449"/>
    <n v="0.05"/>
    <n v="898"/>
    <m/>
    <x v="20"/>
    <x v="0"/>
  </r>
  <r>
    <x v="473"/>
    <x v="1"/>
    <x v="16"/>
    <n v="1"/>
    <n v="1680.99"/>
    <n v="0.2"/>
    <n v="1680.99"/>
    <m/>
    <x v="14"/>
    <x v="0"/>
  </r>
  <r>
    <x v="474"/>
    <x v="0"/>
    <x v="7"/>
    <n v="2"/>
    <n v="429"/>
    <n v="7.0000000000000007E-2"/>
    <n v="858"/>
    <m/>
    <x v="7"/>
    <x v="1"/>
  </r>
  <r>
    <x v="474"/>
    <x v="1"/>
    <x v="8"/>
    <n v="2"/>
    <n v="599.99"/>
    <n v="0.2"/>
    <n v="1199.98"/>
    <m/>
    <x v="3"/>
    <x v="1"/>
  </r>
  <r>
    <x v="474"/>
    <x v="2"/>
    <x v="22"/>
    <n v="1"/>
    <n v="499.99"/>
    <n v="0.2"/>
    <n v="499.99"/>
    <m/>
    <x v="19"/>
    <x v="1"/>
  </r>
  <r>
    <x v="475"/>
    <x v="0"/>
    <x v="13"/>
    <n v="2"/>
    <n v="269.99"/>
    <n v="7.0000000000000007E-2"/>
    <n v="539.98"/>
    <m/>
    <x v="12"/>
    <x v="1"/>
  </r>
  <r>
    <x v="475"/>
    <x v="1"/>
    <x v="4"/>
    <n v="2"/>
    <n v="2899.99"/>
    <n v="0.2"/>
    <n v="5799.98"/>
    <m/>
    <x v="4"/>
    <x v="1"/>
  </r>
  <r>
    <x v="475"/>
    <x v="2"/>
    <x v="16"/>
    <n v="2"/>
    <n v="1680.99"/>
    <n v="7.0000000000000007E-2"/>
    <n v="3361.98"/>
    <m/>
    <x v="14"/>
    <x v="1"/>
  </r>
  <r>
    <x v="475"/>
    <x v="3"/>
    <x v="0"/>
    <n v="2"/>
    <n v="599.99"/>
    <n v="0.05"/>
    <n v="1199.98"/>
    <m/>
    <x v="0"/>
    <x v="1"/>
  </r>
  <r>
    <x v="476"/>
    <x v="0"/>
    <x v="18"/>
    <n v="1"/>
    <n v="469.99"/>
    <n v="0.1"/>
    <n v="469.99"/>
    <m/>
    <x v="16"/>
    <x v="0"/>
  </r>
  <r>
    <x v="476"/>
    <x v="1"/>
    <x v="2"/>
    <n v="1"/>
    <n v="1549"/>
    <n v="0.05"/>
    <n v="1549"/>
    <m/>
    <x v="2"/>
    <x v="0"/>
  </r>
  <r>
    <x v="477"/>
    <x v="0"/>
    <x v="20"/>
    <n v="2"/>
    <n v="269.99"/>
    <n v="7.0000000000000007E-2"/>
    <n v="539.98"/>
    <m/>
    <x v="15"/>
    <x v="1"/>
  </r>
  <r>
    <x v="478"/>
    <x v="0"/>
    <x v="8"/>
    <n v="1"/>
    <n v="599.99"/>
    <n v="7.0000000000000007E-2"/>
    <n v="599.99"/>
    <m/>
    <x v="3"/>
    <x v="1"/>
  </r>
  <r>
    <x v="478"/>
    <x v="1"/>
    <x v="10"/>
    <n v="1"/>
    <n v="549.99"/>
    <n v="0.05"/>
    <n v="549.99"/>
    <m/>
    <x v="9"/>
    <x v="1"/>
  </r>
  <r>
    <x v="478"/>
    <x v="2"/>
    <x v="20"/>
    <n v="1"/>
    <n v="269.99"/>
    <n v="0.2"/>
    <n v="269.99"/>
    <m/>
    <x v="15"/>
    <x v="1"/>
  </r>
  <r>
    <x v="478"/>
    <x v="3"/>
    <x v="14"/>
    <n v="1"/>
    <n v="3999.99"/>
    <n v="0.05"/>
    <n v="3999.99"/>
    <m/>
    <x v="13"/>
    <x v="1"/>
  </r>
  <r>
    <x v="478"/>
    <x v="4"/>
    <x v="2"/>
    <n v="1"/>
    <n v="1549"/>
    <n v="0.2"/>
    <n v="1549"/>
    <m/>
    <x v="2"/>
    <x v="1"/>
  </r>
  <r>
    <x v="479"/>
    <x v="0"/>
    <x v="4"/>
    <n v="1"/>
    <n v="2899.99"/>
    <n v="0.05"/>
    <n v="2899.99"/>
    <m/>
    <x v="4"/>
    <x v="0"/>
  </r>
  <r>
    <x v="479"/>
    <x v="1"/>
    <x v="12"/>
    <n v="1"/>
    <n v="529.99"/>
    <n v="0.05"/>
    <n v="529.99"/>
    <m/>
    <x v="11"/>
    <x v="0"/>
  </r>
  <r>
    <x v="479"/>
    <x v="2"/>
    <x v="19"/>
    <n v="2"/>
    <n v="299.99"/>
    <n v="7.0000000000000007E-2"/>
    <n v="599.98"/>
    <m/>
    <x v="17"/>
    <x v="0"/>
  </r>
  <r>
    <x v="480"/>
    <x v="0"/>
    <x v="17"/>
    <n v="2"/>
    <n v="269.99"/>
    <n v="0.2"/>
    <n v="539.98"/>
    <m/>
    <x v="15"/>
    <x v="2"/>
  </r>
  <r>
    <x v="480"/>
    <x v="1"/>
    <x v="3"/>
    <n v="2"/>
    <n v="599.99"/>
    <n v="7.0000000000000007E-2"/>
    <n v="1199.98"/>
    <m/>
    <x v="3"/>
    <x v="2"/>
  </r>
  <r>
    <x v="480"/>
    <x v="2"/>
    <x v="11"/>
    <n v="2"/>
    <n v="2999.99"/>
    <n v="0.1"/>
    <n v="5999.98"/>
    <m/>
    <x v="10"/>
    <x v="2"/>
  </r>
  <r>
    <x v="481"/>
    <x v="0"/>
    <x v="17"/>
    <n v="1"/>
    <n v="269.99"/>
    <n v="0.2"/>
    <n v="269.99"/>
    <m/>
    <x v="15"/>
    <x v="1"/>
  </r>
  <r>
    <x v="481"/>
    <x v="1"/>
    <x v="15"/>
    <n v="1"/>
    <n v="269.99"/>
    <n v="0.1"/>
    <n v="269.99"/>
    <m/>
    <x v="12"/>
    <x v="1"/>
  </r>
  <r>
    <x v="482"/>
    <x v="0"/>
    <x v="7"/>
    <n v="1"/>
    <n v="429"/>
    <n v="7.0000000000000007E-2"/>
    <n v="429"/>
    <m/>
    <x v="7"/>
    <x v="0"/>
  </r>
  <r>
    <x v="483"/>
    <x v="0"/>
    <x v="1"/>
    <n v="2"/>
    <n v="1799.99"/>
    <n v="0.1"/>
    <n v="3599.98"/>
    <m/>
    <x v="1"/>
    <x v="1"/>
  </r>
  <r>
    <x v="483"/>
    <x v="1"/>
    <x v="24"/>
    <n v="1"/>
    <n v="549.99"/>
    <n v="0.05"/>
    <n v="549.99"/>
    <m/>
    <x v="9"/>
    <x v="1"/>
  </r>
  <r>
    <x v="483"/>
    <x v="2"/>
    <x v="11"/>
    <n v="2"/>
    <n v="2999.99"/>
    <n v="0.05"/>
    <n v="5999.98"/>
    <m/>
    <x v="10"/>
    <x v="1"/>
  </r>
  <r>
    <x v="483"/>
    <x v="3"/>
    <x v="18"/>
    <n v="1"/>
    <n v="469.99"/>
    <n v="0.2"/>
    <n v="469.99"/>
    <m/>
    <x v="16"/>
    <x v="1"/>
  </r>
  <r>
    <x v="484"/>
    <x v="0"/>
    <x v="17"/>
    <n v="1"/>
    <n v="269.99"/>
    <n v="0.1"/>
    <n v="269.99"/>
    <m/>
    <x v="15"/>
    <x v="1"/>
  </r>
  <r>
    <x v="484"/>
    <x v="1"/>
    <x v="8"/>
    <n v="2"/>
    <n v="599.99"/>
    <n v="0.05"/>
    <n v="1199.98"/>
    <m/>
    <x v="3"/>
    <x v="1"/>
  </r>
  <r>
    <x v="485"/>
    <x v="0"/>
    <x v="11"/>
    <n v="1"/>
    <n v="2999.99"/>
    <n v="7.0000000000000007E-2"/>
    <n v="2999.99"/>
    <m/>
    <x v="10"/>
    <x v="1"/>
  </r>
  <r>
    <x v="485"/>
    <x v="1"/>
    <x v="19"/>
    <n v="2"/>
    <n v="299.99"/>
    <n v="0.05"/>
    <n v="599.98"/>
    <m/>
    <x v="17"/>
    <x v="1"/>
  </r>
  <r>
    <x v="486"/>
    <x v="0"/>
    <x v="18"/>
    <n v="1"/>
    <n v="469.99"/>
    <n v="0.2"/>
    <n v="469.99"/>
    <m/>
    <x v="16"/>
    <x v="1"/>
  </r>
  <r>
    <x v="487"/>
    <x v="0"/>
    <x v="17"/>
    <n v="2"/>
    <n v="269.99"/>
    <n v="7.0000000000000007E-2"/>
    <n v="539.98"/>
    <m/>
    <x v="15"/>
    <x v="1"/>
  </r>
  <r>
    <x v="487"/>
    <x v="1"/>
    <x v="19"/>
    <n v="2"/>
    <n v="299.99"/>
    <n v="0.05"/>
    <n v="599.98"/>
    <m/>
    <x v="17"/>
    <x v="1"/>
  </r>
  <r>
    <x v="487"/>
    <x v="2"/>
    <x v="13"/>
    <n v="1"/>
    <n v="269.99"/>
    <n v="0.05"/>
    <n v="269.99"/>
    <m/>
    <x v="12"/>
    <x v="1"/>
  </r>
  <r>
    <x v="488"/>
    <x v="0"/>
    <x v="1"/>
    <n v="2"/>
    <n v="1799.99"/>
    <n v="0.1"/>
    <n v="3599.98"/>
    <m/>
    <x v="1"/>
    <x v="2"/>
  </r>
  <r>
    <x v="489"/>
    <x v="0"/>
    <x v="10"/>
    <n v="1"/>
    <n v="549.99"/>
    <n v="0.1"/>
    <n v="549.99"/>
    <m/>
    <x v="9"/>
    <x v="1"/>
  </r>
  <r>
    <x v="489"/>
    <x v="1"/>
    <x v="19"/>
    <n v="1"/>
    <n v="299.99"/>
    <n v="0.05"/>
    <n v="299.99"/>
    <m/>
    <x v="17"/>
    <x v="1"/>
  </r>
  <r>
    <x v="489"/>
    <x v="2"/>
    <x v="15"/>
    <n v="1"/>
    <n v="269.99"/>
    <n v="0.1"/>
    <n v="269.99"/>
    <m/>
    <x v="12"/>
    <x v="1"/>
  </r>
  <r>
    <x v="489"/>
    <x v="3"/>
    <x v="17"/>
    <n v="2"/>
    <n v="269.99"/>
    <n v="7.0000000000000007E-2"/>
    <n v="539.98"/>
    <m/>
    <x v="15"/>
    <x v="1"/>
  </r>
  <r>
    <x v="490"/>
    <x v="0"/>
    <x v="11"/>
    <n v="2"/>
    <n v="2999.99"/>
    <n v="0.2"/>
    <n v="5999.98"/>
    <m/>
    <x v="10"/>
    <x v="0"/>
  </r>
  <r>
    <x v="490"/>
    <x v="1"/>
    <x v="20"/>
    <n v="2"/>
    <n v="269.99"/>
    <n v="0.05"/>
    <n v="539.98"/>
    <m/>
    <x v="15"/>
    <x v="0"/>
  </r>
  <r>
    <x v="490"/>
    <x v="2"/>
    <x v="12"/>
    <n v="2"/>
    <n v="529.99"/>
    <n v="0.05"/>
    <n v="1059.98"/>
    <m/>
    <x v="11"/>
    <x v="0"/>
  </r>
  <r>
    <x v="491"/>
    <x v="0"/>
    <x v="18"/>
    <n v="1"/>
    <n v="469.99"/>
    <n v="0.1"/>
    <n v="469.99"/>
    <m/>
    <x v="16"/>
    <x v="0"/>
  </r>
  <r>
    <x v="491"/>
    <x v="1"/>
    <x v="13"/>
    <n v="2"/>
    <n v="269.99"/>
    <n v="0.1"/>
    <n v="539.98"/>
    <m/>
    <x v="12"/>
    <x v="0"/>
  </r>
  <r>
    <x v="491"/>
    <x v="2"/>
    <x v="8"/>
    <n v="1"/>
    <n v="599.99"/>
    <n v="0.05"/>
    <n v="599.99"/>
    <m/>
    <x v="3"/>
    <x v="0"/>
  </r>
  <r>
    <x v="492"/>
    <x v="0"/>
    <x v="12"/>
    <n v="1"/>
    <n v="529.99"/>
    <n v="0.05"/>
    <n v="529.99"/>
    <m/>
    <x v="11"/>
    <x v="0"/>
  </r>
  <r>
    <x v="492"/>
    <x v="1"/>
    <x v="9"/>
    <n v="2"/>
    <n v="449"/>
    <n v="0.05"/>
    <n v="898"/>
    <m/>
    <x v="8"/>
    <x v="0"/>
  </r>
  <r>
    <x v="492"/>
    <x v="2"/>
    <x v="8"/>
    <n v="1"/>
    <n v="599.99"/>
    <n v="0.05"/>
    <n v="599.99"/>
    <m/>
    <x v="3"/>
    <x v="0"/>
  </r>
  <r>
    <x v="493"/>
    <x v="0"/>
    <x v="19"/>
    <n v="1"/>
    <n v="299.99"/>
    <n v="0.1"/>
    <n v="299.99"/>
    <m/>
    <x v="17"/>
    <x v="1"/>
  </r>
  <r>
    <x v="494"/>
    <x v="0"/>
    <x v="13"/>
    <n v="1"/>
    <n v="269.99"/>
    <n v="0.2"/>
    <n v="269.99"/>
    <m/>
    <x v="12"/>
    <x v="0"/>
  </r>
  <r>
    <x v="494"/>
    <x v="1"/>
    <x v="11"/>
    <n v="1"/>
    <n v="2999.99"/>
    <n v="0.05"/>
    <n v="2999.99"/>
    <m/>
    <x v="10"/>
    <x v="0"/>
  </r>
  <r>
    <x v="495"/>
    <x v="0"/>
    <x v="19"/>
    <n v="1"/>
    <n v="299.99"/>
    <n v="0.2"/>
    <n v="299.99"/>
    <m/>
    <x v="17"/>
    <x v="1"/>
  </r>
  <r>
    <x v="495"/>
    <x v="1"/>
    <x v="17"/>
    <n v="1"/>
    <n v="269.99"/>
    <n v="0.1"/>
    <n v="269.99"/>
    <m/>
    <x v="15"/>
    <x v="1"/>
  </r>
  <r>
    <x v="495"/>
    <x v="2"/>
    <x v="20"/>
    <n v="2"/>
    <n v="269.99"/>
    <n v="0.2"/>
    <n v="539.98"/>
    <m/>
    <x v="15"/>
    <x v="1"/>
  </r>
  <r>
    <x v="496"/>
    <x v="0"/>
    <x v="22"/>
    <n v="2"/>
    <n v="499.99"/>
    <n v="7.0000000000000007E-2"/>
    <n v="999.98"/>
    <m/>
    <x v="19"/>
    <x v="1"/>
  </r>
  <r>
    <x v="497"/>
    <x v="0"/>
    <x v="24"/>
    <n v="1"/>
    <n v="549.99"/>
    <n v="7.0000000000000007E-2"/>
    <n v="549.99"/>
    <m/>
    <x v="9"/>
    <x v="1"/>
  </r>
  <r>
    <x v="497"/>
    <x v="1"/>
    <x v="20"/>
    <n v="1"/>
    <n v="269.99"/>
    <n v="0.1"/>
    <n v="269.99"/>
    <m/>
    <x v="15"/>
    <x v="1"/>
  </r>
  <r>
    <x v="497"/>
    <x v="2"/>
    <x v="2"/>
    <n v="1"/>
    <n v="1549"/>
    <n v="7.0000000000000007E-2"/>
    <n v="1549"/>
    <m/>
    <x v="2"/>
    <x v="1"/>
  </r>
  <r>
    <x v="498"/>
    <x v="0"/>
    <x v="16"/>
    <n v="1"/>
    <n v="1680.99"/>
    <n v="0.2"/>
    <n v="1680.99"/>
    <m/>
    <x v="14"/>
    <x v="0"/>
  </r>
  <r>
    <x v="498"/>
    <x v="1"/>
    <x v="12"/>
    <n v="1"/>
    <n v="529.99"/>
    <n v="7.0000000000000007E-2"/>
    <n v="529.99"/>
    <m/>
    <x v="11"/>
    <x v="0"/>
  </r>
  <r>
    <x v="498"/>
    <x v="2"/>
    <x v="15"/>
    <n v="2"/>
    <n v="269.99"/>
    <n v="0.2"/>
    <n v="539.98"/>
    <m/>
    <x v="12"/>
    <x v="0"/>
  </r>
  <r>
    <x v="498"/>
    <x v="3"/>
    <x v="0"/>
    <n v="2"/>
    <n v="599.99"/>
    <n v="0.1"/>
    <n v="1199.98"/>
    <m/>
    <x v="0"/>
    <x v="0"/>
  </r>
  <r>
    <x v="499"/>
    <x v="0"/>
    <x v="10"/>
    <n v="2"/>
    <n v="549.99"/>
    <n v="0.05"/>
    <n v="1099.98"/>
    <m/>
    <x v="9"/>
    <x v="1"/>
  </r>
  <r>
    <x v="499"/>
    <x v="1"/>
    <x v="15"/>
    <n v="1"/>
    <n v="269.99"/>
    <n v="0.2"/>
    <n v="269.99"/>
    <m/>
    <x v="12"/>
    <x v="1"/>
  </r>
  <r>
    <x v="500"/>
    <x v="0"/>
    <x v="23"/>
    <n v="2"/>
    <n v="449"/>
    <n v="0.05"/>
    <n v="898"/>
    <m/>
    <x v="20"/>
    <x v="1"/>
  </r>
  <r>
    <x v="500"/>
    <x v="1"/>
    <x v="1"/>
    <n v="1"/>
    <n v="1799.99"/>
    <n v="7.0000000000000007E-2"/>
    <n v="1799.99"/>
    <m/>
    <x v="1"/>
    <x v="1"/>
  </r>
  <r>
    <x v="500"/>
    <x v="2"/>
    <x v="15"/>
    <n v="1"/>
    <n v="269.99"/>
    <n v="0.1"/>
    <n v="269.99"/>
    <m/>
    <x v="12"/>
    <x v="1"/>
  </r>
  <r>
    <x v="500"/>
    <x v="3"/>
    <x v="19"/>
    <n v="2"/>
    <n v="299.99"/>
    <n v="7.0000000000000007E-2"/>
    <n v="599.98"/>
    <m/>
    <x v="17"/>
    <x v="1"/>
  </r>
  <r>
    <x v="501"/>
    <x v="0"/>
    <x v="17"/>
    <n v="1"/>
    <n v="269.99"/>
    <n v="0.05"/>
    <n v="269.99"/>
    <m/>
    <x v="15"/>
    <x v="2"/>
  </r>
  <r>
    <x v="502"/>
    <x v="0"/>
    <x v="17"/>
    <n v="2"/>
    <n v="269.99"/>
    <n v="7.0000000000000007E-2"/>
    <n v="539.98"/>
    <m/>
    <x v="15"/>
    <x v="1"/>
  </r>
  <r>
    <x v="502"/>
    <x v="1"/>
    <x v="2"/>
    <n v="1"/>
    <n v="1549"/>
    <n v="0.05"/>
    <n v="1549"/>
    <m/>
    <x v="2"/>
    <x v="1"/>
  </r>
  <r>
    <x v="503"/>
    <x v="0"/>
    <x v="24"/>
    <n v="2"/>
    <n v="549.99"/>
    <n v="0.1"/>
    <n v="1099.98"/>
    <m/>
    <x v="9"/>
    <x v="0"/>
  </r>
  <r>
    <x v="503"/>
    <x v="1"/>
    <x v="6"/>
    <n v="2"/>
    <n v="749.99"/>
    <n v="0.05"/>
    <n v="1499.98"/>
    <m/>
    <x v="6"/>
    <x v="0"/>
  </r>
  <r>
    <x v="504"/>
    <x v="0"/>
    <x v="8"/>
    <n v="1"/>
    <n v="599.99"/>
    <n v="0.2"/>
    <n v="599.99"/>
    <m/>
    <x v="3"/>
    <x v="1"/>
  </r>
  <r>
    <x v="505"/>
    <x v="0"/>
    <x v="22"/>
    <n v="1"/>
    <n v="499.99"/>
    <n v="0.1"/>
    <n v="499.99"/>
    <m/>
    <x v="19"/>
    <x v="1"/>
  </r>
  <r>
    <x v="505"/>
    <x v="1"/>
    <x v="14"/>
    <n v="1"/>
    <n v="3999.99"/>
    <n v="7.0000000000000007E-2"/>
    <n v="3999.99"/>
    <m/>
    <x v="13"/>
    <x v="1"/>
  </r>
  <r>
    <x v="506"/>
    <x v="0"/>
    <x v="16"/>
    <n v="2"/>
    <n v="1680.99"/>
    <n v="0.05"/>
    <n v="3361.98"/>
    <m/>
    <x v="14"/>
    <x v="0"/>
  </r>
  <r>
    <x v="506"/>
    <x v="1"/>
    <x v="17"/>
    <n v="2"/>
    <n v="269.99"/>
    <n v="7.0000000000000007E-2"/>
    <n v="539.98"/>
    <m/>
    <x v="15"/>
    <x v="0"/>
  </r>
  <r>
    <x v="506"/>
    <x v="2"/>
    <x v="0"/>
    <n v="2"/>
    <n v="599.99"/>
    <n v="0.1"/>
    <n v="1199.98"/>
    <m/>
    <x v="0"/>
    <x v="0"/>
  </r>
  <r>
    <x v="507"/>
    <x v="0"/>
    <x v="1"/>
    <n v="1"/>
    <n v="1799.99"/>
    <n v="0.05"/>
    <n v="1799.99"/>
    <m/>
    <x v="1"/>
    <x v="1"/>
  </r>
  <r>
    <x v="507"/>
    <x v="1"/>
    <x v="6"/>
    <n v="2"/>
    <n v="749.99"/>
    <n v="0.05"/>
    <n v="1499.98"/>
    <m/>
    <x v="6"/>
    <x v="1"/>
  </r>
  <r>
    <x v="507"/>
    <x v="2"/>
    <x v="2"/>
    <n v="2"/>
    <n v="1549"/>
    <n v="0.05"/>
    <n v="3098"/>
    <m/>
    <x v="2"/>
    <x v="1"/>
  </r>
  <r>
    <x v="507"/>
    <x v="3"/>
    <x v="22"/>
    <n v="1"/>
    <n v="499.99"/>
    <n v="7.0000000000000007E-2"/>
    <n v="499.99"/>
    <m/>
    <x v="19"/>
    <x v="1"/>
  </r>
  <r>
    <x v="508"/>
    <x v="0"/>
    <x v="19"/>
    <n v="2"/>
    <n v="299.99"/>
    <n v="0.2"/>
    <n v="599.98"/>
    <m/>
    <x v="17"/>
    <x v="1"/>
  </r>
  <r>
    <x v="508"/>
    <x v="1"/>
    <x v="4"/>
    <n v="2"/>
    <n v="2899.99"/>
    <n v="0.05"/>
    <n v="5799.98"/>
    <m/>
    <x v="4"/>
    <x v="1"/>
  </r>
  <r>
    <x v="509"/>
    <x v="0"/>
    <x v="7"/>
    <n v="1"/>
    <n v="429"/>
    <n v="0.1"/>
    <n v="429"/>
    <m/>
    <x v="7"/>
    <x v="1"/>
  </r>
  <r>
    <x v="510"/>
    <x v="0"/>
    <x v="13"/>
    <n v="2"/>
    <n v="269.99"/>
    <n v="0.05"/>
    <n v="539.98"/>
    <m/>
    <x v="12"/>
    <x v="1"/>
  </r>
  <r>
    <x v="510"/>
    <x v="1"/>
    <x v="17"/>
    <n v="1"/>
    <n v="269.99"/>
    <n v="0.1"/>
    <n v="269.99"/>
    <m/>
    <x v="15"/>
    <x v="1"/>
  </r>
  <r>
    <x v="511"/>
    <x v="0"/>
    <x v="20"/>
    <n v="1"/>
    <n v="269.99"/>
    <n v="7.0000000000000007E-2"/>
    <n v="269.99"/>
    <m/>
    <x v="15"/>
    <x v="1"/>
  </r>
  <r>
    <x v="512"/>
    <x v="0"/>
    <x v="14"/>
    <n v="1"/>
    <n v="3999.99"/>
    <n v="7.0000000000000007E-2"/>
    <n v="3999.99"/>
    <m/>
    <x v="13"/>
    <x v="1"/>
  </r>
  <r>
    <x v="512"/>
    <x v="1"/>
    <x v="17"/>
    <n v="1"/>
    <n v="269.99"/>
    <n v="0.2"/>
    <n v="269.99"/>
    <m/>
    <x v="15"/>
    <x v="1"/>
  </r>
  <r>
    <x v="512"/>
    <x v="2"/>
    <x v="19"/>
    <n v="1"/>
    <n v="299.99"/>
    <n v="7.0000000000000007E-2"/>
    <n v="299.99"/>
    <m/>
    <x v="17"/>
    <x v="1"/>
  </r>
  <r>
    <x v="513"/>
    <x v="0"/>
    <x v="9"/>
    <n v="2"/>
    <n v="449"/>
    <n v="0.2"/>
    <n v="898"/>
    <m/>
    <x v="8"/>
    <x v="1"/>
  </r>
  <r>
    <x v="513"/>
    <x v="1"/>
    <x v="7"/>
    <n v="2"/>
    <n v="429"/>
    <n v="7.0000000000000007E-2"/>
    <n v="858"/>
    <m/>
    <x v="7"/>
    <x v="1"/>
  </r>
  <r>
    <x v="514"/>
    <x v="0"/>
    <x v="1"/>
    <n v="1"/>
    <n v="1799.99"/>
    <n v="7.0000000000000007E-2"/>
    <n v="1799.99"/>
    <m/>
    <x v="1"/>
    <x v="1"/>
  </r>
  <r>
    <x v="514"/>
    <x v="1"/>
    <x v="21"/>
    <n v="1"/>
    <n v="1320.99"/>
    <n v="0.1"/>
    <n v="1320.99"/>
    <m/>
    <x v="18"/>
    <x v="1"/>
  </r>
  <r>
    <x v="514"/>
    <x v="2"/>
    <x v="22"/>
    <n v="2"/>
    <n v="499.99"/>
    <n v="7.0000000000000007E-2"/>
    <n v="999.98"/>
    <m/>
    <x v="19"/>
    <x v="1"/>
  </r>
  <r>
    <x v="514"/>
    <x v="3"/>
    <x v="18"/>
    <n v="2"/>
    <n v="469.99"/>
    <n v="0.2"/>
    <n v="939.98"/>
    <m/>
    <x v="16"/>
    <x v="1"/>
  </r>
  <r>
    <x v="515"/>
    <x v="0"/>
    <x v="14"/>
    <n v="1"/>
    <n v="3999.99"/>
    <n v="0.05"/>
    <n v="3999.99"/>
    <m/>
    <x v="13"/>
    <x v="1"/>
  </r>
  <r>
    <x v="515"/>
    <x v="1"/>
    <x v="21"/>
    <n v="2"/>
    <n v="1320.99"/>
    <n v="0.1"/>
    <n v="2641.98"/>
    <m/>
    <x v="18"/>
    <x v="1"/>
  </r>
  <r>
    <x v="516"/>
    <x v="0"/>
    <x v="20"/>
    <n v="2"/>
    <n v="269.99"/>
    <n v="7.0000000000000007E-2"/>
    <n v="539.98"/>
    <m/>
    <x v="15"/>
    <x v="1"/>
  </r>
  <r>
    <x v="517"/>
    <x v="0"/>
    <x v="3"/>
    <n v="2"/>
    <n v="599.99"/>
    <n v="0.2"/>
    <n v="1199.98"/>
    <m/>
    <x v="3"/>
    <x v="0"/>
  </r>
  <r>
    <x v="517"/>
    <x v="1"/>
    <x v="21"/>
    <n v="2"/>
    <n v="1320.99"/>
    <n v="0.05"/>
    <n v="2641.98"/>
    <m/>
    <x v="18"/>
    <x v="0"/>
  </r>
  <r>
    <x v="517"/>
    <x v="2"/>
    <x v="22"/>
    <n v="2"/>
    <n v="499.99"/>
    <n v="0.05"/>
    <n v="999.98"/>
    <m/>
    <x v="19"/>
    <x v="0"/>
  </r>
  <r>
    <x v="517"/>
    <x v="3"/>
    <x v="12"/>
    <n v="2"/>
    <n v="529.99"/>
    <n v="0.2"/>
    <n v="1059.98"/>
    <m/>
    <x v="11"/>
    <x v="0"/>
  </r>
  <r>
    <x v="517"/>
    <x v="4"/>
    <x v="16"/>
    <n v="2"/>
    <n v="1680.99"/>
    <n v="7.0000000000000007E-2"/>
    <n v="3361.98"/>
    <m/>
    <x v="14"/>
    <x v="0"/>
  </r>
  <r>
    <x v="518"/>
    <x v="0"/>
    <x v="18"/>
    <n v="1"/>
    <n v="469.99"/>
    <n v="7.0000000000000007E-2"/>
    <n v="469.99"/>
    <m/>
    <x v="16"/>
    <x v="1"/>
  </r>
  <r>
    <x v="518"/>
    <x v="1"/>
    <x v="3"/>
    <n v="1"/>
    <n v="599.99"/>
    <n v="0.1"/>
    <n v="599.99"/>
    <m/>
    <x v="3"/>
    <x v="1"/>
  </r>
  <r>
    <x v="518"/>
    <x v="2"/>
    <x v="19"/>
    <n v="2"/>
    <n v="299.99"/>
    <n v="0.05"/>
    <n v="599.98"/>
    <m/>
    <x v="17"/>
    <x v="1"/>
  </r>
  <r>
    <x v="518"/>
    <x v="3"/>
    <x v="9"/>
    <n v="2"/>
    <n v="449"/>
    <n v="0.2"/>
    <n v="898"/>
    <m/>
    <x v="8"/>
    <x v="1"/>
  </r>
  <r>
    <x v="518"/>
    <x v="4"/>
    <x v="14"/>
    <n v="1"/>
    <n v="3999.99"/>
    <n v="0.05"/>
    <n v="3999.99"/>
    <m/>
    <x v="13"/>
    <x v="1"/>
  </r>
  <r>
    <x v="519"/>
    <x v="0"/>
    <x v="8"/>
    <n v="1"/>
    <n v="599.99"/>
    <n v="0.1"/>
    <n v="599.99"/>
    <m/>
    <x v="3"/>
    <x v="1"/>
  </r>
  <r>
    <x v="519"/>
    <x v="1"/>
    <x v="24"/>
    <n v="1"/>
    <n v="549.99"/>
    <n v="0.2"/>
    <n v="549.99"/>
    <m/>
    <x v="9"/>
    <x v="1"/>
  </r>
  <r>
    <x v="519"/>
    <x v="2"/>
    <x v="2"/>
    <n v="1"/>
    <n v="1549"/>
    <n v="7.0000000000000007E-2"/>
    <n v="1549"/>
    <m/>
    <x v="2"/>
    <x v="1"/>
  </r>
  <r>
    <x v="520"/>
    <x v="0"/>
    <x v="21"/>
    <n v="1"/>
    <n v="1320.99"/>
    <n v="0.2"/>
    <n v="1320.99"/>
    <m/>
    <x v="18"/>
    <x v="1"/>
  </r>
  <r>
    <x v="520"/>
    <x v="1"/>
    <x v="15"/>
    <n v="1"/>
    <n v="269.99"/>
    <n v="0.2"/>
    <n v="269.99"/>
    <m/>
    <x v="12"/>
    <x v="1"/>
  </r>
  <r>
    <x v="521"/>
    <x v="0"/>
    <x v="4"/>
    <n v="2"/>
    <n v="2899.99"/>
    <n v="7.0000000000000007E-2"/>
    <n v="5799.98"/>
    <m/>
    <x v="4"/>
    <x v="1"/>
  </r>
  <r>
    <x v="521"/>
    <x v="1"/>
    <x v="13"/>
    <n v="2"/>
    <n v="269.99"/>
    <n v="7.0000000000000007E-2"/>
    <n v="539.98"/>
    <m/>
    <x v="12"/>
    <x v="1"/>
  </r>
  <r>
    <x v="521"/>
    <x v="2"/>
    <x v="20"/>
    <n v="1"/>
    <n v="269.99"/>
    <n v="0.05"/>
    <n v="269.99"/>
    <m/>
    <x v="15"/>
    <x v="1"/>
  </r>
  <r>
    <x v="522"/>
    <x v="0"/>
    <x v="10"/>
    <n v="1"/>
    <n v="549.99"/>
    <n v="0.2"/>
    <n v="549.99"/>
    <m/>
    <x v="9"/>
    <x v="1"/>
  </r>
  <r>
    <x v="522"/>
    <x v="1"/>
    <x v="0"/>
    <n v="1"/>
    <n v="599.99"/>
    <n v="0.05"/>
    <n v="599.99"/>
    <m/>
    <x v="0"/>
    <x v="1"/>
  </r>
  <r>
    <x v="522"/>
    <x v="2"/>
    <x v="21"/>
    <n v="2"/>
    <n v="1320.99"/>
    <n v="0.1"/>
    <n v="2641.98"/>
    <m/>
    <x v="18"/>
    <x v="1"/>
  </r>
  <r>
    <x v="522"/>
    <x v="3"/>
    <x v="3"/>
    <n v="2"/>
    <n v="599.99"/>
    <n v="7.0000000000000007E-2"/>
    <n v="1199.98"/>
    <m/>
    <x v="3"/>
    <x v="1"/>
  </r>
  <r>
    <x v="523"/>
    <x v="0"/>
    <x v="16"/>
    <n v="1"/>
    <n v="1680.99"/>
    <n v="7.0000000000000007E-2"/>
    <n v="1680.99"/>
    <m/>
    <x v="14"/>
    <x v="0"/>
  </r>
  <r>
    <x v="523"/>
    <x v="1"/>
    <x v="6"/>
    <n v="1"/>
    <n v="749.99"/>
    <n v="0.05"/>
    <n v="749.99"/>
    <m/>
    <x v="6"/>
    <x v="0"/>
  </r>
  <r>
    <x v="523"/>
    <x v="2"/>
    <x v="11"/>
    <n v="1"/>
    <n v="2999.99"/>
    <n v="0.2"/>
    <n v="2999.99"/>
    <m/>
    <x v="10"/>
    <x v="0"/>
  </r>
  <r>
    <x v="523"/>
    <x v="3"/>
    <x v="5"/>
    <n v="2"/>
    <n v="999.99"/>
    <n v="7.0000000000000007E-2"/>
    <n v="1999.98"/>
    <m/>
    <x v="5"/>
    <x v="0"/>
  </r>
  <r>
    <x v="523"/>
    <x v="4"/>
    <x v="8"/>
    <n v="1"/>
    <n v="599.99"/>
    <n v="0.05"/>
    <n v="599.99"/>
    <m/>
    <x v="3"/>
    <x v="0"/>
  </r>
  <r>
    <x v="524"/>
    <x v="0"/>
    <x v="11"/>
    <n v="2"/>
    <n v="2999.99"/>
    <n v="7.0000000000000007E-2"/>
    <n v="5999.98"/>
    <m/>
    <x v="10"/>
    <x v="0"/>
  </r>
  <r>
    <x v="524"/>
    <x v="1"/>
    <x v="18"/>
    <n v="2"/>
    <n v="469.99"/>
    <n v="7.0000000000000007E-2"/>
    <n v="939.98"/>
    <m/>
    <x v="16"/>
    <x v="0"/>
  </r>
  <r>
    <x v="524"/>
    <x v="2"/>
    <x v="2"/>
    <n v="1"/>
    <n v="1549"/>
    <n v="0.1"/>
    <n v="1549"/>
    <m/>
    <x v="2"/>
    <x v="0"/>
  </r>
  <r>
    <x v="525"/>
    <x v="0"/>
    <x v="5"/>
    <n v="2"/>
    <n v="999.99"/>
    <n v="0.1"/>
    <n v="1999.98"/>
    <m/>
    <x v="5"/>
    <x v="1"/>
  </r>
  <r>
    <x v="525"/>
    <x v="1"/>
    <x v="1"/>
    <n v="1"/>
    <n v="1799.99"/>
    <n v="0.1"/>
    <n v="1799.99"/>
    <m/>
    <x v="1"/>
    <x v="1"/>
  </r>
  <r>
    <x v="525"/>
    <x v="2"/>
    <x v="20"/>
    <n v="1"/>
    <n v="269.99"/>
    <n v="0.05"/>
    <n v="269.99"/>
    <m/>
    <x v="15"/>
    <x v="1"/>
  </r>
  <r>
    <x v="525"/>
    <x v="3"/>
    <x v="12"/>
    <n v="1"/>
    <n v="529.99"/>
    <n v="7.0000000000000007E-2"/>
    <n v="529.99"/>
    <m/>
    <x v="11"/>
    <x v="1"/>
  </r>
  <r>
    <x v="526"/>
    <x v="0"/>
    <x v="9"/>
    <n v="2"/>
    <n v="449"/>
    <n v="7.0000000000000007E-2"/>
    <n v="898"/>
    <m/>
    <x v="8"/>
    <x v="0"/>
  </r>
  <r>
    <x v="526"/>
    <x v="1"/>
    <x v="4"/>
    <n v="1"/>
    <n v="2899.99"/>
    <n v="0.2"/>
    <n v="2899.99"/>
    <m/>
    <x v="4"/>
    <x v="0"/>
  </r>
  <r>
    <x v="526"/>
    <x v="2"/>
    <x v="23"/>
    <n v="1"/>
    <n v="449"/>
    <n v="0.1"/>
    <n v="449"/>
    <m/>
    <x v="20"/>
    <x v="0"/>
  </r>
  <r>
    <x v="526"/>
    <x v="3"/>
    <x v="11"/>
    <n v="2"/>
    <n v="2999.99"/>
    <n v="0.2"/>
    <n v="5999.98"/>
    <m/>
    <x v="10"/>
    <x v="0"/>
  </r>
  <r>
    <x v="527"/>
    <x v="0"/>
    <x v="20"/>
    <n v="2"/>
    <n v="269.99"/>
    <n v="0.05"/>
    <n v="539.98"/>
    <m/>
    <x v="15"/>
    <x v="1"/>
  </r>
  <r>
    <x v="528"/>
    <x v="0"/>
    <x v="10"/>
    <n v="2"/>
    <n v="549.99"/>
    <n v="7.0000000000000007E-2"/>
    <n v="1099.98"/>
    <m/>
    <x v="9"/>
    <x v="1"/>
  </r>
  <r>
    <x v="529"/>
    <x v="0"/>
    <x v="6"/>
    <n v="2"/>
    <n v="749.99"/>
    <n v="0.05"/>
    <n v="1499.98"/>
    <m/>
    <x v="6"/>
    <x v="1"/>
  </r>
  <r>
    <x v="529"/>
    <x v="1"/>
    <x v="4"/>
    <n v="1"/>
    <n v="2899.99"/>
    <n v="7.0000000000000007E-2"/>
    <n v="2899.99"/>
    <m/>
    <x v="4"/>
    <x v="1"/>
  </r>
  <r>
    <x v="529"/>
    <x v="2"/>
    <x v="18"/>
    <n v="2"/>
    <n v="469.99"/>
    <n v="0.2"/>
    <n v="939.98"/>
    <m/>
    <x v="16"/>
    <x v="1"/>
  </r>
  <r>
    <x v="530"/>
    <x v="0"/>
    <x v="18"/>
    <n v="1"/>
    <n v="469.99"/>
    <n v="0.2"/>
    <n v="469.99"/>
    <m/>
    <x v="16"/>
    <x v="2"/>
  </r>
  <r>
    <x v="530"/>
    <x v="1"/>
    <x v="10"/>
    <n v="2"/>
    <n v="549.99"/>
    <n v="0.2"/>
    <n v="1099.98"/>
    <m/>
    <x v="9"/>
    <x v="2"/>
  </r>
  <r>
    <x v="530"/>
    <x v="2"/>
    <x v="22"/>
    <n v="1"/>
    <n v="499.99"/>
    <n v="7.0000000000000007E-2"/>
    <n v="499.99"/>
    <m/>
    <x v="19"/>
    <x v="2"/>
  </r>
  <r>
    <x v="531"/>
    <x v="0"/>
    <x v="7"/>
    <n v="2"/>
    <n v="429"/>
    <n v="7.0000000000000007E-2"/>
    <n v="858"/>
    <m/>
    <x v="7"/>
    <x v="1"/>
  </r>
  <r>
    <x v="531"/>
    <x v="1"/>
    <x v="3"/>
    <n v="2"/>
    <n v="599.99"/>
    <n v="0.2"/>
    <n v="1199.98"/>
    <m/>
    <x v="3"/>
    <x v="1"/>
  </r>
  <r>
    <x v="531"/>
    <x v="2"/>
    <x v="10"/>
    <n v="1"/>
    <n v="549.99"/>
    <n v="0.1"/>
    <n v="549.99"/>
    <m/>
    <x v="9"/>
    <x v="1"/>
  </r>
  <r>
    <x v="532"/>
    <x v="0"/>
    <x v="4"/>
    <n v="1"/>
    <n v="2899.99"/>
    <n v="0.2"/>
    <n v="2899.99"/>
    <m/>
    <x v="4"/>
    <x v="1"/>
  </r>
  <r>
    <x v="532"/>
    <x v="1"/>
    <x v="10"/>
    <n v="2"/>
    <n v="549.99"/>
    <n v="0.1"/>
    <n v="1099.98"/>
    <m/>
    <x v="9"/>
    <x v="1"/>
  </r>
  <r>
    <x v="532"/>
    <x v="2"/>
    <x v="2"/>
    <n v="1"/>
    <n v="1549"/>
    <n v="0.2"/>
    <n v="1549"/>
    <m/>
    <x v="2"/>
    <x v="1"/>
  </r>
  <r>
    <x v="532"/>
    <x v="3"/>
    <x v="22"/>
    <n v="1"/>
    <n v="499.99"/>
    <n v="0.05"/>
    <n v="499.99"/>
    <m/>
    <x v="19"/>
    <x v="1"/>
  </r>
  <r>
    <x v="533"/>
    <x v="0"/>
    <x v="20"/>
    <n v="2"/>
    <n v="269.99"/>
    <n v="0.05"/>
    <n v="539.98"/>
    <m/>
    <x v="15"/>
    <x v="1"/>
  </r>
  <r>
    <x v="533"/>
    <x v="1"/>
    <x v="11"/>
    <n v="2"/>
    <n v="2999.99"/>
    <n v="0.05"/>
    <n v="5999.98"/>
    <m/>
    <x v="10"/>
    <x v="1"/>
  </r>
  <r>
    <x v="533"/>
    <x v="2"/>
    <x v="6"/>
    <n v="1"/>
    <n v="749.99"/>
    <n v="7.0000000000000007E-2"/>
    <n v="749.99"/>
    <m/>
    <x v="6"/>
    <x v="1"/>
  </r>
  <r>
    <x v="533"/>
    <x v="3"/>
    <x v="24"/>
    <n v="2"/>
    <n v="549.99"/>
    <n v="0.1"/>
    <n v="1099.98"/>
    <m/>
    <x v="9"/>
    <x v="1"/>
  </r>
  <r>
    <x v="534"/>
    <x v="0"/>
    <x v="24"/>
    <n v="1"/>
    <n v="549.99"/>
    <n v="0.05"/>
    <n v="549.99"/>
    <m/>
    <x v="9"/>
    <x v="2"/>
  </r>
  <r>
    <x v="534"/>
    <x v="1"/>
    <x v="12"/>
    <n v="1"/>
    <n v="529.99"/>
    <n v="0.1"/>
    <n v="529.99"/>
    <m/>
    <x v="11"/>
    <x v="2"/>
  </r>
  <r>
    <x v="534"/>
    <x v="2"/>
    <x v="13"/>
    <n v="2"/>
    <n v="269.99"/>
    <n v="0.1"/>
    <n v="539.98"/>
    <m/>
    <x v="12"/>
    <x v="2"/>
  </r>
  <r>
    <x v="535"/>
    <x v="0"/>
    <x v="13"/>
    <n v="1"/>
    <n v="269.99"/>
    <n v="0.1"/>
    <n v="269.99"/>
    <m/>
    <x v="12"/>
    <x v="0"/>
  </r>
  <r>
    <x v="535"/>
    <x v="1"/>
    <x v="6"/>
    <n v="1"/>
    <n v="749.99"/>
    <n v="0.1"/>
    <n v="749.99"/>
    <m/>
    <x v="6"/>
    <x v="0"/>
  </r>
  <r>
    <x v="535"/>
    <x v="2"/>
    <x v="10"/>
    <n v="2"/>
    <n v="549.99"/>
    <n v="0.05"/>
    <n v="1099.98"/>
    <m/>
    <x v="9"/>
    <x v="0"/>
  </r>
  <r>
    <x v="535"/>
    <x v="3"/>
    <x v="15"/>
    <n v="1"/>
    <n v="269.99"/>
    <n v="7.0000000000000007E-2"/>
    <n v="269.99"/>
    <m/>
    <x v="12"/>
    <x v="0"/>
  </r>
  <r>
    <x v="536"/>
    <x v="0"/>
    <x v="2"/>
    <n v="1"/>
    <n v="1549"/>
    <n v="0.05"/>
    <n v="1549"/>
    <m/>
    <x v="2"/>
    <x v="0"/>
  </r>
  <r>
    <x v="536"/>
    <x v="1"/>
    <x v="8"/>
    <n v="1"/>
    <n v="599.99"/>
    <n v="0.05"/>
    <n v="599.99"/>
    <m/>
    <x v="3"/>
    <x v="0"/>
  </r>
  <r>
    <x v="536"/>
    <x v="2"/>
    <x v="7"/>
    <n v="2"/>
    <n v="429"/>
    <n v="0.1"/>
    <n v="858"/>
    <m/>
    <x v="7"/>
    <x v="0"/>
  </r>
  <r>
    <x v="536"/>
    <x v="3"/>
    <x v="22"/>
    <n v="2"/>
    <n v="499.99"/>
    <n v="0.2"/>
    <n v="999.98"/>
    <m/>
    <x v="19"/>
    <x v="0"/>
  </r>
  <r>
    <x v="537"/>
    <x v="0"/>
    <x v="6"/>
    <n v="2"/>
    <n v="749.99"/>
    <n v="0.2"/>
    <n v="1499.98"/>
    <m/>
    <x v="6"/>
    <x v="1"/>
  </r>
  <r>
    <x v="538"/>
    <x v="0"/>
    <x v="11"/>
    <n v="2"/>
    <n v="2999.99"/>
    <n v="0.1"/>
    <n v="5999.98"/>
    <m/>
    <x v="10"/>
    <x v="1"/>
  </r>
  <r>
    <x v="538"/>
    <x v="1"/>
    <x v="19"/>
    <n v="1"/>
    <n v="299.99"/>
    <n v="0.05"/>
    <n v="299.99"/>
    <m/>
    <x v="17"/>
    <x v="1"/>
  </r>
  <r>
    <x v="538"/>
    <x v="2"/>
    <x v="20"/>
    <n v="2"/>
    <n v="269.99"/>
    <n v="7.0000000000000007E-2"/>
    <n v="539.98"/>
    <m/>
    <x v="15"/>
    <x v="1"/>
  </r>
  <r>
    <x v="539"/>
    <x v="0"/>
    <x v="23"/>
    <n v="1"/>
    <n v="449"/>
    <n v="0.1"/>
    <n v="449"/>
    <m/>
    <x v="20"/>
    <x v="0"/>
  </r>
  <r>
    <x v="539"/>
    <x v="1"/>
    <x v="8"/>
    <n v="2"/>
    <n v="599.99"/>
    <n v="0.1"/>
    <n v="1199.98"/>
    <m/>
    <x v="3"/>
    <x v="0"/>
  </r>
  <r>
    <x v="539"/>
    <x v="2"/>
    <x v="19"/>
    <n v="2"/>
    <n v="299.99"/>
    <n v="7.0000000000000007E-2"/>
    <n v="599.98"/>
    <m/>
    <x v="17"/>
    <x v="0"/>
  </r>
  <r>
    <x v="540"/>
    <x v="0"/>
    <x v="13"/>
    <n v="2"/>
    <n v="269.99"/>
    <n v="0.05"/>
    <n v="539.98"/>
    <m/>
    <x v="12"/>
    <x v="0"/>
  </r>
  <r>
    <x v="541"/>
    <x v="0"/>
    <x v="3"/>
    <n v="2"/>
    <n v="599.99"/>
    <n v="0.2"/>
    <n v="1199.98"/>
    <m/>
    <x v="3"/>
    <x v="1"/>
  </r>
  <r>
    <x v="541"/>
    <x v="1"/>
    <x v="11"/>
    <n v="1"/>
    <n v="2999.99"/>
    <n v="0.1"/>
    <n v="2999.99"/>
    <m/>
    <x v="10"/>
    <x v="1"/>
  </r>
  <r>
    <x v="541"/>
    <x v="2"/>
    <x v="0"/>
    <n v="1"/>
    <n v="599.99"/>
    <n v="0.1"/>
    <n v="599.99"/>
    <m/>
    <x v="0"/>
    <x v="1"/>
  </r>
  <r>
    <x v="541"/>
    <x v="3"/>
    <x v="23"/>
    <n v="2"/>
    <n v="449"/>
    <n v="0.2"/>
    <n v="898"/>
    <m/>
    <x v="20"/>
    <x v="1"/>
  </r>
  <r>
    <x v="542"/>
    <x v="0"/>
    <x v="22"/>
    <n v="1"/>
    <n v="499.99"/>
    <n v="0.2"/>
    <n v="499.99"/>
    <m/>
    <x v="19"/>
    <x v="1"/>
  </r>
  <r>
    <x v="542"/>
    <x v="1"/>
    <x v="9"/>
    <n v="1"/>
    <n v="449"/>
    <n v="0.2"/>
    <n v="449"/>
    <m/>
    <x v="8"/>
    <x v="1"/>
  </r>
  <r>
    <x v="542"/>
    <x v="2"/>
    <x v="8"/>
    <n v="2"/>
    <n v="599.99"/>
    <n v="0.05"/>
    <n v="1199.98"/>
    <m/>
    <x v="3"/>
    <x v="1"/>
  </r>
  <r>
    <x v="543"/>
    <x v="0"/>
    <x v="10"/>
    <n v="1"/>
    <n v="549.99"/>
    <n v="0.05"/>
    <n v="549.99"/>
    <m/>
    <x v="9"/>
    <x v="1"/>
  </r>
  <r>
    <x v="543"/>
    <x v="1"/>
    <x v="7"/>
    <n v="1"/>
    <n v="429"/>
    <n v="0.1"/>
    <n v="429"/>
    <m/>
    <x v="7"/>
    <x v="1"/>
  </r>
  <r>
    <x v="543"/>
    <x v="2"/>
    <x v="20"/>
    <n v="1"/>
    <n v="269.99"/>
    <n v="0.05"/>
    <n v="269.99"/>
    <m/>
    <x v="15"/>
    <x v="1"/>
  </r>
  <r>
    <x v="544"/>
    <x v="0"/>
    <x v="22"/>
    <n v="2"/>
    <n v="499.99"/>
    <n v="0.2"/>
    <n v="999.98"/>
    <m/>
    <x v="19"/>
    <x v="2"/>
  </r>
  <r>
    <x v="544"/>
    <x v="1"/>
    <x v="18"/>
    <n v="1"/>
    <n v="469.99"/>
    <n v="7.0000000000000007E-2"/>
    <n v="469.99"/>
    <m/>
    <x v="16"/>
    <x v="2"/>
  </r>
  <r>
    <x v="544"/>
    <x v="2"/>
    <x v="24"/>
    <n v="1"/>
    <n v="549.99"/>
    <n v="0.2"/>
    <n v="549.99"/>
    <m/>
    <x v="9"/>
    <x v="2"/>
  </r>
  <r>
    <x v="544"/>
    <x v="3"/>
    <x v="0"/>
    <n v="2"/>
    <n v="599.99"/>
    <n v="7.0000000000000007E-2"/>
    <n v="1199.98"/>
    <m/>
    <x v="0"/>
    <x v="2"/>
  </r>
  <r>
    <x v="545"/>
    <x v="0"/>
    <x v="7"/>
    <n v="2"/>
    <n v="429"/>
    <n v="0.05"/>
    <n v="858"/>
    <m/>
    <x v="7"/>
    <x v="1"/>
  </r>
  <r>
    <x v="545"/>
    <x v="1"/>
    <x v="1"/>
    <n v="1"/>
    <n v="1799.99"/>
    <n v="0.1"/>
    <n v="1799.99"/>
    <m/>
    <x v="1"/>
    <x v="1"/>
  </r>
  <r>
    <x v="545"/>
    <x v="2"/>
    <x v="9"/>
    <n v="2"/>
    <n v="449"/>
    <n v="7.0000000000000007E-2"/>
    <n v="898"/>
    <m/>
    <x v="8"/>
    <x v="1"/>
  </r>
  <r>
    <x v="546"/>
    <x v="0"/>
    <x v="16"/>
    <n v="2"/>
    <n v="1680.99"/>
    <n v="0.05"/>
    <n v="3361.98"/>
    <m/>
    <x v="14"/>
    <x v="2"/>
  </r>
  <r>
    <x v="546"/>
    <x v="1"/>
    <x v="11"/>
    <n v="1"/>
    <n v="2999.99"/>
    <n v="0.2"/>
    <n v="2999.99"/>
    <m/>
    <x v="10"/>
    <x v="2"/>
  </r>
  <r>
    <x v="546"/>
    <x v="2"/>
    <x v="21"/>
    <n v="1"/>
    <n v="1320.99"/>
    <n v="0.1"/>
    <n v="1320.99"/>
    <m/>
    <x v="18"/>
    <x v="2"/>
  </r>
  <r>
    <x v="547"/>
    <x v="0"/>
    <x v="1"/>
    <n v="1"/>
    <n v="1799.99"/>
    <n v="0.1"/>
    <n v="1799.99"/>
    <m/>
    <x v="1"/>
    <x v="1"/>
  </r>
  <r>
    <x v="547"/>
    <x v="1"/>
    <x v="16"/>
    <n v="2"/>
    <n v="1680.99"/>
    <n v="7.0000000000000007E-2"/>
    <n v="3361.98"/>
    <m/>
    <x v="14"/>
    <x v="1"/>
  </r>
  <r>
    <x v="548"/>
    <x v="0"/>
    <x v="12"/>
    <n v="1"/>
    <n v="529.99"/>
    <n v="7.0000000000000007E-2"/>
    <n v="529.99"/>
    <m/>
    <x v="11"/>
    <x v="2"/>
  </r>
  <r>
    <x v="548"/>
    <x v="1"/>
    <x v="3"/>
    <n v="1"/>
    <n v="599.99"/>
    <n v="0.05"/>
    <n v="599.99"/>
    <m/>
    <x v="3"/>
    <x v="2"/>
  </r>
  <r>
    <x v="548"/>
    <x v="2"/>
    <x v="5"/>
    <n v="1"/>
    <n v="999.99"/>
    <n v="7.0000000000000007E-2"/>
    <n v="999.99"/>
    <m/>
    <x v="5"/>
    <x v="2"/>
  </r>
  <r>
    <x v="548"/>
    <x v="3"/>
    <x v="14"/>
    <n v="1"/>
    <n v="3999.99"/>
    <n v="0.05"/>
    <n v="3999.99"/>
    <m/>
    <x v="13"/>
    <x v="2"/>
  </r>
  <r>
    <x v="548"/>
    <x v="4"/>
    <x v="17"/>
    <n v="2"/>
    <n v="269.99"/>
    <n v="0.1"/>
    <n v="539.98"/>
    <m/>
    <x v="15"/>
    <x v="2"/>
  </r>
  <r>
    <x v="549"/>
    <x v="0"/>
    <x v="4"/>
    <n v="1"/>
    <n v="2899.99"/>
    <n v="0.05"/>
    <n v="2899.99"/>
    <m/>
    <x v="4"/>
    <x v="1"/>
  </r>
  <r>
    <x v="550"/>
    <x v="0"/>
    <x v="3"/>
    <n v="1"/>
    <n v="599.99"/>
    <n v="0.05"/>
    <n v="599.99"/>
    <m/>
    <x v="3"/>
    <x v="1"/>
  </r>
  <r>
    <x v="550"/>
    <x v="1"/>
    <x v="8"/>
    <n v="1"/>
    <n v="599.99"/>
    <n v="7.0000000000000007E-2"/>
    <n v="599.99"/>
    <m/>
    <x v="3"/>
    <x v="1"/>
  </r>
  <r>
    <x v="550"/>
    <x v="2"/>
    <x v="16"/>
    <n v="2"/>
    <n v="1680.99"/>
    <n v="0.2"/>
    <n v="3361.98"/>
    <m/>
    <x v="14"/>
    <x v="1"/>
  </r>
  <r>
    <x v="550"/>
    <x v="3"/>
    <x v="12"/>
    <n v="2"/>
    <n v="529.99"/>
    <n v="0.2"/>
    <n v="1059.98"/>
    <m/>
    <x v="11"/>
    <x v="1"/>
  </r>
  <r>
    <x v="551"/>
    <x v="0"/>
    <x v="19"/>
    <n v="1"/>
    <n v="299.99"/>
    <n v="0.2"/>
    <n v="299.99"/>
    <m/>
    <x v="17"/>
    <x v="1"/>
  </r>
  <r>
    <x v="551"/>
    <x v="1"/>
    <x v="6"/>
    <n v="1"/>
    <n v="749.99"/>
    <n v="0.2"/>
    <n v="749.99"/>
    <m/>
    <x v="6"/>
    <x v="1"/>
  </r>
  <r>
    <x v="551"/>
    <x v="2"/>
    <x v="24"/>
    <n v="1"/>
    <n v="549.99"/>
    <n v="0.2"/>
    <n v="549.99"/>
    <m/>
    <x v="9"/>
    <x v="1"/>
  </r>
  <r>
    <x v="551"/>
    <x v="3"/>
    <x v="9"/>
    <n v="1"/>
    <n v="449"/>
    <n v="0.1"/>
    <n v="449"/>
    <m/>
    <x v="8"/>
    <x v="1"/>
  </r>
  <r>
    <x v="551"/>
    <x v="4"/>
    <x v="23"/>
    <n v="2"/>
    <n v="449"/>
    <n v="0.2"/>
    <n v="898"/>
    <m/>
    <x v="20"/>
    <x v="1"/>
  </r>
  <r>
    <x v="552"/>
    <x v="0"/>
    <x v="24"/>
    <n v="1"/>
    <n v="549.99"/>
    <n v="0.1"/>
    <n v="549.99"/>
    <m/>
    <x v="9"/>
    <x v="2"/>
  </r>
  <r>
    <x v="552"/>
    <x v="1"/>
    <x v="9"/>
    <n v="2"/>
    <n v="449"/>
    <n v="7.0000000000000007E-2"/>
    <n v="898"/>
    <m/>
    <x v="8"/>
    <x v="2"/>
  </r>
  <r>
    <x v="552"/>
    <x v="2"/>
    <x v="10"/>
    <n v="1"/>
    <n v="549.99"/>
    <n v="7.0000000000000007E-2"/>
    <n v="549.99"/>
    <m/>
    <x v="9"/>
    <x v="2"/>
  </r>
  <r>
    <x v="553"/>
    <x v="0"/>
    <x v="5"/>
    <n v="2"/>
    <n v="999.99"/>
    <n v="7.0000000000000007E-2"/>
    <n v="1999.98"/>
    <m/>
    <x v="5"/>
    <x v="0"/>
  </r>
  <r>
    <x v="553"/>
    <x v="1"/>
    <x v="13"/>
    <n v="1"/>
    <n v="269.99"/>
    <n v="0.05"/>
    <n v="269.99"/>
    <m/>
    <x v="12"/>
    <x v="0"/>
  </r>
  <r>
    <x v="553"/>
    <x v="2"/>
    <x v="4"/>
    <n v="2"/>
    <n v="2899.99"/>
    <n v="0.2"/>
    <n v="5799.98"/>
    <m/>
    <x v="4"/>
    <x v="0"/>
  </r>
  <r>
    <x v="554"/>
    <x v="0"/>
    <x v="1"/>
    <n v="1"/>
    <n v="1799.99"/>
    <n v="0.2"/>
    <n v="1799.99"/>
    <m/>
    <x v="1"/>
    <x v="1"/>
  </r>
  <r>
    <x v="554"/>
    <x v="1"/>
    <x v="14"/>
    <n v="1"/>
    <n v="3999.99"/>
    <n v="0.1"/>
    <n v="3999.99"/>
    <m/>
    <x v="13"/>
    <x v="1"/>
  </r>
  <r>
    <x v="554"/>
    <x v="2"/>
    <x v="0"/>
    <n v="2"/>
    <n v="599.99"/>
    <n v="7.0000000000000007E-2"/>
    <n v="1199.98"/>
    <m/>
    <x v="0"/>
    <x v="1"/>
  </r>
  <r>
    <x v="555"/>
    <x v="0"/>
    <x v="3"/>
    <n v="1"/>
    <n v="599.99"/>
    <n v="0.1"/>
    <n v="599.99"/>
    <m/>
    <x v="3"/>
    <x v="2"/>
  </r>
  <r>
    <x v="555"/>
    <x v="1"/>
    <x v="4"/>
    <n v="2"/>
    <n v="2899.99"/>
    <n v="0.2"/>
    <n v="5799.98"/>
    <m/>
    <x v="4"/>
    <x v="2"/>
  </r>
  <r>
    <x v="556"/>
    <x v="0"/>
    <x v="11"/>
    <n v="2"/>
    <n v="2999.99"/>
    <n v="0.1"/>
    <n v="5999.98"/>
    <m/>
    <x v="10"/>
    <x v="1"/>
  </r>
  <r>
    <x v="556"/>
    <x v="1"/>
    <x v="2"/>
    <n v="1"/>
    <n v="1549"/>
    <n v="0.1"/>
    <n v="1549"/>
    <m/>
    <x v="2"/>
    <x v="1"/>
  </r>
  <r>
    <x v="557"/>
    <x v="0"/>
    <x v="14"/>
    <n v="1"/>
    <n v="3999.99"/>
    <n v="7.0000000000000007E-2"/>
    <n v="3999.99"/>
    <m/>
    <x v="13"/>
    <x v="1"/>
  </r>
  <r>
    <x v="557"/>
    <x v="1"/>
    <x v="3"/>
    <n v="1"/>
    <n v="599.99"/>
    <n v="7.0000000000000007E-2"/>
    <n v="599.99"/>
    <m/>
    <x v="3"/>
    <x v="1"/>
  </r>
  <r>
    <x v="557"/>
    <x v="2"/>
    <x v="11"/>
    <n v="1"/>
    <n v="2999.99"/>
    <n v="0.1"/>
    <n v="2999.99"/>
    <m/>
    <x v="10"/>
    <x v="1"/>
  </r>
  <r>
    <x v="557"/>
    <x v="3"/>
    <x v="20"/>
    <n v="2"/>
    <n v="269.99"/>
    <n v="0.05"/>
    <n v="539.98"/>
    <m/>
    <x v="15"/>
    <x v="1"/>
  </r>
  <r>
    <x v="557"/>
    <x v="4"/>
    <x v="2"/>
    <n v="2"/>
    <n v="1549"/>
    <n v="7.0000000000000007E-2"/>
    <n v="3098"/>
    <m/>
    <x v="2"/>
    <x v="1"/>
  </r>
  <r>
    <x v="558"/>
    <x v="0"/>
    <x v="12"/>
    <n v="2"/>
    <n v="529.99"/>
    <n v="0.1"/>
    <n v="1059.98"/>
    <m/>
    <x v="11"/>
    <x v="0"/>
  </r>
  <r>
    <x v="558"/>
    <x v="1"/>
    <x v="18"/>
    <n v="1"/>
    <n v="469.99"/>
    <n v="0.1"/>
    <n v="469.99"/>
    <m/>
    <x v="16"/>
    <x v="0"/>
  </r>
  <r>
    <x v="558"/>
    <x v="2"/>
    <x v="14"/>
    <n v="2"/>
    <n v="3999.99"/>
    <n v="7.0000000000000007E-2"/>
    <n v="7999.98"/>
    <m/>
    <x v="13"/>
    <x v="0"/>
  </r>
  <r>
    <x v="559"/>
    <x v="0"/>
    <x v="3"/>
    <n v="1"/>
    <n v="599.99"/>
    <n v="0.05"/>
    <n v="599.99"/>
    <m/>
    <x v="3"/>
    <x v="1"/>
  </r>
  <r>
    <x v="559"/>
    <x v="1"/>
    <x v="8"/>
    <n v="2"/>
    <n v="599.99"/>
    <n v="0.1"/>
    <n v="1199.98"/>
    <m/>
    <x v="3"/>
    <x v="1"/>
  </r>
  <r>
    <x v="560"/>
    <x v="0"/>
    <x v="12"/>
    <n v="2"/>
    <n v="529.99"/>
    <n v="0.05"/>
    <n v="1059.98"/>
    <m/>
    <x v="11"/>
    <x v="1"/>
  </r>
  <r>
    <x v="560"/>
    <x v="1"/>
    <x v="9"/>
    <n v="1"/>
    <n v="449"/>
    <n v="0.05"/>
    <n v="449"/>
    <m/>
    <x v="8"/>
    <x v="1"/>
  </r>
  <r>
    <x v="560"/>
    <x v="2"/>
    <x v="21"/>
    <n v="1"/>
    <n v="1320.99"/>
    <n v="0.05"/>
    <n v="1320.99"/>
    <m/>
    <x v="18"/>
    <x v="1"/>
  </r>
  <r>
    <x v="560"/>
    <x v="3"/>
    <x v="7"/>
    <n v="2"/>
    <n v="429"/>
    <n v="7.0000000000000007E-2"/>
    <n v="858"/>
    <m/>
    <x v="7"/>
    <x v="1"/>
  </r>
  <r>
    <x v="561"/>
    <x v="0"/>
    <x v="22"/>
    <n v="2"/>
    <n v="499.99"/>
    <n v="7.0000000000000007E-2"/>
    <n v="999.98"/>
    <m/>
    <x v="19"/>
    <x v="1"/>
  </r>
  <r>
    <x v="561"/>
    <x v="1"/>
    <x v="8"/>
    <n v="1"/>
    <n v="599.99"/>
    <n v="0.05"/>
    <n v="599.99"/>
    <m/>
    <x v="3"/>
    <x v="1"/>
  </r>
  <r>
    <x v="562"/>
    <x v="0"/>
    <x v="18"/>
    <n v="2"/>
    <n v="469.99"/>
    <n v="0.1"/>
    <n v="939.98"/>
    <m/>
    <x v="16"/>
    <x v="1"/>
  </r>
  <r>
    <x v="562"/>
    <x v="1"/>
    <x v="23"/>
    <n v="1"/>
    <n v="449"/>
    <n v="0.05"/>
    <n v="449"/>
    <m/>
    <x v="20"/>
    <x v="1"/>
  </r>
  <r>
    <x v="562"/>
    <x v="2"/>
    <x v="17"/>
    <n v="2"/>
    <n v="269.99"/>
    <n v="0.1"/>
    <n v="539.98"/>
    <m/>
    <x v="15"/>
    <x v="1"/>
  </r>
  <r>
    <x v="563"/>
    <x v="0"/>
    <x v="4"/>
    <n v="1"/>
    <n v="2899.99"/>
    <n v="0.2"/>
    <n v="2899.99"/>
    <m/>
    <x v="4"/>
    <x v="1"/>
  </r>
  <r>
    <x v="563"/>
    <x v="1"/>
    <x v="12"/>
    <n v="1"/>
    <n v="529.99"/>
    <n v="0.2"/>
    <n v="529.99"/>
    <m/>
    <x v="11"/>
    <x v="1"/>
  </r>
  <r>
    <x v="564"/>
    <x v="0"/>
    <x v="9"/>
    <n v="1"/>
    <n v="449"/>
    <n v="0.2"/>
    <n v="449"/>
    <m/>
    <x v="8"/>
    <x v="1"/>
  </r>
  <r>
    <x v="564"/>
    <x v="1"/>
    <x v="22"/>
    <n v="2"/>
    <n v="499.99"/>
    <n v="0.1"/>
    <n v="999.98"/>
    <m/>
    <x v="19"/>
    <x v="1"/>
  </r>
  <r>
    <x v="564"/>
    <x v="2"/>
    <x v="11"/>
    <n v="1"/>
    <n v="2999.99"/>
    <n v="0.05"/>
    <n v="2999.99"/>
    <m/>
    <x v="10"/>
    <x v="1"/>
  </r>
  <r>
    <x v="564"/>
    <x v="3"/>
    <x v="7"/>
    <n v="1"/>
    <n v="429"/>
    <n v="0.1"/>
    <n v="429"/>
    <m/>
    <x v="7"/>
    <x v="1"/>
  </r>
  <r>
    <x v="565"/>
    <x v="0"/>
    <x v="24"/>
    <n v="2"/>
    <n v="549.99"/>
    <n v="7.0000000000000007E-2"/>
    <n v="1099.98"/>
    <m/>
    <x v="9"/>
    <x v="0"/>
  </r>
  <r>
    <x v="565"/>
    <x v="1"/>
    <x v="14"/>
    <n v="2"/>
    <n v="3999.99"/>
    <n v="0.2"/>
    <n v="7999.98"/>
    <m/>
    <x v="13"/>
    <x v="0"/>
  </r>
  <r>
    <x v="565"/>
    <x v="2"/>
    <x v="1"/>
    <n v="1"/>
    <n v="1799.99"/>
    <n v="0.1"/>
    <n v="1799.99"/>
    <m/>
    <x v="1"/>
    <x v="0"/>
  </r>
  <r>
    <x v="565"/>
    <x v="3"/>
    <x v="20"/>
    <n v="2"/>
    <n v="269.99"/>
    <n v="0.2"/>
    <n v="539.98"/>
    <m/>
    <x v="15"/>
    <x v="0"/>
  </r>
  <r>
    <x v="566"/>
    <x v="0"/>
    <x v="11"/>
    <n v="1"/>
    <n v="2999.99"/>
    <n v="0.2"/>
    <n v="2999.99"/>
    <m/>
    <x v="10"/>
    <x v="0"/>
  </r>
  <r>
    <x v="566"/>
    <x v="1"/>
    <x v="21"/>
    <n v="1"/>
    <n v="1320.99"/>
    <n v="7.0000000000000007E-2"/>
    <n v="1320.99"/>
    <m/>
    <x v="18"/>
    <x v="0"/>
  </r>
  <r>
    <x v="567"/>
    <x v="0"/>
    <x v="21"/>
    <n v="1"/>
    <n v="1320.99"/>
    <n v="0.05"/>
    <n v="1320.99"/>
    <m/>
    <x v="18"/>
    <x v="0"/>
  </r>
  <r>
    <x v="567"/>
    <x v="1"/>
    <x v="2"/>
    <n v="1"/>
    <n v="1549"/>
    <n v="0.05"/>
    <n v="1549"/>
    <m/>
    <x v="2"/>
    <x v="0"/>
  </r>
  <r>
    <x v="568"/>
    <x v="0"/>
    <x v="3"/>
    <n v="1"/>
    <n v="599.99"/>
    <n v="0.05"/>
    <n v="599.99"/>
    <m/>
    <x v="3"/>
    <x v="1"/>
  </r>
  <r>
    <x v="568"/>
    <x v="1"/>
    <x v="24"/>
    <n v="2"/>
    <n v="549.99"/>
    <n v="0.1"/>
    <n v="1099.98"/>
    <m/>
    <x v="9"/>
    <x v="1"/>
  </r>
  <r>
    <x v="569"/>
    <x v="0"/>
    <x v="9"/>
    <n v="1"/>
    <n v="449"/>
    <n v="7.0000000000000007E-2"/>
    <n v="449"/>
    <m/>
    <x v="8"/>
    <x v="1"/>
  </r>
  <r>
    <x v="569"/>
    <x v="1"/>
    <x v="24"/>
    <n v="2"/>
    <n v="549.99"/>
    <n v="0.1"/>
    <n v="1099.98"/>
    <m/>
    <x v="9"/>
    <x v="1"/>
  </r>
  <r>
    <x v="569"/>
    <x v="2"/>
    <x v="5"/>
    <n v="2"/>
    <n v="999.99"/>
    <n v="0.2"/>
    <n v="1999.98"/>
    <m/>
    <x v="5"/>
    <x v="1"/>
  </r>
  <r>
    <x v="569"/>
    <x v="3"/>
    <x v="16"/>
    <n v="1"/>
    <n v="1680.99"/>
    <n v="0.1"/>
    <n v="1680.99"/>
    <m/>
    <x v="14"/>
    <x v="1"/>
  </r>
  <r>
    <x v="569"/>
    <x v="4"/>
    <x v="3"/>
    <n v="1"/>
    <n v="599.99"/>
    <n v="0.05"/>
    <n v="599.99"/>
    <m/>
    <x v="3"/>
    <x v="1"/>
  </r>
  <r>
    <x v="570"/>
    <x v="0"/>
    <x v="4"/>
    <n v="1"/>
    <n v="2899.99"/>
    <n v="0.05"/>
    <n v="2899.99"/>
    <m/>
    <x v="4"/>
    <x v="0"/>
  </r>
  <r>
    <x v="570"/>
    <x v="1"/>
    <x v="11"/>
    <n v="1"/>
    <n v="2999.99"/>
    <n v="0.1"/>
    <n v="2999.99"/>
    <m/>
    <x v="10"/>
    <x v="0"/>
  </r>
  <r>
    <x v="571"/>
    <x v="0"/>
    <x v="5"/>
    <n v="1"/>
    <n v="999.99"/>
    <n v="0.05"/>
    <n v="999.99"/>
    <m/>
    <x v="5"/>
    <x v="1"/>
  </r>
  <r>
    <x v="571"/>
    <x v="1"/>
    <x v="17"/>
    <n v="2"/>
    <n v="269.99"/>
    <n v="0.1"/>
    <n v="539.98"/>
    <m/>
    <x v="15"/>
    <x v="1"/>
  </r>
  <r>
    <x v="571"/>
    <x v="2"/>
    <x v="16"/>
    <n v="2"/>
    <n v="1680.99"/>
    <n v="0.2"/>
    <n v="3361.98"/>
    <m/>
    <x v="14"/>
    <x v="1"/>
  </r>
  <r>
    <x v="572"/>
    <x v="0"/>
    <x v="6"/>
    <n v="1"/>
    <n v="749.99"/>
    <n v="0.2"/>
    <n v="749.99"/>
    <m/>
    <x v="6"/>
    <x v="1"/>
  </r>
  <r>
    <x v="573"/>
    <x v="0"/>
    <x v="8"/>
    <n v="1"/>
    <n v="599.99"/>
    <n v="0.05"/>
    <n v="599.99"/>
    <m/>
    <x v="3"/>
    <x v="1"/>
  </r>
  <r>
    <x v="573"/>
    <x v="1"/>
    <x v="17"/>
    <n v="2"/>
    <n v="269.99"/>
    <n v="0.1"/>
    <n v="539.98"/>
    <m/>
    <x v="15"/>
    <x v="1"/>
  </r>
  <r>
    <x v="573"/>
    <x v="2"/>
    <x v="10"/>
    <n v="2"/>
    <n v="549.99"/>
    <n v="0.1"/>
    <n v="1099.98"/>
    <m/>
    <x v="9"/>
    <x v="1"/>
  </r>
  <r>
    <x v="573"/>
    <x v="3"/>
    <x v="19"/>
    <n v="2"/>
    <n v="299.99"/>
    <n v="0.1"/>
    <n v="599.98"/>
    <m/>
    <x v="17"/>
    <x v="1"/>
  </r>
  <r>
    <x v="573"/>
    <x v="4"/>
    <x v="16"/>
    <n v="2"/>
    <n v="1680.99"/>
    <n v="0.05"/>
    <n v="3361.98"/>
    <m/>
    <x v="14"/>
    <x v="1"/>
  </r>
  <r>
    <x v="574"/>
    <x v="0"/>
    <x v="4"/>
    <n v="2"/>
    <n v="2899.99"/>
    <n v="7.0000000000000007E-2"/>
    <n v="5799.98"/>
    <m/>
    <x v="4"/>
    <x v="0"/>
  </r>
  <r>
    <x v="574"/>
    <x v="1"/>
    <x v="10"/>
    <n v="1"/>
    <n v="549.99"/>
    <n v="0.2"/>
    <n v="549.99"/>
    <m/>
    <x v="9"/>
    <x v="0"/>
  </r>
  <r>
    <x v="575"/>
    <x v="0"/>
    <x v="11"/>
    <n v="1"/>
    <n v="2999.99"/>
    <n v="0.1"/>
    <n v="2999.99"/>
    <m/>
    <x v="10"/>
    <x v="0"/>
  </r>
  <r>
    <x v="576"/>
    <x v="0"/>
    <x v="5"/>
    <n v="2"/>
    <n v="999.99"/>
    <n v="0.2"/>
    <n v="1999.98"/>
    <m/>
    <x v="5"/>
    <x v="1"/>
  </r>
  <r>
    <x v="577"/>
    <x v="0"/>
    <x v="20"/>
    <n v="1"/>
    <n v="269.99"/>
    <n v="7.0000000000000007E-2"/>
    <n v="269.99"/>
    <m/>
    <x v="15"/>
    <x v="1"/>
  </r>
  <r>
    <x v="577"/>
    <x v="1"/>
    <x v="22"/>
    <n v="2"/>
    <n v="499.99"/>
    <n v="0.2"/>
    <n v="999.98"/>
    <m/>
    <x v="19"/>
    <x v="1"/>
  </r>
  <r>
    <x v="577"/>
    <x v="2"/>
    <x v="9"/>
    <n v="2"/>
    <n v="449"/>
    <n v="0.05"/>
    <n v="898"/>
    <m/>
    <x v="8"/>
    <x v="1"/>
  </r>
  <r>
    <x v="577"/>
    <x v="3"/>
    <x v="1"/>
    <n v="2"/>
    <n v="1799.99"/>
    <n v="0.2"/>
    <n v="3599.98"/>
    <m/>
    <x v="1"/>
    <x v="1"/>
  </r>
  <r>
    <x v="578"/>
    <x v="0"/>
    <x v="14"/>
    <n v="2"/>
    <n v="3999.99"/>
    <n v="0.05"/>
    <n v="7999.98"/>
    <m/>
    <x v="13"/>
    <x v="2"/>
  </r>
  <r>
    <x v="578"/>
    <x v="1"/>
    <x v="18"/>
    <n v="1"/>
    <n v="469.99"/>
    <n v="0.2"/>
    <n v="469.99"/>
    <m/>
    <x v="16"/>
    <x v="2"/>
  </r>
  <r>
    <x v="579"/>
    <x v="0"/>
    <x v="3"/>
    <n v="2"/>
    <n v="599.99"/>
    <n v="0.2"/>
    <n v="1199.98"/>
    <m/>
    <x v="3"/>
    <x v="0"/>
  </r>
  <r>
    <x v="579"/>
    <x v="1"/>
    <x v="12"/>
    <n v="1"/>
    <n v="529.99"/>
    <n v="7.0000000000000007E-2"/>
    <n v="529.99"/>
    <m/>
    <x v="11"/>
    <x v="0"/>
  </r>
  <r>
    <x v="579"/>
    <x v="2"/>
    <x v="20"/>
    <n v="2"/>
    <n v="269.99"/>
    <n v="0.2"/>
    <n v="539.98"/>
    <m/>
    <x v="15"/>
    <x v="0"/>
  </r>
  <r>
    <x v="579"/>
    <x v="3"/>
    <x v="11"/>
    <n v="2"/>
    <n v="2999.99"/>
    <n v="7.0000000000000007E-2"/>
    <n v="5999.98"/>
    <m/>
    <x v="10"/>
    <x v="0"/>
  </r>
  <r>
    <x v="579"/>
    <x v="4"/>
    <x v="23"/>
    <n v="1"/>
    <n v="449"/>
    <n v="0.2"/>
    <n v="449"/>
    <m/>
    <x v="20"/>
    <x v="0"/>
  </r>
  <r>
    <x v="580"/>
    <x v="0"/>
    <x v="1"/>
    <n v="2"/>
    <n v="1799.99"/>
    <n v="7.0000000000000007E-2"/>
    <n v="3599.98"/>
    <m/>
    <x v="1"/>
    <x v="0"/>
  </r>
  <r>
    <x v="581"/>
    <x v="0"/>
    <x v="2"/>
    <n v="2"/>
    <n v="1549"/>
    <n v="0.2"/>
    <n v="3098"/>
    <m/>
    <x v="2"/>
    <x v="0"/>
  </r>
  <r>
    <x v="581"/>
    <x v="1"/>
    <x v="7"/>
    <n v="2"/>
    <n v="429"/>
    <n v="7.0000000000000007E-2"/>
    <n v="858"/>
    <m/>
    <x v="7"/>
    <x v="0"/>
  </r>
  <r>
    <x v="582"/>
    <x v="0"/>
    <x v="12"/>
    <n v="2"/>
    <n v="529.99"/>
    <n v="0.2"/>
    <n v="1059.98"/>
    <m/>
    <x v="11"/>
    <x v="1"/>
  </r>
  <r>
    <x v="583"/>
    <x v="0"/>
    <x v="23"/>
    <n v="1"/>
    <n v="449"/>
    <n v="7.0000000000000007E-2"/>
    <n v="449"/>
    <m/>
    <x v="20"/>
    <x v="1"/>
  </r>
  <r>
    <x v="583"/>
    <x v="1"/>
    <x v="19"/>
    <n v="1"/>
    <n v="299.99"/>
    <n v="7.0000000000000007E-2"/>
    <n v="299.99"/>
    <m/>
    <x v="17"/>
    <x v="1"/>
  </r>
  <r>
    <x v="583"/>
    <x v="2"/>
    <x v="12"/>
    <n v="1"/>
    <n v="529.99"/>
    <n v="0.1"/>
    <n v="529.99"/>
    <m/>
    <x v="11"/>
    <x v="1"/>
  </r>
  <r>
    <x v="583"/>
    <x v="3"/>
    <x v="13"/>
    <n v="1"/>
    <n v="269.99"/>
    <n v="0.05"/>
    <n v="269.99"/>
    <m/>
    <x v="12"/>
    <x v="1"/>
  </r>
  <r>
    <x v="583"/>
    <x v="4"/>
    <x v="1"/>
    <n v="2"/>
    <n v="1799.99"/>
    <n v="7.0000000000000007E-2"/>
    <n v="3599.98"/>
    <m/>
    <x v="1"/>
    <x v="1"/>
  </r>
  <r>
    <x v="584"/>
    <x v="0"/>
    <x v="2"/>
    <n v="1"/>
    <n v="1549"/>
    <n v="0.2"/>
    <n v="1549"/>
    <m/>
    <x v="2"/>
    <x v="1"/>
  </r>
  <r>
    <x v="584"/>
    <x v="1"/>
    <x v="9"/>
    <n v="2"/>
    <n v="449"/>
    <n v="0.2"/>
    <n v="898"/>
    <m/>
    <x v="8"/>
    <x v="1"/>
  </r>
  <r>
    <x v="584"/>
    <x v="2"/>
    <x v="12"/>
    <n v="1"/>
    <n v="529.99"/>
    <n v="0.05"/>
    <n v="529.99"/>
    <m/>
    <x v="11"/>
    <x v="1"/>
  </r>
  <r>
    <x v="584"/>
    <x v="3"/>
    <x v="10"/>
    <n v="2"/>
    <n v="549.99"/>
    <n v="7.0000000000000007E-2"/>
    <n v="1099.98"/>
    <m/>
    <x v="9"/>
    <x v="1"/>
  </r>
  <r>
    <x v="585"/>
    <x v="0"/>
    <x v="16"/>
    <n v="2"/>
    <n v="1680.99"/>
    <n v="0.1"/>
    <n v="3361.98"/>
    <m/>
    <x v="14"/>
    <x v="1"/>
  </r>
  <r>
    <x v="585"/>
    <x v="1"/>
    <x v="19"/>
    <n v="2"/>
    <n v="299.99"/>
    <n v="0.2"/>
    <n v="599.98"/>
    <m/>
    <x v="17"/>
    <x v="1"/>
  </r>
  <r>
    <x v="586"/>
    <x v="0"/>
    <x v="24"/>
    <n v="1"/>
    <n v="549.99"/>
    <n v="0.05"/>
    <n v="549.99"/>
    <m/>
    <x v="9"/>
    <x v="0"/>
  </r>
  <r>
    <x v="586"/>
    <x v="1"/>
    <x v="19"/>
    <n v="1"/>
    <n v="299.99"/>
    <n v="0.05"/>
    <n v="299.99"/>
    <m/>
    <x v="17"/>
    <x v="0"/>
  </r>
  <r>
    <x v="586"/>
    <x v="2"/>
    <x v="9"/>
    <n v="1"/>
    <n v="449"/>
    <n v="0.05"/>
    <n v="449"/>
    <m/>
    <x v="8"/>
    <x v="0"/>
  </r>
  <r>
    <x v="586"/>
    <x v="3"/>
    <x v="20"/>
    <n v="1"/>
    <n v="269.99"/>
    <n v="0.2"/>
    <n v="269.99"/>
    <m/>
    <x v="15"/>
    <x v="0"/>
  </r>
  <r>
    <x v="587"/>
    <x v="0"/>
    <x v="2"/>
    <n v="2"/>
    <n v="1549"/>
    <n v="7.0000000000000007E-2"/>
    <n v="3098"/>
    <m/>
    <x v="2"/>
    <x v="1"/>
  </r>
  <r>
    <x v="587"/>
    <x v="1"/>
    <x v="19"/>
    <n v="1"/>
    <n v="299.99"/>
    <n v="0.2"/>
    <n v="299.99"/>
    <m/>
    <x v="17"/>
    <x v="1"/>
  </r>
  <r>
    <x v="588"/>
    <x v="0"/>
    <x v="12"/>
    <n v="2"/>
    <n v="529.99"/>
    <n v="0.05"/>
    <n v="1059.98"/>
    <m/>
    <x v="11"/>
    <x v="1"/>
  </r>
  <r>
    <x v="589"/>
    <x v="0"/>
    <x v="6"/>
    <n v="2"/>
    <n v="749.99"/>
    <n v="0.1"/>
    <n v="1499.98"/>
    <m/>
    <x v="6"/>
    <x v="1"/>
  </r>
  <r>
    <x v="589"/>
    <x v="1"/>
    <x v="0"/>
    <n v="1"/>
    <n v="599.99"/>
    <n v="7.0000000000000007E-2"/>
    <n v="599.99"/>
    <m/>
    <x v="0"/>
    <x v="1"/>
  </r>
  <r>
    <x v="589"/>
    <x v="2"/>
    <x v="1"/>
    <n v="2"/>
    <n v="1799.99"/>
    <n v="0.05"/>
    <n v="3599.98"/>
    <m/>
    <x v="1"/>
    <x v="1"/>
  </r>
  <r>
    <x v="589"/>
    <x v="3"/>
    <x v="21"/>
    <n v="2"/>
    <n v="1320.99"/>
    <n v="0.1"/>
    <n v="2641.98"/>
    <m/>
    <x v="18"/>
    <x v="1"/>
  </r>
  <r>
    <x v="589"/>
    <x v="4"/>
    <x v="24"/>
    <n v="1"/>
    <n v="549.99"/>
    <n v="0.1"/>
    <n v="549.99"/>
    <m/>
    <x v="9"/>
    <x v="1"/>
  </r>
  <r>
    <x v="590"/>
    <x v="0"/>
    <x v="3"/>
    <n v="2"/>
    <n v="599.99"/>
    <n v="0.05"/>
    <n v="1199.98"/>
    <m/>
    <x v="3"/>
    <x v="1"/>
  </r>
  <r>
    <x v="590"/>
    <x v="1"/>
    <x v="22"/>
    <n v="2"/>
    <n v="499.99"/>
    <n v="0.05"/>
    <n v="999.98"/>
    <m/>
    <x v="19"/>
    <x v="1"/>
  </r>
  <r>
    <x v="590"/>
    <x v="2"/>
    <x v="6"/>
    <n v="2"/>
    <n v="749.99"/>
    <n v="0.1"/>
    <n v="1499.98"/>
    <m/>
    <x v="6"/>
    <x v="1"/>
  </r>
  <r>
    <x v="591"/>
    <x v="0"/>
    <x v="20"/>
    <n v="2"/>
    <n v="269.99"/>
    <n v="0.1"/>
    <n v="539.98"/>
    <m/>
    <x v="15"/>
    <x v="1"/>
  </r>
  <r>
    <x v="591"/>
    <x v="1"/>
    <x v="3"/>
    <n v="1"/>
    <n v="599.99"/>
    <n v="0.05"/>
    <n v="599.99"/>
    <m/>
    <x v="3"/>
    <x v="1"/>
  </r>
  <r>
    <x v="591"/>
    <x v="2"/>
    <x v="9"/>
    <n v="2"/>
    <n v="449"/>
    <n v="7.0000000000000007E-2"/>
    <n v="898"/>
    <m/>
    <x v="8"/>
    <x v="1"/>
  </r>
  <r>
    <x v="592"/>
    <x v="0"/>
    <x v="5"/>
    <n v="2"/>
    <n v="999.99"/>
    <n v="0.1"/>
    <n v="1999.98"/>
    <m/>
    <x v="5"/>
    <x v="2"/>
  </r>
  <r>
    <x v="592"/>
    <x v="1"/>
    <x v="22"/>
    <n v="1"/>
    <n v="499.99"/>
    <n v="7.0000000000000007E-2"/>
    <n v="499.99"/>
    <m/>
    <x v="19"/>
    <x v="2"/>
  </r>
  <r>
    <x v="593"/>
    <x v="0"/>
    <x v="8"/>
    <n v="1"/>
    <n v="599.99"/>
    <n v="0.1"/>
    <n v="599.99"/>
    <m/>
    <x v="3"/>
    <x v="2"/>
  </r>
  <r>
    <x v="593"/>
    <x v="1"/>
    <x v="20"/>
    <n v="2"/>
    <n v="269.99"/>
    <n v="0.05"/>
    <n v="539.98"/>
    <m/>
    <x v="15"/>
    <x v="2"/>
  </r>
  <r>
    <x v="594"/>
    <x v="0"/>
    <x v="4"/>
    <n v="1"/>
    <n v="2899.99"/>
    <n v="7.0000000000000007E-2"/>
    <n v="2899.99"/>
    <m/>
    <x v="4"/>
    <x v="0"/>
  </r>
  <r>
    <x v="594"/>
    <x v="1"/>
    <x v="23"/>
    <n v="2"/>
    <n v="449"/>
    <n v="7.0000000000000007E-2"/>
    <n v="898"/>
    <m/>
    <x v="20"/>
    <x v="0"/>
  </r>
  <r>
    <x v="594"/>
    <x v="2"/>
    <x v="5"/>
    <n v="1"/>
    <n v="999.99"/>
    <n v="7.0000000000000007E-2"/>
    <n v="999.99"/>
    <m/>
    <x v="5"/>
    <x v="0"/>
  </r>
  <r>
    <x v="594"/>
    <x v="3"/>
    <x v="2"/>
    <n v="1"/>
    <n v="1549"/>
    <n v="7.0000000000000007E-2"/>
    <n v="1549"/>
    <m/>
    <x v="2"/>
    <x v="0"/>
  </r>
  <r>
    <x v="594"/>
    <x v="4"/>
    <x v="8"/>
    <n v="2"/>
    <n v="599.99"/>
    <n v="0.05"/>
    <n v="1199.98"/>
    <m/>
    <x v="3"/>
    <x v="0"/>
  </r>
  <r>
    <x v="595"/>
    <x v="0"/>
    <x v="21"/>
    <n v="1"/>
    <n v="1320.99"/>
    <n v="0.05"/>
    <n v="1320.99"/>
    <m/>
    <x v="18"/>
    <x v="0"/>
  </r>
  <r>
    <x v="595"/>
    <x v="1"/>
    <x v="19"/>
    <n v="2"/>
    <n v="299.99"/>
    <n v="0.1"/>
    <n v="599.98"/>
    <m/>
    <x v="17"/>
    <x v="0"/>
  </r>
  <r>
    <x v="595"/>
    <x v="2"/>
    <x v="11"/>
    <n v="1"/>
    <n v="2999.99"/>
    <n v="0.05"/>
    <n v="2999.99"/>
    <m/>
    <x v="10"/>
    <x v="0"/>
  </r>
  <r>
    <x v="596"/>
    <x v="0"/>
    <x v="7"/>
    <n v="2"/>
    <n v="429"/>
    <n v="0.2"/>
    <n v="858"/>
    <m/>
    <x v="7"/>
    <x v="1"/>
  </r>
  <r>
    <x v="596"/>
    <x v="1"/>
    <x v="1"/>
    <n v="1"/>
    <n v="1799.99"/>
    <n v="7.0000000000000007E-2"/>
    <n v="1799.99"/>
    <m/>
    <x v="1"/>
    <x v="1"/>
  </r>
  <r>
    <x v="597"/>
    <x v="0"/>
    <x v="4"/>
    <n v="2"/>
    <n v="2899.99"/>
    <n v="0.05"/>
    <n v="5799.98"/>
    <m/>
    <x v="4"/>
    <x v="0"/>
  </r>
  <r>
    <x v="597"/>
    <x v="1"/>
    <x v="3"/>
    <n v="2"/>
    <n v="599.99"/>
    <n v="7.0000000000000007E-2"/>
    <n v="1199.98"/>
    <m/>
    <x v="3"/>
    <x v="0"/>
  </r>
  <r>
    <x v="597"/>
    <x v="2"/>
    <x v="15"/>
    <n v="1"/>
    <n v="269.99"/>
    <n v="0.1"/>
    <n v="269.99"/>
    <m/>
    <x v="12"/>
    <x v="0"/>
  </r>
  <r>
    <x v="598"/>
    <x v="0"/>
    <x v="11"/>
    <n v="2"/>
    <n v="2999.99"/>
    <n v="0.05"/>
    <n v="5999.98"/>
    <m/>
    <x v="10"/>
    <x v="1"/>
  </r>
  <r>
    <x v="598"/>
    <x v="1"/>
    <x v="13"/>
    <n v="2"/>
    <n v="269.99"/>
    <n v="0.2"/>
    <n v="539.98"/>
    <m/>
    <x v="12"/>
    <x v="1"/>
  </r>
  <r>
    <x v="598"/>
    <x v="2"/>
    <x v="19"/>
    <n v="1"/>
    <n v="299.99"/>
    <n v="7.0000000000000007E-2"/>
    <n v="299.99"/>
    <m/>
    <x v="17"/>
    <x v="1"/>
  </r>
  <r>
    <x v="598"/>
    <x v="3"/>
    <x v="2"/>
    <n v="2"/>
    <n v="1549"/>
    <n v="0.1"/>
    <n v="3098"/>
    <m/>
    <x v="2"/>
    <x v="1"/>
  </r>
  <r>
    <x v="599"/>
    <x v="0"/>
    <x v="8"/>
    <n v="2"/>
    <n v="599.99"/>
    <n v="7.0000000000000007E-2"/>
    <n v="1199.98"/>
    <m/>
    <x v="3"/>
    <x v="1"/>
  </r>
  <r>
    <x v="599"/>
    <x v="1"/>
    <x v="4"/>
    <n v="1"/>
    <n v="2899.99"/>
    <n v="0.2"/>
    <n v="2899.99"/>
    <m/>
    <x v="4"/>
    <x v="1"/>
  </r>
  <r>
    <x v="599"/>
    <x v="2"/>
    <x v="9"/>
    <n v="2"/>
    <n v="449"/>
    <n v="7.0000000000000007E-2"/>
    <n v="898"/>
    <m/>
    <x v="8"/>
    <x v="1"/>
  </r>
  <r>
    <x v="600"/>
    <x v="0"/>
    <x v="10"/>
    <n v="2"/>
    <n v="549.99"/>
    <n v="0.2"/>
    <n v="1099.98"/>
    <m/>
    <x v="9"/>
    <x v="1"/>
  </r>
  <r>
    <x v="601"/>
    <x v="0"/>
    <x v="12"/>
    <n v="2"/>
    <n v="529.99"/>
    <n v="0.05"/>
    <n v="1059.98"/>
    <m/>
    <x v="11"/>
    <x v="1"/>
  </r>
  <r>
    <x v="601"/>
    <x v="1"/>
    <x v="21"/>
    <n v="2"/>
    <n v="1320.99"/>
    <n v="7.0000000000000007E-2"/>
    <n v="2641.98"/>
    <m/>
    <x v="18"/>
    <x v="1"/>
  </r>
  <r>
    <x v="602"/>
    <x v="0"/>
    <x v="10"/>
    <n v="1"/>
    <n v="549.99"/>
    <n v="7.0000000000000007E-2"/>
    <n v="549.99"/>
    <m/>
    <x v="9"/>
    <x v="1"/>
  </r>
  <r>
    <x v="602"/>
    <x v="1"/>
    <x v="4"/>
    <n v="1"/>
    <n v="2899.99"/>
    <n v="0.1"/>
    <n v="2899.99"/>
    <m/>
    <x v="4"/>
    <x v="1"/>
  </r>
  <r>
    <x v="603"/>
    <x v="0"/>
    <x v="2"/>
    <n v="2"/>
    <n v="1549"/>
    <n v="7.0000000000000007E-2"/>
    <n v="3098"/>
    <m/>
    <x v="2"/>
    <x v="1"/>
  </r>
  <r>
    <x v="603"/>
    <x v="1"/>
    <x v="11"/>
    <n v="2"/>
    <n v="2999.99"/>
    <n v="0.2"/>
    <n v="5999.98"/>
    <m/>
    <x v="10"/>
    <x v="1"/>
  </r>
  <r>
    <x v="604"/>
    <x v="0"/>
    <x v="23"/>
    <n v="1"/>
    <n v="449"/>
    <n v="7.0000000000000007E-2"/>
    <n v="449"/>
    <m/>
    <x v="20"/>
    <x v="1"/>
  </r>
  <r>
    <x v="604"/>
    <x v="1"/>
    <x v="22"/>
    <n v="2"/>
    <n v="499.99"/>
    <n v="0.05"/>
    <n v="999.98"/>
    <m/>
    <x v="19"/>
    <x v="1"/>
  </r>
  <r>
    <x v="604"/>
    <x v="2"/>
    <x v="17"/>
    <n v="2"/>
    <n v="269.99"/>
    <n v="0.2"/>
    <n v="539.98"/>
    <m/>
    <x v="15"/>
    <x v="1"/>
  </r>
  <r>
    <x v="604"/>
    <x v="3"/>
    <x v="16"/>
    <n v="1"/>
    <n v="1680.99"/>
    <n v="0.2"/>
    <n v="1680.99"/>
    <m/>
    <x v="14"/>
    <x v="1"/>
  </r>
  <r>
    <x v="605"/>
    <x v="0"/>
    <x v="18"/>
    <n v="2"/>
    <n v="469.99"/>
    <n v="0.2"/>
    <n v="939.98"/>
    <m/>
    <x v="16"/>
    <x v="1"/>
  </r>
  <r>
    <x v="605"/>
    <x v="1"/>
    <x v="9"/>
    <n v="2"/>
    <n v="449"/>
    <n v="0.05"/>
    <n v="898"/>
    <m/>
    <x v="8"/>
    <x v="1"/>
  </r>
  <r>
    <x v="606"/>
    <x v="0"/>
    <x v="16"/>
    <n v="2"/>
    <n v="1680.99"/>
    <n v="0.2"/>
    <n v="3361.98"/>
    <m/>
    <x v="14"/>
    <x v="1"/>
  </r>
  <r>
    <x v="606"/>
    <x v="1"/>
    <x v="8"/>
    <n v="2"/>
    <n v="599.99"/>
    <n v="0.2"/>
    <n v="1199.98"/>
    <m/>
    <x v="3"/>
    <x v="1"/>
  </r>
  <r>
    <x v="606"/>
    <x v="2"/>
    <x v="15"/>
    <n v="1"/>
    <n v="269.99"/>
    <n v="7.0000000000000007E-2"/>
    <n v="269.99"/>
    <m/>
    <x v="12"/>
    <x v="1"/>
  </r>
  <r>
    <x v="607"/>
    <x v="0"/>
    <x v="4"/>
    <n v="2"/>
    <n v="2899.99"/>
    <n v="0.2"/>
    <n v="5799.98"/>
    <m/>
    <x v="4"/>
    <x v="0"/>
  </r>
  <r>
    <x v="607"/>
    <x v="1"/>
    <x v="14"/>
    <n v="2"/>
    <n v="3999.99"/>
    <n v="0.1"/>
    <n v="7999.98"/>
    <m/>
    <x v="13"/>
    <x v="0"/>
  </r>
  <r>
    <x v="607"/>
    <x v="2"/>
    <x v="24"/>
    <n v="1"/>
    <n v="549.99"/>
    <n v="0.1"/>
    <n v="549.99"/>
    <m/>
    <x v="9"/>
    <x v="0"/>
  </r>
  <r>
    <x v="608"/>
    <x v="0"/>
    <x v="2"/>
    <n v="1"/>
    <n v="1549"/>
    <n v="7.0000000000000007E-2"/>
    <n v="1549"/>
    <m/>
    <x v="2"/>
    <x v="1"/>
  </r>
  <r>
    <x v="608"/>
    <x v="1"/>
    <x v="14"/>
    <n v="1"/>
    <n v="3999.99"/>
    <n v="0.1"/>
    <n v="3999.99"/>
    <m/>
    <x v="13"/>
    <x v="1"/>
  </r>
  <r>
    <x v="608"/>
    <x v="2"/>
    <x v="13"/>
    <n v="2"/>
    <n v="269.99"/>
    <n v="0.1"/>
    <n v="539.98"/>
    <m/>
    <x v="12"/>
    <x v="1"/>
  </r>
  <r>
    <x v="608"/>
    <x v="3"/>
    <x v="21"/>
    <n v="1"/>
    <n v="1320.99"/>
    <n v="0.1"/>
    <n v="1320.99"/>
    <m/>
    <x v="18"/>
    <x v="1"/>
  </r>
  <r>
    <x v="609"/>
    <x v="0"/>
    <x v="8"/>
    <n v="1"/>
    <n v="599.99"/>
    <n v="0.1"/>
    <n v="599.99"/>
    <m/>
    <x v="3"/>
    <x v="1"/>
  </r>
  <r>
    <x v="609"/>
    <x v="1"/>
    <x v="24"/>
    <n v="1"/>
    <n v="549.99"/>
    <n v="7.0000000000000007E-2"/>
    <n v="549.99"/>
    <m/>
    <x v="9"/>
    <x v="1"/>
  </r>
  <r>
    <x v="609"/>
    <x v="2"/>
    <x v="9"/>
    <n v="2"/>
    <n v="449"/>
    <n v="7.0000000000000007E-2"/>
    <n v="898"/>
    <m/>
    <x v="8"/>
    <x v="1"/>
  </r>
  <r>
    <x v="609"/>
    <x v="3"/>
    <x v="5"/>
    <n v="1"/>
    <n v="999.99"/>
    <n v="7.0000000000000007E-2"/>
    <n v="999.99"/>
    <m/>
    <x v="5"/>
    <x v="1"/>
  </r>
  <r>
    <x v="609"/>
    <x v="4"/>
    <x v="1"/>
    <n v="1"/>
    <n v="1799.99"/>
    <n v="0.1"/>
    <n v="1799.99"/>
    <m/>
    <x v="1"/>
    <x v="1"/>
  </r>
  <r>
    <x v="610"/>
    <x v="0"/>
    <x v="3"/>
    <n v="2"/>
    <n v="599.99"/>
    <n v="7.0000000000000007E-2"/>
    <n v="1199.98"/>
    <m/>
    <x v="3"/>
    <x v="1"/>
  </r>
  <r>
    <x v="611"/>
    <x v="0"/>
    <x v="17"/>
    <n v="1"/>
    <n v="269.99"/>
    <n v="0.1"/>
    <n v="269.99"/>
    <m/>
    <x v="15"/>
    <x v="1"/>
  </r>
  <r>
    <x v="611"/>
    <x v="1"/>
    <x v="15"/>
    <n v="1"/>
    <n v="269.99"/>
    <n v="0.1"/>
    <n v="269.99"/>
    <m/>
    <x v="12"/>
    <x v="1"/>
  </r>
  <r>
    <x v="611"/>
    <x v="2"/>
    <x v="7"/>
    <n v="1"/>
    <n v="429"/>
    <n v="7.0000000000000007E-2"/>
    <n v="429"/>
    <m/>
    <x v="7"/>
    <x v="1"/>
  </r>
  <r>
    <x v="611"/>
    <x v="3"/>
    <x v="0"/>
    <n v="1"/>
    <n v="599.99"/>
    <n v="0.2"/>
    <n v="599.99"/>
    <m/>
    <x v="0"/>
    <x v="1"/>
  </r>
  <r>
    <x v="612"/>
    <x v="0"/>
    <x v="11"/>
    <n v="2"/>
    <n v="2999.99"/>
    <n v="0.1"/>
    <n v="5999.98"/>
    <m/>
    <x v="10"/>
    <x v="1"/>
  </r>
  <r>
    <x v="612"/>
    <x v="1"/>
    <x v="9"/>
    <n v="2"/>
    <n v="449"/>
    <n v="0.05"/>
    <n v="898"/>
    <m/>
    <x v="8"/>
    <x v="1"/>
  </r>
  <r>
    <x v="612"/>
    <x v="2"/>
    <x v="10"/>
    <n v="1"/>
    <n v="549.99"/>
    <n v="7.0000000000000007E-2"/>
    <n v="549.99"/>
    <m/>
    <x v="9"/>
    <x v="1"/>
  </r>
  <r>
    <x v="613"/>
    <x v="0"/>
    <x v="9"/>
    <n v="1"/>
    <n v="449"/>
    <n v="0.1"/>
    <n v="449"/>
    <m/>
    <x v="8"/>
    <x v="0"/>
  </r>
  <r>
    <x v="613"/>
    <x v="1"/>
    <x v="20"/>
    <n v="1"/>
    <n v="269.99"/>
    <n v="0.05"/>
    <n v="269.99"/>
    <m/>
    <x v="15"/>
    <x v="0"/>
  </r>
  <r>
    <x v="614"/>
    <x v="0"/>
    <x v="16"/>
    <n v="1"/>
    <n v="1680.99"/>
    <n v="7.0000000000000007E-2"/>
    <n v="1680.99"/>
    <m/>
    <x v="14"/>
    <x v="2"/>
  </r>
  <r>
    <x v="614"/>
    <x v="1"/>
    <x v="19"/>
    <n v="1"/>
    <n v="299.99"/>
    <n v="0.05"/>
    <n v="299.99"/>
    <m/>
    <x v="17"/>
    <x v="2"/>
  </r>
  <r>
    <x v="614"/>
    <x v="2"/>
    <x v="18"/>
    <n v="2"/>
    <n v="469.99"/>
    <n v="0.1"/>
    <n v="939.98"/>
    <m/>
    <x v="16"/>
    <x v="2"/>
  </r>
  <r>
    <x v="614"/>
    <x v="3"/>
    <x v="23"/>
    <n v="2"/>
    <n v="449"/>
    <n v="0.1"/>
    <n v="898"/>
    <m/>
    <x v="20"/>
    <x v="2"/>
  </r>
  <r>
    <x v="615"/>
    <x v="0"/>
    <x v="24"/>
    <n v="1"/>
    <n v="549.99"/>
    <n v="0.2"/>
    <n v="549.99"/>
    <m/>
    <x v="9"/>
    <x v="1"/>
  </r>
  <r>
    <x v="615"/>
    <x v="1"/>
    <x v="3"/>
    <n v="2"/>
    <n v="599.99"/>
    <n v="0.2"/>
    <n v="1199.98"/>
    <m/>
    <x v="3"/>
    <x v="1"/>
  </r>
  <r>
    <x v="616"/>
    <x v="0"/>
    <x v="12"/>
    <n v="2"/>
    <n v="529.99"/>
    <n v="0.2"/>
    <n v="1059.98"/>
    <m/>
    <x v="11"/>
    <x v="1"/>
  </r>
  <r>
    <x v="616"/>
    <x v="1"/>
    <x v="16"/>
    <n v="2"/>
    <n v="1680.99"/>
    <n v="7.0000000000000007E-2"/>
    <n v="3361.98"/>
    <m/>
    <x v="14"/>
    <x v="1"/>
  </r>
  <r>
    <x v="617"/>
    <x v="0"/>
    <x v="7"/>
    <n v="2"/>
    <n v="429"/>
    <n v="0.1"/>
    <n v="858"/>
    <m/>
    <x v="7"/>
    <x v="1"/>
  </r>
  <r>
    <x v="617"/>
    <x v="1"/>
    <x v="16"/>
    <n v="1"/>
    <n v="1680.99"/>
    <n v="7.0000000000000007E-2"/>
    <n v="1680.99"/>
    <m/>
    <x v="14"/>
    <x v="1"/>
  </r>
  <r>
    <x v="618"/>
    <x v="0"/>
    <x v="22"/>
    <n v="1"/>
    <n v="499.99"/>
    <n v="7.0000000000000007E-2"/>
    <n v="499.99"/>
    <m/>
    <x v="19"/>
    <x v="1"/>
  </r>
  <r>
    <x v="619"/>
    <x v="0"/>
    <x v="21"/>
    <n v="2"/>
    <n v="1320.99"/>
    <n v="0.2"/>
    <n v="2641.98"/>
    <m/>
    <x v="18"/>
    <x v="1"/>
  </r>
  <r>
    <x v="620"/>
    <x v="0"/>
    <x v="7"/>
    <n v="2"/>
    <n v="429"/>
    <n v="7.0000000000000007E-2"/>
    <n v="858"/>
    <m/>
    <x v="7"/>
    <x v="1"/>
  </r>
  <r>
    <x v="621"/>
    <x v="0"/>
    <x v="11"/>
    <n v="2"/>
    <n v="2999.99"/>
    <n v="7.0000000000000007E-2"/>
    <n v="5999.98"/>
    <m/>
    <x v="10"/>
    <x v="1"/>
  </r>
  <r>
    <x v="621"/>
    <x v="1"/>
    <x v="9"/>
    <n v="1"/>
    <n v="449"/>
    <n v="0.1"/>
    <n v="449"/>
    <m/>
    <x v="8"/>
    <x v="1"/>
  </r>
  <r>
    <x v="621"/>
    <x v="2"/>
    <x v="2"/>
    <n v="1"/>
    <n v="1549"/>
    <n v="0.2"/>
    <n v="1549"/>
    <m/>
    <x v="2"/>
    <x v="1"/>
  </r>
  <r>
    <x v="621"/>
    <x v="3"/>
    <x v="22"/>
    <n v="1"/>
    <n v="499.99"/>
    <n v="7.0000000000000007E-2"/>
    <n v="499.99"/>
    <m/>
    <x v="19"/>
    <x v="1"/>
  </r>
  <r>
    <x v="622"/>
    <x v="0"/>
    <x v="1"/>
    <n v="1"/>
    <n v="1799.99"/>
    <n v="7.0000000000000007E-2"/>
    <n v="1799.99"/>
    <m/>
    <x v="1"/>
    <x v="1"/>
  </r>
  <r>
    <x v="623"/>
    <x v="0"/>
    <x v="20"/>
    <n v="2"/>
    <n v="269.99"/>
    <n v="0.05"/>
    <n v="539.98"/>
    <m/>
    <x v="15"/>
    <x v="1"/>
  </r>
  <r>
    <x v="623"/>
    <x v="1"/>
    <x v="3"/>
    <n v="1"/>
    <n v="599.99"/>
    <n v="7.0000000000000007E-2"/>
    <n v="599.99"/>
    <m/>
    <x v="3"/>
    <x v="1"/>
  </r>
  <r>
    <x v="623"/>
    <x v="2"/>
    <x v="13"/>
    <n v="1"/>
    <n v="269.99"/>
    <n v="7.0000000000000007E-2"/>
    <n v="269.99"/>
    <m/>
    <x v="12"/>
    <x v="1"/>
  </r>
  <r>
    <x v="623"/>
    <x v="3"/>
    <x v="15"/>
    <n v="2"/>
    <n v="269.99"/>
    <n v="0.2"/>
    <n v="539.98"/>
    <m/>
    <x v="12"/>
    <x v="1"/>
  </r>
  <r>
    <x v="624"/>
    <x v="0"/>
    <x v="7"/>
    <n v="1"/>
    <n v="429"/>
    <n v="7.0000000000000007E-2"/>
    <n v="429"/>
    <m/>
    <x v="7"/>
    <x v="0"/>
  </r>
  <r>
    <x v="624"/>
    <x v="1"/>
    <x v="16"/>
    <n v="2"/>
    <n v="1680.99"/>
    <n v="0.2"/>
    <n v="3361.98"/>
    <m/>
    <x v="14"/>
    <x v="0"/>
  </r>
  <r>
    <x v="624"/>
    <x v="2"/>
    <x v="8"/>
    <n v="1"/>
    <n v="599.99"/>
    <n v="7.0000000000000007E-2"/>
    <n v="599.99"/>
    <m/>
    <x v="3"/>
    <x v="0"/>
  </r>
  <r>
    <x v="624"/>
    <x v="3"/>
    <x v="19"/>
    <n v="2"/>
    <n v="299.99"/>
    <n v="0.1"/>
    <n v="599.98"/>
    <m/>
    <x v="17"/>
    <x v="0"/>
  </r>
  <r>
    <x v="625"/>
    <x v="0"/>
    <x v="12"/>
    <n v="1"/>
    <n v="529.99"/>
    <n v="0.2"/>
    <n v="529.99"/>
    <m/>
    <x v="11"/>
    <x v="1"/>
  </r>
  <r>
    <x v="626"/>
    <x v="0"/>
    <x v="23"/>
    <n v="1"/>
    <n v="449"/>
    <n v="7.0000000000000007E-2"/>
    <n v="449"/>
    <m/>
    <x v="20"/>
    <x v="1"/>
  </r>
  <r>
    <x v="626"/>
    <x v="1"/>
    <x v="11"/>
    <n v="2"/>
    <n v="2999.99"/>
    <n v="0.2"/>
    <n v="5999.98"/>
    <m/>
    <x v="10"/>
    <x v="1"/>
  </r>
  <r>
    <x v="626"/>
    <x v="2"/>
    <x v="8"/>
    <n v="1"/>
    <n v="599.99"/>
    <n v="7.0000000000000007E-2"/>
    <n v="599.99"/>
    <m/>
    <x v="3"/>
    <x v="1"/>
  </r>
  <r>
    <x v="627"/>
    <x v="0"/>
    <x v="12"/>
    <n v="2"/>
    <n v="529.99"/>
    <n v="0.1"/>
    <n v="1059.98"/>
    <m/>
    <x v="11"/>
    <x v="0"/>
  </r>
  <r>
    <x v="628"/>
    <x v="0"/>
    <x v="23"/>
    <n v="1"/>
    <n v="449"/>
    <n v="0.05"/>
    <n v="449"/>
    <m/>
    <x v="20"/>
    <x v="0"/>
  </r>
  <r>
    <x v="628"/>
    <x v="1"/>
    <x v="21"/>
    <n v="2"/>
    <n v="1320.99"/>
    <n v="0.05"/>
    <n v="2641.98"/>
    <m/>
    <x v="18"/>
    <x v="0"/>
  </r>
  <r>
    <x v="628"/>
    <x v="2"/>
    <x v="19"/>
    <n v="2"/>
    <n v="299.99"/>
    <n v="0.1"/>
    <n v="599.98"/>
    <m/>
    <x v="17"/>
    <x v="0"/>
  </r>
  <r>
    <x v="628"/>
    <x v="3"/>
    <x v="15"/>
    <n v="2"/>
    <n v="269.99"/>
    <n v="0.05"/>
    <n v="539.98"/>
    <m/>
    <x v="12"/>
    <x v="0"/>
  </r>
  <r>
    <x v="628"/>
    <x v="4"/>
    <x v="18"/>
    <n v="2"/>
    <n v="469.99"/>
    <n v="0.1"/>
    <n v="939.98"/>
    <m/>
    <x v="16"/>
    <x v="0"/>
  </r>
  <r>
    <x v="629"/>
    <x v="0"/>
    <x v="21"/>
    <n v="1"/>
    <n v="1320.99"/>
    <n v="0.05"/>
    <n v="1320.99"/>
    <m/>
    <x v="18"/>
    <x v="1"/>
  </r>
  <r>
    <x v="629"/>
    <x v="1"/>
    <x v="22"/>
    <n v="1"/>
    <n v="499.99"/>
    <n v="0.1"/>
    <n v="499.99"/>
    <m/>
    <x v="19"/>
    <x v="1"/>
  </r>
  <r>
    <x v="629"/>
    <x v="2"/>
    <x v="9"/>
    <n v="2"/>
    <n v="449"/>
    <n v="0.1"/>
    <n v="898"/>
    <m/>
    <x v="8"/>
    <x v="1"/>
  </r>
  <r>
    <x v="629"/>
    <x v="3"/>
    <x v="20"/>
    <n v="2"/>
    <n v="269.99"/>
    <n v="7.0000000000000007E-2"/>
    <n v="539.98"/>
    <m/>
    <x v="15"/>
    <x v="1"/>
  </r>
  <r>
    <x v="630"/>
    <x v="0"/>
    <x v="24"/>
    <n v="2"/>
    <n v="549.99"/>
    <n v="7.0000000000000007E-2"/>
    <n v="1099.98"/>
    <m/>
    <x v="9"/>
    <x v="0"/>
  </r>
  <r>
    <x v="630"/>
    <x v="1"/>
    <x v="12"/>
    <n v="2"/>
    <n v="529.99"/>
    <n v="7.0000000000000007E-2"/>
    <n v="1059.98"/>
    <m/>
    <x v="11"/>
    <x v="0"/>
  </r>
  <r>
    <x v="631"/>
    <x v="0"/>
    <x v="22"/>
    <n v="1"/>
    <n v="499.99"/>
    <n v="0.2"/>
    <n v="499.99"/>
    <m/>
    <x v="19"/>
    <x v="1"/>
  </r>
  <r>
    <x v="631"/>
    <x v="1"/>
    <x v="16"/>
    <n v="2"/>
    <n v="1680.99"/>
    <n v="0.1"/>
    <n v="3361.98"/>
    <m/>
    <x v="14"/>
    <x v="1"/>
  </r>
  <r>
    <x v="631"/>
    <x v="2"/>
    <x v="12"/>
    <n v="1"/>
    <n v="529.99"/>
    <n v="7.0000000000000007E-2"/>
    <n v="529.99"/>
    <m/>
    <x v="11"/>
    <x v="1"/>
  </r>
  <r>
    <x v="631"/>
    <x v="3"/>
    <x v="18"/>
    <n v="1"/>
    <n v="469.99"/>
    <n v="0.05"/>
    <n v="469.99"/>
    <m/>
    <x v="16"/>
    <x v="1"/>
  </r>
  <r>
    <x v="631"/>
    <x v="4"/>
    <x v="13"/>
    <n v="2"/>
    <n v="269.99"/>
    <n v="0.1"/>
    <n v="539.98"/>
    <m/>
    <x v="12"/>
    <x v="1"/>
  </r>
  <r>
    <x v="632"/>
    <x v="0"/>
    <x v="10"/>
    <n v="2"/>
    <n v="549.99"/>
    <n v="0.05"/>
    <n v="1099.98"/>
    <m/>
    <x v="9"/>
    <x v="2"/>
  </r>
  <r>
    <x v="632"/>
    <x v="1"/>
    <x v="17"/>
    <n v="2"/>
    <n v="269.99"/>
    <n v="0.2"/>
    <n v="539.98"/>
    <m/>
    <x v="15"/>
    <x v="2"/>
  </r>
  <r>
    <x v="632"/>
    <x v="2"/>
    <x v="21"/>
    <n v="2"/>
    <n v="1320.99"/>
    <n v="0.2"/>
    <n v="2641.98"/>
    <m/>
    <x v="18"/>
    <x v="2"/>
  </r>
  <r>
    <x v="632"/>
    <x v="3"/>
    <x v="2"/>
    <n v="2"/>
    <n v="1549"/>
    <n v="0.2"/>
    <n v="3098"/>
    <m/>
    <x v="2"/>
    <x v="2"/>
  </r>
  <r>
    <x v="633"/>
    <x v="0"/>
    <x v="4"/>
    <n v="2"/>
    <n v="2899.99"/>
    <n v="0.05"/>
    <n v="5799.98"/>
    <m/>
    <x v="4"/>
    <x v="1"/>
  </r>
  <r>
    <x v="633"/>
    <x v="1"/>
    <x v="10"/>
    <n v="1"/>
    <n v="549.99"/>
    <n v="0.1"/>
    <n v="549.99"/>
    <m/>
    <x v="9"/>
    <x v="1"/>
  </r>
  <r>
    <x v="634"/>
    <x v="0"/>
    <x v="4"/>
    <n v="1"/>
    <n v="2899.99"/>
    <n v="0.05"/>
    <n v="2899.99"/>
    <m/>
    <x v="4"/>
    <x v="1"/>
  </r>
  <r>
    <x v="635"/>
    <x v="0"/>
    <x v="25"/>
    <n v="2"/>
    <n v="329.99"/>
    <n v="0.2"/>
    <n v="659.98"/>
    <m/>
    <x v="21"/>
    <x v="0"/>
  </r>
  <r>
    <x v="636"/>
    <x v="0"/>
    <x v="11"/>
    <n v="1"/>
    <n v="2999.99"/>
    <n v="0.1"/>
    <n v="2999.99"/>
    <m/>
    <x v="10"/>
    <x v="1"/>
  </r>
  <r>
    <x v="636"/>
    <x v="1"/>
    <x v="26"/>
    <n v="2"/>
    <n v="449.99"/>
    <n v="0.1"/>
    <n v="899.98"/>
    <m/>
    <x v="22"/>
    <x v="1"/>
  </r>
  <r>
    <x v="637"/>
    <x v="0"/>
    <x v="27"/>
    <n v="1"/>
    <n v="551.99"/>
    <n v="0.05"/>
    <n v="551.99"/>
    <m/>
    <x v="23"/>
    <x v="1"/>
  </r>
  <r>
    <x v="637"/>
    <x v="1"/>
    <x v="28"/>
    <n v="1"/>
    <n v="5499.99"/>
    <n v="0.2"/>
    <n v="5499.99"/>
    <m/>
    <x v="24"/>
    <x v="1"/>
  </r>
  <r>
    <x v="637"/>
    <x v="2"/>
    <x v="29"/>
    <n v="2"/>
    <n v="749.99"/>
    <n v="0.05"/>
    <n v="1499.98"/>
    <m/>
    <x v="25"/>
    <x v="1"/>
  </r>
  <r>
    <x v="638"/>
    <x v="0"/>
    <x v="12"/>
    <n v="1"/>
    <n v="529.99"/>
    <n v="7.0000000000000007E-2"/>
    <n v="529.99"/>
    <m/>
    <x v="11"/>
    <x v="1"/>
  </r>
  <r>
    <x v="638"/>
    <x v="1"/>
    <x v="30"/>
    <n v="1"/>
    <n v="749.99"/>
    <n v="0.05"/>
    <n v="749.99"/>
    <m/>
    <x v="26"/>
    <x v="1"/>
  </r>
  <r>
    <x v="638"/>
    <x v="2"/>
    <x v="31"/>
    <n v="1"/>
    <n v="619.99"/>
    <n v="0.05"/>
    <n v="619.99"/>
    <m/>
    <x v="27"/>
    <x v="1"/>
  </r>
  <r>
    <x v="638"/>
    <x v="3"/>
    <x v="32"/>
    <n v="2"/>
    <n v="4999.99"/>
    <n v="0.1"/>
    <n v="9999.98"/>
    <m/>
    <x v="28"/>
    <x v="1"/>
  </r>
  <r>
    <x v="639"/>
    <x v="0"/>
    <x v="26"/>
    <n v="2"/>
    <n v="449.99"/>
    <n v="0.05"/>
    <n v="899.98"/>
    <m/>
    <x v="22"/>
    <x v="1"/>
  </r>
  <r>
    <x v="639"/>
    <x v="1"/>
    <x v="33"/>
    <n v="1"/>
    <n v="469.99"/>
    <n v="7.0000000000000007E-2"/>
    <n v="469.99"/>
    <m/>
    <x v="29"/>
    <x v="1"/>
  </r>
  <r>
    <x v="639"/>
    <x v="2"/>
    <x v="34"/>
    <n v="1"/>
    <n v="999.99"/>
    <n v="7.0000000000000007E-2"/>
    <n v="999.99"/>
    <m/>
    <x v="30"/>
    <x v="1"/>
  </r>
  <r>
    <x v="639"/>
    <x v="3"/>
    <x v="35"/>
    <n v="2"/>
    <n v="299.99"/>
    <n v="7.0000000000000007E-2"/>
    <n v="599.98"/>
    <m/>
    <x v="31"/>
    <x v="1"/>
  </r>
  <r>
    <x v="639"/>
    <x v="4"/>
    <x v="36"/>
    <n v="2"/>
    <n v="416.99"/>
    <n v="0.2"/>
    <n v="833.98"/>
    <m/>
    <x v="32"/>
    <x v="1"/>
  </r>
  <r>
    <x v="640"/>
    <x v="0"/>
    <x v="12"/>
    <n v="1"/>
    <n v="529.99"/>
    <n v="0.05"/>
    <n v="529.99"/>
    <m/>
    <x v="11"/>
    <x v="0"/>
  </r>
  <r>
    <x v="640"/>
    <x v="1"/>
    <x v="37"/>
    <n v="1"/>
    <n v="3499.99"/>
    <n v="0.2"/>
    <n v="3499.99"/>
    <m/>
    <x v="33"/>
    <x v="0"/>
  </r>
  <r>
    <x v="640"/>
    <x v="2"/>
    <x v="38"/>
    <n v="1"/>
    <n v="489.99"/>
    <n v="0.2"/>
    <n v="489.99"/>
    <m/>
    <x v="34"/>
    <x v="0"/>
  </r>
  <r>
    <x v="641"/>
    <x v="0"/>
    <x v="39"/>
    <n v="2"/>
    <n v="449.99"/>
    <n v="7.0000000000000007E-2"/>
    <n v="899.98"/>
    <m/>
    <x v="22"/>
    <x v="1"/>
  </r>
  <r>
    <x v="642"/>
    <x v="0"/>
    <x v="29"/>
    <n v="1"/>
    <n v="749.99"/>
    <n v="0.05"/>
    <n v="749.99"/>
    <m/>
    <x v="25"/>
    <x v="0"/>
  </r>
  <r>
    <x v="643"/>
    <x v="0"/>
    <x v="11"/>
    <n v="1"/>
    <n v="2999.99"/>
    <n v="7.0000000000000007E-2"/>
    <n v="2999.99"/>
    <m/>
    <x v="10"/>
    <x v="1"/>
  </r>
  <r>
    <x v="644"/>
    <x v="0"/>
    <x v="40"/>
    <n v="1"/>
    <n v="299.99"/>
    <n v="7.0000000000000007E-2"/>
    <n v="299.99"/>
    <m/>
    <x v="35"/>
    <x v="1"/>
  </r>
  <r>
    <x v="644"/>
    <x v="1"/>
    <x v="41"/>
    <n v="2"/>
    <n v="2299.9899999999998"/>
    <n v="0.05"/>
    <n v="4599.9799999999996"/>
    <m/>
    <x v="36"/>
    <x v="1"/>
  </r>
  <r>
    <x v="644"/>
    <x v="2"/>
    <x v="18"/>
    <n v="1"/>
    <n v="469.99"/>
    <n v="0.05"/>
    <n v="469.99"/>
    <m/>
    <x v="16"/>
    <x v="1"/>
  </r>
  <r>
    <x v="644"/>
    <x v="3"/>
    <x v="42"/>
    <n v="2"/>
    <n v="5299.99"/>
    <n v="7.0000000000000007E-2"/>
    <n v="10599.98"/>
    <m/>
    <x v="37"/>
    <x v="1"/>
  </r>
  <r>
    <x v="644"/>
    <x v="4"/>
    <x v="20"/>
    <n v="2"/>
    <n v="269.99"/>
    <n v="7.0000000000000007E-2"/>
    <n v="539.98"/>
    <m/>
    <x v="15"/>
    <x v="1"/>
  </r>
  <r>
    <x v="645"/>
    <x v="0"/>
    <x v="12"/>
    <n v="2"/>
    <n v="529.99"/>
    <n v="0.2"/>
    <n v="1059.98"/>
    <m/>
    <x v="11"/>
    <x v="0"/>
  </r>
  <r>
    <x v="645"/>
    <x v="1"/>
    <x v="4"/>
    <n v="1"/>
    <n v="2899.99"/>
    <n v="7.0000000000000007E-2"/>
    <n v="2899.99"/>
    <m/>
    <x v="4"/>
    <x v="0"/>
  </r>
  <r>
    <x v="645"/>
    <x v="2"/>
    <x v="43"/>
    <n v="1"/>
    <n v="299.99"/>
    <n v="0.05"/>
    <n v="299.99"/>
    <m/>
    <x v="31"/>
    <x v="0"/>
  </r>
  <r>
    <x v="645"/>
    <x v="3"/>
    <x v="10"/>
    <n v="1"/>
    <n v="549.99"/>
    <n v="0.2"/>
    <n v="549.99"/>
    <m/>
    <x v="9"/>
    <x v="0"/>
  </r>
  <r>
    <x v="646"/>
    <x v="0"/>
    <x v="22"/>
    <n v="2"/>
    <n v="499.99"/>
    <n v="7.0000000000000007E-2"/>
    <n v="999.98"/>
    <m/>
    <x v="19"/>
    <x v="1"/>
  </r>
  <r>
    <x v="646"/>
    <x v="1"/>
    <x v="17"/>
    <n v="1"/>
    <n v="269.99"/>
    <n v="0.1"/>
    <n v="269.99"/>
    <m/>
    <x v="15"/>
    <x v="1"/>
  </r>
  <r>
    <x v="647"/>
    <x v="0"/>
    <x v="24"/>
    <n v="1"/>
    <n v="549.99"/>
    <n v="7.0000000000000007E-2"/>
    <n v="549.99"/>
    <m/>
    <x v="9"/>
    <x v="1"/>
  </r>
  <r>
    <x v="648"/>
    <x v="0"/>
    <x v="44"/>
    <n v="2"/>
    <n v="349.99"/>
    <n v="0.1"/>
    <n v="699.98"/>
    <m/>
    <x v="38"/>
    <x v="0"/>
  </r>
  <r>
    <x v="648"/>
    <x v="1"/>
    <x v="45"/>
    <n v="1"/>
    <n v="209.99"/>
    <n v="7.0000000000000007E-2"/>
    <n v="209.99"/>
    <m/>
    <x v="39"/>
    <x v="0"/>
  </r>
  <r>
    <x v="648"/>
    <x v="2"/>
    <x v="16"/>
    <n v="2"/>
    <n v="1680.99"/>
    <n v="0.1"/>
    <n v="3361.98"/>
    <m/>
    <x v="14"/>
    <x v="0"/>
  </r>
  <r>
    <x v="648"/>
    <x v="3"/>
    <x v="46"/>
    <n v="1"/>
    <n v="647.99"/>
    <n v="0.05"/>
    <n v="647.99"/>
    <m/>
    <x v="40"/>
    <x v="0"/>
  </r>
  <r>
    <x v="649"/>
    <x v="0"/>
    <x v="5"/>
    <n v="1"/>
    <n v="999.99"/>
    <n v="0.2"/>
    <n v="999.99"/>
    <m/>
    <x v="5"/>
    <x v="0"/>
  </r>
  <r>
    <x v="650"/>
    <x v="0"/>
    <x v="47"/>
    <n v="1"/>
    <n v="402.99"/>
    <n v="0.1"/>
    <n v="402.99"/>
    <m/>
    <x v="41"/>
    <x v="1"/>
  </r>
  <r>
    <x v="650"/>
    <x v="1"/>
    <x v="25"/>
    <n v="1"/>
    <n v="329.99"/>
    <n v="0.05"/>
    <n v="329.99"/>
    <m/>
    <x v="21"/>
    <x v="1"/>
  </r>
  <r>
    <x v="650"/>
    <x v="2"/>
    <x v="48"/>
    <n v="2"/>
    <n v="489.99"/>
    <n v="0.05"/>
    <n v="979.98"/>
    <m/>
    <x v="34"/>
    <x v="1"/>
  </r>
  <r>
    <x v="650"/>
    <x v="3"/>
    <x v="49"/>
    <n v="2"/>
    <n v="249.99"/>
    <n v="0.05"/>
    <n v="499.98"/>
    <m/>
    <x v="42"/>
    <x v="1"/>
  </r>
  <r>
    <x v="651"/>
    <x v="0"/>
    <x v="48"/>
    <n v="1"/>
    <n v="489.99"/>
    <n v="0.1"/>
    <n v="489.99"/>
    <m/>
    <x v="34"/>
    <x v="2"/>
  </r>
  <r>
    <x v="651"/>
    <x v="1"/>
    <x v="37"/>
    <n v="2"/>
    <n v="3499.99"/>
    <n v="0.2"/>
    <n v="6999.98"/>
    <m/>
    <x v="33"/>
    <x v="2"/>
  </r>
  <r>
    <x v="651"/>
    <x v="2"/>
    <x v="50"/>
    <n v="2"/>
    <n v="250.99"/>
    <n v="0.2"/>
    <n v="501.98"/>
    <m/>
    <x v="43"/>
    <x v="2"/>
  </r>
  <r>
    <x v="651"/>
    <x v="3"/>
    <x v="19"/>
    <n v="1"/>
    <n v="299.99"/>
    <n v="0.1"/>
    <n v="299.99"/>
    <m/>
    <x v="17"/>
    <x v="2"/>
  </r>
  <r>
    <x v="651"/>
    <x v="4"/>
    <x v="51"/>
    <n v="1"/>
    <n v="439.99"/>
    <n v="0.05"/>
    <n v="439.99"/>
    <m/>
    <x v="44"/>
    <x v="2"/>
  </r>
  <r>
    <x v="652"/>
    <x v="0"/>
    <x v="18"/>
    <n v="1"/>
    <n v="469.99"/>
    <n v="7.0000000000000007E-2"/>
    <n v="469.99"/>
    <m/>
    <x v="16"/>
    <x v="0"/>
  </r>
  <r>
    <x v="652"/>
    <x v="1"/>
    <x v="52"/>
    <n v="1"/>
    <n v="5299.99"/>
    <n v="0.1"/>
    <n v="5299.99"/>
    <m/>
    <x v="45"/>
    <x v="0"/>
  </r>
  <r>
    <x v="652"/>
    <x v="2"/>
    <x v="6"/>
    <n v="2"/>
    <n v="749.99"/>
    <n v="0.1"/>
    <n v="1499.98"/>
    <m/>
    <x v="6"/>
    <x v="0"/>
  </r>
  <r>
    <x v="652"/>
    <x v="3"/>
    <x v="53"/>
    <n v="1"/>
    <n v="761.99"/>
    <n v="0.2"/>
    <n v="761.99"/>
    <m/>
    <x v="46"/>
    <x v="0"/>
  </r>
  <r>
    <x v="652"/>
    <x v="4"/>
    <x v="54"/>
    <n v="2"/>
    <n v="189.99"/>
    <n v="7.0000000000000007E-2"/>
    <n v="379.98"/>
    <m/>
    <x v="47"/>
    <x v="0"/>
  </r>
  <r>
    <x v="653"/>
    <x v="0"/>
    <x v="11"/>
    <n v="1"/>
    <n v="2999.99"/>
    <n v="0.1"/>
    <n v="2999.99"/>
    <m/>
    <x v="10"/>
    <x v="1"/>
  </r>
  <r>
    <x v="653"/>
    <x v="1"/>
    <x v="43"/>
    <n v="1"/>
    <n v="299.99"/>
    <n v="0.1"/>
    <n v="299.99"/>
    <m/>
    <x v="31"/>
    <x v="1"/>
  </r>
  <r>
    <x v="653"/>
    <x v="2"/>
    <x v="55"/>
    <n v="2"/>
    <n v="470.99"/>
    <n v="7.0000000000000007E-2"/>
    <n v="941.98"/>
    <m/>
    <x v="48"/>
    <x v="1"/>
  </r>
  <r>
    <x v="653"/>
    <x v="3"/>
    <x v="44"/>
    <n v="2"/>
    <n v="349.99"/>
    <n v="7.0000000000000007E-2"/>
    <n v="699.98"/>
    <m/>
    <x v="38"/>
    <x v="1"/>
  </r>
  <r>
    <x v="654"/>
    <x v="0"/>
    <x v="50"/>
    <n v="1"/>
    <n v="250.99"/>
    <n v="0.1"/>
    <n v="250.99"/>
    <m/>
    <x v="43"/>
    <x v="0"/>
  </r>
  <r>
    <x v="655"/>
    <x v="0"/>
    <x v="56"/>
    <n v="1"/>
    <n v="149.99"/>
    <n v="0.1"/>
    <n v="149.99"/>
    <m/>
    <x v="49"/>
    <x v="1"/>
  </r>
  <r>
    <x v="655"/>
    <x v="1"/>
    <x v="13"/>
    <n v="1"/>
    <n v="269.99"/>
    <n v="7.0000000000000007E-2"/>
    <n v="269.99"/>
    <m/>
    <x v="12"/>
    <x v="1"/>
  </r>
  <r>
    <x v="655"/>
    <x v="2"/>
    <x v="57"/>
    <n v="2"/>
    <n v="469.99"/>
    <n v="0.05"/>
    <n v="939.98"/>
    <m/>
    <x v="50"/>
    <x v="1"/>
  </r>
  <r>
    <x v="656"/>
    <x v="0"/>
    <x v="58"/>
    <n v="1"/>
    <n v="875.99"/>
    <n v="0.05"/>
    <n v="875.99"/>
    <m/>
    <x v="51"/>
    <x v="0"/>
  </r>
  <r>
    <x v="656"/>
    <x v="1"/>
    <x v="59"/>
    <n v="2"/>
    <n v="3199.99"/>
    <n v="0.05"/>
    <n v="6399.98"/>
    <m/>
    <x v="52"/>
    <x v="0"/>
  </r>
  <r>
    <x v="657"/>
    <x v="0"/>
    <x v="60"/>
    <n v="2"/>
    <n v="3499.99"/>
    <n v="0.2"/>
    <n v="6999.98"/>
    <m/>
    <x v="53"/>
    <x v="1"/>
  </r>
  <r>
    <x v="657"/>
    <x v="1"/>
    <x v="61"/>
    <n v="1"/>
    <n v="999.99"/>
    <n v="0.05"/>
    <n v="999.99"/>
    <m/>
    <x v="54"/>
    <x v="1"/>
  </r>
  <r>
    <x v="657"/>
    <x v="2"/>
    <x v="11"/>
    <n v="1"/>
    <n v="2999.99"/>
    <n v="0.05"/>
    <n v="2999.99"/>
    <m/>
    <x v="10"/>
    <x v="1"/>
  </r>
  <r>
    <x v="658"/>
    <x v="0"/>
    <x v="41"/>
    <n v="2"/>
    <n v="2299.9899999999998"/>
    <n v="0.05"/>
    <n v="4599.9799999999996"/>
    <m/>
    <x v="36"/>
    <x v="1"/>
  </r>
  <r>
    <x v="658"/>
    <x v="1"/>
    <x v="62"/>
    <n v="2"/>
    <n v="1499.99"/>
    <n v="7.0000000000000007E-2"/>
    <n v="2999.98"/>
    <m/>
    <x v="55"/>
    <x v="1"/>
  </r>
  <r>
    <x v="658"/>
    <x v="2"/>
    <x v="63"/>
    <n v="1"/>
    <n v="659.99"/>
    <n v="0.05"/>
    <n v="659.99"/>
    <m/>
    <x v="56"/>
    <x v="1"/>
  </r>
  <r>
    <x v="658"/>
    <x v="3"/>
    <x v="32"/>
    <n v="2"/>
    <n v="4999.99"/>
    <n v="7.0000000000000007E-2"/>
    <n v="9999.98"/>
    <m/>
    <x v="28"/>
    <x v="1"/>
  </r>
  <r>
    <x v="659"/>
    <x v="0"/>
    <x v="34"/>
    <n v="1"/>
    <n v="999.99"/>
    <n v="0.2"/>
    <n v="999.99"/>
    <m/>
    <x v="30"/>
    <x v="1"/>
  </r>
  <r>
    <x v="659"/>
    <x v="1"/>
    <x v="64"/>
    <n v="2"/>
    <n v="2599.9899999999998"/>
    <n v="7.0000000000000007E-2"/>
    <n v="5199.9799999999996"/>
    <m/>
    <x v="57"/>
    <x v="1"/>
  </r>
  <r>
    <x v="659"/>
    <x v="2"/>
    <x v="42"/>
    <n v="2"/>
    <n v="5299.99"/>
    <n v="0.05"/>
    <n v="10599.98"/>
    <m/>
    <x v="37"/>
    <x v="1"/>
  </r>
  <r>
    <x v="659"/>
    <x v="3"/>
    <x v="61"/>
    <n v="2"/>
    <n v="999.99"/>
    <n v="0.2"/>
    <n v="1999.98"/>
    <m/>
    <x v="54"/>
    <x v="1"/>
  </r>
  <r>
    <x v="660"/>
    <x v="0"/>
    <x v="65"/>
    <n v="2"/>
    <n v="3499.99"/>
    <n v="7.0000000000000007E-2"/>
    <n v="6999.98"/>
    <m/>
    <x v="58"/>
    <x v="1"/>
  </r>
  <r>
    <x v="660"/>
    <x v="1"/>
    <x v="13"/>
    <n v="2"/>
    <n v="269.99"/>
    <n v="0.05"/>
    <n v="539.98"/>
    <m/>
    <x v="12"/>
    <x v="1"/>
  </r>
  <r>
    <x v="661"/>
    <x v="0"/>
    <x v="66"/>
    <n v="2"/>
    <n v="2699.99"/>
    <n v="0.1"/>
    <n v="5399.98"/>
    <m/>
    <x v="59"/>
    <x v="0"/>
  </r>
  <r>
    <x v="661"/>
    <x v="1"/>
    <x v="43"/>
    <n v="2"/>
    <n v="299.99"/>
    <n v="0.2"/>
    <n v="599.98"/>
    <m/>
    <x v="31"/>
    <x v="0"/>
  </r>
  <r>
    <x v="661"/>
    <x v="2"/>
    <x v="48"/>
    <n v="2"/>
    <n v="489.99"/>
    <n v="7.0000000000000007E-2"/>
    <n v="979.98"/>
    <m/>
    <x v="34"/>
    <x v="0"/>
  </r>
  <r>
    <x v="661"/>
    <x v="3"/>
    <x v="13"/>
    <n v="1"/>
    <n v="269.99"/>
    <n v="7.0000000000000007E-2"/>
    <n v="269.99"/>
    <m/>
    <x v="12"/>
    <x v="0"/>
  </r>
  <r>
    <x v="661"/>
    <x v="4"/>
    <x v="26"/>
    <n v="2"/>
    <n v="449.99"/>
    <n v="7.0000000000000007E-2"/>
    <n v="899.98"/>
    <m/>
    <x v="22"/>
    <x v="0"/>
  </r>
  <r>
    <x v="662"/>
    <x v="0"/>
    <x v="67"/>
    <n v="2"/>
    <n v="1469.99"/>
    <n v="0.05"/>
    <n v="2939.98"/>
    <m/>
    <x v="60"/>
    <x v="0"/>
  </r>
  <r>
    <x v="662"/>
    <x v="1"/>
    <x v="7"/>
    <n v="2"/>
    <n v="429"/>
    <n v="0.2"/>
    <n v="858"/>
    <m/>
    <x v="7"/>
    <x v="0"/>
  </r>
  <r>
    <x v="662"/>
    <x v="2"/>
    <x v="49"/>
    <n v="1"/>
    <n v="249.99"/>
    <n v="0.05"/>
    <n v="249.99"/>
    <m/>
    <x v="42"/>
    <x v="0"/>
  </r>
  <r>
    <x v="662"/>
    <x v="3"/>
    <x v="68"/>
    <n v="1"/>
    <n v="416.99"/>
    <n v="7.0000000000000007E-2"/>
    <n v="416.99"/>
    <m/>
    <x v="61"/>
    <x v="0"/>
  </r>
  <r>
    <x v="662"/>
    <x v="4"/>
    <x v="26"/>
    <n v="1"/>
    <n v="449.99"/>
    <n v="0.2"/>
    <n v="449.99"/>
    <m/>
    <x v="22"/>
    <x v="0"/>
  </r>
  <r>
    <x v="663"/>
    <x v="0"/>
    <x v="58"/>
    <n v="2"/>
    <n v="875.99"/>
    <n v="7.0000000000000007E-2"/>
    <n v="1751.98"/>
    <m/>
    <x v="51"/>
    <x v="1"/>
  </r>
  <r>
    <x v="663"/>
    <x v="1"/>
    <x v="21"/>
    <n v="1"/>
    <n v="1320.99"/>
    <n v="7.0000000000000007E-2"/>
    <n v="1320.99"/>
    <m/>
    <x v="18"/>
    <x v="1"/>
  </r>
  <r>
    <x v="663"/>
    <x v="2"/>
    <x v="69"/>
    <n v="1"/>
    <n v="5999.99"/>
    <n v="0.2"/>
    <n v="5999.99"/>
    <m/>
    <x v="62"/>
    <x v="1"/>
  </r>
  <r>
    <x v="663"/>
    <x v="3"/>
    <x v="70"/>
    <n v="2"/>
    <n v="339.99"/>
    <n v="0.2"/>
    <n v="679.98"/>
    <m/>
    <x v="63"/>
    <x v="1"/>
  </r>
  <r>
    <x v="663"/>
    <x v="4"/>
    <x v="42"/>
    <n v="1"/>
    <n v="5299.99"/>
    <n v="7.0000000000000007E-2"/>
    <n v="5299.99"/>
    <m/>
    <x v="37"/>
    <x v="1"/>
  </r>
  <r>
    <x v="664"/>
    <x v="0"/>
    <x v="71"/>
    <n v="1"/>
    <n v="4999.99"/>
    <n v="7.0000000000000007E-2"/>
    <n v="4999.99"/>
    <m/>
    <x v="64"/>
    <x v="1"/>
  </r>
  <r>
    <x v="664"/>
    <x v="1"/>
    <x v="41"/>
    <n v="2"/>
    <n v="2299.9899999999998"/>
    <n v="0.2"/>
    <n v="4599.9799999999996"/>
    <m/>
    <x v="36"/>
    <x v="1"/>
  </r>
  <r>
    <x v="664"/>
    <x v="2"/>
    <x v="22"/>
    <n v="2"/>
    <n v="499.99"/>
    <n v="0.05"/>
    <n v="999.98"/>
    <m/>
    <x v="19"/>
    <x v="1"/>
  </r>
  <r>
    <x v="665"/>
    <x v="0"/>
    <x v="72"/>
    <n v="2"/>
    <n v="489.99"/>
    <n v="0.2"/>
    <n v="979.98"/>
    <m/>
    <x v="65"/>
    <x v="1"/>
  </r>
  <r>
    <x v="665"/>
    <x v="1"/>
    <x v="62"/>
    <n v="1"/>
    <n v="1499.99"/>
    <n v="0.05"/>
    <n v="1499.99"/>
    <m/>
    <x v="55"/>
    <x v="1"/>
  </r>
  <r>
    <x v="666"/>
    <x v="0"/>
    <x v="47"/>
    <n v="1"/>
    <n v="402.99"/>
    <n v="0.2"/>
    <n v="402.99"/>
    <m/>
    <x v="41"/>
    <x v="1"/>
  </r>
  <r>
    <x v="666"/>
    <x v="1"/>
    <x v="73"/>
    <n v="1"/>
    <n v="109.99"/>
    <n v="0.1"/>
    <n v="109.99"/>
    <m/>
    <x v="66"/>
    <x v="1"/>
  </r>
  <r>
    <x v="666"/>
    <x v="2"/>
    <x v="5"/>
    <n v="1"/>
    <n v="999.99"/>
    <n v="0.2"/>
    <n v="999.99"/>
    <m/>
    <x v="5"/>
    <x v="1"/>
  </r>
  <r>
    <x v="666"/>
    <x v="3"/>
    <x v="40"/>
    <n v="1"/>
    <n v="299.99"/>
    <n v="0.1"/>
    <n v="299.99"/>
    <m/>
    <x v="35"/>
    <x v="1"/>
  </r>
  <r>
    <x v="666"/>
    <x v="4"/>
    <x v="25"/>
    <n v="1"/>
    <n v="329.99"/>
    <n v="0.05"/>
    <n v="329.99"/>
    <m/>
    <x v="21"/>
    <x v="1"/>
  </r>
  <r>
    <x v="667"/>
    <x v="0"/>
    <x v="74"/>
    <n v="2"/>
    <n v="1499.99"/>
    <n v="0.05"/>
    <n v="2999.98"/>
    <m/>
    <x v="67"/>
    <x v="2"/>
  </r>
  <r>
    <x v="667"/>
    <x v="1"/>
    <x v="23"/>
    <n v="2"/>
    <n v="449"/>
    <n v="0.1"/>
    <n v="898"/>
    <m/>
    <x v="20"/>
    <x v="2"/>
  </r>
  <r>
    <x v="668"/>
    <x v="0"/>
    <x v="3"/>
    <n v="2"/>
    <n v="599.99"/>
    <n v="7.0000000000000007E-2"/>
    <n v="1199.98"/>
    <m/>
    <x v="3"/>
    <x v="1"/>
  </r>
  <r>
    <x v="668"/>
    <x v="1"/>
    <x v="31"/>
    <n v="1"/>
    <n v="619.99"/>
    <n v="7.0000000000000007E-2"/>
    <n v="619.99"/>
    <m/>
    <x v="27"/>
    <x v="1"/>
  </r>
  <r>
    <x v="669"/>
    <x v="0"/>
    <x v="75"/>
    <n v="1"/>
    <n v="449.99"/>
    <n v="0.1"/>
    <n v="449.99"/>
    <m/>
    <x v="68"/>
    <x v="1"/>
  </r>
  <r>
    <x v="669"/>
    <x v="1"/>
    <x v="76"/>
    <n v="1"/>
    <n v="2499.9899999999998"/>
    <n v="7.0000000000000007E-2"/>
    <n v="2499.9899999999998"/>
    <m/>
    <x v="69"/>
    <x v="1"/>
  </r>
  <r>
    <x v="669"/>
    <x v="2"/>
    <x v="77"/>
    <n v="2"/>
    <n v="481.99"/>
    <n v="0.2"/>
    <n v="963.98"/>
    <m/>
    <x v="70"/>
    <x v="1"/>
  </r>
  <r>
    <x v="669"/>
    <x v="3"/>
    <x v="78"/>
    <n v="2"/>
    <n v="869.99"/>
    <n v="0.05"/>
    <n v="1739.98"/>
    <m/>
    <x v="71"/>
    <x v="1"/>
  </r>
  <r>
    <x v="670"/>
    <x v="0"/>
    <x v="34"/>
    <n v="1"/>
    <n v="999.99"/>
    <n v="0.05"/>
    <n v="999.99"/>
    <m/>
    <x v="30"/>
    <x v="1"/>
  </r>
  <r>
    <x v="670"/>
    <x v="1"/>
    <x v="79"/>
    <n v="1"/>
    <n v="416.99"/>
    <n v="0.05"/>
    <n v="416.99"/>
    <m/>
    <x v="72"/>
    <x v="1"/>
  </r>
  <r>
    <x v="670"/>
    <x v="2"/>
    <x v="66"/>
    <n v="1"/>
    <n v="2699.99"/>
    <n v="0.2"/>
    <n v="2699.99"/>
    <m/>
    <x v="59"/>
    <x v="1"/>
  </r>
  <r>
    <x v="670"/>
    <x v="3"/>
    <x v="4"/>
    <n v="1"/>
    <n v="2899.99"/>
    <n v="7.0000000000000007E-2"/>
    <n v="2899.99"/>
    <m/>
    <x v="4"/>
    <x v="1"/>
  </r>
  <r>
    <x v="670"/>
    <x v="4"/>
    <x v="36"/>
    <n v="2"/>
    <n v="416.99"/>
    <n v="7.0000000000000007E-2"/>
    <n v="833.98"/>
    <m/>
    <x v="32"/>
    <x v="1"/>
  </r>
  <r>
    <x v="671"/>
    <x v="0"/>
    <x v="80"/>
    <n v="2"/>
    <n v="6499.99"/>
    <n v="7.0000000000000007E-2"/>
    <n v="12999.98"/>
    <m/>
    <x v="73"/>
    <x v="1"/>
  </r>
  <r>
    <x v="671"/>
    <x v="1"/>
    <x v="81"/>
    <n v="2"/>
    <n v="349.99"/>
    <n v="0.2"/>
    <n v="699.98"/>
    <m/>
    <x v="74"/>
    <x v="1"/>
  </r>
  <r>
    <x v="671"/>
    <x v="2"/>
    <x v="74"/>
    <n v="2"/>
    <n v="1499.99"/>
    <n v="7.0000000000000007E-2"/>
    <n v="2999.98"/>
    <m/>
    <x v="67"/>
    <x v="1"/>
  </r>
  <r>
    <x v="672"/>
    <x v="0"/>
    <x v="82"/>
    <n v="1"/>
    <n v="250.99"/>
    <n v="0.2"/>
    <n v="250.99"/>
    <m/>
    <x v="75"/>
    <x v="2"/>
  </r>
  <r>
    <x v="672"/>
    <x v="1"/>
    <x v="83"/>
    <n v="1"/>
    <n v="549.99"/>
    <n v="0.2"/>
    <n v="549.99"/>
    <m/>
    <x v="76"/>
    <x v="2"/>
  </r>
  <r>
    <x v="672"/>
    <x v="2"/>
    <x v="21"/>
    <n v="1"/>
    <n v="1320.99"/>
    <n v="7.0000000000000007E-2"/>
    <n v="1320.99"/>
    <m/>
    <x v="18"/>
    <x v="2"/>
  </r>
  <r>
    <x v="672"/>
    <x v="3"/>
    <x v="17"/>
    <n v="1"/>
    <n v="269.99"/>
    <n v="0.1"/>
    <n v="269.99"/>
    <m/>
    <x v="15"/>
    <x v="2"/>
  </r>
  <r>
    <x v="673"/>
    <x v="0"/>
    <x v="8"/>
    <n v="2"/>
    <n v="599.99"/>
    <n v="0.2"/>
    <n v="1199.98"/>
    <m/>
    <x v="3"/>
    <x v="1"/>
  </r>
  <r>
    <x v="674"/>
    <x v="0"/>
    <x v="7"/>
    <n v="1"/>
    <n v="429"/>
    <n v="0.05"/>
    <n v="429"/>
    <m/>
    <x v="7"/>
    <x v="1"/>
  </r>
  <r>
    <x v="674"/>
    <x v="1"/>
    <x v="84"/>
    <n v="2"/>
    <n v="209.99"/>
    <n v="0.05"/>
    <n v="419.98"/>
    <m/>
    <x v="77"/>
    <x v="1"/>
  </r>
  <r>
    <x v="674"/>
    <x v="2"/>
    <x v="23"/>
    <n v="1"/>
    <n v="449"/>
    <n v="7.0000000000000007E-2"/>
    <n v="449"/>
    <m/>
    <x v="20"/>
    <x v="1"/>
  </r>
  <r>
    <x v="674"/>
    <x v="3"/>
    <x v="33"/>
    <n v="1"/>
    <n v="469.99"/>
    <n v="0.2"/>
    <n v="469.99"/>
    <m/>
    <x v="29"/>
    <x v="1"/>
  </r>
  <r>
    <x v="675"/>
    <x v="0"/>
    <x v="63"/>
    <n v="1"/>
    <n v="659.99"/>
    <n v="0.2"/>
    <n v="659.99"/>
    <m/>
    <x v="56"/>
    <x v="1"/>
  </r>
  <r>
    <x v="675"/>
    <x v="1"/>
    <x v="77"/>
    <n v="2"/>
    <n v="481.99"/>
    <n v="7.0000000000000007E-2"/>
    <n v="963.98"/>
    <m/>
    <x v="70"/>
    <x v="1"/>
  </r>
  <r>
    <x v="675"/>
    <x v="2"/>
    <x v="24"/>
    <n v="1"/>
    <n v="549.99"/>
    <n v="0.1"/>
    <n v="549.99"/>
    <m/>
    <x v="9"/>
    <x v="1"/>
  </r>
  <r>
    <x v="675"/>
    <x v="3"/>
    <x v="61"/>
    <n v="1"/>
    <n v="999.99"/>
    <n v="0.2"/>
    <n v="999.99"/>
    <m/>
    <x v="54"/>
    <x v="1"/>
  </r>
  <r>
    <x v="676"/>
    <x v="0"/>
    <x v="85"/>
    <n v="1"/>
    <n v="599.99"/>
    <n v="7.0000000000000007E-2"/>
    <n v="599.99"/>
    <m/>
    <x v="78"/>
    <x v="1"/>
  </r>
  <r>
    <x v="676"/>
    <x v="1"/>
    <x v="14"/>
    <n v="2"/>
    <n v="3999.99"/>
    <n v="7.0000000000000007E-2"/>
    <n v="7999.98"/>
    <m/>
    <x v="13"/>
    <x v="1"/>
  </r>
  <r>
    <x v="676"/>
    <x v="2"/>
    <x v="86"/>
    <n v="2"/>
    <n v="533.99"/>
    <n v="7.0000000000000007E-2"/>
    <n v="1067.98"/>
    <m/>
    <x v="79"/>
    <x v="1"/>
  </r>
  <r>
    <x v="676"/>
    <x v="3"/>
    <x v="87"/>
    <n v="2"/>
    <n v="349.99"/>
    <n v="0.05"/>
    <n v="699.98"/>
    <m/>
    <x v="80"/>
    <x v="1"/>
  </r>
  <r>
    <x v="676"/>
    <x v="4"/>
    <x v="59"/>
    <n v="2"/>
    <n v="3199.99"/>
    <n v="0.1"/>
    <n v="6399.98"/>
    <m/>
    <x v="52"/>
    <x v="1"/>
  </r>
  <r>
    <x v="677"/>
    <x v="0"/>
    <x v="58"/>
    <n v="2"/>
    <n v="875.99"/>
    <n v="0.05"/>
    <n v="1751.98"/>
    <m/>
    <x v="51"/>
    <x v="2"/>
  </r>
  <r>
    <x v="677"/>
    <x v="1"/>
    <x v="88"/>
    <n v="2"/>
    <n v="379.99"/>
    <n v="7.0000000000000007E-2"/>
    <n v="759.98"/>
    <m/>
    <x v="81"/>
    <x v="2"/>
  </r>
  <r>
    <x v="678"/>
    <x v="0"/>
    <x v="12"/>
    <n v="2"/>
    <n v="529.99"/>
    <n v="0.2"/>
    <n v="1059.98"/>
    <m/>
    <x v="11"/>
    <x v="0"/>
  </r>
  <r>
    <x v="678"/>
    <x v="1"/>
    <x v="56"/>
    <n v="2"/>
    <n v="149.99"/>
    <n v="0.05"/>
    <n v="299.98"/>
    <m/>
    <x v="49"/>
    <x v="0"/>
  </r>
  <r>
    <x v="679"/>
    <x v="0"/>
    <x v="89"/>
    <n v="2"/>
    <n v="1099.99"/>
    <n v="0.05"/>
    <n v="2199.98"/>
    <m/>
    <x v="82"/>
    <x v="0"/>
  </r>
  <r>
    <x v="679"/>
    <x v="1"/>
    <x v="14"/>
    <n v="1"/>
    <n v="3999.99"/>
    <n v="0.2"/>
    <n v="3999.99"/>
    <m/>
    <x v="13"/>
    <x v="0"/>
  </r>
  <r>
    <x v="679"/>
    <x v="2"/>
    <x v="69"/>
    <n v="1"/>
    <n v="5999.99"/>
    <n v="7.0000000000000007E-2"/>
    <n v="5999.99"/>
    <m/>
    <x v="62"/>
    <x v="0"/>
  </r>
  <r>
    <x v="680"/>
    <x v="0"/>
    <x v="90"/>
    <n v="1"/>
    <n v="659.99"/>
    <n v="0.05"/>
    <n v="659.99"/>
    <m/>
    <x v="83"/>
    <x v="1"/>
  </r>
  <r>
    <x v="680"/>
    <x v="1"/>
    <x v="65"/>
    <n v="1"/>
    <n v="3499.99"/>
    <n v="7.0000000000000007E-2"/>
    <n v="3499.99"/>
    <m/>
    <x v="58"/>
    <x v="1"/>
  </r>
  <r>
    <x v="680"/>
    <x v="2"/>
    <x v="32"/>
    <n v="1"/>
    <n v="4999.99"/>
    <n v="0.2"/>
    <n v="4999.99"/>
    <m/>
    <x v="28"/>
    <x v="1"/>
  </r>
  <r>
    <x v="680"/>
    <x v="3"/>
    <x v="18"/>
    <n v="2"/>
    <n v="469.99"/>
    <n v="0.05"/>
    <n v="939.98"/>
    <m/>
    <x v="16"/>
    <x v="1"/>
  </r>
  <r>
    <x v="680"/>
    <x v="4"/>
    <x v="34"/>
    <n v="1"/>
    <n v="999.99"/>
    <n v="7.0000000000000007E-2"/>
    <n v="999.99"/>
    <m/>
    <x v="30"/>
    <x v="1"/>
  </r>
  <r>
    <x v="681"/>
    <x v="0"/>
    <x v="62"/>
    <n v="1"/>
    <n v="1499.99"/>
    <n v="0.2"/>
    <n v="1499.99"/>
    <m/>
    <x v="55"/>
    <x v="1"/>
  </r>
  <r>
    <x v="681"/>
    <x v="1"/>
    <x v="91"/>
    <n v="2"/>
    <n v="1559.99"/>
    <n v="0.2"/>
    <n v="3119.98"/>
    <m/>
    <x v="84"/>
    <x v="1"/>
  </r>
  <r>
    <x v="681"/>
    <x v="2"/>
    <x v="40"/>
    <n v="1"/>
    <n v="299.99"/>
    <n v="0.2"/>
    <n v="299.99"/>
    <m/>
    <x v="35"/>
    <x v="1"/>
  </r>
  <r>
    <x v="682"/>
    <x v="0"/>
    <x v="6"/>
    <n v="2"/>
    <n v="749.99"/>
    <n v="0.1"/>
    <n v="1499.98"/>
    <m/>
    <x v="6"/>
    <x v="1"/>
  </r>
  <r>
    <x v="683"/>
    <x v="0"/>
    <x v="28"/>
    <n v="1"/>
    <n v="5499.99"/>
    <n v="7.0000000000000007E-2"/>
    <n v="5499.99"/>
    <m/>
    <x v="24"/>
    <x v="1"/>
  </r>
  <r>
    <x v="683"/>
    <x v="1"/>
    <x v="57"/>
    <n v="1"/>
    <n v="469.99"/>
    <n v="0.1"/>
    <n v="469.99"/>
    <m/>
    <x v="50"/>
    <x v="1"/>
  </r>
  <r>
    <x v="684"/>
    <x v="0"/>
    <x v="64"/>
    <n v="1"/>
    <n v="2599.9899999999998"/>
    <n v="0.05"/>
    <n v="2599.9899999999998"/>
    <m/>
    <x v="57"/>
    <x v="1"/>
  </r>
  <r>
    <x v="684"/>
    <x v="1"/>
    <x v="74"/>
    <n v="2"/>
    <n v="1499.99"/>
    <n v="0.05"/>
    <n v="2999.98"/>
    <m/>
    <x v="67"/>
    <x v="1"/>
  </r>
  <r>
    <x v="684"/>
    <x v="2"/>
    <x v="92"/>
    <n v="1"/>
    <n v="416.99"/>
    <n v="0.05"/>
    <n v="416.99"/>
    <m/>
    <x v="72"/>
    <x v="1"/>
  </r>
  <r>
    <x v="684"/>
    <x v="3"/>
    <x v="72"/>
    <n v="2"/>
    <n v="489.99"/>
    <n v="0.2"/>
    <n v="979.98"/>
    <m/>
    <x v="65"/>
    <x v="1"/>
  </r>
  <r>
    <x v="684"/>
    <x v="4"/>
    <x v="28"/>
    <n v="2"/>
    <n v="5499.99"/>
    <n v="0.05"/>
    <n v="10999.98"/>
    <m/>
    <x v="24"/>
    <x v="1"/>
  </r>
  <r>
    <x v="685"/>
    <x v="0"/>
    <x v="3"/>
    <n v="1"/>
    <n v="599.99"/>
    <n v="0.2"/>
    <n v="599.99"/>
    <m/>
    <x v="3"/>
    <x v="1"/>
  </r>
  <r>
    <x v="685"/>
    <x v="1"/>
    <x v="34"/>
    <n v="1"/>
    <n v="999.99"/>
    <n v="0.1"/>
    <n v="999.99"/>
    <m/>
    <x v="30"/>
    <x v="1"/>
  </r>
  <r>
    <x v="685"/>
    <x v="2"/>
    <x v="54"/>
    <n v="2"/>
    <n v="189.99"/>
    <n v="0.2"/>
    <n v="379.98"/>
    <m/>
    <x v="47"/>
    <x v="1"/>
  </r>
  <r>
    <x v="685"/>
    <x v="3"/>
    <x v="23"/>
    <n v="2"/>
    <n v="449"/>
    <n v="0.2"/>
    <n v="898"/>
    <m/>
    <x v="20"/>
    <x v="1"/>
  </r>
  <r>
    <x v="685"/>
    <x v="4"/>
    <x v="77"/>
    <n v="1"/>
    <n v="481.99"/>
    <n v="0.2"/>
    <n v="481.99"/>
    <m/>
    <x v="70"/>
    <x v="1"/>
  </r>
  <r>
    <x v="686"/>
    <x v="0"/>
    <x v="74"/>
    <n v="2"/>
    <n v="1499.99"/>
    <n v="0.05"/>
    <n v="2999.98"/>
    <m/>
    <x v="67"/>
    <x v="0"/>
  </r>
  <r>
    <x v="686"/>
    <x v="1"/>
    <x v="43"/>
    <n v="1"/>
    <n v="299.99"/>
    <n v="7.0000000000000007E-2"/>
    <n v="299.99"/>
    <m/>
    <x v="31"/>
    <x v="0"/>
  </r>
  <r>
    <x v="686"/>
    <x v="2"/>
    <x v="21"/>
    <n v="2"/>
    <n v="1320.99"/>
    <n v="0.2"/>
    <n v="2641.98"/>
    <m/>
    <x v="18"/>
    <x v="0"/>
  </r>
  <r>
    <x v="686"/>
    <x v="3"/>
    <x v="56"/>
    <n v="1"/>
    <n v="149.99"/>
    <n v="7.0000000000000007E-2"/>
    <n v="149.99"/>
    <m/>
    <x v="49"/>
    <x v="0"/>
  </r>
  <r>
    <x v="687"/>
    <x v="0"/>
    <x v="1"/>
    <n v="1"/>
    <n v="1799.99"/>
    <n v="0.1"/>
    <n v="1799.99"/>
    <m/>
    <x v="1"/>
    <x v="1"/>
  </r>
  <r>
    <x v="687"/>
    <x v="1"/>
    <x v="54"/>
    <n v="1"/>
    <n v="189.99"/>
    <n v="0.05"/>
    <n v="189.99"/>
    <m/>
    <x v="47"/>
    <x v="1"/>
  </r>
  <r>
    <x v="688"/>
    <x v="0"/>
    <x v="57"/>
    <n v="2"/>
    <n v="469.99"/>
    <n v="0.1"/>
    <n v="939.98"/>
    <m/>
    <x v="50"/>
    <x v="1"/>
  </r>
  <r>
    <x v="689"/>
    <x v="0"/>
    <x v="73"/>
    <n v="1"/>
    <n v="109.99"/>
    <n v="0.2"/>
    <n v="109.99"/>
    <m/>
    <x v="66"/>
    <x v="0"/>
  </r>
  <r>
    <x v="689"/>
    <x v="1"/>
    <x v="16"/>
    <n v="2"/>
    <n v="1680.99"/>
    <n v="7.0000000000000007E-2"/>
    <n v="3361.98"/>
    <m/>
    <x v="14"/>
    <x v="0"/>
  </r>
  <r>
    <x v="689"/>
    <x v="2"/>
    <x v="25"/>
    <n v="1"/>
    <n v="329.99"/>
    <n v="0.05"/>
    <n v="329.99"/>
    <m/>
    <x v="21"/>
    <x v="0"/>
  </r>
  <r>
    <x v="689"/>
    <x v="3"/>
    <x v="36"/>
    <n v="2"/>
    <n v="416.99"/>
    <n v="0.2"/>
    <n v="833.98"/>
    <m/>
    <x v="32"/>
    <x v="0"/>
  </r>
  <r>
    <x v="690"/>
    <x v="0"/>
    <x v="19"/>
    <n v="2"/>
    <n v="299.99"/>
    <n v="0.05"/>
    <n v="599.98"/>
    <m/>
    <x v="17"/>
    <x v="1"/>
  </r>
  <r>
    <x v="690"/>
    <x v="1"/>
    <x v="21"/>
    <n v="2"/>
    <n v="1320.99"/>
    <n v="0.1"/>
    <n v="2641.98"/>
    <m/>
    <x v="18"/>
    <x v="1"/>
  </r>
  <r>
    <x v="690"/>
    <x v="2"/>
    <x v="66"/>
    <n v="2"/>
    <n v="2699.99"/>
    <n v="0.2"/>
    <n v="5399.98"/>
    <m/>
    <x v="59"/>
    <x v="1"/>
  </r>
  <r>
    <x v="690"/>
    <x v="3"/>
    <x v="0"/>
    <n v="1"/>
    <n v="599.99"/>
    <n v="0.2"/>
    <n v="599.99"/>
    <m/>
    <x v="0"/>
    <x v="1"/>
  </r>
  <r>
    <x v="691"/>
    <x v="0"/>
    <x v="64"/>
    <n v="1"/>
    <n v="2599.9899999999998"/>
    <n v="0.2"/>
    <n v="2599.9899999999998"/>
    <m/>
    <x v="57"/>
    <x v="0"/>
  </r>
  <r>
    <x v="691"/>
    <x v="1"/>
    <x v="85"/>
    <n v="1"/>
    <n v="599.99"/>
    <n v="7.0000000000000007E-2"/>
    <n v="599.99"/>
    <m/>
    <x v="78"/>
    <x v="0"/>
  </r>
  <r>
    <x v="691"/>
    <x v="2"/>
    <x v="12"/>
    <n v="2"/>
    <n v="529.99"/>
    <n v="7.0000000000000007E-2"/>
    <n v="1059.98"/>
    <m/>
    <x v="11"/>
    <x v="0"/>
  </r>
  <r>
    <x v="691"/>
    <x v="3"/>
    <x v="28"/>
    <n v="2"/>
    <n v="5499.99"/>
    <n v="0.1"/>
    <n v="10999.98"/>
    <m/>
    <x v="24"/>
    <x v="0"/>
  </r>
  <r>
    <x v="692"/>
    <x v="0"/>
    <x v="77"/>
    <n v="2"/>
    <n v="481.99"/>
    <n v="0.2"/>
    <n v="963.98"/>
    <m/>
    <x v="70"/>
    <x v="0"/>
  </r>
  <r>
    <x v="692"/>
    <x v="1"/>
    <x v="17"/>
    <n v="1"/>
    <n v="269.99"/>
    <n v="0.2"/>
    <n v="269.99"/>
    <m/>
    <x v="15"/>
    <x v="0"/>
  </r>
  <r>
    <x v="692"/>
    <x v="2"/>
    <x v="21"/>
    <n v="2"/>
    <n v="1320.99"/>
    <n v="0.05"/>
    <n v="2641.98"/>
    <m/>
    <x v="18"/>
    <x v="0"/>
  </r>
  <r>
    <x v="692"/>
    <x v="3"/>
    <x v="93"/>
    <n v="1"/>
    <n v="1632.99"/>
    <n v="7.0000000000000007E-2"/>
    <n v="1632.99"/>
    <m/>
    <x v="85"/>
    <x v="0"/>
  </r>
  <r>
    <x v="693"/>
    <x v="0"/>
    <x v="74"/>
    <n v="1"/>
    <n v="1499.99"/>
    <n v="0.2"/>
    <n v="1499.99"/>
    <m/>
    <x v="67"/>
    <x v="1"/>
  </r>
  <r>
    <x v="693"/>
    <x v="1"/>
    <x v="62"/>
    <n v="1"/>
    <n v="1499.99"/>
    <n v="0.05"/>
    <n v="1499.99"/>
    <m/>
    <x v="55"/>
    <x v="1"/>
  </r>
  <r>
    <x v="693"/>
    <x v="2"/>
    <x v="66"/>
    <n v="2"/>
    <n v="2699.99"/>
    <n v="0.1"/>
    <n v="5399.98"/>
    <m/>
    <x v="59"/>
    <x v="1"/>
  </r>
  <r>
    <x v="693"/>
    <x v="3"/>
    <x v="27"/>
    <n v="2"/>
    <n v="551.99"/>
    <n v="0.2"/>
    <n v="1103.98"/>
    <m/>
    <x v="23"/>
    <x v="1"/>
  </r>
  <r>
    <x v="693"/>
    <x v="4"/>
    <x v="78"/>
    <n v="2"/>
    <n v="869.99"/>
    <n v="0.1"/>
    <n v="1739.98"/>
    <m/>
    <x v="71"/>
    <x v="1"/>
  </r>
  <r>
    <x v="694"/>
    <x v="0"/>
    <x v="90"/>
    <n v="2"/>
    <n v="659.99"/>
    <n v="0.1"/>
    <n v="1319.98"/>
    <m/>
    <x v="83"/>
    <x v="1"/>
  </r>
  <r>
    <x v="694"/>
    <x v="1"/>
    <x v="94"/>
    <n v="2"/>
    <n v="1999.99"/>
    <n v="0.2"/>
    <n v="3999.98"/>
    <m/>
    <x v="86"/>
    <x v="1"/>
  </r>
  <r>
    <x v="695"/>
    <x v="0"/>
    <x v="54"/>
    <n v="2"/>
    <n v="189.99"/>
    <n v="7.0000000000000007E-2"/>
    <n v="379.98"/>
    <m/>
    <x v="47"/>
    <x v="1"/>
  </r>
  <r>
    <x v="695"/>
    <x v="1"/>
    <x v="14"/>
    <n v="1"/>
    <n v="3999.99"/>
    <n v="0.1"/>
    <n v="3999.99"/>
    <m/>
    <x v="13"/>
    <x v="1"/>
  </r>
  <r>
    <x v="695"/>
    <x v="2"/>
    <x v="78"/>
    <n v="1"/>
    <n v="869.99"/>
    <n v="7.0000000000000007E-2"/>
    <n v="869.99"/>
    <m/>
    <x v="71"/>
    <x v="1"/>
  </r>
  <r>
    <x v="696"/>
    <x v="0"/>
    <x v="21"/>
    <n v="2"/>
    <n v="1320.99"/>
    <n v="0.05"/>
    <n v="2641.98"/>
    <m/>
    <x v="18"/>
    <x v="0"/>
  </r>
  <r>
    <x v="697"/>
    <x v="0"/>
    <x v="81"/>
    <n v="1"/>
    <n v="349.99"/>
    <n v="7.0000000000000007E-2"/>
    <n v="349.99"/>
    <m/>
    <x v="74"/>
    <x v="2"/>
  </r>
  <r>
    <x v="697"/>
    <x v="1"/>
    <x v="10"/>
    <n v="1"/>
    <n v="549.99"/>
    <n v="7.0000000000000007E-2"/>
    <n v="549.99"/>
    <m/>
    <x v="9"/>
    <x v="2"/>
  </r>
  <r>
    <x v="697"/>
    <x v="2"/>
    <x v="95"/>
    <n v="2"/>
    <n v="4999.99"/>
    <n v="0.05"/>
    <n v="9999.98"/>
    <m/>
    <x v="87"/>
    <x v="2"/>
  </r>
  <r>
    <x v="698"/>
    <x v="0"/>
    <x v="26"/>
    <n v="2"/>
    <n v="449.99"/>
    <n v="0.1"/>
    <n v="899.98"/>
    <m/>
    <x v="22"/>
    <x v="2"/>
  </r>
  <r>
    <x v="698"/>
    <x v="1"/>
    <x v="74"/>
    <n v="1"/>
    <n v="1499.99"/>
    <n v="7.0000000000000007E-2"/>
    <n v="1499.99"/>
    <m/>
    <x v="67"/>
    <x v="2"/>
  </r>
  <r>
    <x v="698"/>
    <x v="2"/>
    <x v="93"/>
    <n v="1"/>
    <n v="1632.99"/>
    <n v="0.2"/>
    <n v="1632.99"/>
    <m/>
    <x v="85"/>
    <x v="2"/>
  </r>
  <r>
    <x v="698"/>
    <x v="3"/>
    <x v="24"/>
    <n v="2"/>
    <n v="549.99"/>
    <n v="0.1"/>
    <n v="1099.98"/>
    <m/>
    <x v="9"/>
    <x v="2"/>
  </r>
  <r>
    <x v="698"/>
    <x v="4"/>
    <x v="90"/>
    <n v="2"/>
    <n v="659.99"/>
    <n v="0.2"/>
    <n v="1319.98"/>
    <m/>
    <x v="83"/>
    <x v="2"/>
  </r>
  <r>
    <x v="699"/>
    <x v="0"/>
    <x v="14"/>
    <n v="2"/>
    <n v="3999.99"/>
    <n v="0.05"/>
    <n v="7999.98"/>
    <m/>
    <x v="13"/>
    <x v="1"/>
  </r>
  <r>
    <x v="699"/>
    <x v="1"/>
    <x v="65"/>
    <n v="1"/>
    <n v="3499.99"/>
    <n v="0.2"/>
    <n v="3499.99"/>
    <m/>
    <x v="58"/>
    <x v="1"/>
  </r>
  <r>
    <x v="700"/>
    <x v="0"/>
    <x v="73"/>
    <n v="1"/>
    <n v="109.99"/>
    <n v="0.05"/>
    <n v="109.99"/>
    <m/>
    <x v="66"/>
    <x v="2"/>
  </r>
  <r>
    <x v="701"/>
    <x v="0"/>
    <x v="22"/>
    <n v="2"/>
    <n v="499.99"/>
    <n v="0.05"/>
    <n v="999.98"/>
    <m/>
    <x v="19"/>
    <x v="0"/>
  </r>
  <r>
    <x v="701"/>
    <x v="1"/>
    <x v="77"/>
    <n v="1"/>
    <n v="481.99"/>
    <n v="0.1"/>
    <n v="481.99"/>
    <m/>
    <x v="70"/>
    <x v="0"/>
  </r>
  <r>
    <x v="701"/>
    <x v="2"/>
    <x v="5"/>
    <n v="2"/>
    <n v="999.99"/>
    <n v="7.0000000000000007E-2"/>
    <n v="1999.98"/>
    <m/>
    <x v="5"/>
    <x v="0"/>
  </r>
  <r>
    <x v="702"/>
    <x v="0"/>
    <x v="78"/>
    <n v="2"/>
    <n v="869.99"/>
    <n v="0.2"/>
    <n v="1739.98"/>
    <m/>
    <x v="71"/>
    <x v="1"/>
  </r>
  <r>
    <x v="702"/>
    <x v="1"/>
    <x v="82"/>
    <n v="2"/>
    <n v="250.99"/>
    <n v="0.05"/>
    <n v="501.98"/>
    <m/>
    <x v="75"/>
    <x v="1"/>
  </r>
  <r>
    <x v="702"/>
    <x v="2"/>
    <x v="31"/>
    <n v="1"/>
    <n v="619.99"/>
    <n v="0.2"/>
    <n v="619.99"/>
    <m/>
    <x v="27"/>
    <x v="1"/>
  </r>
  <r>
    <x v="702"/>
    <x v="3"/>
    <x v="4"/>
    <n v="2"/>
    <n v="2899.99"/>
    <n v="0.2"/>
    <n v="5799.98"/>
    <m/>
    <x v="4"/>
    <x v="1"/>
  </r>
  <r>
    <x v="703"/>
    <x v="0"/>
    <x v="2"/>
    <n v="2"/>
    <n v="1549"/>
    <n v="0.05"/>
    <n v="3098"/>
    <m/>
    <x v="2"/>
    <x v="1"/>
  </r>
  <r>
    <x v="703"/>
    <x v="1"/>
    <x v="37"/>
    <n v="1"/>
    <n v="3499.99"/>
    <n v="0.2"/>
    <n v="3499.99"/>
    <m/>
    <x v="33"/>
    <x v="1"/>
  </r>
  <r>
    <x v="703"/>
    <x v="2"/>
    <x v="96"/>
    <n v="2"/>
    <n v="489.99"/>
    <n v="7.0000000000000007E-2"/>
    <n v="979.98"/>
    <m/>
    <x v="88"/>
    <x v="1"/>
  </r>
  <r>
    <x v="704"/>
    <x v="0"/>
    <x v="32"/>
    <n v="1"/>
    <n v="4999.99"/>
    <n v="0.1"/>
    <n v="4999.99"/>
    <m/>
    <x v="28"/>
    <x v="1"/>
  </r>
  <r>
    <x v="705"/>
    <x v="0"/>
    <x v="97"/>
    <n v="1"/>
    <n v="999.99"/>
    <n v="0.1"/>
    <n v="999.99"/>
    <m/>
    <x v="89"/>
    <x v="0"/>
  </r>
  <r>
    <x v="705"/>
    <x v="1"/>
    <x v="19"/>
    <n v="2"/>
    <n v="299.99"/>
    <n v="0.05"/>
    <n v="599.98"/>
    <m/>
    <x v="17"/>
    <x v="0"/>
  </r>
  <r>
    <x v="705"/>
    <x v="2"/>
    <x v="91"/>
    <n v="1"/>
    <n v="1559.99"/>
    <n v="0.2"/>
    <n v="1559.99"/>
    <m/>
    <x v="84"/>
    <x v="0"/>
  </r>
  <r>
    <x v="706"/>
    <x v="0"/>
    <x v="26"/>
    <n v="2"/>
    <n v="449.99"/>
    <n v="0.05"/>
    <n v="899.98"/>
    <m/>
    <x v="22"/>
    <x v="1"/>
  </r>
  <r>
    <x v="706"/>
    <x v="1"/>
    <x v="96"/>
    <n v="1"/>
    <n v="489.99"/>
    <n v="7.0000000000000007E-2"/>
    <n v="489.99"/>
    <m/>
    <x v="88"/>
    <x v="1"/>
  </r>
  <r>
    <x v="706"/>
    <x v="2"/>
    <x v="16"/>
    <n v="2"/>
    <n v="1680.99"/>
    <n v="0.1"/>
    <n v="3361.98"/>
    <m/>
    <x v="14"/>
    <x v="1"/>
  </r>
  <r>
    <x v="706"/>
    <x v="3"/>
    <x v="8"/>
    <n v="2"/>
    <n v="599.99"/>
    <n v="0.1"/>
    <n v="1199.98"/>
    <m/>
    <x v="3"/>
    <x v="1"/>
  </r>
  <r>
    <x v="707"/>
    <x v="0"/>
    <x v="18"/>
    <n v="1"/>
    <n v="469.99"/>
    <n v="7.0000000000000007E-2"/>
    <n v="469.99"/>
    <m/>
    <x v="16"/>
    <x v="0"/>
  </r>
  <r>
    <x v="707"/>
    <x v="1"/>
    <x v="42"/>
    <n v="1"/>
    <n v="5299.99"/>
    <n v="0.1"/>
    <n v="5299.99"/>
    <m/>
    <x v="37"/>
    <x v="0"/>
  </r>
  <r>
    <x v="707"/>
    <x v="2"/>
    <x v="98"/>
    <n v="2"/>
    <n v="469.99"/>
    <n v="0.2"/>
    <n v="939.98"/>
    <m/>
    <x v="90"/>
    <x v="0"/>
  </r>
  <r>
    <x v="708"/>
    <x v="0"/>
    <x v="66"/>
    <n v="2"/>
    <n v="2699.99"/>
    <n v="0.05"/>
    <n v="5399.98"/>
    <m/>
    <x v="59"/>
    <x v="1"/>
  </r>
  <r>
    <x v="708"/>
    <x v="1"/>
    <x v="70"/>
    <n v="2"/>
    <n v="339.99"/>
    <n v="7.0000000000000007E-2"/>
    <n v="679.98"/>
    <m/>
    <x v="63"/>
    <x v="1"/>
  </r>
  <r>
    <x v="708"/>
    <x v="2"/>
    <x v="74"/>
    <n v="1"/>
    <n v="1499.99"/>
    <n v="7.0000000000000007E-2"/>
    <n v="1499.99"/>
    <m/>
    <x v="67"/>
    <x v="1"/>
  </r>
  <r>
    <x v="709"/>
    <x v="0"/>
    <x v="41"/>
    <n v="1"/>
    <n v="2299.9899999999998"/>
    <n v="0.05"/>
    <n v="2299.9899999999998"/>
    <m/>
    <x v="36"/>
    <x v="1"/>
  </r>
  <r>
    <x v="709"/>
    <x v="1"/>
    <x v="91"/>
    <n v="2"/>
    <n v="1559.99"/>
    <n v="0.2"/>
    <n v="3119.98"/>
    <m/>
    <x v="84"/>
    <x v="1"/>
  </r>
  <r>
    <x v="709"/>
    <x v="2"/>
    <x v="62"/>
    <n v="2"/>
    <n v="1499.99"/>
    <n v="0.2"/>
    <n v="2999.98"/>
    <m/>
    <x v="55"/>
    <x v="1"/>
  </r>
  <r>
    <x v="709"/>
    <x v="3"/>
    <x v="94"/>
    <n v="1"/>
    <n v="1999.99"/>
    <n v="0.2"/>
    <n v="1999.99"/>
    <m/>
    <x v="86"/>
    <x v="1"/>
  </r>
  <r>
    <x v="709"/>
    <x v="4"/>
    <x v="76"/>
    <n v="1"/>
    <n v="2499.9899999999998"/>
    <n v="0.05"/>
    <n v="2499.9899999999998"/>
    <m/>
    <x v="69"/>
    <x v="1"/>
  </r>
  <r>
    <x v="710"/>
    <x v="0"/>
    <x v="21"/>
    <n v="2"/>
    <n v="1320.99"/>
    <n v="0.05"/>
    <n v="2641.98"/>
    <m/>
    <x v="18"/>
    <x v="1"/>
  </r>
  <r>
    <x v="710"/>
    <x v="1"/>
    <x v="43"/>
    <n v="2"/>
    <n v="299.99"/>
    <n v="0.2"/>
    <n v="599.98"/>
    <m/>
    <x v="31"/>
    <x v="1"/>
  </r>
  <r>
    <x v="710"/>
    <x v="2"/>
    <x v="31"/>
    <n v="2"/>
    <n v="619.99"/>
    <n v="0.05"/>
    <n v="1239.98"/>
    <m/>
    <x v="27"/>
    <x v="1"/>
  </r>
  <r>
    <x v="711"/>
    <x v="0"/>
    <x v="99"/>
    <n v="2"/>
    <n v="539.99"/>
    <n v="0.2"/>
    <n v="1079.98"/>
    <m/>
    <x v="91"/>
    <x v="2"/>
  </r>
  <r>
    <x v="711"/>
    <x v="1"/>
    <x v="51"/>
    <n v="2"/>
    <n v="439.99"/>
    <n v="0.1"/>
    <n v="879.98"/>
    <m/>
    <x v="44"/>
    <x v="2"/>
  </r>
  <r>
    <x v="711"/>
    <x v="2"/>
    <x v="100"/>
    <n v="1"/>
    <n v="832.99"/>
    <n v="0.2"/>
    <n v="832.99"/>
    <m/>
    <x v="92"/>
    <x v="2"/>
  </r>
  <r>
    <x v="711"/>
    <x v="3"/>
    <x v="35"/>
    <n v="1"/>
    <n v="299.99"/>
    <n v="0.2"/>
    <n v="299.99"/>
    <m/>
    <x v="31"/>
    <x v="2"/>
  </r>
  <r>
    <x v="711"/>
    <x v="4"/>
    <x v="4"/>
    <n v="2"/>
    <n v="2899.99"/>
    <n v="0.05"/>
    <n v="5799.98"/>
    <m/>
    <x v="4"/>
    <x v="2"/>
  </r>
  <r>
    <x v="712"/>
    <x v="0"/>
    <x v="101"/>
    <n v="2"/>
    <n v="209.99"/>
    <n v="0.2"/>
    <n v="419.98"/>
    <m/>
    <x v="93"/>
    <x v="2"/>
  </r>
  <r>
    <x v="712"/>
    <x v="1"/>
    <x v="44"/>
    <n v="2"/>
    <n v="349.99"/>
    <n v="0.1"/>
    <n v="699.98"/>
    <m/>
    <x v="38"/>
    <x v="2"/>
  </r>
  <r>
    <x v="712"/>
    <x v="2"/>
    <x v="29"/>
    <n v="1"/>
    <n v="749.99"/>
    <n v="7.0000000000000007E-2"/>
    <n v="749.99"/>
    <m/>
    <x v="25"/>
    <x v="2"/>
  </r>
  <r>
    <x v="712"/>
    <x v="3"/>
    <x v="75"/>
    <n v="2"/>
    <n v="449.99"/>
    <n v="7.0000000000000007E-2"/>
    <n v="899.98"/>
    <m/>
    <x v="68"/>
    <x v="2"/>
  </r>
  <r>
    <x v="713"/>
    <x v="0"/>
    <x v="102"/>
    <n v="2"/>
    <n v="209.99"/>
    <n v="0.2"/>
    <n v="419.98"/>
    <m/>
    <x v="94"/>
    <x v="1"/>
  </r>
  <r>
    <x v="714"/>
    <x v="0"/>
    <x v="32"/>
    <n v="2"/>
    <n v="4999.99"/>
    <n v="0.1"/>
    <n v="9999.98"/>
    <m/>
    <x v="28"/>
    <x v="1"/>
  </r>
  <r>
    <x v="714"/>
    <x v="1"/>
    <x v="69"/>
    <n v="1"/>
    <n v="5999.99"/>
    <n v="0.2"/>
    <n v="5999.99"/>
    <m/>
    <x v="62"/>
    <x v="1"/>
  </r>
  <r>
    <x v="715"/>
    <x v="0"/>
    <x v="103"/>
    <n v="2"/>
    <n v="470.99"/>
    <n v="0.1"/>
    <n v="941.98"/>
    <m/>
    <x v="95"/>
    <x v="1"/>
  </r>
  <r>
    <x v="715"/>
    <x v="1"/>
    <x v="101"/>
    <n v="2"/>
    <n v="209.99"/>
    <n v="7.0000000000000007E-2"/>
    <n v="419.98"/>
    <m/>
    <x v="93"/>
    <x v="1"/>
  </r>
  <r>
    <x v="715"/>
    <x v="2"/>
    <x v="47"/>
    <n v="1"/>
    <n v="402.99"/>
    <n v="0.1"/>
    <n v="402.99"/>
    <m/>
    <x v="41"/>
    <x v="1"/>
  </r>
  <r>
    <x v="715"/>
    <x v="3"/>
    <x v="4"/>
    <n v="2"/>
    <n v="2899.99"/>
    <n v="0.05"/>
    <n v="5799.98"/>
    <m/>
    <x v="4"/>
    <x v="1"/>
  </r>
  <r>
    <x v="716"/>
    <x v="0"/>
    <x v="28"/>
    <n v="2"/>
    <n v="5499.99"/>
    <n v="0.05"/>
    <n v="10999.98"/>
    <m/>
    <x v="24"/>
    <x v="1"/>
  </r>
  <r>
    <x v="716"/>
    <x v="1"/>
    <x v="101"/>
    <n v="1"/>
    <n v="209.99"/>
    <n v="0.2"/>
    <n v="209.99"/>
    <m/>
    <x v="93"/>
    <x v="1"/>
  </r>
  <r>
    <x v="717"/>
    <x v="0"/>
    <x v="102"/>
    <n v="2"/>
    <n v="209.99"/>
    <n v="7.0000000000000007E-2"/>
    <n v="419.98"/>
    <m/>
    <x v="94"/>
    <x v="1"/>
  </r>
  <r>
    <x v="717"/>
    <x v="1"/>
    <x v="95"/>
    <n v="2"/>
    <n v="4999.99"/>
    <n v="7.0000000000000007E-2"/>
    <n v="9999.98"/>
    <m/>
    <x v="87"/>
    <x v="1"/>
  </r>
  <r>
    <x v="717"/>
    <x v="2"/>
    <x v="38"/>
    <n v="2"/>
    <n v="489.99"/>
    <n v="0.1"/>
    <n v="979.98"/>
    <m/>
    <x v="34"/>
    <x v="1"/>
  </r>
  <r>
    <x v="718"/>
    <x v="0"/>
    <x v="96"/>
    <n v="1"/>
    <n v="489.99"/>
    <n v="0.2"/>
    <n v="489.99"/>
    <m/>
    <x v="88"/>
    <x v="1"/>
  </r>
  <r>
    <x v="719"/>
    <x v="0"/>
    <x v="103"/>
    <n v="1"/>
    <n v="470.99"/>
    <n v="7.0000000000000007E-2"/>
    <n v="470.99"/>
    <m/>
    <x v="95"/>
    <x v="1"/>
  </r>
  <r>
    <x v="719"/>
    <x v="1"/>
    <x v="18"/>
    <n v="1"/>
    <n v="469.99"/>
    <n v="0.1"/>
    <n v="469.99"/>
    <m/>
    <x v="16"/>
    <x v="1"/>
  </r>
  <r>
    <x v="720"/>
    <x v="0"/>
    <x v="78"/>
    <n v="2"/>
    <n v="869.99"/>
    <n v="7.0000000000000007E-2"/>
    <n v="1739.98"/>
    <m/>
    <x v="71"/>
    <x v="1"/>
  </r>
  <r>
    <x v="720"/>
    <x v="1"/>
    <x v="48"/>
    <n v="1"/>
    <n v="489.99"/>
    <n v="0.1"/>
    <n v="489.99"/>
    <m/>
    <x v="34"/>
    <x v="1"/>
  </r>
  <r>
    <x v="720"/>
    <x v="2"/>
    <x v="30"/>
    <n v="2"/>
    <n v="749.99"/>
    <n v="0.05"/>
    <n v="1499.98"/>
    <m/>
    <x v="26"/>
    <x v="1"/>
  </r>
  <r>
    <x v="720"/>
    <x v="3"/>
    <x v="57"/>
    <n v="1"/>
    <n v="469.99"/>
    <n v="0.2"/>
    <n v="469.99"/>
    <m/>
    <x v="50"/>
    <x v="1"/>
  </r>
  <r>
    <x v="721"/>
    <x v="0"/>
    <x v="13"/>
    <n v="2"/>
    <n v="269.99"/>
    <n v="7.0000000000000007E-2"/>
    <n v="539.98"/>
    <m/>
    <x v="12"/>
    <x v="1"/>
  </r>
  <r>
    <x v="721"/>
    <x v="1"/>
    <x v="5"/>
    <n v="1"/>
    <n v="999.99"/>
    <n v="0.05"/>
    <n v="999.99"/>
    <m/>
    <x v="5"/>
    <x v="1"/>
  </r>
  <r>
    <x v="721"/>
    <x v="2"/>
    <x v="77"/>
    <n v="2"/>
    <n v="481.99"/>
    <n v="0.1"/>
    <n v="963.98"/>
    <m/>
    <x v="70"/>
    <x v="1"/>
  </r>
  <r>
    <x v="722"/>
    <x v="0"/>
    <x v="24"/>
    <n v="2"/>
    <n v="549.99"/>
    <n v="7.0000000000000007E-2"/>
    <n v="1099.98"/>
    <m/>
    <x v="9"/>
    <x v="1"/>
  </r>
  <r>
    <x v="722"/>
    <x v="1"/>
    <x v="3"/>
    <n v="1"/>
    <n v="599.99"/>
    <n v="0.05"/>
    <n v="599.99"/>
    <m/>
    <x v="3"/>
    <x v="1"/>
  </r>
  <r>
    <x v="722"/>
    <x v="2"/>
    <x v="75"/>
    <n v="1"/>
    <n v="449.99"/>
    <n v="7.0000000000000007E-2"/>
    <n v="449.99"/>
    <m/>
    <x v="68"/>
    <x v="1"/>
  </r>
  <r>
    <x v="723"/>
    <x v="0"/>
    <x v="19"/>
    <n v="1"/>
    <n v="299.99"/>
    <n v="0.05"/>
    <n v="299.99"/>
    <m/>
    <x v="17"/>
    <x v="1"/>
  </r>
  <r>
    <x v="723"/>
    <x v="1"/>
    <x v="85"/>
    <n v="1"/>
    <n v="599.99"/>
    <n v="0.2"/>
    <n v="599.99"/>
    <m/>
    <x v="78"/>
    <x v="1"/>
  </r>
  <r>
    <x v="723"/>
    <x v="2"/>
    <x v="48"/>
    <n v="1"/>
    <n v="489.99"/>
    <n v="0.05"/>
    <n v="489.99"/>
    <m/>
    <x v="34"/>
    <x v="1"/>
  </r>
  <r>
    <x v="723"/>
    <x v="3"/>
    <x v="66"/>
    <n v="1"/>
    <n v="2699.99"/>
    <n v="0.2"/>
    <n v="2699.99"/>
    <m/>
    <x v="59"/>
    <x v="1"/>
  </r>
  <r>
    <x v="724"/>
    <x v="0"/>
    <x v="45"/>
    <n v="1"/>
    <n v="209.99"/>
    <n v="0.1"/>
    <n v="209.99"/>
    <m/>
    <x v="39"/>
    <x v="1"/>
  </r>
  <r>
    <x v="724"/>
    <x v="1"/>
    <x v="87"/>
    <n v="1"/>
    <n v="349.99"/>
    <n v="0.05"/>
    <n v="349.99"/>
    <m/>
    <x v="80"/>
    <x v="1"/>
  </r>
  <r>
    <x v="724"/>
    <x v="2"/>
    <x v="104"/>
    <n v="2"/>
    <n v="799.99"/>
    <n v="7.0000000000000007E-2"/>
    <n v="1599.98"/>
    <m/>
    <x v="96"/>
    <x v="1"/>
  </r>
  <r>
    <x v="724"/>
    <x v="3"/>
    <x v="37"/>
    <n v="2"/>
    <n v="3499.99"/>
    <n v="0.1"/>
    <n v="6999.98"/>
    <m/>
    <x v="33"/>
    <x v="1"/>
  </r>
  <r>
    <x v="725"/>
    <x v="0"/>
    <x v="38"/>
    <n v="1"/>
    <n v="489.99"/>
    <n v="0.2"/>
    <n v="489.99"/>
    <m/>
    <x v="34"/>
    <x v="1"/>
  </r>
  <r>
    <x v="726"/>
    <x v="0"/>
    <x v="46"/>
    <n v="1"/>
    <n v="647.99"/>
    <n v="7.0000000000000007E-2"/>
    <n v="647.99"/>
    <m/>
    <x v="40"/>
    <x v="2"/>
  </r>
  <r>
    <x v="726"/>
    <x v="1"/>
    <x v="90"/>
    <n v="2"/>
    <n v="659.99"/>
    <n v="0.05"/>
    <n v="1319.98"/>
    <m/>
    <x v="83"/>
    <x v="2"/>
  </r>
  <r>
    <x v="727"/>
    <x v="0"/>
    <x v="63"/>
    <n v="1"/>
    <n v="659.99"/>
    <n v="0.05"/>
    <n v="659.99"/>
    <m/>
    <x v="56"/>
    <x v="0"/>
  </r>
  <r>
    <x v="727"/>
    <x v="1"/>
    <x v="28"/>
    <n v="1"/>
    <n v="5499.99"/>
    <n v="0.1"/>
    <n v="5499.99"/>
    <m/>
    <x v="24"/>
    <x v="0"/>
  </r>
  <r>
    <x v="727"/>
    <x v="2"/>
    <x v="87"/>
    <n v="1"/>
    <n v="349.99"/>
    <n v="0.1"/>
    <n v="349.99"/>
    <m/>
    <x v="80"/>
    <x v="0"/>
  </r>
  <r>
    <x v="727"/>
    <x v="3"/>
    <x v="71"/>
    <n v="1"/>
    <n v="4999.99"/>
    <n v="7.0000000000000007E-2"/>
    <n v="4999.99"/>
    <m/>
    <x v="64"/>
    <x v="0"/>
  </r>
  <r>
    <x v="728"/>
    <x v="0"/>
    <x v="70"/>
    <n v="2"/>
    <n v="339.99"/>
    <n v="0.1"/>
    <n v="679.98"/>
    <m/>
    <x v="63"/>
    <x v="1"/>
  </r>
  <r>
    <x v="729"/>
    <x v="0"/>
    <x v="64"/>
    <n v="2"/>
    <n v="2599.9899999999998"/>
    <n v="0.05"/>
    <n v="5199.9799999999996"/>
    <m/>
    <x v="57"/>
    <x v="1"/>
  </r>
  <r>
    <x v="729"/>
    <x v="1"/>
    <x v="47"/>
    <n v="1"/>
    <n v="402.99"/>
    <n v="0.1"/>
    <n v="402.99"/>
    <m/>
    <x v="41"/>
    <x v="1"/>
  </r>
  <r>
    <x v="729"/>
    <x v="2"/>
    <x v="81"/>
    <n v="2"/>
    <n v="349.99"/>
    <n v="7.0000000000000007E-2"/>
    <n v="699.98"/>
    <m/>
    <x v="74"/>
    <x v="1"/>
  </r>
  <r>
    <x v="729"/>
    <x v="3"/>
    <x v="17"/>
    <n v="1"/>
    <n v="269.99"/>
    <n v="0.1"/>
    <n v="269.99"/>
    <m/>
    <x v="15"/>
    <x v="1"/>
  </r>
  <r>
    <x v="730"/>
    <x v="0"/>
    <x v="87"/>
    <n v="1"/>
    <n v="349.99"/>
    <n v="0.05"/>
    <n v="349.99"/>
    <m/>
    <x v="80"/>
    <x v="2"/>
  </r>
  <r>
    <x v="730"/>
    <x v="1"/>
    <x v="60"/>
    <n v="1"/>
    <n v="3499.99"/>
    <n v="0.2"/>
    <n v="3499.99"/>
    <m/>
    <x v="53"/>
    <x v="2"/>
  </r>
  <r>
    <x v="730"/>
    <x v="2"/>
    <x v="50"/>
    <n v="2"/>
    <n v="250.99"/>
    <n v="0.2"/>
    <n v="501.98"/>
    <m/>
    <x v="43"/>
    <x v="2"/>
  </r>
  <r>
    <x v="730"/>
    <x v="3"/>
    <x v="61"/>
    <n v="1"/>
    <n v="999.99"/>
    <n v="0.2"/>
    <n v="999.99"/>
    <m/>
    <x v="54"/>
    <x v="2"/>
  </r>
  <r>
    <x v="731"/>
    <x v="0"/>
    <x v="42"/>
    <n v="1"/>
    <n v="5299.99"/>
    <n v="7.0000000000000007E-2"/>
    <n v="5299.99"/>
    <m/>
    <x v="37"/>
    <x v="1"/>
  </r>
  <r>
    <x v="731"/>
    <x v="1"/>
    <x v="4"/>
    <n v="2"/>
    <n v="2899.99"/>
    <n v="7.0000000000000007E-2"/>
    <n v="5799.98"/>
    <m/>
    <x v="4"/>
    <x v="1"/>
  </r>
  <r>
    <x v="732"/>
    <x v="0"/>
    <x v="73"/>
    <n v="1"/>
    <n v="109.99"/>
    <n v="0.05"/>
    <n v="109.99"/>
    <m/>
    <x v="66"/>
    <x v="1"/>
  </r>
  <r>
    <x v="732"/>
    <x v="1"/>
    <x v="66"/>
    <n v="1"/>
    <n v="2699.99"/>
    <n v="0.2"/>
    <n v="2699.99"/>
    <m/>
    <x v="59"/>
    <x v="1"/>
  </r>
  <r>
    <x v="732"/>
    <x v="2"/>
    <x v="48"/>
    <n v="2"/>
    <n v="489.99"/>
    <n v="0.1"/>
    <n v="979.98"/>
    <m/>
    <x v="34"/>
    <x v="1"/>
  </r>
  <r>
    <x v="733"/>
    <x v="0"/>
    <x v="8"/>
    <n v="1"/>
    <n v="599.99"/>
    <n v="0.2"/>
    <n v="599.99"/>
    <m/>
    <x v="3"/>
    <x v="2"/>
  </r>
  <r>
    <x v="733"/>
    <x v="1"/>
    <x v="5"/>
    <n v="1"/>
    <n v="999.99"/>
    <n v="0.05"/>
    <n v="999.99"/>
    <m/>
    <x v="5"/>
    <x v="2"/>
  </r>
  <r>
    <x v="733"/>
    <x v="2"/>
    <x v="73"/>
    <n v="2"/>
    <n v="109.99"/>
    <n v="0.2"/>
    <n v="219.98"/>
    <m/>
    <x v="66"/>
    <x v="2"/>
  </r>
  <r>
    <x v="733"/>
    <x v="3"/>
    <x v="105"/>
    <n v="2"/>
    <n v="346.99"/>
    <n v="0.1"/>
    <n v="693.98"/>
    <m/>
    <x v="97"/>
    <x v="2"/>
  </r>
  <r>
    <x v="734"/>
    <x v="0"/>
    <x v="68"/>
    <n v="2"/>
    <n v="416.99"/>
    <n v="0.1"/>
    <n v="833.98"/>
    <m/>
    <x v="61"/>
    <x v="2"/>
  </r>
  <r>
    <x v="734"/>
    <x v="1"/>
    <x v="2"/>
    <n v="2"/>
    <n v="1549"/>
    <n v="7.0000000000000007E-2"/>
    <n v="3098"/>
    <m/>
    <x v="2"/>
    <x v="2"/>
  </r>
  <r>
    <x v="735"/>
    <x v="0"/>
    <x v="28"/>
    <n v="2"/>
    <n v="5499.99"/>
    <n v="0.05"/>
    <n v="10999.98"/>
    <m/>
    <x v="24"/>
    <x v="1"/>
  </r>
  <r>
    <x v="735"/>
    <x v="1"/>
    <x v="7"/>
    <n v="1"/>
    <n v="429"/>
    <n v="0.1"/>
    <n v="429"/>
    <m/>
    <x v="7"/>
    <x v="1"/>
  </r>
  <r>
    <x v="735"/>
    <x v="2"/>
    <x v="37"/>
    <n v="2"/>
    <n v="3499.99"/>
    <n v="0.2"/>
    <n v="6999.98"/>
    <m/>
    <x v="33"/>
    <x v="1"/>
  </r>
  <r>
    <x v="736"/>
    <x v="0"/>
    <x v="58"/>
    <n v="1"/>
    <n v="875.99"/>
    <n v="0.05"/>
    <n v="875.99"/>
    <m/>
    <x v="51"/>
    <x v="1"/>
  </r>
  <r>
    <x v="736"/>
    <x v="1"/>
    <x v="23"/>
    <n v="2"/>
    <n v="449"/>
    <n v="7.0000000000000007E-2"/>
    <n v="898"/>
    <m/>
    <x v="20"/>
    <x v="1"/>
  </r>
  <r>
    <x v="736"/>
    <x v="2"/>
    <x v="104"/>
    <n v="2"/>
    <n v="799.99"/>
    <n v="7.0000000000000007E-2"/>
    <n v="1599.98"/>
    <m/>
    <x v="96"/>
    <x v="1"/>
  </r>
  <r>
    <x v="736"/>
    <x v="3"/>
    <x v="98"/>
    <n v="1"/>
    <n v="469.99"/>
    <n v="0.2"/>
    <n v="469.99"/>
    <m/>
    <x v="90"/>
    <x v="1"/>
  </r>
  <r>
    <x v="737"/>
    <x v="0"/>
    <x v="90"/>
    <n v="2"/>
    <n v="659.99"/>
    <n v="7.0000000000000007E-2"/>
    <n v="1319.98"/>
    <m/>
    <x v="83"/>
    <x v="0"/>
  </r>
  <r>
    <x v="737"/>
    <x v="1"/>
    <x v="83"/>
    <n v="2"/>
    <n v="549.99"/>
    <n v="0.2"/>
    <n v="1099.98"/>
    <m/>
    <x v="76"/>
    <x v="0"/>
  </r>
  <r>
    <x v="737"/>
    <x v="2"/>
    <x v="22"/>
    <n v="1"/>
    <n v="499.99"/>
    <n v="0.1"/>
    <n v="499.99"/>
    <m/>
    <x v="19"/>
    <x v="0"/>
  </r>
  <r>
    <x v="737"/>
    <x v="3"/>
    <x v="65"/>
    <n v="1"/>
    <n v="3499.99"/>
    <n v="7.0000000000000007E-2"/>
    <n v="3499.99"/>
    <m/>
    <x v="58"/>
    <x v="0"/>
  </r>
  <r>
    <x v="738"/>
    <x v="0"/>
    <x v="5"/>
    <n v="1"/>
    <n v="999.99"/>
    <n v="0.2"/>
    <n v="999.99"/>
    <m/>
    <x v="5"/>
    <x v="1"/>
  </r>
  <r>
    <x v="739"/>
    <x v="0"/>
    <x v="89"/>
    <n v="1"/>
    <n v="1099.99"/>
    <n v="0.05"/>
    <n v="1099.99"/>
    <m/>
    <x v="82"/>
    <x v="1"/>
  </r>
  <r>
    <x v="739"/>
    <x v="1"/>
    <x v="49"/>
    <n v="2"/>
    <n v="249.99"/>
    <n v="0.2"/>
    <n v="499.98"/>
    <m/>
    <x v="42"/>
    <x v="1"/>
  </r>
  <r>
    <x v="739"/>
    <x v="2"/>
    <x v="16"/>
    <n v="1"/>
    <n v="1680.99"/>
    <n v="0.2"/>
    <n v="1680.99"/>
    <m/>
    <x v="14"/>
    <x v="1"/>
  </r>
  <r>
    <x v="739"/>
    <x v="3"/>
    <x v="23"/>
    <n v="1"/>
    <n v="449"/>
    <n v="0.2"/>
    <n v="449"/>
    <m/>
    <x v="20"/>
    <x v="1"/>
  </r>
  <r>
    <x v="739"/>
    <x v="4"/>
    <x v="10"/>
    <n v="2"/>
    <n v="549.99"/>
    <n v="7.0000000000000007E-2"/>
    <n v="1099.98"/>
    <m/>
    <x v="9"/>
    <x v="1"/>
  </r>
  <r>
    <x v="740"/>
    <x v="0"/>
    <x v="71"/>
    <n v="1"/>
    <n v="4999.99"/>
    <n v="0.05"/>
    <n v="4999.99"/>
    <m/>
    <x v="64"/>
    <x v="2"/>
  </r>
  <r>
    <x v="740"/>
    <x v="1"/>
    <x v="35"/>
    <n v="1"/>
    <n v="299.99"/>
    <n v="7.0000000000000007E-2"/>
    <n v="299.99"/>
    <m/>
    <x v="31"/>
    <x v="2"/>
  </r>
  <r>
    <x v="740"/>
    <x v="2"/>
    <x v="20"/>
    <n v="2"/>
    <n v="269.99"/>
    <n v="7.0000000000000007E-2"/>
    <n v="539.98"/>
    <m/>
    <x v="15"/>
    <x v="2"/>
  </r>
  <r>
    <x v="740"/>
    <x v="3"/>
    <x v="28"/>
    <n v="2"/>
    <n v="5499.99"/>
    <n v="0.05"/>
    <n v="10999.98"/>
    <m/>
    <x v="24"/>
    <x v="2"/>
  </r>
  <r>
    <x v="741"/>
    <x v="0"/>
    <x v="92"/>
    <n v="2"/>
    <n v="416.99"/>
    <n v="0.05"/>
    <n v="833.98"/>
    <m/>
    <x v="72"/>
    <x v="2"/>
  </r>
  <r>
    <x v="741"/>
    <x v="1"/>
    <x v="78"/>
    <n v="1"/>
    <n v="869.99"/>
    <n v="7.0000000000000007E-2"/>
    <n v="869.99"/>
    <m/>
    <x v="71"/>
    <x v="2"/>
  </r>
  <r>
    <x v="742"/>
    <x v="0"/>
    <x v="53"/>
    <n v="1"/>
    <n v="761.99"/>
    <n v="0.05"/>
    <n v="761.99"/>
    <m/>
    <x v="46"/>
    <x v="1"/>
  </r>
  <r>
    <x v="743"/>
    <x v="0"/>
    <x v="57"/>
    <n v="2"/>
    <n v="469.99"/>
    <n v="0.2"/>
    <n v="939.98"/>
    <m/>
    <x v="50"/>
    <x v="1"/>
  </r>
  <r>
    <x v="744"/>
    <x v="0"/>
    <x v="43"/>
    <n v="2"/>
    <n v="299.99"/>
    <n v="0.05"/>
    <n v="599.98"/>
    <m/>
    <x v="31"/>
    <x v="1"/>
  </r>
  <r>
    <x v="744"/>
    <x v="1"/>
    <x v="13"/>
    <n v="2"/>
    <n v="269.99"/>
    <n v="0.2"/>
    <n v="539.98"/>
    <m/>
    <x v="12"/>
    <x v="1"/>
  </r>
  <r>
    <x v="744"/>
    <x v="2"/>
    <x v="46"/>
    <n v="1"/>
    <n v="647.99"/>
    <n v="0.1"/>
    <n v="647.99"/>
    <m/>
    <x v="40"/>
    <x v="1"/>
  </r>
  <r>
    <x v="745"/>
    <x v="0"/>
    <x v="40"/>
    <n v="1"/>
    <n v="299.99"/>
    <n v="0.1"/>
    <n v="299.99"/>
    <m/>
    <x v="35"/>
    <x v="0"/>
  </r>
  <r>
    <x v="746"/>
    <x v="0"/>
    <x v="55"/>
    <n v="1"/>
    <n v="470.99"/>
    <n v="7.0000000000000007E-2"/>
    <n v="470.99"/>
    <m/>
    <x v="48"/>
    <x v="0"/>
  </r>
  <r>
    <x v="746"/>
    <x v="1"/>
    <x v="106"/>
    <n v="1"/>
    <n v="149.99"/>
    <n v="0.2"/>
    <n v="149.99"/>
    <m/>
    <x v="98"/>
    <x v="0"/>
  </r>
  <r>
    <x v="746"/>
    <x v="2"/>
    <x v="57"/>
    <n v="2"/>
    <n v="469.99"/>
    <n v="0.1"/>
    <n v="939.98"/>
    <m/>
    <x v="50"/>
    <x v="0"/>
  </r>
  <r>
    <x v="746"/>
    <x v="3"/>
    <x v="89"/>
    <n v="1"/>
    <n v="1099.99"/>
    <n v="7.0000000000000007E-2"/>
    <n v="1099.99"/>
    <m/>
    <x v="82"/>
    <x v="0"/>
  </r>
  <r>
    <x v="747"/>
    <x v="0"/>
    <x v="3"/>
    <n v="2"/>
    <n v="599.99"/>
    <n v="0.1"/>
    <n v="1199.98"/>
    <m/>
    <x v="3"/>
    <x v="2"/>
  </r>
  <r>
    <x v="747"/>
    <x v="1"/>
    <x v="56"/>
    <n v="2"/>
    <n v="149.99"/>
    <n v="0.05"/>
    <n v="299.98"/>
    <m/>
    <x v="49"/>
    <x v="2"/>
  </r>
  <r>
    <x v="747"/>
    <x v="2"/>
    <x v="67"/>
    <n v="1"/>
    <n v="1469.99"/>
    <n v="7.0000000000000007E-2"/>
    <n v="1469.99"/>
    <m/>
    <x v="60"/>
    <x v="2"/>
  </r>
  <r>
    <x v="747"/>
    <x v="3"/>
    <x v="100"/>
    <n v="2"/>
    <n v="832.99"/>
    <n v="0.2"/>
    <n v="1665.98"/>
    <m/>
    <x v="92"/>
    <x v="2"/>
  </r>
  <r>
    <x v="748"/>
    <x v="0"/>
    <x v="11"/>
    <n v="1"/>
    <n v="2999.99"/>
    <n v="0.2"/>
    <n v="2999.99"/>
    <m/>
    <x v="10"/>
    <x v="1"/>
  </r>
  <r>
    <x v="748"/>
    <x v="1"/>
    <x v="76"/>
    <n v="1"/>
    <n v="2499.9899999999998"/>
    <n v="0.05"/>
    <n v="2499.9899999999998"/>
    <m/>
    <x v="69"/>
    <x v="1"/>
  </r>
  <r>
    <x v="748"/>
    <x v="2"/>
    <x v="47"/>
    <n v="1"/>
    <n v="402.99"/>
    <n v="0.2"/>
    <n v="402.99"/>
    <m/>
    <x v="41"/>
    <x v="1"/>
  </r>
  <r>
    <x v="748"/>
    <x v="3"/>
    <x v="24"/>
    <n v="1"/>
    <n v="549.99"/>
    <n v="0.05"/>
    <n v="549.99"/>
    <m/>
    <x v="9"/>
    <x v="1"/>
  </r>
  <r>
    <x v="748"/>
    <x v="4"/>
    <x v="95"/>
    <n v="1"/>
    <n v="4999.99"/>
    <n v="7.0000000000000007E-2"/>
    <n v="4999.99"/>
    <m/>
    <x v="87"/>
    <x v="1"/>
  </r>
  <r>
    <x v="749"/>
    <x v="0"/>
    <x v="31"/>
    <n v="1"/>
    <n v="619.99"/>
    <n v="0.05"/>
    <n v="619.99"/>
    <m/>
    <x v="27"/>
    <x v="2"/>
  </r>
  <r>
    <x v="749"/>
    <x v="1"/>
    <x v="46"/>
    <n v="2"/>
    <n v="647.99"/>
    <n v="0.1"/>
    <n v="1295.98"/>
    <m/>
    <x v="40"/>
    <x v="2"/>
  </r>
  <r>
    <x v="750"/>
    <x v="0"/>
    <x v="78"/>
    <n v="2"/>
    <n v="869.99"/>
    <n v="0.05"/>
    <n v="1739.98"/>
    <m/>
    <x v="71"/>
    <x v="0"/>
  </r>
  <r>
    <x v="751"/>
    <x v="0"/>
    <x v="10"/>
    <n v="2"/>
    <n v="549.99"/>
    <n v="0.05"/>
    <n v="1099.98"/>
    <m/>
    <x v="9"/>
    <x v="1"/>
  </r>
  <r>
    <x v="751"/>
    <x v="1"/>
    <x v="93"/>
    <n v="2"/>
    <n v="1632.99"/>
    <n v="0.05"/>
    <n v="3265.98"/>
    <m/>
    <x v="85"/>
    <x v="1"/>
  </r>
  <r>
    <x v="752"/>
    <x v="0"/>
    <x v="86"/>
    <n v="2"/>
    <n v="533.99"/>
    <n v="7.0000000000000007E-2"/>
    <n v="1067.98"/>
    <m/>
    <x v="79"/>
    <x v="1"/>
  </r>
  <r>
    <x v="752"/>
    <x v="1"/>
    <x v="14"/>
    <n v="2"/>
    <n v="3999.99"/>
    <n v="0.2"/>
    <n v="7999.98"/>
    <m/>
    <x v="13"/>
    <x v="1"/>
  </r>
  <r>
    <x v="752"/>
    <x v="2"/>
    <x v="107"/>
    <n v="2"/>
    <n v="832.99"/>
    <n v="0.1"/>
    <n v="1665.98"/>
    <m/>
    <x v="99"/>
    <x v="1"/>
  </r>
  <r>
    <x v="752"/>
    <x v="3"/>
    <x v="43"/>
    <n v="1"/>
    <n v="299.99"/>
    <n v="7.0000000000000007E-2"/>
    <n v="299.99"/>
    <m/>
    <x v="31"/>
    <x v="1"/>
  </r>
  <r>
    <x v="752"/>
    <x v="4"/>
    <x v="82"/>
    <n v="1"/>
    <n v="250.99"/>
    <n v="0.2"/>
    <n v="250.99"/>
    <m/>
    <x v="75"/>
    <x v="1"/>
  </r>
  <r>
    <x v="753"/>
    <x v="0"/>
    <x v="51"/>
    <n v="2"/>
    <n v="439.99"/>
    <n v="7.0000000000000007E-2"/>
    <n v="879.98"/>
    <m/>
    <x v="44"/>
    <x v="0"/>
  </r>
  <r>
    <x v="753"/>
    <x v="1"/>
    <x v="10"/>
    <n v="2"/>
    <n v="549.99"/>
    <n v="7.0000000000000007E-2"/>
    <n v="1099.98"/>
    <m/>
    <x v="9"/>
    <x v="0"/>
  </r>
  <r>
    <x v="753"/>
    <x v="2"/>
    <x v="5"/>
    <n v="1"/>
    <n v="999.99"/>
    <n v="0.05"/>
    <n v="999.99"/>
    <m/>
    <x v="5"/>
    <x v="0"/>
  </r>
  <r>
    <x v="753"/>
    <x v="3"/>
    <x v="50"/>
    <n v="2"/>
    <n v="250.99"/>
    <n v="0.05"/>
    <n v="501.98"/>
    <m/>
    <x v="43"/>
    <x v="0"/>
  </r>
  <r>
    <x v="753"/>
    <x v="4"/>
    <x v="14"/>
    <n v="1"/>
    <n v="3999.99"/>
    <n v="0.2"/>
    <n v="3999.99"/>
    <m/>
    <x v="13"/>
    <x v="0"/>
  </r>
  <r>
    <x v="754"/>
    <x v="0"/>
    <x v="53"/>
    <n v="2"/>
    <n v="761.99"/>
    <n v="7.0000000000000007E-2"/>
    <n v="1523.98"/>
    <m/>
    <x v="46"/>
    <x v="1"/>
  </r>
  <r>
    <x v="754"/>
    <x v="1"/>
    <x v="52"/>
    <n v="2"/>
    <n v="5299.99"/>
    <n v="0.05"/>
    <n v="10599.98"/>
    <m/>
    <x v="45"/>
    <x v="1"/>
  </r>
  <r>
    <x v="754"/>
    <x v="2"/>
    <x v="94"/>
    <n v="2"/>
    <n v="1999.99"/>
    <n v="0.1"/>
    <n v="3999.98"/>
    <m/>
    <x v="86"/>
    <x v="1"/>
  </r>
  <r>
    <x v="755"/>
    <x v="0"/>
    <x v="38"/>
    <n v="1"/>
    <n v="489.99"/>
    <n v="0.1"/>
    <n v="489.99"/>
    <m/>
    <x v="34"/>
    <x v="1"/>
  </r>
  <r>
    <x v="755"/>
    <x v="1"/>
    <x v="7"/>
    <n v="2"/>
    <n v="429"/>
    <n v="0.05"/>
    <n v="858"/>
    <m/>
    <x v="7"/>
    <x v="1"/>
  </r>
  <r>
    <x v="756"/>
    <x v="0"/>
    <x v="43"/>
    <n v="1"/>
    <n v="299.99"/>
    <n v="0.1"/>
    <n v="299.99"/>
    <m/>
    <x v="31"/>
    <x v="1"/>
  </r>
  <r>
    <x v="757"/>
    <x v="0"/>
    <x v="13"/>
    <n v="2"/>
    <n v="269.99"/>
    <n v="7.0000000000000007E-2"/>
    <n v="539.98"/>
    <m/>
    <x v="12"/>
    <x v="2"/>
  </r>
  <r>
    <x v="757"/>
    <x v="1"/>
    <x v="40"/>
    <n v="1"/>
    <n v="299.99"/>
    <n v="0.1"/>
    <n v="299.99"/>
    <m/>
    <x v="35"/>
    <x v="2"/>
  </r>
  <r>
    <x v="757"/>
    <x v="2"/>
    <x v="97"/>
    <n v="1"/>
    <n v="999.99"/>
    <n v="7.0000000000000007E-2"/>
    <n v="999.99"/>
    <m/>
    <x v="89"/>
    <x v="2"/>
  </r>
  <r>
    <x v="757"/>
    <x v="3"/>
    <x v="105"/>
    <n v="2"/>
    <n v="346.99"/>
    <n v="7.0000000000000007E-2"/>
    <n v="693.98"/>
    <m/>
    <x v="97"/>
    <x v="2"/>
  </r>
  <r>
    <x v="757"/>
    <x v="4"/>
    <x v="36"/>
    <n v="1"/>
    <n v="416.99"/>
    <n v="0.2"/>
    <n v="416.99"/>
    <m/>
    <x v="32"/>
    <x v="2"/>
  </r>
  <r>
    <x v="758"/>
    <x v="0"/>
    <x v="101"/>
    <n v="2"/>
    <n v="209.99"/>
    <n v="0.05"/>
    <n v="419.98"/>
    <m/>
    <x v="93"/>
    <x v="1"/>
  </r>
  <r>
    <x v="758"/>
    <x v="1"/>
    <x v="46"/>
    <n v="1"/>
    <n v="647.99"/>
    <n v="7.0000000000000007E-2"/>
    <n v="647.99"/>
    <m/>
    <x v="40"/>
    <x v="1"/>
  </r>
  <r>
    <x v="759"/>
    <x v="0"/>
    <x v="20"/>
    <n v="2"/>
    <n v="269.99"/>
    <n v="7.0000000000000007E-2"/>
    <n v="539.98"/>
    <m/>
    <x v="15"/>
    <x v="1"/>
  </r>
  <r>
    <x v="759"/>
    <x v="1"/>
    <x v="61"/>
    <n v="2"/>
    <n v="999.99"/>
    <n v="7.0000000000000007E-2"/>
    <n v="1999.98"/>
    <m/>
    <x v="54"/>
    <x v="1"/>
  </r>
  <r>
    <x v="760"/>
    <x v="0"/>
    <x v="52"/>
    <n v="1"/>
    <n v="5299.99"/>
    <n v="7.0000000000000007E-2"/>
    <n v="5299.99"/>
    <m/>
    <x v="45"/>
    <x v="1"/>
  </r>
  <r>
    <x v="760"/>
    <x v="1"/>
    <x v="58"/>
    <n v="2"/>
    <n v="875.99"/>
    <n v="0.2"/>
    <n v="1751.98"/>
    <m/>
    <x v="51"/>
    <x v="1"/>
  </r>
  <r>
    <x v="761"/>
    <x v="0"/>
    <x v="48"/>
    <n v="2"/>
    <n v="489.99"/>
    <n v="0.05"/>
    <n v="979.98"/>
    <m/>
    <x v="34"/>
    <x v="1"/>
  </r>
  <r>
    <x v="762"/>
    <x v="0"/>
    <x v="45"/>
    <n v="1"/>
    <n v="209.99"/>
    <n v="7.0000000000000007E-2"/>
    <n v="209.99"/>
    <m/>
    <x v="39"/>
    <x v="2"/>
  </r>
  <r>
    <x v="762"/>
    <x v="1"/>
    <x v="27"/>
    <n v="1"/>
    <n v="551.99"/>
    <n v="0.1"/>
    <n v="551.99"/>
    <m/>
    <x v="23"/>
    <x v="2"/>
  </r>
  <r>
    <x v="763"/>
    <x v="0"/>
    <x v="66"/>
    <n v="1"/>
    <n v="2699.99"/>
    <n v="7.0000000000000007E-2"/>
    <n v="2699.99"/>
    <m/>
    <x v="59"/>
    <x v="0"/>
  </r>
  <r>
    <x v="763"/>
    <x v="1"/>
    <x v="43"/>
    <n v="2"/>
    <n v="299.99"/>
    <n v="0.05"/>
    <n v="599.98"/>
    <m/>
    <x v="31"/>
    <x v="0"/>
  </r>
  <r>
    <x v="763"/>
    <x v="2"/>
    <x v="89"/>
    <n v="2"/>
    <n v="1099.99"/>
    <n v="7.0000000000000007E-2"/>
    <n v="2199.98"/>
    <m/>
    <x v="82"/>
    <x v="0"/>
  </r>
  <r>
    <x v="764"/>
    <x v="0"/>
    <x v="76"/>
    <n v="2"/>
    <n v="2499.9899999999998"/>
    <n v="0.2"/>
    <n v="4999.9799999999996"/>
    <m/>
    <x v="69"/>
    <x v="0"/>
  </r>
  <r>
    <x v="764"/>
    <x v="1"/>
    <x v="10"/>
    <n v="1"/>
    <n v="549.99"/>
    <n v="7.0000000000000007E-2"/>
    <n v="549.99"/>
    <m/>
    <x v="9"/>
    <x v="0"/>
  </r>
  <r>
    <x v="764"/>
    <x v="2"/>
    <x v="22"/>
    <n v="1"/>
    <n v="499.99"/>
    <n v="0.2"/>
    <n v="499.99"/>
    <m/>
    <x v="19"/>
    <x v="0"/>
  </r>
  <r>
    <x v="764"/>
    <x v="3"/>
    <x v="29"/>
    <n v="1"/>
    <n v="749.99"/>
    <n v="0.2"/>
    <n v="749.99"/>
    <m/>
    <x v="25"/>
    <x v="0"/>
  </r>
  <r>
    <x v="764"/>
    <x v="4"/>
    <x v="105"/>
    <n v="1"/>
    <n v="346.99"/>
    <n v="0.05"/>
    <n v="346.99"/>
    <m/>
    <x v="97"/>
    <x v="0"/>
  </r>
  <r>
    <x v="765"/>
    <x v="0"/>
    <x v="103"/>
    <n v="1"/>
    <n v="470.99"/>
    <n v="0.2"/>
    <n v="470.99"/>
    <m/>
    <x v="95"/>
    <x v="1"/>
  </r>
  <r>
    <x v="766"/>
    <x v="0"/>
    <x v="65"/>
    <n v="1"/>
    <n v="3499.99"/>
    <n v="0.1"/>
    <n v="3499.99"/>
    <m/>
    <x v="58"/>
    <x v="1"/>
  </r>
  <r>
    <x v="766"/>
    <x v="1"/>
    <x v="61"/>
    <n v="1"/>
    <n v="999.99"/>
    <n v="7.0000000000000007E-2"/>
    <n v="999.99"/>
    <m/>
    <x v="54"/>
    <x v="1"/>
  </r>
  <r>
    <x v="766"/>
    <x v="2"/>
    <x v="67"/>
    <n v="2"/>
    <n v="1469.99"/>
    <n v="0.05"/>
    <n v="2939.98"/>
    <m/>
    <x v="60"/>
    <x v="1"/>
  </r>
  <r>
    <x v="766"/>
    <x v="3"/>
    <x v="104"/>
    <n v="2"/>
    <n v="799.99"/>
    <n v="0.05"/>
    <n v="1599.98"/>
    <m/>
    <x v="96"/>
    <x v="1"/>
  </r>
  <r>
    <x v="767"/>
    <x v="0"/>
    <x v="93"/>
    <n v="1"/>
    <n v="1632.99"/>
    <n v="0.2"/>
    <n v="1632.99"/>
    <m/>
    <x v="85"/>
    <x v="1"/>
  </r>
  <r>
    <x v="767"/>
    <x v="1"/>
    <x v="35"/>
    <n v="1"/>
    <n v="299.99"/>
    <n v="0.2"/>
    <n v="299.99"/>
    <m/>
    <x v="31"/>
    <x v="1"/>
  </r>
  <r>
    <x v="768"/>
    <x v="0"/>
    <x v="1"/>
    <n v="1"/>
    <n v="1799.99"/>
    <n v="0.1"/>
    <n v="1799.99"/>
    <m/>
    <x v="1"/>
    <x v="1"/>
  </r>
  <r>
    <x v="768"/>
    <x v="1"/>
    <x v="18"/>
    <n v="2"/>
    <n v="469.99"/>
    <n v="0.05"/>
    <n v="939.98"/>
    <m/>
    <x v="16"/>
    <x v="1"/>
  </r>
  <r>
    <x v="768"/>
    <x v="2"/>
    <x v="107"/>
    <n v="2"/>
    <n v="832.99"/>
    <n v="7.0000000000000007E-2"/>
    <n v="1665.98"/>
    <m/>
    <x v="99"/>
    <x v="1"/>
  </r>
  <r>
    <x v="769"/>
    <x v="0"/>
    <x v="55"/>
    <n v="1"/>
    <n v="470.99"/>
    <n v="0.05"/>
    <n v="470.99"/>
    <m/>
    <x v="48"/>
    <x v="2"/>
  </r>
  <r>
    <x v="769"/>
    <x v="1"/>
    <x v="41"/>
    <n v="1"/>
    <n v="2299.9899999999998"/>
    <n v="0.2"/>
    <n v="2299.9899999999998"/>
    <m/>
    <x v="36"/>
    <x v="2"/>
  </r>
  <r>
    <x v="769"/>
    <x v="2"/>
    <x v="27"/>
    <n v="1"/>
    <n v="551.99"/>
    <n v="0.2"/>
    <n v="551.99"/>
    <m/>
    <x v="23"/>
    <x v="2"/>
  </r>
  <r>
    <x v="769"/>
    <x v="3"/>
    <x v="16"/>
    <n v="2"/>
    <n v="1680.99"/>
    <n v="0.05"/>
    <n v="3361.98"/>
    <m/>
    <x v="14"/>
    <x v="2"/>
  </r>
  <r>
    <x v="770"/>
    <x v="0"/>
    <x v="17"/>
    <n v="2"/>
    <n v="269.99"/>
    <n v="0.2"/>
    <n v="539.98"/>
    <m/>
    <x v="15"/>
    <x v="0"/>
  </r>
  <r>
    <x v="770"/>
    <x v="1"/>
    <x v="54"/>
    <n v="1"/>
    <n v="189.99"/>
    <n v="0.2"/>
    <n v="189.99"/>
    <m/>
    <x v="47"/>
    <x v="0"/>
  </r>
  <r>
    <x v="771"/>
    <x v="0"/>
    <x v="27"/>
    <n v="1"/>
    <n v="551.99"/>
    <n v="7.0000000000000007E-2"/>
    <n v="551.99"/>
    <m/>
    <x v="23"/>
    <x v="1"/>
  </r>
  <r>
    <x v="772"/>
    <x v="0"/>
    <x v="102"/>
    <n v="1"/>
    <n v="209.99"/>
    <n v="0.1"/>
    <n v="209.99"/>
    <m/>
    <x v="94"/>
    <x v="1"/>
  </r>
  <r>
    <x v="772"/>
    <x v="1"/>
    <x v="15"/>
    <n v="1"/>
    <n v="269.99"/>
    <n v="0.05"/>
    <n v="269.99"/>
    <m/>
    <x v="12"/>
    <x v="1"/>
  </r>
  <r>
    <x v="772"/>
    <x v="2"/>
    <x v="7"/>
    <n v="2"/>
    <n v="429"/>
    <n v="0.2"/>
    <n v="858"/>
    <m/>
    <x v="7"/>
    <x v="1"/>
  </r>
  <r>
    <x v="772"/>
    <x v="3"/>
    <x v="57"/>
    <n v="2"/>
    <n v="469.99"/>
    <n v="7.0000000000000007E-2"/>
    <n v="939.98"/>
    <m/>
    <x v="50"/>
    <x v="1"/>
  </r>
  <r>
    <x v="773"/>
    <x v="0"/>
    <x v="105"/>
    <n v="1"/>
    <n v="346.99"/>
    <n v="0.05"/>
    <n v="346.99"/>
    <m/>
    <x v="97"/>
    <x v="1"/>
  </r>
  <r>
    <x v="773"/>
    <x v="1"/>
    <x v="107"/>
    <n v="2"/>
    <n v="832.99"/>
    <n v="0.05"/>
    <n v="1665.98"/>
    <m/>
    <x v="99"/>
    <x v="1"/>
  </r>
  <r>
    <x v="773"/>
    <x v="2"/>
    <x v="0"/>
    <n v="1"/>
    <n v="599.99"/>
    <n v="0.2"/>
    <n v="599.99"/>
    <m/>
    <x v="0"/>
    <x v="1"/>
  </r>
  <r>
    <x v="773"/>
    <x v="3"/>
    <x v="30"/>
    <n v="1"/>
    <n v="749.99"/>
    <n v="0.05"/>
    <n v="749.99"/>
    <m/>
    <x v="26"/>
    <x v="1"/>
  </r>
  <r>
    <x v="773"/>
    <x v="4"/>
    <x v="71"/>
    <n v="2"/>
    <n v="4999.99"/>
    <n v="0.1"/>
    <n v="9999.98"/>
    <m/>
    <x v="64"/>
    <x v="1"/>
  </r>
  <r>
    <x v="774"/>
    <x v="0"/>
    <x v="62"/>
    <n v="1"/>
    <n v="1499.99"/>
    <n v="7.0000000000000007E-2"/>
    <n v="1499.99"/>
    <m/>
    <x v="55"/>
    <x v="1"/>
  </r>
  <r>
    <x v="775"/>
    <x v="0"/>
    <x v="76"/>
    <n v="1"/>
    <n v="2499.9899999999998"/>
    <n v="0.2"/>
    <n v="2499.9899999999998"/>
    <m/>
    <x v="69"/>
    <x v="1"/>
  </r>
  <r>
    <x v="775"/>
    <x v="1"/>
    <x v="41"/>
    <n v="2"/>
    <n v="2299.9899999999998"/>
    <n v="0.2"/>
    <n v="4599.9799999999996"/>
    <m/>
    <x v="36"/>
    <x v="1"/>
  </r>
  <r>
    <x v="775"/>
    <x v="2"/>
    <x v="68"/>
    <n v="1"/>
    <n v="416.99"/>
    <n v="0.1"/>
    <n v="416.99"/>
    <m/>
    <x v="61"/>
    <x v="1"/>
  </r>
  <r>
    <x v="775"/>
    <x v="3"/>
    <x v="100"/>
    <n v="1"/>
    <n v="832.99"/>
    <n v="0.1"/>
    <n v="832.99"/>
    <m/>
    <x v="92"/>
    <x v="1"/>
  </r>
  <r>
    <x v="776"/>
    <x v="0"/>
    <x v="21"/>
    <n v="1"/>
    <n v="1320.99"/>
    <n v="0.2"/>
    <n v="1320.99"/>
    <m/>
    <x v="18"/>
    <x v="1"/>
  </r>
  <r>
    <x v="776"/>
    <x v="1"/>
    <x v="14"/>
    <n v="2"/>
    <n v="3999.99"/>
    <n v="0.2"/>
    <n v="7999.98"/>
    <m/>
    <x v="13"/>
    <x v="1"/>
  </r>
  <r>
    <x v="776"/>
    <x v="2"/>
    <x v="6"/>
    <n v="1"/>
    <n v="749.99"/>
    <n v="0.2"/>
    <n v="749.99"/>
    <m/>
    <x v="6"/>
    <x v="1"/>
  </r>
  <r>
    <x v="777"/>
    <x v="0"/>
    <x v="38"/>
    <n v="1"/>
    <n v="489.99"/>
    <n v="0.1"/>
    <n v="489.99"/>
    <m/>
    <x v="34"/>
    <x v="2"/>
  </r>
  <r>
    <x v="777"/>
    <x v="1"/>
    <x v="25"/>
    <n v="1"/>
    <n v="329.99"/>
    <n v="0.05"/>
    <n v="329.99"/>
    <m/>
    <x v="21"/>
    <x v="2"/>
  </r>
  <r>
    <x v="778"/>
    <x v="0"/>
    <x v="70"/>
    <n v="1"/>
    <n v="339.99"/>
    <n v="0.05"/>
    <n v="339.99"/>
    <m/>
    <x v="63"/>
    <x v="1"/>
  </r>
  <r>
    <x v="778"/>
    <x v="1"/>
    <x v="45"/>
    <n v="2"/>
    <n v="209.99"/>
    <n v="0.2"/>
    <n v="419.98"/>
    <m/>
    <x v="39"/>
    <x v="1"/>
  </r>
  <r>
    <x v="778"/>
    <x v="2"/>
    <x v="42"/>
    <n v="1"/>
    <n v="5299.99"/>
    <n v="0.2"/>
    <n v="5299.99"/>
    <m/>
    <x v="37"/>
    <x v="1"/>
  </r>
  <r>
    <x v="778"/>
    <x v="3"/>
    <x v="1"/>
    <n v="1"/>
    <n v="1799.99"/>
    <n v="0.2"/>
    <n v="1799.99"/>
    <m/>
    <x v="1"/>
    <x v="1"/>
  </r>
  <r>
    <x v="778"/>
    <x v="4"/>
    <x v="25"/>
    <n v="1"/>
    <n v="329.99"/>
    <n v="0.2"/>
    <n v="329.99"/>
    <m/>
    <x v="21"/>
    <x v="1"/>
  </r>
  <r>
    <x v="779"/>
    <x v="0"/>
    <x v="33"/>
    <n v="1"/>
    <n v="469.99"/>
    <n v="0.1"/>
    <n v="469.99"/>
    <m/>
    <x v="29"/>
    <x v="1"/>
  </r>
  <r>
    <x v="780"/>
    <x v="0"/>
    <x v="36"/>
    <n v="2"/>
    <n v="416.99"/>
    <n v="0.05"/>
    <n v="833.98"/>
    <m/>
    <x v="32"/>
    <x v="1"/>
  </r>
  <r>
    <x v="780"/>
    <x v="1"/>
    <x v="14"/>
    <n v="2"/>
    <n v="3999.99"/>
    <n v="0.2"/>
    <n v="7999.98"/>
    <m/>
    <x v="13"/>
    <x v="1"/>
  </r>
  <r>
    <x v="780"/>
    <x v="2"/>
    <x v="94"/>
    <n v="2"/>
    <n v="1999.99"/>
    <n v="0.1"/>
    <n v="3999.98"/>
    <m/>
    <x v="86"/>
    <x v="1"/>
  </r>
  <r>
    <x v="781"/>
    <x v="0"/>
    <x v="0"/>
    <n v="2"/>
    <n v="599.99"/>
    <n v="7.0000000000000007E-2"/>
    <n v="1199.98"/>
    <m/>
    <x v="0"/>
    <x v="1"/>
  </r>
  <r>
    <x v="781"/>
    <x v="1"/>
    <x v="94"/>
    <n v="1"/>
    <n v="1999.99"/>
    <n v="7.0000000000000007E-2"/>
    <n v="1999.99"/>
    <m/>
    <x v="86"/>
    <x v="1"/>
  </r>
  <r>
    <x v="781"/>
    <x v="2"/>
    <x v="40"/>
    <n v="1"/>
    <n v="299.99"/>
    <n v="7.0000000000000007E-2"/>
    <n v="299.99"/>
    <m/>
    <x v="35"/>
    <x v="1"/>
  </r>
  <r>
    <x v="781"/>
    <x v="3"/>
    <x v="3"/>
    <n v="2"/>
    <n v="599.99"/>
    <n v="0.2"/>
    <n v="1199.98"/>
    <m/>
    <x v="3"/>
    <x v="1"/>
  </r>
  <r>
    <x v="782"/>
    <x v="0"/>
    <x v="102"/>
    <n v="1"/>
    <n v="209.99"/>
    <n v="0.2"/>
    <n v="209.99"/>
    <m/>
    <x v="94"/>
    <x v="0"/>
  </r>
  <r>
    <x v="782"/>
    <x v="1"/>
    <x v="13"/>
    <n v="2"/>
    <n v="269.99"/>
    <n v="0.05"/>
    <n v="539.98"/>
    <m/>
    <x v="12"/>
    <x v="0"/>
  </r>
  <r>
    <x v="782"/>
    <x v="2"/>
    <x v="49"/>
    <n v="1"/>
    <n v="249.99"/>
    <n v="0.05"/>
    <n v="249.99"/>
    <m/>
    <x v="42"/>
    <x v="0"/>
  </r>
  <r>
    <x v="782"/>
    <x v="3"/>
    <x v="61"/>
    <n v="1"/>
    <n v="999.99"/>
    <n v="0.1"/>
    <n v="999.99"/>
    <m/>
    <x v="54"/>
    <x v="0"/>
  </r>
  <r>
    <x v="783"/>
    <x v="0"/>
    <x v="13"/>
    <n v="1"/>
    <n v="269.99"/>
    <n v="7.0000000000000007E-2"/>
    <n v="269.99"/>
    <m/>
    <x v="12"/>
    <x v="1"/>
  </r>
  <r>
    <x v="783"/>
    <x v="1"/>
    <x v="31"/>
    <n v="2"/>
    <n v="619.99"/>
    <n v="0.1"/>
    <n v="1239.98"/>
    <m/>
    <x v="27"/>
    <x v="1"/>
  </r>
  <r>
    <x v="783"/>
    <x v="2"/>
    <x v="3"/>
    <n v="1"/>
    <n v="599.99"/>
    <n v="0.2"/>
    <n v="599.99"/>
    <m/>
    <x v="3"/>
    <x v="1"/>
  </r>
  <r>
    <x v="784"/>
    <x v="0"/>
    <x v="64"/>
    <n v="2"/>
    <n v="2599.9899999999998"/>
    <n v="0.2"/>
    <n v="5199.9799999999996"/>
    <m/>
    <x v="57"/>
    <x v="0"/>
  </r>
  <r>
    <x v="784"/>
    <x v="1"/>
    <x v="95"/>
    <n v="1"/>
    <n v="4999.99"/>
    <n v="7.0000000000000007E-2"/>
    <n v="4999.99"/>
    <m/>
    <x v="87"/>
    <x v="0"/>
  </r>
  <r>
    <x v="784"/>
    <x v="2"/>
    <x v="22"/>
    <n v="1"/>
    <n v="499.99"/>
    <n v="7.0000000000000007E-2"/>
    <n v="499.99"/>
    <m/>
    <x v="19"/>
    <x v="0"/>
  </r>
  <r>
    <x v="785"/>
    <x v="0"/>
    <x v="53"/>
    <n v="1"/>
    <n v="761.99"/>
    <n v="0.05"/>
    <n v="761.99"/>
    <m/>
    <x v="46"/>
    <x v="1"/>
  </r>
  <r>
    <x v="786"/>
    <x v="0"/>
    <x v="80"/>
    <n v="2"/>
    <n v="6499.99"/>
    <n v="7.0000000000000007E-2"/>
    <n v="12999.98"/>
    <m/>
    <x v="73"/>
    <x v="2"/>
  </r>
  <r>
    <x v="786"/>
    <x v="1"/>
    <x v="82"/>
    <n v="2"/>
    <n v="250.99"/>
    <n v="0.1"/>
    <n v="501.98"/>
    <m/>
    <x v="75"/>
    <x v="2"/>
  </r>
  <r>
    <x v="787"/>
    <x v="0"/>
    <x v="74"/>
    <n v="1"/>
    <n v="1499.99"/>
    <n v="0.2"/>
    <n v="1499.99"/>
    <m/>
    <x v="67"/>
    <x v="2"/>
  </r>
  <r>
    <x v="787"/>
    <x v="1"/>
    <x v="23"/>
    <n v="1"/>
    <n v="449"/>
    <n v="0.1"/>
    <n v="449"/>
    <m/>
    <x v="20"/>
    <x v="2"/>
  </r>
  <r>
    <x v="787"/>
    <x v="2"/>
    <x v="17"/>
    <n v="1"/>
    <n v="269.99"/>
    <n v="0.05"/>
    <n v="269.99"/>
    <m/>
    <x v="15"/>
    <x v="2"/>
  </r>
  <r>
    <x v="788"/>
    <x v="0"/>
    <x v="96"/>
    <n v="2"/>
    <n v="489.99"/>
    <n v="0.2"/>
    <n v="979.98"/>
    <m/>
    <x v="88"/>
    <x v="1"/>
  </r>
  <r>
    <x v="788"/>
    <x v="1"/>
    <x v="101"/>
    <n v="2"/>
    <n v="209.99"/>
    <n v="7.0000000000000007E-2"/>
    <n v="419.98"/>
    <m/>
    <x v="93"/>
    <x v="1"/>
  </r>
  <r>
    <x v="789"/>
    <x v="0"/>
    <x v="37"/>
    <n v="2"/>
    <n v="3499.99"/>
    <n v="7.0000000000000007E-2"/>
    <n v="6999.98"/>
    <m/>
    <x v="33"/>
    <x v="1"/>
  </r>
  <r>
    <x v="789"/>
    <x v="1"/>
    <x v="87"/>
    <n v="1"/>
    <n v="349.99"/>
    <n v="0.1"/>
    <n v="349.99"/>
    <m/>
    <x v="80"/>
    <x v="1"/>
  </r>
  <r>
    <x v="790"/>
    <x v="0"/>
    <x v="59"/>
    <n v="1"/>
    <n v="3199.99"/>
    <n v="0.2"/>
    <n v="3199.99"/>
    <m/>
    <x v="52"/>
    <x v="1"/>
  </r>
  <r>
    <x v="790"/>
    <x v="1"/>
    <x v="22"/>
    <n v="2"/>
    <n v="499.99"/>
    <n v="7.0000000000000007E-2"/>
    <n v="999.98"/>
    <m/>
    <x v="19"/>
    <x v="1"/>
  </r>
  <r>
    <x v="791"/>
    <x v="0"/>
    <x v="3"/>
    <n v="2"/>
    <n v="599.99"/>
    <n v="0.2"/>
    <n v="1199.98"/>
    <m/>
    <x v="3"/>
    <x v="1"/>
  </r>
  <r>
    <x v="791"/>
    <x v="1"/>
    <x v="62"/>
    <n v="1"/>
    <n v="1499.99"/>
    <n v="0.2"/>
    <n v="1499.99"/>
    <m/>
    <x v="55"/>
    <x v="1"/>
  </r>
  <r>
    <x v="791"/>
    <x v="2"/>
    <x v="28"/>
    <n v="1"/>
    <n v="5499.99"/>
    <n v="0.2"/>
    <n v="5499.99"/>
    <m/>
    <x v="24"/>
    <x v="1"/>
  </r>
  <r>
    <x v="791"/>
    <x v="3"/>
    <x v="34"/>
    <n v="1"/>
    <n v="999.99"/>
    <n v="0.05"/>
    <n v="999.99"/>
    <m/>
    <x v="30"/>
    <x v="1"/>
  </r>
  <r>
    <x v="791"/>
    <x v="4"/>
    <x v="6"/>
    <n v="1"/>
    <n v="749.99"/>
    <n v="0.2"/>
    <n v="749.99"/>
    <m/>
    <x v="6"/>
    <x v="1"/>
  </r>
  <r>
    <x v="792"/>
    <x v="0"/>
    <x v="91"/>
    <n v="1"/>
    <n v="1559.99"/>
    <n v="0.05"/>
    <n v="1559.99"/>
    <m/>
    <x v="84"/>
    <x v="1"/>
  </r>
  <r>
    <x v="792"/>
    <x v="1"/>
    <x v="43"/>
    <n v="2"/>
    <n v="299.99"/>
    <n v="0.05"/>
    <n v="599.98"/>
    <m/>
    <x v="31"/>
    <x v="1"/>
  </r>
  <r>
    <x v="792"/>
    <x v="2"/>
    <x v="85"/>
    <n v="2"/>
    <n v="599.99"/>
    <n v="0.05"/>
    <n v="1199.98"/>
    <m/>
    <x v="78"/>
    <x v="1"/>
  </r>
  <r>
    <x v="793"/>
    <x v="0"/>
    <x v="67"/>
    <n v="2"/>
    <n v="1469.99"/>
    <n v="0.05"/>
    <n v="2939.98"/>
    <m/>
    <x v="60"/>
    <x v="1"/>
  </r>
  <r>
    <x v="793"/>
    <x v="1"/>
    <x v="39"/>
    <n v="1"/>
    <n v="449.99"/>
    <n v="0.2"/>
    <n v="449.99"/>
    <m/>
    <x v="22"/>
    <x v="1"/>
  </r>
  <r>
    <x v="793"/>
    <x v="2"/>
    <x v="7"/>
    <n v="1"/>
    <n v="429"/>
    <n v="7.0000000000000007E-2"/>
    <n v="429"/>
    <m/>
    <x v="7"/>
    <x v="1"/>
  </r>
  <r>
    <x v="793"/>
    <x v="3"/>
    <x v="76"/>
    <n v="1"/>
    <n v="2499.9899999999998"/>
    <n v="0.1"/>
    <n v="2499.9899999999998"/>
    <m/>
    <x v="69"/>
    <x v="1"/>
  </r>
  <r>
    <x v="794"/>
    <x v="0"/>
    <x v="43"/>
    <n v="2"/>
    <n v="299.99"/>
    <n v="0.05"/>
    <n v="599.98"/>
    <m/>
    <x v="31"/>
    <x v="1"/>
  </r>
  <r>
    <x v="794"/>
    <x v="1"/>
    <x v="40"/>
    <n v="2"/>
    <n v="299.99"/>
    <n v="0.05"/>
    <n v="599.98"/>
    <m/>
    <x v="35"/>
    <x v="1"/>
  </r>
  <r>
    <x v="795"/>
    <x v="0"/>
    <x v="18"/>
    <n v="2"/>
    <n v="469.99"/>
    <n v="0.2"/>
    <n v="939.98"/>
    <m/>
    <x v="16"/>
    <x v="2"/>
  </r>
  <r>
    <x v="796"/>
    <x v="0"/>
    <x v="16"/>
    <n v="1"/>
    <n v="1680.99"/>
    <n v="7.0000000000000007E-2"/>
    <n v="1680.99"/>
    <m/>
    <x v="14"/>
    <x v="1"/>
  </r>
  <r>
    <x v="796"/>
    <x v="1"/>
    <x v="79"/>
    <n v="1"/>
    <n v="416.99"/>
    <n v="0.05"/>
    <n v="416.99"/>
    <m/>
    <x v="72"/>
    <x v="1"/>
  </r>
  <r>
    <x v="796"/>
    <x v="2"/>
    <x v="51"/>
    <n v="1"/>
    <n v="439.99"/>
    <n v="0.1"/>
    <n v="439.99"/>
    <m/>
    <x v="44"/>
    <x v="1"/>
  </r>
  <r>
    <x v="796"/>
    <x v="3"/>
    <x v="59"/>
    <n v="2"/>
    <n v="3199.99"/>
    <n v="0.05"/>
    <n v="6399.98"/>
    <m/>
    <x v="52"/>
    <x v="1"/>
  </r>
  <r>
    <x v="796"/>
    <x v="4"/>
    <x v="37"/>
    <n v="2"/>
    <n v="3499.99"/>
    <n v="0.1"/>
    <n v="6999.98"/>
    <m/>
    <x v="33"/>
    <x v="1"/>
  </r>
  <r>
    <x v="797"/>
    <x v="0"/>
    <x v="19"/>
    <n v="1"/>
    <n v="299.99"/>
    <n v="0.1"/>
    <n v="299.99"/>
    <m/>
    <x v="17"/>
    <x v="0"/>
  </r>
  <r>
    <x v="797"/>
    <x v="1"/>
    <x v="45"/>
    <n v="1"/>
    <n v="209.99"/>
    <n v="0.05"/>
    <n v="209.99"/>
    <m/>
    <x v="39"/>
    <x v="0"/>
  </r>
  <r>
    <x v="797"/>
    <x v="2"/>
    <x v="87"/>
    <n v="2"/>
    <n v="349.99"/>
    <n v="7.0000000000000007E-2"/>
    <n v="699.98"/>
    <m/>
    <x v="80"/>
    <x v="0"/>
  </r>
  <r>
    <x v="797"/>
    <x v="3"/>
    <x v="41"/>
    <n v="1"/>
    <n v="2299.9899999999998"/>
    <n v="0.2"/>
    <n v="2299.9899999999998"/>
    <m/>
    <x v="36"/>
    <x v="0"/>
  </r>
  <r>
    <x v="797"/>
    <x v="4"/>
    <x v="8"/>
    <n v="2"/>
    <n v="599.99"/>
    <n v="0.05"/>
    <n v="1199.98"/>
    <m/>
    <x v="3"/>
    <x v="0"/>
  </r>
  <r>
    <x v="798"/>
    <x v="0"/>
    <x v="21"/>
    <n v="2"/>
    <n v="1320.99"/>
    <n v="0.1"/>
    <n v="2641.98"/>
    <m/>
    <x v="18"/>
    <x v="0"/>
  </r>
  <r>
    <x v="798"/>
    <x v="1"/>
    <x v="98"/>
    <n v="2"/>
    <n v="469.99"/>
    <n v="0.05"/>
    <n v="939.98"/>
    <m/>
    <x v="90"/>
    <x v="0"/>
  </r>
  <r>
    <x v="798"/>
    <x v="2"/>
    <x v="61"/>
    <n v="2"/>
    <n v="999.99"/>
    <n v="7.0000000000000007E-2"/>
    <n v="1999.98"/>
    <m/>
    <x v="54"/>
    <x v="0"/>
  </r>
  <r>
    <x v="798"/>
    <x v="3"/>
    <x v="65"/>
    <n v="1"/>
    <n v="3499.99"/>
    <n v="0.1"/>
    <n v="3499.99"/>
    <m/>
    <x v="58"/>
    <x v="0"/>
  </r>
  <r>
    <x v="798"/>
    <x v="4"/>
    <x v="71"/>
    <n v="2"/>
    <n v="4999.99"/>
    <n v="7.0000000000000007E-2"/>
    <n v="9999.98"/>
    <m/>
    <x v="64"/>
    <x v="0"/>
  </r>
  <r>
    <x v="799"/>
    <x v="0"/>
    <x v="105"/>
    <n v="2"/>
    <n v="346.99"/>
    <n v="0.1"/>
    <n v="693.98"/>
    <m/>
    <x v="97"/>
    <x v="1"/>
  </r>
  <r>
    <x v="799"/>
    <x v="1"/>
    <x v="59"/>
    <n v="1"/>
    <n v="3199.99"/>
    <n v="7.0000000000000007E-2"/>
    <n v="3199.99"/>
    <m/>
    <x v="52"/>
    <x v="1"/>
  </r>
  <r>
    <x v="799"/>
    <x v="2"/>
    <x v="18"/>
    <n v="2"/>
    <n v="469.99"/>
    <n v="0.05"/>
    <n v="939.98"/>
    <m/>
    <x v="16"/>
    <x v="1"/>
  </r>
  <r>
    <x v="799"/>
    <x v="3"/>
    <x v="58"/>
    <n v="1"/>
    <n v="875.99"/>
    <n v="0.1"/>
    <n v="875.99"/>
    <m/>
    <x v="51"/>
    <x v="1"/>
  </r>
  <r>
    <x v="799"/>
    <x v="4"/>
    <x v="43"/>
    <n v="2"/>
    <n v="299.99"/>
    <n v="0.05"/>
    <n v="599.98"/>
    <m/>
    <x v="31"/>
    <x v="1"/>
  </r>
  <r>
    <x v="800"/>
    <x v="0"/>
    <x v="70"/>
    <n v="1"/>
    <n v="339.99"/>
    <n v="7.0000000000000007E-2"/>
    <n v="339.99"/>
    <m/>
    <x v="63"/>
    <x v="0"/>
  </r>
  <r>
    <x v="801"/>
    <x v="0"/>
    <x v="34"/>
    <n v="1"/>
    <n v="999.99"/>
    <n v="0.05"/>
    <n v="999.99"/>
    <m/>
    <x v="30"/>
    <x v="1"/>
  </r>
  <r>
    <x v="801"/>
    <x v="1"/>
    <x v="107"/>
    <n v="2"/>
    <n v="832.99"/>
    <n v="0.2"/>
    <n v="1665.98"/>
    <m/>
    <x v="99"/>
    <x v="1"/>
  </r>
  <r>
    <x v="801"/>
    <x v="2"/>
    <x v="95"/>
    <n v="1"/>
    <n v="4999.99"/>
    <n v="0.1"/>
    <n v="4999.99"/>
    <m/>
    <x v="87"/>
    <x v="1"/>
  </r>
  <r>
    <x v="801"/>
    <x v="3"/>
    <x v="76"/>
    <n v="1"/>
    <n v="2499.9899999999998"/>
    <n v="0.05"/>
    <n v="2499.9899999999998"/>
    <m/>
    <x v="69"/>
    <x v="1"/>
  </r>
  <r>
    <x v="802"/>
    <x v="0"/>
    <x v="103"/>
    <n v="1"/>
    <n v="470.99"/>
    <n v="7.0000000000000007E-2"/>
    <n v="470.99"/>
    <m/>
    <x v="95"/>
    <x v="2"/>
  </r>
  <r>
    <x v="802"/>
    <x v="1"/>
    <x v="58"/>
    <n v="2"/>
    <n v="875.99"/>
    <n v="0.05"/>
    <n v="1751.98"/>
    <m/>
    <x v="51"/>
    <x v="2"/>
  </r>
  <r>
    <x v="802"/>
    <x v="2"/>
    <x v="48"/>
    <n v="1"/>
    <n v="489.99"/>
    <n v="7.0000000000000007E-2"/>
    <n v="489.99"/>
    <m/>
    <x v="34"/>
    <x v="2"/>
  </r>
  <r>
    <x v="802"/>
    <x v="3"/>
    <x v="56"/>
    <n v="2"/>
    <n v="149.99"/>
    <n v="0.05"/>
    <n v="299.98"/>
    <m/>
    <x v="49"/>
    <x v="2"/>
  </r>
  <r>
    <x v="803"/>
    <x v="0"/>
    <x v="84"/>
    <n v="2"/>
    <n v="209.99"/>
    <n v="0.2"/>
    <n v="419.98"/>
    <m/>
    <x v="77"/>
    <x v="1"/>
  </r>
  <r>
    <x v="803"/>
    <x v="1"/>
    <x v="29"/>
    <n v="1"/>
    <n v="749.99"/>
    <n v="7.0000000000000007E-2"/>
    <n v="749.99"/>
    <m/>
    <x v="25"/>
    <x v="1"/>
  </r>
  <r>
    <x v="803"/>
    <x v="2"/>
    <x v="69"/>
    <n v="2"/>
    <n v="5999.99"/>
    <n v="0.05"/>
    <n v="11999.98"/>
    <m/>
    <x v="62"/>
    <x v="1"/>
  </r>
  <r>
    <x v="804"/>
    <x v="0"/>
    <x v="24"/>
    <n v="1"/>
    <n v="549.99"/>
    <n v="0.05"/>
    <n v="549.99"/>
    <m/>
    <x v="9"/>
    <x v="1"/>
  </r>
  <r>
    <x v="804"/>
    <x v="1"/>
    <x v="57"/>
    <n v="2"/>
    <n v="469.99"/>
    <n v="0.2"/>
    <n v="939.98"/>
    <m/>
    <x v="50"/>
    <x v="1"/>
  </r>
  <r>
    <x v="804"/>
    <x v="2"/>
    <x v="37"/>
    <n v="2"/>
    <n v="3499.99"/>
    <n v="0.2"/>
    <n v="6999.98"/>
    <m/>
    <x v="33"/>
    <x v="1"/>
  </r>
  <r>
    <x v="804"/>
    <x v="3"/>
    <x v="33"/>
    <n v="1"/>
    <n v="469.99"/>
    <n v="7.0000000000000007E-2"/>
    <n v="469.99"/>
    <m/>
    <x v="29"/>
    <x v="1"/>
  </r>
  <r>
    <x v="804"/>
    <x v="4"/>
    <x v="18"/>
    <n v="2"/>
    <n v="469.99"/>
    <n v="0.05"/>
    <n v="939.98"/>
    <m/>
    <x v="16"/>
    <x v="1"/>
  </r>
  <r>
    <x v="805"/>
    <x v="0"/>
    <x v="101"/>
    <n v="2"/>
    <n v="209.99"/>
    <n v="0.1"/>
    <n v="419.98"/>
    <m/>
    <x v="93"/>
    <x v="1"/>
  </r>
  <r>
    <x v="805"/>
    <x v="1"/>
    <x v="44"/>
    <n v="1"/>
    <n v="349.99"/>
    <n v="0.2"/>
    <n v="349.99"/>
    <m/>
    <x v="38"/>
    <x v="1"/>
  </r>
  <r>
    <x v="805"/>
    <x v="2"/>
    <x v="104"/>
    <n v="2"/>
    <n v="799.99"/>
    <n v="0.1"/>
    <n v="1599.98"/>
    <m/>
    <x v="96"/>
    <x v="1"/>
  </r>
  <r>
    <x v="805"/>
    <x v="3"/>
    <x v="90"/>
    <n v="2"/>
    <n v="659.99"/>
    <n v="0.2"/>
    <n v="1319.98"/>
    <m/>
    <x v="83"/>
    <x v="1"/>
  </r>
  <r>
    <x v="805"/>
    <x v="4"/>
    <x v="87"/>
    <n v="2"/>
    <n v="349.99"/>
    <n v="7.0000000000000007E-2"/>
    <n v="699.98"/>
    <m/>
    <x v="80"/>
    <x v="1"/>
  </r>
  <r>
    <x v="806"/>
    <x v="0"/>
    <x v="20"/>
    <n v="2"/>
    <n v="269.99"/>
    <n v="0.2"/>
    <n v="539.98"/>
    <m/>
    <x v="15"/>
    <x v="1"/>
  </r>
  <r>
    <x v="806"/>
    <x v="1"/>
    <x v="18"/>
    <n v="1"/>
    <n v="469.99"/>
    <n v="7.0000000000000007E-2"/>
    <n v="469.99"/>
    <m/>
    <x v="16"/>
    <x v="1"/>
  </r>
  <r>
    <x v="806"/>
    <x v="2"/>
    <x v="5"/>
    <n v="2"/>
    <n v="999.99"/>
    <n v="7.0000000000000007E-2"/>
    <n v="1999.98"/>
    <m/>
    <x v="5"/>
    <x v="1"/>
  </r>
  <r>
    <x v="806"/>
    <x v="3"/>
    <x v="11"/>
    <n v="2"/>
    <n v="2999.99"/>
    <n v="0.2"/>
    <n v="5999.98"/>
    <m/>
    <x v="10"/>
    <x v="1"/>
  </r>
  <r>
    <x v="806"/>
    <x v="4"/>
    <x v="3"/>
    <n v="1"/>
    <n v="599.99"/>
    <n v="0.2"/>
    <n v="599.99"/>
    <m/>
    <x v="3"/>
    <x v="1"/>
  </r>
  <r>
    <x v="807"/>
    <x v="0"/>
    <x v="81"/>
    <n v="2"/>
    <n v="349.99"/>
    <n v="0.05"/>
    <n v="699.98"/>
    <m/>
    <x v="74"/>
    <x v="1"/>
  </r>
  <r>
    <x v="807"/>
    <x v="1"/>
    <x v="9"/>
    <n v="1"/>
    <n v="449"/>
    <n v="0.05"/>
    <n v="449"/>
    <m/>
    <x v="8"/>
    <x v="1"/>
  </r>
  <r>
    <x v="807"/>
    <x v="2"/>
    <x v="25"/>
    <n v="1"/>
    <n v="329.99"/>
    <n v="0.05"/>
    <n v="329.99"/>
    <m/>
    <x v="21"/>
    <x v="1"/>
  </r>
  <r>
    <x v="807"/>
    <x v="3"/>
    <x v="23"/>
    <n v="2"/>
    <n v="449"/>
    <n v="0.05"/>
    <n v="898"/>
    <m/>
    <x v="20"/>
    <x v="1"/>
  </r>
  <r>
    <x v="808"/>
    <x v="0"/>
    <x v="46"/>
    <n v="1"/>
    <n v="647.99"/>
    <n v="0.1"/>
    <n v="647.99"/>
    <m/>
    <x v="40"/>
    <x v="1"/>
  </r>
  <r>
    <x v="808"/>
    <x v="1"/>
    <x v="8"/>
    <n v="1"/>
    <n v="599.99"/>
    <n v="0.2"/>
    <n v="599.99"/>
    <m/>
    <x v="3"/>
    <x v="1"/>
  </r>
  <r>
    <x v="808"/>
    <x v="2"/>
    <x v="102"/>
    <n v="2"/>
    <n v="209.99"/>
    <n v="0.1"/>
    <n v="419.98"/>
    <m/>
    <x v="94"/>
    <x v="1"/>
  </r>
  <r>
    <x v="809"/>
    <x v="0"/>
    <x v="27"/>
    <n v="2"/>
    <n v="551.99"/>
    <n v="0.05"/>
    <n v="1103.98"/>
    <m/>
    <x v="23"/>
    <x v="2"/>
  </r>
  <r>
    <x v="809"/>
    <x v="1"/>
    <x v="96"/>
    <n v="1"/>
    <n v="489.99"/>
    <n v="0.2"/>
    <n v="489.99"/>
    <m/>
    <x v="88"/>
    <x v="2"/>
  </r>
  <r>
    <x v="809"/>
    <x v="2"/>
    <x v="28"/>
    <n v="1"/>
    <n v="5499.99"/>
    <n v="0.05"/>
    <n v="5499.99"/>
    <m/>
    <x v="24"/>
    <x v="2"/>
  </r>
  <r>
    <x v="809"/>
    <x v="3"/>
    <x v="13"/>
    <n v="1"/>
    <n v="269.99"/>
    <n v="0.2"/>
    <n v="269.99"/>
    <m/>
    <x v="12"/>
    <x v="2"/>
  </r>
  <r>
    <x v="810"/>
    <x v="0"/>
    <x v="78"/>
    <n v="2"/>
    <n v="869.99"/>
    <n v="7.0000000000000007E-2"/>
    <n v="1739.98"/>
    <m/>
    <x v="71"/>
    <x v="1"/>
  </r>
  <r>
    <x v="810"/>
    <x v="1"/>
    <x v="59"/>
    <n v="1"/>
    <n v="3199.99"/>
    <n v="0.2"/>
    <n v="3199.99"/>
    <m/>
    <x v="52"/>
    <x v="1"/>
  </r>
  <r>
    <x v="810"/>
    <x v="2"/>
    <x v="63"/>
    <n v="1"/>
    <n v="659.99"/>
    <n v="7.0000000000000007E-2"/>
    <n v="659.99"/>
    <m/>
    <x v="56"/>
    <x v="1"/>
  </r>
  <r>
    <x v="810"/>
    <x v="3"/>
    <x v="82"/>
    <n v="1"/>
    <n v="250.99"/>
    <n v="0.1"/>
    <n v="250.99"/>
    <m/>
    <x v="75"/>
    <x v="1"/>
  </r>
  <r>
    <x v="811"/>
    <x v="0"/>
    <x v="35"/>
    <n v="2"/>
    <n v="299.99"/>
    <n v="0.1"/>
    <n v="599.98"/>
    <m/>
    <x v="31"/>
    <x v="1"/>
  </r>
  <r>
    <x v="811"/>
    <x v="1"/>
    <x v="95"/>
    <n v="1"/>
    <n v="4999.99"/>
    <n v="0.2"/>
    <n v="4999.99"/>
    <m/>
    <x v="87"/>
    <x v="1"/>
  </r>
  <r>
    <x v="812"/>
    <x v="0"/>
    <x v="81"/>
    <n v="2"/>
    <n v="349.99"/>
    <n v="0.1"/>
    <n v="699.98"/>
    <m/>
    <x v="74"/>
    <x v="2"/>
  </r>
  <r>
    <x v="812"/>
    <x v="1"/>
    <x v="25"/>
    <n v="2"/>
    <n v="329.99"/>
    <n v="0.2"/>
    <n v="659.98"/>
    <m/>
    <x v="21"/>
    <x v="2"/>
  </r>
  <r>
    <x v="812"/>
    <x v="2"/>
    <x v="57"/>
    <n v="2"/>
    <n v="469.99"/>
    <n v="0.2"/>
    <n v="939.98"/>
    <m/>
    <x v="50"/>
    <x v="2"/>
  </r>
  <r>
    <x v="812"/>
    <x v="3"/>
    <x v="8"/>
    <n v="2"/>
    <n v="599.99"/>
    <n v="7.0000000000000007E-2"/>
    <n v="1199.98"/>
    <m/>
    <x v="3"/>
    <x v="2"/>
  </r>
  <r>
    <x v="812"/>
    <x v="4"/>
    <x v="68"/>
    <n v="2"/>
    <n v="416.99"/>
    <n v="0.05"/>
    <n v="833.98"/>
    <m/>
    <x v="61"/>
    <x v="2"/>
  </r>
  <r>
    <x v="813"/>
    <x v="0"/>
    <x v="79"/>
    <n v="2"/>
    <n v="416.99"/>
    <n v="0.1"/>
    <n v="833.98"/>
    <m/>
    <x v="72"/>
    <x v="1"/>
  </r>
  <r>
    <x v="813"/>
    <x v="1"/>
    <x v="96"/>
    <n v="1"/>
    <n v="489.99"/>
    <n v="0.1"/>
    <n v="489.99"/>
    <m/>
    <x v="88"/>
    <x v="1"/>
  </r>
  <r>
    <x v="813"/>
    <x v="2"/>
    <x v="105"/>
    <n v="1"/>
    <n v="346.99"/>
    <n v="0.2"/>
    <n v="346.99"/>
    <m/>
    <x v="97"/>
    <x v="1"/>
  </r>
  <r>
    <x v="813"/>
    <x v="3"/>
    <x v="56"/>
    <n v="2"/>
    <n v="149.99"/>
    <n v="0.05"/>
    <n v="299.98"/>
    <m/>
    <x v="49"/>
    <x v="1"/>
  </r>
  <r>
    <x v="814"/>
    <x v="0"/>
    <x v="86"/>
    <n v="2"/>
    <n v="533.99"/>
    <n v="0.2"/>
    <n v="1067.98"/>
    <m/>
    <x v="79"/>
    <x v="0"/>
  </r>
  <r>
    <x v="814"/>
    <x v="1"/>
    <x v="48"/>
    <n v="2"/>
    <n v="489.99"/>
    <n v="0.2"/>
    <n v="979.98"/>
    <m/>
    <x v="34"/>
    <x v="0"/>
  </r>
  <r>
    <x v="814"/>
    <x v="2"/>
    <x v="108"/>
    <n v="2"/>
    <n v="189.99"/>
    <n v="0.1"/>
    <n v="379.98"/>
    <m/>
    <x v="100"/>
    <x v="0"/>
  </r>
  <r>
    <x v="814"/>
    <x v="3"/>
    <x v="19"/>
    <n v="1"/>
    <n v="299.99"/>
    <n v="7.0000000000000007E-2"/>
    <n v="299.99"/>
    <m/>
    <x v="17"/>
    <x v="0"/>
  </r>
  <r>
    <x v="815"/>
    <x v="0"/>
    <x v="85"/>
    <n v="2"/>
    <n v="599.99"/>
    <n v="0.1"/>
    <n v="1199.98"/>
    <m/>
    <x v="78"/>
    <x v="1"/>
  </r>
  <r>
    <x v="815"/>
    <x v="1"/>
    <x v="38"/>
    <n v="2"/>
    <n v="489.99"/>
    <n v="0.2"/>
    <n v="979.98"/>
    <m/>
    <x v="34"/>
    <x v="1"/>
  </r>
  <r>
    <x v="816"/>
    <x v="0"/>
    <x v="25"/>
    <n v="1"/>
    <n v="329.99"/>
    <n v="0.05"/>
    <n v="329.99"/>
    <m/>
    <x v="21"/>
    <x v="1"/>
  </r>
  <r>
    <x v="816"/>
    <x v="1"/>
    <x v="86"/>
    <n v="2"/>
    <n v="533.99"/>
    <n v="7.0000000000000007E-2"/>
    <n v="1067.98"/>
    <m/>
    <x v="79"/>
    <x v="1"/>
  </r>
  <r>
    <x v="816"/>
    <x v="2"/>
    <x v="74"/>
    <n v="2"/>
    <n v="1499.99"/>
    <n v="0.05"/>
    <n v="2999.98"/>
    <m/>
    <x v="67"/>
    <x v="1"/>
  </r>
  <r>
    <x v="817"/>
    <x v="0"/>
    <x v="27"/>
    <n v="1"/>
    <n v="551.99"/>
    <n v="0.05"/>
    <n v="551.99"/>
    <m/>
    <x v="23"/>
    <x v="1"/>
  </r>
  <r>
    <x v="817"/>
    <x v="1"/>
    <x v="99"/>
    <n v="2"/>
    <n v="539.99"/>
    <n v="7.0000000000000007E-2"/>
    <n v="1079.98"/>
    <m/>
    <x v="91"/>
    <x v="1"/>
  </r>
  <r>
    <x v="817"/>
    <x v="2"/>
    <x v="23"/>
    <n v="2"/>
    <n v="449"/>
    <n v="0.05"/>
    <n v="898"/>
    <m/>
    <x v="20"/>
    <x v="1"/>
  </r>
  <r>
    <x v="817"/>
    <x v="3"/>
    <x v="74"/>
    <n v="2"/>
    <n v="1499.99"/>
    <n v="0.05"/>
    <n v="2999.98"/>
    <m/>
    <x v="67"/>
    <x v="1"/>
  </r>
  <r>
    <x v="818"/>
    <x v="0"/>
    <x v="49"/>
    <n v="1"/>
    <n v="249.99"/>
    <n v="0.2"/>
    <n v="249.99"/>
    <m/>
    <x v="42"/>
    <x v="2"/>
  </r>
  <r>
    <x v="819"/>
    <x v="0"/>
    <x v="92"/>
    <n v="1"/>
    <n v="416.99"/>
    <n v="0.05"/>
    <n v="416.99"/>
    <m/>
    <x v="72"/>
    <x v="1"/>
  </r>
  <r>
    <x v="820"/>
    <x v="0"/>
    <x v="48"/>
    <n v="1"/>
    <n v="489.99"/>
    <n v="7.0000000000000007E-2"/>
    <n v="489.99"/>
    <m/>
    <x v="34"/>
    <x v="1"/>
  </r>
  <r>
    <x v="820"/>
    <x v="1"/>
    <x v="63"/>
    <n v="2"/>
    <n v="659.99"/>
    <n v="0.2"/>
    <n v="1319.98"/>
    <m/>
    <x v="56"/>
    <x v="1"/>
  </r>
  <r>
    <x v="820"/>
    <x v="2"/>
    <x v="18"/>
    <n v="1"/>
    <n v="469.99"/>
    <n v="0.2"/>
    <n v="469.99"/>
    <m/>
    <x v="16"/>
    <x v="1"/>
  </r>
  <r>
    <x v="820"/>
    <x v="3"/>
    <x v="92"/>
    <n v="1"/>
    <n v="416.99"/>
    <n v="0.05"/>
    <n v="416.99"/>
    <m/>
    <x v="72"/>
    <x v="1"/>
  </r>
  <r>
    <x v="821"/>
    <x v="0"/>
    <x v="29"/>
    <n v="1"/>
    <n v="749.99"/>
    <n v="0.05"/>
    <n v="749.99"/>
    <m/>
    <x v="25"/>
    <x v="1"/>
  </r>
  <r>
    <x v="821"/>
    <x v="1"/>
    <x v="31"/>
    <n v="1"/>
    <n v="619.99"/>
    <n v="0.2"/>
    <n v="619.99"/>
    <m/>
    <x v="27"/>
    <x v="1"/>
  </r>
  <r>
    <x v="822"/>
    <x v="0"/>
    <x v="28"/>
    <n v="2"/>
    <n v="5499.99"/>
    <n v="7.0000000000000007E-2"/>
    <n v="10999.98"/>
    <m/>
    <x v="24"/>
    <x v="2"/>
  </r>
  <r>
    <x v="822"/>
    <x v="1"/>
    <x v="106"/>
    <n v="2"/>
    <n v="149.99"/>
    <n v="0.2"/>
    <n v="299.98"/>
    <m/>
    <x v="98"/>
    <x v="2"/>
  </r>
  <r>
    <x v="822"/>
    <x v="2"/>
    <x v="89"/>
    <n v="1"/>
    <n v="1099.99"/>
    <n v="0.2"/>
    <n v="1099.99"/>
    <m/>
    <x v="82"/>
    <x v="2"/>
  </r>
  <r>
    <x v="823"/>
    <x v="0"/>
    <x v="102"/>
    <n v="2"/>
    <n v="209.99"/>
    <n v="0.1"/>
    <n v="419.98"/>
    <m/>
    <x v="94"/>
    <x v="0"/>
  </r>
  <r>
    <x v="824"/>
    <x v="0"/>
    <x v="23"/>
    <n v="1"/>
    <n v="449"/>
    <n v="0.1"/>
    <n v="449"/>
    <m/>
    <x v="20"/>
    <x v="1"/>
  </r>
  <r>
    <x v="824"/>
    <x v="1"/>
    <x v="34"/>
    <n v="2"/>
    <n v="999.99"/>
    <n v="0.2"/>
    <n v="1999.98"/>
    <m/>
    <x v="30"/>
    <x v="1"/>
  </r>
  <r>
    <x v="825"/>
    <x v="0"/>
    <x v="78"/>
    <n v="2"/>
    <n v="869.99"/>
    <n v="0.2"/>
    <n v="1739.98"/>
    <m/>
    <x v="71"/>
    <x v="1"/>
  </r>
  <r>
    <x v="825"/>
    <x v="1"/>
    <x v="107"/>
    <n v="1"/>
    <n v="832.99"/>
    <n v="0.1"/>
    <n v="832.99"/>
    <m/>
    <x v="99"/>
    <x v="1"/>
  </r>
  <r>
    <x v="826"/>
    <x v="0"/>
    <x v="52"/>
    <n v="1"/>
    <n v="5299.99"/>
    <n v="0.05"/>
    <n v="5299.99"/>
    <m/>
    <x v="45"/>
    <x v="1"/>
  </r>
  <r>
    <x v="826"/>
    <x v="1"/>
    <x v="67"/>
    <n v="1"/>
    <n v="1469.99"/>
    <n v="0.2"/>
    <n v="1469.99"/>
    <m/>
    <x v="60"/>
    <x v="1"/>
  </r>
  <r>
    <x v="826"/>
    <x v="2"/>
    <x v="76"/>
    <n v="1"/>
    <n v="2499.9899999999998"/>
    <n v="0.2"/>
    <n v="2499.9899999999998"/>
    <m/>
    <x v="69"/>
    <x v="1"/>
  </r>
  <r>
    <x v="826"/>
    <x v="3"/>
    <x v="75"/>
    <n v="1"/>
    <n v="449.99"/>
    <n v="0.2"/>
    <n v="449.99"/>
    <m/>
    <x v="68"/>
    <x v="1"/>
  </r>
  <r>
    <x v="827"/>
    <x v="0"/>
    <x v="22"/>
    <n v="2"/>
    <n v="499.99"/>
    <n v="0.2"/>
    <n v="999.98"/>
    <m/>
    <x v="19"/>
    <x v="1"/>
  </r>
  <r>
    <x v="827"/>
    <x v="1"/>
    <x v="24"/>
    <n v="1"/>
    <n v="549.99"/>
    <n v="0.2"/>
    <n v="549.99"/>
    <m/>
    <x v="9"/>
    <x v="1"/>
  </r>
  <r>
    <x v="827"/>
    <x v="2"/>
    <x v="66"/>
    <n v="2"/>
    <n v="2699.99"/>
    <n v="7.0000000000000007E-2"/>
    <n v="5399.98"/>
    <m/>
    <x v="59"/>
    <x v="1"/>
  </r>
  <r>
    <x v="828"/>
    <x v="0"/>
    <x v="27"/>
    <n v="1"/>
    <n v="551.99"/>
    <n v="0.2"/>
    <n v="551.99"/>
    <m/>
    <x v="23"/>
    <x v="1"/>
  </r>
  <r>
    <x v="828"/>
    <x v="1"/>
    <x v="86"/>
    <n v="2"/>
    <n v="533.99"/>
    <n v="0.1"/>
    <n v="1067.98"/>
    <m/>
    <x v="79"/>
    <x v="1"/>
  </r>
  <r>
    <x v="829"/>
    <x v="0"/>
    <x v="25"/>
    <n v="2"/>
    <n v="329.99"/>
    <n v="0.2"/>
    <n v="659.98"/>
    <m/>
    <x v="21"/>
    <x v="1"/>
  </r>
  <r>
    <x v="829"/>
    <x v="1"/>
    <x v="96"/>
    <n v="2"/>
    <n v="489.99"/>
    <n v="7.0000000000000007E-2"/>
    <n v="979.98"/>
    <m/>
    <x v="88"/>
    <x v="1"/>
  </r>
  <r>
    <x v="829"/>
    <x v="2"/>
    <x v="81"/>
    <n v="2"/>
    <n v="349.99"/>
    <n v="0.2"/>
    <n v="699.98"/>
    <m/>
    <x v="74"/>
    <x v="1"/>
  </r>
  <r>
    <x v="830"/>
    <x v="0"/>
    <x v="50"/>
    <n v="1"/>
    <n v="250.99"/>
    <n v="0.2"/>
    <n v="250.99"/>
    <m/>
    <x v="43"/>
    <x v="1"/>
  </r>
  <r>
    <x v="830"/>
    <x v="1"/>
    <x v="16"/>
    <n v="1"/>
    <n v="1680.99"/>
    <n v="0.2"/>
    <n v="1680.99"/>
    <m/>
    <x v="14"/>
    <x v="1"/>
  </r>
  <r>
    <x v="830"/>
    <x v="2"/>
    <x v="39"/>
    <n v="1"/>
    <n v="449.99"/>
    <n v="0.1"/>
    <n v="449.99"/>
    <m/>
    <x v="22"/>
    <x v="1"/>
  </r>
  <r>
    <x v="831"/>
    <x v="0"/>
    <x v="59"/>
    <n v="1"/>
    <n v="3199.99"/>
    <n v="0.05"/>
    <n v="3199.99"/>
    <m/>
    <x v="52"/>
    <x v="1"/>
  </r>
  <r>
    <x v="831"/>
    <x v="1"/>
    <x v="78"/>
    <n v="1"/>
    <n v="869.99"/>
    <n v="0.2"/>
    <n v="869.99"/>
    <m/>
    <x v="71"/>
    <x v="1"/>
  </r>
  <r>
    <x v="831"/>
    <x v="2"/>
    <x v="97"/>
    <n v="1"/>
    <n v="999.99"/>
    <n v="7.0000000000000007E-2"/>
    <n v="999.99"/>
    <m/>
    <x v="89"/>
    <x v="1"/>
  </r>
  <r>
    <x v="831"/>
    <x v="3"/>
    <x v="3"/>
    <n v="2"/>
    <n v="599.99"/>
    <n v="0.1"/>
    <n v="1199.98"/>
    <m/>
    <x v="3"/>
    <x v="1"/>
  </r>
  <r>
    <x v="832"/>
    <x v="0"/>
    <x v="0"/>
    <n v="2"/>
    <n v="599.99"/>
    <n v="0.05"/>
    <n v="1199.98"/>
    <m/>
    <x v="0"/>
    <x v="1"/>
  </r>
  <r>
    <x v="833"/>
    <x v="0"/>
    <x v="59"/>
    <n v="1"/>
    <n v="3199.99"/>
    <n v="7.0000000000000007E-2"/>
    <n v="3199.99"/>
    <m/>
    <x v="52"/>
    <x v="1"/>
  </r>
  <r>
    <x v="833"/>
    <x v="1"/>
    <x v="20"/>
    <n v="1"/>
    <n v="269.99"/>
    <n v="0.05"/>
    <n v="269.99"/>
    <m/>
    <x v="15"/>
    <x v="1"/>
  </r>
  <r>
    <x v="833"/>
    <x v="2"/>
    <x v="46"/>
    <n v="1"/>
    <n v="647.99"/>
    <n v="0.2"/>
    <n v="647.99"/>
    <m/>
    <x v="40"/>
    <x v="1"/>
  </r>
  <r>
    <x v="834"/>
    <x v="0"/>
    <x v="105"/>
    <n v="2"/>
    <n v="346.99"/>
    <n v="7.0000000000000007E-2"/>
    <n v="693.98"/>
    <m/>
    <x v="97"/>
    <x v="0"/>
  </r>
  <r>
    <x v="834"/>
    <x v="1"/>
    <x v="90"/>
    <n v="1"/>
    <n v="659.99"/>
    <n v="0.2"/>
    <n v="659.99"/>
    <m/>
    <x v="83"/>
    <x v="0"/>
  </r>
  <r>
    <x v="834"/>
    <x v="2"/>
    <x v="6"/>
    <n v="1"/>
    <n v="749.99"/>
    <n v="0.05"/>
    <n v="749.99"/>
    <m/>
    <x v="6"/>
    <x v="0"/>
  </r>
  <r>
    <x v="835"/>
    <x v="0"/>
    <x v="75"/>
    <n v="2"/>
    <n v="449.99"/>
    <n v="0.2"/>
    <n v="899.98"/>
    <m/>
    <x v="68"/>
    <x v="1"/>
  </r>
  <r>
    <x v="836"/>
    <x v="0"/>
    <x v="80"/>
    <n v="1"/>
    <n v="6499.99"/>
    <n v="0.05"/>
    <n v="6499.99"/>
    <m/>
    <x v="73"/>
    <x v="1"/>
  </r>
  <r>
    <x v="836"/>
    <x v="1"/>
    <x v="44"/>
    <n v="1"/>
    <n v="349.99"/>
    <n v="0.1"/>
    <n v="349.99"/>
    <m/>
    <x v="38"/>
    <x v="1"/>
  </r>
  <r>
    <x v="836"/>
    <x v="2"/>
    <x v="108"/>
    <n v="2"/>
    <n v="189.99"/>
    <n v="0.2"/>
    <n v="379.98"/>
    <m/>
    <x v="100"/>
    <x v="1"/>
  </r>
  <r>
    <x v="837"/>
    <x v="0"/>
    <x v="76"/>
    <n v="1"/>
    <n v="2499.9899999999998"/>
    <n v="0.1"/>
    <n v="2499.9899999999998"/>
    <m/>
    <x v="69"/>
    <x v="1"/>
  </r>
  <r>
    <x v="837"/>
    <x v="1"/>
    <x v="2"/>
    <n v="1"/>
    <n v="1549"/>
    <n v="0.1"/>
    <n v="1549"/>
    <m/>
    <x v="2"/>
    <x v="1"/>
  </r>
  <r>
    <x v="837"/>
    <x v="2"/>
    <x v="96"/>
    <n v="2"/>
    <n v="489.99"/>
    <n v="0.05"/>
    <n v="979.98"/>
    <m/>
    <x v="88"/>
    <x v="1"/>
  </r>
  <r>
    <x v="837"/>
    <x v="3"/>
    <x v="105"/>
    <n v="2"/>
    <n v="346.99"/>
    <n v="7.0000000000000007E-2"/>
    <n v="693.98"/>
    <m/>
    <x v="97"/>
    <x v="1"/>
  </r>
  <r>
    <x v="838"/>
    <x v="0"/>
    <x v="66"/>
    <n v="1"/>
    <n v="2699.99"/>
    <n v="7.0000000000000007E-2"/>
    <n v="2699.99"/>
    <m/>
    <x v="59"/>
    <x v="0"/>
  </r>
  <r>
    <x v="838"/>
    <x v="1"/>
    <x v="25"/>
    <n v="1"/>
    <n v="329.99"/>
    <n v="0.1"/>
    <n v="329.99"/>
    <m/>
    <x v="21"/>
    <x v="0"/>
  </r>
  <r>
    <x v="838"/>
    <x v="2"/>
    <x v="71"/>
    <n v="2"/>
    <n v="4999.99"/>
    <n v="0.05"/>
    <n v="9999.98"/>
    <m/>
    <x v="64"/>
    <x v="0"/>
  </r>
  <r>
    <x v="839"/>
    <x v="0"/>
    <x v="97"/>
    <n v="1"/>
    <n v="999.99"/>
    <n v="7.0000000000000007E-2"/>
    <n v="999.99"/>
    <m/>
    <x v="89"/>
    <x v="1"/>
  </r>
  <r>
    <x v="839"/>
    <x v="1"/>
    <x v="52"/>
    <n v="1"/>
    <n v="5299.99"/>
    <n v="7.0000000000000007E-2"/>
    <n v="5299.99"/>
    <m/>
    <x v="45"/>
    <x v="1"/>
  </r>
  <r>
    <x v="839"/>
    <x v="2"/>
    <x v="26"/>
    <n v="2"/>
    <n v="449.99"/>
    <n v="0.2"/>
    <n v="899.98"/>
    <m/>
    <x v="22"/>
    <x v="1"/>
  </r>
  <r>
    <x v="840"/>
    <x v="0"/>
    <x v="13"/>
    <n v="2"/>
    <n v="269.99"/>
    <n v="0.1"/>
    <n v="539.98"/>
    <m/>
    <x v="12"/>
    <x v="1"/>
  </r>
  <r>
    <x v="840"/>
    <x v="1"/>
    <x v="11"/>
    <n v="1"/>
    <n v="2999.99"/>
    <n v="0.2"/>
    <n v="2999.99"/>
    <m/>
    <x v="10"/>
    <x v="1"/>
  </r>
  <r>
    <x v="840"/>
    <x v="2"/>
    <x v="16"/>
    <n v="1"/>
    <n v="1680.99"/>
    <n v="0.2"/>
    <n v="1680.99"/>
    <m/>
    <x v="14"/>
    <x v="1"/>
  </r>
  <r>
    <x v="840"/>
    <x v="3"/>
    <x v="45"/>
    <n v="2"/>
    <n v="209.99"/>
    <n v="7.0000000000000007E-2"/>
    <n v="419.98"/>
    <m/>
    <x v="39"/>
    <x v="1"/>
  </r>
  <r>
    <x v="840"/>
    <x v="4"/>
    <x v="96"/>
    <n v="1"/>
    <n v="489.99"/>
    <n v="0.1"/>
    <n v="489.99"/>
    <m/>
    <x v="88"/>
    <x v="1"/>
  </r>
  <r>
    <x v="841"/>
    <x v="0"/>
    <x v="89"/>
    <n v="2"/>
    <n v="1099.99"/>
    <n v="7.0000000000000007E-2"/>
    <n v="2199.98"/>
    <m/>
    <x v="82"/>
    <x v="1"/>
  </r>
  <r>
    <x v="841"/>
    <x v="1"/>
    <x v="41"/>
    <n v="1"/>
    <n v="2299.9899999999998"/>
    <n v="0.1"/>
    <n v="2299.9899999999998"/>
    <m/>
    <x v="36"/>
    <x v="1"/>
  </r>
  <r>
    <x v="842"/>
    <x v="0"/>
    <x v="31"/>
    <n v="1"/>
    <n v="619.99"/>
    <n v="0.1"/>
    <n v="619.99"/>
    <m/>
    <x v="27"/>
    <x v="1"/>
  </r>
  <r>
    <x v="842"/>
    <x v="1"/>
    <x v="85"/>
    <n v="2"/>
    <n v="599.99"/>
    <n v="0.1"/>
    <n v="1199.98"/>
    <m/>
    <x v="78"/>
    <x v="1"/>
  </r>
  <r>
    <x v="842"/>
    <x v="2"/>
    <x v="89"/>
    <n v="1"/>
    <n v="1099.99"/>
    <n v="0.1"/>
    <n v="1099.99"/>
    <m/>
    <x v="82"/>
    <x v="1"/>
  </r>
  <r>
    <x v="842"/>
    <x v="3"/>
    <x v="19"/>
    <n v="2"/>
    <n v="299.99"/>
    <n v="7.0000000000000007E-2"/>
    <n v="599.98"/>
    <m/>
    <x v="17"/>
    <x v="1"/>
  </r>
  <r>
    <x v="843"/>
    <x v="0"/>
    <x v="47"/>
    <n v="2"/>
    <n v="402.99"/>
    <n v="7.0000000000000007E-2"/>
    <n v="805.98"/>
    <m/>
    <x v="41"/>
    <x v="1"/>
  </r>
  <r>
    <x v="843"/>
    <x v="1"/>
    <x v="10"/>
    <n v="1"/>
    <n v="549.99"/>
    <n v="0.1"/>
    <n v="549.99"/>
    <m/>
    <x v="9"/>
    <x v="1"/>
  </r>
  <r>
    <x v="843"/>
    <x v="2"/>
    <x v="56"/>
    <n v="2"/>
    <n v="149.99"/>
    <n v="0.2"/>
    <n v="299.98"/>
    <m/>
    <x v="49"/>
    <x v="1"/>
  </r>
  <r>
    <x v="843"/>
    <x v="3"/>
    <x v="74"/>
    <n v="1"/>
    <n v="1499.99"/>
    <n v="0.2"/>
    <n v="1499.99"/>
    <m/>
    <x v="67"/>
    <x v="1"/>
  </r>
  <r>
    <x v="843"/>
    <x v="4"/>
    <x v="65"/>
    <n v="2"/>
    <n v="3499.99"/>
    <n v="0.05"/>
    <n v="6999.98"/>
    <m/>
    <x v="58"/>
    <x v="1"/>
  </r>
  <r>
    <x v="844"/>
    <x v="0"/>
    <x v="3"/>
    <n v="2"/>
    <n v="599.99"/>
    <n v="0.2"/>
    <n v="1199.98"/>
    <m/>
    <x v="3"/>
    <x v="1"/>
  </r>
  <r>
    <x v="844"/>
    <x v="1"/>
    <x v="85"/>
    <n v="1"/>
    <n v="599.99"/>
    <n v="0.2"/>
    <n v="599.99"/>
    <m/>
    <x v="78"/>
    <x v="1"/>
  </r>
  <r>
    <x v="844"/>
    <x v="2"/>
    <x v="8"/>
    <n v="2"/>
    <n v="599.99"/>
    <n v="0.05"/>
    <n v="1199.98"/>
    <m/>
    <x v="3"/>
    <x v="1"/>
  </r>
  <r>
    <x v="844"/>
    <x v="3"/>
    <x v="30"/>
    <n v="2"/>
    <n v="749.99"/>
    <n v="0.2"/>
    <n v="1499.98"/>
    <m/>
    <x v="26"/>
    <x v="1"/>
  </r>
  <r>
    <x v="844"/>
    <x v="4"/>
    <x v="54"/>
    <n v="1"/>
    <n v="189.99"/>
    <n v="0.05"/>
    <n v="189.99"/>
    <m/>
    <x v="47"/>
    <x v="1"/>
  </r>
  <r>
    <x v="845"/>
    <x v="0"/>
    <x v="109"/>
    <n v="2"/>
    <n v="1409.99"/>
    <n v="0.05"/>
    <n v="2819.98"/>
    <m/>
    <x v="101"/>
    <x v="1"/>
  </r>
  <r>
    <x v="845"/>
    <x v="1"/>
    <x v="42"/>
    <n v="1"/>
    <n v="5299.99"/>
    <n v="7.0000000000000007E-2"/>
    <n v="5299.99"/>
    <m/>
    <x v="37"/>
    <x v="1"/>
  </r>
  <r>
    <x v="845"/>
    <x v="2"/>
    <x v="68"/>
    <n v="1"/>
    <n v="416.99"/>
    <n v="0.1"/>
    <n v="416.99"/>
    <m/>
    <x v="61"/>
    <x v="1"/>
  </r>
  <r>
    <x v="845"/>
    <x v="3"/>
    <x v="31"/>
    <n v="2"/>
    <n v="619.99"/>
    <n v="0.05"/>
    <n v="1239.98"/>
    <m/>
    <x v="27"/>
    <x v="1"/>
  </r>
  <r>
    <x v="845"/>
    <x v="4"/>
    <x v="27"/>
    <n v="2"/>
    <n v="551.99"/>
    <n v="7.0000000000000007E-2"/>
    <n v="1103.98"/>
    <m/>
    <x v="23"/>
    <x v="1"/>
  </r>
  <r>
    <x v="846"/>
    <x v="0"/>
    <x v="32"/>
    <n v="2"/>
    <n v="4999.99"/>
    <n v="0.05"/>
    <n v="9999.98"/>
    <m/>
    <x v="28"/>
    <x v="1"/>
  </r>
  <r>
    <x v="847"/>
    <x v="0"/>
    <x v="101"/>
    <n v="1"/>
    <n v="209.99"/>
    <n v="7.0000000000000007E-2"/>
    <n v="209.99"/>
    <m/>
    <x v="93"/>
    <x v="1"/>
  </r>
  <r>
    <x v="847"/>
    <x v="1"/>
    <x v="96"/>
    <n v="2"/>
    <n v="489.99"/>
    <n v="0.2"/>
    <n v="979.98"/>
    <m/>
    <x v="88"/>
    <x v="1"/>
  </r>
  <r>
    <x v="847"/>
    <x v="2"/>
    <x v="54"/>
    <n v="2"/>
    <n v="189.99"/>
    <n v="0.2"/>
    <n v="379.98"/>
    <m/>
    <x v="47"/>
    <x v="1"/>
  </r>
  <r>
    <x v="847"/>
    <x v="3"/>
    <x v="67"/>
    <n v="2"/>
    <n v="1469.99"/>
    <n v="7.0000000000000007E-2"/>
    <n v="2939.98"/>
    <m/>
    <x v="60"/>
    <x v="1"/>
  </r>
  <r>
    <x v="848"/>
    <x v="0"/>
    <x v="36"/>
    <n v="1"/>
    <n v="416.99"/>
    <n v="0.2"/>
    <n v="416.99"/>
    <m/>
    <x v="32"/>
    <x v="0"/>
  </r>
  <r>
    <x v="849"/>
    <x v="0"/>
    <x v="70"/>
    <n v="2"/>
    <n v="339.99"/>
    <n v="7.0000000000000007E-2"/>
    <n v="679.98"/>
    <m/>
    <x v="63"/>
    <x v="0"/>
  </r>
  <r>
    <x v="849"/>
    <x v="1"/>
    <x v="21"/>
    <n v="2"/>
    <n v="1320.99"/>
    <n v="7.0000000000000007E-2"/>
    <n v="2641.98"/>
    <m/>
    <x v="18"/>
    <x v="0"/>
  </r>
  <r>
    <x v="849"/>
    <x v="2"/>
    <x v="88"/>
    <n v="1"/>
    <n v="379.99"/>
    <n v="7.0000000000000007E-2"/>
    <n v="379.99"/>
    <m/>
    <x v="81"/>
    <x v="0"/>
  </r>
  <r>
    <x v="850"/>
    <x v="0"/>
    <x v="34"/>
    <n v="1"/>
    <n v="999.99"/>
    <n v="0.2"/>
    <n v="999.99"/>
    <m/>
    <x v="30"/>
    <x v="1"/>
  </r>
  <r>
    <x v="850"/>
    <x v="1"/>
    <x v="101"/>
    <n v="1"/>
    <n v="209.99"/>
    <n v="0.05"/>
    <n v="209.99"/>
    <m/>
    <x v="93"/>
    <x v="1"/>
  </r>
  <r>
    <x v="851"/>
    <x v="0"/>
    <x v="109"/>
    <n v="2"/>
    <n v="1409.99"/>
    <n v="7.0000000000000007E-2"/>
    <n v="2819.98"/>
    <m/>
    <x v="101"/>
    <x v="2"/>
  </r>
  <r>
    <x v="852"/>
    <x v="0"/>
    <x v="40"/>
    <n v="1"/>
    <n v="299.99"/>
    <n v="0.05"/>
    <n v="299.99"/>
    <m/>
    <x v="35"/>
    <x v="2"/>
  </r>
  <r>
    <x v="852"/>
    <x v="1"/>
    <x v="71"/>
    <n v="2"/>
    <n v="4999.99"/>
    <n v="0.2"/>
    <n v="9999.98"/>
    <m/>
    <x v="64"/>
    <x v="2"/>
  </r>
  <r>
    <x v="852"/>
    <x v="2"/>
    <x v="41"/>
    <n v="2"/>
    <n v="2299.9899999999998"/>
    <n v="0.2"/>
    <n v="4599.9799999999996"/>
    <m/>
    <x v="36"/>
    <x v="2"/>
  </r>
  <r>
    <x v="852"/>
    <x v="3"/>
    <x v="78"/>
    <n v="1"/>
    <n v="869.99"/>
    <n v="0.2"/>
    <n v="869.99"/>
    <m/>
    <x v="71"/>
    <x v="2"/>
  </r>
  <r>
    <x v="852"/>
    <x v="4"/>
    <x v="18"/>
    <n v="1"/>
    <n v="469.99"/>
    <n v="0.05"/>
    <n v="469.99"/>
    <m/>
    <x v="16"/>
    <x v="2"/>
  </r>
  <r>
    <x v="853"/>
    <x v="0"/>
    <x v="108"/>
    <n v="1"/>
    <n v="189.99"/>
    <n v="0.1"/>
    <n v="189.99"/>
    <m/>
    <x v="100"/>
    <x v="1"/>
  </r>
  <r>
    <x v="854"/>
    <x v="0"/>
    <x v="9"/>
    <n v="1"/>
    <n v="449"/>
    <n v="0.1"/>
    <n v="449"/>
    <m/>
    <x v="8"/>
    <x v="1"/>
  </r>
  <r>
    <x v="854"/>
    <x v="1"/>
    <x v="101"/>
    <n v="2"/>
    <n v="209.99"/>
    <n v="0.2"/>
    <n v="419.98"/>
    <m/>
    <x v="93"/>
    <x v="1"/>
  </r>
  <r>
    <x v="854"/>
    <x v="2"/>
    <x v="84"/>
    <n v="1"/>
    <n v="209.99"/>
    <n v="0.2"/>
    <n v="209.99"/>
    <m/>
    <x v="77"/>
    <x v="1"/>
  </r>
  <r>
    <x v="855"/>
    <x v="0"/>
    <x v="83"/>
    <n v="2"/>
    <n v="549.99"/>
    <n v="0.05"/>
    <n v="1099.98"/>
    <m/>
    <x v="76"/>
    <x v="1"/>
  </r>
  <r>
    <x v="856"/>
    <x v="0"/>
    <x v="61"/>
    <n v="1"/>
    <n v="999.99"/>
    <n v="0.2"/>
    <n v="999.99"/>
    <m/>
    <x v="54"/>
    <x v="1"/>
  </r>
  <r>
    <x v="857"/>
    <x v="0"/>
    <x v="78"/>
    <n v="2"/>
    <n v="869.99"/>
    <n v="0.2"/>
    <n v="1739.98"/>
    <m/>
    <x v="71"/>
    <x v="1"/>
  </r>
  <r>
    <x v="857"/>
    <x v="1"/>
    <x v="21"/>
    <n v="1"/>
    <n v="1320.99"/>
    <n v="0.2"/>
    <n v="1320.99"/>
    <m/>
    <x v="18"/>
    <x v="1"/>
  </r>
  <r>
    <x v="857"/>
    <x v="2"/>
    <x v="15"/>
    <n v="1"/>
    <n v="269.99"/>
    <n v="7.0000000000000007E-2"/>
    <n v="269.99"/>
    <m/>
    <x v="12"/>
    <x v="1"/>
  </r>
  <r>
    <x v="857"/>
    <x v="3"/>
    <x v="30"/>
    <n v="2"/>
    <n v="749.99"/>
    <n v="7.0000000000000007E-2"/>
    <n v="1499.98"/>
    <m/>
    <x v="26"/>
    <x v="1"/>
  </r>
  <r>
    <x v="858"/>
    <x v="0"/>
    <x v="83"/>
    <n v="2"/>
    <n v="549.99"/>
    <n v="7.0000000000000007E-2"/>
    <n v="1099.98"/>
    <m/>
    <x v="76"/>
    <x v="1"/>
  </r>
  <r>
    <x v="858"/>
    <x v="1"/>
    <x v="17"/>
    <n v="1"/>
    <n v="269.99"/>
    <n v="0.1"/>
    <n v="269.99"/>
    <m/>
    <x v="15"/>
    <x v="1"/>
  </r>
  <r>
    <x v="858"/>
    <x v="2"/>
    <x v="15"/>
    <n v="2"/>
    <n v="269.99"/>
    <n v="0.1"/>
    <n v="539.98"/>
    <m/>
    <x v="12"/>
    <x v="1"/>
  </r>
  <r>
    <x v="858"/>
    <x v="3"/>
    <x v="68"/>
    <n v="2"/>
    <n v="416.99"/>
    <n v="0.1"/>
    <n v="833.98"/>
    <m/>
    <x v="61"/>
    <x v="1"/>
  </r>
  <r>
    <x v="858"/>
    <x v="4"/>
    <x v="107"/>
    <n v="2"/>
    <n v="832.99"/>
    <n v="0.1"/>
    <n v="1665.98"/>
    <m/>
    <x v="99"/>
    <x v="1"/>
  </r>
  <r>
    <x v="859"/>
    <x v="0"/>
    <x v="18"/>
    <n v="1"/>
    <n v="469.99"/>
    <n v="0.05"/>
    <n v="469.99"/>
    <m/>
    <x v="16"/>
    <x v="1"/>
  </r>
  <r>
    <x v="859"/>
    <x v="1"/>
    <x v="24"/>
    <n v="2"/>
    <n v="549.99"/>
    <n v="0.2"/>
    <n v="1099.98"/>
    <m/>
    <x v="9"/>
    <x v="1"/>
  </r>
  <r>
    <x v="859"/>
    <x v="2"/>
    <x v="22"/>
    <n v="1"/>
    <n v="499.99"/>
    <n v="0.2"/>
    <n v="499.99"/>
    <m/>
    <x v="19"/>
    <x v="1"/>
  </r>
  <r>
    <x v="859"/>
    <x v="3"/>
    <x v="71"/>
    <n v="2"/>
    <n v="4999.99"/>
    <n v="7.0000000000000007E-2"/>
    <n v="9999.98"/>
    <m/>
    <x v="64"/>
    <x v="1"/>
  </r>
  <r>
    <x v="859"/>
    <x v="4"/>
    <x v="43"/>
    <n v="2"/>
    <n v="299.99"/>
    <n v="0.05"/>
    <n v="599.98"/>
    <m/>
    <x v="31"/>
    <x v="1"/>
  </r>
  <r>
    <x v="860"/>
    <x v="0"/>
    <x v="15"/>
    <n v="2"/>
    <n v="269.99"/>
    <n v="7.0000000000000007E-2"/>
    <n v="539.98"/>
    <m/>
    <x v="12"/>
    <x v="1"/>
  </r>
  <r>
    <x v="860"/>
    <x v="1"/>
    <x v="37"/>
    <n v="1"/>
    <n v="3499.99"/>
    <n v="0.2"/>
    <n v="3499.99"/>
    <m/>
    <x v="33"/>
    <x v="1"/>
  </r>
  <r>
    <x v="861"/>
    <x v="0"/>
    <x v="25"/>
    <n v="1"/>
    <n v="329.99"/>
    <n v="0.05"/>
    <n v="329.99"/>
    <m/>
    <x v="21"/>
    <x v="2"/>
  </r>
  <r>
    <x v="861"/>
    <x v="1"/>
    <x v="40"/>
    <n v="1"/>
    <n v="299.99"/>
    <n v="0.2"/>
    <n v="299.99"/>
    <m/>
    <x v="35"/>
    <x v="2"/>
  </r>
  <r>
    <x v="861"/>
    <x v="2"/>
    <x v="60"/>
    <n v="2"/>
    <n v="3499.99"/>
    <n v="7.0000000000000007E-2"/>
    <n v="6999.98"/>
    <m/>
    <x v="53"/>
    <x v="2"/>
  </r>
  <r>
    <x v="862"/>
    <x v="0"/>
    <x v="101"/>
    <n v="2"/>
    <n v="209.99"/>
    <n v="0.1"/>
    <n v="419.98"/>
    <m/>
    <x v="93"/>
    <x v="1"/>
  </r>
  <r>
    <x v="863"/>
    <x v="0"/>
    <x v="88"/>
    <n v="1"/>
    <n v="379.99"/>
    <n v="0.1"/>
    <n v="379.99"/>
    <m/>
    <x v="81"/>
    <x v="1"/>
  </r>
  <r>
    <x v="863"/>
    <x v="1"/>
    <x v="105"/>
    <n v="2"/>
    <n v="346.99"/>
    <n v="0.05"/>
    <n v="693.98"/>
    <m/>
    <x v="97"/>
    <x v="1"/>
  </r>
  <r>
    <x v="863"/>
    <x v="2"/>
    <x v="17"/>
    <n v="1"/>
    <n v="269.99"/>
    <n v="0.2"/>
    <n v="269.99"/>
    <m/>
    <x v="15"/>
    <x v="1"/>
  </r>
  <r>
    <x v="864"/>
    <x v="0"/>
    <x v="36"/>
    <n v="2"/>
    <n v="416.99"/>
    <n v="0.1"/>
    <n v="833.98"/>
    <m/>
    <x v="32"/>
    <x v="1"/>
  </r>
  <r>
    <x v="864"/>
    <x v="1"/>
    <x v="98"/>
    <n v="1"/>
    <n v="469.99"/>
    <n v="0.05"/>
    <n v="469.99"/>
    <m/>
    <x v="90"/>
    <x v="1"/>
  </r>
  <r>
    <x v="865"/>
    <x v="0"/>
    <x v="54"/>
    <n v="1"/>
    <n v="189.99"/>
    <n v="0.2"/>
    <n v="189.99"/>
    <m/>
    <x v="47"/>
    <x v="1"/>
  </r>
  <r>
    <x v="865"/>
    <x v="1"/>
    <x v="50"/>
    <n v="2"/>
    <n v="250.99"/>
    <n v="7.0000000000000007E-2"/>
    <n v="501.98"/>
    <m/>
    <x v="43"/>
    <x v="1"/>
  </r>
  <r>
    <x v="865"/>
    <x v="2"/>
    <x v="53"/>
    <n v="1"/>
    <n v="761.99"/>
    <n v="7.0000000000000007E-2"/>
    <n v="761.99"/>
    <m/>
    <x v="46"/>
    <x v="1"/>
  </r>
  <r>
    <x v="865"/>
    <x v="3"/>
    <x v="17"/>
    <n v="2"/>
    <n v="269.99"/>
    <n v="7.0000000000000007E-2"/>
    <n v="539.98"/>
    <m/>
    <x v="15"/>
    <x v="1"/>
  </r>
  <r>
    <x v="866"/>
    <x v="0"/>
    <x v="70"/>
    <n v="1"/>
    <n v="339.99"/>
    <n v="0.05"/>
    <n v="339.99"/>
    <m/>
    <x v="63"/>
    <x v="0"/>
  </r>
  <r>
    <x v="867"/>
    <x v="0"/>
    <x v="109"/>
    <n v="1"/>
    <n v="1409.99"/>
    <n v="7.0000000000000007E-2"/>
    <n v="1409.99"/>
    <m/>
    <x v="101"/>
    <x v="0"/>
  </r>
  <r>
    <x v="868"/>
    <x v="0"/>
    <x v="14"/>
    <n v="1"/>
    <n v="3999.99"/>
    <n v="0.2"/>
    <n v="3999.99"/>
    <m/>
    <x v="13"/>
    <x v="1"/>
  </r>
  <r>
    <x v="868"/>
    <x v="1"/>
    <x v="26"/>
    <n v="2"/>
    <n v="449.99"/>
    <n v="0.05"/>
    <n v="899.98"/>
    <m/>
    <x v="22"/>
    <x v="1"/>
  </r>
  <r>
    <x v="868"/>
    <x v="2"/>
    <x v="57"/>
    <n v="1"/>
    <n v="469.99"/>
    <n v="0.05"/>
    <n v="469.99"/>
    <m/>
    <x v="50"/>
    <x v="1"/>
  </r>
  <r>
    <x v="868"/>
    <x v="3"/>
    <x v="66"/>
    <n v="2"/>
    <n v="2699.99"/>
    <n v="0.05"/>
    <n v="5399.98"/>
    <m/>
    <x v="59"/>
    <x v="1"/>
  </r>
  <r>
    <x v="868"/>
    <x v="4"/>
    <x v="105"/>
    <n v="2"/>
    <n v="346.99"/>
    <n v="0.2"/>
    <n v="693.98"/>
    <m/>
    <x v="97"/>
    <x v="1"/>
  </r>
  <r>
    <x v="869"/>
    <x v="0"/>
    <x v="65"/>
    <n v="1"/>
    <n v="3499.99"/>
    <n v="7.0000000000000007E-2"/>
    <n v="3499.99"/>
    <m/>
    <x v="58"/>
    <x v="1"/>
  </r>
  <r>
    <x v="870"/>
    <x v="0"/>
    <x v="26"/>
    <n v="1"/>
    <n v="449.99"/>
    <n v="0.2"/>
    <n v="449.99"/>
    <m/>
    <x v="22"/>
    <x v="1"/>
  </r>
  <r>
    <x v="870"/>
    <x v="1"/>
    <x v="83"/>
    <n v="1"/>
    <n v="549.99"/>
    <n v="0.1"/>
    <n v="549.99"/>
    <m/>
    <x v="76"/>
    <x v="1"/>
  </r>
  <r>
    <x v="870"/>
    <x v="2"/>
    <x v="34"/>
    <n v="2"/>
    <n v="999.99"/>
    <n v="0.2"/>
    <n v="1999.98"/>
    <m/>
    <x v="30"/>
    <x v="1"/>
  </r>
  <r>
    <x v="870"/>
    <x v="3"/>
    <x v="92"/>
    <n v="2"/>
    <n v="416.99"/>
    <n v="0.05"/>
    <n v="833.98"/>
    <m/>
    <x v="72"/>
    <x v="1"/>
  </r>
  <r>
    <x v="871"/>
    <x v="0"/>
    <x v="37"/>
    <n v="2"/>
    <n v="3499.99"/>
    <n v="7.0000000000000007E-2"/>
    <n v="6999.98"/>
    <m/>
    <x v="33"/>
    <x v="0"/>
  </r>
  <r>
    <x v="871"/>
    <x v="1"/>
    <x v="29"/>
    <n v="1"/>
    <n v="749.99"/>
    <n v="0.1"/>
    <n v="749.99"/>
    <m/>
    <x v="25"/>
    <x v="0"/>
  </r>
  <r>
    <x v="872"/>
    <x v="0"/>
    <x v="33"/>
    <n v="2"/>
    <n v="469.99"/>
    <n v="0.1"/>
    <n v="939.98"/>
    <m/>
    <x v="29"/>
    <x v="1"/>
  </r>
  <r>
    <x v="873"/>
    <x v="0"/>
    <x v="28"/>
    <n v="1"/>
    <n v="5499.99"/>
    <n v="0.05"/>
    <n v="5499.99"/>
    <m/>
    <x v="24"/>
    <x v="1"/>
  </r>
  <r>
    <x v="873"/>
    <x v="1"/>
    <x v="97"/>
    <n v="2"/>
    <n v="999.99"/>
    <n v="0.05"/>
    <n v="1999.98"/>
    <m/>
    <x v="89"/>
    <x v="1"/>
  </r>
  <r>
    <x v="873"/>
    <x v="2"/>
    <x v="30"/>
    <n v="1"/>
    <n v="749.99"/>
    <n v="0.1"/>
    <n v="749.99"/>
    <m/>
    <x v="26"/>
    <x v="1"/>
  </r>
  <r>
    <x v="873"/>
    <x v="3"/>
    <x v="104"/>
    <n v="2"/>
    <n v="799.99"/>
    <n v="7.0000000000000007E-2"/>
    <n v="1599.98"/>
    <m/>
    <x v="96"/>
    <x v="1"/>
  </r>
  <r>
    <x v="874"/>
    <x v="0"/>
    <x v="21"/>
    <n v="2"/>
    <n v="1320.99"/>
    <n v="0.1"/>
    <n v="2641.98"/>
    <m/>
    <x v="18"/>
    <x v="0"/>
  </r>
  <r>
    <x v="874"/>
    <x v="1"/>
    <x v="12"/>
    <n v="2"/>
    <n v="529.99"/>
    <n v="0.05"/>
    <n v="1059.98"/>
    <m/>
    <x v="11"/>
    <x v="0"/>
  </r>
  <r>
    <x v="874"/>
    <x v="2"/>
    <x v="15"/>
    <n v="1"/>
    <n v="269.99"/>
    <n v="7.0000000000000007E-2"/>
    <n v="269.99"/>
    <m/>
    <x v="12"/>
    <x v="0"/>
  </r>
  <r>
    <x v="874"/>
    <x v="3"/>
    <x v="103"/>
    <n v="1"/>
    <n v="470.99"/>
    <n v="0.2"/>
    <n v="470.99"/>
    <m/>
    <x v="95"/>
    <x v="0"/>
  </r>
  <r>
    <x v="875"/>
    <x v="0"/>
    <x v="7"/>
    <n v="2"/>
    <n v="429"/>
    <n v="0.2"/>
    <n v="858"/>
    <m/>
    <x v="7"/>
    <x v="1"/>
  </r>
  <r>
    <x v="875"/>
    <x v="1"/>
    <x v="82"/>
    <n v="2"/>
    <n v="250.99"/>
    <n v="0.2"/>
    <n v="501.98"/>
    <m/>
    <x v="75"/>
    <x v="1"/>
  </r>
  <r>
    <x v="875"/>
    <x v="2"/>
    <x v="81"/>
    <n v="1"/>
    <n v="349.99"/>
    <n v="7.0000000000000007E-2"/>
    <n v="349.99"/>
    <m/>
    <x v="74"/>
    <x v="1"/>
  </r>
  <r>
    <x v="875"/>
    <x v="3"/>
    <x v="92"/>
    <n v="2"/>
    <n v="416.99"/>
    <n v="0.05"/>
    <n v="833.98"/>
    <m/>
    <x v="72"/>
    <x v="1"/>
  </r>
  <r>
    <x v="876"/>
    <x v="0"/>
    <x v="30"/>
    <n v="1"/>
    <n v="749.99"/>
    <n v="7.0000000000000007E-2"/>
    <n v="749.99"/>
    <m/>
    <x v="26"/>
    <x v="1"/>
  </r>
  <r>
    <x v="876"/>
    <x v="1"/>
    <x v="27"/>
    <n v="1"/>
    <n v="551.99"/>
    <n v="0.1"/>
    <n v="551.99"/>
    <m/>
    <x v="23"/>
    <x v="1"/>
  </r>
  <r>
    <x v="877"/>
    <x v="0"/>
    <x v="27"/>
    <n v="1"/>
    <n v="551.99"/>
    <n v="0.2"/>
    <n v="551.99"/>
    <m/>
    <x v="23"/>
    <x v="0"/>
  </r>
  <r>
    <x v="877"/>
    <x v="1"/>
    <x v="17"/>
    <n v="1"/>
    <n v="269.99"/>
    <n v="0.1"/>
    <n v="269.99"/>
    <m/>
    <x v="15"/>
    <x v="0"/>
  </r>
  <r>
    <x v="877"/>
    <x v="2"/>
    <x v="18"/>
    <n v="2"/>
    <n v="469.99"/>
    <n v="0.2"/>
    <n v="939.98"/>
    <m/>
    <x v="16"/>
    <x v="0"/>
  </r>
  <r>
    <x v="877"/>
    <x v="3"/>
    <x v="9"/>
    <n v="2"/>
    <n v="449"/>
    <n v="0.05"/>
    <n v="898"/>
    <m/>
    <x v="8"/>
    <x v="0"/>
  </r>
  <r>
    <x v="878"/>
    <x v="0"/>
    <x v="96"/>
    <n v="2"/>
    <n v="489.99"/>
    <n v="0.2"/>
    <n v="979.98"/>
    <m/>
    <x v="88"/>
    <x v="1"/>
  </r>
  <r>
    <x v="878"/>
    <x v="1"/>
    <x v="6"/>
    <n v="2"/>
    <n v="749.99"/>
    <n v="7.0000000000000007E-2"/>
    <n v="1499.98"/>
    <m/>
    <x v="6"/>
    <x v="1"/>
  </r>
  <r>
    <x v="878"/>
    <x v="2"/>
    <x v="56"/>
    <n v="2"/>
    <n v="149.99"/>
    <n v="0.2"/>
    <n v="299.98"/>
    <m/>
    <x v="49"/>
    <x v="1"/>
  </r>
  <r>
    <x v="878"/>
    <x v="3"/>
    <x v="90"/>
    <n v="1"/>
    <n v="659.99"/>
    <n v="7.0000000000000007E-2"/>
    <n v="659.99"/>
    <m/>
    <x v="83"/>
    <x v="1"/>
  </r>
  <r>
    <x v="879"/>
    <x v="0"/>
    <x v="76"/>
    <n v="2"/>
    <n v="2499.9899999999998"/>
    <n v="0.2"/>
    <n v="4999.9799999999996"/>
    <m/>
    <x v="69"/>
    <x v="1"/>
  </r>
  <r>
    <x v="879"/>
    <x v="1"/>
    <x v="43"/>
    <n v="1"/>
    <n v="299.99"/>
    <n v="0.1"/>
    <n v="299.99"/>
    <m/>
    <x v="31"/>
    <x v="1"/>
  </r>
  <r>
    <x v="879"/>
    <x v="2"/>
    <x v="21"/>
    <n v="1"/>
    <n v="1320.99"/>
    <n v="7.0000000000000007E-2"/>
    <n v="1320.99"/>
    <m/>
    <x v="18"/>
    <x v="1"/>
  </r>
  <r>
    <x v="879"/>
    <x v="3"/>
    <x v="8"/>
    <n v="1"/>
    <n v="599.99"/>
    <n v="0.1"/>
    <n v="599.99"/>
    <m/>
    <x v="3"/>
    <x v="1"/>
  </r>
  <r>
    <x v="879"/>
    <x v="4"/>
    <x v="82"/>
    <n v="1"/>
    <n v="250.99"/>
    <n v="0.2"/>
    <n v="250.99"/>
    <m/>
    <x v="75"/>
    <x v="1"/>
  </r>
  <r>
    <x v="880"/>
    <x v="0"/>
    <x v="72"/>
    <n v="1"/>
    <n v="489.99"/>
    <n v="7.0000000000000007E-2"/>
    <n v="489.99"/>
    <m/>
    <x v="65"/>
    <x v="2"/>
  </r>
  <r>
    <x v="880"/>
    <x v="1"/>
    <x v="69"/>
    <n v="1"/>
    <n v="5999.99"/>
    <n v="0.2"/>
    <n v="5999.99"/>
    <m/>
    <x v="62"/>
    <x v="2"/>
  </r>
  <r>
    <x v="880"/>
    <x v="2"/>
    <x v="38"/>
    <n v="2"/>
    <n v="489.99"/>
    <n v="0.05"/>
    <n v="979.98"/>
    <m/>
    <x v="34"/>
    <x v="2"/>
  </r>
  <r>
    <x v="880"/>
    <x v="3"/>
    <x v="50"/>
    <n v="1"/>
    <n v="250.99"/>
    <n v="0.1"/>
    <n v="250.99"/>
    <m/>
    <x v="43"/>
    <x v="2"/>
  </r>
  <r>
    <x v="881"/>
    <x v="0"/>
    <x v="65"/>
    <n v="2"/>
    <n v="3499.99"/>
    <n v="7.0000000000000007E-2"/>
    <n v="6999.98"/>
    <m/>
    <x v="58"/>
    <x v="1"/>
  </r>
  <r>
    <x v="881"/>
    <x v="1"/>
    <x v="75"/>
    <n v="2"/>
    <n v="449.99"/>
    <n v="0.2"/>
    <n v="899.98"/>
    <m/>
    <x v="68"/>
    <x v="1"/>
  </r>
  <r>
    <x v="881"/>
    <x v="2"/>
    <x v="94"/>
    <n v="2"/>
    <n v="1999.99"/>
    <n v="7.0000000000000007E-2"/>
    <n v="3999.98"/>
    <m/>
    <x v="86"/>
    <x v="1"/>
  </r>
  <r>
    <x v="882"/>
    <x v="0"/>
    <x v="99"/>
    <n v="1"/>
    <n v="539.99"/>
    <n v="0.05"/>
    <n v="539.99"/>
    <m/>
    <x v="91"/>
    <x v="1"/>
  </r>
  <r>
    <x v="882"/>
    <x v="1"/>
    <x v="21"/>
    <n v="2"/>
    <n v="1320.99"/>
    <n v="0.05"/>
    <n v="2641.98"/>
    <m/>
    <x v="18"/>
    <x v="1"/>
  </r>
  <r>
    <x v="883"/>
    <x v="0"/>
    <x v="60"/>
    <n v="2"/>
    <n v="3499.99"/>
    <n v="0.05"/>
    <n v="6999.98"/>
    <m/>
    <x v="53"/>
    <x v="1"/>
  </r>
  <r>
    <x v="883"/>
    <x v="1"/>
    <x v="79"/>
    <n v="2"/>
    <n v="416.99"/>
    <n v="7.0000000000000007E-2"/>
    <n v="833.98"/>
    <m/>
    <x v="72"/>
    <x v="1"/>
  </r>
  <r>
    <x v="883"/>
    <x v="2"/>
    <x v="109"/>
    <n v="2"/>
    <n v="1409.99"/>
    <n v="0.2"/>
    <n v="2819.98"/>
    <m/>
    <x v="101"/>
    <x v="1"/>
  </r>
  <r>
    <x v="883"/>
    <x v="3"/>
    <x v="2"/>
    <n v="1"/>
    <n v="1549"/>
    <n v="0.1"/>
    <n v="1549"/>
    <m/>
    <x v="2"/>
    <x v="1"/>
  </r>
  <r>
    <x v="883"/>
    <x v="4"/>
    <x v="20"/>
    <n v="2"/>
    <n v="269.99"/>
    <n v="0.05"/>
    <n v="539.98"/>
    <m/>
    <x v="15"/>
    <x v="1"/>
  </r>
  <r>
    <x v="884"/>
    <x v="0"/>
    <x v="26"/>
    <n v="1"/>
    <n v="449.99"/>
    <n v="7.0000000000000007E-2"/>
    <n v="449.99"/>
    <m/>
    <x v="22"/>
    <x v="2"/>
  </r>
  <r>
    <x v="884"/>
    <x v="1"/>
    <x v="52"/>
    <n v="1"/>
    <n v="5299.99"/>
    <n v="0.1"/>
    <n v="5299.99"/>
    <m/>
    <x v="45"/>
    <x v="2"/>
  </r>
  <r>
    <x v="885"/>
    <x v="0"/>
    <x v="42"/>
    <n v="1"/>
    <n v="5299.99"/>
    <n v="0.05"/>
    <n v="5299.99"/>
    <m/>
    <x v="37"/>
    <x v="0"/>
  </r>
  <r>
    <x v="885"/>
    <x v="1"/>
    <x v="34"/>
    <n v="1"/>
    <n v="999.99"/>
    <n v="0.05"/>
    <n v="999.99"/>
    <m/>
    <x v="30"/>
    <x v="0"/>
  </r>
  <r>
    <x v="886"/>
    <x v="0"/>
    <x v="69"/>
    <n v="2"/>
    <n v="5999.99"/>
    <n v="0.05"/>
    <n v="11999.98"/>
    <m/>
    <x v="62"/>
    <x v="1"/>
  </r>
  <r>
    <x v="886"/>
    <x v="1"/>
    <x v="63"/>
    <n v="1"/>
    <n v="659.99"/>
    <n v="0.1"/>
    <n v="659.99"/>
    <m/>
    <x v="56"/>
    <x v="1"/>
  </r>
  <r>
    <x v="887"/>
    <x v="0"/>
    <x v="57"/>
    <n v="2"/>
    <n v="469.99"/>
    <n v="0.1"/>
    <n v="939.98"/>
    <m/>
    <x v="50"/>
    <x v="1"/>
  </r>
  <r>
    <x v="887"/>
    <x v="1"/>
    <x v="8"/>
    <n v="2"/>
    <n v="599.99"/>
    <n v="0.2"/>
    <n v="1199.98"/>
    <m/>
    <x v="3"/>
    <x v="1"/>
  </r>
  <r>
    <x v="888"/>
    <x v="0"/>
    <x v="10"/>
    <n v="2"/>
    <n v="549.99"/>
    <n v="0.1"/>
    <n v="1099.98"/>
    <m/>
    <x v="9"/>
    <x v="2"/>
  </r>
  <r>
    <x v="889"/>
    <x v="0"/>
    <x v="3"/>
    <n v="2"/>
    <n v="599.99"/>
    <n v="0.1"/>
    <n v="1199.98"/>
    <m/>
    <x v="3"/>
    <x v="1"/>
  </r>
  <r>
    <x v="889"/>
    <x v="1"/>
    <x v="86"/>
    <n v="2"/>
    <n v="533.99"/>
    <n v="0.1"/>
    <n v="1067.98"/>
    <m/>
    <x v="79"/>
    <x v="1"/>
  </r>
  <r>
    <x v="889"/>
    <x v="2"/>
    <x v="58"/>
    <n v="1"/>
    <n v="875.99"/>
    <n v="0.05"/>
    <n v="875.99"/>
    <m/>
    <x v="51"/>
    <x v="1"/>
  </r>
  <r>
    <x v="889"/>
    <x v="3"/>
    <x v="50"/>
    <n v="1"/>
    <n v="250.99"/>
    <n v="0.1"/>
    <n v="250.99"/>
    <m/>
    <x v="43"/>
    <x v="1"/>
  </r>
  <r>
    <x v="889"/>
    <x v="4"/>
    <x v="105"/>
    <n v="2"/>
    <n v="346.99"/>
    <n v="0.1"/>
    <n v="693.98"/>
    <m/>
    <x v="97"/>
    <x v="1"/>
  </r>
  <r>
    <x v="890"/>
    <x v="0"/>
    <x v="92"/>
    <n v="2"/>
    <n v="416.99"/>
    <n v="0.1"/>
    <n v="833.98"/>
    <m/>
    <x v="72"/>
    <x v="1"/>
  </r>
  <r>
    <x v="890"/>
    <x v="1"/>
    <x v="33"/>
    <n v="1"/>
    <n v="469.99"/>
    <n v="0.05"/>
    <n v="469.99"/>
    <m/>
    <x v="29"/>
    <x v="1"/>
  </r>
  <r>
    <x v="890"/>
    <x v="2"/>
    <x v="100"/>
    <n v="2"/>
    <n v="832.99"/>
    <n v="0.1"/>
    <n v="1665.98"/>
    <m/>
    <x v="92"/>
    <x v="1"/>
  </r>
  <r>
    <x v="890"/>
    <x v="3"/>
    <x v="69"/>
    <n v="1"/>
    <n v="5999.99"/>
    <n v="0.1"/>
    <n v="5999.99"/>
    <m/>
    <x v="62"/>
    <x v="1"/>
  </r>
  <r>
    <x v="891"/>
    <x v="0"/>
    <x v="107"/>
    <n v="1"/>
    <n v="832.99"/>
    <n v="0.1"/>
    <n v="832.99"/>
    <m/>
    <x v="99"/>
    <x v="1"/>
  </r>
  <r>
    <x v="891"/>
    <x v="1"/>
    <x v="11"/>
    <n v="2"/>
    <n v="2999.99"/>
    <n v="0.2"/>
    <n v="5999.98"/>
    <m/>
    <x v="10"/>
    <x v="1"/>
  </r>
  <r>
    <x v="891"/>
    <x v="2"/>
    <x v="69"/>
    <n v="2"/>
    <n v="5999.99"/>
    <n v="7.0000000000000007E-2"/>
    <n v="11999.98"/>
    <m/>
    <x v="62"/>
    <x v="1"/>
  </r>
  <r>
    <x v="891"/>
    <x v="3"/>
    <x v="54"/>
    <n v="1"/>
    <n v="189.99"/>
    <n v="0.05"/>
    <n v="189.99"/>
    <m/>
    <x v="47"/>
    <x v="1"/>
  </r>
  <r>
    <x v="892"/>
    <x v="0"/>
    <x v="50"/>
    <n v="2"/>
    <n v="250.99"/>
    <n v="0.05"/>
    <n v="501.98"/>
    <m/>
    <x v="43"/>
    <x v="1"/>
  </r>
  <r>
    <x v="892"/>
    <x v="1"/>
    <x v="78"/>
    <n v="1"/>
    <n v="869.99"/>
    <n v="7.0000000000000007E-2"/>
    <n v="869.99"/>
    <m/>
    <x v="71"/>
    <x v="1"/>
  </r>
  <r>
    <x v="893"/>
    <x v="0"/>
    <x v="70"/>
    <n v="2"/>
    <n v="339.99"/>
    <n v="0.2"/>
    <n v="679.98"/>
    <m/>
    <x v="63"/>
    <x v="1"/>
  </r>
  <r>
    <x v="894"/>
    <x v="0"/>
    <x v="26"/>
    <n v="1"/>
    <n v="449.99"/>
    <n v="7.0000000000000007E-2"/>
    <n v="449.99"/>
    <m/>
    <x v="22"/>
    <x v="1"/>
  </r>
  <r>
    <x v="895"/>
    <x v="0"/>
    <x v="87"/>
    <n v="2"/>
    <n v="349.99"/>
    <n v="0.05"/>
    <n v="699.98"/>
    <m/>
    <x v="80"/>
    <x v="2"/>
  </r>
  <r>
    <x v="895"/>
    <x v="1"/>
    <x v="2"/>
    <n v="1"/>
    <n v="1549"/>
    <n v="0.05"/>
    <n v="1549"/>
    <m/>
    <x v="2"/>
    <x v="2"/>
  </r>
  <r>
    <x v="896"/>
    <x v="0"/>
    <x v="86"/>
    <n v="1"/>
    <n v="533.99"/>
    <n v="0.05"/>
    <n v="533.99"/>
    <m/>
    <x v="79"/>
    <x v="0"/>
  </r>
  <r>
    <x v="896"/>
    <x v="1"/>
    <x v="81"/>
    <n v="1"/>
    <n v="349.99"/>
    <n v="0.05"/>
    <n v="349.99"/>
    <m/>
    <x v="74"/>
    <x v="0"/>
  </r>
  <r>
    <x v="897"/>
    <x v="0"/>
    <x v="78"/>
    <n v="2"/>
    <n v="869.99"/>
    <n v="0.2"/>
    <n v="1739.98"/>
    <m/>
    <x v="71"/>
    <x v="1"/>
  </r>
  <r>
    <x v="897"/>
    <x v="1"/>
    <x v="3"/>
    <n v="1"/>
    <n v="599.99"/>
    <n v="7.0000000000000007E-2"/>
    <n v="599.99"/>
    <m/>
    <x v="3"/>
    <x v="1"/>
  </r>
  <r>
    <x v="897"/>
    <x v="2"/>
    <x v="94"/>
    <n v="2"/>
    <n v="1999.99"/>
    <n v="0.2"/>
    <n v="3999.98"/>
    <m/>
    <x v="86"/>
    <x v="1"/>
  </r>
  <r>
    <x v="897"/>
    <x v="3"/>
    <x v="79"/>
    <n v="2"/>
    <n v="416.99"/>
    <n v="7.0000000000000007E-2"/>
    <n v="833.98"/>
    <m/>
    <x v="72"/>
    <x v="1"/>
  </r>
  <r>
    <x v="898"/>
    <x v="0"/>
    <x v="64"/>
    <n v="2"/>
    <n v="2599.9899999999998"/>
    <n v="0.1"/>
    <n v="5199.9799999999996"/>
    <m/>
    <x v="57"/>
    <x v="1"/>
  </r>
  <r>
    <x v="898"/>
    <x v="1"/>
    <x v="7"/>
    <n v="1"/>
    <n v="429"/>
    <n v="0.1"/>
    <n v="429"/>
    <m/>
    <x v="7"/>
    <x v="1"/>
  </r>
  <r>
    <x v="898"/>
    <x v="2"/>
    <x v="18"/>
    <n v="1"/>
    <n v="469.99"/>
    <n v="0.2"/>
    <n v="469.99"/>
    <m/>
    <x v="16"/>
    <x v="1"/>
  </r>
  <r>
    <x v="899"/>
    <x v="0"/>
    <x v="8"/>
    <n v="2"/>
    <n v="599.99"/>
    <n v="0.05"/>
    <n v="1199.98"/>
    <m/>
    <x v="3"/>
    <x v="1"/>
  </r>
  <r>
    <x v="899"/>
    <x v="1"/>
    <x v="75"/>
    <n v="1"/>
    <n v="449.99"/>
    <n v="7.0000000000000007E-2"/>
    <n v="449.99"/>
    <m/>
    <x v="68"/>
    <x v="1"/>
  </r>
  <r>
    <x v="899"/>
    <x v="2"/>
    <x v="84"/>
    <n v="1"/>
    <n v="209.99"/>
    <n v="0.2"/>
    <n v="209.99"/>
    <m/>
    <x v="77"/>
    <x v="1"/>
  </r>
  <r>
    <x v="899"/>
    <x v="3"/>
    <x v="32"/>
    <n v="2"/>
    <n v="4999.99"/>
    <n v="0.05"/>
    <n v="9999.98"/>
    <m/>
    <x v="28"/>
    <x v="1"/>
  </r>
  <r>
    <x v="899"/>
    <x v="4"/>
    <x v="76"/>
    <n v="2"/>
    <n v="2499.9899999999998"/>
    <n v="7.0000000000000007E-2"/>
    <n v="4999.9799999999996"/>
    <m/>
    <x v="69"/>
    <x v="1"/>
  </r>
  <r>
    <x v="900"/>
    <x v="0"/>
    <x v="69"/>
    <n v="1"/>
    <n v="5999.99"/>
    <n v="0.2"/>
    <n v="5999.99"/>
    <m/>
    <x v="62"/>
    <x v="1"/>
  </r>
  <r>
    <x v="900"/>
    <x v="1"/>
    <x v="52"/>
    <n v="1"/>
    <n v="5299.99"/>
    <n v="7.0000000000000007E-2"/>
    <n v="5299.99"/>
    <m/>
    <x v="45"/>
    <x v="1"/>
  </r>
  <r>
    <x v="901"/>
    <x v="0"/>
    <x v="83"/>
    <n v="2"/>
    <n v="549.99"/>
    <n v="7.0000000000000007E-2"/>
    <n v="1099.98"/>
    <m/>
    <x v="76"/>
    <x v="1"/>
  </r>
  <r>
    <x v="901"/>
    <x v="1"/>
    <x v="102"/>
    <n v="1"/>
    <n v="209.99"/>
    <n v="7.0000000000000007E-2"/>
    <n v="209.99"/>
    <m/>
    <x v="94"/>
    <x v="1"/>
  </r>
  <r>
    <x v="901"/>
    <x v="2"/>
    <x v="10"/>
    <n v="1"/>
    <n v="549.99"/>
    <n v="0.2"/>
    <n v="549.99"/>
    <m/>
    <x v="9"/>
    <x v="1"/>
  </r>
  <r>
    <x v="901"/>
    <x v="3"/>
    <x v="35"/>
    <n v="2"/>
    <n v="299.99"/>
    <n v="0.05"/>
    <n v="599.98"/>
    <m/>
    <x v="31"/>
    <x v="1"/>
  </r>
  <r>
    <x v="902"/>
    <x v="0"/>
    <x v="93"/>
    <n v="2"/>
    <n v="1632.99"/>
    <n v="7.0000000000000007E-2"/>
    <n v="3265.98"/>
    <m/>
    <x v="85"/>
    <x v="1"/>
  </r>
  <r>
    <x v="902"/>
    <x v="1"/>
    <x v="74"/>
    <n v="2"/>
    <n v="1499.99"/>
    <n v="0.05"/>
    <n v="2999.98"/>
    <m/>
    <x v="67"/>
    <x v="1"/>
  </r>
  <r>
    <x v="903"/>
    <x v="0"/>
    <x v="107"/>
    <n v="2"/>
    <n v="832.99"/>
    <n v="0.1"/>
    <n v="1665.98"/>
    <m/>
    <x v="99"/>
    <x v="0"/>
  </r>
  <r>
    <x v="903"/>
    <x v="1"/>
    <x v="80"/>
    <n v="2"/>
    <n v="6499.99"/>
    <n v="7.0000000000000007E-2"/>
    <n v="12999.98"/>
    <m/>
    <x v="73"/>
    <x v="0"/>
  </r>
  <r>
    <x v="903"/>
    <x v="2"/>
    <x v="102"/>
    <n v="2"/>
    <n v="209.99"/>
    <n v="0.2"/>
    <n v="419.98"/>
    <m/>
    <x v="94"/>
    <x v="0"/>
  </r>
  <r>
    <x v="903"/>
    <x v="3"/>
    <x v="17"/>
    <n v="1"/>
    <n v="269.99"/>
    <n v="0.2"/>
    <n v="269.99"/>
    <m/>
    <x v="15"/>
    <x v="0"/>
  </r>
  <r>
    <x v="904"/>
    <x v="0"/>
    <x v="50"/>
    <n v="1"/>
    <n v="250.99"/>
    <n v="0.1"/>
    <n v="250.99"/>
    <m/>
    <x v="43"/>
    <x v="1"/>
  </r>
  <r>
    <x v="904"/>
    <x v="1"/>
    <x v="37"/>
    <n v="2"/>
    <n v="3499.99"/>
    <n v="0.05"/>
    <n v="6999.98"/>
    <m/>
    <x v="33"/>
    <x v="1"/>
  </r>
  <r>
    <x v="904"/>
    <x v="2"/>
    <x v="41"/>
    <n v="2"/>
    <n v="2299.9899999999998"/>
    <n v="0.2"/>
    <n v="4599.9799999999996"/>
    <m/>
    <x v="36"/>
    <x v="1"/>
  </r>
  <r>
    <x v="904"/>
    <x v="3"/>
    <x v="0"/>
    <n v="1"/>
    <n v="599.99"/>
    <n v="0.2"/>
    <n v="599.99"/>
    <m/>
    <x v="0"/>
    <x v="1"/>
  </r>
  <r>
    <x v="905"/>
    <x v="0"/>
    <x v="19"/>
    <n v="2"/>
    <n v="299.99"/>
    <n v="0.2"/>
    <n v="599.98"/>
    <m/>
    <x v="17"/>
    <x v="1"/>
  </r>
  <r>
    <x v="905"/>
    <x v="1"/>
    <x v="76"/>
    <n v="2"/>
    <n v="2499.9899999999998"/>
    <n v="7.0000000000000007E-2"/>
    <n v="4999.9799999999996"/>
    <m/>
    <x v="69"/>
    <x v="1"/>
  </r>
  <r>
    <x v="905"/>
    <x v="2"/>
    <x v="109"/>
    <n v="1"/>
    <n v="1409.99"/>
    <n v="0.05"/>
    <n v="1409.99"/>
    <m/>
    <x v="101"/>
    <x v="1"/>
  </r>
  <r>
    <x v="905"/>
    <x v="3"/>
    <x v="48"/>
    <n v="2"/>
    <n v="489.99"/>
    <n v="0.1"/>
    <n v="979.98"/>
    <m/>
    <x v="34"/>
    <x v="1"/>
  </r>
  <r>
    <x v="905"/>
    <x v="4"/>
    <x v="13"/>
    <n v="2"/>
    <n v="269.99"/>
    <n v="0.2"/>
    <n v="539.98"/>
    <m/>
    <x v="12"/>
    <x v="1"/>
  </r>
  <r>
    <x v="906"/>
    <x v="0"/>
    <x v="73"/>
    <n v="2"/>
    <n v="109.99"/>
    <n v="7.0000000000000007E-2"/>
    <n v="219.98"/>
    <m/>
    <x v="66"/>
    <x v="0"/>
  </r>
  <r>
    <x v="906"/>
    <x v="1"/>
    <x v="105"/>
    <n v="1"/>
    <n v="346.99"/>
    <n v="7.0000000000000007E-2"/>
    <n v="346.99"/>
    <m/>
    <x v="97"/>
    <x v="0"/>
  </r>
  <r>
    <x v="907"/>
    <x v="0"/>
    <x v="67"/>
    <n v="1"/>
    <n v="1469.99"/>
    <n v="0.2"/>
    <n v="1469.99"/>
    <m/>
    <x v="60"/>
    <x v="1"/>
  </r>
  <r>
    <x v="907"/>
    <x v="1"/>
    <x v="49"/>
    <n v="1"/>
    <n v="249.99"/>
    <n v="0.1"/>
    <n v="249.99"/>
    <m/>
    <x v="42"/>
    <x v="1"/>
  </r>
  <r>
    <x v="907"/>
    <x v="2"/>
    <x v="48"/>
    <n v="2"/>
    <n v="489.99"/>
    <n v="0.1"/>
    <n v="979.98"/>
    <m/>
    <x v="34"/>
    <x v="1"/>
  </r>
  <r>
    <x v="908"/>
    <x v="0"/>
    <x v="21"/>
    <n v="1"/>
    <n v="1320.99"/>
    <n v="0.2"/>
    <n v="1320.99"/>
    <m/>
    <x v="18"/>
    <x v="0"/>
  </r>
  <r>
    <x v="909"/>
    <x v="0"/>
    <x v="19"/>
    <n v="1"/>
    <n v="299.99"/>
    <n v="0.1"/>
    <n v="299.99"/>
    <m/>
    <x v="17"/>
    <x v="1"/>
  </r>
  <r>
    <x v="910"/>
    <x v="0"/>
    <x v="82"/>
    <n v="2"/>
    <n v="250.99"/>
    <n v="0.05"/>
    <n v="501.98"/>
    <m/>
    <x v="75"/>
    <x v="1"/>
  </r>
  <r>
    <x v="910"/>
    <x v="1"/>
    <x v="26"/>
    <n v="1"/>
    <n v="449.99"/>
    <n v="0.05"/>
    <n v="449.99"/>
    <m/>
    <x v="22"/>
    <x v="1"/>
  </r>
  <r>
    <x v="910"/>
    <x v="2"/>
    <x v="87"/>
    <n v="2"/>
    <n v="349.99"/>
    <n v="0.05"/>
    <n v="699.98"/>
    <m/>
    <x v="80"/>
    <x v="1"/>
  </r>
  <r>
    <x v="910"/>
    <x v="3"/>
    <x v="60"/>
    <n v="1"/>
    <n v="3499.99"/>
    <n v="0.2"/>
    <n v="3499.99"/>
    <m/>
    <x v="53"/>
    <x v="1"/>
  </r>
  <r>
    <x v="911"/>
    <x v="0"/>
    <x v="13"/>
    <n v="2"/>
    <n v="269.99"/>
    <n v="0.2"/>
    <n v="539.98"/>
    <m/>
    <x v="12"/>
    <x v="0"/>
  </r>
  <r>
    <x v="911"/>
    <x v="1"/>
    <x v="68"/>
    <n v="2"/>
    <n v="416.99"/>
    <n v="0.05"/>
    <n v="833.98"/>
    <m/>
    <x v="61"/>
    <x v="0"/>
  </r>
  <r>
    <x v="911"/>
    <x v="2"/>
    <x v="70"/>
    <n v="1"/>
    <n v="339.99"/>
    <n v="0.05"/>
    <n v="339.99"/>
    <m/>
    <x v="63"/>
    <x v="0"/>
  </r>
  <r>
    <x v="911"/>
    <x v="3"/>
    <x v="6"/>
    <n v="2"/>
    <n v="749.99"/>
    <n v="0.2"/>
    <n v="1499.98"/>
    <m/>
    <x v="6"/>
    <x v="0"/>
  </r>
  <r>
    <x v="912"/>
    <x v="0"/>
    <x v="45"/>
    <n v="2"/>
    <n v="209.99"/>
    <n v="0.1"/>
    <n v="419.98"/>
    <m/>
    <x v="39"/>
    <x v="1"/>
  </r>
  <r>
    <x v="912"/>
    <x v="1"/>
    <x v="24"/>
    <n v="2"/>
    <n v="549.99"/>
    <n v="0.05"/>
    <n v="1099.98"/>
    <m/>
    <x v="9"/>
    <x v="1"/>
  </r>
  <r>
    <x v="913"/>
    <x v="0"/>
    <x v="83"/>
    <n v="1"/>
    <n v="549.99"/>
    <n v="7.0000000000000007E-2"/>
    <n v="549.99"/>
    <m/>
    <x v="76"/>
    <x v="0"/>
  </r>
  <r>
    <x v="913"/>
    <x v="1"/>
    <x v="0"/>
    <n v="2"/>
    <n v="599.99"/>
    <n v="0.2"/>
    <n v="1199.98"/>
    <m/>
    <x v="0"/>
    <x v="0"/>
  </r>
  <r>
    <x v="913"/>
    <x v="2"/>
    <x v="26"/>
    <n v="1"/>
    <n v="449.99"/>
    <n v="0.05"/>
    <n v="449.99"/>
    <m/>
    <x v="22"/>
    <x v="0"/>
  </r>
  <r>
    <x v="913"/>
    <x v="3"/>
    <x v="109"/>
    <n v="1"/>
    <n v="1409.99"/>
    <n v="0.1"/>
    <n v="1409.99"/>
    <m/>
    <x v="101"/>
    <x v="0"/>
  </r>
  <r>
    <x v="914"/>
    <x v="0"/>
    <x v="38"/>
    <n v="1"/>
    <n v="489.99"/>
    <n v="0.05"/>
    <n v="489.99"/>
    <m/>
    <x v="34"/>
    <x v="1"/>
  </r>
  <r>
    <x v="914"/>
    <x v="1"/>
    <x v="74"/>
    <n v="1"/>
    <n v="1499.99"/>
    <n v="7.0000000000000007E-2"/>
    <n v="1499.99"/>
    <m/>
    <x v="67"/>
    <x v="1"/>
  </r>
  <r>
    <x v="914"/>
    <x v="2"/>
    <x v="41"/>
    <n v="1"/>
    <n v="2299.9899999999998"/>
    <n v="0.2"/>
    <n v="2299.9899999999998"/>
    <m/>
    <x v="36"/>
    <x v="1"/>
  </r>
  <r>
    <x v="914"/>
    <x v="3"/>
    <x v="6"/>
    <n v="1"/>
    <n v="749.99"/>
    <n v="7.0000000000000007E-2"/>
    <n v="749.99"/>
    <m/>
    <x v="6"/>
    <x v="1"/>
  </r>
  <r>
    <x v="915"/>
    <x v="0"/>
    <x v="102"/>
    <n v="1"/>
    <n v="209.99"/>
    <n v="0.2"/>
    <n v="209.99"/>
    <m/>
    <x v="94"/>
    <x v="1"/>
  </r>
  <r>
    <x v="916"/>
    <x v="0"/>
    <x v="67"/>
    <n v="1"/>
    <n v="1469.99"/>
    <n v="7.0000000000000007E-2"/>
    <n v="1469.99"/>
    <m/>
    <x v="60"/>
    <x v="0"/>
  </r>
  <r>
    <x v="917"/>
    <x v="0"/>
    <x v="87"/>
    <n v="1"/>
    <n v="349.99"/>
    <n v="0.2"/>
    <n v="349.99"/>
    <m/>
    <x v="80"/>
    <x v="0"/>
  </r>
  <r>
    <x v="917"/>
    <x v="1"/>
    <x v="93"/>
    <n v="1"/>
    <n v="1632.99"/>
    <n v="0.1"/>
    <n v="1632.99"/>
    <m/>
    <x v="85"/>
    <x v="0"/>
  </r>
  <r>
    <x v="917"/>
    <x v="2"/>
    <x v="4"/>
    <n v="2"/>
    <n v="2899.99"/>
    <n v="7.0000000000000007E-2"/>
    <n v="5799.98"/>
    <m/>
    <x v="4"/>
    <x v="0"/>
  </r>
  <r>
    <x v="918"/>
    <x v="0"/>
    <x v="14"/>
    <n v="1"/>
    <n v="3999.99"/>
    <n v="7.0000000000000007E-2"/>
    <n v="3999.99"/>
    <m/>
    <x v="13"/>
    <x v="1"/>
  </r>
  <r>
    <x v="918"/>
    <x v="1"/>
    <x v="99"/>
    <n v="1"/>
    <n v="539.99"/>
    <n v="0.1"/>
    <n v="539.99"/>
    <m/>
    <x v="91"/>
    <x v="1"/>
  </r>
  <r>
    <x v="919"/>
    <x v="0"/>
    <x v="35"/>
    <n v="1"/>
    <n v="299.99"/>
    <n v="0.05"/>
    <n v="299.99"/>
    <m/>
    <x v="31"/>
    <x v="1"/>
  </r>
  <r>
    <x v="919"/>
    <x v="1"/>
    <x v="62"/>
    <n v="2"/>
    <n v="1499.99"/>
    <n v="7.0000000000000007E-2"/>
    <n v="2999.98"/>
    <m/>
    <x v="55"/>
    <x v="1"/>
  </r>
  <r>
    <x v="919"/>
    <x v="2"/>
    <x v="46"/>
    <n v="1"/>
    <n v="647.99"/>
    <n v="0.05"/>
    <n v="647.99"/>
    <m/>
    <x v="40"/>
    <x v="1"/>
  </r>
  <r>
    <x v="919"/>
    <x v="3"/>
    <x v="53"/>
    <n v="2"/>
    <n v="761.99"/>
    <n v="7.0000000000000007E-2"/>
    <n v="1523.98"/>
    <m/>
    <x v="46"/>
    <x v="1"/>
  </r>
  <r>
    <x v="920"/>
    <x v="0"/>
    <x v="104"/>
    <n v="1"/>
    <n v="799.99"/>
    <n v="0.2"/>
    <n v="799.99"/>
    <m/>
    <x v="96"/>
    <x v="1"/>
  </r>
  <r>
    <x v="920"/>
    <x v="1"/>
    <x v="85"/>
    <n v="2"/>
    <n v="599.99"/>
    <n v="7.0000000000000007E-2"/>
    <n v="1199.98"/>
    <m/>
    <x v="78"/>
    <x v="1"/>
  </r>
  <r>
    <x v="920"/>
    <x v="2"/>
    <x v="74"/>
    <n v="1"/>
    <n v="1499.99"/>
    <n v="0.1"/>
    <n v="1499.99"/>
    <m/>
    <x v="67"/>
    <x v="1"/>
  </r>
  <r>
    <x v="921"/>
    <x v="0"/>
    <x v="39"/>
    <n v="1"/>
    <n v="449.99"/>
    <n v="0.2"/>
    <n v="449.99"/>
    <m/>
    <x v="22"/>
    <x v="1"/>
  </r>
  <r>
    <x v="921"/>
    <x v="1"/>
    <x v="30"/>
    <n v="1"/>
    <n v="749.99"/>
    <n v="0.2"/>
    <n v="749.99"/>
    <m/>
    <x v="26"/>
    <x v="1"/>
  </r>
  <r>
    <x v="921"/>
    <x v="2"/>
    <x v="106"/>
    <n v="1"/>
    <n v="149.99"/>
    <n v="0.1"/>
    <n v="149.99"/>
    <m/>
    <x v="98"/>
    <x v="1"/>
  </r>
  <r>
    <x v="922"/>
    <x v="0"/>
    <x v="51"/>
    <n v="2"/>
    <n v="439.99"/>
    <n v="0.05"/>
    <n v="879.98"/>
    <m/>
    <x v="44"/>
    <x v="1"/>
  </r>
  <r>
    <x v="922"/>
    <x v="1"/>
    <x v="18"/>
    <n v="1"/>
    <n v="469.99"/>
    <n v="0.1"/>
    <n v="469.99"/>
    <m/>
    <x v="16"/>
    <x v="1"/>
  </r>
  <r>
    <x v="923"/>
    <x v="0"/>
    <x v="44"/>
    <n v="2"/>
    <n v="349.99"/>
    <n v="0.2"/>
    <n v="699.98"/>
    <m/>
    <x v="38"/>
    <x v="2"/>
  </r>
  <r>
    <x v="923"/>
    <x v="1"/>
    <x v="107"/>
    <n v="1"/>
    <n v="832.99"/>
    <n v="0.2"/>
    <n v="832.99"/>
    <m/>
    <x v="99"/>
    <x v="2"/>
  </r>
  <r>
    <x v="924"/>
    <x v="0"/>
    <x v="44"/>
    <n v="1"/>
    <n v="349.99"/>
    <n v="7.0000000000000007E-2"/>
    <n v="349.99"/>
    <m/>
    <x v="38"/>
    <x v="1"/>
  </r>
  <r>
    <x v="924"/>
    <x v="1"/>
    <x v="37"/>
    <n v="2"/>
    <n v="3499.99"/>
    <n v="0.2"/>
    <n v="6999.98"/>
    <m/>
    <x v="33"/>
    <x v="1"/>
  </r>
  <r>
    <x v="925"/>
    <x v="0"/>
    <x v="88"/>
    <n v="2"/>
    <n v="379.99"/>
    <n v="0.2"/>
    <n v="759.98"/>
    <m/>
    <x v="81"/>
    <x v="0"/>
  </r>
  <r>
    <x v="926"/>
    <x v="0"/>
    <x v="51"/>
    <n v="2"/>
    <n v="439.99"/>
    <n v="0.1"/>
    <n v="879.98"/>
    <m/>
    <x v="44"/>
    <x v="0"/>
  </r>
  <r>
    <x v="926"/>
    <x v="1"/>
    <x v="3"/>
    <n v="2"/>
    <n v="599.99"/>
    <n v="0.2"/>
    <n v="1199.98"/>
    <m/>
    <x v="3"/>
    <x v="0"/>
  </r>
  <r>
    <x v="926"/>
    <x v="2"/>
    <x v="69"/>
    <n v="1"/>
    <n v="5999.99"/>
    <n v="0.1"/>
    <n v="5999.99"/>
    <m/>
    <x v="62"/>
    <x v="0"/>
  </r>
  <r>
    <x v="926"/>
    <x v="3"/>
    <x v="5"/>
    <n v="1"/>
    <n v="999.99"/>
    <n v="0.1"/>
    <n v="999.99"/>
    <m/>
    <x v="5"/>
    <x v="0"/>
  </r>
  <r>
    <x v="926"/>
    <x v="4"/>
    <x v="52"/>
    <n v="1"/>
    <n v="5299.99"/>
    <n v="7.0000000000000007E-2"/>
    <n v="5299.99"/>
    <m/>
    <x v="45"/>
    <x v="0"/>
  </r>
  <r>
    <x v="927"/>
    <x v="0"/>
    <x v="68"/>
    <n v="2"/>
    <n v="416.99"/>
    <n v="0.05"/>
    <n v="833.98"/>
    <m/>
    <x v="61"/>
    <x v="0"/>
  </r>
  <r>
    <x v="927"/>
    <x v="1"/>
    <x v="56"/>
    <n v="1"/>
    <n v="149.99"/>
    <n v="0.2"/>
    <n v="149.99"/>
    <m/>
    <x v="49"/>
    <x v="0"/>
  </r>
  <r>
    <x v="928"/>
    <x v="0"/>
    <x v="90"/>
    <n v="1"/>
    <n v="659.99"/>
    <n v="0.2"/>
    <n v="659.99"/>
    <m/>
    <x v="83"/>
    <x v="1"/>
  </r>
  <r>
    <x v="928"/>
    <x v="1"/>
    <x v="65"/>
    <n v="2"/>
    <n v="3499.99"/>
    <n v="0.1"/>
    <n v="6999.98"/>
    <m/>
    <x v="58"/>
    <x v="1"/>
  </r>
  <r>
    <x v="928"/>
    <x v="2"/>
    <x v="24"/>
    <n v="1"/>
    <n v="549.99"/>
    <n v="0.05"/>
    <n v="549.99"/>
    <m/>
    <x v="9"/>
    <x v="1"/>
  </r>
  <r>
    <x v="929"/>
    <x v="0"/>
    <x v="28"/>
    <n v="2"/>
    <n v="5499.99"/>
    <n v="7.0000000000000007E-2"/>
    <n v="10999.98"/>
    <m/>
    <x v="24"/>
    <x v="2"/>
  </r>
  <r>
    <x v="929"/>
    <x v="1"/>
    <x v="90"/>
    <n v="1"/>
    <n v="659.99"/>
    <n v="7.0000000000000007E-2"/>
    <n v="659.99"/>
    <m/>
    <x v="83"/>
    <x v="2"/>
  </r>
  <r>
    <x v="929"/>
    <x v="2"/>
    <x v="91"/>
    <n v="1"/>
    <n v="1559.99"/>
    <n v="0.1"/>
    <n v="1559.99"/>
    <m/>
    <x v="84"/>
    <x v="2"/>
  </r>
  <r>
    <x v="929"/>
    <x v="3"/>
    <x v="105"/>
    <n v="2"/>
    <n v="346.99"/>
    <n v="0.05"/>
    <n v="693.98"/>
    <m/>
    <x v="97"/>
    <x v="2"/>
  </r>
  <r>
    <x v="929"/>
    <x v="4"/>
    <x v="80"/>
    <n v="2"/>
    <n v="6499.99"/>
    <n v="0.1"/>
    <n v="12999.98"/>
    <m/>
    <x v="73"/>
    <x v="2"/>
  </r>
  <r>
    <x v="930"/>
    <x v="0"/>
    <x v="60"/>
    <n v="2"/>
    <n v="3499.99"/>
    <n v="7.0000000000000007E-2"/>
    <n v="6999.98"/>
    <m/>
    <x v="53"/>
    <x v="1"/>
  </r>
  <r>
    <x v="930"/>
    <x v="1"/>
    <x v="35"/>
    <n v="1"/>
    <n v="299.99"/>
    <n v="0.2"/>
    <n v="299.99"/>
    <m/>
    <x v="31"/>
    <x v="1"/>
  </r>
  <r>
    <x v="931"/>
    <x v="0"/>
    <x v="51"/>
    <n v="1"/>
    <n v="439.99"/>
    <n v="0.05"/>
    <n v="439.99"/>
    <m/>
    <x v="44"/>
    <x v="1"/>
  </r>
  <r>
    <x v="932"/>
    <x v="0"/>
    <x v="104"/>
    <n v="1"/>
    <n v="799.99"/>
    <n v="7.0000000000000007E-2"/>
    <n v="799.99"/>
    <m/>
    <x v="96"/>
    <x v="1"/>
  </r>
  <r>
    <x v="932"/>
    <x v="1"/>
    <x v="20"/>
    <n v="1"/>
    <n v="269.99"/>
    <n v="0.2"/>
    <n v="269.99"/>
    <m/>
    <x v="15"/>
    <x v="1"/>
  </r>
  <r>
    <x v="932"/>
    <x v="2"/>
    <x v="85"/>
    <n v="2"/>
    <n v="599.99"/>
    <n v="0.05"/>
    <n v="1199.98"/>
    <m/>
    <x v="78"/>
    <x v="1"/>
  </r>
  <r>
    <x v="933"/>
    <x v="0"/>
    <x v="100"/>
    <n v="2"/>
    <n v="832.99"/>
    <n v="0.05"/>
    <n v="1665.98"/>
    <m/>
    <x v="92"/>
    <x v="1"/>
  </r>
  <r>
    <x v="933"/>
    <x v="1"/>
    <x v="74"/>
    <n v="1"/>
    <n v="1499.99"/>
    <n v="0.05"/>
    <n v="1499.99"/>
    <m/>
    <x v="67"/>
    <x v="1"/>
  </r>
  <r>
    <x v="933"/>
    <x v="2"/>
    <x v="9"/>
    <n v="1"/>
    <n v="449"/>
    <n v="0.1"/>
    <n v="449"/>
    <m/>
    <x v="8"/>
    <x v="1"/>
  </r>
  <r>
    <x v="933"/>
    <x v="3"/>
    <x v="32"/>
    <n v="1"/>
    <n v="4999.99"/>
    <n v="7.0000000000000007E-2"/>
    <n v="4999.99"/>
    <m/>
    <x v="28"/>
    <x v="1"/>
  </r>
  <r>
    <x v="933"/>
    <x v="4"/>
    <x v="28"/>
    <n v="2"/>
    <n v="5499.99"/>
    <n v="0.2"/>
    <n v="10999.98"/>
    <m/>
    <x v="24"/>
    <x v="1"/>
  </r>
  <r>
    <x v="934"/>
    <x v="0"/>
    <x v="105"/>
    <n v="2"/>
    <n v="346.99"/>
    <n v="0.2"/>
    <n v="693.98"/>
    <m/>
    <x v="97"/>
    <x v="2"/>
  </r>
  <r>
    <x v="934"/>
    <x v="1"/>
    <x v="35"/>
    <n v="2"/>
    <n v="299.99"/>
    <n v="7.0000000000000007E-2"/>
    <n v="599.98"/>
    <m/>
    <x v="31"/>
    <x v="2"/>
  </r>
  <r>
    <x v="934"/>
    <x v="2"/>
    <x v="18"/>
    <n v="1"/>
    <n v="469.99"/>
    <n v="7.0000000000000007E-2"/>
    <n v="469.99"/>
    <m/>
    <x v="16"/>
    <x v="2"/>
  </r>
  <r>
    <x v="934"/>
    <x v="3"/>
    <x v="83"/>
    <n v="1"/>
    <n v="549.99"/>
    <n v="7.0000000000000007E-2"/>
    <n v="549.99"/>
    <m/>
    <x v="76"/>
    <x v="2"/>
  </r>
  <r>
    <x v="935"/>
    <x v="0"/>
    <x v="63"/>
    <n v="1"/>
    <n v="659.99"/>
    <n v="0.1"/>
    <n v="659.99"/>
    <m/>
    <x v="56"/>
    <x v="1"/>
  </r>
  <r>
    <x v="935"/>
    <x v="1"/>
    <x v="99"/>
    <n v="1"/>
    <n v="539.99"/>
    <n v="7.0000000000000007E-2"/>
    <n v="539.99"/>
    <m/>
    <x v="91"/>
    <x v="1"/>
  </r>
  <r>
    <x v="936"/>
    <x v="0"/>
    <x v="75"/>
    <n v="2"/>
    <n v="449.99"/>
    <n v="0.1"/>
    <n v="899.98"/>
    <m/>
    <x v="68"/>
    <x v="1"/>
  </r>
  <r>
    <x v="936"/>
    <x v="1"/>
    <x v="80"/>
    <n v="2"/>
    <n v="6499.99"/>
    <n v="7.0000000000000007E-2"/>
    <n v="12999.98"/>
    <m/>
    <x v="73"/>
    <x v="1"/>
  </r>
  <r>
    <x v="936"/>
    <x v="2"/>
    <x v="71"/>
    <n v="2"/>
    <n v="4999.99"/>
    <n v="7.0000000000000007E-2"/>
    <n v="9999.98"/>
    <m/>
    <x v="64"/>
    <x v="1"/>
  </r>
  <r>
    <x v="936"/>
    <x v="3"/>
    <x v="76"/>
    <n v="2"/>
    <n v="2499.9899999999998"/>
    <n v="7.0000000000000007E-2"/>
    <n v="4999.9799999999996"/>
    <m/>
    <x v="69"/>
    <x v="1"/>
  </r>
  <r>
    <x v="936"/>
    <x v="4"/>
    <x v="82"/>
    <n v="1"/>
    <n v="250.99"/>
    <n v="0.2"/>
    <n v="250.99"/>
    <m/>
    <x v="75"/>
    <x v="1"/>
  </r>
  <r>
    <x v="937"/>
    <x v="0"/>
    <x v="4"/>
    <n v="1"/>
    <n v="2899.99"/>
    <n v="0.05"/>
    <n v="2899.99"/>
    <m/>
    <x v="4"/>
    <x v="1"/>
  </r>
  <r>
    <x v="937"/>
    <x v="1"/>
    <x v="17"/>
    <n v="1"/>
    <n v="269.99"/>
    <n v="0.05"/>
    <n v="269.99"/>
    <m/>
    <x v="15"/>
    <x v="1"/>
  </r>
  <r>
    <x v="938"/>
    <x v="0"/>
    <x v="21"/>
    <n v="1"/>
    <n v="1320.99"/>
    <n v="0.1"/>
    <n v="1320.99"/>
    <m/>
    <x v="18"/>
    <x v="1"/>
  </r>
  <r>
    <x v="938"/>
    <x v="1"/>
    <x v="92"/>
    <n v="2"/>
    <n v="416.99"/>
    <n v="0.2"/>
    <n v="833.98"/>
    <m/>
    <x v="72"/>
    <x v="1"/>
  </r>
  <r>
    <x v="939"/>
    <x v="0"/>
    <x v="85"/>
    <n v="2"/>
    <n v="599.99"/>
    <n v="0.2"/>
    <n v="1199.98"/>
    <m/>
    <x v="78"/>
    <x v="0"/>
  </r>
  <r>
    <x v="940"/>
    <x v="0"/>
    <x v="22"/>
    <n v="1"/>
    <n v="499.99"/>
    <n v="0.1"/>
    <n v="499.99"/>
    <m/>
    <x v="19"/>
    <x v="0"/>
  </r>
  <r>
    <x v="940"/>
    <x v="1"/>
    <x v="48"/>
    <n v="2"/>
    <n v="489.99"/>
    <n v="0.05"/>
    <n v="979.98"/>
    <m/>
    <x v="34"/>
    <x v="0"/>
  </r>
  <r>
    <x v="940"/>
    <x v="2"/>
    <x v="16"/>
    <n v="2"/>
    <n v="1680.99"/>
    <n v="7.0000000000000007E-2"/>
    <n v="3361.98"/>
    <m/>
    <x v="14"/>
    <x v="0"/>
  </r>
  <r>
    <x v="941"/>
    <x v="0"/>
    <x v="72"/>
    <n v="2"/>
    <n v="489.99"/>
    <n v="0.05"/>
    <n v="979.98"/>
    <m/>
    <x v="65"/>
    <x v="1"/>
  </r>
  <r>
    <x v="941"/>
    <x v="1"/>
    <x v="55"/>
    <n v="2"/>
    <n v="470.99"/>
    <n v="0.1"/>
    <n v="941.98"/>
    <m/>
    <x v="48"/>
    <x v="1"/>
  </r>
  <r>
    <x v="941"/>
    <x v="2"/>
    <x v="100"/>
    <n v="2"/>
    <n v="832.99"/>
    <n v="7.0000000000000007E-2"/>
    <n v="1665.98"/>
    <m/>
    <x v="92"/>
    <x v="1"/>
  </r>
  <r>
    <x v="941"/>
    <x v="3"/>
    <x v="27"/>
    <n v="1"/>
    <n v="551.99"/>
    <n v="0.05"/>
    <n v="551.99"/>
    <m/>
    <x v="23"/>
    <x v="1"/>
  </r>
  <r>
    <x v="941"/>
    <x v="4"/>
    <x v="96"/>
    <n v="1"/>
    <n v="489.99"/>
    <n v="0.05"/>
    <n v="489.99"/>
    <m/>
    <x v="88"/>
    <x v="1"/>
  </r>
  <r>
    <x v="942"/>
    <x v="0"/>
    <x v="22"/>
    <n v="1"/>
    <n v="499.99"/>
    <n v="0.2"/>
    <n v="499.99"/>
    <m/>
    <x v="19"/>
    <x v="1"/>
  </r>
  <r>
    <x v="942"/>
    <x v="1"/>
    <x v="90"/>
    <n v="1"/>
    <n v="659.99"/>
    <n v="0.2"/>
    <n v="659.99"/>
    <m/>
    <x v="83"/>
    <x v="1"/>
  </r>
  <r>
    <x v="943"/>
    <x v="0"/>
    <x v="61"/>
    <n v="2"/>
    <n v="999.99"/>
    <n v="7.0000000000000007E-2"/>
    <n v="1999.98"/>
    <m/>
    <x v="54"/>
    <x v="0"/>
  </r>
  <r>
    <x v="943"/>
    <x v="1"/>
    <x v="3"/>
    <n v="2"/>
    <n v="599.99"/>
    <n v="0.1"/>
    <n v="1199.98"/>
    <m/>
    <x v="3"/>
    <x v="0"/>
  </r>
  <r>
    <x v="943"/>
    <x v="2"/>
    <x v="63"/>
    <n v="2"/>
    <n v="659.99"/>
    <n v="0.2"/>
    <n v="1319.98"/>
    <m/>
    <x v="56"/>
    <x v="0"/>
  </r>
  <r>
    <x v="943"/>
    <x v="3"/>
    <x v="25"/>
    <n v="2"/>
    <n v="329.99"/>
    <n v="0.2"/>
    <n v="659.98"/>
    <m/>
    <x v="21"/>
    <x v="0"/>
  </r>
  <r>
    <x v="943"/>
    <x v="4"/>
    <x v="79"/>
    <n v="2"/>
    <n v="416.99"/>
    <n v="7.0000000000000007E-2"/>
    <n v="833.98"/>
    <m/>
    <x v="72"/>
    <x v="0"/>
  </r>
  <r>
    <x v="944"/>
    <x v="0"/>
    <x v="86"/>
    <n v="1"/>
    <n v="533.99"/>
    <n v="0.05"/>
    <n v="533.99"/>
    <m/>
    <x v="79"/>
    <x v="1"/>
  </r>
  <r>
    <x v="944"/>
    <x v="1"/>
    <x v="49"/>
    <n v="2"/>
    <n v="249.99"/>
    <n v="0.2"/>
    <n v="499.98"/>
    <m/>
    <x v="42"/>
    <x v="1"/>
  </r>
  <r>
    <x v="944"/>
    <x v="2"/>
    <x v="98"/>
    <n v="2"/>
    <n v="469.99"/>
    <n v="0.05"/>
    <n v="939.98"/>
    <m/>
    <x v="90"/>
    <x v="1"/>
  </r>
  <r>
    <x v="944"/>
    <x v="3"/>
    <x v="99"/>
    <n v="2"/>
    <n v="539.99"/>
    <n v="0.1"/>
    <n v="1079.98"/>
    <m/>
    <x v="91"/>
    <x v="1"/>
  </r>
  <r>
    <x v="944"/>
    <x v="4"/>
    <x v="69"/>
    <n v="2"/>
    <n v="5999.99"/>
    <n v="0.05"/>
    <n v="11999.98"/>
    <m/>
    <x v="62"/>
    <x v="1"/>
  </r>
  <r>
    <x v="945"/>
    <x v="0"/>
    <x v="14"/>
    <n v="1"/>
    <n v="3999.99"/>
    <n v="0.1"/>
    <n v="3999.99"/>
    <m/>
    <x v="13"/>
    <x v="1"/>
  </r>
  <r>
    <x v="945"/>
    <x v="1"/>
    <x v="25"/>
    <n v="2"/>
    <n v="329.99"/>
    <n v="0.2"/>
    <n v="659.98"/>
    <m/>
    <x v="21"/>
    <x v="1"/>
  </r>
  <r>
    <x v="945"/>
    <x v="2"/>
    <x v="37"/>
    <n v="1"/>
    <n v="3499.99"/>
    <n v="0.05"/>
    <n v="3499.99"/>
    <m/>
    <x v="33"/>
    <x v="1"/>
  </r>
  <r>
    <x v="945"/>
    <x v="3"/>
    <x v="13"/>
    <n v="2"/>
    <n v="269.99"/>
    <n v="0.2"/>
    <n v="539.98"/>
    <m/>
    <x v="12"/>
    <x v="1"/>
  </r>
  <r>
    <x v="945"/>
    <x v="4"/>
    <x v="28"/>
    <n v="2"/>
    <n v="5499.99"/>
    <n v="7.0000000000000007E-2"/>
    <n v="10999.98"/>
    <m/>
    <x v="24"/>
    <x v="1"/>
  </r>
  <r>
    <x v="946"/>
    <x v="0"/>
    <x v="33"/>
    <n v="1"/>
    <n v="469.99"/>
    <n v="0.05"/>
    <n v="469.99"/>
    <m/>
    <x v="29"/>
    <x v="0"/>
  </r>
  <r>
    <x v="946"/>
    <x v="1"/>
    <x v="41"/>
    <n v="2"/>
    <n v="2299.9899999999998"/>
    <n v="7.0000000000000007E-2"/>
    <n v="4599.9799999999996"/>
    <m/>
    <x v="36"/>
    <x v="0"/>
  </r>
  <r>
    <x v="946"/>
    <x v="2"/>
    <x v="99"/>
    <n v="1"/>
    <n v="539.99"/>
    <n v="7.0000000000000007E-2"/>
    <n v="539.99"/>
    <m/>
    <x v="91"/>
    <x v="0"/>
  </r>
  <r>
    <x v="947"/>
    <x v="0"/>
    <x v="19"/>
    <n v="2"/>
    <n v="299.99"/>
    <n v="0.2"/>
    <n v="599.98"/>
    <m/>
    <x v="17"/>
    <x v="1"/>
  </r>
  <r>
    <x v="947"/>
    <x v="1"/>
    <x v="0"/>
    <n v="2"/>
    <n v="599.99"/>
    <n v="0.1"/>
    <n v="1199.98"/>
    <m/>
    <x v="0"/>
    <x v="1"/>
  </r>
  <r>
    <x v="947"/>
    <x v="2"/>
    <x v="70"/>
    <n v="1"/>
    <n v="339.99"/>
    <n v="0.2"/>
    <n v="339.99"/>
    <m/>
    <x v="63"/>
    <x v="1"/>
  </r>
  <r>
    <x v="947"/>
    <x v="3"/>
    <x v="102"/>
    <n v="2"/>
    <n v="209.99"/>
    <n v="0.2"/>
    <n v="419.98"/>
    <m/>
    <x v="94"/>
    <x v="1"/>
  </r>
  <r>
    <x v="947"/>
    <x v="4"/>
    <x v="31"/>
    <n v="2"/>
    <n v="619.99"/>
    <n v="0.2"/>
    <n v="1239.98"/>
    <m/>
    <x v="27"/>
    <x v="1"/>
  </r>
  <r>
    <x v="948"/>
    <x v="0"/>
    <x v="11"/>
    <n v="2"/>
    <n v="2999.99"/>
    <n v="0.1"/>
    <n v="5999.98"/>
    <m/>
    <x v="10"/>
    <x v="0"/>
  </r>
  <r>
    <x v="948"/>
    <x v="1"/>
    <x v="66"/>
    <n v="2"/>
    <n v="2699.99"/>
    <n v="0.05"/>
    <n v="5399.98"/>
    <m/>
    <x v="59"/>
    <x v="0"/>
  </r>
  <r>
    <x v="949"/>
    <x v="0"/>
    <x v="28"/>
    <n v="1"/>
    <n v="5499.99"/>
    <n v="0.05"/>
    <n v="5499.99"/>
    <m/>
    <x v="24"/>
    <x v="1"/>
  </r>
  <r>
    <x v="950"/>
    <x v="0"/>
    <x v="64"/>
    <n v="1"/>
    <n v="2599.9899999999998"/>
    <n v="0.1"/>
    <n v="2599.9899999999998"/>
    <m/>
    <x v="57"/>
    <x v="1"/>
  </r>
  <r>
    <x v="950"/>
    <x v="1"/>
    <x v="52"/>
    <n v="2"/>
    <n v="5299.99"/>
    <n v="0.1"/>
    <n v="10599.98"/>
    <m/>
    <x v="45"/>
    <x v="1"/>
  </r>
  <r>
    <x v="950"/>
    <x v="2"/>
    <x v="37"/>
    <n v="2"/>
    <n v="3499.99"/>
    <n v="0.2"/>
    <n v="6999.98"/>
    <m/>
    <x v="33"/>
    <x v="1"/>
  </r>
  <r>
    <x v="951"/>
    <x v="0"/>
    <x v="0"/>
    <n v="2"/>
    <n v="599.99"/>
    <n v="7.0000000000000007E-2"/>
    <n v="1199.98"/>
    <m/>
    <x v="0"/>
    <x v="1"/>
  </r>
  <r>
    <x v="951"/>
    <x v="1"/>
    <x v="94"/>
    <n v="1"/>
    <n v="1999.99"/>
    <n v="0.05"/>
    <n v="1999.99"/>
    <m/>
    <x v="86"/>
    <x v="1"/>
  </r>
  <r>
    <x v="952"/>
    <x v="0"/>
    <x v="19"/>
    <n v="2"/>
    <n v="299.99"/>
    <n v="7.0000000000000007E-2"/>
    <n v="599.98"/>
    <m/>
    <x v="17"/>
    <x v="1"/>
  </r>
  <r>
    <x v="953"/>
    <x v="0"/>
    <x v="4"/>
    <n v="2"/>
    <n v="2899.99"/>
    <n v="0.1"/>
    <n v="5799.98"/>
    <m/>
    <x v="4"/>
    <x v="1"/>
  </r>
  <r>
    <x v="954"/>
    <x v="0"/>
    <x v="52"/>
    <n v="1"/>
    <n v="5299.99"/>
    <n v="0.1"/>
    <n v="5299.99"/>
    <m/>
    <x v="45"/>
    <x v="1"/>
  </r>
  <r>
    <x v="954"/>
    <x v="1"/>
    <x v="93"/>
    <n v="2"/>
    <n v="1632.99"/>
    <n v="7.0000000000000007E-2"/>
    <n v="3265.98"/>
    <m/>
    <x v="85"/>
    <x v="1"/>
  </r>
  <r>
    <x v="954"/>
    <x v="2"/>
    <x v="81"/>
    <n v="1"/>
    <n v="349.99"/>
    <n v="0.05"/>
    <n v="349.99"/>
    <m/>
    <x v="74"/>
    <x v="1"/>
  </r>
  <r>
    <x v="954"/>
    <x v="3"/>
    <x v="65"/>
    <n v="1"/>
    <n v="3499.99"/>
    <n v="0.2"/>
    <n v="3499.99"/>
    <m/>
    <x v="58"/>
    <x v="1"/>
  </r>
  <r>
    <x v="954"/>
    <x v="4"/>
    <x v="54"/>
    <n v="1"/>
    <n v="189.99"/>
    <n v="0.05"/>
    <n v="189.99"/>
    <m/>
    <x v="47"/>
    <x v="1"/>
  </r>
  <r>
    <x v="955"/>
    <x v="0"/>
    <x v="35"/>
    <n v="2"/>
    <n v="299.99"/>
    <n v="0.1"/>
    <n v="599.98"/>
    <m/>
    <x v="31"/>
    <x v="1"/>
  </r>
  <r>
    <x v="955"/>
    <x v="1"/>
    <x v="19"/>
    <n v="1"/>
    <n v="299.99"/>
    <n v="0.2"/>
    <n v="299.99"/>
    <m/>
    <x v="17"/>
    <x v="1"/>
  </r>
  <r>
    <x v="955"/>
    <x v="2"/>
    <x v="30"/>
    <n v="2"/>
    <n v="749.99"/>
    <n v="0.1"/>
    <n v="1499.98"/>
    <m/>
    <x v="26"/>
    <x v="1"/>
  </r>
  <r>
    <x v="955"/>
    <x v="3"/>
    <x v="17"/>
    <n v="2"/>
    <n v="269.99"/>
    <n v="0.2"/>
    <n v="539.98"/>
    <m/>
    <x v="15"/>
    <x v="1"/>
  </r>
  <r>
    <x v="955"/>
    <x v="4"/>
    <x v="47"/>
    <n v="2"/>
    <n v="402.99"/>
    <n v="0.1"/>
    <n v="805.98"/>
    <m/>
    <x v="41"/>
    <x v="1"/>
  </r>
  <r>
    <x v="956"/>
    <x v="0"/>
    <x v="75"/>
    <n v="2"/>
    <n v="449.99"/>
    <n v="0.05"/>
    <n v="899.98"/>
    <m/>
    <x v="68"/>
    <x v="2"/>
  </r>
  <r>
    <x v="956"/>
    <x v="1"/>
    <x v="15"/>
    <n v="2"/>
    <n v="269.99"/>
    <n v="7.0000000000000007E-2"/>
    <n v="539.98"/>
    <m/>
    <x v="12"/>
    <x v="2"/>
  </r>
  <r>
    <x v="956"/>
    <x v="2"/>
    <x v="63"/>
    <n v="2"/>
    <n v="659.99"/>
    <n v="0.05"/>
    <n v="1319.98"/>
    <m/>
    <x v="56"/>
    <x v="2"/>
  </r>
  <r>
    <x v="956"/>
    <x v="3"/>
    <x v="82"/>
    <n v="1"/>
    <n v="250.99"/>
    <n v="7.0000000000000007E-2"/>
    <n v="250.99"/>
    <m/>
    <x v="75"/>
    <x v="2"/>
  </r>
  <r>
    <x v="956"/>
    <x v="4"/>
    <x v="103"/>
    <n v="1"/>
    <n v="470.99"/>
    <n v="0.05"/>
    <n v="470.99"/>
    <m/>
    <x v="95"/>
    <x v="2"/>
  </r>
  <r>
    <x v="957"/>
    <x v="0"/>
    <x v="80"/>
    <n v="1"/>
    <n v="6499.99"/>
    <n v="0.1"/>
    <n v="6499.99"/>
    <m/>
    <x v="73"/>
    <x v="0"/>
  </r>
  <r>
    <x v="957"/>
    <x v="1"/>
    <x v="35"/>
    <n v="1"/>
    <n v="299.99"/>
    <n v="0.2"/>
    <n v="299.99"/>
    <m/>
    <x v="31"/>
    <x v="0"/>
  </r>
  <r>
    <x v="958"/>
    <x v="0"/>
    <x v="12"/>
    <n v="1"/>
    <n v="529.99"/>
    <n v="0.2"/>
    <n v="529.99"/>
    <m/>
    <x v="11"/>
    <x v="1"/>
  </r>
  <r>
    <x v="958"/>
    <x v="1"/>
    <x v="31"/>
    <n v="1"/>
    <n v="619.99"/>
    <n v="0.1"/>
    <n v="619.99"/>
    <m/>
    <x v="27"/>
    <x v="1"/>
  </r>
  <r>
    <x v="958"/>
    <x v="2"/>
    <x v="67"/>
    <n v="1"/>
    <n v="1469.99"/>
    <n v="0.05"/>
    <n v="1469.99"/>
    <m/>
    <x v="60"/>
    <x v="1"/>
  </r>
  <r>
    <x v="958"/>
    <x v="3"/>
    <x v="105"/>
    <n v="1"/>
    <n v="346.99"/>
    <n v="7.0000000000000007E-2"/>
    <n v="346.99"/>
    <m/>
    <x v="97"/>
    <x v="1"/>
  </r>
  <r>
    <x v="959"/>
    <x v="0"/>
    <x v="30"/>
    <n v="2"/>
    <n v="749.99"/>
    <n v="0.05"/>
    <n v="1499.98"/>
    <m/>
    <x v="26"/>
    <x v="1"/>
  </r>
  <r>
    <x v="959"/>
    <x v="1"/>
    <x v="58"/>
    <n v="1"/>
    <n v="875.99"/>
    <n v="0.1"/>
    <n v="875.99"/>
    <m/>
    <x v="51"/>
    <x v="1"/>
  </r>
  <r>
    <x v="959"/>
    <x v="2"/>
    <x v="74"/>
    <n v="2"/>
    <n v="1499.99"/>
    <n v="0.05"/>
    <n v="2999.98"/>
    <m/>
    <x v="67"/>
    <x v="1"/>
  </r>
  <r>
    <x v="959"/>
    <x v="3"/>
    <x v="56"/>
    <n v="2"/>
    <n v="149.99"/>
    <n v="0.1"/>
    <n v="299.98"/>
    <m/>
    <x v="49"/>
    <x v="1"/>
  </r>
  <r>
    <x v="960"/>
    <x v="0"/>
    <x v="86"/>
    <n v="1"/>
    <n v="533.99"/>
    <n v="0.1"/>
    <n v="533.99"/>
    <m/>
    <x v="79"/>
    <x v="0"/>
  </r>
  <r>
    <x v="960"/>
    <x v="1"/>
    <x v="42"/>
    <n v="2"/>
    <n v="5299.99"/>
    <n v="0.2"/>
    <n v="10599.98"/>
    <m/>
    <x v="37"/>
    <x v="0"/>
  </r>
  <r>
    <x v="960"/>
    <x v="2"/>
    <x v="105"/>
    <n v="2"/>
    <n v="346.99"/>
    <n v="7.0000000000000007E-2"/>
    <n v="693.98"/>
    <m/>
    <x v="97"/>
    <x v="0"/>
  </r>
  <r>
    <x v="961"/>
    <x v="0"/>
    <x v="105"/>
    <n v="2"/>
    <n v="346.99"/>
    <n v="7.0000000000000007E-2"/>
    <n v="693.98"/>
    <m/>
    <x v="97"/>
    <x v="1"/>
  </r>
  <r>
    <x v="961"/>
    <x v="1"/>
    <x v="38"/>
    <n v="2"/>
    <n v="489.99"/>
    <n v="7.0000000000000007E-2"/>
    <n v="979.98"/>
    <m/>
    <x v="34"/>
    <x v="1"/>
  </r>
  <r>
    <x v="962"/>
    <x v="0"/>
    <x v="4"/>
    <n v="1"/>
    <n v="2899.99"/>
    <n v="7.0000000000000007E-2"/>
    <n v="2899.99"/>
    <m/>
    <x v="4"/>
    <x v="1"/>
  </r>
  <r>
    <x v="963"/>
    <x v="0"/>
    <x v="45"/>
    <n v="1"/>
    <n v="209.99"/>
    <n v="0.2"/>
    <n v="209.99"/>
    <m/>
    <x v="39"/>
    <x v="1"/>
  </r>
  <r>
    <x v="963"/>
    <x v="1"/>
    <x v="51"/>
    <n v="1"/>
    <n v="439.99"/>
    <n v="0.2"/>
    <n v="439.99"/>
    <m/>
    <x v="44"/>
    <x v="1"/>
  </r>
  <r>
    <x v="964"/>
    <x v="0"/>
    <x v="45"/>
    <n v="2"/>
    <n v="209.99"/>
    <n v="0.1"/>
    <n v="419.98"/>
    <m/>
    <x v="39"/>
    <x v="1"/>
  </r>
  <r>
    <x v="965"/>
    <x v="0"/>
    <x v="54"/>
    <n v="1"/>
    <n v="189.99"/>
    <n v="0.05"/>
    <n v="189.99"/>
    <m/>
    <x v="47"/>
    <x v="2"/>
  </r>
  <r>
    <x v="965"/>
    <x v="1"/>
    <x v="30"/>
    <n v="1"/>
    <n v="749.99"/>
    <n v="7.0000000000000007E-2"/>
    <n v="749.99"/>
    <m/>
    <x v="26"/>
    <x v="2"/>
  </r>
  <r>
    <x v="966"/>
    <x v="0"/>
    <x v="82"/>
    <n v="1"/>
    <n v="250.99"/>
    <n v="0.2"/>
    <n v="250.99"/>
    <m/>
    <x v="75"/>
    <x v="1"/>
  </r>
  <r>
    <x v="966"/>
    <x v="1"/>
    <x v="104"/>
    <n v="2"/>
    <n v="799.99"/>
    <n v="0.05"/>
    <n v="1599.98"/>
    <m/>
    <x v="96"/>
    <x v="1"/>
  </r>
  <r>
    <x v="966"/>
    <x v="2"/>
    <x v="108"/>
    <n v="1"/>
    <n v="189.99"/>
    <n v="0.1"/>
    <n v="189.99"/>
    <m/>
    <x v="100"/>
    <x v="1"/>
  </r>
  <r>
    <x v="966"/>
    <x v="3"/>
    <x v="27"/>
    <n v="1"/>
    <n v="551.99"/>
    <n v="0.2"/>
    <n v="551.99"/>
    <m/>
    <x v="23"/>
    <x v="1"/>
  </r>
  <r>
    <x v="967"/>
    <x v="0"/>
    <x v="108"/>
    <n v="1"/>
    <n v="189.99"/>
    <n v="0.2"/>
    <n v="189.99"/>
    <m/>
    <x v="100"/>
    <x v="1"/>
  </r>
  <r>
    <x v="967"/>
    <x v="1"/>
    <x v="32"/>
    <n v="2"/>
    <n v="4999.99"/>
    <n v="0.05"/>
    <n v="9999.98"/>
    <m/>
    <x v="28"/>
    <x v="1"/>
  </r>
  <r>
    <x v="967"/>
    <x v="2"/>
    <x v="2"/>
    <n v="2"/>
    <n v="1549"/>
    <n v="0.05"/>
    <n v="3098"/>
    <m/>
    <x v="2"/>
    <x v="1"/>
  </r>
  <r>
    <x v="968"/>
    <x v="0"/>
    <x v="51"/>
    <n v="1"/>
    <n v="439.99"/>
    <n v="0.2"/>
    <n v="439.99"/>
    <m/>
    <x v="44"/>
    <x v="2"/>
  </r>
  <r>
    <x v="968"/>
    <x v="1"/>
    <x v="107"/>
    <n v="1"/>
    <n v="832.99"/>
    <n v="0.1"/>
    <n v="832.99"/>
    <m/>
    <x v="99"/>
    <x v="2"/>
  </r>
  <r>
    <x v="969"/>
    <x v="0"/>
    <x v="25"/>
    <n v="1"/>
    <n v="329.99"/>
    <n v="0.1"/>
    <n v="329.99"/>
    <m/>
    <x v="21"/>
    <x v="1"/>
  </r>
  <r>
    <x v="969"/>
    <x v="1"/>
    <x v="74"/>
    <n v="2"/>
    <n v="1499.99"/>
    <n v="0.1"/>
    <n v="2999.98"/>
    <m/>
    <x v="67"/>
    <x v="1"/>
  </r>
  <r>
    <x v="969"/>
    <x v="2"/>
    <x v="59"/>
    <n v="2"/>
    <n v="3199.99"/>
    <n v="0.1"/>
    <n v="6399.98"/>
    <m/>
    <x v="52"/>
    <x v="1"/>
  </r>
  <r>
    <x v="969"/>
    <x v="3"/>
    <x v="39"/>
    <n v="1"/>
    <n v="449.99"/>
    <n v="0.1"/>
    <n v="449.99"/>
    <m/>
    <x v="22"/>
    <x v="1"/>
  </r>
  <r>
    <x v="970"/>
    <x v="0"/>
    <x v="63"/>
    <n v="2"/>
    <n v="659.99"/>
    <n v="0.05"/>
    <n v="1319.98"/>
    <m/>
    <x v="56"/>
    <x v="2"/>
  </r>
  <r>
    <x v="970"/>
    <x v="1"/>
    <x v="105"/>
    <n v="2"/>
    <n v="346.99"/>
    <n v="7.0000000000000007E-2"/>
    <n v="693.98"/>
    <m/>
    <x v="97"/>
    <x v="2"/>
  </r>
  <r>
    <x v="970"/>
    <x v="2"/>
    <x v="1"/>
    <n v="2"/>
    <n v="1799.99"/>
    <n v="0.05"/>
    <n v="3599.98"/>
    <m/>
    <x v="1"/>
    <x v="2"/>
  </r>
  <r>
    <x v="970"/>
    <x v="3"/>
    <x v="10"/>
    <n v="2"/>
    <n v="549.99"/>
    <n v="7.0000000000000007E-2"/>
    <n v="1099.98"/>
    <m/>
    <x v="9"/>
    <x v="2"/>
  </r>
  <r>
    <x v="970"/>
    <x v="4"/>
    <x v="83"/>
    <n v="1"/>
    <n v="549.99"/>
    <n v="0.2"/>
    <n v="549.99"/>
    <m/>
    <x v="76"/>
    <x v="2"/>
  </r>
  <r>
    <x v="971"/>
    <x v="0"/>
    <x v="96"/>
    <n v="1"/>
    <n v="489.99"/>
    <n v="0.2"/>
    <n v="489.99"/>
    <m/>
    <x v="88"/>
    <x v="1"/>
  </r>
  <r>
    <x v="971"/>
    <x v="1"/>
    <x v="65"/>
    <n v="1"/>
    <n v="3499.99"/>
    <n v="7.0000000000000007E-2"/>
    <n v="3499.99"/>
    <m/>
    <x v="58"/>
    <x v="1"/>
  </r>
  <r>
    <x v="972"/>
    <x v="0"/>
    <x v="4"/>
    <n v="2"/>
    <n v="2899.99"/>
    <n v="0.1"/>
    <n v="5799.98"/>
    <m/>
    <x v="4"/>
    <x v="1"/>
  </r>
  <r>
    <x v="972"/>
    <x v="1"/>
    <x v="76"/>
    <n v="2"/>
    <n v="2499.9899999999998"/>
    <n v="0.1"/>
    <n v="4999.9799999999996"/>
    <m/>
    <x v="69"/>
    <x v="1"/>
  </r>
  <r>
    <x v="972"/>
    <x v="2"/>
    <x v="42"/>
    <n v="2"/>
    <n v="5299.99"/>
    <n v="0.05"/>
    <n v="10599.98"/>
    <m/>
    <x v="37"/>
    <x v="1"/>
  </r>
  <r>
    <x v="972"/>
    <x v="3"/>
    <x v="68"/>
    <n v="1"/>
    <n v="416.99"/>
    <n v="7.0000000000000007E-2"/>
    <n v="416.99"/>
    <m/>
    <x v="61"/>
    <x v="1"/>
  </r>
  <r>
    <x v="973"/>
    <x v="0"/>
    <x v="57"/>
    <n v="2"/>
    <n v="469.99"/>
    <n v="0.1"/>
    <n v="939.98"/>
    <m/>
    <x v="50"/>
    <x v="2"/>
  </r>
  <r>
    <x v="973"/>
    <x v="1"/>
    <x v="13"/>
    <n v="2"/>
    <n v="269.99"/>
    <n v="0.2"/>
    <n v="539.98"/>
    <m/>
    <x v="12"/>
    <x v="2"/>
  </r>
  <r>
    <x v="974"/>
    <x v="0"/>
    <x v="55"/>
    <n v="2"/>
    <n v="470.99"/>
    <n v="0.2"/>
    <n v="941.98"/>
    <m/>
    <x v="48"/>
    <x v="1"/>
  </r>
  <r>
    <x v="975"/>
    <x v="0"/>
    <x v="8"/>
    <n v="2"/>
    <n v="599.99"/>
    <n v="0.1"/>
    <n v="1199.98"/>
    <m/>
    <x v="3"/>
    <x v="2"/>
  </r>
  <r>
    <x v="975"/>
    <x v="1"/>
    <x v="62"/>
    <n v="1"/>
    <n v="1499.99"/>
    <n v="7.0000000000000007E-2"/>
    <n v="1499.99"/>
    <m/>
    <x v="55"/>
    <x v="2"/>
  </r>
  <r>
    <x v="976"/>
    <x v="0"/>
    <x v="58"/>
    <n v="2"/>
    <n v="875.99"/>
    <n v="0.1"/>
    <n v="1751.98"/>
    <m/>
    <x v="51"/>
    <x v="1"/>
  </r>
  <r>
    <x v="976"/>
    <x v="1"/>
    <x v="79"/>
    <n v="2"/>
    <n v="416.99"/>
    <n v="0.05"/>
    <n v="833.98"/>
    <m/>
    <x v="72"/>
    <x v="1"/>
  </r>
  <r>
    <x v="976"/>
    <x v="2"/>
    <x v="97"/>
    <n v="1"/>
    <n v="999.99"/>
    <n v="0.05"/>
    <n v="999.99"/>
    <m/>
    <x v="89"/>
    <x v="1"/>
  </r>
  <r>
    <x v="976"/>
    <x v="3"/>
    <x v="53"/>
    <n v="2"/>
    <n v="761.99"/>
    <n v="0.05"/>
    <n v="1523.98"/>
    <m/>
    <x v="46"/>
    <x v="1"/>
  </r>
  <r>
    <x v="977"/>
    <x v="0"/>
    <x v="26"/>
    <n v="2"/>
    <n v="449.99"/>
    <n v="0.05"/>
    <n v="899.98"/>
    <m/>
    <x v="22"/>
    <x v="1"/>
  </r>
  <r>
    <x v="977"/>
    <x v="1"/>
    <x v="22"/>
    <n v="2"/>
    <n v="499.99"/>
    <n v="0.2"/>
    <n v="999.98"/>
    <m/>
    <x v="19"/>
    <x v="1"/>
  </r>
  <r>
    <x v="977"/>
    <x v="2"/>
    <x v="75"/>
    <n v="2"/>
    <n v="449.99"/>
    <n v="0.05"/>
    <n v="899.98"/>
    <m/>
    <x v="68"/>
    <x v="1"/>
  </r>
  <r>
    <x v="978"/>
    <x v="0"/>
    <x v="66"/>
    <n v="1"/>
    <n v="2699.99"/>
    <n v="0.05"/>
    <n v="2699.99"/>
    <m/>
    <x v="59"/>
    <x v="1"/>
  </r>
  <r>
    <x v="978"/>
    <x v="1"/>
    <x v="68"/>
    <n v="2"/>
    <n v="416.99"/>
    <n v="0.2"/>
    <n v="833.98"/>
    <m/>
    <x v="61"/>
    <x v="1"/>
  </r>
  <r>
    <x v="978"/>
    <x v="2"/>
    <x v="10"/>
    <n v="2"/>
    <n v="549.99"/>
    <n v="0.1"/>
    <n v="1099.98"/>
    <m/>
    <x v="9"/>
    <x v="1"/>
  </r>
  <r>
    <x v="978"/>
    <x v="3"/>
    <x v="58"/>
    <n v="1"/>
    <n v="875.99"/>
    <n v="0.2"/>
    <n v="875.99"/>
    <m/>
    <x v="51"/>
    <x v="1"/>
  </r>
  <r>
    <x v="979"/>
    <x v="0"/>
    <x v="60"/>
    <n v="2"/>
    <n v="3499.99"/>
    <n v="0.2"/>
    <n v="6999.98"/>
    <m/>
    <x v="53"/>
    <x v="2"/>
  </r>
  <r>
    <x v="979"/>
    <x v="1"/>
    <x v="11"/>
    <n v="1"/>
    <n v="2999.99"/>
    <n v="0.1"/>
    <n v="2999.99"/>
    <m/>
    <x v="10"/>
    <x v="2"/>
  </r>
  <r>
    <x v="979"/>
    <x v="2"/>
    <x v="38"/>
    <n v="1"/>
    <n v="489.99"/>
    <n v="0.1"/>
    <n v="489.99"/>
    <m/>
    <x v="34"/>
    <x v="2"/>
  </r>
  <r>
    <x v="980"/>
    <x v="0"/>
    <x v="100"/>
    <n v="1"/>
    <n v="832.99"/>
    <n v="0.1"/>
    <n v="832.99"/>
    <m/>
    <x v="92"/>
    <x v="2"/>
  </r>
  <r>
    <x v="980"/>
    <x v="1"/>
    <x v="43"/>
    <n v="2"/>
    <n v="299.99"/>
    <n v="0.05"/>
    <n v="599.98"/>
    <m/>
    <x v="31"/>
    <x v="2"/>
  </r>
  <r>
    <x v="980"/>
    <x v="2"/>
    <x v="20"/>
    <n v="2"/>
    <n v="269.99"/>
    <n v="7.0000000000000007E-2"/>
    <n v="539.98"/>
    <m/>
    <x v="15"/>
    <x v="2"/>
  </r>
  <r>
    <x v="980"/>
    <x v="3"/>
    <x v="107"/>
    <n v="2"/>
    <n v="832.99"/>
    <n v="0.1"/>
    <n v="1665.98"/>
    <m/>
    <x v="99"/>
    <x v="2"/>
  </r>
  <r>
    <x v="980"/>
    <x v="4"/>
    <x v="32"/>
    <n v="1"/>
    <n v="4999.99"/>
    <n v="7.0000000000000007E-2"/>
    <n v="4999.99"/>
    <m/>
    <x v="28"/>
    <x v="2"/>
  </r>
  <r>
    <x v="981"/>
    <x v="0"/>
    <x v="13"/>
    <n v="2"/>
    <n v="269.99"/>
    <n v="0.1"/>
    <n v="539.98"/>
    <m/>
    <x v="12"/>
    <x v="2"/>
  </r>
  <r>
    <x v="981"/>
    <x v="1"/>
    <x v="55"/>
    <n v="1"/>
    <n v="470.99"/>
    <n v="7.0000000000000007E-2"/>
    <n v="470.99"/>
    <m/>
    <x v="48"/>
    <x v="2"/>
  </r>
  <r>
    <x v="981"/>
    <x v="2"/>
    <x v="58"/>
    <n v="1"/>
    <n v="875.99"/>
    <n v="7.0000000000000007E-2"/>
    <n v="875.99"/>
    <m/>
    <x v="51"/>
    <x v="2"/>
  </r>
  <r>
    <x v="981"/>
    <x v="3"/>
    <x v="95"/>
    <n v="2"/>
    <n v="4999.99"/>
    <n v="0.05"/>
    <n v="9999.98"/>
    <m/>
    <x v="87"/>
    <x v="2"/>
  </r>
  <r>
    <x v="982"/>
    <x v="0"/>
    <x v="65"/>
    <n v="1"/>
    <n v="3499.99"/>
    <n v="0.1"/>
    <n v="3499.99"/>
    <m/>
    <x v="58"/>
    <x v="1"/>
  </r>
  <r>
    <x v="982"/>
    <x v="1"/>
    <x v="0"/>
    <n v="2"/>
    <n v="599.99"/>
    <n v="0.2"/>
    <n v="1199.98"/>
    <m/>
    <x v="0"/>
    <x v="1"/>
  </r>
  <r>
    <x v="982"/>
    <x v="2"/>
    <x v="39"/>
    <n v="1"/>
    <n v="449.99"/>
    <n v="7.0000000000000007E-2"/>
    <n v="449.99"/>
    <m/>
    <x v="22"/>
    <x v="1"/>
  </r>
  <r>
    <x v="982"/>
    <x v="3"/>
    <x v="89"/>
    <n v="2"/>
    <n v="1099.99"/>
    <n v="7.0000000000000007E-2"/>
    <n v="2199.98"/>
    <m/>
    <x v="82"/>
    <x v="1"/>
  </r>
  <r>
    <x v="982"/>
    <x v="4"/>
    <x v="54"/>
    <n v="1"/>
    <n v="189.99"/>
    <n v="0.05"/>
    <n v="189.99"/>
    <m/>
    <x v="47"/>
    <x v="1"/>
  </r>
  <r>
    <x v="983"/>
    <x v="0"/>
    <x v="39"/>
    <n v="1"/>
    <n v="449.99"/>
    <n v="0.2"/>
    <n v="449.99"/>
    <m/>
    <x v="22"/>
    <x v="1"/>
  </r>
  <r>
    <x v="983"/>
    <x v="1"/>
    <x v="89"/>
    <n v="2"/>
    <n v="1099.99"/>
    <n v="0.2"/>
    <n v="2199.98"/>
    <m/>
    <x v="82"/>
    <x v="1"/>
  </r>
  <r>
    <x v="983"/>
    <x v="2"/>
    <x v="10"/>
    <n v="1"/>
    <n v="549.99"/>
    <n v="0.1"/>
    <n v="549.99"/>
    <m/>
    <x v="9"/>
    <x v="1"/>
  </r>
  <r>
    <x v="983"/>
    <x v="3"/>
    <x v="103"/>
    <n v="1"/>
    <n v="470.99"/>
    <n v="0.2"/>
    <n v="470.99"/>
    <m/>
    <x v="95"/>
    <x v="1"/>
  </r>
  <r>
    <x v="984"/>
    <x v="0"/>
    <x v="21"/>
    <n v="2"/>
    <n v="1320.99"/>
    <n v="7.0000000000000007E-2"/>
    <n v="2641.98"/>
    <m/>
    <x v="18"/>
    <x v="1"/>
  </r>
  <r>
    <x v="984"/>
    <x v="1"/>
    <x v="64"/>
    <n v="1"/>
    <n v="2599.9899999999998"/>
    <n v="0.2"/>
    <n v="2599.9899999999998"/>
    <m/>
    <x v="57"/>
    <x v="1"/>
  </r>
  <r>
    <x v="984"/>
    <x v="2"/>
    <x v="46"/>
    <n v="2"/>
    <n v="647.99"/>
    <n v="0.05"/>
    <n v="1295.98"/>
    <m/>
    <x v="40"/>
    <x v="1"/>
  </r>
  <r>
    <x v="985"/>
    <x v="0"/>
    <x v="108"/>
    <n v="1"/>
    <n v="189.99"/>
    <n v="0.1"/>
    <n v="189.99"/>
    <m/>
    <x v="100"/>
    <x v="1"/>
  </r>
  <r>
    <x v="985"/>
    <x v="1"/>
    <x v="46"/>
    <n v="1"/>
    <n v="647.99"/>
    <n v="0.05"/>
    <n v="647.99"/>
    <m/>
    <x v="40"/>
    <x v="1"/>
  </r>
  <r>
    <x v="985"/>
    <x v="2"/>
    <x v="8"/>
    <n v="2"/>
    <n v="599.99"/>
    <n v="7.0000000000000007E-2"/>
    <n v="1199.98"/>
    <m/>
    <x v="3"/>
    <x v="1"/>
  </r>
  <r>
    <x v="986"/>
    <x v="0"/>
    <x v="80"/>
    <n v="2"/>
    <n v="6499.99"/>
    <n v="0.1"/>
    <n v="12999.98"/>
    <m/>
    <x v="73"/>
    <x v="0"/>
  </r>
  <r>
    <x v="986"/>
    <x v="1"/>
    <x v="91"/>
    <n v="2"/>
    <n v="1559.99"/>
    <n v="0.2"/>
    <n v="3119.98"/>
    <m/>
    <x v="84"/>
    <x v="0"/>
  </r>
  <r>
    <x v="986"/>
    <x v="2"/>
    <x v="53"/>
    <n v="1"/>
    <n v="761.99"/>
    <n v="7.0000000000000007E-2"/>
    <n v="761.99"/>
    <m/>
    <x v="46"/>
    <x v="0"/>
  </r>
  <r>
    <x v="987"/>
    <x v="0"/>
    <x v="100"/>
    <n v="1"/>
    <n v="832.99"/>
    <n v="0.2"/>
    <n v="832.99"/>
    <m/>
    <x v="92"/>
    <x v="1"/>
  </r>
  <r>
    <x v="987"/>
    <x v="1"/>
    <x v="83"/>
    <n v="1"/>
    <n v="549.99"/>
    <n v="7.0000000000000007E-2"/>
    <n v="549.99"/>
    <m/>
    <x v="76"/>
    <x v="1"/>
  </r>
  <r>
    <x v="987"/>
    <x v="2"/>
    <x v="10"/>
    <n v="2"/>
    <n v="549.99"/>
    <n v="7.0000000000000007E-2"/>
    <n v="1099.98"/>
    <m/>
    <x v="9"/>
    <x v="1"/>
  </r>
  <r>
    <x v="988"/>
    <x v="0"/>
    <x v="40"/>
    <n v="1"/>
    <n v="299.99"/>
    <n v="0.05"/>
    <n v="299.99"/>
    <m/>
    <x v="35"/>
    <x v="1"/>
  </r>
  <r>
    <x v="988"/>
    <x v="1"/>
    <x v="97"/>
    <n v="1"/>
    <n v="999.99"/>
    <n v="0.1"/>
    <n v="999.99"/>
    <m/>
    <x v="89"/>
    <x v="1"/>
  </r>
  <r>
    <x v="988"/>
    <x v="2"/>
    <x v="63"/>
    <n v="1"/>
    <n v="659.99"/>
    <n v="0.1"/>
    <n v="659.99"/>
    <m/>
    <x v="56"/>
    <x v="1"/>
  </r>
  <r>
    <x v="988"/>
    <x v="3"/>
    <x v="73"/>
    <n v="2"/>
    <n v="109.99"/>
    <n v="7.0000000000000007E-2"/>
    <n v="219.98"/>
    <m/>
    <x v="66"/>
    <x v="1"/>
  </r>
  <r>
    <x v="988"/>
    <x v="4"/>
    <x v="21"/>
    <n v="1"/>
    <n v="1320.99"/>
    <n v="0.1"/>
    <n v="1320.99"/>
    <m/>
    <x v="18"/>
    <x v="1"/>
  </r>
  <r>
    <x v="989"/>
    <x v="0"/>
    <x v="18"/>
    <n v="2"/>
    <n v="469.99"/>
    <n v="0.2"/>
    <n v="939.98"/>
    <m/>
    <x v="16"/>
    <x v="1"/>
  </r>
  <r>
    <x v="989"/>
    <x v="1"/>
    <x v="61"/>
    <n v="1"/>
    <n v="999.99"/>
    <n v="0.1"/>
    <n v="999.99"/>
    <m/>
    <x v="54"/>
    <x v="1"/>
  </r>
  <r>
    <x v="989"/>
    <x v="2"/>
    <x v="87"/>
    <n v="1"/>
    <n v="349.99"/>
    <n v="0.1"/>
    <n v="349.99"/>
    <m/>
    <x v="80"/>
    <x v="1"/>
  </r>
  <r>
    <x v="989"/>
    <x v="3"/>
    <x v="15"/>
    <n v="2"/>
    <n v="269.99"/>
    <n v="0.1"/>
    <n v="539.98"/>
    <m/>
    <x v="12"/>
    <x v="1"/>
  </r>
  <r>
    <x v="990"/>
    <x v="0"/>
    <x v="11"/>
    <n v="2"/>
    <n v="2999.99"/>
    <n v="0.2"/>
    <n v="5999.98"/>
    <m/>
    <x v="10"/>
    <x v="0"/>
  </r>
  <r>
    <x v="990"/>
    <x v="1"/>
    <x v="47"/>
    <n v="1"/>
    <n v="402.99"/>
    <n v="0.2"/>
    <n v="402.99"/>
    <m/>
    <x v="41"/>
    <x v="0"/>
  </r>
  <r>
    <x v="990"/>
    <x v="2"/>
    <x v="98"/>
    <n v="1"/>
    <n v="469.99"/>
    <n v="0.2"/>
    <n v="469.99"/>
    <m/>
    <x v="90"/>
    <x v="0"/>
  </r>
  <r>
    <x v="991"/>
    <x v="0"/>
    <x v="78"/>
    <n v="1"/>
    <n v="869.99"/>
    <n v="7.0000000000000007E-2"/>
    <n v="869.99"/>
    <m/>
    <x v="71"/>
    <x v="1"/>
  </r>
  <r>
    <x v="991"/>
    <x v="1"/>
    <x v="48"/>
    <n v="1"/>
    <n v="489.99"/>
    <n v="0.1"/>
    <n v="489.99"/>
    <m/>
    <x v="34"/>
    <x v="1"/>
  </r>
  <r>
    <x v="991"/>
    <x v="2"/>
    <x v="0"/>
    <n v="1"/>
    <n v="599.99"/>
    <n v="0.2"/>
    <n v="599.99"/>
    <m/>
    <x v="0"/>
    <x v="1"/>
  </r>
  <r>
    <x v="991"/>
    <x v="3"/>
    <x v="70"/>
    <n v="2"/>
    <n v="339.99"/>
    <n v="0.2"/>
    <n v="679.98"/>
    <m/>
    <x v="63"/>
    <x v="1"/>
  </r>
  <r>
    <x v="991"/>
    <x v="4"/>
    <x v="14"/>
    <n v="1"/>
    <n v="3999.99"/>
    <n v="0.05"/>
    <n v="3999.99"/>
    <m/>
    <x v="13"/>
    <x v="1"/>
  </r>
  <r>
    <x v="992"/>
    <x v="0"/>
    <x v="71"/>
    <n v="1"/>
    <n v="4999.99"/>
    <n v="0.2"/>
    <n v="4999.99"/>
    <m/>
    <x v="64"/>
    <x v="0"/>
  </r>
  <r>
    <x v="992"/>
    <x v="1"/>
    <x v="107"/>
    <n v="2"/>
    <n v="832.99"/>
    <n v="0.1"/>
    <n v="1665.98"/>
    <m/>
    <x v="99"/>
    <x v="0"/>
  </r>
  <r>
    <x v="992"/>
    <x v="2"/>
    <x v="2"/>
    <n v="2"/>
    <n v="1549"/>
    <n v="0.05"/>
    <n v="3098"/>
    <m/>
    <x v="2"/>
    <x v="0"/>
  </r>
  <r>
    <x v="992"/>
    <x v="3"/>
    <x v="40"/>
    <n v="2"/>
    <n v="299.99"/>
    <n v="7.0000000000000007E-2"/>
    <n v="599.98"/>
    <m/>
    <x v="35"/>
    <x v="0"/>
  </r>
  <r>
    <x v="992"/>
    <x v="4"/>
    <x v="47"/>
    <n v="2"/>
    <n v="402.99"/>
    <n v="0.1"/>
    <n v="805.98"/>
    <m/>
    <x v="41"/>
    <x v="0"/>
  </r>
  <r>
    <x v="993"/>
    <x v="0"/>
    <x v="88"/>
    <n v="2"/>
    <n v="379.99"/>
    <n v="0.1"/>
    <n v="759.98"/>
    <m/>
    <x v="81"/>
    <x v="1"/>
  </r>
  <r>
    <x v="993"/>
    <x v="1"/>
    <x v="78"/>
    <n v="1"/>
    <n v="869.99"/>
    <n v="0.2"/>
    <n v="869.99"/>
    <m/>
    <x v="71"/>
    <x v="1"/>
  </r>
  <r>
    <x v="993"/>
    <x v="2"/>
    <x v="82"/>
    <n v="1"/>
    <n v="250.99"/>
    <n v="7.0000000000000007E-2"/>
    <n v="250.99"/>
    <m/>
    <x v="75"/>
    <x v="1"/>
  </r>
  <r>
    <x v="994"/>
    <x v="0"/>
    <x v="3"/>
    <n v="2"/>
    <n v="599.99"/>
    <n v="0.1"/>
    <n v="1199.98"/>
    <m/>
    <x v="3"/>
    <x v="0"/>
  </r>
  <r>
    <x v="994"/>
    <x v="1"/>
    <x v="45"/>
    <n v="1"/>
    <n v="209.99"/>
    <n v="0.2"/>
    <n v="209.99"/>
    <m/>
    <x v="39"/>
    <x v="0"/>
  </r>
  <r>
    <x v="994"/>
    <x v="2"/>
    <x v="70"/>
    <n v="1"/>
    <n v="339.99"/>
    <n v="0.1"/>
    <n v="339.99"/>
    <m/>
    <x v="63"/>
    <x v="0"/>
  </r>
  <r>
    <x v="995"/>
    <x v="0"/>
    <x v="39"/>
    <n v="2"/>
    <n v="449.99"/>
    <n v="0.05"/>
    <n v="899.98"/>
    <m/>
    <x v="22"/>
    <x v="0"/>
  </r>
  <r>
    <x v="995"/>
    <x v="1"/>
    <x v="33"/>
    <n v="1"/>
    <n v="469.99"/>
    <n v="0.05"/>
    <n v="469.99"/>
    <m/>
    <x v="29"/>
    <x v="0"/>
  </r>
  <r>
    <x v="996"/>
    <x v="0"/>
    <x v="106"/>
    <n v="2"/>
    <n v="149.99"/>
    <n v="7.0000000000000007E-2"/>
    <n v="299.98"/>
    <m/>
    <x v="98"/>
    <x v="1"/>
  </r>
  <r>
    <x v="996"/>
    <x v="1"/>
    <x v="86"/>
    <n v="2"/>
    <n v="533.99"/>
    <n v="0.2"/>
    <n v="1067.98"/>
    <m/>
    <x v="79"/>
    <x v="1"/>
  </r>
  <r>
    <x v="996"/>
    <x v="2"/>
    <x v="15"/>
    <n v="2"/>
    <n v="269.99"/>
    <n v="7.0000000000000007E-2"/>
    <n v="539.98"/>
    <m/>
    <x v="12"/>
    <x v="1"/>
  </r>
  <r>
    <x v="997"/>
    <x v="0"/>
    <x v="8"/>
    <n v="2"/>
    <n v="599.99"/>
    <n v="0.05"/>
    <n v="1199.98"/>
    <m/>
    <x v="3"/>
    <x v="1"/>
  </r>
  <r>
    <x v="997"/>
    <x v="1"/>
    <x v="86"/>
    <n v="1"/>
    <n v="533.99"/>
    <n v="0.2"/>
    <n v="533.99"/>
    <m/>
    <x v="79"/>
    <x v="1"/>
  </r>
  <r>
    <x v="998"/>
    <x v="0"/>
    <x v="63"/>
    <n v="2"/>
    <n v="659.99"/>
    <n v="7.0000000000000007E-2"/>
    <n v="1319.98"/>
    <m/>
    <x v="56"/>
    <x v="1"/>
  </r>
  <r>
    <x v="998"/>
    <x v="1"/>
    <x v="26"/>
    <n v="1"/>
    <n v="449.99"/>
    <n v="0.05"/>
    <n v="449.99"/>
    <m/>
    <x v="22"/>
    <x v="1"/>
  </r>
  <r>
    <x v="999"/>
    <x v="0"/>
    <x v="105"/>
    <n v="2"/>
    <n v="346.99"/>
    <n v="0.05"/>
    <n v="693.98"/>
    <m/>
    <x v="97"/>
    <x v="1"/>
  </r>
  <r>
    <x v="999"/>
    <x v="1"/>
    <x v="103"/>
    <n v="1"/>
    <n v="470.99"/>
    <n v="0.1"/>
    <n v="470.99"/>
    <m/>
    <x v="95"/>
    <x v="1"/>
  </r>
  <r>
    <x v="999"/>
    <x v="2"/>
    <x v="23"/>
    <n v="2"/>
    <n v="449"/>
    <n v="7.0000000000000007E-2"/>
    <n v="898"/>
    <m/>
    <x v="20"/>
    <x v="1"/>
  </r>
  <r>
    <x v="999"/>
    <x v="3"/>
    <x v="61"/>
    <n v="2"/>
    <n v="999.99"/>
    <n v="0.05"/>
    <n v="1999.98"/>
    <m/>
    <x v="54"/>
    <x v="1"/>
  </r>
  <r>
    <x v="1000"/>
    <x v="0"/>
    <x v="31"/>
    <n v="1"/>
    <n v="619.99"/>
    <n v="0.05"/>
    <n v="619.99"/>
    <m/>
    <x v="27"/>
    <x v="1"/>
  </r>
  <r>
    <x v="1000"/>
    <x v="1"/>
    <x v="78"/>
    <n v="2"/>
    <n v="869.99"/>
    <n v="0.05"/>
    <n v="1739.98"/>
    <m/>
    <x v="71"/>
    <x v="1"/>
  </r>
  <r>
    <x v="1000"/>
    <x v="2"/>
    <x v="71"/>
    <n v="1"/>
    <n v="4999.99"/>
    <n v="0.1"/>
    <n v="4999.99"/>
    <m/>
    <x v="64"/>
    <x v="1"/>
  </r>
  <r>
    <x v="1000"/>
    <x v="3"/>
    <x v="103"/>
    <n v="1"/>
    <n v="470.99"/>
    <n v="7.0000000000000007E-2"/>
    <n v="470.99"/>
    <m/>
    <x v="95"/>
    <x v="1"/>
  </r>
  <r>
    <x v="1001"/>
    <x v="0"/>
    <x v="96"/>
    <n v="1"/>
    <n v="489.99"/>
    <n v="0.05"/>
    <n v="489.99"/>
    <m/>
    <x v="88"/>
    <x v="0"/>
  </r>
  <r>
    <x v="1001"/>
    <x v="1"/>
    <x v="56"/>
    <n v="1"/>
    <n v="149.99"/>
    <n v="0.1"/>
    <n v="149.99"/>
    <m/>
    <x v="49"/>
    <x v="0"/>
  </r>
  <r>
    <x v="1001"/>
    <x v="2"/>
    <x v="1"/>
    <n v="2"/>
    <n v="1799.99"/>
    <n v="0.1"/>
    <n v="3599.98"/>
    <m/>
    <x v="1"/>
    <x v="0"/>
  </r>
  <r>
    <x v="1001"/>
    <x v="3"/>
    <x v="47"/>
    <n v="1"/>
    <n v="402.99"/>
    <n v="0.2"/>
    <n v="402.99"/>
    <m/>
    <x v="41"/>
    <x v="0"/>
  </r>
  <r>
    <x v="1002"/>
    <x v="0"/>
    <x v="98"/>
    <n v="2"/>
    <n v="469.99"/>
    <n v="0.05"/>
    <n v="939.98"/>
    <m/>
    <x v="90"/>
    <x v="1"/>
  </r>
  <r>
    <x v="1002"/>
    <x v="1"/>
    <x v="80"/>
    <n v="2"/>
    <n v="6499.99"/>
    <n v="0.05"/>
    <n v="12999.98"/>
    <m/>
    <x v="73"/>
    <x v="1"/>
  </r>
  <r>
    <x v="1003"/>
    <x v="0"/>
    <x v="107"/>
    <n v="2"/>
    <n v="832.99"/>
    <n v="0.1"/>
    <n v="1665.98"/>
    <m/>
    <x v="99"/>
    <x v="1"/>
  </r>
  <r>
    <x v="1004"/>
    <x v="0"/>
    <x v="15"/>
    <n v="2"/>
    <n v="269.99"/>
    <n v="0.2"/>
    <n v="539.98"/>
    <m/>
    <x v="12"/>
    <x v="1"/>
  </r>
  <r>
    <x v="1004"/>
    <x v="1"/>
    <x v="89"/>
    <n v="2"/>
    <n v="1099.99"/>
    <n v="0.1"/>
    <n v="2199.98"/>
    <m/>
    <x v="82"/>
    <x v="1"/>
  </r>
  <r>
    <x v="1004"/>
    <x v="2"/>
    <x v="40"/>
    <n v="1"/>
    <n v="299.99"/>
    <n v="0.1"/>
    <n v="299.99"/>
    <m/>
    <x v="35"/>
    <x v="1"/>
  </r>
  <r>
    <x v="1005"/>
    <x v="0"/>
    <x v="0"/>
    <n v="1"/>
    <n v="599.99"/>
    <n v="7.0000000000000007E-2"/>
    <n v="599.99"/>
    <m/>
    <x v="0"/>
    <x v="1"/>
  </r>
  <r>
    <x v="1005"/>
    <x v="1"/>
    <x v="39"/>
    <n v="1"/>
    <n v="449.99"/>
    <n v="0.1"/>
    <n v="449.99"/>
    <m/>
    <x v="22"/>
    <x v="1"/>
  </r>
  <r>
    <x v="1005"/>
    <x v="2"/>
    <x v="28"/>
    <n v="2"/>
    <n v="5499.99"/>
    <n v="7.0000000000000007E-2"/>
    <n v="10999.98"/>
    <m/>
    <x v="24"/>
    <x v="1"/>
  </r>
  <r>
    <x v="1005"/>
    <x v="3"/>
    <x v="105"/>
    <n v="1"/>
    <n v="346.99"/>
    <n v="0.1"/>
    <n v="346.99"/>
    <m/>
    <x v="97"/>
    <x v="1"/>
  </r>
  <r>
    <x v="1005"/>
    <x v="4"/>
    <x v="109"/>
    <n v="1"/>
    <n v="1409.99"/>
    <n v="0.1"/>
    <n v="1409.99"/>
    <m/>
    <x v="101"/>
    <x v="1"/>
  </r>
  <r>
    <x v="1006"/>
    <x v="0"/>
    <x v="8"/>
    <n v="1"/>
    <n v="599.99"/>
    <n v="0.2"/>
    <n v="599.99"/>
    <m/>
    <x v="3"/>
    <x v="1"/>
  </r>
  <r>
    <x v="1006"/>
    <x v="1"/>
    <x v="16"/>
    <n v="1"/>
    <n v="1680.99"/>
    <n v="0.05"/>
    <n v="1680.99"/>
    <m/>
    <x v="14"/>
    <x v="1"/>
  </r>
  <r>
    <x v="1006"/>
    <x v="2"/>
    <x v="25"/>
    <n v="2"/>
    <n v="329.99"/>
    <n v="0.1"/>
    <n v="659.98"/>
    <m/>
    <x v="21"/>
    <x v="1"/>
  </r>
  <r>
    <x v="1006"/>
    <x v="3"/>
    <x v="35"/>
    <n v="1"/>
    <n v="299.99"/>
    <n v="0.2"/>
    <n v="299.99"/>
    <m/>
    <x v="31"/>
    <x v="1"/>
  </r>
  <r>
    <x v="1006"/>
    <x v="4"/>
    <x v="26"/>
    <n v="2"/>
    <n v="449.99"/>
    <n v="0.1"/>
    <n v="899.98"/>
    <m/>
    <x v="22"/>
    <x v="1"/>
  </r>
  <r>
    <x v="1007"/>
    <x v="0"/>
    <x v="68"/>
    <n v="1"/>
    <n v="416.99"/>
    <n v="0.2"/>
    <n v="416.99"/>
    <m/>
    <x v="61"/>
    <x v="1"/>
  </r>
  <r>
    <x v="1007"/>
    <x v="1"/>
    <x v="6"/>
    <n v="1"/>
    <n v="749.99"/>
    <n v="0.1"/>
    <n v="749.99"/>
    <m/>
    <x v="6"/>
    <x v="1"/>
  </r>
  <r>
    <x v="1007"/>
    <x v="2"/>
    <x v="43"/>
    <n v="1"/>
    <n v="299.99"/>
    <n v="7.0000000000000007E-2"/>
    <n v="299.99"/>
    <m/>
    <x v="31"/>
    <x v="1"/>
  </r>
  <r>
    <x v="1008"/>
    <x v="0"/>
    <x v="43"/>
    <n v="2"/>
    <n v="299.99"/>
    <n v="7.0000000000000007E-2"/>
    <n v="599.98"/>
    <m/>
    <x v="31"/>
    <x v="2"/>
  </r>
  <r>
    <x v="1008"/>
    <x v="1"/>
    <x v="99"/>
    <n v="1"/>
    <n v="539.99"/>
    <n v="7.0000000000000007E-2"/>
    <n v="539.99"/>
    <m/>
    <x v="91"/>
    <x v="2"/>
  </r>
  <r>
    <x v="1009"/>
    <x v="0"/>
    <x v="36"/>
    <n v="2"/>
    <n v="416.99"/>
    <n v="0.1"/>
    <n v="833.98"/>
    <m/>
    <x v="32"/>
    <x v="1"/>
  </r>
  <r>
    <x v="1010"/>
    <x v="0"/>
    <x v="54"/>
    <n v="1"/>
    <n v="189.99"/>
    <n v="0.2"/>
    <n v="189.99"/>
    <m/>
    <x v="47"/>
    <x v="0"/>
  </r>
  <r>
    <x v="1010"/>
    <x v="1"/>
    <x v="40"/>
    <n v="2"/>
    <n v="299.99"/>
    <n v="0.2"/>
    <n v="599.98"/>
    <m/>
    <x v="35"/>
    <x v="0"/>
  </r>
  <r>
    <x v="1010"/>
    <x v="2"/>
    <x v="3"/>
    <n v="2"/>
    <n v="599.99"/>
    <n v="0.2"/>
    <n v="1199.98"/>
    <m/>
    <x v="3"/>
    <x v="0"/>
  </r>
  <r>
    <x v="1010"/>
    <x v="3"/>
    <x v="39"/>
    <n v="2"/>
    <n v="449.99"/>
    <n v="0.05"/>
    <n v="899.98"/>
    <m/>
    <x v="22"/>
    <x v="0"/>
  </r>
  <r>
    <x v="1011"/>
    <x v="0"/>
    <x v="1"/>
    <n v="1"/>
    <n v="1799.99"/>
    <n v="7.0000000000000007E-2"/>
    <n v="1799.99"/>
    <m/>
    <x v="1"/>
    <x v="1"/>
  </r>
  <r>
    <x v="1011"/>
    <x v="1"/>
    <x v="38"/>
    <n v="1"/>
    <n v="489.99"/>
    <n v="0.2"/>
    <n v="489.99"/>
    <m/>
    <x v="34"/>
    <x v="1"/>
  </r>
  <r>
    <x v="1012"/>
    <x v="0"/>
    <x v="91"/>
    <n v="2"/>
    <n v="1559.99"/>
    <n v="0.05"/>
    <n v="3119.98"/>
    <m/>
    <x v="84"/>
    <x v="1"/>
  </r>
  <r>
    <x v="1013"/>
    <x v="0"/>
    <x v="44"/>
    <n v="1"/>
    <n v="349.99"/>
    <n v="0.2"/>
    <n v="349.99"/>
    <m/>
    <x v="38"/>
    <x v="1"/>
  </r>
  <r>
    <x v="1013"/>
    <x v="1"/>
    <x v="78"/>
    <n v="2"/>
    <n v="869.99"/>
    <n v="0.05"/>
    <n v="1739.98"/>
    <m/>
    <x v="71"/>
    <x v="1"/>
  </r>
  <r>
    <x v="1013"/>
    <x v="2"/>
    <x v="89"/>
    <n v="2"/>
    <n v="1099.99"/>
    <n v="0.1"/>
    <n v="2199.98"/>
    <m/>
    <x v="82"/>
    <x v="1"/>
  </r>
  <r>
    <x v="1013"/>
    <x v="3"/>
    <x v="64"/>
    <n v="1"/>
    <n v="2599.9899999999998"/>
    <n v="0.05"/>
    <n v="2599.9899999999998"/>
    <m/>
    <x v="57"/>
    <x v="1"/>
  </r>
  <r>
    <x v="1014"/>
    <x v="0"/>
    <x v="18"/>
    <n v="2"/>
    <n v="469.99"/>
    <n v="0.1"/>
    <n v="939.98"/>
    <m/>
    <x v="16"/>
    <x v="1"/>
  </r>
  <r>
    <x v="1014"/>
    <x v="1"/>
    <x v="30"/>
    <n v="2"/>
    <n v="749.99"/>
    <n v="0.2"/>
    <n v="1499.98"/>
    <m/>
    <x v="26"/>
    <x v="1"/>
  </r>
  <r>
    <x v="1014"/>
    <x v="2"/>
    <x v="70"/>
    <n v="2"/>
    <n v="339.99"/>
    <n v="0.1"/>
    <n v="679.98"/>
    <m/>
    <x v="63"/>
    <x v="1"/>
  </r>
  <r>
    <x v="1014"/>
    <x v="3"/>
    <x v="17"/>
    <n v="1"/>
    <n v="269.99"/>
    <n v="0.2"/>
    <n v="269.99"/>
    <m/>
    <x v="15"/>
    <x v="1"/>
  </r>
  <r>
    <x v="1015"/>
    <x v="0"/>
    <x v="35"/>
    <n v="2"/>
    <n v="299.99"/>
    <n v="7.0000000000000007E-2"/>
    <n v="599.98"/>
    <m/>
    <x v="31"/>
    <x v="2"/>
  </r>
  <r>
    <x v="1016"/>
    <x v="0"/>
    <x v="84"/>
    <n v="1"/>
    <n v="209.99"/>
    <n v="7.0000000000000007E-2"/>
    <n v="209.99"/>
    <m/>
    <x v="77"/>
    <x v="1"/>
  </r>
  <r>
    <x v="1016"/>
    <x v="1"/>
    <x v="90"/>
    <n v="2"/>
    <n v="659.99"/>
    <n v="0.2"/>
    <n v="1319.98"/>
    <m/>
    <x v="83"/>
    <x v="1"/>
  </r>
  <r>
    <x v="1016"/>
    <x v="2"/>
    <x v="96"/>
    <n v="1"/>
    <n v="489.99"/>
    <n v="0.2"/>
    <n v="489.99"/>
    <m/>
    <x v="88"/>
    <x v="1"/>
  </r>
  <r>
    <x v="1016"/>
    <x v="3"/>
    <x v="9"/>
    <n v="2"/>
    <n v="449"/>
    <n v="0.2"/>
    <n v="898"/>
    <m/>
    <x v="8"/>
    <x v="1"/>
  </r>
  <r>
    <x v="1016"/>
    <x v="4"/>
    <x v="104"/>
    <n v="2"/>
    <n v="799.99"/>
    <n v="0.1"/>
    <n v="1599.98"/>
    <m/>
    <x v="96"/>
    <x v="1"/>
  </r>
  <r>
    <x v="1017"/>
    <x v="0"/>
    <x v="35"/>
    <n v="2"/>
    <n v="299.99"/>
    <n v="7.0000000000000007E-2"/>
    <n v="599.98"/>
    <m/>
    <x v="31"/>
    <x v="1"/>
  </r>
  <r>
    <x v="1017"/>
    <x v="1"/>
    <x v="44"/>
    <n v="2"/>
    <n v="349.99"/>
    <n v="0.1"/>
    <n v="699.98"/>
    <m/>
    <x v="38"/>
    <x v="1"/>
  </r>
  <r>
    <x v="1017"/>
    <x v="2"/>
    <x v="87"/>
    <n v="1"/>
    <n v="349.99"/>
    <n v="0.2"/>
    <n v="349.99"/>
    <m/>
    <x v="80"/>
    <x v="1"/>
  </r>
  <r>
    <x v="1018"/>
    <x v="0"/>
    <x v="34"/>
    <n v="1"/>
    <n v="999.99"/>
    <n v="0.1"/>
    <n v="999.99"/>
    <m/>
    <x v="30"/>
    <x v="1"/>
  </r>
  <r>
    <x v="1018"/>
    <x v="1"/>
    <x v="58"/>
    <n v="1"/>
    <n v="875.99"/>
    <n v="0.2"/>
    <n v="875.99"/>
    <m/>
    <x v="51"/>
    <x v="1"/>
  </r>
  <r>
    <x v="1018"/>
    <x v="2"/>
    <x v="88"/>
    <n v="1"/>
    <n v="379.99"/>
    <n v="0.05"/>
    <n v="379.99"/>
    <m/>
    <x v="81"/>
    <x v="1"/>
  </r>
  <r>
    <x v="1018"/>
    <x v="3"/>
    <x v="101"/>
    <n v="2"/>
    <n v="209.99"/>
    <n v="0.2"/>
    <n v="419.98"/>
    <m/>
    <x v="93"/>
    <x v="1"/>
  </r>
  <r>
    <x v="1019"/>
    <x v="0"/>
    <x v="0"/>
    <n v="2"/>
    <n v="599.99"/>
    <n v="0.05"/>
    <n v="1199.98"/>
    <m/>
    <x v="0"/>
    <x v="1"/>
  </r>
  <r>
    <x v="1019"/>
    <x v="1"/>
    <x v="79"/>
    <n v="2"/>
    <n v="416.99"/>
    <n v="0.05"/>
    <n v="833.98"/>
    <m/>
    <x v="72"/>
    <x v="1"/>
  </r>
  <r>
    <x v="1019"/>
    <x v="2"/>
    <x v="12"/>
    <n v="1"/>
    <n v="529.99"/>
    <n v="7.0000000000000007E-2"/>
    <n v="529.99"/>
    <m/>
    <x v="11"/>
    <x v="1"/>
  </r>
  <r>
    <x v="1019"/>
    <x v="3"/>
    <x v="94"/>
    <n v="2"/>
    <n v="1999.99"/>
    <n v="0.1"/>
    <n v="3999.98"/>
    <m/>
    <x v="86"/>
    <x v="1"/>
  </r>
  <r>
    <x v="1019"/>
    <x v="4"/>
    <x v="95"/>
    <n v="2"/>
    <n v="4999.99"/>
    <n v="0.05"/>
    <n v="9999.98"/>
    <m/>
    <x v="87"/>
    <x v="1"/>
  </r>
  <r>
    <x v="1020"/>
    <x v="0"/>
    <x v="60"/>
    <n v="2"/>
    <n v="3499.99"/>
    <n v="7.0000000000000007E-2"/>
    <n v="6999.98"/>
    <m/>
    <x v="53"/>
    <x v="1"/>
  </r>
  <r>
    <x v="1020"/>
    <x v="1"/>
    <x v="19"/>
    <n v="2"/>
    <n v="299.99"/>
    <n v="7.0000000000000007E-2"/>
    <n v="599.98"/>
    <m/>
    <x v="17"/>
    <x v="1"/>
  </r>
  <r>
    <x v="1021"/>
    <x v="0"/>
    <x v="57"/>
    <n v="1"/>
    <n v="469.99"/>
    <n v="0.2"/>
    <n v="469.99"/>
    <m/>
    <x v="50"/>
    <x v="1"/>
  </r>
  <r>
    <x v="1021"/>
    <x v="1"/>
    <x v="109"/>
    <n v="1"/>
    <n v="1409.99"/>
    <n v="0.1"/>
    <n v="1409.99"/>
    <m/>
    <x v="101"/>
    <x v="1"/>
  </r>
  <r>
    <x v="1021"/>
    <x v="2"/>
    <x v="105"/>
    <n v="1"/>
    <n v="346.99"/>
    <n v="7.0000000000000007E-2"/>
    <n v="346.99"/>
    <m/>
    <x v="97"/>
    <x v="1"/>
  </r>
  <r>
    <x v="1021"/>
    <x v="3"/>
    <x v="21"/>
    <n v="1"/>
    <n v="1320.99"/>
    <n v="7.0000000000000007E-2"/>
    <n v="1320.99"/>
    <m/>
    <x v="18"/>
    <x v="1"/>
  </r>
  <r>
    <x v="1022"/>
    <x v="0"/>
    <x v="87"/>
    <n v="1"/>
    <n v="349.99"/>
    <n v="7.0000000000000007E-2"/>
    <n v="349.99"/>
    <m/>
    <x v="80"/>
    <x v="1"/>
  </r>
  <r>
    <x v="1022"/>
    <x v="1"/>
    <x v="52"/>
    <n v="2"/>
    <n v="5299.99"/>
    <n v="0.1"/>
    <n v="10599.98"/>
    <m/>
    <x v="45"/>
    <x v="1"/>
  </r>
  <r>
    <x v="1023"/>
    <x v="0"/>
    <x v="77"/>
    <n v="1"/>
    <n v="481.99"/>
    <n v="0.2"/>
    <n v="481.99"/>
    <m/>
    <x v="70"/>
    <x v="1"/>
  </r>
  <r>
    <x v="1023"/>
    <x v="1"/>
    <x v="76"/>
    <n v="2"/>
    <n v="2499.9899999999998"/>
    <n v="0.05"/>
    <n v="4999.9799999999996"/>
    <m/>
    <x v="69"/>
    <x v="1"/>
  </r>
  <r>
    <x v="1023"/>
    <x v="2"/>
    <x v="72"/>
    <n v="2"/>
    <n v="489.99"/>
    <n v="0.2"/>
    <n v="979.98"/>
    <m/>
    <x v="65"/>
    <x v="1"/>
  </r>
  <r>
    <x v="1023"/>
    <x v="3"/>
    <x v="81"/>
    <n v="2"/>
    <n v="349.99"/>
    <n v="0.1"/>
    <n v="699.98"/>
    <m/>
    <x v="74"/>
    <x v="1"/>
  </r>
  <r>
    <x v="1023"/>
    <x v="4"/>
    <x v="87"/>
    <n v="1"/>
    <n v="349.99"/>
    <n v="0.2"/>
    <n v="349.99"/>
    <m/>
    <x v="80"/>
    <x v="1"/>
  </r>
  <r>
    <x v="1024"/>
    <x v="0"/>
    <x v="84"/>
    <n v="1"/>
    <n v="209.99"/>
    <n v="7.0000000000000007E-2"/>
    <n v="209.99"/>
    <m/>
    <x v="77"/>
    <x v="1"/>
  </r>
  <r>
    <x v="1024"/>
    <x v="1"/>
    <x v="48"/>
    <n v="1"/>
    <n v="489.99"/>
    <n v="0.1"/>
    <n v="489.99"/>
    <m/>
    <x v="34"/>
    <x v="1"/>
  </r>
  <r>
    <x v="1024"/>
    <x v="2"/>
    <x v="62"/>
    <n v="1"/>
    <n v="1499.99"/>
    <n v="0.1"/>
    <n v="1499.99"/>
    <m/>
    <x v="55"/>
    <x v="1"/>
  </r>
  <r>
    <x v="1024"/>
    <x v="3"/>
    <x v="12"/>
    <n v="1"/>
    <n v="529.99"/>
    <n v="0.05"/>
    <n v="529.99"/>
    <m/>
    <x v="11"/>
    <x v="1"/>
  </r>
  <r>
    <x v="1024"/>
    <x v="4"/>
    <x v="82"/>
    <n v="2"/>
    <n v="250.99"/>
    <n v="0.05"/>
    <n v="501.98"/>
    <m/>
    <x v="75"/>
    <x v="1"/>
  </r>
  <r>
    <x v="1025"/>
    <x v="0"/>
    <x v="14"/>
    <n v="2"/>
    <n v="3999.99"/>
    <n v="7.0000000000000007E-2"/>
    <n v="7999.98"/>
    <m/>
    <x v="13"/>
    <x v="0"/>
  </r>
  <r>
    <x v="1026"/>
    <x v="0"/>
    <x v="43"/>
    <n v="2"/>
    <n v="299.99"/>
    <n v="0.1"/>
    <n v="599.98"/>
    <m/>
    <x v="31"/>
    <x v="1"/>
  </r>
  <r>
    <x v="1026"/>
    <x v="1"/>
    <x v="15"/>
    <n v="2"/>
    <n v="269.99"/>
    <n v="0.05"/>
    <n v="539.98"/>
    <m/>
    <x v="12"/>
    <x v="1"/>
  </r>
  <r>
    <x v="1027"/>
    <x v="0"/>
    <x v="103"/>
    <n v="2"/>
    <n v="470.99"/>
    <n v="0.1"/>
    <n v="941.98"/>
    <m/>
    <x v="95"/>
    <x v="1"/>
  </r>
  <r>
    <x v="1027"/>
    <x v="1"/>
    <x v="2"/>
    <n v="1"/>
    <n v="1549"/>
    <n v="0.2"/>
    <n v="1549"/>
    <m/>
    <x v="2"/>
    <x v="1"/>
  </r>
  <r>
    <x v="1027"/>
    <x v="2"/>
    <x v="67"/>
    <n v="1"/>
    <n v="1469.99"/>
    <n v="0.2"/>
    <n v="1469.99"/>
    <m/>
    <x v="60"/>
    <x v="1"/>
  </r>
  <r>
    <x v="1027"/>
    <x v="3"/>
    <x v="100"/>
    <n v="2"/>
    <n v="832.99"/>
    <n v="0.1"/>
    <n v="1665.98"/>
    <m/>
    <x v="92"/>
    <x v="1"/>
  </r>
  <r>
    <x v="1027"/>
    <x v="4"/>
    <x v="75"/>
    <n v="1"/>
    <n v="449.99"/>
    <n v="0.2"/>
    <n v="449.99"/>
    <m/>
    <x v="68"/>
    <x v="1"/>
  </r>
  <r>
    <x v="1028"/>
    <x v="0"/>
    <x v="0"/>
    <n v="1"/>
    <n v="599.99"/>
    <n v="0.2"/>
    <n v="599.99"/>
    <m/>
    <x v="0"/>
    <x v="0"/>
  </r>
  <r>
    <x v="1028"/>
    <x v="1"/>
    <x v="66"/>
    <n v="1"/>
    <n v="2699.99"/>
    <n v="0.1"/>
    <n v="2699.99"/>
    <m/>
    <x v="59"/>
    <x v="0"/>
  </r>
  <r>
    <x v="1028"/>
    <x v="2"/>
    <x v="95"/>
    <n v="1"/>
    <n v="4999.99"/>
    <n v="0.2"/>
    <n v="4999.99"/>
    <m/>
    <x v="87"/>
    <x v="0"/>
  </r>
  <r>
    <x v="1028"/>
    <x v="3"/>
    <x v="39"/>
    <n v="2"/>
    <n v="449.99"/>
    <n v="0.1"/>
    <n v="899.98"/>
    <m/>
    <x v="22"/>
    <x v="0"/>
  </r>
  <r>
    <x v="1029"/>
    <x v="0"/>
    <x v="97"/>
    <n v="1"/>
    <n v="999.99"/>
    <n v="0.05"/>
    <n v="999.99"/>
    <m/>
    <x v="89"/>
    <x v="1"/>
  </r>
  <r>
    <x v="1029"/>
    <x v="1"/>
    <x v="2"/>
    <n v="2"/>
    <n v="1549"/>
    <n v="0.1"/>
    <n v="3098"/>
    <m/>
    <x v="2"/>
    <x v="1"/>
  </r>
  <r>
    <x v="1029"/>
    <x v="2"/>
    <x v="31"/>
    <n v="1"/>
    <n v="619.99"/>
    <n v="0.1"/>
    <n v="619.99"/>
    <m/>
    <x v="27"/>
    <x v="1"/>
  </r>
  <r>
    <x v="1030"/>
    <x v="0"/>
    <x v="97"/>
    <n v="2"/>
    <n v="999.99"/>
    <n v="0.2"/>
    <n v="1999.98"/>
    <m/>
    <x v="89"/>
    <x v="0"/>
  </r>
  <r>
    <x v="1030"/>
    <x v="1"/>
    <x v="75"/>
    <n v="2"/>
    <n v="449.99"/>
    <n v="0.2"/>
    <n v="899.98"/>
    <m/>
    <x v="68"/>
    <x v="0"/>
  </r>
  <r>
    <x v="1031"/>
    <x v="0"/>
    <x v="91"/>
    <n v="2"/>
    <n v="1559.99"/>
    <n v="0.1"/>
    <n v="3119.98"/>
    <m/>
    <x v="84"/>
    <x v="1"/>
  </r>
  <r>
    <x v="1031"/>
    <x v="1"/>
    <x v="7"/>
    <n v="1"/>
    <n v="429"/>
    <n v="0.1"/>
    <n v="429"/>
    <m/>
    <x v="7"/>
    <x v="1"/>
  </r>
  <r>
    <x v="1032"/>
    <x v="0"/>
    <x v="8"/>
    <n v="1"/>
    <n v="599.99"/>
    <n v="7.0000000000000007E-2"/>
    <n v="599.99"/>
    <m/>
    <x v="3"/>
    <x v="1"/>
  </r>
  <r>
    <x v="1032"/>
    <x v="1"/>
    <x v="36"/>
    <n v="2"/>
    <n v="416.99"/>
    <n v="0.1"/>
    <n v="833.98"/>
    <m/>
    <x v="32"/>
    <x v="1"/>
  </r>
  <r>
    <x v="1032"/>
    <x v="2"/>
    <x v="97"/>
    <n v="2"/>
    <n v="999.99"/>
    <n v="7.0000000000000007E-2"/>
    <n v="1999.98"/>
    <m/>
    <x v="89"/>
    <x v="1"/>
  </r>
  <r>
    <x v="1033"/>
    <x v="0"/>
    <x v="70"/>
    <n v="1"/>
    <n v="339.99"/>
    <n v="0.1"/>
    <n v="339.99"/>
    <m/>
    <x v="63"/>
    <x v="1"/>
  </r>
  <r>
    <x v="1033"/>
    <x v="1"/>
    <x v="1"/>
    <n v="2"/>
    <n v="1799.99"/>
    <n v="0.1"/>
    <n v="3599.98"/>
    <m/>
    <x v="1"/>
    <x v="1"/>
  </r>
  <r>
    <x v="1033"/>
    <x v="2"/>
    <x v="16"/>
    <n v="2"/>
    <n v="1680.99"/>
    <n v="7.0000000000000007E-2"/>
    <n v="3361.98"/>
    <m/>
    <x v="14"/>
    <x v="1"/>
  </r>
  <r>
    <x v="1033"/>
    <x v="3"/>
    <x v="20"/>
    <n v="1"/>
    <n v="269.99"/>
    <n v="0.05"/>
    <n v="269.99"/>
    <m/>
    <x v="15"/>
    <x v="1"/>
  </r>
  <r>
    <x v="1034"/>
    <x v="0"/>
    <x v="81"/>
    <n v="1"/>
    <n v="349.99"/>
    <n v="0.2"/>
    <n v="349.99"/>
    <m/>
    <x v="74"/>
    <x v="1"/>
  </r>
  <r>
    <x v="1035"/>
    <x v="0"/>
    <x v="66"/>
    <n v="2"/>
    <n v="2699.99"/>
    <n v="0.1"/>
    <n v="5399.98"/>
    <m/>
    <x v="59"/>
    <x v="1"/>
  </r>
  <r>
    <x v="1035"/>
    <x v="1"/>
    <x v="35"/>
    <n v="1"/>
    <n v="299.99"/>
    <n v="7.0000000000000007E-2"/>
    <n v="299.99"/>
    <m/>
    <x v="31"/>
    <x v="1"/>
  </r>
  <r>
    <x v="1035"/>
    <x v="2"/>
    <x v="9"/>
    <n v="2"/>
    <n v="449"/>
    <n v="0.05"/>
    <n v="898"/>
    <m/>
    <x v="8"/>
    <x v="1"/>
  </r>
  <r>
    <x v="1035"/>
    <x v="3"/>
    <x v="105"/>
    <n v="2"/>
    <n v="346.99"/>
    <n v="0.2"/>
    <n v="693.98"/>
    <m/>
    <x v="97"/>
    <x v="1"/>
  </r>
  <r>
    <x v="1035"/>
    <x v="4"/>
    <x v="10"/>
    <n v="1"/>
    <n v="549.99"/>
    <n v="0.2"/>
    <n v="549.99"/>
    <m/>
    <x v="9"/>
    <x v="1"/>
  </r>
  <r>
    <x v="1036"/>
    <x v="0"/>
    <x v="51"/>
    <n v="2"/>
    <n v="439.99"/>
    <n v="7.0000000000000007E-2"/>
    <n v="879.98"/>
    <m/>
    <x v="44"/>
    <x v="1"/>
  </r>
  <r>
    <x v="1036"/>
    <x v="1"/>
    <x v="5"/>
    <n v="1"/>
    <n v="999.99"/>
    <n v="7.0000000000000007E-2"/>
    <n v="999.99"/>
    <m/>
    <x v="5"/>
    <x v="1"/>
  </r>
  <r>
    <x v="1036"/>
    <x v="2"/>
    <x v="105"/>
    <n v="2"/>
    <n v="346.99"/>
    <n v="0.2"/>
    <n v="693.98"/>
    <m/>
    <x v="97"/>
    <x v="1"/>
  </r>
  <r>
    <x v="1036"/>
    <x v="3"/>
    <x v="102"/>
    <n v="1"/>
    <n v="209.99"/>
    <n v="7.0000000000000007E-2"/>
    <n v="209.99"/>
    <m/>
    <x v="94"/>
    <x v="1"/>
  </r>
  <r>
    <x v="1036"/>
    <x v="4"/>
    <x v="73"/>
    <n v="2"/>
    <n v="109.99"/>
    <n v="0.05"/>
    <n v="219.98"/>
    <m/>
    <x v="66"/>
    <x v="1"/>
  </r>
  <r>
    <x v="1037"/>
    <x v="0"/>
    <x v="56"/>
    <n v="1"/>
    <n v="149.99"/>
    <n v="0.05"/>
    <n v="149.99"/>
    <m/>
    <x v="49"/>
    <x v="1"/>
  </r>
  <r>
    <x v="1037"/>
    <x v="1"/>
    <x v="11"/>
    <n v="1"/>
    <n v="2999.99"/>
    <n v="7.0000000000000007E-2"/>
    <n v="2999.99"/>
    <m/>
    <x v="10"/>
    <x v="1"/>
  </r>
  <r>
    <x v="1038"/>
    <x v="0"/>
    <x v="9"/>
    <n v="2"/>
    <n v="449"/>
    <n v="0.2"/>
    <n v="898"/>
    <m/>
    <x v="8"/>
    <x v="1"/>
  </r>
  <r>
    <x v="1039"/>
    <x v="0"/>
    <x v="44"/>
    <n v="1"/>
    <n v="349.99"/>
    <n v="0.1"/>
    <n v="349.99"/>
    <m/>
    <x v="38"/>
    <x v="0"/>
  </r>
  <r>
    <x v="1039"/>
    <x v="1"/>
    <x v="76"/>
    <n v="2"/>
    <n v="2499.9899999999998"/>
    <n v="0.2"/>
    <n v="4999.9799999999996"/>
    <m/>
    <x v="69"/>
    <x v="0"/>
  </r>
  <r>
    <x v="1039"/>
    <x v="2"/>
    <x v="38"/>
    <n v="1"/>
    <n v="489.99"/>
    <n v="7.0000000000000007E-2"/>
    <n v="489.99"/>
    <m/>
    <x v="34"/>
    <x v="0"/>
  </r>
  <r>
    <x v="1039"/>
    <x v="3"/>
    <x v="97"/>
    <n v="2"/>
    <n v="999.99"/>
    <n v="7.0000000000000007E-2"/>
    <n v="1999.98"/>
    <m/>
    <x v="89"/>
    <x v="0"/>
  </r>
  <r>
    <x v="1039"/>
    <x v="4"/>
    <x v="1"/>
    <n v="2"/>
    <n v="1799.99"/>
    <n v="0.05"/>
    <n v="3599.98"/>
    <m/>
    <x v="1"/>
    <x v="0"/>
  </r>
  <r>
    <x v="1040"/>
    <x v="0"/>
    <x v="84"/>
    <n v="1"/>
    <n v="209.99"/>
    <n v="0.1"/>
    <n v="209.99"/>
    <m/>
    <x v="77"/>
    <x v="1"/>
  </r>
  <r>
    <x v="1040"/>
    <x v="1"/>
    <x v="32"/>
    <n v="2"/>
    <n v="4999.99"/>
    <n v="7.0000000000000007E-2"/>
    <n v="9999.98"/>
    <m/>
    <x v="28"/>
    <x v="1"/>
  </r>
  <r>
    <x v="1040"/>
    <x v="2"/>
    <x v="49"/>
    <n v="2"/>
    <n v="249.99"/>
    <n v="0.1"/>
    <n v="499.98"/>
    <m/>
    <x v="42"/>
    <x v="1"/>
  </r>
  <r>
    <x v="1041"/>
    <x v="0"/>
    <x v="19"/>
    <n v="1"/>
    <n v="299.99"/>
    <n v="0.1"/>
    <n v="299.99"/>
    <m/>
    <x v="17"/>
    <x v="1"/>
  </r>
  <r>
    <x v="1042"/>
    <x v="0"/>
    <x v="66"/>
    <n v="2"/>
    <n v="2699.99"/>
    <n v="0.1"/>
    <n v="5399.98"/>
    <m/>
    <x v="59"/>
    <x v="1"/>
  </r>
  <r>
    <x v="1042"/>
    <x v="1"/>
    <x v="0"/>
    <n v="1"/>
    <n v="599.99"/>
    <n v="7.0000000000000007E-2"/>
    <n v="599.99"/>
    <m/>
    <x v="0"/>
    <x v="1"/>
  </r>
  <r>
    <x v="1043"/>
    <x v="0"/>
    <x v="44"/>
    <n v="2"/>
    <n v="349.99"/>
    <n v="0.1"/>
    <n v="699.98"/>
    <m/>
    <x v="38"/>
    <x v="1"/>
  </r>
  <r>
    <x v="1044"/>
    <x v="0"/>
    <x v="76"/>
    <n v="1"/>
    <n v="2499.9899999999998"/>
    <n v="0.05"/>
    <n v="2499.9899999999998"/>
    <m/>
    <x v="69"/>
    <x v="2"/>
  </r>
  <r>
    <x v="1044"/>
    <x v="1"/>
    <x v="77"/>
    <n v="2"/>
    <n v="481.99"/>
    <n v="0.05"/>
    <n v="963.98"/>
    <m/>
    <x v="70"/>
    <x v="2"/>
  </r>
  <r>
    <x v="1045"/>
    <x v="0"/>
    <x v="91"/>
    <n v="1"/>
    <n v="1559.99"/>
    <n v="7.0000000000000007E-2"/>
    <n v="1559.99"/>
    <m/>
    <x v="84"/>
    <x v="2"/>
  </r>
  <r>
    <x v="1045"/>
    <x v="1"/>
    <x v="47"/>
    <n v="1"/>
    <n v="402.99"/>
    <n v="7.0000000000000007E-2"/>
    <n v="402.99"/>
    <m/>
    <x v="41"/>
    <x v="2"/>
  </r>
  <r>
    <x v="1045"/>
    <x v="2"/>
    <x v="33"/>
    <n v="1"/>
    <n v="469.99"/>
    <n v="7.0000000000000007E-2"/>
    <n v="469.99"/>
    <m/>
    <x v="29"/>
    <x v="2"/>
  </r>
  <r>
    <x v="1045"/>
    <x v="3"/>
    <x v="67"/>
    <n v="2"/>
    <n v="1469.99"/>
    <n v="0.1"/>
    <n v="2939.98"/>
    <m/>
    <x v="60"/>
    <x v="2"/>
  </r>
  <r>
    <x v="1045"/>
    <x v="4"/>
    <x v="7"/>
    <n v="2"/>
    <n v="429"/>
    <n v="0.05"/>
    <n v="858"/>
    <m/>
    <x v="7"/>
    <x v="2"/>
  </r>
  <r>
    <x v="1046"/>
    <x v="0"/>
    <x v="76"/>
    <n v="2"/>
    <n v="2499.9899999999998"/>
    <n v="0.1"/>
    <n v="4999.9799999999996"/>
    <m/>
    <x v="69"/>
    <x v="2"/>
  </r>
  <r>
    <x v="1046"/>
    <x v="1"/>
    <x v="46"/>
    <n v="1"/>
    <n v="647.99"/>
    <n v="0.2"/>
    <n v="647.99"/>
    <m/>
    <x v="40"/>
    <x v="2"/>
  </r>
  <r>
    <x v="1046"/>
    <x v="2"/>
    <x v="100"/>
    <n v="1"/>
    <n v="832.99"/>
    <n v="0.05"/>
    <n v="832.99"/>
    <m/>
    <x v="92"/>
    <x v="2"/>
  </r>
  <r>
    <x v="1046"/>
    <x v="3"/>
    <x v="60"/>
    <n v="1"/>
    <n v="3499.99"/>
    <n v="0.05"/>
    <n v="3499.99"/>
    <m/>
    <x v="53"/>
    <x v="2"/>
  </r>
  <r>
    <x v="1047"/>
    <x v="0"/>
    <x v="5"/>
    <n v="2"/>
    <n v="999.99"/>
    <n v="0.1"/>
    <n v="1999.98"/>
    <m/>
    <x v="5"/>
    <x v="1"/>
  </r>
  <r>
    <x v="1047"/>
    <x v="1"/>
    <x v="88"/>
    <n v="1"/>
    <n v="379.99"/>
    <n v="0.1"/>
    <n v="379.99"/>
    <m/>
    <x v="81"/>
    <x v="1"/>
  </r>
  <r>
    <x v="1047"/>
    <x v="2"/>
    <x v="49"/>
    <n v="1"/>
    <n v="249.99"/>
    <n v="0.05"/>
    <n v="249.99"/>
    <m/>
    <x v="42"/>
    <x v="1"/>
  </r>
  <r>
    <x v="1048"/>
    <x v="0"/>
    <x v="11"/>
    <n v="1"/>
    <n v="2999.99"/>
    <n v="0.1"/>
    <n v="2999.99"/>
    <m/>
    <x v="10"/>
    <x v="0"/>
  </r>
  <r>
    <x v="1048"/>
    <x v="1"/>
    <x v="107"/>
    <n v="2"/>
    <n v="832.99"/>
    <n v="0.05"/>
    <n v="1665.98"/>
    <m/>
    <x v="99"/>
    <x v="0"/>
  </r>
  <r>
    <x v="1048"/>
    <x v="2"/>
    <x v="5"/>
    <n v="1"/>
    <n v="999.99"/>
    <n v="0.1"/>
    <n v="999.99"/>
    <m/>
    <x v="5"/>
    <x v="0"/>
  </r>
  <r>
    <x v="1048"/>
    <x v="3"/>
    <x v="8"/>
    <n v="1"/>
    <n v="599.99"/>
    <n v="7.0000000000000007E-2"/>
    <n v="599.99"/>
    <m/>
    <x v="3"/>
    <x v="0"/>
  </r>
  <r>
    <x v="1048"/>
    <x v="4"/>
    <x v="2"/>
    <n v="2"/>
    <n v="1549"/>
    <n v="0.05"/>
    <n v="3098"/>
    <m/>
    <x v="2"/>
    <x v="0"/>
  </r>
  <r>
    <x v="1049"/>
    <x v="0"/>
    <x v="81"/>
    <n v="2"/>
    <n v="349.99"/>
    <n v="7.0000000000000007E-2"/>
    <n v="699.98"/>
    <m/>
    <x v="74"/>
    <x v="0"/>
  </r>
  <r>
    <x v="1049"/>
    <x v="1"/>
    <x v="40"/>
    <n v="2"/>
    <n v="299.99"/>
    <n v="0.1"/>
    <n v="599.98"/>
    <m/>
    <x v="35"/>
    <x v="0"/>
  </r>
  <r>
    <x v="1049"/>
    <x v="2"/>
    <x v="78"/>
    <n v="2"/>
    <n v="869.99"/>
    <n v="0.2"/>
    <n v="1739.98"/>
    <m/>
    <x v="71"/>
    <x v="0"/>
  </r>
  <r>
    <x v="1049"/>
    <x v="3"/>
    <x v="15"/>
    <n v="2"/>
    <n v="269.99"/>
    <n v="0.2"/>
    <n v="539.98"/>
    <m/>
    <x v="12"/>
    <x v="0"/>
  </r>
  <r>
    <x v="1050"/>
    <x v="0"/>
    <x v="109"/>
    <n v="1"/>
    <n v="1409.99"/>
    <n v="0.2"/>
    <n v="1409.99"/>
    <m/>
    <x v="101"/>
    <x v="1"/>
  </r>
  <r>
    <x v="1051"/>
    <x v="0"/>
    <x v="14"/>
    <n v="1"/>
    <n v="3999.99"/>
    <n v="0.05"/>
    <n v="3999.99"/>
    <m/>
    <x v="13"/>
    <x v="1"/>
  </r>
  <r>
    <x v="1051"/>
    <x v="1"/>
    <x v="27"/>
    <n v="1"/>
    <n v="551.99"/>
    <n v="0.05"/>
    <n v="551.99"/>
    <m/>
    <x v="23"/>
    <x v="1"/>
  </r>
  <r>
    <x v="1051"/>
    <x v="2"/>
    <x v="8"/>
    <n v="2"/>
    <n v="599.99"/>
    <n v="7.0000000000000007E-2"/>
    <n v="1199.98"/>
    <m/>
    <x v="3"/>
    <x v="1"/>
  </r>
  <r>
    <x v="1052"/>
    <x v="0"/>
    <x v="60"/>
    <n v="2"/>
    <n v="3499.99"/>
    <n v="0.05"/>
    <n v="6999.98"/>
    <m/>
    <x v="53"/>
    <x v="1"/>
  </r>
  <r>
    <x v="1052"/>
    <x v="1"/>
    <x v="8"/>
    <n v="2"/>
    <n v="599.99"/>
    <n v="0.2"/>
    <n v="1199.98"/>
    <m/>
    <x v="3"/>
    <x v="1"/>
  </r>
  <r>
    <x v="1052"/>
    <x v="2"/>
    <x v="19"/>
    <n v="2"/>
    <n v="299.99"/>
    <n v="0.2"/>
    <n v="599.98"/>
    <m/>
    <x v="17"/>
    <x v="1"/>
  </r>
  <r>
    <x v="1052"/>
    <x v="3"/>
    <x v="39"/>
    <n v="1"/>
    <n v="449.99"/>
    <n v="0.1"/>
    <n v="449.99"/>
    <m/>
    <x v="22"/>
    <x v="1"/>
  </r>
  <r>
    <x v="1052"/>
    <x v="4"/>
    <x v="30"/>
    <n v="2"/>
    <n v="749.99"/>
    <n v="0.05"/>
    <n v="1499.98"/>
    <m/>
    <x v="26"/>
    <x v="1"/>
  </r>
  <r>
    <x v="1053"/>
    <x v="0"/>
    <x v="107"/>
    <n v="2"/>
    <n v="832.99"/>
    <n v="0.1"/>
    <n v="1665.98"/>
    <m/>
    <x v="99"/>
    <x v="1"/>
  </r>
  <r>
    <x v="1053"/>
    <x v="1"/>
    <x v="3"/>
    <n v="1"/>
    <n v="599.99"/>
    <n v="0.05"/>
    <n v="599.99"/>
    <m/>
    <x v="3"/>
    <x v="1"/>
  </r>
  <r>
    <x v="1054"/>
    <x v="0"/>
    <x v="52"/>
    <n v="2"/>
    <n v="5299.99"/>
    <n v="7.0000000000000007E-2"/>
    <n v="10599.98"/>
    <m/>
    <x v="45"/>
    <x v="1"/>
  </r>
  <r>
    <x v="1054"/>
    <x v="1"/>
    <x v="70"/>
    <n v="2"/>
    <n v="339.99"/>
    <n v="0.2"/>
    <n v="679.98"/>
    <m/>
    <x v="63"/>
    <x v="1"/>
  </r>
  <r>
    <x v="1054"/>
    <x v="2"/>
    <x v="10"/>
    <n v="2"/>
    <n v="549.99"/>
    <n v="0.1"/>
    <n v="1099.98"/>
    <m/>
    <x v="9"/>
    <x v="1"/>
  </r>
  <r>
    <x v="1054"/>
    <x v="3"/>
    <x v="56"/>
    <n v="2"/>
    <n v="149.99"/>
    <n v="0.1"/>
    <n v="299.98"/>
    <m/>
    <x v="49"/>
    <x v="1"/>
  </r>
  <r>
    <x v="1054"/>
    <x v="4"/>
    <x v="91"/>
    <n v="1"/>
    <n v="1559.99"/>
    <n v="0.2"/>
    <n v="1559.99"/>
    <m/>
    <x v="84"/>
    <x v="1"/>
  </r>
  <r>
    <x v="1055"/>
    <x v="0"/>
    <x v="5"/>
    <n v="1"/>
    <n v="999.99"/>
    <n v="0.05"/>
    <n v="999.99"/>
    <m/>
    <x v="5"/>
    <x v="1"/>
  </r>
  <r>
    <x v="1056"/>
    <x v="0"/>
    <x v="86"/>
    <n v="1"/>
    <n v="533.99"/>
    <n v="0.2"/>
    <n v="533.99"/>
    <m/>
    <x v="79"/>
    <x v="1"/>
  </r>
  <r>
    <x v="1056"/>
    <x v="1"/>
    <x v="44"/>
    <n v="1"/>
    <n v="349.99"/>
    <n v="0.05"/>
    <n v="349.99"/>
    <m/>
    <x v="38"/>
    <x v="1"/>
  </r>
  <r>
    <x v="1056"/>
    <x v="2"/>
    <x v="72"/>
    <n v="2"/>
    <n v="489.99"/>
    <n v="0.05"/>
    <n v="979.98"/>
    <m/>
    <x v="65"/>
    <x v="1"/>
  </r>
  <r>
    <x v="1057"/>
    <x v="0"/>
    <x v="52"/>
    <n v="1"/>
    <n v="5299.99"/>
    <n v="0.1"/>
    <n v="5299.99"/>
    <m/>
    <x v="45"/>
    <x v="1"/>
  </r>
  <r>
    <x v="1057"/>
    <x v="1"/>
    <x v="61"/>
    <n v="2"/>
    <n v="999.99"/>
    <n v="0.05"/>
    <n v="1999.98"/>
    <m/>
    <x v="54"/>
    <x v="1"/>
  </r>
  <r>
    <x v="1057"/>
    <x v="2"/>
    <x v="27"/>
    <n v="1"/>
    <n v="551.99"/>
    <n v="7.0000000000000007E-2"/>
    <n v="551.99"/>
    <m/>
    <x v="23"/>
    <x v="1"/>
  </r>
  <r>
    <x v="1058"/>
    <x v="0"/>
    <x v="109"/>
    <n v="2"/>
    <n v="1409.99"/>
    <n v="0.05"/>
    <n v="2819.98"/>
    <m/>
    <x v="101"/>
    <x v="1"/>
  </r>
  <r>
    <x v="1058"/>
    <x v="1"/>
    <x v="14"/>
    <n v="1"/>
    <n v="3999.99"/>
    <n v="0.1"/>
    <n v="3999.99"/>
    <m/>
    <x v="13"/>
    <x v="1"/>
  </r>
  <r>
    <x v="1058"/>
    <x v="2"/>
    <x v="17"/>
    <n v="1"/>
    <n v="269.99"/>
    <n v="7.0000000000000007E-2"/>
    <n v="269.99"/>
    <m/>
    <x v="15"/>
    <x v="1"/>
  </r>
  <r>
    <x v="1059"/>
    <x v="0"/>
    <x v="14"/>
    <n v="1"/>
    <n v="3999.99"/>
    <n v="7.0000000000000007E-2"/>
    <n v="3999.99"/>
    <m/>
    <x v="13"/>
    <x v="1"/>
  </r>
  <r>
    <x v="1059"/>
    <x v="1"/>
    <x v="16"/>
    <n v="2"/>
    <n v="1680.99"/>
    <n v="7.0000000000000007E-2"/>
    <n v="3361.98"/>
    <m/>
    <x v="14"/>
    <x v="1"/>
  </r>
  <r>
    <x v="1059"/>
    <x v="2"/>
    <x v="32"/>
    <n v="2"/>
    <n v="4999.99"/>
    <n v="0.1"/>
    <n v="9999.98"/>
    <m/>
    <x v="28"/>
    <x v="1"/>
  </r>
  <r>
    <x v="1059"/>
    <x v="3"/>
    <x v="34"/>
    <n v="2"/>
    <n v="999.99"/>
    <n v="0.05"/>
    <n v="1999.98"/>
    <m/>
    <x v="30"/>
    <x v="1"/>
  </r>
  <r>
    <x v="1060"/>
    <x v="0"/>
    <x v="15"/>
    <n v="1"/>
    <n v="269.99"/>
    <n v="7.0000000000000007E-2"/>
    <n v="269.99"/>
    <m/>
    <x v="12"/>
    <x v="1"/>
  </r>
  <r>
    <x v="1060"/>
    <x v="1"/>
    <x v="23"/>
    <n v="1"/>
    <n v="449"/>
    <n v="0.1"/>
    <n v="449"/>
    <m/>
    <x v="20"/>
    <x v="1"/>
  </r>
  <r>
    <x v="1061"/>
    <x v="0"/>
    <x v="17"/>
    <n v="1"/>
    <n v="269.99"/>
    <n v="0.05"/>
    <n v="269.99"/>
    <m/>
    <x v="15"/>
    <x v="1"/>
  </r>
  <r>
    <x v="1061"/>
    <x v="1"/>
    <x v="103"/>
    <n v="2"/>
    <n v="470.99"/>
    <n v="0.2"/>
    <n v="941.98"/>
    <m/>
    <x v="95"/>
    <x v="1"/>
  </r>
  <r>
    <x v="1061"/>
    <x v="2"/>
    <x v="21"/>
    <n v="1"/>
    <n v="1320.99"/>
    <n v="0.05"/>
    <n v="1320.99"/>
    <m/>
    <x v="18"/>
    <x v="1"/>
  </r>
  <r>
    <x v="1061"/>
    <x v="3"/>
    <x v="10"/>
    <n v="1"/>
    <n v="549.99"/>
    <n v="0.2"/>
    <n v="549.99"/>
    <m/>
    <x v="9"/>
    <x v="1"/>
  </r>
  <r>
    <x v="1062"/>
    <x v="0"/>
    <x v="57"/>
    <n v="2"/>
    <n v="469.99"/>
    <n v="0.1"/>
    <n v="939.98"/>
    <m/>
    <x v="50"/>
    <x v="2"/>
  </r>
  <r>
    <x v="1062"/>
    <x v="1"/>
    <x v="96"/>
    <n v="2"/>
    <n v="489.99"/>
    <n v="7.0000000000000007E-2"/>
    <n v="979.98"/>
    <m/>
    <x v="88"/>
    <x v="2"/>
  </r>
  <r>
    <x v="1062"/>
    <x v="2"/>
    <x v="31"/>
    <n v="2"/>
    <n v="619.99"/>
    <n v="0.2"/>
    <n v="1239.98"/>
    <m/>
    <x v="27"/>
    <x v="2"/>
  </r>
  <r>
    <x v="1063"/>
    <x v="0"/>
    <x v="9"/>
    <n v="1"/>
    <n v="449"/>
    <n v="7.0000000000000007E-2"/>
    <n v="449"/>
    <m/>
    <x v="8"/>
    <x v="2"/>
  </r>
  <r>
    <x v="1063"/>
    <x v="1"/>
    <x v="60"/>
    <n v="1"/>
    <n v="3499.99"/>
    <n v="0.1"/>
    <n v="3499.99"/>
    <m/>
    <x v="53"/>
    <x v="2"/>
  </r>
  <r>
    <x v="1064"/>
    <x v="0"/>
    <x v="74"/>
    <n v="2"/>
    <n v="1499.99"/>
    <n v="7.0000000000000007E-2"/>
    <n v="2999.98"/>
    <m/>
    <x v="67"/>
    <x v="1"/>
  </r>
  <r>
    <x v="1064"/>
    <x v="1"/>
    <x v="27"/>
    <n v="2"/>
    <n v="551.99"/>
    <n v="0.05"/>
    <n v="1103.98"/>
    <m/>
    <x v="23"/>
    <x v="1"/>
  </r>
  <r>
    <x v="1064"/>
    <x v="2"/>
    <x v="65"/>
    <n v="1"/>
    <n v="3499.99"/>
    <n v="7.0000000000000007E-2"/>
    <n v="3499.99"/>
    <m/>
    <x v="58"/>
    <x v="1"/>
  </r>
  <r>
    <x v="1065"/>
    <x v="0"/>
    <x v="12"/>
    <n v="2"/>
    <n v="529.99"/>
    <n v="0.05"/>
    <n v="1059.98"/>
    <m/>
    <x v="11"/>
    <x v="1"/>
  </r>
  <r>
    <x v="1065"/>
    <x v="1"/>
    <x v="109"/>
    <n v="1"/>
    <n v="1409.99"/>
    <n v="0.1"/>
    <n v="1409.99"/>
    <m/>
    <x v="101"/>
    <x v="1"/>
  </r>
  <r>
    <x v="1065"/>
    <x v="2"/>
    <x v="10"/>
    <n v="1"/>
    <n v="549.99"/>
    <n v="0.1"/>
    <n v="549.99"/>
    <m/>
    <x v="9"/>
    <x v="1"/>
  </r>
  <r>
    <x v="1066"/>
    <x v="0"/>
    <x v="51"/>
    <n v="2"/>
    <n v="439.99"/>
    <n v="7.0000000000000007E-2"/>
    <n v="879.98"/>
    <m/>
    <x v="44"/>
    <x v="1"/>
  </r>
  <r>
    <x v="1066"/>
    <x v="1"/>
    <x v="11"/>
    <n v="2"/>
    <n v="2999.99"/>
    <n v="0.2"/>
    <n v="5999.98"/>
    <m/>
    <x v="10"/>
    <x v="1"/>
  </r>
  <r>
    <x v="1066"/>
    <x v="2"/>
    <x v="31"/>
    <n v="2"/>
    <n v="619.99"/>
    <n v="0.1"/>
    <n v="1239.98"/>
    <m/>
    <x v="27"/>
    <x v="1"/>
  </r>
  <r>
    <x v="1066"/>
    <x v="3"/>
    <x v="18"/>
    <n v="2"/>
    <n v="469.99"/>
    <n v="0.2"/>
    <n v="939.98"/>
    <m/>
    <x v="16"/>
    <x v="1"/>
  </r>
  <r>
    <x v="1067"/>
    <x v="0"/>
    <x v="108"/>
    <n v="2"/>
    <n v="189.99"/>
    <n v="0.2"/>
    <n v="379.98"/>
    <m/>
    <x v="100"/>
    <x v="1"/>
  </r>
  <r>
    <x v="1067"/>
    <x v="1"/>
    <x v="90"/>
    <n v="1"/>
    <n v="659.99"/>
    <n v="0.2"/>
    <n v="659.99"/>
    <m/>
    <x v="83"/>
    <x v="1"/>
  </r>
  <r>
    <x v="1067"/>
    <x v="2"/>
    <x v="60"/>
    <n v="2"/>
    <n v="3499.99"/>
    <n v="0.2"/>
    <n v="6999.98"/>
    <m/>
    <x v="53"/>
    <x v="1"/>
  </r>
  <r>
    <x v="1067"/>
    <x v="3"/>
    <x v="78"/>
    <n v="2"/>
    <n v="869.99"/>
    <n v="0.2"/>
    <n v="1739.98"/>
    <m/>
    <x v="71"/>
    <x v="1"/>
  </r>
  <r>
    <x v="1068"/>
    <x v="0"/>
    <x v="36"/>
    <n v="1"/>
    <n v="416.99"/>
    <n v="7.0000000000000007E-2"/>
    <n v="416.99"/>
    <m/>
    <x v="32"/>
    <x v="1"/>
  </r>
  <r>
    <x v="1068"/>
    <x v="1"/>
    <x v="101"/>
    <n v="1"/>
    <n v="209.99"/>
    <n v="0.1"/>
    <n v="209.99"/>
    <m/>
    <x v="93"/>
    <x v="1"/>
  </r>
  <r>
    <x v="1069"/>
    <x v="0"/>
    <x v="55"/>
    <n v="1"/>
    <n v="470.99"/>
    <n v="0.2"/>
    <n v="470.99"/>
    <m/>
    <x v="48"/>
    <x v="1"/>
  </r>
  <r>
    <x v="1069"/>
    <x v="1"/>
    <x v="9"/>
    <n v="2"/>
    <n v="449"/>
    <n v="0.1"/>
    <n v="898"/>
    <m/>
    <x v="8"/>
    <x v="1"/>
  </r>
  <r>
    <x v="1069"/>
    <x v="2"/>
    <x v="49"/>
    <n v="1"/>
    <n v="249.99"/>
    <n v="0.05"/>
    <n v="249.99"/>
    <m/>
    <x v="42"/>
    <x v="1"/>
  </r>
  <r>
    <x v="1070"/>
    <x v="0"/>
    <x v="22"/>
    <n v="2"/>
    <n v="499.99"/>
    <n v="0.2"/>
    <n v="999.98"/>
    <m/>
    <x v="19"/>
    <x v="2"/>
  </r>
  <r>
    <x v="1071"/>
    <x v="0"/>
    <x v="56"/>
    <n v="1"/>
    <n v="149.99"/>
    <n v="0.2"/>
    <n v="149.99"/>
    <m/>
    <x v="49"/>
    <x v="0"/>
  </r>
  <r>
    <x v="1071"/>
    <x v="1"/>
    <x v="84"/>
    <n v="2"/>
    <n v="209.99"/>
    <n v="7.0000000000000007E-2"/>
    <n v="419.98"/>
    <m/>
    <x v="77"/>
    <x v="0"/>
  </r>
  <r>
    <x v="1071"/>
    <x v="2"/>
    <x v="107"/>
    <n v="2"/>
    <n v="832.99"/>
    <n v="7.0000000000000007E-2"/>
    <n v="1665.98"/>
    <m/>
    <x v="99"/>
    <x v="0"/>
  </r>
  <r>
    <x v="1072"/>
    <x v="0"/>
    <x v="89"/>
    <n v="1"/>
    <n v="1099.99"/>
    <n v="0.2"/>
    <n v="1099.99"/>
    <m/>
    <x v="82"/>
    <x v="1"/>
  </r>
  <r>
    <x v="1072"/>
    <x v="1"/>
    <x v="17"/>
    <n v="1"/>
    <n v="269.99"/>
    <n v="7.0000000000000007E-2"/>
    <n v="269.99"/>
    <m/>
    <x v="15"/>
    <x v="1"/>
  </r>
  <r>
    <x v="1072"/>
    <x v="2"/>
    <x v="0"/>
    <n v="1"/>
    <n v="599.99"/>
    <n v="0.2"/>
    <n v="599.99"/>
    <m/>
    <x v="0"/>
    <x v="1"/>
  </r>
  <r>
    <x v="1073"/>
    <x v="0"/>
    <x v="64"/>
    <n v="1"/>
    <n v="2599.9899999999998"/>
    <n v="0.1"/>
    <n v="2599.9899999999998"/>
    <m/>
    <x v="57"/>
    <x v="1"/>
  </r>
  <r>
    <x v="1073"/>
    <x v="1"/>
    <x v="108"/>
    <n v="1"/>
    <n v="189.99"/>
    <n v="7.0000000000000007E-2"/>
    <n v="189.99"/>
    <m/>
    <x v="100"/>
    <x v="1"/>
  </r>
  <r>
    <x v="1073"/>
    <x v="2"/>
    <x v="84"/>
    <n v="2"/>
    <n v="209.99"/>
    <n v="0.1"/>
    <n v="419.98"/>
    <m/>
    <x v="77"/>
    <x v="1"/>
  </r>
  <r>
    <x v="1074"/>
    <x v="0"/>
    <x v="74"/>
    <n v="2"/>
    <n v="1499.99"/>
    <n v="0.1"/>
    <n v="2999.98"/>
    <m/>
    <x v="67"/>
    <x v="0"/>
  </r>
  <r>
    <x v="1074"/>
    <x v="1"/>
    <x v="103"/>
    <n v="2"/>
    <n v="470.99"/>
    <n v="0.05"/>
    <n v="941.98"/>
    <m/>
    <x v="95"/>
    <x v="0"/>
  </r>
  <r>
    <x v="1075"/>
    <x v="0"/>
    <x v="43"/>
    <n v="1"/>
    <n v="299.99"/>
    <n v="0.1"/>
    <n v="299.99"/>
    <m/>
    <x v="31"/>
    <x v="1"/>
  </r>
  <r>
    <x v="1075"/>
    <x v="1"/>
    <x v="48"/>
    <n v="1"/>
    <n v="489.99"/>
    <n v="7.0000000000000007E-2"/>
    <n v="489.99"/>
    <m/>
    <x v="34"/>
    <x v="1"/>
  </r>
  <r>
    <x v="1075"/>
    <x v="2"/>
    <x v="30"/>
    <n v="2"/>
    <n v="749.99"/>
    <n v="7.0000000000000007E-2"/>
    <n v="1499.98"/>
    <m/>
    <x v="26"/>
    <x v="1"/>
  </r>
  <r>
    <x v="1076"/>
    <x v="0"/>
    <x v="91"/>
    <n v="2"/>
    <n v="1559.99"/>
    <n v="0.05"/>
    <n v="3119.98"/>
    <m/>
    <x v="84"/>
    <x v="1"/>
  </r>
  <r>
    <x v="1077"/>
    <x v="0"/>
    <x v="35"/>
    <n v="2"/>
    <n v="299.99"/>
    <n v="7.0000000000000007E-2"/>
    <n v="599.98"/>
    <m/>
    <x v="31"/>
    <x v="1"/>
  </r>
  <r>
    <x v="1077"/>
    <x v="1"/>
    <x v="91"/>
    <n v="2"/>
    <n v="1559.99"/>
    <n v="0.2"/>
    <n v="3119.98"/>
    <m/>
    <x v="84"/>
    <x v="1"/>
  </r>
  <r>
    <x v="1077"/>
    <x v="2"/>
    <x v="12"/>
    <n v="1"/>
    <n v="529.99"/>
    <n v="7.0000000000000007E-2"/>
    <n v="529.99"/>
    <m/>
    <x v="11"/>
    <x v="1"/>
  </r>
  <r>
    <x v="1077"/>
    <x v="3"/>
    <x v="2"/>
    <n v="2"/>
    <n v="1549"/>
    <n v="0.1"/>
    <n v="3098"/>
    <m/>
    <x v="2"/>
    <x v="1"/>
  </r>
  <r>
    <x v="1077"/>
    <x v="4"/>
    <x v="31"/>
    <n v="2"/>
    <n v="619.99"/>
    <n v="0.2"/>
    <n v="1239.98"/>
    <m/>
    <x v="27"/>
    <x v="1"/>
  </r>
  <r>
    <x v="1078"/>
    <x v="0"/>
    <x v="63"/>
    <n v="2"/>
    <n v="659.99"/>
    <n v="7.0000000000000007E-2"/>
    <n v="1319.98"/>
    <m/>
    <x v="56"/>
    <x v="1"/>
  </r>
  <r>
    <x v="1079"/>
    <x v="0"/>
    <x v="93"/>
    <n v="1"/>
    <n v="1632.99"/>
    <n v="0.2"/>
    <n v="1632.99"/>
    <m/>
    <x v="85"/>
    <x v="1"/>
  </r>
  <r>
    <x v="1079"/>
    <x v="1"/>
    <x v="95"/>
    <n v="1"/>
    <n v="4999.99"/>
    <n v="0.1"/>
    <n v="4999.99"/>
    <m/>
    <x v="87"/>
    <x v="1"/>
  </r>
  <r>
    <x v="1079"/>
    <x v="2"/>
    <x v="69"/>
    <n v="1"/>
    <n v="5999.99"/>
    <n v="0.05"/>
    <n v="5999.99"/>
    <m/>
    <x v="62"/>
    <x v="1"/>
  </r>
  <r>
    <x v="1079"/>
    <x v="3"/>
    <x v="33"/>
    <n v="2"/>
    <n v="469.99"/>
    <n v="0.2"/>
    <n v="939.98"/>
    <m/>
    <x v="29"/>
    <x v="1"/>
  </r>
  <r>
    <x v="1079"/>
    <x v="4"/>
    <x v="106"/>
    <n v="1"/>
    <n v="149.99"/>
    <n v="0.05"/>
    <n v="149.99"/>
    <m/>
    <x v="98"/>
    <x v="1"/>
  </r>
  <r>
    <x v="1080"/>
    <x v="0"/>
    <x v="58"/>
    <n v="2"/>
    <n v="875.99"/>
    <n v="0.1"/>
    <n v="1751.98"/>
    <m/>
    <x v="51"/>
    <x v="1"/>
  </r>
  <r>
    <x v="1081"/>
    <x v="0"/>
    <x v="61"/>
    <n v="2"/>
    <n v="999.99"/>
    <n v="0.2"/>
    <n v="1999.98"/>
    <m/>
    <x v="54"/>
    <x v="1"/>
  </r>
  <r>
    <x v="1082"/>
    <x v="0"/>
    <x v="105"/>
    <n v="2"/>
    <n v="346.99"/>
    <n v="0.2"/>
    <n v="693.98"/>
    <m/>
    <x v="97"/>
    <x v="1"/>
  </r>
  <r>
    <x v="1082"/>
    <x v="1"/>
    <x v="104"/>
    <n v="2"/>
    <n v="799.99"/>
    <n v="0.1"/>
    <n v="1599.98"/>
    <m/>
    <x v="96"/>
    <x v="1"/>
  </r>
  <r>
    <x v="1082"/>
    <x v="2"/>
    <x v="32"/>
    <n v="1"/>
    <n v="4999.99"/>
    <n v="7.0000000000000007E-2"/>
    <n v="4999.99"/>
    <m/>
    <x v="28"/>
    <x v="1"/>
  </r>
  <r>
    <x v="1082"/>
    <x v="3"/>
    <x v="57"/>
    <n v="1"/>
    <n v="469.99"/>
    <n v="0.2"/>
    <n v="469.99"/>
    <m/>
    <x v="50"/>
    <x v="1"/>
  </r>
  <r>
    <x v="1083"/>
    <x v="0"/>
    <x v="34"/>
    <n v="1"/>
    <n v="999.99"/>
    <n v="0.05"/>
    <n v="999.99"/>
    <m/>
    <x v="30"/>
    <x v="0"/>
  </r>
  <r>
    <x v="1083"/>
    <x v="1"/>
    <x v="63"/>
    <n v="1"/>
    <n v="659.99"/>
    <n v="0.05"/>
    <n v="659.99"/>
    <m/>
    <x v="56"/>
    <x v="0"/>
  </r>
  <r>
    <x v="1083"/>
    <x v="2"/>
    <x v="72"/>
    <n v="2"/>
    <n v="489.99"/>
    <n v="0.2"/>
    <n v="979.98"/>
    <m/>
    <x v="65"/>
    <x v="0"/>
  </r>
  <r>
    <x v="1083"/>
    <x v="3"/>
    <x v="105"/>
    <n v="2"/>
    <n v="346.99"/>
    <n v="7.0000000000000007E-2"/>
    <n v="693.98"/>
    <m/>
    <x v="97"/>
    <x v="0"/>
  </r>
  <r>
    <x v="1083"/>
    <x v="4"/>
    <x v="91"/>
    <n v="1"/>
    <n v="1559.99"/>
    <n v="0.1"/>
    <n v="1559.99"/>
    <m/>
    <x v="84"/>
    <x v="0"/>
  </r>
  <r>
    <x v="1084"/>
    <x v="0"/>
    <x v="82"/>
    <n v="2"/>
    <n v="250.99"/>
    <n v="0.2"/>
    <n v="501.98"/>
    <m/>
    <x v="75"/>
    <x v="0"/>
  </r>
  <r>
    <x v="1084"/>
    <x v="1"/>
    <x v="38"/>
    <n v="1"/>
    <n v="489.99"/>
    <n v="0.1"/>
    <n v="489.99"/>
    <m/>
    <x v="34"/>
    <x v="0"/>
  </r>
  <r>
    <x v="1084"/>
    <x v="2"/>
    <x v="51"/>
    <n v="1"/>
    <n v="439.99"/>
    <n v="0.1"/>
    <n v="439.99"/>
    <m/>
    <x v="44"/>
    <x v="0"/>
  </r>
  <r>
    <x v="1085"/>
    <x v="0"/>
    <x v="75"/>
    <n v="1"/>
    <n v="449.99"/>
    <n v="7.0000000000000007E-2"/>
    <n v="449.99"/>
    <m/>
    <x v="68"/>
    <x v="1"/>
  </r>
  <r>
    <x v="1085"/>
    <x v="1"/>
    <x v="50"/>
    <n v="1"/>
    <n v="250.99"/>
    <n v="0.1"/>
    <n v="250.99"/>
    <m/>
    <x v="43"/>
    <x v="1"/>
  </r>
  <r>
    <x v="1085"/>
    <x v="2"/>
    <x v="89"/>
    <n v="2"/>
    <n v="1099.99"/>
    <n v="0.05"/>
    <n v="2199.98"/>
    <m/>
    <x v="82"/>
    <x v="1"/>
  </r>
  <r>
    <x v="1085"/>
    <x v="3"/>
    <x v="2"/>
    <n v="2"/>
    <n v="1549"/>
    <n v="7.0000000000000007E-2"/>
    <n v="3098"/>
    <m/>
    <x v="2"/>
    <x v="1"/>
  </r>
  <r>
    <x v="1085"/>
    <x v="4"/>
    <x v="21"/>
    <n v="1"/>
    <n v="1320.99"/>
    <n v="0.2"/>
    <n v="1320.99"/>
    <m/>
    <x v="18"/>
    <x v="1"/>
  </r>
  <r>
    <x v="1086"/>
    <x v="0"/>
    <x v="12"/>
    <n v="1"/>
    <n v="529.99"/>
    <n v="7.0000000000000007E-2"/>
    <n v="529.99"/>
    <m/>
    <x v="11"/>
    <x v="2"/>
  </r>
  <r>
    <x v="1086"/>
    <x v="1"/>
    <x v="48"/>
    <n v="2"/>
    <n v="489.99"/>
    <n v="7.0000000000000007E-2"/>
    <n v="979.98"/>
    <m/>
    <x v="34"/>
    <x v="2"/>
  </r>
  <r>
    <x v="1086"/>
    <x v="2"/>
    <x v="64"/>
    <n v="2"/>
    <n v="2599.9899999999998"/>
    <n v="0.1"/>
    <n v="5199.9799999999996"/>
    <m/>
    <x v="57"/>
    <x v="2"/>
  </r>
  <r>
    <x v="1086"/>
    <x v="3"/>
    <x v="17"/>
    <n v="2"/>
    <n v="269.99"/>
    <n v="7.0000000000000007E-2"/>
    <n v="539.98"/>
    <m/>
    <x v="15"/>
    <x v="2"/>
  </r>
  <r>
    <x v="1086"/>
    <x v="4"/>
    <x v="36"/>
    <n v="2"/>
    <n v="416.99"/>
    <n v="0.2"/>
    <n v="833.98"/>
    <m/>
    <x v="32"/>
    <x v="2"/>
  </r>
  <r>
    <x v="1087"/>
    <x v="0"/>
    <x v="38"/>
    <n v="1"/>
    <n v="489.99"/>
    <n v="0.1"/>
    <n v="489.99"/>
    <m/>
    <x v="34"/>
    <x v="2"/>
  </r>
  <r>
    <x v="1087"/>
    <x v="1"/>
    <x v="34"/>
    <n v="1"/>
    <n v="999.99"/>
    <n v="0.1"/>
    <n v="999.99"/>
    <m/>
    <x v="30"/>
    <x v="2"/>
  </r>
  <r>
    <x v="1087"/>
    <x v="2"/>
    <x v="57"/>
    <n v="1"/>
    <n v="469.99"/>
    <n v="7.0000000000000007E-2"/>
    <n v="469.99"/>
    <m/>
    <x v="50"/>
    <x v="2"/>
  </r>
  <r>
    <x v="1087"/>
    <x v="3"/>
    <x v="107"/>
    <n v="2"/>
    <n v="832.99"/>
    <n v="0.2"/>
    <n v="1665.98"/>
    <m/>
    <x v="99"/>
    <x v="2"/>
  </r>
  <r>
    <x v="1088"/>
    <x v="0"/>
    <x v="63"/>
    <n v="2"/>
    <n v="659.99"/>
    <n v="7.0000000000000007E-2"/>
    <n v="1319.98"/>
    <m/>
    <x v="56"/>
    <x v="0"/>
  </r>
  <r>
    <x v="1088"/>
    <x v="1"/>
    <x v="34"/>
    <n v="2"/>
    <n v="999.99"/>
    <n v="0.05"/>
    <n v="1999.98"/>
    <m/>
    <x v="30"/>
    <x v="0"/>
  </r>
  <r>
    <x v="1089"/>
    <x v="0"/>
    <x v="51"/>
    <n v="1"/>
    <n v="439.99"/>
    <n v="0.2"/>
    <n v="439.99"/>
    <m/>
    <x v="44"/>
    <x v="0"/>
  </r>
  <r>
    <x v="1090"/>
    <x v="0"/>
    <x v="44"/>
    <n v="1"/>
    <n v="349.99"/>
    <n v="0.05"/>
    <n v="349.99"/>
    <m/>
    <x v="38"/>
    <x v="1"/>
  </r>
  <r>
    <x v="1090"/>
    <x v="1"/>
    <x v="28"/>
    <n v="1"/>
    <n v="5499.99"/>
    <n v="0.1"/>
    <n v="5499.99"/>
    <m/>
    <x v="24"/>
    <x v="1"/>
  </r>
  <r>
    <x v="1090"/>
    <x v="2"/>
    <x v="23"/>
    <n v="1"/>
    <n v="449"/>
    <n v="0.1"/>
    <n v="449"/>
    <m/>
    <x v="20"/>
    <x v="1"/>
  </r>
  <r>
    <x v="1091"/>
    <x v="0"/>
    <x v="98"/>
    <n v="1"/>
    <n v="469.99"/>
    <n v="0.05"/>
    <n v="469.99"/>
    <m/>
    <x v="90"/>
    <x v="0"/>
  </r>
  <r>
    <x v="1091"/>
    <x v="1"/>
    <x v="34"/>
    <n v="2"/>
    <n v="999.99"/>
    <n v="7.0000000000000007E-2"/>
    <n v="1999.98"/>
    <m/>
    <x v="30"/>
    <x v="0"/>
  </r>
  <r>
    <x v="1091"/>
    <x v="2"/>
    <x v="6"/>
    <n v="2"/>
    <n v="749.99"/>
    <n v="0.1"/>
    <n v="1499.98"/>
    <m/>
    <x v="6"/>
    <x v="0"/>
  </r>
  <r>
    <x v="1091"/>
    <x v="3"/>
    <x v="9"/>
    <n v="1"/>
    <n v="449"/>
    <n v="0.2"/>
    <n v="449"/>
    <m/>
    <x v="8"/>
    <x v="0"/>
  </r>
  <r>
    <x v="1092"/>
    <x v="0"/>
    <x v="78"/>
    <n v="2"/>
    <n v="869.99"/>
    <n v="7.0000000000000007E-2"/>
    <n v="1739.98"/>
    <m/>
    <x v="71"/>
    <x v="0"/>
  </r>
  <r>
    <x v="1092"/>
    <x v="1"/>
    <x v="7"/>
    <n v="2"/>
    <n v="429"/>
    <n v="0.1"/>
    <n v="858"/>
    <m/>
    <x v="7"/>
    <x v="0"/>
  </r>
  <r>
    <x v="1092"/>
    <x v="2"/>
    <x v="45"/>
    <n v="2"/>
    <n v="209.99"/>
    <n v="0.1"/>
    <n v="419.98"/>
    <m/>
    <x v="39"/>
    <x v="0"/>
  </r>
  <r>
    <x v="1093"/>
    <x v="0"/>
    <x v="68"/>
    <n v="1"/>
    <n v="416.99"/>
    <n v="0.1"/>
    <n v="416.99"/>
    <m/>
    <x v="61"/>
    <x v="1"/>
  </r>
  <r>
    <x v="1093"/>
    <x v="1"/>
    <x v="16"/>
    <n v="1"/>
    <n v="1680.99"/>
    <n v="0.1"/>
    <n v="1680.99"/>
    <m/>
    <x v="14"/>
    <x v="1"/>
  </r>
  <r>
    <x v="1093"/>
    <x v="2"/>
    <x v="24"/>
    <n v="1"/>
    <n v="549.99"/>
    <n v="0.1"/>
    <n v="549.99"/>
    <m/>
    <x v="9"/>
    <x v="1"/>
  </r>
  <r>
    <x v="1093"/>
    <x v="3"/>
    <x v="92"/>
    <n v="1"/>
    <n v="416.99"/>
    <n v="0.2"/>
    <n v="416.99"/>
    <m/>
    <x v="72"/>
    <x v="1"/>
  </r>
  <r>
    <x v="1094"/>
    <x v="0"/>
    <x v="46"/>
    <n v="2"/>
    <n v="647.99"/>
    <n v="0.05"/>
    <n v="1295.98"/>
    <m/>
    <x v="40"/>
    <x v="2"/>
  </r>
  <r>
    <x v="1094"/>
    <x v="1"/>
    <x v="5"/>
    <n v="2"/>
    <n v="999.99"/>
    <n v="0.2"/>
    <n v="1999.98"/>
    <m/>
    <x v="5"/>
    <x v="2"/>
  </r>
  <r>
    <x v="1094"/>
    <x v="2"/>
    <x v="12"/>
    <n v="2"/>
    <n v="529.99"/>
    <n v="0.1"/>
    <n v="1059.98"/>
    <m/>
    <x v="11"/>
    <x v="2"/>
  </r>
  <r>
    <x v="1094"/>
    <x v="3"/>
    <x v="93"/>
    <n v="1"/>
    <n v="1632.99"/>
    <n v="0.2"/>
    <n v="1632.99"/>
    <m/>
    <x v="85"/>
    <x v="2"/>
  </r>
  <r>
    <x v="1094"/>
    <x v="4"/>
    <x v="69"/>
    <n v="2"/>
    <n v="5999.99"/>
    <n v="0.05"/>
    <n v="11999.98"/>
    <m/>
    <x v="62"/>
    <x v="2"/>
  </r>
  <r>
    <x v="1095"/>
    <x v="0"/>
    <x v="16"/>
    <n v="1"/>
    <n v="1680.99"/>
    <n v="0.1"/>
    <n v="1680.99"/>
    <m/>
    <x v="14"/>
    <x v="0"/>
  </r>
  <r>
    <x v="1096"/>
    <x v="0"/>
    <x v="40"/>
    <n v="1"/>
    <n v="299.99"/>
    <n v="0.05"/>
    <n v="299.99"/>
    <m/>
    <x v="35"/>
    <x v="1"/>
  </r>
  <r>
    <x v="1096"/>
    <x v="1"/>
    <x v="26"/>
    <n v="2"/>
    <n v="449.99"/>
    <n v="7.0000000000000007E-2"/>
    <n v="899.98"/>
    <m/>
    <x v="22"/>
    <x v="1"/>
  </r>
  <r>
    <x v="1096"/>
    <x v="2"/>
    <x v="72"/>
    <n v="2"/>
    <n v="489.99"/>
    <n v="7.0000000000000007E-2"/>
    <n v="979.98"/>
    <m/>
    <x v="65"/>
    <x v="1"/>
  </r>
  <r>
    <x v="1096"/>
    <x v="3"/>
    <x v="23"/>
    <n v="1"/>
    <n v="449"/>
    <n v="0.2"/>
    <n v="449"/>
    <m/>
    <x v="20"/>
    <x v="1"/>
  </r>
  <r>
    <x v="1096"/>
    <x v="4"/>
    <x v="100"/>
    <n v="2"/>
    <n v="832.99"/>
    <n v="0.05"/>
    <n v="1665.98"/>
    <m/>
    <x v="92"/>
    <x v="1"/>
  </r>
  <r>
    <x v="1097"/>
    <x v="0"/>
    <x v="54"/>
    <n v="1"/>
    <n v="189.99"/>
    <n v="0.1"/>
    <n v="189.99"/>
    <m/>
    <x v="47"/>
    <x v="0"/>
  </r>
  <r>
    <x v="1098"/>
    <x v="0"/>
    <x v="38"/>
    <n v="1"/>
    <n v="489.99"/>
    <n v="0.1"/>
    <n v="489.99"/>
    <m/>
    <x v="34"/>
    <x v="1"/>
  </r>
  <r>
    <x v="1098"/>
    <x v="1"/>
    <x v="17"/>
    <n v="2"/>
    <n v="269.99"/>
    <n v="0.05"/>
    <n v="539.98"/>
    <m/>
    <x v="15"/>
    <x v="1"/>
  </r>
  <r>
    <x v="1098"/>
    <x v="2"/>
    <x v="109"/>
    <n v="1"/>
    <n v="1409.99"/>
    <n v="7.0000000000000007E-2"/>
    <n v="1409.99"/>
    <m/>
    <x v="101"/>
    <x v="1"/>
  </r>
  <r>
    <x v="1098"/>
    <x v="3"/>
    <x v="84"/>
    <n v="2"/>
    <n v="209.99"/>
    <n v="0.1"/>
    <n v="419.98"/>
    <m/>
    <x v="77"/>
    <x v="1"/>
  </r>
  <r>
    <x v="1099"/>
    <x v="0"/>
    <x v="10"/>
    <n v="1"/>
    <n v="549.99"/>
    <n v="0.05"/>
    <n v="549.99"/>
    <m/>
    <x v="9"/>
    <x v="1"/>
  </r>
  <r>
    <x v="1099"/>
    <x v="1"/>
    <x v="11"/>
    <n v="2"/>
    <n v="2999.99"/>
    <n v="0.1"/>
    <n v="5999.98"/>
    <m/>
    <x v="10"/>
    <x v="1"/>
  </r>
  <r>
    <x v="1100"/>
    <x v="0"/>
    <x v="86"/>
    <n v="1"/>
    <n v="533.99"/>
    <n v="7.0000000000000007E-2"/>
    <n v="533.99"/>
    <m/>
    <x v="79"/>
    <x v="1"/>
  </r>
  <r>
    <x v="1100"/>
    <x v="1"/>
    <x v="80"/>
    <n v="1"/>
    <n v="6499.99"/>
    <n v="0.05"/>
    <n v="6499.99"/>
    <m/>
    <x v="73"/>
    <x v="1"/>
  </r>
  <r>
    <x v="1101"/>
    <x v="0"/>
    <x v="87"/>
    <n v="1"/>
    <n v="349.99"/>
    <n v="7.0000000000000007E-2"/>
    <n v="349.99"/>
    <m/>
    <x v="80"/>
    <x v="1"/>
  </r>
  <r>
    <x v="1102"/>
    <x v="0"/>
    <x v="26"/>
    <n v="1"/>
    <n v="449.99"/>
    <n v="0.2"/>
    <n v="449.99"/>
    <m/>
    <x v="22"/>
    <x v="1"/>
  </r>
  <r>
    <x v="1102"/>
    <x v="1"/>
    <x v="109"/>
    <n v="2"/>
    <n v="1409.99"/>
    <n v="0.2"/>
    <n v="2819.98"/>
    <m/>
    <x v="101"/>
    <x v="1"/>
  </r>
  <r>
    <x v="1103"/>
    <x v="0"/>
    <x v="7"/>
    <n v="1"/>
    <n v="429"/>
    <n v="0.1"/>
    <n v="429"/>
    <m/>
    <x v="7"/>
    <x v="1"/>
  </r>
  <r>
    <x v="1103"/>
    <x v="1"/>
    <x v="63"/>
    <n v="2"/>
    <n v="659.99"/>
    <n v="0.1"/>
    <n v="1319.98"/>
    <m/>
    <x v="56"/>
    <x v="1"/>
  </r>
  <r>
    <x v="1103"/>
    <x v="2"/>
    <x v="52"/>
    <n v="1"/>
    <n v="5299.99"/>
    <n v="7.0000000000000007E-2"/>
    <n v="5299.99"/>
    <m/>
    <x v="45"/>
    <x v="1"/>
  </r>
  <r>
    <x v="1103"/>
    <x v="3"/>
    <x v="53"/>
    <n v="1"/>
    <n v="761.99"/>
    <n v="7.0000000000000007E-2"/>
    <n v="761.99"/>
    <m/>
    <x v="46"/>
    <x v="1"/>
  </r>
  <r>
    <x v="1104"/>
    <x v="0"/>
    <x v="91"/>
    <n v="1"/>
    <n v="1559.99"/>
    <n v="0.05"/>
    <n v="1559.99"/>
    <m/>
    <x v="84"/>
    <x v="2"/>
  </r>
  <r>
    <x v="1104"/>
    <x v="1"/>
    <x v="28"/>
    <n v="2"/>
    <n v="5499.99"/>
    <n v="0.2"/>
    <n v="10999.98"/>
    <m/>
    <x v="24"/>
    <x v="2"/>
  </r>
  <r>
    <x v="1104"/>
    <x v="2"/>
    <x v="100"/>
    <n v="2"/>
    <n v="832.99"/>
    <n v="7.0000000000000007E-2"/>
    <n v="1665.98"/>
    <m/>
    <x v="92"/>
    <x v="2"/>
  </r>
  <r>
    <x v="1105"/>
    <x v="0"/>
    <x v="81"/>
    <n v="1"/>
    <n v="349.99"/>
    <n v="0.1"/>
    <n v="349.99"/>
    <m/>
    <x v="74"/>
    <x v="1"/>
  </r>
  <r>
    <x v="1106"/>
    <x v="0"/>
    <x v="52"/>
    <n v="1"/>
    <n v="5299.99"/>
    <n v="0.2"/>
    <n v="5299.99"/>
    <m/>
    <x v="45"/>
    <x v="1"/>
  </r>
  <r>
    <x v="1106"/>
    <x v="1"/>
    <x v="67"/>
    <n v="2"/>
    <n v="1469.99"/>
    <n v="0.2"/>
    <n v="2939.98"/>
    <m/>
    <x v="60"/>
    <x v="1"/>
  </r>
  <r>
    <x v="1107"/>
    <x v="0"/>
    <x v="78"/>
    <n v="2"/>
    <n v="869.99"/>
    <n v="0.05"/>
    <n v="1739.98"/>
    <m/>
    <x v="71"/>
    <x v="0"/>
  </r>
  <r>
    <x v="1107"/>
    <x v="1"/>
    <x v="96"/>
    <n v="1"/>
    <n v="489.99"/>
    <n v="7.0000000000000007E-2"/>
    <n v="489.99"/>
    <m/>
    <x v="88"/>
    <x v="0"/>
  </r>
  <r>
    <x v="1107"/>
    <x v="2"/>
    <x v="86"/>
    <n v="1"/>
    <n v="533.99"/>
    <n v="7.0000000000000007E-2"/>
    <n v="533.99"/>
    <m/>
    <x v="79"/>
    <x v="0"/>
  </r>
  <r>
    <x v="1108"/>
    <x v="0"/>
    <x v="31"/>
    <n v="2"/>
    <n v="619.99"/>
    <n v="0.1"/>
    <n v="1239.98"/>
    <m/>
    <x v="27"/>
    <x v="1"/>
  </r>
  <r>
    <x v="1109"/>
    <x v="0"/>
    <x v="28"/>
    <n v="1"/>
    <n v="5499.99"/>
    <n v="0.1"/>
    <n v="5499.99"/>
    <m/>
    <x v="24"/>
    <x v="1"/>
  </r>
  <r>
    <x v="1110"/>
    <x v="0"/>
    <x v="43"/>
    <n v="1"/>
    <n v="299.99"/>
    <n v="0.05"/>
    <n v="299.99"/>
    <m/>
    <x v="31"/>
    <x v="1"/>
  </r>
  <r>
    <x v="1110"/>
    <x v="1"/>
    <x v="82"/>
    <n v="2"/>
    <n v="250.99"/>
    <n v="0.1"/>
    <n v="501.98"/>
    <m/>
    <x v="75"/>
    <x v="1"/>
  </r>
  <r>
    <x v="1110"/>
    <x v="2"/>
    <x v="15"/>
    <n v="1"/>
    <n v="269.99"/>
    <n v="0.2"/>
    <n v="269.99"/>
    <m/>
    <x v="12"/>
    <x v="1"/>
  </r>
  <r>
    <x v="1110"/>
    <x v="3"/>
    <x v="24"/>
    <n v="1"/>
    <n v="549.99"/>
    <n v="7.0000000000000007E-2"/>
    <n v="549.99"/>
    <m/>
    <x v="9"/>
    <x v="1"/>
  </r>
  <r>
    <x v="1111"/>
    <x v="0"/>
    <x v="68"/>
    <n v="2"/>
    <n v="416.99"/>
    <n v="0.05"/>
    <n v="833.98"/>
    <m/>
    <x v="61"/>
    <x v="1"/>
  </r>
  <r>
    <x v="1111"/>
    <x v="1"/>
    <x v="41"/>
    <n v="1"/>
    <n v="2299.9899999999998"/>
    <n v="7.0000000000000007E-2"/>
    <n v="2299.9899999999998"/>
    <m/>
    <x v="36"/>
    <x v="1"/>
  </r>
  <r>
    <x v="1111"/>
    <x v="2"/>
    <x v="21"/>
    <n v="2"/>
    <n v="1320.99"/>
    <n v="0.1"/>
    <n v="2641.98"/>
    <m/>
    <x v="18"/>
    <x v="1"/>
  </r>
  <r>
    <x v="1111"/>
    <x v="3"/>
    <x v="108"/>
    <n v="2"/>
    <n v="189.99"/>
    <n v="7.0000000000000007E-2"/>
    <n v="379.98"/>
    <m/>
    <x v="100"/>
    <x v="1"/>
  </r>
  <r>
    <x v="1111"/>
    <x v="4"/>
    <x v="11"/>
    <n v="2"/>
    <n v="2999.99"/>
    <n v="0.1"/>
    <n v="5999.98"/>
    <m/>
    <x v="10"/>
    <x v="1"/>
  </r>
  <r>
    <x v="1112"/>
    <x v="0"/>
    <x v="26"/>
    <n v="1"/>
    <n v="449.99"/>
    <n v="7.0000000000000007E-2"/>
    <n v="449.99"/>
    <m/>
    <x v="22"/>
    <x v="1"/>
  </r>
  <r>
    <x v="1113"/>
    <x v="0"/>
    <x v="58"/>
    <n v="1"/>
    <n v="875.99"/>
    <n v="0.2"/>
    <n v="875.99"/>
    <m/>
    <x v="51"/>
    <x v="1"/>
  </r>
  <r>
    <x v="1114"/>
    <x v="0"/>
    <x v="44"/>
    <n v="2"/>
    <n v="349.99"/>
    <n v="0.2"/>
    <n v="699.98"/>
    <m/>
    <x v="38"/>
    <x v="1"/>
  </r>
  <r>
    <x v="1114"/>
    <x v="1"/>
    <x v="69"/>
    <n v="2"/>
    <n v="5999.99"/>
    <n v="7.0000000000000007E-2"/>
    <n v="11999.98"/>
    <m/>
    <x v="62"/>
    <x v="1"/>
  </r>
  <r>
    <x v="1114"/>
    <x v="2"/>
    <x v="87"/>
    <n v="2"/>
    <n v="349.99"/>
    <n v="7.0000000000000007E-2"/>
    <n v="699.98"/>
    <m/>
    <x v="80"/>
    <x v="1"/>
  </r>
  <r>
    <x v="1114"/>
    <x v="3"/>
    <x v="60"/>
    <n v="2"/>
    <n v="3499.99"/>
    <n v="0.1"/>
    <n v="6999.98"/>
    <m/>
    <x v="53"/>
    <x v="1"/>
  </r>
  <r>
    <x v="1115"/>
    <x v="0"/>
    <x v="16"/>
    <n v="2"/>
    <n v="1680.99"/>
    <n v="7.0000000000000007E-2"/>
    <n v="3361.98"/>
    <m/>
    <x v="14"/>
    <x v="1"/>
  </r>
  <r>
    <x v="1116"/>
    <x v="0"/>
    <x v="88"/>
    <n v="2"/>
    <n v="379.99"/>
    <n v="0.1"/>
    <n v="759.98"/>
    <m/>
    <x v="81"/>
    <x v="1"/>
  </r>
  <r>
    <x v="1116"/>
    <x v="1"/>
    <x v="87"/>
    <n v="1"/>
    <n v="349.99"/>
    <n v="0.2"/>
    <n v="349.99"/>
    <m/>
    <x v="80"/>
    <x v="1"/>
  </r>
  <r>
    <x v="1116"/>
    <x v="2"/>
    <x v="80"/>
    <n v="2"/>
    <n v="6499.99"/>
    <n v="0.1"/>
    <n v="12999.98"/>
    <m/>
    <x v="73"/>
    <x v="1"/>
  </r>
  <r>
    <x v="1117"/>
    <x v="0"/>
    <x v="66"/>
    <n v="2"/>
    <n v="2699.99"/>
    <n v="0.2"/>
    <n v="5399.98"/>
    <m/>
    <x v="59"/>
    <x v="1"/>
  </r>
  <r>
    <x v="1117"/>
    <x v="1"/>
    <x v="69"/>
    <n v="1"/>
    <n v="5999.99"/>
    <n v="7.0000000000000007E-2"/>
    <n v="5999.99"/>
    <m/>
    <x v="62"/>
    <x v="1"/>
  </r>
  <r>
    <x v="1117"/>
    <x v="2"/>
    <x v="61"/>
    <n v="1"/>
    <n v="999.99"/>
    <n v="0.05"/>
    <n v="999.99"/>
    <m/>
    <x v="54"/>
    <x v="1"/>
  </r>
  <r>
    <x v="1117"/>
    <x v="3"/>
    <x v="42"/>
    <n v="2"/>
    <n v="5299.99"/>
    <n v="0.2"/>
    <n v="10599.98"/>
    <m/>
    <x v="37"/>
    <x v="1"/>
  </r>
  <r>
    <x v="1118"/>
    <x v="0"/>
    <x v="101"/>
    <n v="2"/>
    <n v="209.99"/>
    <n v="0.1"/>
    <n v="419.98"/>
    <m/>
    <x v="93"/>
    <x v="0"/>
  </r>
  <r>
    <x v="1118"/>
    <x v="1"/>
    <x v="66"/>
    <n v="2"/>
    <n v="2699.99"/>
    <n v="0.05"/>
    <n v="5399.98"/>
    <m/>
    <x v="59"/>
    <x v="0"/>
  </r>
  <r>
    <x v="1118"/>
    <x v="2"/>
    <x v="77"/>
    <n v="1"/>
    <n v="481.99"/>
    <n v="0.2"/>
    <n v="481.99"/>
    <m/>
    <x v="70"/>
    <x v="0"/>
  </r>
  <r>
    <x v="1119"/>
    <x v="0"/>
    <x v="102"/>
    <n v="2"/>
    <n v="209.99"/>
    <n v="7.0000000000000007E-2"/>
    <n v="419.98"/>
    <m/>
    <x v="94"/>
    <x v="1"/>
  </r>
  <r>
    <x v="1119"/>
    <x v="1"/>
    <x v="93"/>
    <n v="1"/>
    <n v="1632.99"/>
    <n v="7.0000000000000007E-2"/>
    <n v="1632.99"/>
    <m/>
    <x v="85"/>
    <x v="1"/>
  </r>
  <r>
    <x v="1119"/>
    <x v="2"/>
    <x v="34"/>
    <n v="2"/>
    <n v="999.99"/>
    <n v="0.05"/>
    <n v="1999.98"/>
    <m/>
    <x v="30"/>
    <x v="1"/>
  </r>
  <r>
    <x v="1119"/>
    <x v="3"/>
    <x v="101"/>
    <n v="1"/>
    <n v="209.99"/>
    <n v="7.0000000000000007E-2"/>
    <n v="209.99"/>
    <m/>
    <x v="93"/>
    <x v="1"/>
  </r>
  <r>
    <x v="1119"/>
    <x v="4"/>
    <x v="49"/>
    <n v="1"/>
    <n v="249.99"/>
    <n v="0.2"/>
    <n v="249.99"/>
    <m/>
    <x v="42"/>
    <x v="1"/>
  </r>
  <r>
    <x v="1120"/>
    <x v="0"/>
    <x v="16"/>
    <n v="2"/>
    <n v="1680.99"/>
    <n v="0.1"/>
    <n v="3361.98"/>
    <m/>
    <x v="14"/>
    <x v="1"/>
  </r>
  <r>
    <x v="1120"/>
    <x v="1"/>
    <x v="55"/>
    <n v="2"/>
    <n v="470.99"/>
    <n v="0.05"/>
    <n v="941.98"/>
    <m/>
    <x v="48"/>
    <x v="1"/>
  </r>
  <r>
    <x v="1121"/>
    <x v="0"/>
    <x v="11"/>
    <n v="2"/>
    <n v="2999.99"/>
    <n v="7.0000000000000007E-2"/>
    <n v="5999.98"/>
    <m/>
    <x v="10"/>
    <x v="1"/>
  </r>
  <r>
    <x v="1121"/>
    <x v="1"/>
    <x v="29"/>
    <n v="1"/>
    <n v="749.99"/>
    <n v="0.1"/>
    <n v="749.99"/>
    <m/>
    <x v="25"/>
    <x v="1"/>
  </r>
  <r>
    <x v="1121"/>
    <x v="2"/>
    <x v="60"/>
    <n v="2"/>
    <n v="3499.99"/>
    <n v="0.2"/>
    <n v="6999.98"/>
    <m/>
    <x v="53"/>
    <x v="1"/>
  </r>
  <r>
    <x v="1121"/>
    <x v="3"/>
    <x v="67"/>
    <n v="2"/>
    <n v="1469.99"/>
    <n v="0.05"/>
    <n v="2939.98"/>
    <m/>
    <x v="60"/>
    <x v="1"/>
  </r>
  <r>
    <x v="1121"/>
    <x v="4"/>
    <x v="31"/>
    <n v="1"/>
    <n v="619.99"/>
    <n v="0.1"/>
    <n v="619.99"/>
    <m/>
    <x v="27"/>
    <x v="1"/>
  </r>
  <r>
    <x v="1122"/>
    <x v="0"/>
    <x v="105"/>
    <n v="2"/>
    <n v="346.99"/>
    <n v="7.0000000000000007E-2"/>
    <n v="693.98"/>
    <m/>
    <x v="97"/>
    <x v="1"/>
  </r>
  <r>
    <x v="1122"/>
    <x v="1"/>
    <x v="32"/>
    <n v="2"/>
    <n v="4999.99"/>
    <n v="0.1"/>
    <n v="9999.98"/>
    <m/>
    <x v="28"/>
    <x v="1"/>
  </r>
  <r>
    <x v="1123"/>
    <x v="0"/>
    <x v="14"/>
    <n v="2"/>
    <n v="3999.99"/>
    <n v="0.1"/>
    <n v="7999.98"/>
    <m/>
    <x v="13"/>
    <x v="2"/>
  </r>
  <r>
    <x v="1123"/>
    <x v="1"/>
    <x v="18"/>
    <n v="1"/>
    <n v="469.99"/>
    <n v="0.1"/>
    <n v="469.99"/>
    <m/>
    <x v="16"/>
    <x v="2"/>
  </r>
  <r>
    <x v="1123"/>
    <x v="2"/>
    <x v="36"/>
    <n v="2"/>
    <n v="416.99"/>
    <n v="7.0000000000000007E-2"/>
    <n v="833.98"/>
    <m/>
    <x v="32"/>
    <x v="2"/>
  </r>
  <r>
    <x v="1123"/>
    <x v="3"/>
    <x v="78"/>
    <n v="2"/>
    <n v="869.99"/>
    <n v="0.05"/>
    <n v="1739.98"/>
    <m/>
    <x v="71"/>
    <x v="2"/>
  </r>
  <r>
    <x v="1123"/>
    <x v="4"/>
    <x v="6"/>
    <n v="2"/>
    <n v="749.99"/>
    <n v="0.05"/>
    <n v="1499.98"/>
    <m/>
    <x v="6"/>
    <x v="2"/>
  </r>
  <r>
    <x v="1124"/>
    <x v="0"/>
    <x v="3"/>
    <n v="2"/>
    <n v="599.99"/>
    <n v="0.05"/>
    <n v="1199.98"/>
    <m/>
    <x v="3"/>
    <x v="1"/>
  </r>
  <r>
    <x v="1124"/>
    <x v="1"/>
    <x v="20"/>
    <n v="1"/>
    <n v="269.99"/>
    <n v="0.1"/>
    <n v="269.99"/>
    <m/>
    <x v="15"/>
    <x v="1"/>
  </r>
  <r>
    <x v="1124"/>
    <x v="2"/>
    <x v="89"/>
    <n v="2"/>
    <n v="1099.99"/>
    <n v="7.0000000000000007E-2"/>
    <n v="2199.98"/>
    <m/>
    <x v="82"/>
    <x v="1"/>
  </r>
  <r>
    <x v="1124"/>
    <x v="3"/>
    <x v="24"/>
    <n v="1"/>
    <n v="549.99"/>
    <n v="7.0000000000000007E-2"/>
    <n v="549.99"/>
    <m/>
    <x v="9"/>
    <x v="1"/>
  </r>
  <r>
    <x v="1124"/>
    <x v="4"/>
    <x v="33"/>
    <n v="2"/>
    <n v="469.99"/>
    <n v="7.0000000000000007E-2"/>
    <n v="939.98"/>
    <m/>
    <x v="29"/>
    <x v="1"/>
  </r>
  <r>
    <x v="1125"/>
    <x v="0"/>
    <x v="57"/>
    <n v="2"/>
    <n v="469.99"/>
    <n v="0.1"/>
    <n v="939.98"/>
    <m/>
    <x v="50"/>
    <x v="2"/>
  </r>
  <r>
    <x v="1125"/>
    <x v="1"/>
    <x v="71"/>
    <n v="1"/>
    <n v="4999.99"/>
    <n v="0.2"/>
    <n v="4999.99"/>
    <m/>
    <x v="64"/>
    <x v="2"/>
  </r>
  <r>
    <x v="1125"/>
    <x v="2"/>
    <x v="84"/>
    <n v="2"/>
    <n v="209.99"/>
    <n v="0.05"/>
    <n v="419.98"/>
    <m/>
    <x v="77"/>
    <x v="2"/>
  </r>
  <r>
    <x v="1126"/>
    <x v="0"/>
    <x v="19"/>
    <n v="2"/>
    <n v="299.99"/>
    <n v="0.1"/>
    <n v="599.98"/>
    <m/>
    <x v="17"/>
    <x v="1"/>
  </r>
  <r>
    <x v="1126"/>
    <x v="1"/>
    <x v="81"/>
    <n v="2"/>
    <n v="349.99"/>
    <n v="7.0000000000000007E-2"/>
    <n v="699.98"/>
    <m/>
    <x v="74"/>
    <x v="1"/>
  </r>
  <r>
    <x v="1126"/>
    <x v="2"/>
    <x v="88"/>
    <n v="1"/>
    <n v="379.99"/>
    <n v="0.2"/>
    <n v="379.99"/>
    <m/>
    <x v="81"/>
    <x v="1"/>
  </r>
  <r>
    <x v="1127"/>
    <x v="0"/>
    <x v="99"/>
    <n v="1"/>
    <n v="539.99"/>
    <n v="0.05"/>
    <n v="539.99"/>
    <m/>
    <x v="91"/>
    <x v="1"/>
  </r>
  <r>
    <x v="1127"/>
    <x v="1"/>
    <x v="2"/>
    <n v="1"/>
    <n v="1549"/>
    <n v="0.2"/>
    <n v="1549"/>
    <m/>
    <x v="2"/>
    <x v="1"/>
  </r>
  <r>
    <x v="1127"/>
    <x v="2"/>
    <x v="105"/>
    <n v="2"/>
    <n v="346.99"/>
    <n v="0.05"/>
    <n v="693.98"/>
    <m/>
    <x v="97"/>
    <x v="1"/>
  </r>
  <r>
    <x v="1128"/>
    <x v="0"/>
    <x v="68"/>
    <n v="2"/>
    <n v="416.99"/>
    <n v="0.2"/>
    <n v="833.98"/>
    <m/>
    <x v="61"/>
    <x v="1"/>
  </r>
  <r>
    <x v="1128"/>
    <x v="1"/>
    <x v="28"/>
    <n v="1"/>
    <n v="5499.99"/>
    <n v="0.2"/>
    <n v="5499.99"/>
    <m/>
    <x v="24"/>
    <x v="1"/>
  </r>
  <r>
    <x v="1128"/>
    <x v="2"/>
    <x v="32"/>
    <n v="2"/>
    <n v="4999.99"/>
    <n v="0.05"/>
    <n v="9999.98"/>
    <m/>
    <x v="28"/>
    <x v="1"/>
  </r>
  <r>
    <x v="1129"/>
    <x v="0"/>
    <x v="59"/>
    <n v="2"/>
    <n v="3199.99"/>
    <n v="0.2"/>
    <n v="6399.98"/>
    <m/>
    <x v="52"/>
    <x v="0"/>
  </r>
  <r>
    <x v="1130"/>
    <x v="0"/>
    <x v="91"/>
    <n v="2"/>
    <n v="1559.99"/>
    <n v="7.0000000000000007E-2"/>
    <n v="3119.98"/>
    <m/>
    <x v="84"/>
    <x v="0"/>
  </r>
  <r>
    <x v="1130"/>
    <x v="1"/>
    <x v="27"/>
    <n v="2"/>
    <n v="551.99"/>
    <n v="0.05"/>
    <n v="1103.98"/>
    <m/>
    <x v="23"/>
    <x v="0"/>
  </r>
  <r>
    <x v="1131"/>
    <x v="0"/>
    <x v="52"/>
    <n v="1"/>
    <n v="5299.99"/>
    <n v="0.05"/>
    <n v="5299.99"/>
    <m/>
    <x v="45"/>
    <x v="1"/>
  </r>
  <r>
    <x v="1131"/>
    <x v="1"/>
    <x v="2"/>
    <n v="1"/>
    <n v="1549"/>
    <n v="0.1"/>
    <n v="1549"/>
    <m/>
    <x v="2"/>
    <x v="1"/>
  </r>
  <r>
    <x v="1131"/>
    <x v="2"/>
    <x v="107"/>
    <n v="2"/>
    <n v="832.99"/>
    <n v="0.1"/>
    <n v="1665.98"/>
    <m/>
    <x v="99"/>
    <x v="1"/>
  </r>
  <r>
    <x v="1131"/>
    <x v="3"/>
    <x v="3"/>
    <n v="1"/>
    <n v="599.99"/>
    <n v="0.05"/>
    <n v="599.99"/>
    <m/>
    <x v="3"/>
    <x v="1"/>
  </r>
  <r>
    <x v="1132"/>
    <x v="0"/>
    <x v="4"/>
    <n v="2"/>
    <n v="2899.99"/>
    <n v="0.05"/>
    <n v="5799.98"/>
    <m/>
    <x v="4"/>
    <x v="1"/>
  </r>
  <r>
    <x v="1132"/>
    <x v="1"/>
    <x v="7"/>
    <n v="1"/>
    <n v="429"/>
    <n v="7.0000000000000007E-2"/>
    <n v="429"/>
    <m/>
    <x v="7"/>
    <x v="1"/>
  </r>
  <r>
    <x v="1132"/>
    <x v="2"/>
    <x v="45"/>
    <n v="2"/>
    <n v="209.99"/>
    <n v="0.2"/>
    <n v="419.98"/>
    <m/>
    <x v="39"/>
    <x v="1"/>
  </r>
  <r>
    <x v="1132"/>
    <x v="3"/>
    <x v="37"/>
    <n v="1"/>
    <n v="3499.99"/>
    <n v="0.2"/>
    <n v="3499.99"/>
    <m/>
    <x v="33"/>
    <x v="1"/>
  </r>
  <r>
    <x v="1133"/>
    <x v="0"/>
    <x v="44"/>
    <n v="1"/>
    <n v="349.99"/>
    <n v="0.1"/>
    <n v="349.99"/>
    <m/>
    <x v="38"/>
    <x v="1"/>
  </r>
  <r>
    <x v="1133"/>
    <x v="1"/>
    <x v="107"/>
    <n v="1"/>
    <n v="832.99"/>
    <n v="0.1"/>
    <n v="832.99"/>
    <m/>
    <x v="99"/>
    <x v="1"/>
  </r>
  <r>
    <x v="1134"/>
    <x v="0"/>
    <x v="70"/>
    <n v="2"/>
    <n v="339.99"/>
    <n v="0.05"/>
    <n v="679.98"/>
    <m/>
    <x v="63"/>
    <x v="1"/>
  </r>
  <r>
    <x v="1134"/>
    <x v="1"/>
    <x v="80"/>
    <n v="1"/>
    <n v="6499.99"/>
    <n v="0.1"/>
    <n v="6499.99"/>
    <m/>
    <x v="73"/>
    <x v="1"/>
  </r>
  <r>
    <x v="1135"/>
    <x v="0"/>
    <x v="86"/>
    <n v="1"/>
    <n v="533.99"/>
    <n v="0.1"/>
    <n v="533.99"/>
    <m/>
    <x v="79"/>
    <x v="1"/>
  </r>
  <r>
    <x v="1136"/>
    <x v="0"/>
    <x v="76"/>
    <n v="1"/>
    <n v="2499.9899999999998"/>
    <n v="0.2"/>
    <n v="2499.9899999999998"/>
    <m/>
    <x v="69"/>
    <x v="2"/>
  </r>
  <r>
    <x v="1136"/>
    <x v="1"/>
    <x v="71"/>
    <n v="2"/>
    <n v="4999.99"/>
    <n v="0.2"/>
    <n v="9999.98"/>
    <m/>
    <x v="64"/>
    <x v="2"/>
  </r>
  <r>
    <x v="1136"/>
    <x v="2"/>
    <x v="73"/>
    <n v="2"/>
    <n v="109.99"/>
    <n v="0.2"/>
    <n v="219.98"/>
    <m/>
    <x v="66"/>
    <x v="2"/>
  </r>
  <r>
    <x v="1136"/>
    <x v="3"/>
    <x v="79"/>
    <n v="2"/>
    <n v="416.99"/>
    <n v="7.0000000000000007E-2"/>
    <n v="833.98"/>
    <m/>
    <x v="72"/>
    <x v="2"/>
  </r>
  <r>
    <x v="1137"/>
    <x v="0"/>
    <x v="17"/>
    <n v="2"/>
    <n v="269.99"/>
    <n v="0.05"/>
    <n v="539.98"/>
    <m/>
    <x v="15"/>
    <x v="0"/>
  </r>
  <r>
    <x v="1137"/>
    <x v="1"/>
    <x v="86"/>
    <n v="2"/>
    <n v="533.99"/>
    <n v="0.05"/>
    <n v="1067.98"/>
    <m/>
    <x v="79"/>
    <x v="0"/>
  </r>
  <r>
    <x v="1137"/>
    <x v="2"/>
    <x v="101"/>
    <n v="1"/>
    <n v="209.99"/>
    <n v="0.1"/>
    <n v="209.99"/>
    <m/>
    <x v="93"/>
    <x v="0"/>
  </r>
  <r>
    <x v="1138"/>
    <x v="0"/>
    <x v="26"/>
    <n v="2"/>
    <n v="449.99"/>
    <n v="0.05"/>
    <n v="899.98"/>
    <m/>
    <x v="22"/>
    <x v="0"/>
  </r>
  <r>
    <x v="1138"/>
    <x v="1"/>
    <x v="99"/>
    <n v="2"/>
    <n v="539.99"/>
    <n v="0.1"/>
    <n v="1079.98"/>
    <m/>
    <x v="91"/>
    <x v="0"/>
  </r>
  <r>
    <x v="1138"/>
    <x v="2"/>
    <x v="79"/>
    <n v="1"/>
    <n v="416.99"/>
    <n v="0.05"/>
    <n v="416.99"/>
    <m/>
    <x v="72"/>
    <x v="0"/>
  </r>
  <r>
    <x v="1138"/>
    <x v="3"/>
    <x v="22"/>
    <n v="2"/>
    <n v="499.99"/>
    <n v="0.1"/>
    <n v="999.98"/>
    <m/>
    <x v="19"/>
    <x v="0"/>
  </r>
  <r>
    <x v="1138"/>
    <x v="4"/>
    <x v="14"/>
    <n v="1"/>
    <n v="3999.99"/>
    <n v="0.1"/>
    <n v="3999.99"/>
    <m/>
    <x v="13"/>
    <x v="0"/>
  </r>
  <r>
    <x v="1139"/>
    <x v="0"/>
    <x v="62"/>
    <n v="2"/>
    <n v="1499.99"/>
    <n v="0.1"/>
    <n v="2999.98"/>
    <m/>
    <x v="55"/>
    <x v="2"/>
  </r>
  <r>
    <x v="1139"/>
    <x v="1"/>
    <x v="68"/>
    <n v="2"/>
    <n v="416.99"/>
    <n v="7.0000000000000007E-2"/>
    <n v="833.98"/>
    <m/>
    <x v="61"/>
    <x v="2"/>
  </r>
  <r>
    <x v="1139"/>
    <x v="2"/>
    <x v="83"/>
    <n v="2"/>
    <n v="549.99"/>
    <n v="0.1"/>
    <n v="1099.98"/>
    <m/>
    <x v="76"/>
    <x v="2"/>
  </r>
  <r>
    <x v="1139"/>
    <x v="3"/>
    <x v="95"/>
    <n v="2"/>
    <n v="4999.99"/>
    <n v="7.0000000000000007E-2"/>
    <n v="9999.98"/>
    <m/>
    <x v="87"/>
    <x v="2"/>
  </r>
  <r>
    <x v="1140"/>
    <x v="0"/>
    <x v="1"/>
    <n v="1"/>
    <n v="1799.99"/>
    <n v="0.1"/>
    <n v="1799.99"/>
    <m/>
    <x v="1"/>
    <x v="0"/>
  </r>
  <r>
    <x v="1141"/>
    <x v="0"/>
    <x v="0"/>
    <n v="2"/>
    <n v="599.99"/>
    <n v="7.0000000000000007E-2"/>
    <n v="1199.98"/>
    <m/>
    <x v="0"/>
    <x v="0"/>
  </r>
  <r>
    <x v="1141"/>
    <x v="1"/>
    <x v="34"/>
    <n v="1"/>
    <n v="999.99"/>
    <n v="0.1"/>
    <n v="999.99"/>
    <m/>
    <x v="30"/>
    <x v="0"/>
  </r>
  <r>
    <x v="1141"/>
    <x v="2"/>
    <x v="36"/>
    <n v="2"/>
    <n v="416.99"/>
    <n v="0.05"/>
    <n v="833.98"/>
    <m/>
    <x v="32"/>
    <x v="0"/>
  </r>
  <r>
    <x v="1141"/>
    <x v="3"/>
    <x v="75"/>
    <n v="2"/>
    <n v="449.99"/>
    <n v="0.2"/>
    <n v="899.98"/>
    <m/>
    <x v="68"/>
    <x v="0"/>
  </r>
  <r>
    <x v="1141"/>
    <x v="4"/>
    <x v="96"/>
    <n v="2"/>
    <n v="489.99"/>
    <n v="0.05"/>
    <n v="979.98"/>
    <m/>
    <x v="88"/>
    <x v="0"/>
  </r>
  <r>
    <x v="1142"/>
    <x v="0"/>
    <x v="40"/>
    <n v="1"/>
    <n v="299.99"/>
    <n v="0.2"/>
    <n v="299.99"/>
    <m/>
    <x v="35"/>
    <x v="0"/>
  </r>
  <r>
    <x v="1142"/>
    <x v="1"/>
    <x v="74"/>
    <n v="1"/>
    <n v="1499.99"/>
    <n v="0.2"/>
    <n v="1499.99"/>
    <m/>
    <x v="67"/>
    <x v="0"/>
  </r>
  <r>
    <x v="1142"/>
    <x v="2"/>
    <x v="79"/>
    <n v="2"/>
    <n v="416.99"/>
    <n v="0.1"/>
    <n v="833.98"/>
    <m/>
    <x v="72"/>
    <x v="0"/>
  </r>
  <r>
    <x v="1143"/>
    <x v="0"/>
    <x v="54"/>
    <n v="1"/>
    <n v="189.99"/>
    <n v="7.0000000000000007E-2"/>
    <n v="189.99"/>
    <m/>
    <x v="47"/>
    <x v="1"/>
  </r>
  <r>
    <x v="1144"/>
    <x v="0"/>
    <x v="86"/>
    <n v="2"/>
    <n v="533.99"/>
    <n v="7.0000000000000007E-2"/>
    <n v="1067.98"/>
    <m/>
    <x v="79"/>
    <x v="1"/>
  </r>
  <r>
    <x v="1145"/>
    <x v="0"/>
    <x v="107"/>
    <n v="1"/>
    <n v="832.99"/>
    <n v="7.0000000000000007E-2"/>
    <n v="832.99"/>
    <m/>
    <x v="99"/>
    <x v="1"/>
  </r>
  <r>
    <x v="1145"/>
    <x v="1"/>
    <x v="38"/>
    <n v="1"/>
    <n v="489.99"/>
    <n v="0.2"/>
    <n v="489.99"/>
    <m/>
    <x v="34"/>
    <x v="1"/>
  </r>
  <r>
    <x v="1145"/>
    <x v="2"/>
    <x v="16"/>
    <n v="1"/>
    <n v="1680.99"/>
    <n v="0.2"/>
    <n v="1680.99"/>
    <m/>
    <x v="14"/>
    <x v="1"/>
  </r>
  <r>
    <x v="1146"/>
    <x v="0"/>
    <x v="90"/>
    <n v="1"/>
    <n v="659.99"/>
    <n v="0.2"/>
    <n v="659.99"/>
    <m/>
    <x v="83"/>
    <x v="1"/>
  </r>
  <r>
    <x v="1146"/>
    <x v="1"/>
    <x v="62"/>
    <n v="2"/>
    <n v="1499.99"/>
    <n v="0.05"/>
    <n v="2999.98"/>
    <m/>
    <x v="55"/>
    <x v="1"/>
  </r>
  <r>
    <x v="1147"/>
    <x v="0"/>
    <x v="90"/>
    <n v="1"/>
    <n v="659.99"/>
    <n v="7.0000000000000007E-2"/>
    <n v="659.99"/>
    <m/>
    <x v="83"/>
    <x v="1"/>
  </r>
  <r>
    <x v="1147"/>
    <x v="1"/>
    <x v="13"/>
    <n v="1"/>
    <n v="269.99"/>
    <n v="7.0000000000000007E-2"/>
    <n v="269.99"/>
    <m/>
    <x v="12"/>
    <x v="1"/>
  </r>
  <r>
    <x v="1147"/>
    <x v="2"/>
    <x v="104"/>
    <n v="2"/>
    <n v="799.99"/>
    <n v="0.05"/>
    <n v="1599.98"/>
    <m/>
    <x v="96"/>
    <x v="1"/>
  </r>
  <r>
    <x v="1147"/>
    <x v="3"/>
    <x v="49"/>
    <n v="2"/>
    <n v="249.99"/>
    <n v="0.1"/>
    <n v="499.98"/>
    <m/>
    <x v="42"/>
    <x v="1"/>
  </r>
  <r>
    <x v="1148"/>
    <x v="0"/>
    <x v="72"/>
    <n v="2"/>
    <n v="489.99"/>
    <n v="7.0000000000000007E-2"/>
    <n v="979.98"/>
    <m/>
    <x v="65"/>
    <x v="1"/>
  </r>
  <r>
    <x v="1148"/>
    <x v="1"/>
    <x v="74"/>
    <n v="1"/>
    <n v="1499.99"/>
    <n v="0.05"/>
    <n v="1499.99"/>
    <m/>
    <x v="67"/>
    <x v="1"/>
  </r>
  <r>
    <x v="1148"/>
    <x v="2"/>
    <x v="71"/>
    <n v="1"/>
    <n v="4999.99"/>
    <n v="0.05"/>
    <n v="4999.99"/>
    <m/>
    <x v="64"/>
    <x v="1"/>
  </r>
  <r>
    <x v="1148"/>
    <x v="3"/>
    <x v="25"/>
    <n v="1"/>
    <n v="329.99"/>
    <n v="0.2"/>
    <n v="329.99"/>
    <m/>
    <x v="21"/>
    <x v="1"/>
  </r>
  <r>
    <x v="1148"/>
    <x v="4"/>
    <x v="49"/>
    <n v="1"/>
    <n v="249.99"/>
    <n v="0.1"/>
    <n v="249.99"/>
    <m/>
    <x v="42"/>
    <x v="1"/>
  </r>
  <r>
    <x v="1149"/>
    <x v="0"/>
    <x v="61"/>
    <n v="1"/>
    <n v="999.99"/>
    <n v="0.05"/>
    <n v="999.99"/>
    <m/>
    <x v="54"/>
    <x v="1"/>
  </r>
  <r>
    <x v="1149"/>
    <x v="1"/>
    <x v="87"/>
    <n v="1"/>
    <n v="349.99"/>
    <n v="0.05"/>
    <n v="349.99"/>
    <m/>
    <x v="80"/>
    <x v="1"/>
  </r>
  <r>
    <x v="1149"/>
    <x v="2"/>
    <x v="77"/>
    <n v="2"/>
    <n v="481.99"/>
    <n v="7.0000000000000007E-2"/>
    <n v="963.98"/>
    <m/>
    <x v="70"/>
    <x v="1"/>
  </r>
  <r>
    <x v="1149"/>
    <x v="3"/>
    <x v="20"/>
    <n v="2"/>
    <n v="269.99"/>
    <n v="0.1"/>
    <n v="539.98"/>
    <m/>
    <x v="15"/>
    <x v="1"/>
  </r>
  <r>
    <x v="1150"/>
    <x v="0"/>
    <x v="34"/>
    <n v="2"/>
    <n v="999.99"/>
    <n v="0.05"/>
    <n v="1999.98"/>
    <m/>
    <x v="30"/>
    <x v="0"/>
  </r>
  <r>
    <x v="1151"/>
    <x v="0"/>
    <x v="71"/>
    <n v="1"/>
    <n v="4999.99"/>
    <n v="7.0000000000000007E-2"/>
    <n v="4999.99"/>
    <m/>
    <x v="64"/>
    <x v="1"/>
  </r>
  <r>
    <x v="1151"/>
    <x v="1"/>
    <x v="87"/>
    <n v="2"/>
    <n v="349.99"/>
    <n v="0.2"/>
    <n v="699.98"/>
    <m/>
    <x v="80"/>
    <x v="1"/>
  </r>
  <r>
    <x v="1151"/>
    <x v="2"/>
    <x v="24"/>
    <n v="1"/>
    <n v="549.99"/>
    <n v="0.05"/>
    <n v="549.99"/>
    <m/>
    <x v="9"/>
    <x v="1"/>
  </r>
  <r>
    <x v="1152"/>
    <x v="0"/>
    <x v="27"/>
    <n v="1"/>
    <n v="551.99"/>
    <n v="0.1"/>
    <n v="551.99"/>
    <m/>
    <x v="23"/>
    <x v="1"/>
  </r>
  <r>
    <x v="1152"/>
    <x v="1"/>
    <x v="18"/>
    <n v="2"/>
    <n v="469.99"/>
    <n v="0.05"/>
    <n v="939.98"/>
    <m/>
    <x v="16"/>
    <x v="1"/>
  </r>
  <r>
    <x v="1153"/>
    <x v="0"/>
    <x v="7"/>
    <n v="1"/>
    <n v="429"/>
    <n v="0.2"/>
    <n v="429"/>
    <m/>
    <x v="7"/>
    <x v="1"/>
  </r>
  <r>
    <x v="1153"/>
    <x v="1"/>
    <x v="91"/>
    <n v="1"/>
    <n v="1559.99"/>
    <n v="7.0000000000000007E-2"/>
    <n v="1559.99"/>
    <m/>
    <x v="84"/>
    <x v="1"/>
  </r>
  <r>
    <x v="1153"/>
    <x v="2"/>
    <x v="50"/>
    <n v="2"/>
    <n v="250.99"/>
    <n v="0.2"/>
    <n v="501.98"/>
    <m/>
    <x v="43"/>
    <x v="1"/>
  </r>
  <r>
    <x v="1154"/>
    <x v="0"/>
    <x v="39"/>
    <n v="2"/>
    <n v="449.99"/>
    <n v="0.05"/>
    <n v="899.98"/>
    <m/>
    <x v="22"/>
    <x v="1"/>
  </r>
  <r>
    <x v="1154"/>
    <x v="1"/>
    <x v="18"/>
    <n v="2"/>
    <n v="469.99"/>
    <n v="0.1"/>
    <n v="939.98"/>
    <m/>
    <x v="16"/>
    <x v="1"/>
  </r>
  <r>
    <x v="1154"/>
    <x v="2"/>
    <x v="100"/>
    <n v="1"/>
    <n v="832.99"/>
    <n v="7.0000000000000007E-2"/>
    <n v="832.99"/>
    <m/>
    <x v="92"/>
    <x v="1"/>
  </r>
  <r>
    <x v="1154"/>
    <x v="3"/>
    <x v="104"/>
    <n v="2"/>
    <n v="799.99"/>
    <n v="0.05"/>
    <n v="1599.98"/>
    <m/>
    <x v="96"/>
    <x v="1"/>
  </r>
  <r>
    <x v="1155"/>
    <x v="0"/>
    <x v="103"/>
    <n v="2"/>
    <n v="470.99"/>
    <n v="0.05"/>
    <n v="941.98"/>
    <m/>
    <x v="95"/>
    <x v="1"/>
  </r>
  <r>
    <x v="1155"/>
    <x v="1"/>
    <x v="106"/>
    <n v="1"/>
    <n v="149.99"/>
    <n v="0.05"/>
    <n v="149.99"/>
    <m/>
    <x v="98"/>
    <x v="1"/>
  </r>
  <r>
    <x v="1156"/>
    <x v="0"/>
    <x v="0"/>
    <n v="1"/>
    <n v="599.99"/>
    <n v="0.1"/>
    <n v="599.99"/>
    <m/>
    <x v="0"/>
    <x v="0"/>
  </r>
  <r>
    <x v="1156"/>
    <x v="1"/>
    <x v="93"/>
    <n v="2"/>
    <n v="1632.99"/>
    <n v="0.1"/>
    <n v="3265.98"/>
    <m/>
    <x v="85"/>
    <x v="0"/>
  </r>
  <r>
    <x v="1156"/>
    <x v="2"/>
    <x v="88"/>
    <n v="2"/>
    <n v="379.99"/>
    <n v="0.2"/>
    <n v="759.98"/>
    <m/>
    <x v="81"/>
    <x v="0"/>
  </r>
  <r>
    <x v="1156"/>
    <x v="3"/>
    <x v="67"/>
    <n v="1"/>
    <n v="1469.99"/>
    <n v="7.0000000000000007E-2"/>
    <n v="1469.99"/>
    <m/>
    <x v="60"/>
    <x v="0"/>
  </r>
  <r>
    <x v="1157"/>
    <x v="0"/>
    <x v="43"/>
    <n v="2"/>
    <n v="299.99"/>
    <n v="0.1"/>
    <n v="599.98"/>
    <m/>
    <x v="31"/>
    <x v="0"/>
  </r>
  <r>
    <x v="1157"/>
    <x v="1"/>
    <x v="51"/>
    <n v="1"/>
    <n v="439.99"/>
    <n v="7.0000000000000007E-2"/>
    <n v="439.99"/>
    <m/>
    <x v="44"/>
    <x v="0"/>
  </r>
  <r>
    <x v="1158"/>
    <x v="0"/>
    <x v="10"/>
    <n v="2"/>
    <n v="549.99"/>
    <n v="0.1"/>
    <n v="1099.98"/>
    <m/>
    <x v="9"/>
    <x v="0"/>
  </r>
  <r>
    <x v="1159"/>
    <x v="0"/>
    <x v="67"/>
    <n v="1"/>
    <n v="1469.99"/>
    <n v="0.1"/>
    <n v="1469.99"/>
    <m/>
    <x v="60"/>
    <x v="0"/>
  </r>
  <r>
    <x v="1159"/>
    <x v="1"/>
    <x v="11"/>
    <n v="1"/>
    <n v="2999.99"/>
    <n v="0.2"/>
    <n v="2999.99"/>
    <m/>
    <x v="10"/>
    <x v="0"/>
  </r>
  <r>
    <x v="1160"/>
    <x v="0"/>
    <x v="68"/>
    <n v="2"/>
    <n v="416.99"/>
    <n v="0.1"/>
    <n v="833.98"/>
    <m/>
    <x v="61"/>
    <x v="1"/>
  </r>
  <r>
    <x v="1160"/>
    <x v="1"/>
    <x v="83"/>
    <n v="1"/>
    <n v="549.99"/>
    <n v="7.0000000000000007E-2"/>
    <n v="549.99"/>
    <m/>
    <x v="76"/>
    <x v="1"/>
  </r>
  <r>
    <x v="1160"/>
    <x v="2"/>
    <x v="13"/>
    <n v="1"/>
    <n v="269.99"/>
    <n v="0.2"/>
    <n v="269.99"/>
    <m/>
    <x v="12"/>
    <x v="1"/>
  </r>
  <r>
    <x v="1160"/>
    <x v="3"/>
    <x v="61"/>
    <n v="2"/>
    <n v="999.99"/>
    <n v="0.1"/>
    <n v="1999.98"/>
    <m/>
    <x v="54"/>
    <x v="1"/>
  </r>
  <r>
    <x v="1161"/>
    <x v="0"/>
    <x v="54"/>
    <n v="1"/>
    <n v="189.99"/>
    <n v="0.2"/>
    <n v="189.99"/>
    <m/>
    <x v="47"/>
    <x v="1"/>
  </r>
  <r>
    <x v="1161"/>
    <x v="1"/>
    <x v="95"/>
    <n v="2"/>
    <n v="4999.99"/>
    <n v="0.2"/>
    <n v="9999.98"/>
    <m/>
    <x v="87"/>
    <x v="1"/>
  </r>
  <r>
    <x v="1161"/>
    <x v="2"/>
    <x v="106"/>
    <n v="1"/>
    <n v="149.99"/>
    <n v="0.1"/>
    <n v="149.99"/>
    <m/>
    <x v="98"/>
    <x v="1"/>
  </r>
  <r>
    <x v="1161"/>
    <x v="3"/>
    <x v="67"/>
    <n v="1"/>
    <n v="1469.99"/>
    <n v="0.05"/>
    <n v="1469.99"/>
    <m/>
    <x v="60"/>
    <x v="1"/>
  </r>
  <r>
    <x v="1161"/>
    <x v="4"/>
    <x v="10"/>
    <n v="2"/>
    <n v="549.99"/>
    <n v="0.05"/>
    <n v="1099.98"/>
    <m/>
    <x v="9"/>
    <x v="1"/>
  </r>
  <r>
    <x v="1162"/>
    <x v="0"/>
    <x v="65"/>
    <n v="2"/>
    <n v="3499.99"/>
    <n v="0.05"/>
    <n v="6999.98"/>
    <m/>
    <x v="58"/>
    <x v="1"/>
  </r>
  <r>
    <x v="1162"/>
    <x v="1"/>
    <x v="29"/>
    <n v="2"/>
    <n v="749.99"/>
    <n v="0.1"/>
    <n v="1499.98"/>
    <m/>
    <x v="25"/>
    <x v="1"/>
  </r>
  <r>
    <x v="1163"/>
    <x v="0"/>
    <x v="1"/>
    <n v="1"/>
    <n v="1799.99"/>
    <n v="0.2"/>
    <n v="1799.99"/>
    <m/>
    <x v="1"/>
    <x v="1"/>
  </r>
  <r>
    <x v="1163"/>
    <x v="1"/>
    <x v="46"/>
    <n v="1"/>
    <n v="647.99"/>
    <n v="0.05"/>
    <n v="647.99"/>
    <m/>
    <x v="40"/>
    <x v="1"/>
  </r>
  <r>
    <x v="1163"/>
    <x v="2"/>
    <x v="27"/>
    <n v="2"/>
    <n v="551.99"/>
    <n v="0.05"/>
    <n v="1103.98"/>
    <m/>
    <x v="23"/>
    <x v="1"/>
  </r>
  <r>
    <x v="1163"/>
    <x v="3"/>
    <x v="99"/>
    <n v="2"/>
    <n v="539.99"/>
    <n v="0.05"/>
    <n v="1079.98"/>
    <m/>
    <x v="91"/>
    <x v="1"/>
  </r>
  <r>
    <x v="1164"/>
    <x v="0"/>
    <x v="105"/>
    <n v="2"/>
    <n v="346.99"/>
    <n v="7.0000000000000007E-2"/>
    <n v="693.98"/>
    <m/>
    <x v="97"/>
    <x v="1"/>
  </r>
  <r>
    <x v="1164"/>
    <x v="1"/>
    <x v="39"/>
    <n v="1"/>
    <n v="449.99"/>
    <n v="7.0000000000000007E-2"/>
    <n v="449.99"/>
    <m/>
    <x v="22"/>
    <x v="1"/>
  </r>
  <r>
    <x v="1165"/>
    <x v="0"/>
    <x v="27"/>
    <n v="2"/>
    <n v="551.99"/>
    <n v="7.0000000000000007E-2"/>
    <n v="1103.98"/>
    <m/>
    <x v="23"/>
    <x v="1"/>
  </r>
  <r>
    <x v="1166"/>
    <x v="0"/>
    <x v="61"/>
    <n v="2"/>
    <n v="999.99"/>
    <n v="0.05"/>
    <n v="1999.98"/>
    <m/>
    <x v="54"/>
    <x v="0"/>
  </r>
  <r>
    <x v="1166"/>
    <x v="1"/>
    <x v="89"/>
    <n v="2"/>
    <n v="1099.99"/>
    <n v="0.1"/>
    <n v="2199.98"/>
    <m/>
    <x v="82"/>
    <x v="0"/>
  </r>
  <r>
    <x v="1166"/>
    <x v="2"/>
    <x v="39"/>
    <n v="1"/>
    <n v="449.99"/>
    <n v="7.0000000000000007E-2"/>
    <n v="449.99"/>
    <m/>
    <x v="22"/>
    <x v="0"/>
  </r>
  <r>
    <x v="1167"/>
    <x v="0"/>
    <x v="19"/>
    <n v="2"/>
    <n v="299.99"/>
    <n v="0.1"/>
    <n v="599.98"/>
    <m/>
    <x v="17"/>
    <x v="1"/>
  </r>
  <r>
    <x v="1167"/>
    <x v="1"/>
    <x v="90"/>
    <n v="1"/>
    <n v="659.99"/>
    <n v="0.2"/>
    <n v="659.99"/>
    <m/>
    <x v="83"/>
    <x v="1"/>
  </r>
  <r>
    <x v="1167"/>
    <x v="2"/>
    <x v="80"/>
    <n v="1"/>
    <n v="6499.99"/>
    <n v="7.0000000000000007E-2"/>
    <n v="6499.99"/>
    <m/>
    <x v="73"/>
    <x v="1"/>
  </r>
  <r>
    <x v="1167"/>
    <x v="3"/>
    <x v="92"/>
    <n v="2"/>
    <n v="416.99"/>
    <n v="0.2"/>
    <n v="833.98"/>
    <m/>
    <x v="72"/>
    <x v="1"/>
  </r>
  <r>
    <x v="1167"/>
    <x v="4"/>
    <x v="12"/>
    <n v="2"/>
    <n v="529.99"/>
    <n v="0.05"/>
    <n v="1059.98"/>
    <m/>
    <x v="11"/>
    <x v="1"/>
  </r>
  <r>
    <x v="1168"/>
    <x v="0"/>
    <x v="87"/>
    <n v="2"/>
    <n v="349.99"/>
    <n v="0.2"/>
    <n v="699.98"/>
    <m/>
    <x v="80"/>
    <x v="1"/>
  </r>
  <r>
    <x v="1168"/>
    <x v="1"/>
    <x v="80"/>
    <n v="1"/>
    <n v="6499.99"/>
    <n v="0.05"/>
    <n v="6499.99"/>
    <m/>
    <x v="73"/>
    <x v="1"/>
  </r>
  <r>
    <x v="1168"/>
    <x v="2"/>
    <x v="71"/>
    <n v="2"/>
    <n v="4999.99"/>
    <n v="0.1"/>
    <n v="9999.98"/>
    <m/>
    <x v="64"/>
    <x v="1"/>
  </r>
  <r>
    <x v="1168"/>
    <x v="3"/>
    <x v="89"/>
    <n v="2"/>
    <n v="1099.99"/>
    <n v="0.2"/>
    <n v="2199.98"/>
    <m/>
    <x v="82"/>
    <x v="1"/>
  </r>
  <r>
    <x v="1169"/>
    <x v="0"/>
    <x v="12"/>
    <n v="1"/>
    <n v="529.99"/>
    <n v="0.1"/>
    <n v="529.99"/>
    <m/>
    <x v="11"/>
    <x v="1"/>
  </r>
  <r>
    <x v="1169"/>
    <x v="1"/>
    <x v="42"/>
    <n v="2"/>
    <n v="5299.99"/>
    <n v="0.05"/>
    <n v="10599.98"/>
    <m/>
    <x v="37"/>
    <x v="1"/>
  </r>
  <r>
    <x v="1169"/>
    <x v="2"/>
    <x v="37"/>
    <n v="2"/>
    <n v="3499.99"/>
    <n v="0.1"/>
    <n v="6999.98"/>
    <m/>
    <x v="33"/>
    <x v="1"/>
  </r>
  <r>
    <x v="1170"/>
    <x v="0"/>
    <x v="49"/>
    <n v="2"/>
    <n v="249.99"/>
    <n v="0.2"/>
    <n v="499.98"/>
    <m/>
    <x v="42"/>
    <x v="1"/>
  </r>
  <r>
    <x v="1170"/>
    <x v="1"/>
    <x v="102"/>
    <n v="2"/>
    <n v="209.99"/>
    <n v="7.0000000000000007E-2"/>
    <n v="419.98"/>
    <m/>
    <x v="94"/>
    <x v="1"/>
  </r>
  <r>
    <x v="1170"/>
    <x v="2"/>
    <x v="2"/>
    <n v="2"/>
    <n v="1549"/>
    <n v="7.0000000000000007E-2"/>
    <n v="3098"/>
    <m/>
    <x v="2"/>
    <x v="1"/>
  </r>
  <r>
    <x v="1171"/>
    <x v="0"/>
    <x v="46"/>
    <n v="2"/>
    <n v="647.99"/>
    <n v="7.0000000000000007E-2"/>
    <n v="1295.98"/>
    <m/>
    <x v="40"/>
    <x v="1"/>
  </r>
  <r>
    <x v="1171"/>
    <x v="1"/>
    <x v="77"/>
    <n v="1"/>
    <n v="481.99"/>
    <n v="0.2"/>
    <n v="481.99"/>
    <m/>
    <x v="70"/>
    <x v="1"/>
  </r>
  <r>
    <x v="1172"/>
    <x v="0"/>
    <x v="43"/>
    <n v="1"/>
    <n v="299.99"/>
    <n v="0.2"/>
    <n v="299.99"/>
    <m/>
    <x v="31"/>
    <x v="1"/>
  </r>
  <r>
    <x v="1172"/>
    <x v="1"/>
    <x v="7"/>
    <n v="1"/>
    <n v="429"/>
    <n v="7.0000000000000007E-2"/>
    <n v="429"/>
    <m/>
    <x v="7"/>
    <x v="1"/>
  </r>
  <r>
    <x v="1172"/>
    <x v="2"/>
    <x v="39"/>
    <n v="1"/>
    <n v="449.99"/>
    <n v="0.05"/>
    <n v="449.99"/>
    <m/>
    <x v="22"/>
    <x v="1"/>
  </r>
  <r>
    <x v="1172"/>
    <x v="3"/>
    <x v="27"/>
    <n v="2"/>
    <n v="551.99"/>
    <n v="0.2"/>
    <n v="1103.98"/>
    <m/>
    <x v="23"/>
    <x v="1"/>
  </r>
  <r>
    <x v="1173"/>
    <x v="0"/>
    <x v="55"/>
    <n v="2"/>
    <n v="470.99"/>
    <n v="0.2"/>
    <n v="941.98"/>
    <m/>
    <x v="48"/>
    <x v="1"/>
  </r>
  <r>
    <x v="1173"/>
    <x v="1"/>
    <x v="18"/>
    <n v="1"/>
    <n v="469.99"/>
    <n v="7.0000000000000007E-2"/>
    <n v="469.99"/>
    <m/>
    <x v="16"/>
    <x v="1"/>
  </r>
  <r>
    <x v="1173"/>
    <x v="2"/>
    <x v="26"/>
    <n v="1"/>
    <n v="449.99"/>
    <n v="0.1"/>
    <n v="449.99"/>
    <m/>
    <x v="22"/>
    <x v="1"/>
  </r>
  <r>
    <x v="1174"/>
    <x v="0"/>
    <x v="71"/>
    <n v="2"/>
    <n v="4999.99"/>
    <n v="7.0000000000000007E-2"/>
    <n v="9999.98"/>
    <m/>
    <x v="64"/>
    <x v="1"/>
  </r>
  <r>
    <x v="1174"/>
    <x v="1"/>
    <x v="105"/>
    <n v="1"/>
    <n v="346.99"/>
    <n v="0.2"/>
    <n v="346.99"/>
    <m/>
    <x v="97"/>
    <x v="1"/>
  </r>
  <r>
    <x v="1174"/>
    <x v="2"/>
    <x v="0"/>
    <n v="1"/>
    <n v="599.99"/>
    <n v="0.05"/>
    <n v="599.99"/>
    <m/>
    <x v="0"/>
    <x v="1"/>
  </r>
  <r>
    <x v="1174"/>
    <x v="3"/>
    <x v="5"/>
    <n v="1"/>
    <n v="999.99"/>
    <n v="0.05"/>
    <n v="999.99"/>
    <m/>
    <x v="5"/>
    <x v="1"/>
  </r>
  <r>
    <x v="1174"/>
    <x v="4"/>
    <x v="11"/>
    <n v="1"/>
    <n v="2999.99"/>
    <n v="0.05"/>
    <n v="2999.99"/>
    <m/>
    <x v="10"/>
    <x v="1"/>
  </r>
  <r>
    <x v="1175"/>
    <x v="0"/>
    <x v="108"/>
    <n v="1"/>
    <n v="189.99"/>
    <n v="0.1"/>
    <n v="189.99"/>
    <m/>
    <x v="100"/>
    <x v="2"/>
  </r>
  <r>
    <x v="1176"/>
    <x v="0"/>
    <x v="37"/>
    <n v="2"/>
    <n v="3499.99"/>
    <n v="7.0000000000000007E-2"/>
    <n v="6999.98"/>
    <m/>
    <x v="33"/>
    <x v="2"/>
  </r>
  <r>
    <x v="1176"/>
    <x v="1"/>
    <x v="51"/>
    <n v="1"/>
    <n v="439.99"/>
    <n v="0.1"/>
    <n v="439.99"/>
    <m/>
    <x v="44"/>
    <x v="2"/>
  </r>
  <r>
    <x v="1177"/>
    <x v="0"/>
    <x v="109"/>
    <n v="1"/>
    <n v="1409.99"/>
    <n v="7.0000000000000007E-2"/>
    <n v="1409.99"/>
    <m/>
    <x v="101"/>
    <x v="1"/>
  </r>
  <r>
    <x v="1177"/>
    <x v="1"/>
    <x v="104"/>
    <n v="1"/>
    <n v="799.99"/>
    <n v="0.2"/>
    <n v="799.99"/>
    <m/>
    <x v="96"/>
    <x v="1"/>
  </r>
  <r>
    <x v="1177"/>
    <x v="2"/>
    <x v="75"/>
    <n v="1"/>
    <n v="449.99"/>
    <n v="0.05"/>
    <n v="449.99"/>
    <m/>
    <x v="68"/>
    <x v="1"/>
  </r>
  <r>
    <x v="1177"/>
    <x v="3"/>
    <x v="17"/>
    <n v="2"/>
    <n v="269.99"/>
    <n v="0.05"/>
    <n v="539.98"/>
    <m/>
    <x v="15"/>
    <x v="1"/>
  </r>
  <r>
    <x v="1178"/>
    <x v="0"/>
    <x v="101"/>
    <n v="2"/>
    <n v="209.99"/>
    <n v="0.05"/>
    <n v="419.98"/>
    <m/>
    <x v="93"/>
    <x v="2"/>
  </r>
  <r>
    <x v="1178"/>
    <x v="1"/>
    <x v="54"/>
    <n v="2"/>
    <n v="189.99"/>
    <n v="0.05"/>
    <n v="379.98"/>
    <m/>
    <x v="47"/>
    <x v="2"/>
  </r>
  <r>
    <x v="1178"/>
    <x v="2"/>
    <x v="57"/>
    <n v="2"/>
    <n v="469.99"/>
    <n v="0.2"/>
    <n v="939.98"/>
    <m/>
    <x v="50"/>
    <x v="2"/>
  </r>
  <r>
    <x v="1178"/>
    <x v="3"/>
    <x v="69"/>
    <n v="1"/>
    <n v="5999.99"/>
    <n v="7.0000000000000007E-2"/>
    <n v="5999.99"/>
    <m/>
    <x v="62"/>
    <x v="2"/>
  </r>
  <r>
    <x v="1179"/>
    <x v="0"/>
    <x v="82"/>
    <n v="2"/>
    <n v="250.99"/>
    <n v="7.0000000000000007E-2"/>
    <n v="501.98"/>
    <m/>
    <x v="75"/>
    <x v="0"/>
  </r>
  <r>
    <x v="1180"/>
    <x v="0"/>
    <x v="72"/>
    <n v="1"/>
    <n v="489.99"/>
    <n v="0.1"/>
    <n v="489.99"/>
    <m/>
    <x v="65"/>
    <x v="1"/>
  </r>
  <r>
    <x v="1181"/>
    <x v="0"/>
    <x v="100"/>
    <n v="1"/>
    <n v="832.99"/>
    <n v="0.1"/>
    <n v="832.99"/>
    <m/>
    <x v="92"/>
    <x v="1"/>
  </r>
  <r>
    <x v="1181"/>
    <x v="1"/>
    <x v="60"/>
    <n v="2"/>
    <n v="3499.99"/>
    <n v="0.1"/>
    <n v="6999.98"/>
    <m/>
    <x v="53"/>
    <x v="1"/>
  </r>
  <r>
    <x v="1182"/>
    <x v="0"/>
    <x v="65"/>
    <n v="1"/>
    <n v="3499.99"/>
    <n v="0.2"/>
    <n v="3499.99"/>
    <m/>
    <x v="58"/>
    <x v="1"/>
  </r>
  <r>
    <x v="1182"/>
    <x v="1"/>
    <x v="53"/>
    <n v="2"/>
    <n v="761.99"/>
    <n v="0.2"/>
    <n v="1523.98"/>
    <m/>
    <x v="46"/>
    <x v="1"/>
  </r>
  <r>
    <x v="1182"/>
    <x v="2"/>
    <x v="18"/>
    <n v="2"/>
    <n v="469.99"/>
    <n v="0.05"/>
    <n v="939.98"/>
    <m/>
    <x v="16"/>
    <x v="1"/>
  </r>
  <r>
    <x v="1183"/>
    <x v="0"/>
    <x v="3"/>
    <n v="2"/>
    <n v="599.99"/>
    <n v="0.05"/>
    <n v="1199.98"/>
    <m/>
    <x v="3"/>
    <x v="1"/>
  </r>
  <r>
    <x v="1183"/>
    <x v="1"/>
    <x v="68"/>
    <n v="1"/>
    <n v="416.99"/>
    <n v="0.05"/>
    <n v="416.99"/>
    <m/>
    <x v="61"/>
    <x v="1"/>
  </r>
  <r>
    <x v="1184"/>
    <x v="0"/>
    <x v="23"/>
    <n v="2"/>
    <n v="449"/>
    <n v="7.0000000000000007E-2"/>
    <n v="898"/>
    <m/>
    <x v="20"/>
    <x v="1"/>
  </r>
  <r>
    <x v="1184"/>
    <x v="1"/>
    <x v="20"/>
    <n v="1"/>
    <n v="269.99"/>
    <n v="7.0000000000000007E-2"/>
    <n v="269.99"/>
    <m/>
    <x v="15"/>
    <x v="1"/>
  </r>
  <r>
    <x v="1184"/>
    <x v="2"/>
    <x v="65"/>
    <n v="2"/>
    <n v="3499.99"/>
    <n v="0.1"/>
    <n v="6999.98"/>
    <m/>
    <x v="58"/>
    <x v="1"/>
  </r>
  <r>
    <x v="1184"/>
    <x v="3"/>
    <x v="53"/>
    <n v="1"/>
    <n v="761.99"/>
    <n v="0.2"/>
    <n v="761.99"/>
    <m/>
    <x v="46"/>
    <x v="1"/>
  </r>
  <r>
    <x v="1185"/>
    <x v="0"/>
    <x v="74"/>
    <n v="2"/>
    <n v="1499.99"/>
    <n v="0.1"/>
    <n v="2999.98"/>
    <m/>
    <x v="67"/>
    <x v="1"/>
  </r>
  <r>
    <x v="1185"/>
    <x v="1"/>
    <x v="60"/>
    <n v="1"/>
    <n v="3499.99"/>
    <n v="7.0000000000000007E-2"/>
    <n v="3499.99"/>
    <m/>
    <x v="53"/>
    <x v="1"/>
  </r>
  <r>
    <x v="1185"/>
    <x v="2"/>
    <x v="26"/>
    <n v="1"/>
    <n v="449.99"/>
    <n v="0.1"/>
    <n v="449.99"/>
    <m/>
    <x v="22"/>
    <x v="1"/>
  </r>
  <r>
    <x v="1185"/>
    <x v="3"/>
    <x v="97"/>
    <n v="1"/>
    <n v="999.99"/>
    <n v="0.2"/>
    <n v="999.99"/>
    <m/>
    <x v="89"/>
    <x v="1"/>
  </r>
  <r>
    <x v="1186"/>
    <x v="0"/>
    <x v="107"/>
    <n v="2"/>
    <n v="832.99"/>
    <n v="0.1"/>
    <n v="1665.98"/>
    <m/>
    <x v="99"/>
    <x v="1"/>
  </r>
  <r>
    <x v="1186"/>
    <x v="1"/>
    <x v="47"/>
    <n v="1"/>
    <n v="402.99"/>
    <n v="7.0000000000000007E-2"/>
    <n v="402.99"/>
    <m/>
    <x v="41"/>
    <x v="1"/>
  </r>
  <r>
    <x v="1186"/>
    <x v="2"/>
    <x v="4"/>
    <n v="1"/>
    <n v="2899.99"/>
    <n v="0.1"/>
    <n v="2899.99"/>
    <m/>
    <x v="4"/>
    <x v="1"/>
  </r>
  <r>
    <x v="1186"/>
    <x v="3"/>
    <x v="29"/>
    <n v="2"/>
    <n v="749.99"/>
    <n v="0.1"/>
    <n v="1499.98"/>
    <m/>
    <x v="25"/>
    <x v="1"/>
  </r>
  <r>
    <x v="1187"/>
    <x v="0"/>
    <x v="82"/>
    <n v="2"/>
    <n v="250.99"/>
    <n v="0.1"/>
    <n v="501.98"/>
    <m/>
    <x v="75"/>
    <x v="1"/>
  </r>
  <r>
    <x v="1187"/>
    <x v="1"/>
    <x v="87"/>
    <n v="2"/>
    <n v="349.99"/>
    <n v="0.2"/>
    <n v="699.98"/>
    <m/>
    <x v="80"/>
    <x v="1"/>
  </r>
  <r>
    <x v="1187"/>
    <x v="2"/>
    <x v="108"/>
    <n v="2"/>
    <n v="189.99"/>
    <n v="0.1"/>
    <n v="379.98"/>
    <m/>
    <x v="100"/>
    <x v="1"/>
  </r>
  <r>
    <x v="1188"/>
    <x v="0"/>
    <x v="66"/>
    <n v="1"/>
    <n v="2699.99"/>
    <n v="7.0000000000000007E-2"/>
    <n v="2699.99"/>
    <m/>
    <x v="59"/>
    <x v="1"/>
  </r>
  <r>
    <x v="1188"/>
    <x v="1"/>
    <x v="48"/>
    <n v="2"/>
    <n v="489.99"/>
    <n v="0.1"/>
    <n v="979.98"/>
    <m/>
    <x v="34"/>
    <x v="1"/>
  </r>
  <r>
    <x v="1188"/>
    <x v="2"/>
    <x v="95"/>
    <n v="2"/>
    <n v="4999.99"/>
    <n v="0.1"/>
    <n v="9999.98"/>
    <m/>
    <x v="87"/>
    <x v="1"/>
  </r>
  <r>
    <x v="1189"/>
    <x v="0"/>
    <x v="68"/>
    <n v="1"/>
    <n v="416.99"/>
    <n v="7.0000000000000007E-2"/>
    <n v="416.99"/>
    <m/>
    <x v="61"/>
    <x v="1"/>
  </r>
  <r>
    <x v="1190"/>
    <x v="0"/>
    <x v="95"/>
    <n v="2"/>
    <n v="4999.99"/>
    <n v="0.1"/>
    <n v="9999.98"/>
    <m/>
    <x v="87"/>
    <x v="1"/>
  </r>
  <r>
    <x v="1190"/>
    <x v="1"/>
    <x v="84"/>
    <n v="2"/>
    <n v="209.99"/>
    <n v="0.1"/>
    <n v="419.98"/>
    <m/>
    <x v="77"/>
    <x v="1"/>
  </r>
  <r>
    <x v="1190"/>
    <x v="2"/>
    <x v="96"/>
    <n v="1"/>
    <n v="489.99"/>
    <n v="7.0000000000000007E-2"/>
    <n v="489.99"/>
    <m/>
    <x v="88"/>
    <x v="1"/>
  </r>
  <r>
    <x v="1191"/>
    <x v="0"/>
    <x v="24"/>
    <n v="2"/>
    <n v="549.99"/>
    <n v="0.1"/>
    <n v="1099.98"/>
    <m/>
    <x v="9"/>
    <x v="1"/>
  </r>
  <r>
    <x v="1191"/>
    <x v="1"/>
    <x v="54"/>
    <n v="2"/>
    <n v="189.99"/>
    <n v="7.0000000000000007E-2"/>
    <n v="379.98"/>
    <m/>
    <x v="47"/>
    <x v="1"/>
  </r>
  <r>
    <x v="1191"/>
    <x v="2"/>
    <x v="88"/>
    <n v="2"/>
    <n v="379.99"/>
    <n v="0.2"/>
    <n v="759.98"/>
    <m/>
    <x v="81"/>
    <x v="1"/>
  </r>
  <r>
    <x v="1192"/>
    <x v="0"/>
    <x v="56"/>
    <n v="2"/>
    <n v="149.99"/>
    <n v="0.05"/>
    <n v="299.98"/>
    <m/>
    <x v="49"/>
    <x v="1"/>
  </r>
  <r>
    <x v="1192"/>
    <x v="1"/>
    <x v="97"/>
    <n v="1"/>
    <n v="999.99"/>
    <n v="0.05"/>
    <n v="999.99"/>
    <m/>
    <x v="89"/>
    <x v="1"/>
  </r>
  <r>
    <x v="1193"/>
    <x v="0"/>
    <x v="68"/>
    <n v="1"/>
    <n v="416.99"/>
    <n v="0.05"/>
    <n v="416.99"/>
    <m/>
    <x v="61"/>
    <x v="0"/>
  </r>
  <r>
    <x v="1193"/>
    <x v="1"/>
    <x v="14"/>
    <n v="2"/>
    <n v="3999.99"/>
    <n v="7.0000000000000007E-2"/>
    <n v="7999.98"/>
    <m/>
    <x v="13"/>
    <x v="0"/>
  </r>
  <r>
    <x v="1193"/>
    <x v="2"/>
    <x v="86"/>
    <n v="2"/>
    <n v="533.99"/>
    <n v="0.1"/>
    <n v="1067.98"/>
    <m/>
    <x v="79"/>
    <x v="0"/>
  </r>
  <r>
    <x v="1193"/>
    <x v="3"/>
    <x v="73"/>
    <n v="1"/>
    <n v="109.99"/>
    <n v="0.05"/>
    <n v="109.99"/>
    <m/>
    <x v="66"/>
    <x v="0"/>
  </r>
  <r>
    <x v="1194"/>
    <x v="0"/>
    <x v="58"/>
    <n v="1"/>
    <n v="875.99"/>
    <n v="7.0000000000000007E-2"/>
    <n v="875.99"/>
    <m/>
    <x v="51"/>
    <x v="1"/>
  </r>
  <r>
    <x v="1195"/>
    <x v="0"/>
    <x v="29"/>
    <n v="1"/>
    <n v="749.99"/>
    <n v="7.0000000000000007E-2"/>
    <n v="749.99"/>
    <m/>
    <x v="25"/>
    <x v="1"/>
  </r>
  <r>
    <x v="1196"/>
    <x v="0"/>
    <x v="17"/>
    <n v="1"/>
    <n v="269.99"/>
    <n v="7.0000000000000007E-2"/>
    <n v="269.99"/>
    <m/>
    <x v="15"/>
    <x v="1"/>
  </r>
  <r>
    <x v="1196"/>
    <x v="1"/>
    <x v="75"/>
    <n v="2"/>
    <n v="449.99"/>
    <n v="0.05"/>
    <n v="899.98"/>
    <m/>
    <x v="68"/>
    <x v="1"/>
  </r>
  <r>
    <x v="1196"/>
    <x v="2"/>
    <x v="11"/>
    <n v="2"/>
    <n v="2999.99"/>
    <n v="0.05"/>
    <n v="5999.98"/>
    <m/>
    <x v="10"/>
    <x v="1"/>
  </r>
  <r>
    <x v="1196"/>
    <x v="3"/>
    <x v="26"/>
    <n v="2"/>
    <n v="449.99"/>
    <n v="0.2"/>
    <n v="899.98"/>
    <m/>
    <x v="22"/>
    <x v="1"/>
  </r>
  <r>
    <x v="1197"/>
    <x v="0"/>
    <x v="86"/>
    <n v="1"/>
    <n v="533.99"/>
    <n v="0.05"/>
    <n v="533.99"/>
    <m/>
    <x v="79"/>
    <x v="1"/>
  </r>
  <r>
    <x v="1198"/>
    <x v="0"/>
    <x v="33"/>
    <n v="1"/>
    <n v="469.99"/>
    <n v="0.05"/>
    <n v="469.99"/>
    <m/>
    <x v="29"/>
    <x v="0"/>
  </r>
  <r>
    <x v="1198"/>
    <x v="1"/>
    <x v="49"/>
    <n v="2"/>
    <n v="249.99"/>
    <n v="7.0000000000000007E-2"/>
    <n v="499.98"/>
    <m/>
    <x v="42"/>
    <x v="0"/>
  </r>
  <r>
    <x v="1198"/>
    <x v="2"/>
    <x v="36"/>
    <n v="2"/>
    <n v="416.99"/>
    <n v="0.1"/>
    <n v="833.98"/>
    <m/>
    <x v="32"/>
    <x v="0"/>
  </r>
  <r>
    <x v="1199"/>
    <x v="0"/>
    <x v="41"/>
    <n v="2"/>
    <n v="2299.9899999999998"/>
    <n v="0.2"/>
    <n v="4599.9799999999996"/>
    <m/>
    <x v="36"/>
    <x v="1"/>
  </r>
  <r>
    <x v="1200"/>
    <x v="0"/>
    <x v="43"/>
    <n v="1"/>
    <n v="299.99"/>
    <n v="7.0000000000000007E-2"/>
    <n v="299.99"/>
    <m/>
    <x v="31"/>
    <x v="1"/>
  </r>
  <r>
    <x v="1200"/>
    <x v="1"/>
    <x v="17"/>
    <n v="1"/>
    <n v="269.99"/>
    <n v="0.05"/>
    <n v="269.99"/>
    <m/>
    <x v="15"/>
    <x v="1"/>
  </r>
  <r>
    <x v="1200"/>
    <x v="2"/>
    <x v="8"/>
    <n v="1"/>
    <n v="599.99"/>
    <n v="0.2"/>
    <n v="599.99"/>
    <m/>
    <x v="3"/>
    <x v="1"/>
  </r>
  <r>
    <x v="1200"/>
    <x v="3"/>
    <x v="7"/>
    <n v="2"/>
    <n v="429"/>
    <n v="0.05"/>
    <n v="858"/>
    <m/>
    <x v="7"/>
    <x v="1"/>
  </r>
  <r>
    <x v="1200"/>
    <x v="4"/>
    <x v="23"/>
    <n v="2"/>
    <n v="449"/>
    <n v="0.2"/>
    <n v="898"/>
    <m/>
    <x v="20"/>
    <x v="1"/>
  </r>
  <r>
    <x v="1201"/>
    <x v="0"/>
    <x v="73"/>
    <n v="2"/>
    <n v="109.99"/>
    <n v="0.05"/>
    <n v="219.98"/>
    <m/>
    <x v="66"/>
    <x v="1"/>
  </r>
  <r>
    <x v="1202"/>
    <x v="0"/>
    <x v="18"/>
    <n v="2"/>
    <n v="469.99"/>
    <n v="7.0000000000000007E-2"/>
    <n v="939.98"/>
    <m/>
    <x v="16"/>
    <x v="1"/>
  </r>
  <r>
    <x v="1202"/>
    <x v="1"/>
    <x v="66"/>
    <n v="1"/>
    <n v="2699.99"/>
    <n v="0.05"/>
    <n v="2699.99"/>
    <m/>
    <x v="59"/>
    <x v="1"/>
  </r>
  <r>
    <x v="1203"/>
    <x v="0"/>
    <x v="88"/>
    <n v="2"/>
    <n v="379.99"/>
    <n v="7.0000000000000007E-2"/>
    <n v="759.98"/>
    <m/>
    <x v="81"/>
    <x v="1"/>
  </r>
  <r>
    <x v="1204"/>
    <x v="0"/>
    <x v="86"/>
    <n v="2"/>
    <n v="533.99"/>
    <n v="0.2"/>
    <n v="1067.98"/>
    <m/>
    <x v="79"/>
    <x v="0"/>
  </r>
  <r>
    <x v="1204"/>
    <x v="1"/>
    <x v="109"/>
    <n v="2"/>
    <n v="1409.99"/>
    <n v="0.2"/>
    <n v="2819.98"/>
    <m/>
    <x v="101"/>
    <x v="0"/>
  </r>
  <r>
    <x v="1204"/>
    <x v="2"/>
    <x v="68"/>
    <n v="1"/>
    <n v="416.99"/>
    <n v="0.05"/>
    <n v="416.99"/>
    <m/>
    <x v="61"/>
    <x v="0"/>
  </r>
  <r>
    <x v="1204"/>
    <x v="3"/>
    <x v="47"/>
    <n v="2"/>
    <n v="402.99"/>
    <n v="7.0000000000000007E-2"/>
    <n v="805.98"/>
    <m/>
    <x v="41"/>
    <x v="0"/>
  </r>
  <r>
    <x v="1204"/>
    <x v="4"/>
    <x v="102"/>
    <n v="1"/>
    <n v="209.99"/>
    <n v="0.1"/>
    <n v="209.99"/>
    <m/>
    <x v="94"/>
    <x v="0"/>
  </r>
  <r>
    <x v="1205"/>
    <x v="0"/>
    <x v="30"/>
    <n v="1"/>
    <n v="749.99"/>
    <n v="7.0000000000000007E-2"/>
    <n v="749.99"/>
    <m/>
    <x v="26"/>
    <x v="1"/>
  </r>
  <r>
    <x v="1205"/>
    <x v="1"/>
    <x v="61"/>
    <n v="1"/>
    <n v="999.99"/>
    <n v="0.2"/>
    <n v="999.99"/>
    <m/>
    <x v="54"/>
    <x v="1"/>
  </r>
  <r>
    <x v="1206"/>
    <x v="0"/>
    <x v="77"/>
    <n v="1"/>
    <n v="481.99"/>
    <n v="0.05"/>
    <n v="481.99"/>
    <m/>
    <x v="70"/>
    <x v="1"/>
  </r>
  <r>
    <x v="1206"/>
    <x v="1"/>
    <x v="27"/>
    <n v="1"/>
    <n v="551.99"/>
    <n v="0.1"/>
    <n v="551.99"/>
    <m/>
    <x v="23"/>
    <x v="1"/>
  </r>
  <r>
    <x v="1206"/>
    <x v="2"/>
    <x v="19"/>
    <n v="1"/>
    <n v="299.99"/>
    <n v="7.0000000000000007E-2"/>
    <n v="299.99"/>
    <m/>
    <x v="17"/>
    <x v="1"/>
  </r>
  <r>
    <x v="1207"/>
    <x v="0"/>
    <x v="10"/>
    <n v="1"/>
    <n v="549.99"/>
    <n v="0.2"/>
    <n v="549.99"/>
    <m/>
    <x v="9"/>
    <x v="1"/>
  </r>
  <r>
    <x v="1207"/>
    <x v="1"/>
    <x v="105"/>
    <n v="2"/>
    <n v="346.99"/>
    <n v="7.0000000000000007E-2"/>
    <n v="693.98"/>
    <m/>
    <x v="97"/>
    <x v="1"/>
  </r>
  <r>
    <x v="1207"/>
    <x v="2"/>
    <x v="106"/>
    <n v="2"/>
    <n v="149.99"/>
    <n v="0.2"/>
    <n v="299.98"/>
    <m/>
    <x v="98"/>
    <x v="1"/>
  </r>
  <r>
    <x v="1207"/>
    <x v="3"/>
    <x v="17"/>
    <n v="2"/>
    <n v="269.99"/>
    <n v="0.1"/>
    <n v="539.98"/>
    <m/>
    <x v="15"/>
    <x v="1"/>
  </r>
  <r>
    <x v="1207"/>
    <x v="4"/>
    <x v="108"/>
    <n v="1"/>
    <n v="189.99"/>
    <n v="7.0000000000000007E-2"/>
    <n v="189.99"/>
    <m/>
    <x v="100"/>
    <x v="1"/>
  </r>
  <r>
    <x v="1208"/>
    <x v="0"/>
    <x v="84"/>
    <n v="1"/>
    <n v="209.99"/>
    <n v="7.0000000000000007E-2"/>
    <n v="209.99"/>
    <m/>
    <x v="77"/>
    <x v="1"/>
  </r>
  <r>
    <x v="1208"/>
    <x v="1"/>
    <x v="44"/>
    <n v="1"/>
    <n v="349.99"/>
    <n v="0.05"/>
    <n v="349.99"/>
    <m/>
    <x v="38"/>
    <x v="1"/>
  </r>
  <r>
    <x v="1209"/>
    <x v="0"/>
    <x v="8"/>
    <n v="1"/>
    <n v="599.99"/>
    <n v="0.1"/>
    <n v="599.99"/>
    <m/>
    <x v="3"/>
    <x v="2"/>
  </r>
  <r>
    <x v="1209"/>
    <x v="1"/>
    <x v="18"/>
    <n v="2"/>
    <n v="469.99"/>
    <n v="7.0000000000000007E-2"/>
    <n v="939.98"/>
    <m/>
    <x v="16"/>
    <x v="2"/>
  </r>
  <r>
    <x v="1209"/>
    <x v="2"/>
    <x v="46"/>
    <n v="2"/>
    <n v="647.99"/>
    <n v="0.05"/>
    <n v="1295.98"/>
    <m/>
    <x v="40"/>
    <x v="2"/>
  </r>
  <r>
    <x v="1209"/>
    <x v="3"/>
    <x v="73"/>
    <n v="1"/>
    <n v="109.99"/>
    <n v="0.1"/>
    <n v="109.99"/>
    <m/>
    <x v="66"/>
    <x v="2"/>
  </r>
  <r>
    <x v="1209"/>
    <x v="4"/>
    <x v="100"/>
    <n v="2"/>
    <n v="832.99"/>
    <n v="0.05"/>
    <n v="1665.98"/>
    <m/>
    <x v="92"/>
    <x v="2"/>
  </r>
  <r>
    <x v="1210"/>
    <x v="0"/>
    <x v="12"/>
    <n v="2"/>
    <n v="529.99"/>
    <n v="0.2"/>
    <n v="1059.98"/>
    <m/>
    <x v="11"/>
    <x v="1"/>
  </r>
  <r>
    <x v="1210"/>
    <x v="1"/>
    <x v="64"/>
    <n v="1"/>
    <n v="2599.9899999999998"/>
    <n v="0.05"/>
    <n v="2599.9899999999998"/>
    <m/>
    <x v="57"/>
    <x v="1"/>
  </r>
  <r>
    <x v="1210"/>
    <x v="2"/>
    <x v="102"/>
    <n v="1"/>
    <n v="209.99"/>
    <n v="0.2"/>
    <n v="209.99"/>
    <m/>
    <x v="94"/>
    <x v="1"/>
  </r>
  <r>
    <x v="1210"/>
    <x v="3"/>
    <x v="101"/>
    <n v="1"/>
    <n v="209.99"/>
    <n v="0.1"/>
    <n v="209.99"/>
    <m/>
    <x v="93"/>
    <x v="1"/>
  </r>
  <r>
    <x v="1210"/>
    <x v="4"/>
    <x v="75"/>
    <n v="2"/>
    <n v="449.99"/>
    <n v="0.2"/>
    <n v="899.98"/>
    <m/>
    <x v="68"/>
    <x v="1"/>
  </r>
  <r>
    <x v="1211"/>
    <x v="0"/>
    <x v="51"/>
    <n v="1"/>
    <n v="439.99"/>
    <n v="0.1"/>
    <n v="439.99"/>
    <m/>
    <x v="44"/>
    <x v="1"/>
  </r>
  <r>
    <x v="1211"/>
    <x v="1"/>
    <x v="88"/>
    <n v="2"/>
    <n v="379.99"/>
    <n v="7.0000000000000007E-2"/>
    <n v="759.98"/>
    <m/>
    <x v="81"/>
    <x v="1"/>
  </r>
  <r>
    <x v="1211"/>
    <x v="2"/>
    <x v="62"/>
    <n v="2"/>
    <n v="1499.99"/>
    <n v="0.05"/>
    <n v="2999.98"/>
    <m/>
    <x v="55"/>
    <x v="1"/>
  </r>
  <r>
    <x v="1211"/>
    <x v="3"/>
    <x v="39"/>
    <n v="2"/>
    <n v="449.99"/>
    <n v="7.0000000000000007E-2"/>
    <n v="899.98"/>
    <m/>
    <x v="22"/>
    <x v="1"/>
  </r>
  <r>
    <x v="1212"/>
    <x v="0"/>
    <x v="38"/>
    <n v="2"/>
    <n v="489.99"/>
    <n v="7.0000000000000007E-2"/>
    <n v="979.98"/>
    <m/>
    <x v="34"/>
    <x v="2"/>
  </r>
  <r>
    <x v="1212"/>
    <x v="1"/>
    <x v="46"/>
    <n v="1"/>
    <n v="647.99"/>
    <n v="7.0000000000000007E-2"/>
    <n v="647.99"/>
    <m/>
    <x v="40"/>
    <x v="2"/>
  </r>
  <r>
    <x v="1212"/>
    <x v="2"/>
    <x v="48"/>
    <n v="2"/>
    <n v="489.99"/>
    <n v="0.1"/>
    <n v="979.98"/>
    <m/>
    <x v="34"/>
    <x v="2"/>
  </r>
  <r>
    <x v="1212"/>
    <x v="3"/>
    <x v="12"/>
    <n v="1"/>
    <n v="529.99"/>
    <n v="0.05"/>
    <n v="529.99"/>
    <m/>
    <x v="11"/>
    <x v="2"/>
  </r>
  <r>
    <x v="1213"/>
    <x v="0"/>
    <x v="11"/>
    <n v="2"/>
    <n v="2999.99"/>
    <n v="0.05"/>
    <n v="5999.98"/>
    <m/>
    <x v="10"/>
    <x v="1"/>
  </r>
  <r>
    <x v="1213"/>
    <x v="1"/>
    <x v="14"/>
    <n v="1"/>
    <n v="3999.99"/>
    <n v="0.2"/>
    <n v="3999.99"/>
    <m/>
    <x v="13"/>
    <x v="1"/>
  </r>
  <r>
    <x v="1213"/>
    <x v="2"/>
    <x v="13"/>
    <n v="1"/>
    <n v="269.99"/>
    <n v="0.05"/>
    <n v="269.99"/>
    <m/>
    <x v="12"/>
    <x v="1"/>
  </r>
  <r>
    <x v="1213"/>
    <x v="3"/>
    <x v="104"/>
    <n v="2"/>
    <n v="799.99"/>
    <n v="0.1"/>
    <n v="1599.98"/>
    <m/>
    <x v="96"/>
    <x v="1"/>
  </r>
  <r>
    <x v="1213"/>
    <x v="4"/>
    <x v="50"/>
    <n v="2"/>
    <n v="250.99"/>
    <n v="0.2"/>
    <n v="501.98"/>
    <m/>
    <x v="43"/>
    <x v="1"/>
  </r>
  <r>
    <x v="1214"/>
    <x v="0"/>
    <x v="30"/>
    <n v="2"/>
    <n v="749.99"/>
    <n v="0.1"/>
    <n v="1499.98"/>
    <m/>
    <x v="26"/>
    <x v="1"/>
  </r>
  <r>
    <x v="1214"/>
    <x v="1"/>
    <x v="2"/>
    <n v="2"/>
    <n v="1549"/>
    <n v="7.0000000000000007E-2"/>
    <n v="3098"/>
    <m/>
    <x v="2"/>
    <x v="1"/>
  </r>
  <r>
    <x v="1215"/>
    <x v="0"/>
    <x v="38"/>
    <n v="2"/>
    <n v="489.99"/>
    <n v="0.1"/>
    <n v="979.98"/>
    <m/>
    <x v="34"/>
    <x v="1"/>
  </r>
  <r>
    <x v="1215"/>
    <x v="1"/>
    <x v="59"/>
    <n v="1"/>
    <n v="3199.99"/>
    <n v="0.05"/>
    <n v="3199.99"/>
    <m/>
    <x v="52"/>
    <x v="1"/>
  </r>
  <r>
    <x v="1215"/>
    <x v="2"/>
    <x v="23"/>
    <n v="1"/>
    <n v="449"/>
    <n v="0.2"/>
    <n v="449"/>
    <m/>
    <x v="20"/>
    <x v="1"/>
  </r>
  <r>
    <x v="1215"/>
    <x v="3"/>
    <x v="55"/>
    <n v="2"/>
    <n v="470.99"/>
    <n v="7.0000000000000007E-2"/>
    <n v="941.98"/>
    <m/>
    <x v="48"/>
    <x v="1"/>
  </r>
  <r>
    <x v="1215"/>
    <x v="4"/>
    <x v="52"/>
    <n v="1"/>
    <n v="5299.99"/>
    <n v="0.1"/>
    <n v="5299.99"/>
    <m/>
    <x v="45"/>
    <x v="1"/>
  </r>
  <r>
    <x v="1216"/>
    <x v="0"/>
    <x v="30"/>
    <n v="1"/>
    <n v="749.99"/>
    <n v="0.05"/>
    <n v="749.99"/>
    <m/>
    <x v="26"/>
    <x v="1"/>
  </r>
  <r>
    <x v="1216"/>
    <x v="1"/>
    <x v="26"/>
    <n v="2"/>
    <n v="449.99"/>
    <n v="0.05"/>
    <n v="899.98"/>
    <m/>
    <x v="22"/>
    <x v="1"/>
  </r>
  <r>
    <x v="1217"/>
    <x v="0"/>
    <x v="33"/>
    <n v="1"/>
    <n v="469.99"/>
    <n v="7.0000000000000007E-2"/>
    <n v="469.99"/>
    <m/>
    <x v="29"/>
    <x v="0"/>
  </r>
  <r>
    <x v="1217"/>
    <x v="1"/>
    <x v="48"/>
    <n v="2"/>
    <n v="489.99"/>
    <n v="0.05"/>
    <n v="979.98"/>
    <m/>
    <x v="34"/>
    <x v="0"/>
  </r>
  <r>
    <x v="1218"/>
    <x v="0"/>
    <x v="7"/>
    <n v="2"/>
    <n v="429"/>
    <n v="7.0000000000000007E-2"/>
    <n v="858"/>
    <m/>
    <x v="7"/>
    <x v="1"/>
  </r>
  <r>
    <x v="1218"/>
    <x v="1"/>
    <x v="37"/>
    <n v="2"/>
    <n v="3499.99"/>
    <n v="0.1"/>
    <n v="6999.98"/>
    <m/>
    <x v="33"/>
    <x v="1"/>
  </r>
  <r>
    <x v="1218"/>
    <x v="2"/>
    <x v="95"/>
    <n v="2"/>
    <n v="4999.99"/>
    <n v="0.2"/>
    <n v="9999.98"/>
    <m/>
    <x v="87"/>
    <x v="1"/>
  </r>
  <r>
    <x v="1219"/>
    <x v="0"/>
    <x v="42"/>
    <n v="2"/>
    <n v="5299.99"/>
    <n v="0.1"/>
    <n v="10599.98"/>
    <m/>
    <x v="37"/>
    <x v="1"/>
  </r>
  <r>
    <x v="1219"/>
    <x v="1"/>
    <x v="60"/>
    <n v="1"/>
    <n v="3499.99"/>
    <n v="0.2"/>
    <n v="3499.99"/>
    <m/>
    <x v="53"/>
    <x v="1"/>
  </r>
  <r>
    <x v="1219"/>
    <x v="2"/>
    <x v="25"/>
    <n v="2"/>
    <n v="329.99"/>
    <n v="0.2"/>
    <n v="659.98"/>
    <m/>
    <x v="21"/>
    <x v="1"/>
  </r>
  <r>
    <x v="1220"/>
    <x v="0"/>
    <x v="96"/>
    <n v="1"/>
    <n v="489.99"/>
    <n v="0.05"/>
    <n v="489.99"/>
    <m/>
    <x v="88"/>
    <x v="1"/>
  </r>
  <r>
    <x v="1220"/>
    <x v="1"/>
    <x v="89"/>
    <n v="2"/>
    <n v="1099.99"/>
    <n v="0.05"/>
    <n v="2199.98"/>
    <m/>
    <x v="82"/>
    <x v="1"/>
  </r>
  <r>
    <x v="1220"/>
    <x v="2"/>
    <x v="41"/>
    <n v="2"/>
    <n v="2299.9899999999998"/>
    <n v="0.1"/>
    <n v="4599.9799999999996"/>
    <m/>
    <x v="36"/>
    <x v="1"/>
  </r>
  <r>
    <x v="1220"/>
    <x v="3"/>
    <x v="83"/>
    <n v="2"/>
    <n v="549.99"/>
    <n v="0.1"/>
    <n v="1099.98"/>
    <m/>
    <x v="76"/>
    <x v="1"/>
  </r>
  <r>
    <x v="1220"/>
    <x v="4"/>
    <x v="44"/>
    <n v="2"/>
    <n v="349.99"/>
    <n v="7.0000000000000007E-2"/>
    <n v="699.98"/>
    <m/>
    <x v="38"/>
    <x v="1"/>
  </r>
  <r>
    <x v="1221"/>
    <x v="0"/>
    <x v="44"/>
    <n v="1"/>
    <n v="349.99"/>
    <n v="0.2"/>
    <n v="349.99"/>
    <m/>
    <x v="38"/>
    <x v="2"/>
  </r>
  <r>
    <x v="1222"/>
    <x v="0"/>
    <x v="27"/>
    <n v="1"/>
    <n v="551.99"/>
    <n v="0.05"/>
    <n v="551.99"/>
    <m/>
    <x v="23"/>
    <x v="1"/>
  </r>
  <r>
    <x v="1223"/>
    <x v="0"/>
    <x v="37"/>
    <n v="1"/>
    <n v="3499.99"/>
    <n v="7.0000000000000007E-2"/>
    <n v="3499.99"/>
    <m/>
    <x v="33"/>
    <x v="1"/>
  </r>
  <r>
    <x v="1223"/>
    <x v="1"/>
    <x v="80"/>
    <n v="1"/>
    <n v="6499.99"/>
    <n v="0.1"/>
    <n v="6499.99"/>
    <m/>
    <x v="73"/>
    <x v="1"/>
  </r>
  <r>
    <x v="1223"/>
    <x v="2"/>
    <x v="75"/>
    <n v="1"/>
    <n v="449.99"/>
    <n v="0.05"/>
    <n v="449.99"/>
    <m/>
    <x v="68"/>
    <x v="1"/>
  </r>
  <r>
    <x v="1223"/>
    <x v="3"/>
    <x v="33"/>
    <n v="1"/>
    <n v="469.99"/>
    <n v="0.2"/>
    <n v="469.99"/>
    <m/>
    <x v="29"/>
    <x v="1"/>
  </r>
  <r>
    <x v="1224"/>
    <x v="0"/>
    <x v="89"/>
    <n v="1"/>
    <n v="1099.99"/>
    <n v="0.1"/>
    <n v="1099.99"/>
    <m/>
    <x v="82"/>
    <x v="0"/>
  </r>
  <r>
    <x v="1224"/>
    <x v="1"/>
    <x v="64"/>
    <n v="2"/>
    <n v="2599.9899999999998"/>
    <n v="0.1"/>
    <n v="5199.9799999999996"/>
    <m/>
    <x v="57"/>
    <x v="0"/>
  </r>
  <r>
    <x v="1224"/>
    <x v="2"/>
    <x v="18"/>
    <n v="2"/>
    <n v="469.99"/>
    <n v="0.1"/>
    <n v="939.98"/>
    <m/>
    <x v="16"/>
    <x v="0"/>
  </r>
  <r>
    <x v="1225"/>
    <x v="0"/>
    <x v="104"/>
    <n v="2"/>
    <n v="799.99"/>
    <n v="0.05"/>
    <n v="1599.98"/>
    <m/>
    <x v="96"/>
    <x v="1"/>
  </r>
  <r>
    <x v="1225"/>
    <x v="1"/>
    <x v="70"/>
    <n v="1"/>
    <n v="339.99"/>
    <n v="0.2"/>
    <n v="339.99"/>
    <m/>
    <x v="63"/>
    <x v="1"/>
  </r>
  <r>
    <x v="1225"/>
    <x v="2"/>
    <x v="16"/>
    <n v="2"/>
    <n v="1680.99"/>
    <n v="7.0000000000000007E-2"/>
    <n v="3361.98"/>
    <m/>
    <x v="14"/>
    <x v="1"/>
  </r>
  <r>
    <x v="1225"/>
    <x v="3"/>
    <x v="80"/>
    <n v="1"/>
    <n v="6499.99"/>
    <n v="7.0000000000000007E-2"/>
    <n v="6499.99"/>
    <m/>
    <x v="73"/>
    <x v="1"/>
  </r>
  <r>
    <x v="1225"/>
    <x v="4"/>
    <x v="41"/>
    <n v="1"/>
    <n v="2299.9899999999998"/>
    <n v="0.1"/>
    <n v="2299.9899999999998"/>
    <m/>
    <x v="36"/>
    <x v="1"/>
  </r>
  <r>
    <x v="1226"/>
    <x v="0"/>
    <x v="45"/>
    <n v="2"/>
    <n v="209.99"/>
    <n v="0.2"/>
    <n v="419.98"/>
    <m/>
    <x v="39"/>
    <x v="1"/>
  </r>
  <r>
    <x v="1226"/>
    <x v="1"/>
    <x v="99"/>
    <n v="1"/>
    <n v="539.99"/>
    <n v="7.0000000000000007E-2"/>
    <n v="539.99"/>
    <m/>
    <x v="91"/>
    <x v="1"/>
  </r>
  <r>
    <x v="1226"/>
    <x v="2"/>
    <x v="8"/>
    <n v="1"/>
    <n v="599.99"/>
    <n v="0.05"/>
    <n v="599.99"/>
    <m/>
    <x v="3"/>
    <x v="1"/>
  </r>
  <r>
    <x v="1226"/>
    <x v="3"/>
    <x v="1"/>
    <n v="1"/>
    <n v="1799.99"/>
    <n v="7.0000000000000007E-2"/>
    <n v="1799.99"/>
    <m/>
    <x v="1"/>
    <x v="1"/>
  </r>
  <r>
    <x v="1226"/>
    <x v="4"/>
    <x v="41"/>
    <n v="2"/>
    <n v="2299.9899999999998"/>
    <n v="0.2"/>
    <n v="4599.9799999999996"/>
    <m/>
    <x v="36"/>
    <x v="1"/>
  </r>
  <r>
    <x v="1227"/>
    <x v="0"/>
    <x v="102"/>
    <n v="1"/>
    <n v="209.99"/>
    <n v="0.2"/>
    <n v="209.99"/>
    <m/>
    <x v="94"/>
    <x v="1"/>
  </r>
  <r>
    <x v="1227"/>
    <x v="1"/>
    <x v="66"/>
    <n v="2"/>
    <n v="2699.99"/>
    <n v="0.2"/>
    <n v="5399.98"/>
    <m/>
    <x v="59"/>
    <x v="1"/>
  </r>
  <r>
    <x v="1227"/>
    <x v="2"/>
    <x v="0"/>
    <n v="2"/>
    <n v="599.99"/>
    <n v="0.05"/>
    <n v="1199.98"/>
    <m/>
    <x v="0"/>
    <x v="1"/>
  </r>
  <r>
    <x v="1228"/>
    <x v="0"/>
    <x v="107"/>
    <n v="2"/>
    <n v="832.99"/>
    <n v="7.0000000000000007E-2"/>
    <n v="1665.98"/>
    <m/>
    <x v="99"/>
    <x v="0"/>
  </r>
  <r>
    <x v="1228"/>
    <x v="1"/>
    <x v="32"/>
    <n v="2"/>
    <n v="4999.99"/>
    <n v="0.1"/>
    <n v="9999.98"/>
    <m/>
    <x v="28"/>
    <x v="0"/>
  </r>
  <r>
    <x v="1229"/>
    <x v="0"/>
    <x v="33"/>
    <n v="2"/>
    <n v="469.99"/>
    <n v="0.1"/>
    <n v="939.98"/>
    <m/>
    <x v="29"/>
    <x v="1"/>
  </r>
  <r>
    <x v="1229"/>
    <x v="1"/>
    <x v="83"/>
    <n v="2"/>
    <n v="549.99"/>
    <n v="7.0000000000000007E-2"/>
    <n v="1099.98"/>
    <m/>
    <x v="76"/>
    <x v="1"/>
  </r>
  <r>
    <x v="1230"/>
    <x v="0"/>
    <x v="85"/>
    <n v="2"/>
    <n v="599.99"/>
    <n v="0.05"/>
    <n v="1199.98"/>
    <m/>
    <x v="78"/>
    <x v="1"/>
  </r>
  <r>
    <x v="1230"/>
    <x v="1"/>
    <x v="63"/>
    <n v="1"/>
    <n v="659.99"/>
    <n v="7.0000000000000007E-2"/>
    <n v="659.99"/>
    <m/>
    <x v="56"/>
    <x v="1"/>
  </r>
  <r>
    <x v="1231"/>
    <x v="0"/>
    <x v="4"/>
    <n v="2"/>
    <n v="2899.99"/>
    <n v="7.0000000000000007E-2"/>
    <n v="5799.98"/>
    <m/>
    <x v="4"/>
    <x v="0"/>
  </r>
  <r>
    <x v="1231"/>
    <x v="1"/>
    <x v="55"/>
    <n v="2"/>
    <n v="470.99"/>
    <n v="0.05"/>
    <n v="941.98"/>
    <m/>
    <x v="48"/>
    <x v="0"/>
  </r>
  <r>
    <x v="1231"/>
    <x v="2"/>
    <x v="18"/>
    <n v="2"/>
    <n v="469.99"/>
    <n v="0.2"/>
    <n v="939.98"/>
    <m/>
    <x v="16"/>
    <x v="0"/>
  </r>
  <r>
    <x v="1232"/>
    <x v="0"/>
    <x v="108"/>
    <n v="2"/>
    <n v="189.99"/>
    <n v="0.2"/>
    <n v="379.98"/>
    <m/>
    <x v="100"/>
    <x v="1"/>
  </r>
  <r>
    <x v="1232"/>
    <x v="1"/>
    <x v="32"/>
    <n v="2"/>
    <n v="4999.99"/>
    <n v="0.1"/>
    <n v="9999.98"/>
    <m/>
    <x v="28"/>
    <x v="1"/>
  </r>
  <r>
    <x v="1232"/>
    <x v="2"/>
    <x v="66"/>
    <n v="1"/>
    <n v="2699.99"/>
    <n v="0.2"/>
    <n v="2699.99"/>
    <m/>
    <x v="59"/>
    <x v="1"/>
  </r>
  <r>
    <x v="1233"/>
    <x v="0"/>
    <x v="28"/>
    <n v="2"/>
    <n v="5499.99"/>
    <n v="7.0000000000000007E-2"/>
    <n v="10999.98"/>
    <m/>
    <x v="24"/>
    <x v="1"/>
  </r>
  <r>
    <x v="1233"/>
    <x v="1"/>
    <x v="68"/>
    <n v="2"/>
    <n v="416.99"/>
    <n v="7.0000000000000007E-2"/>
    <n v="833.98"/>
    <m/>
    <x v="61"/>
    <x v="1"/>
  </r>
  <r>
    <x v="1234"/>
    <x v="0"/>
    <x v="14"/>
    <n v="1"/>
    <n v="3999.99"/>
    <n v="0.1"/>
    <n v="3999.99"/>
    <m/>
    <x v="13"/>
    <x v="1"/>
  </r>
  <r>
    <x v="1235"/>
    <x v="0"/>
    <x v="91"/>
    <n v="1"/>
    <n v="1559.99"/>
    <n v="7.0000000000000007E-2"/>
    <n v="1559.99"/>
    <m/>
    <x v="84"/>
    <x v="1"/>
  </r>
  <r>
    <x v="1235"/>
    <x v="1"/>
    <x v="33"/>
    <n v="2"/>
    <n v="469.99"/>
    <n v="0.05"/>
    <n v="939.98"/>
    <m/>
    <x v="29"/>
    <x v="1"/>
  </r>
  <r>
    <x v="1235"/>
    <x v="2"/>
    <x v="87"/>
    <n v="1"/>
    <n v="349.99"/>
    <n v="0.1"/>
    <n v="349.99"/>
    <m/>
    <x v="80"/>
    <x v="1"/>
  </r>
  <r>
    <x v="1236"/>
    <x v="0"/>
    <x v="19"/>
    <n v="1"/>
    <n v="299.99"/>
    <n v="0.1"/>
    <n v="299.99"/>
    <m/>
    <x v="17"/>
    <x v="0"/>
  </r>
  <r>
    <x v="1236"/>
    <x v="1"/>
    <x v="108"/>
    <n v="2"/>
    <n v="189.99"/>
    <n v="0.1"/>
    <n v="379.98"/>
    <m/>
    <x v="100"/>
    <x v="0"/>
  </r>
  <r>
    <x v="1236"/>
    <x v="2"/>
    <x v="43"/>
    <n v="2"/>
    <n v="299.99"/>
    <n v="0.2"/>
    <n v="599.98"/>
    <m/>
    <x v="31"/>
    <x v="0"/>
  </r>
  <r>
    <x v="1236"/>
    <x v="3"/>
    <x v="66"/>
    <n v="2"/>
    <n v="2699.99"/>
    <n v="7.0000000000000007E-2"/>
    <n v="5399.98"/>
    <m/>
    <x v="59"/>
    <x v="0"/>
  </r>
  <r>
    <x v="1236"/>
    <x v="4"/>
    <x v="22"/>
    <n v="1"/>
    <n v="499.99"/>
    <n v="7.0000000000000007E-2"/>
    <n v="499.99"/>
    <m/>
    <x v="19"/>
    <x v="0"/>
  </r>
  <r>
    <x v="1237"/>
    <x v="0"/>
    <x v="95"/>
    <n v="1"/>
    <n v="4999.99"/>
    <n v="0.1"/>
    <n v="4999.99"/>
    <m/>
    <x v="87"/>
    <x v="1"/>
  </r>
  <r>
    <x v="1237"/>
    <x v="1"/>
    <x v="15"/>
    <n v="1"/>
    <n v="269.99"/>
    <n v="0.1"/>
    <n v="269.99"/>
    <m/>
    <x v="12"/>
    <x v="1"/>
  </r>
  <r>
    <x v="1237"/>
    <x v="2"/>
    <x v="40"/>
    <n v="2"/>
    <n v="299.99"/>
    <n v="0.2"/>
    <n v="599.98"/>
    <m/>
    <x v="35"/>
    <x v="1"/>
  </r>
  <r>
    <x v="1237"/>
    <x v="3"/>
    <x v="70"/>
    <n v="1"/>
    <n v="339.99"/>
    <n v="0.1"/>
    <n v="339.99"/>
    <m/>
    <x v="63"/>
    <x v="1"/>
  </r>
  <r>
    <x v="1238"/>
    <x v="0"/>
    <x v="12"/>
    <n v="2"/>
    <n v="529.99"/>
    <n v="0.2"/>
    <n v="1059.98"/>
    <m/>
    <x v="11"/>
    <x v="1"/>
  </r>
  <r>
    <x v="1238"/>
    <x v="1"/>
    <x v="87"/>
    <n v="1"/>
    <n v="349.99"/>
    <n v="0.1"/>
    <n v="349.99"/>
    <m/>
    <x v="80"/>
    <x v="1"/>
  </r>
  <r>
    <x v="1238"/>
    <x v="2"/>
    <x v="98"/>
    <n v="2"/>
    <n v="469.99"/>
    <n v="0.1"/>
    <n v="939.98"/>
    <m/>
    <x v="90"/>
    <x v="1"/>
  </r>
  <r>
    <x v="1238"/>
    <x v="3"/>
    <x v="107"/>
    <n v="1"/>
    <n v="832.99"/>
    <n v="0.05"/>
    <n v="832.99"/>
    <m/>
    <x v="99"/>
    <x v="1"/>
  </r>
  <r>
    <x v="1239"/>
    <x v="0"/>
    <x v="92"/>
    <n v="2"/>
    <n v="416.99"/>
    <n v="0.1"/>
    <n v="833.98"/>
    <m/>
    <x v="72"/>
    <x v="1"/>
  </r>
  <r>
    <x v="1239"/>
    <x v="1"/>
    <x v="19"/>
    <n v="2"/>
    <n v="299.99"/>
    <n v="0.05"/>
    <n v="599.98"/>
    <m/>
    <x v="17"/>
    <x v="1"/>
  </r>
  <r>
    <x v="1239"/>
    <x v="2"/>
    <x v="12"/>
    <n v="2"/>
    <n v="529.99"/>
    <n v="0.2"/>
    <n v="1059.98"/>
    <m/>
    <x v="11"/>
    <x v="1"/>
  </r>
  <r>
    <x v="1239"/>
    <x v="3"/>
    <x v="104"/>
    <n v="2"/>
    <n v="799.99"/>
    <n v="0.05"/>
    <n v="1599.98"/>
    <m/>
    <x v="96"/>
    <x v="1"/>
  </r>
  <r>
    <x v="1239"/>
    <x v="4"/>
    <x v="94"/>
    <n v="1"/>
    <n v="1999.99"/>
    <n v="0.05"/>
    <n v="1999.99"/>
    <m/>
    <x v="86"/>
    <x v="1"/>
  </r>
  <r>
    <x v="1240"/>
    <x v="0"/>
    <x v="51"/>
    <n v="1"/>
    <n v="439.99"/>
    <n v="0.05"/>
    <n v="439.99"/>
    <m/>
    <x v="44"/>
    <x v="1"/>
  </r>
  <r>
    <x v="1240"/>
    <x v="1"/>
    <x v="68"/>
    <n v="2"/>
    <n v="416.99"/>
    <n v="0.05"/>
    <n v="833.98"/>
    <m/>
    <x v="61"/>
    <x v="1"/>
  </r>
  <r>
    <x v="1241"/>
    <x v="0"/>
    <x v="49"/>
    <n v="1"/>
    <n v="249.99"/>
    <n v="0.05"/>
    <n v="249.99"/>
    <m/>
    <x v="42"/>
    <x v="1"/>
  </r>
  <r>
    <x v="1241"/>
    <x v="1"/>
    <x v="97"/>
    <n v="1"/>
    <n v="999.99"/>
    <n v="7.0000000000000007E-2"/>
    <n v="999.99"/>
    <m/>
    <x v="89"/>
    <x v="1"/>
  </r>
  <r>
    <x v="1241"/>
    <x v="2"/>
    <x v="2"/>
    <n v="1"/>
    <n v="1549"/>
    <n v="7.0000000000000007E-2"/>
    <n v="1549"/>
    <m/>
    <x v="2"/>
    <x v="1"/>
  </r>
  <r>
    <x v="1241"/>
    <x v="3"/>
    <x v="63"/>
    <n v="1"/>
    <n v="659.99"/>
    <n v="0.2"/>
    <n v="659.99"/>
    <m/>
    <x v="56"/>
    <x v="1"/>
  </r>
  <r>
    <x v="1242"/>
    <x v="0"/>
    <x v="99"/>
    <n v="1"/>
    <n v="539.99"/>
    <n v="7.0000000000000007E-2"/>
    <n v="539.99"/>
    <m/>
    <x v="91"/>
    <x v="1"/>
  </r>
  <r>
    <x v="1243"/>
    <x v="0"/>
    <x v="78"/>
    <n v="1"/>
    <n v="869.99"/>
    <n v="0.2"/>
    <n v="869.99"/>
    <m/>
    <x v="71"/>
    <x v="1"/>
  </r>
  <r>
    <x v="1243"/>
    <x v="1"/>
    <x v="83"/>
    <n v="2"/>
    <n v="549.99"/>
    <n v="7.0000000000000007E-2"/>
    <n v="1099.98"/>
    <m/>
    <x v="76"/>
    <x v="1"/>
  </r>
  <r>
    <x v="1243"/>
    <x v="2"/>
    <x v="57"/>
    <n v="1"/>
    <n v="469.99"/>
    <n v="7.0000000000000007E-2"/>
    <n v="469.99"/>
    <m/>
    <x v="50"/>
    <x v="1"/>
  </r>
  <r>
    <x v="1243"/>
    <x v="3"/>
    <x v="88"/>
    <n v="2"/>
    <n v="379.99"/>
    <n v="0.1"/>
    <n v="759.98"/>
    <m/>
    <x v="81"/>
    <x v="1"/>
  </r>
  <r>
    <x v="1244"/>
    <x v="0"/>
    <x v="17"/>
    <n v="1"/>
    <n v="269.99"/>
    <n v="0.1"/>
    <n v="269.99"/>
    <m/>
    <x v="15"/>
    <x v="1"/>
  </r>
  <r>
    <x v="1245"/>
    <x v="0"/>
    <x v="46"/>
    <n v="2"/>
    <n v="647.99"/>
    <n v="0.2"/>
    <n v="1295.98"/>
    <m/>
    <x v="40"/>
    <x v="1"/>
  </r>
  <r>
    <x v="1245"/>
    <x v="1"/>
    <x v="109"/>
    <n v="1"/>
    <n v="1409.99"/>
    <n v="0.05"/>
    <n v="1409.99"/>
    <m/>
    <x v="101"/>
    <x v="1"/>
  </r>
  <r>
    <x v="1245"/>
    <x v="2"/>
    <x v="78"/>
    <n v="2"/>
    <n v="869.99"/>
    <n v="7.0000000000000007E-2"/>
    <n v="1739.98"/>
    <m/>
    <x v="71"/>
    <x v="1"/>
  </r>
  <r>
    <x v="1246"/>
    <x v="0"/>
    <x v="12"/>
    <n v="2"/>
    <n v="529.99"/>
    <n v="0.1"/>
    <n v="1059.98"/>
    <m/>
    <x v="11"/>
    <x v="0"/>
  </r>
  <r>
    <x v="1246"/>
    <x v="1"/>
    <x v="76"/>
    <n v="2"/>
    <n v="2499.9899999999998"/>
    <n v="0.1"/>
    <n v="4999.9799999999996"/>
    <m/>
    <x v="69"/>
    <x v="0"/>
  </r>
  <r>
    <x v="1246"/>
    <x v="2"/>
    <x v="8"/>
    <n v="1"/>
    <n v="599.99"/>
    <n v="0.05"/>
    <n v="599.99"/>
    <m/>
    <x v="3"/>
    <x v="0"/>
  </r>
  <r>
    <x v="1247"/>
    <x v="0"/>
    <x v="49"/>
    <n v="2"/>
    <n v="249.99"/>
    <n v="0.05"/>
    <n v="499.98"/>
    <m/>
    <x v="42"/>
    <x v="0"/>
  </r>
  <r>
    <x v="1247"/>
    <x v="1"/>
    <x v="57"/>
    <n v="2"/>
    <n v="469.99"/>
    <n v="0.1"/>
    <n v="939.98"/>
    <m/>
    <x v="50"/>
    <x v="0"/>
  </r>
  <r>
    <x v="1247"/>
    <x v="2"/>
    <x v="102"/>
    <n v="1"/>
    <n v="209.99"/>
    <n v="0.1"/>
    <n v="209.99"/>
    <m/>
    <x v="94"/>
    <x v="0"/>
  </r>
  <r>
    <x v="1247"/>
    <x v="3"/>
    <x v="10"/>
    <n v="1"/>
    <n v="549.99"/>
    <n v="0.05"/>
    <n v="549.99"/>
    <m/>
    <x v="9"/>
    <x v="0"/>
  </r>
  <r>
    <x v="1248"/>
    <x v="0"/>
    <x v="37"/>
    <n v="1"/>
    <n v="3499.99"/>
    <n v="0.05"/>
    <n v="3499.99"/>
    <m/>
    <x v="33"/>
    <x v="1"/>
  </r>
  <r>
    <x v="1248"/>
    <x v="1"/>
    <x v="77"/>
    <n v="1"/>
    <n v="481.99"/>
    <n v="0.05"/>
    <n v="481.99"/>
    <m/>
    <x v="70"/>
    <x v="1"/>
  </r>
  <r>
    <x v="1248"/>
    <x v="2"/>
    <x v="32"/>
    <n v="1"/>
    <n v="4999.99"/>
    <n v="0.2"/>
    <n v="4999.99"/>
    <m/>
    <x v="28"/>
    <x v="1"/>
  </r>
  <r>
    <x v="1249"/>
    <x v="0"/>
    <x v="46"/>
    <n v="2"/>
    <n v="647.99"/>
    <n v="0.05"/>
    <n v="1295.98"/>
    <m/>
    <x v="40"/>
    <x v="1"/>
  </r>
  <r>
    <x v="1249"/>
    <x v="1"/>
    <x v="82"/>
    <n v="2"/>
    <n v="250.99"/>
    <n v="0.1"/>
    <n v="501.98"/>
    <m/>
    <x v="75"/>
    <x v="1"/>
  </r>
  <r>
    <x v="1249"/>
    <x v="2"/>
    <x v="0"/>
    <n v="2"/>
    <n v="599.99"/>
    <n v="0.05"/>
    <n v="1199.98"/>
    <m/>
    <x v="0"/>
    <x v="1"/>
  </r>
  <r>
    <x v="1249"/>
    <x v="3"/>
    <x v="18"/>
    <n v="2"/>
    <n v="469.99"/>
    <n v="0.1"/>
    <n v="939.98"/>
    <m/>
    <x v="16"/>
    <x v="1"/>
  </r>
  <r>
    <x v="1250"/>
    <x v="0"/>
    <x v="95"/>
    <n v="2"/>
    <n v="4999.99"/>
    <n v="0.1"/>
    <n v="9999.98"/>
    <m/>
    <x v="87"/>
    <x v="2"/>
  </r>
  <r>
    <x v="1250"/>
    <x v="1"/>
    <x v="28"/>
    <n v="1"/>
    <n v="5499.99"/>
    <n v="7.0000000000000007E-2"/>
    <n v="5499.99"/>
    <m/>
    <x v="24"/>
    <x v="2"/>
  </r>
  <r>
    <x v="1250"/>
    <x v="2"/>
    <x v="14"/>
    <n v="1"/>
    <n v="3999.99"/>
    <n v="7.0000000000000007E-2"/>
    <n v="3999.99"/>
    <m/>
    <x v="13"/>
    <x v="2"/>
  </r>
  <r>
    <x v="1251"/>
    <x v="0"/>
    <x v="47"/>
    <n v="1"/>
    <n v="402.99"/>
    <n v="0.2"/>
    <n v="402.99"/>
    <m/>
    <x v="41"/>
    <x v="0"/>
  </r>
  <r>
    <x v="1251"/>
    <x v="1"/>
    <x v="73"/>
    <n v="1"/>
    <n v="109.99"/>
    <n v="0.2"/>
    <n v="109.99"/>
    <m/>
    <x v="66"/>
    <x v="0"/>
  </r>
  <r>
    <x v="1251"/>
    <x v="2"/>
    <x v="94"/>
    <n v="2"/>
    <n v="1999.99"/>
    <n v="0.05"/>
    <n v="3999.98"/>
    <m/>
    <x v="86"/>
    <x v="0"/>
  </r>
  <r>
    <x v="1252"/>
    <x v="0"/>
    <x v="22"/>
    <n v="2"/>
    <n v="499.99"/>
    <n v="0.1"/>
    <n v="999.98"/>
    <m/>
    <x v="19"/>
    <x v="1"/>
  </r>
  <r>
    <x v="1252"/>
    <x v="1"/>
    <x v="20"/>
    <n v="1"/>
    <n v="269.99"/>
    <n v="7.0000000000000007E-2"/>
    <n v="269.99"/>
    <m/>
    <x v="15"/>
    <x v="1"/>
  </r>
  <r>
    <x v="1252"/>
    <x v="2"/>
    <x v="54"/>
    <n v="1"/>
    <n v="189.99"/>
    <n v="0.2"/>
    <n v="189.99"/>
    <m/>
    <x v="47"/>
    <x v="1"/>
  </r>
  <r>
    <x v="1253"/>
    <x v="0"/>
    <x v="53"/>
    <n v="1"/>
    <n v="761.99"/>
    <n v="0.2"/>
    <n v="761.99"/>
    <m/>
    <x v="46"/>
    <x v="1"/>
  </r>
  <r>
    <x v="1253"/>
    <x v="1"/>
    <x v="87"/>
    <n v="1"/>
    <n v="349.99"/>
    <n v="0.2"/>
    <n v="349.99"/>
    <m/>
    <x v="80"/>
    <x v="1"/>
  </r>
  <r>
    <x v="1254"/>
    <x v="0"/>
    <x v="52"/>
    <n v="2"/>
    <n v="5299.99"/>
    <n v="0.2"/>
    <n v="10599.98"/>
    <m/>
    <x v="45"/>
    <x v="1"/>
  </r>
  <r>
    <x v="1254"/>
    <x v="1"/>
    <x v="29"/>
    <n v="1"/>
    <n v="749.99"/>
    <n v="0.05"/>
    <n v="749.99"/>
    <m/>
    <x v="25"/>
    <x v="1"/>
  </r>
  <r>
    <x v="1254"/>
    <x v="2"/>
    <x v="15"/>
    <n v="2"/>
    <n v="269.99"/>
    <n v="0.2"/>
    <n v="539.98"/>
    <m/>
    <x v="12"/>
    <x v="1"/>
  </r>
  <r>
    <x v="1254"/>
    <x v="3"/>
    <x v="8"/>
    <n v="2"/>
    <n v="599.99"/>
    <n v="0.05"/>
    <n v="1199.98"/>
    <m/>
    <x v="3"/>
    <x v="1"/>
  </r>
  <r>
    <x v="1254"/>
    <x v="4"/>
    <x v="90"/>
    <n v="1"/>
    <n v="659.99"/>
    <n v="0.05"/>
    <n v="659.99"/>
    <m/>
    <x v="83"/>
    <x v="1"/>
  </r>
  <r>
    <x v="1255"/>
    <x v="0"/>
    <x v="99"/>
    <n v="2"/>
    <n v="539.99"/>
    <n v="0.2"/>
    <n v="1079.98"/>
    <m/>
    <x v="91"/>
    <x v="1"/>
  </r>
  <r>
    <x v="1255"/>
    <x v="1"/>
    <x v="96"/>
    <n v="1"/>
    <n v="489.99"/>
    <n v="0.1"/>
    <n v="489.99"/>
    <m/>
    <x v="88"/>
    <x v="1"/>
  </r>
  <r>
    <x v="1256"/>
    <x v="0"/>
    <x v="34"/>
    <n v="2"/>
    <n v="999.99"/>
    <n v="0.05"/>
    <n v="1999.98"/>
    <m/>
    <x v="30"/>
    <x v="1"/>
  </r>
  <r>
    <x v="1256"/>
    <x v="1"/>
    <x v="32"/>
    <n v="1"/>
    <n v="4999.99"/>
    <n v="0.05"/>
    <n v="4999.99"/>
    <m/>
    <x v="28"/>
    <x v="1"/>
  </r>
  <r>
    <x v="1256"/>
    <x v="2"/>
    <x v="7"/>
    <n v="2"/>
    <n v="429"/>
    <n v="0.1"/>
    <n v="858"/>
    <m/>
    <x v="7"/>
    <x v="1"/>
  </r>
  <r>
    <x v="1256"/>
    <x v="3"/>
    <x v="67"/>
    <n v="1"/>
    <n v="1469.99"/>
    <n v="0.05"/>
    <n v="1469.99"/>
    <m/>
    <x v="60"/>
    <x v="1"/>
  </r>
  <r>
    <x v="1256"/>
    <x v="4"/>
    <x v="4"/>
    <n v="1"/>
    <n v="2899.99"/>
    <n v="0.1"/>
    <n v="2899.99"/>
    <m/>
    <x v="4"/>
    <x v="1"/>
  </r>
  <r>
    <x v="1257"/>
    <x v="0"/>
    <x v="49"/>
    <n v="2"/>
    <n v="249.99"/>
    <n v="0.1"/>
    <n v="499.98"/>
    <m/>
    <x v="42"/>
    <x v="1"/>
  </r>
  <r>
    <x v="1257"/>
    <x v="1"/>
    <x v="40"/>
    <n v="2"/>
    <n v="299.99"/>
    <n v="0.05"/>
    <n v="599.98"/>
    <m/>
    <x v="35"/>
    <x v="1"/>
  </r>
  <r>
    <x v="1258"/>
    <x v="0"/>
    <x v="91"/>
    <n v="1"/>
    <n v="1559.99"/>
    <n v="0.1"/>
    <n v="1559.99"/>
    <m/>
    <x v="84"/>
    <x v="1"/>
  </r>
  <r>
    <x v="1258"/>
    <x v="1"/>
    <x v="23"/>
    <n v="1"/>
    <n v="449"/>
    <n v="0.2"/>
    <n v="449"/>
    <m/>
    <x v="20"/>
    <x v="1"/>
  </r>
  <r>
    <x v="1259"/>
    <x v="0"/>
    <x v="1"/>
    <n v="1"/>
    <n v="1799.99"/>
    <n v="0.1"/>
    <n v="1799.99"/>
    <m/>
    <x v="1"/>
    <x v="1"/>
  </r>
  <r>
    <x v="1259"/>
    <x v="1"/>
    <x v="82"/>
    <n v="1"/>
    <n v="250.99"/>
    <n v="0.1"/>
    <n v="250.99"/>
    <m/>
    <x v="75"/>
    <x v="1"/>
  </r>
  <r>
    <x v="1260"/>
    <x v="0"/>
    <x v="30"/>
    <n v="1"/>
    <n v="749.99"/>
    <n v="0.2"/>
    <n v="749.99"/>
    <m/>
    <x v="26"/>
    <x v="1"/>
  </r>
  <r>
    <x v="1260"/>
    <x v="1"/>
    <x v="54"/>
    <n v="2"/>
    <n v="189.99"/>
    <n v="0.2"/>
    <n v="379.98"/>
    <m/>
    <x v="47"/>
    <x v="1"/>
  </r>
  <r>
    <x v="1260"/>
    <x v="2"/>
    <x v="96"/>
    <n v="1"/>
    <n v="489.99"/>
    <n v="0.05"/>
    <n v="489.99"/>
    <m/>
    <x v="88"/>
    <x v="1"/>
  </r>
  <r>
    <x v="1260"/>
    <x v="3"/>
    <x v="41"/>
    <n v="1"/>
    <n v="2299.9899999999998"/>
    <n v="0.1"/>
    <n v="2299.9899999999998"/>
    <m/>
    <x v="36"/>
    <x v="1"/>
  </r>
  <r>
    <x v="1261"/>
    <x v="0"/>
    <x v="88"/>
    <n v="1"/>
    <n v="379.99"/>
    <n v="7.0000000000000007E-2"/>
    <n v="379.99"/>
    <m/>
    <x v="81"/>
    <x v="1"/>
  </r>
  <r>
    <x v="1261"/>
    <x v="1"/>
    <x v="58"/>
    <n v="1"/>
    <n v="875.99"/>
    <n v="0.05"/>
    <n v="875.99"/>
    <m/>
    <x v="51"/>
    <x v="1"/>
  </r>
  <r>
    <x v="1261"/>
    <x v="2"/>
    <x v="52"/>
    <n v="2"/>
    <n v="5299.99"/>
    <n v="7.0000000000000007E-2"/>
    <n v="10599.98"/>
    <m/>
    <x v="45"/>
    <x v="1"/>
  </r>
  <r>
    <x v="1261"/>
    <x v="3"/>
    <x v="104"/>
    <n v="1"/>
    <n v="799.99"/>
    <n v="7.0000000000000007E-2"/>
    <n v="799.99"/>
    <m/>
    <x v="96"/>
    <x v="1"/>
  </r>
  <r>
    <x v="1262"/>
    <x v="0"/>
    <x v="78"/>
    <n v="1"/>
    <n v="869.99"/>
    <n v="0.2"/>
    <n v="869.99"/>
    <m/>
    <x v="71"/>
    <x v="1"/>
  </r>
  <r>
    <x v="1262"/>
    <x v="1"/>
    <x v="37"/>
    <n v="1"/>
    <n v="3499.99"/>
    <n v="0.05"/>
    <n v="3499.99"/>
    <m/>
    <x v="33"/>
    <x v="1"/>
  </r>
  <r>
    <x v="1262"/>
    <x v="2"/>
    <x v="23"/>
    <n v="2"/>
    <n v="449"/>
    <n v="0.1"/>
    <n v="898"/>
    <m/>
    <x v="20"/>
    <x v="1"/>
  </r>
  <r>
    <x v="1263"/>
    <x v="0"/>
    <x v="70"/>
    <n v="1"/>
    <n v="339.99"/>
    <n v="7.0000000000000007E-2"/>
    <n v="339.99"/>
    <m/>
    <x v="63"/>
    <x v="1"/>
  </r>
  <r>
    <x v="1263"/>
    <x v="1"/>
    <x v="104"/>
    <n v="2"/>
    <n v="799.99"/>
    <n v="7.0000000000000007E-2"/>
    <n v="1599.98"/>
    <m/>
    <x v="96"/>
    <x v="1"/>
  </r>
  <r>
    <x v="1263"/>
    <x v="2"/>
    <x v="61"/>
    <n v="2"/>
    <n v="999.99"/>
    <n v="0.2"/>
    <n v="1999.98"/>
    <m/>
    <x v="54"/>
    <x v="1"/>
  </r>
  <r>
    <x v="1263"/>
    <x v="3"/>
    <x v="58"/>
    <n v="1"/>
    <n v="875.99"/>
    <n v="0.05"/>
    <n v="875.99"/>
    <m/>
    <x v="51"/>
    <x v="1"/>
  </r>
  <r>
    <x v="1264"/>
    <x v="0"/>
    <x v="67"/>
    <n v="2"/>
    <n v="1469.99"/>
    <n v="0.1"/>
    <n v="2939.98"/>
    <m/>
    <x v="60"/>
    <x v="1"/>
  </r>
  <r>
    <x v="1264"/>
    <x v="1"/>
    <x v="31"/>
    <n v="2"/>
    <n v="619.99"/>
    <n v="7.0000000000000007E-2"/>
    <n v="1239.98"/>
    <m/>
    <x v="27"/>
    <x v="1"/>
  </r>
  <r>
    <x v="1265"/>
    <x v="0"/>
    <x v="45"/>
    <n v="1"/>
    <n v="209.99"/>
    <n v="0.2"/>
    <n v="209.99"/>
    <m/>
    <x v="39"/>
    <x v="1"/>
  </r>
  <r>
    <x v="1265"/>
    <x v="1"/>
    <x v="74"/>
    <n v="1"/>
    <n v="1499.99"/>
    <n v="0.2"/>
    <n v="1499.99"/>
    <m/>
    <x v="67"/>
    <x v="1"/>
  </r>
  <r>
    <x v="1266"/>
    <x v="0"/>
    <x v="78"/>
    <n v="1"/>
    <n v="869.99"/>
    <n v="0.1"/>
    <n v="869.99"/>
    <m/>
    <x v="71"/>
    <x v="1"/>
  </r>
  <r>
    <x v="1266"/>
    <x v="1"/>
    <x v="97"/>
    <n v="1"/>
    <n v="999.99"/>
    <n v="7.0000000000000007E-2"/>
    <n v="999.99"/>
    <m/>
    <x v="89"/>
    <x v="1"/>
  </r>
  <r>
    <x v="1266"/>
    <x v="2"/>
    <x v="75"/>
    <n v="1"/>
    <n v="449.99"/>
    <n v="0.2"/>
    <n v="449.99"/>
    <m/>
    <x v="68"/>
    <x v="1"/>
  </r>
  <r>
    <x v="1266"/>
    <x v="3"/>
    <x v="43"/>
    <n v="1"/>
    <n v="299.99"/>
    <n v="0.05"/>
    <n v="299.99"/>
    <m/>
    <x v="31"/>
    <x v="1"/>
  </r>
  <r>
    <x v="1267"/>
    <x v="0"/>
    <x v="39"/>
    <n v="2"/>
    <n v="449.99"/>
    <n v="7.0000000000000007E-2"/>
    <n v="899.98"/>
    <m/>
    <x v="22"/>
    <x v="0"/>
  </r>
  <r>
    <x v="1267"/>
    <x v="1"/>
    <x v="108"/>
    <n v="2"/>
    <n v="189.99"/>
    <n v="7.0000000000000007E-2"/>
    <n v="379.98"/>
    <m/>
    <x v="100"/>
    <x v="0"/>
  </r>
  <r>
    <x v="1267"/>
    <x v="2"/>
    <x v="64"/>
    <n v="2"/>
    <n v="2599.9899999999998"/>
    <n v="0.2"/>
    <n v="5199.9799999999996"/>
    <m/>
    <x v="57"/>
    <x v="0"/>
  </r>
  <r>
    <x v="1267"/>
    <x v="3"/>
    <x v="96"/>
    <n v="1"/>
    <n v="489.99"/>
    <n v="7.0000000000000007E-2"/>
    <n v="489.99"/>
    <m/>
    <x v="88"/>
    <x v="0"/>
  </r>
  <r>
    <x v="1268"/>
    <x v="0"/>
    <x v="4"/>
    <n v="2"/>
    <n v="2899.99"/>
    <n v="0.2"/>
    <n v="5799.98"/>
    <m/>
    <x v="4"/>
    <x v="1"/>
  </r>
  <r>
    <x v="1268"/>
    <x v="1"/>
    <x v="14"/>
    <n v="1"/>
    <n v="3999.99"/>
    <n v="0.2"/>
    <n v="3999.99"/>
    <m/>
    <x v="13"/>
    <x v="1"/>
  </r>
  <r>
    <x v="1268"/>
    <x v="2"/>
    <x v="103"/>
    <n v="1"/>
    <n v="470.99"/>
    <n v="0.1"/>
    <n v="470.99"/>
    <m/>
    <x v="95"/>
    <x v="1"/>
  </r>
  <r>
    <x v="1269"/>
    <x v="0"/>
    <x v="59"/>
    <n v="1"/>
    <n v="3199.99"/>
    <n v="0.2"/>
    <n v="3199.99"/>
    <m/>
    <x v="52"/>
    <x v="1"/>
  </r>
  <r>
    <x v="1270"/>
    <x v="0"/>
    <x v="22"/>
    <n v="2"/>
    <n v="499.99"/>
    <n v="0.1"/>
    <n v="999.98"/>
    <m/>
    <x v="19"/>
    <x v="1"/>
  </r>
  <r>
    <x v="1270"/>
    <x v="1"/>
    <x v="69"/>
    <n v="2"/>
    <n v="5999.99"/>
    <n v="7.0000000000000007E-2"/>
    <n v="11999.98"/>
    <m/>
    <x v="62"/>
    <x v="1"/>
  </r>
  <r>
    <x v="1270"/>
    <x v="2"/>
    <x v="108"/>
    <n v="2"/>
    <n v="189.99"/>
    <n v="7.0000000000000007E-2"/>
    <n v="379.98"/>
    <m/>
    <x v="100"/>
    <x v="1"/>
  </r>
  <r>
    <x v="1270"/>
    <x v="3"/>
    <x v="33"/>
    <n v="2"/>
    <n v="469.99"/>
    <n v="7.0000000000000007E-2"/>
    <n v="939.98"/>
    <m/>
    <x v="29"/>
    <x v="1"/>
  </r>
  <r>
    <x v="1271"/>
    <x v="0"/>
    <x v="3"/>
    <n v="2"/>
    <n v="599.99"/>
    <n v="0.2"/>
    <n v="1199.98"/>
    <m/>
    <x v="3"/>
    <x v="1"/>
  </r>
  <r>
    <x v="1271"/>
    <x v="1"/>
    <x v="68"/>
    <n v="2"/>
    <n v="416.99"/>
    <n v="0.1"/>
    <n v="833.98"/>
    <m/>
    <x v="61"/>
    <x v="1"/>
  </r>
  <r>
    <x v="1271"/>
    <x v="2"/>
    <x v="106"/>
    <n v="1"/>
    <n v="149.99"/>
    <n v="7.0000000000000007E-2"/>
    <n v="149.99"/>
    <m/>
    <x v="98"/>
    <x v="1"/>
  </r>
  <r>
    <x v="1272"/>
    <x v="0"/>
    <x v="43"/>
    <n v="2"/>
    <n v="299.99"/>
    <n v="7.0000000000000007E-2"/>
    <n v="599.98"/>
    <m/>
    <x v="31"/>
    <x v="1"/>
  </r>
  <r>
    <x v="1272"/>
    <x v="1"/>
    <x v="0"/>
    <n v="1"/>
    <n v="599.99"/>
    <n v="7.0000000000000007E-2"/>
    <n v="599.99"/>
    <m/>
    <x v="0"/>
    <x v="1"/>
  </r>
  <r>
    <x v="1272"/>
    <x v="2"/>
    <x v="71"/>
    <n v="1"/>
    <n v="4999.99"/>
    <n v="0.2"/>
    <n v="4999.99"/>
    <m/>
    <x v="64"/>
    <x v="1"/>
  </r>
  <r>
    <x v="1273"/>
    <x v="0"/>
    <x v="89"/>
    <n v="1"/>
    <n v="1099.99"/>
    <n v="0.1"/>
    <n v="1099.99"/>
    <m/>
    <x v="82"/>
    <x v="1"/>
  </r>
  <r>
    <x v="1274"/>
    <x v="0"/>
    <x v="71"/>
    <n v="1"/>
    <n v="4999.99"/>
    <n v="7.0000000000000007E-2"/>
    <n v="4999.99"/>
    <m/>
    <x v="64"/>
    <x v="0"/>
  </r>
  <r>
    <x v="1274"/>
    <x v="1"/>
    <x v="34"/>
    <n v="1"/>
    <n v="999.99"/>
    <n v="0.1"/>
    <n v="999.99"/>
    <m/>
    <x v="30"/>
    <x v="0"/>
  </r>
  <r>
    <x v="1275"/>
    <x v="0"/>
    <x v="9"/>
    <n v="2"/>
    <n v="449"/>
    <n v="0.2"/>
    <n v="898"/>
    <m/>
    <x v="8"/>
    <x v="1"/>
  </r>
  <r>
    <x v="1275"/>
    <x v="1"/>
    <x v="71"/>
    <n v="1"/>
    <n v="4999.99"/>
    <n v="0.2"/>
    <n v="4999.99"/>
    <m/>
    <x v="64"/>
    <x v="1"/>
  </r>
  <r>
    <x v="1275"/>
    <x v="2"/>
    <x v="41"/>
    <n v="1"/>
    <n v="2299.9899999999998"/>
    <n v="0.05"/>
    <n v="2299.9899999999998"/>
    <m/>
    <x v="36"/>
    <x v="1"/>
  </r>
  <r>
    <x v="1275"/>
    <x v="3"/>
    <x v="24"/>
    <n v="2"/>
    <n v="549.99"/>
    <n v="0.2"/>
    <n v="1099.98"/>
    <m/>
    <x v="9"/>
    <x v="1"/>
  </r>
  <r>
    <x v="1275"/>
    <x v="4"/>
    <x v="46"/>
    <n v="2"/>
    <n v="647.99"/>
    <n v="0.2"/>
    <n v="1295.98"/>
    <m/>
    <x v="40"/>
    <x v="1"/>
  </r>
  <r>
    <x v="1276"/>
    <x v="0"/>
    <x v="28"/>
    <n v="2"/>
    <n v="5499.99"/>
    <n v="0.2"/>
    <n v="10999.98"/>
    <m/>
    <x v="24"/>
    <x v="1"/>
  </r>
  <r>
    <x v="1276"/>
    <x v="1"/>
    <x v="101"/>
    <n v="2"/>
    <n v="209.99"/>
    <n v="0.05"/>
    <n v="419.98"/>
    <m/>
    <x v="93"/>
    <x v="1"/>
  </r>
  <r>
    <x v="1276"/>
    <x v="2"/>
    <x v="11"/>
    <n v="2"/>
    <n v="2999.99"/>
    <n v="0.1"/>
    <n v="5999.98"/>
    <m/>
    <x v="10"/>
    <x v="1"/>
  </r>
  <r>
    <x v="1276"/>
    <x v="3"/>
    <x v="4"/>
    <n v="1"/>
    <n v="2899.99"/>
    <n v="0.1"/>
    <n v="2899.99"/>
    <m/>
    <x v="4"/>
    <x v="1"/>
  </r>
  <r>
    <x v="1276"/>
    <x v="4"/>
    <x v="16"/>
    <n v="1"/>
    <n v="1680.99"/>
    <n v="0.2"/>
    <n v="1680.99"/>
    <m/>
    <x v="14"/>
    <x v="1"/>
  </r>
  <r>
    <x v="1277"/>
    <x v="0"/>
    <x v="27"/>
    <n v="2"/>
    <n v="551.99"/>
    <n v="0.1"/>
    <n v="1103.98"/>
    <m/>
    <x v="23"/>
    <x v="1"/>
  </r>
  <r>
    <x v="1277"/>
    <x v="1"/>
    <x v="33"/>
    <n v="1"/>
    <n v="469.99"/>
    <n v="0.1"/>
    <n v="469.99"/>
    <m/>
    <x v="29"/>
    <x v="1"/>
  </r>
  <r>
    <x v="1278"/>
    <x v="0"/>
    <x v="11"/>
    <n v="2"/>
    <n v="2999.99"/>
    <n v="0.05"/>
    <n v="5999.98"/>
    <m/>
    <x v="10"/>
    <x v="1"/>
  </r>
  <r>
    <x v="1279"/>
    <x v="0"/>
    <x v="31"/>
    <n v="2"/>
    <n v="619.99"/>
    <n v="7.0000000000000007E-2"/>
    <n v="1239.98"/>
    <m/>
    <x v="27"/>
    <x v="2"/>
  </r>
  <r>
    <x v="1279"/>
    <x v="1"/>
    <x v="51"/>
    <n v="1"/>
    <n v="439.99"/>
    <n v="0.05"/>
    <n v="439.99"/>
    <m/>
    <x v="44"/>
    <x v="2"/>
  </r>
  <r>
    <x v="1279"/>
    <x v="2"/>
    <x v="58"/>
    <n v="1"/>
    <n v="875.99"/>
    <n v="7.0000000000000007E-2"/>
    <n v="875.99"/>
    <m/>
    <x v="51"/>
    <x v="2"/>
  </r>
  <r>
    <x v="1279"/>
    <x v="3"/>
    <x v="65"/>
    <n v="1"/>
    <n v="3499.99"/>
    <n v="0.2"/>
    <n v="3499.99"/>
    <m/>
    <x v="58"/>
    <x v="2"/>
  </r>
  <r>
    <x v="1280"/>
    <x v="0"/>
    <x v="107"/>
    <n v="1"/>
    <n v="832.99"/>
    <n v="0.05"/>
    <n v="832.99"/>
    <m/>
    <x v="99"/>
    <x v="1"/>
  </r>
  <r>
    <x v="1280"/>
    <x v="1"/>
    <x v="60"/>
    <n v="2"/>
    <n v="3499.99"/>
    <n v="0.05"/>
    <n v="6999.98"/>
    <m/>
    <x v="53"/>
    <x v="1"/>
  </r>
  <r>
    <x v="1280"/>
    <x v="2"/>
    <x v="85"/>
    <n v="1"/>
    <n v="599.99"/>
    <n v="0.05"/>
    <n v="599.99"/>
    <m/>
    <x v="78"/>
    <x v="1"/>
  </r>
  <r>
    <x v="1281"/>
    <x v="0"/>
    <x v="103"/>
    <n v="1"/>
    <n v="470.99"/>
    <n v="0.05"/>
    <n v="470.99"/>
    <m/>
    <x v="95"/>
    <x v="1"/>
  </r>
  <r>
    <x v="1281"/>
    <x v="1"/>
    <x v="69"/>
    <n v="2"/>
    <n v="5999.99"/>
    <n v="0.2"/>
    <n v="11999.98"/>
    <m/>
    <x v="62"/>
    <x v="1"/>
  </r>
  <r>
    <x v="1282"/>
    <x v="0"/>
    <x v="32"/>
    <n v="2"/>
    <n v="4999.99"/>
    <n v="0.05"/>
    <n v="9999.98"/>
    <m/>
    <x v="28"/>
    <x v="1"/>
  </r>
  <r>
    <x v="1282"/>
    <x v="1"/>
    <x v="89"/>
    <n v="1"/>
    <n v="1099.99"/>
    <n v="0.2"/>
    <n v="1099.99"/>
    <m/>
    <x v="82"/>
    <x v="1"/>
  </r>
  <r>
    <x v="1282"/>
    <x v="2"/>
    <x v="14"/>
    <n v="1"/>
    <n v="3999.99"/>
    <n v="0.1"/>
    <n v="3999.99"/>
    <m/>
    <x v="13"/>
    <x v="1"/>
  </r>
  <r>
    <x v="1282"/>
    <x v="3"/>
    <x v="33"/>
    <n v="1"/>
    <n v="469.99"/>
    <n v="0.1"/>
    <n v="469.99"/>
    <m/>
    <x v="29"/>
    <x v="1"/>
  </r>
  <r>
    <x v="1282"/>
    <x v="4"/>
    <x v="16"/>
    <n v="1"/>
    <n v="1680.99"/>
    <n v="0.2"/>
    <n v="1680.99"/>
    <m/>
    <x v="14"/>
    <x v="1"/>
  </r>
  <r>
    <x v="1283"/>
    <x v="0"/>
    <x v="70"/>
    <n v="1"/>
    <n v="339.99"/>
    <n v="7.0000000000000007E-2"/>
    <n v="339.99"/>
    <m/>
    <x v="63"/>
    <x v="1"/>
  </r>
  <r>
    <x v="1283"/>
    <x v="1"/>
    <x v="1"/>
    <n v="1"/>
    <n v="1799.99"/>
    <n v="0.05"/>
    <n v="1799.99"/>
    <m/>
    <x v="1"/>
    <x v="1"/>
  </r>
  <r>
    <x v="1283"/>
    <x v="2"/>
    <x v="4"/>
    <n v="2"/>
    <n v="2899.99"/>
    <n v="0.05"/>
    <n v="5799.98"/>
    <m/>
    <x v="4"/>
    <x v="1"/>
  </r>
  <r>
    <x v="1284"/>
    <x v="0"/>
    <x v="46"/>
    <n v="2"/>
    <n v="647.99"/>
    <n v="7.0000000000000007E-2"/>
    <n v="1295.98"/>
    <m/>
    <x v="40"/>
    <x v="1"/>
  </r>
  <r>
    <x v="1284"/>
    <x v="1"/>
    <x v="101"/>
    <n v="1"/>
    <n v="209.99"/>
    <n v="0.1"/>
    <n v="209.99"/>
    <m/>
    <x v="93"/>
    <x v="1"/>
  </r>
  <r>
    <x v="1284"/>
    <x v="2"/>
    <x v="79"/>
    <n v="2"/>
    <n v="416.99"/>
    <n v="0.2"/>
    <n v="833.98"/>
    <m/>
    <x v="72"/>
    <x v="1"/>
  </r>
  <r>
    <x v="1284"/>
    <x v="3"/>
    <x v="18"/>
    <n v="1"/>
    <n v="469.99"/>
    <n v="0.1"/>
    <n v="469.99"/>
    <m/>
    <x v="16"/>
    <x v="1"/>
  </r>
  <r>
    <x v="1285"/>
    <x v="0"/>
    <x v="36"/>
    <n v="2"/>
    <n v="416.99"/>
    <n v="0.2"/>
    <n v="833.98"/>
    <m/>
    <x v="32"/>
    <x v="1"/>
  </r>
  <r>
    <x v="1285"/>
    <x v="1"/>
    <x v="89"/>
    <n v="2"/>
    <n v="1099.99"/>
    <n v="7.0000000000000007E-2"/>
    <n v="2199.98"/>
    <m/>
    <x v="82"/>
    <x v="1"/>
  </r>
  <r>
    <x v="1285"/>
    <x v="2"/>
    <x v="108"/>
    <n v="1"/>
    <n v="189.99"/>
    <n v="7.0000000000000007E-2"/>
    <n v="189.99"/>
    <m/>
    <x v="100"/>
    <x v="1"/>
  </r>
  <r>
    <x v="1286"/>
    <x v="0"/>
    <x v="97"/>
    <n v="2"/>
    <n v="999.99"/>
    <n v="0.2"/>
    <n v="1999.98"/>
    <m/>
    <x v="89"/>
    <x v="0"/>
  </r>
  <r>
    <x v="1286"/>
    <x v="1"/>
    <x v="37"/>
    <n v="2"/>
    <n v="3499.99"/>
    <n v="0.1"/>
    <n v="6999.98"/>
    <m/>
    <x v="33"/>
    <x v="0"/>
  </r>
  <r>
    <x v="1286"/>
    <x v="2"/>
    <x v="27"/>
    <n v="1"/>
    <n v="551.99"/>
    <n v="0.1"/>
    <n v="551.99"/>
    <m/>
    <x v="23"/>
    <x v="0"/>
  </r>
  <r>
    <x v="1286"/>
    <x v="3"/>
    <x v="96"/>
    <n v="2"/>
    <n v="489.99"/>
    <n v="0.05"/>
    <n v="979.98"/>
    <m/>
    <x v="88"/>
    <x v="0"/>
  </r>
  <r>
    <x v="1287"/>
    <x v="0"/>
    <x v="30"/>
    <n v="1"/>
    <n v="749.99"/>
    <n v="0.2"/>
    <n v="749.99"/>
    <m/>
    <x v="26"/>
    <x v="2"/>
  </r>
  <r>
    <x v="1287"/>
    <x v="1"/>
    <x v="38"/>
    <n v="2"/>
    <n v="489.99"/>
    <n v="0.2"/>
    <n v="979.98"/>
    <m/>
    <x v="34"/>
    <x v="2"/>
  </r>
  <r>
    <x v="1287"/>
    <x v="2"/>
    <x v="37"/>
    <n v="2"/>
    <n v="3499.99"/>
    <n v="0.1"/>
    <n v="6999.98"/>
    <m/>
    <x v="33"/>
    <x v="2"/>
  </r>
  <r>
    <x v="1287"/>
    <x v="3"/>
    <x v="7"/>
    <n v="2"/>
    <n v="429"/>
    <n v="7.0000000000000007E-2"/>
    <n v="858"/>
    <m/>
    <x v="7"/>
    <x v="2"/>
  </r>
  <r>
    <x v="1288"/>
    <x v="0"/>
    <x v="84"/>
    <n v="1"/>
    <n v="209.99"/>
    <n v="0.05"/>
    <n v="209.99"/>
    <m/>
    <x v="77"/>
    <x v="0"/>
  </r>
  <r>
    <x v="1288"/>
    <x v="1"/>
    <x v="5"/>
    <n v="1"/>
    <n v="999.99"/>
    <n v="0.1"/>
    <n v="999.99"/>
    <m/>
    <x v="5"/>
    <x v="0"/>
  </r>
  <r>
    <x v="1289"/>
    <x v="0"/>
    <x v="85"/>
    <n v="2"/>
    <n v="599.99"/>
    <n v="0.05"/>
    <n v="1199.98"/>
    <m/>
    <x v="78"/>
    <x v="1"/>
  </r>
  <r>
    <x v="1289"/>
    <x v="1"/>
    <x v="107"/>
    <n v="1"/>
    <n v="832.99"/>
    <n v="0.05"/>
    <n v="832.99"/>
    <m/>
    <x v="99"/>
    <x v="1"/>
  </r>
  <r>
    <x v="1289"/>
    <x v="2"/>
    <x v="102"/>
    <n v="2"/>
    <n v="209.99"/>
    <n v="0.1"/>
    <n v="419.98"/>
    <m/>
    <x v="94"/>
    <x v="1"/>
  </r>
  <r>
    <x v="1290"/>
    <x v="0"/>
    <x v="94"/>
    <n v="1"/>
    <n v="1999.99"/>
    <n v="0.1"/>
    <n v="1999.99"/>
    <m/>
    <x v="86"/>
    <x v="1"/>
  </r>
  <r>
    <x v="1290"/>
    <x v="1"/>
    <x v="71"/>
    <n v="2"/>
    <n v="4999.99"/>
    <n v="0.05"/>
    <n v="9999.98"/>
    <m/>
    <x v="64"/>
    <x v="1"/>
  </r>
  <r>
    <x v="1291"/>
    <x v="0"/>
    <x v="63"/>
    <n v="1"/>
    <n v="659.99"/>
    <n v="7.0000000000000007E-2"/>
    <n v="659.99"/>
    <m/>
    <x v="56"/>
    <x v="1"/>
  </r>
  <r>
    <x v="1292"/>
    <x v="0"/>
    <x v="54"/>
    <n v="2"/>
    <n v="189.99"/>
    <n v="0.1"/>
    <n v="379.98"/>
    <m/>
    <x v="47"/>
    <x v="1"/>
  </r>
  <r>
    <x v="1292"/>
    <x v="1"/>
    <x v="51"/>
    <n v="2"/>
    <n v="439.99"/>
    <n v="0.05"/>
    <n v="879.98"/>
    <m/>
    <x v="44"/>
    <x v="1"/>
  </r>
  <r>
    <x v="1292"/>
    <x v="2"/>
    <x v="83"/>
    <n v="2"/>
    <n v="549.99"/>
    <n v="7.0000000000000007E-2"/>
    <n v="1099.98"/>
    <m/>
    <x v="76"/>
    <x v="1"/>
  </r>
  <r>
    <x v="1293"/>
    <x v="0"/>
    <x v="43"/>
    <n v="2"/>
    <n v="299.99"/>
    <n v="0.05"/>
    <n v="599.98"/>
    <m/>
    <x v="31"/>
    <x v="0"/>
  </r>
  <r>
    <x v="1293"/>
    <x v="1"/>
    <x v="99"/>
    <n v="1"/>
    <n v="539.99"/>
    <n v="0.05"/>
    <n v="539.99"/>
    <m/>
    <x v="91"/>
    <x v="0"/>
  </r>
  <r>
    <x v="1294"/>
    <x v="0"/>
    <x v="21"/>
    <n v="2"/>
    <n v="1320.99"/>
    <n v="0.2"/>
    <n v="2641.98"/>
    <m/>
    <x v="18"/>
    <x v="1"/>
  </r>
  <r>
    <x v="1294"/>
    <x v="1"/>
    <x v="32"/>
    <n v="1"/>
    <n v="4999.99"/>
    <n v="0.2"/>
    <n v="4999.99"/>
    <m/>
    <x v="28"/>
    <x v="1"/>
  </r>
  <r>
    <x v="1294"/>
    <x v="2"/>
    <x v="58"/>
    <n v="1"/>
    <n v="875.99"/>
    <n v="0.05"/>
    <n v="875.99"/>
    <m/>
    <x v="51"/>
    <x v="1"/>
  </r>
  <r>
    <x v="1295"/>
    <x v="0"/>
    <x v="22"/>
    <n v="2"/>
    <n v="499.99"/>
    <n v="0.05"/>
    <n v="999.98"/>
    <m/>
    <x v="19"/>
    <x v="0"/>
  </r>
  <r>
    <x v="1295"/>
    <x v="1"/>
    <x v="45"/>
    <n v="1"/>
    <n v="209.99"/>
    <n v="0.1"/>
    <n v="209.99"/>
    <m/>
    <x v="39"/>
    <x v="0"/>
  </r>
  <r>
    <x v="1295"/>
    <x v="2"/>
    <x v="3"/>
    <n v="1"/>
    <n v="599.99"/>
    <n v="0.05"/>
    <n v="599.99"/>
    <m/>
    <x v="3"/>
    <x v="0"/>
  </r>
  <r>
    <x v="1295"/>
    <x v="3"/>
    <x v="6"/>
    <n v="2"/>
    <n v="749.99"/>
    <n v="0.1"/>
    <n v="1499.98"/>
    <m/>
    <x v="6"/>
    <x v="0"/>
  </r>
  <r>
    <x v="1296"/>
    <x v="0"/>
    <x v="77"/>
    <n v="2"/>
    <n v="481.99"/>
    <n v="7.0000000000000007E-2"/>
    <n v="963.98"/>
    <m/>
    <x v="70"/>
    <x v="1"/>
  </r>
  <r>
    <x v="1296"/>
    <x v="1"/>
    <x v="52"/>
    <n v="1"/>
    <n v="5299.99"/>
    <n v="0.05"/>
    <n v="5299.99"/>
    <m/>
    <x v="45"/>
    <x v="1"/>
  </r>
  <r>
    <x v="1296"/>
    <x v="2"/>
    <x v="80"/>
    <n v="2"/>
    <n v="6499.99"/>
    <n v="0.05"/>
    <n v="12999.98"/>
    <m/>
    <x v="73"/>
    <x v="1"/>
  </r>
  <r>
    <x v="1297"/>
    <x v="0"/>
    <x v="64"/>
    <n v="1"/>
    <n v="2599.9899999999998"/>
    <n v="0.05"/>
    <n v="2599.9899999999998"/>
    <m/>
    <x v="57"/>
    <x v="2"/>
  </r>
  <r>
    <x v="1297"/>
    <x v="1"/>
    <x v="55"/>
    <n v="2"/>
    <n v="470.99"/>
    <n v="7.0000000000000007E-2"/>
    <n v="941.98"/>
    <m/>
    <x v="48"/>
    <x v="2"/>
  </r>
  <r>
    <x v="1298"/>
    <x v="0"/>
    <x v="15"/>
    <n v="2"/>
    <n v="269.99"/>
    <n v="0.1"/>
    <n v="539.98"/>
    <m/>
    <x v="12"/>
    <x v="0"/>
  </r>
  <r>
    <x v="1298"/>
    <x v="1"/>
    <x v="70"/>
    <n v="1"/>
    <n v="339.99"/>
    <n v="0.05"/>
    <n v="339.99"/>
    <m/>
    <x v="63"/>
    <x v="0"/>
  </r>
  <r>
    <x v="1298"/>
    <x v="2"/>
    <x v="85"/>
    <n v="1"/>
    <n v="599.99"/>
    <n v="0.05"/>
    <n v="599.99"/>
    <m/>
    <x v="78"/>
    <x v="0"/>
  </r>
  <r>
    <x v="1298"/>
    <x v="3"/>
    <x v="58"/>
    <n v="2"/>
    <n v="875.99"/>
    <n v="0.2"/>
    <n v="1751.98"/>
    <m/>
    <x v="51"/>
    <x v="0"/>
  </r>
  <r>
    <x v="1299"/>
    <x v="0"/>
    <x v="70"/>
    <n v="2"/>
    <n v="339.99"/>
    <n v="7.0000000000000007E-2"/>
    <n v="679.98"/>
    <m/>
    <x v="63"/>
    <x v="1"/>
  </r>
  <r>
    <x v="1299"/>
    <x v="1"/>
    <x v="71"/>
    <n v="2"/>
    <n v="4999.99"/>
    <n v="0.05"/>
    <n v="9999.98"/>
    <m/>
    <x v="64"/>
    <x v="1"/>
  </r>
  <r>
    <x v="1300"/>
    <x v="0"/>
    <x v="78"/>
    <n v="2"/>
    <n v="869.99"/>
    <n v="0.2"/>
    <n v="1739.98"/>
    <m/>
    <x v="71"/>
    <x v="0"/>
  </r>
  <r>
    <x v="1300"/>
    <x v="1"/>
    <x v="86"/>
    <n v="2"/>
    <n v="533.99"/>
    <n v="0.1"/>
    <n v="1067.98"/>
    <m/>
    <x v="79"/>
    <x v="0"/>
  </r>
  <r>
    <x v="1300"/>
    <x v="2"/>
    <x v="1"/>
    <n v="1"/>
    <n v="1799.99"/>
    <n v="0.2"/>
    <n v="1799.99"/>
    <m/>
    <x v="1"/>
    <x v="0"/>
  </r>
  <r>
    <x v="1301"/>
    <x v="0"/>
    <x v="83"/>
    <n v="1"/>
    <n v="549.99"/>
    <n v="0.05"/>
    <n v="549.99"/>
    <m/>
    <x v="76"/>
    <x v="1"/>
  </r>
  <r>
    <x v="1301"/>
    <x v="1"/>
    <x v="0"/>
    <n v="2"/>
    <n v="599.99"/>
    <n v="0.1"/>
    <n v="1199.98"/>
    <m/>
    <x v="0"/>
    <x v="1"/>
  </r>
  <r>
    <x v="1301"/>
    <x v="2"/>
    <x v="28"/>
    <n v="2"/>
    <n v="5499.99"/>
    <n v="7.0000000000000007E-2"/>
    <n v="10999.98"/>
    <m/>
    <x v="24"/>
    <x v="1"/>
  </r>
  <r>
    <x v="1302"/>
    <x v="0"/>
    <x v="81"/>
    <n v="1"/>
    <n v="349.99"/>
    <n v="0.1"/>
    <n v="349.99"/>
    <m/>
    <x v="74"/>
    <x v="1"/>
  </r>
  <r>
    <x v="1302"/>
    <x v="1"/>
    <x v="65"/>
    <n v="2"/>
    <n v="3499.99"/>
    <n v="0.2"/>
    <n v="6999.98"/>
    <m/>
    <x v="58"/>
    <x v="1"/>
  </r>
  <r>
    <x v="1302"/>
    <x v="2"/>
    <x v="75"/>
    <n v="1"/>
    <n v="449.99"/>
    <n v="0.1"/>
    <n v="449.99"/>
    <m/>
    <x v="68"/>
    <x v="1"/>
  </r>
  <r>
    <x v="1302"/>
    <x v="3"/>
    <x v="30"/>
    <n v="1"/>
    <n v="749.99"/>
    <n v="0.1"/>
    <n v="749.99"/>
    <m/>
    <x v="26"/>
    <x v="1"/>
  </r>
  <r>
    <x v="1302"/>
    <x v="4"/>
    <x v="24"/>
    <n v="2"/>
    <n v="549.99"/>
    <n v="0.1"/>
    <n v="1099.98"/>
    <m/>
    <x v="9"/>
    <x v="1"/>
  </r>
  <r>
    <x v="1303"/>
    <x v="0"/>
    <x v="53"/>
    <n v="1"/>
    <n v="761.99"/>
    <n v="0.05"/>
    <n v="761.99"/>
    <m/>
    <x v="46"/>
    <x v="1"/>
  </r>
  <r>
    <x v="1303"/>
    <x v="1"/>
    <x v="40"/>
    <n v="2"/>
    <n v="299.99"/>
    <n v="0.05"/>
    <n v="599.98"/>
    <m/>
    <x v="35"/>
    <x v="1"/>
  </r>
  <r>
    <x v="1303"/>
    <x v="2"/>
    <x v="48"/>
    <n v="1"/>
    <n v="489.99"/>
    <n v="0.2"/>
    <n v="489.99"/>
    <m/>
    <x v="34"/>
    <x v="1"/>
  </r>
  <r>
    <x v="1303"/>
    <x v="3"/>
    <x v="7"/>
    <n v="1"/>
    <n v="429"/>
    <n v="0.05"/>
    <n v="429"/>
    <m/>
    <x v="7"/>
    <x v="1"/>
  </r>
  <r>
    <x v="1304"/>
    <x v="0"/>
    <x v="25"/>
    <n v="1"/>
    <n v="329.99"/>
    <n v="0.2"/>
    <n v="329.99"/>
    <m/>
    <x v="21"/>
    <x v="1"/>
  </r>
  <r>
    <x v="1304"/>
    <x v="1"/>
    <x v="11"/>
    <n v="1"/>
    <n v="2999.99"/>
    <n v="7.0000000000000007E-2"/>
    <n v="2999.99"/>
    <m/>
    <x v="10"/>
    <x v="1"/>
  </r>
  <r>
    <x v="1304"/>
    <x v="2"/>
    <x v="16"/>
    <n v="1"/>
    <n v="1680.99"/>
    <n v="0.05"/>
    <n v="1680.99"/>
    <m/>
    <x v="14"/>
    <x v="1"/>
  </r>
  <r>
    <x v="1304"/>
    <x v="3"/>
    <x v="87"/>
    <n v="2"/>
    <n v="349.99"/>
    <n v="0.05"/>
    <n v="699.98"/>
    <m/>
    <x v="80"/>
    <x v="1"/>
  </r>
  <r>
    <x v="1305"/>
    <x v="0"/>
    <x v="27"/>
    <n v="2"/>
    <n v="551.99"/>
    <n v="0.05"/>
    <n v="1103.98"/>
    <m/>
    <x v="23"/>
    <x v="1"/>
  </r>
  <r>
    <x v="1305"/>
    <x v="1"/>
    <x v="89"/>
    <n v="2"/>
    <n v="1099.99"/>
    <n v="7.0000000000000007E-2"/>
    <n v="2199.98"/>
    <m/>
    <x v="82"/>
    <x v="1"/>
  </r>
  <r>
    <x v="1305"/>
    <x v="2"/>
    <x v="78"/>
    <n v="1"/>
    <n v="869.99"/>
    <n v="0.2"/>
    <n v="869.99"/>
    <m/>
    <x v="71"/>
    <x v="1"/>
  </r>
  <r>
    <x v="1305"/>
    <x v="3"/>
    <x v="41"/>
    <n v="1"/>
    <n v="2299.9899999999998"/>
    <n v="0.2"/>
    <n v="2299.9899999999998"/>
    <m/>
    <x v="36"/>
    <x v="1"/>
  </r>
  <r>
    <x v="1305"/>
    <x v="4"/>
    <x v="11"/>
    <n v="2"/>
    <n v="2999.99"/>
    <n v="7.0000000000000007E-2"/>
    <n v="5999.98"/>
    <m/>
    <x v="10"/>
    <x v="1"/>
  </r>
  <r>
    <x v="1306"/>
    <x v="0"/>
    <x v="81"/>
    <n v="2"/>
    <n v="349.99"/>
    <n v="7.0000000000000007E-2"/>
    <n v="699.98"/>
    <m/>
    <x v="74"/>
    <x v="0"/>
  </r>
  <r>
    <x v="1306"/>
    <x v="1"/>
    <x v="29"/>
    <n v="2"/>
    <n v="749.99"/>
    <n v="0.2"/>
    <n v="1499.98"/>
    <m/>
    <x v="25"/>
    <x v="0"/>
  </r>
  <r>
    <x v="1306"/>
    <x v="2"/>
    <x v="79"/>
    <n v="2"/>
    <n v="416.99"/>
    <n v="0.2"/>
    <n v="833.98"/>
    <m/>
    <x v="72"/>
    <x v="0"/>
  </r>
  <r>
    <x v="1307"/>
    <x v="0"/>
    <x v="59"/>
    <n v="1"/>
    <n v="3199.99"/>
    <n v="0.05"/>
    <n v="3199.99"/>
    <m/>
    <x v="52"/>
    <x v="1"/>
  </r>
  <r>
    <x v="1307"/>
    <x v="1"/>
    <x v="79"/>
    <n v="1"/>
    <n v="416.99"/>
    <n v="0.2"/>
    <n v="416.99"/>
    <m/>
    <x v="72"/>
    <x v="1"/>
  </r>
  <r>
    <x v="1307"/>
    <x v="2"/>
    <x v="15"/>
    <n v="2"/>
    <n v="269.99"/>
    <n v="7.0000000000000007E-2"/>
    <n v="539.98"/>
    <m/>
    <x v="12"/>
    <x v="1"/>
  </r>
  <r>
    <x v="1307"/>
    <x v="3"/>
    <x v="28"/>
    <n v="1"/>
    <n v="5499.99"/>
    <n v="0.2"/>
    <n v="5499.99"/>
    <m/>
    <x v="24"/>
    <x v="1"/>
  </r>
  <r>
    <x v="1307"/>
    <x v="4"/>
    <x v="33"/>
    <n v="1"/>
    <n v="469.99"/>
    <n v="7.0000000000000007E-2"/>
    <n v="469.99"/>
    <m/>
    <x v="29"/>
    <x v="1"/>
  </r>
  <r>
    <x v="1308"/>
    <x v="0"/>
    <x v="105"/>
    <n v="1"/>
    <n v="346.99"/>
    <n v="0.05"/>
    <n v="346.99"/>
    <m/>
    <x v="97"/>
    <x v="1"/>
  </r>
  <r>
    <x v="1308"/>
    <x v="1"/>
    <x v="108"/>
    <n v="2"/>
    <n v="189.99"/>
    <n v="0.2"/>
    <n v="379.98"/>
    <m/>
    <x v="100"/>
    <x v="1"/>
  </r>
  <r>
    <x v="1309"/>
    <x v="0"/>
    <x v="64"/>
    <n v="1"/>
    <n v="2599.9899999999998"/>
    <n v="0.2"/>
    <n v="2599.9899999999998"/>
    <m/>
    <x v="57"/>
    <x v="0"/>
  </r>
  <r>
    <x v="1309"/>
    <x v="1"/>
    <x v="104"/>
    <n v="2"/>
    <n v="799.99"/>
    <n v="0.2"/>
    <n v="1599.98"/>
    <m/>
    <x v="96"/>
    <x v="0"/>
  </r>
  <r>
    <x v="1309"/>
    <x v="2"/>
    <x v="16"/>
    <n v="2"/>
    <n v="1680.99"/>
    <n v="0.1"/>
    <n v="3361.98"/>
    <m/>
    <x v="14"/>
    <x v="0"/>
  </r>
  <r>
    <x v="1309"/>
    <x v="3"/>
    <x v="59"/>
    <n v="1"/>
    <n v="3199.99"/>
    <n v="0.2"/>
    <n v="3199.99"/>
    <m/>
    <x v="52"/>
    <x v="0"/>
  </r>
  <r>
    <x v="1310"/>
    <x v="0"/>
    <x v="79"/>
    <n v="1"/>
    <n v="416.99"/>
    <n v="0.1"/>
    <n v="416.99"/>
    <m/>
    <x v="72"/>
    <x v="1"/>
  </r>
  <r>
    <x v="1310"/>
    <x v="1"/>
    <x v="78"/>
    <n v="2"/>
    <n v="869.99"/>
    <n v="7.0000000000000007E-2"/>
    <n v="1739.98"/>
    <m/>
    <x v="71"/>
    <x v="1"/>
  </r>
  <r>
    <x v="1310"/>
    <x v="2"/>
    <x v="97"/>
    <n v="2"/>
    <n v="999.99"/>
    <n v="0.1"/>
    <n v="1999.98"/>
    <m/>
    <x v="89"/>
    <x v="1"/>
  </r>
  <r>
    <x v="1310"/>
    <x v="3"/>
    <x v="41"/>
    <n v="1"/>
    <n v="2299.9899999999998"/>
    <n v="0.1"/>
    <n v="2299.9899999999998"/>
    <m/>
    <x v="36"/>
    <x v="1"/>
  </r>
  <r>
    <x v="1311"/>
    <x v="0"/>
    <x v="50"/>
    <n v="2"/>
    <n v="250.99"/>
    <n v="0.05"/>
    <n v="501.98"/>
    <m/>
    <x v="43"/>
    <x v="0"/>
  </r>
  <r>
    <x v="1311"/>
    <x v="1"/>
    <x v="15"/>
    <n v="1"/>
    <n v="269.99"/>
    <n v="0.2"/>
    <n v="269.99"/>
    <m/>
    <x v="12"/>
    <x v="0"/>
  </r>
  <r>
    <x v="1311"/>
    <x v="2"/>
    <x v="0"/>
    <n v="1"/>
    <n v="599.99"/>
    <n v="7.0000000000000007E-2"/>
    <n v="599.99"/>
    <m/>
    <x v="0"/>
    <x v="0"/>
  </r>
  <r>
    <x v="1312"/>
    <x v="0"/>
    <x v="85"/>
    <n v="1"/>
    <n v="599.99"/>
    <n v="0.2"/>
    <n v="599.99"/>
    <m/>
    <x v="78"/>
    <x v="0"/>
  </r>
  <r>
    <x v="1312"/>
    <x v="1"/>
    <x v="57"/>
    <n v="1"/>
    <n v="469.99"/>
    <n v="0.2"/>
    <n v="469.99"/>
    <m/>
    <x v="50"/>
    <x v="0"/>
  </r>
  <r>
    <x v="1312"/>
    <x v="2"/>
    <x v="79"/>
    <n v="1"/>
    <n v="416.99"/>
    <n v="7.0000000000000007E-2"/>
    <n v="416.99"/>
    <m/>
    <x v="72"/>
    <x v="0"/>
  </r>
  <r>
    <x v="1313"/>
    <x v="0"/>
    <x v="58"/>
    <n v="1"/>
    <n v="875.99"/>
    <n v="7.0000000000000007E-2"/>
    <n v="875.99"/>
    <m/>
    <x v="51"/>
    <x v="1"/>
  </r>
  <r>
    <x v="1313"/>
    <x v="1"/>
    <x v="31"/>
    <n v="2"/>
    <n v="619.99"/>
    <n v="0.05"/>
    <n v="1239.98"/>
    <m/>
    <x v="27"/>
    <x v="1"/>
  </r>
  <r>
    <x v="1313"/>
    <x v="2"/>
    <x v="49"/>
    <n v="1"/>
    <n v="249.99"/>
    <n v="0.1"/>
    <n v="249.99"/>
    <m/>
    <x v="42"/>
    <x v="1"/>
  </r>
  <r>
    <x v="1314"/>
    <x v="0"/>
    <x v="77"/>
    <n v="2"/>
    <n v="481.99"/>
    <n v="7.0000000000000007E-2"/>
    <n v="963.98"/>
    <m/>
    <x v="70"/>
    <x v="2"/>
  </r>
  <r>
    <x v="1314"/>
    <x v="1"/>
    <x v="67"/>
    <n v="1"/>
    <n v="1469.99"/>
    <n v="0.05"/>
    <n v="1469.99"/>
    <m/>
    <x v="60"/>
    <x v="2"/>
  </r>
  <r>
    <x v="1314"/>
    <x v="2"/>
    <x v="24"/>
    <n v="1"/>
    <n v="549.99"/>
    <n v="0.1"/>
    <n v="549.99"/>
    <m/>
    <x v="9"/>
    <x v="2"/>
  </r>
  <r>
    <x v="1314"/>
    <x v="3"/>
    <x v="8"/>
    <n v="1"/>
    <n v="599.99"/>
    <n v="7.0000000000000007E-2"/>
    <n v="599.99"/>
    <m/>
    <x v="3"/>
    <x v="2"/>
  </r>
  <r>
    <x v="1314"/>
    <x v="4"/>
    <x v="3"/>
    <n v="2"/>
    <n v="599.99"/>
    <n v="0.2"/>
    <n v="1199.98"/>
    <m/>
    <x v="3"/>
    <x v="2"/>
  </r>
  <r>
    <x v="1315"/>
    <x v="0"/>
    <x v="35"/>
    <n v="2"/>
    <n v="299.99"/>
    <n v="0.1"/>
    <n v="599.98"/>
    <m/>
    <x v="31"/>
    <x v="0"/>
  </r>
  <r>
    <x v="1315"/>
    <x v="1"/>
    <x v="45"/>
    <n v="1"/>
    <n v="209.99"/>
    <n v="0.1"/>
    <n v="209.99"/>
    <m/>
    <x v="39"/>
    <x v="0"/>
  </r>
  <r>
    <x v="1316"/>
    <x v="0"/>
    <x v="90"/>
    <n v="1"/>
    <n v="659.99"/>
    <n v="0.1"/>
    <n v="659.99"/>
    <m/>
    <x v="83"/>
    <x v="0"/>
  </r>
  <r>
    <x v="1317"/>
    <x v="0"/>
    <x v="90"/>
    <n v="2"/>
    <n v="659.99"/>
    <n v="0.2"/>
    <n v="1319.98"/>
    <m/>
    <x v="83"/>
    <x v="1"/>
  </r>
  <r>
    <x v="1317"/>
    <x v="1"/>
    <x v="37"/>
    <n v="2"/>
    <n v="3499.99"/>
    <n v="0.2"/>
    <n v="6999.98"/>
    <m/>
    <x v="33"/>
    <x v="1"/>
  </r>
  <r>
    <x v="1317"/>
    <x v="2"/>
    <x v="103"/>
    <n v="1"/>
    <n v="470.99"/>
    <n v="0.2"/>
    <n v="470.99"/>
    <m/>
    <x v="95"/>
    <x v="1"/>
  </r>
  <r>
    <x v="1317"/>
    <x v="3"/>
    <x v="102"/>
    <n v="1"/>
    <n v="209.99"/>
    <n v="7.0000000000000007E-2"/>
    <n v="209.99"/>
    <m/>
    <x v="94"/>
    <x v="1"/>
  </r>
  <r>
    <x v="1318"/>
    <x v="0"/>
    <x v="85"/>
    <n v="1"/>
    <n v="599.99"/>
    <n v="7.0000000000000007E-2"/>
    <n v="599.99"/>
    <m/>
    <x v="78"/>
    <x v="1"/>
  </r>
  <r>
    <x v="1318"/>
    <x v="1"/>
    <x v="87"/>
    <n v="1"/>
    <n v="349.99"/>
    <n v="0.2"/>
    <n v="349.99"/>
    <m/>
    <x v="80"/>
    <x v="1"/>
  </r>
  <r>
    <x v="1319"/>
    <x v="0"/>
    <x v="77"/>
    <n v="1"/>
    <n v="481.99"/>
    <n v="0.1"/>
    <n v="481.99"/>
    <m/>
    <x v="70"/>
    <x v="0"/>
  </r>
  <r>
    <x v="1319"/>
    <x v="1"/>
    <x v="101"/>
    <n v="1"/>
    <n v="209.99"/>
    <n v="0.05"/>
    <n v="209.99"/>
    <m/>
    <x v="93"/>
    <x v="0"/>
  </r>
  <r>
    <x v="1319"/>
    <x v="2"/>
    <x v="40"/>
    <n v="2"/>
    <n v="299.99"/>
    <n v="0.2"/>
    <n v="599.98"/>
    <m/>
    <x v="35"/>
    <x v="0"/>
  </r>
  <r>
    <x v="1320"/>
    <x v="0"/>
    <x v="98"/>
    <n v="1"/>
    <n v="469.99"/>
    <n v="0.1"/>
    <n v="469.99"/>
    <m/>
    <x v="90"/>
    <x v="0"/>
  </r>
  <r>
    <x v="1320"/>
    <x v="1"/>
    <x v="92"/>
    <n v="1"/>
    <n v="416.99"/>
    <n v="0.1"/>
    <n v="416.99"/>
    <m/>
    <x v="72"/>
    <x v="0"/>
  </r>
  <r>
    <x v="1320"/>
    <x v="2"/>
    <x v="16"/>
    <n v="2"/>
    <n v="1680.99"/>
    <n v="0.1"/>
    <n v="3361.98"/>
    <m/>
    <x v="14"/>
    <x v="0"/>
  </r>
  <r>
    <x v="1321"/>
    <x v="0"/>
    <x v="76"/>
    <n v="2"/>
    <n v="2499.9899999999998"/>
    <n v="0.05"/>
    <n v="4999.9799999999996"/>
    <m/>
    <x v="69"/>
    <x v="1"/>
  </r>
  <r>
    <x v="1321"/>
    <x v="1"/>
    <x v="77"/>
    <n v="2"/>
    <n v="481.99"/>
    <n v="0.05"/>
    <n v="963.98"/>
    <m/>
    <x v="70"/>
    <x v="1"/>
  </r>
  <r>
    <x v="1322"/>
    <x v="0"/>
    <x v="97"/>
    <n v="2"/>
    <n v="999.99"/>
    <n v="7.0000000000000007E-2"/>
    <n v="1999.98"/>
    <m/>
    <x v="89"/>
    <x v="1"/>
  </r>
  <r>
    <x v="1322"/>
    <x v="1"/>
    <x v="0"/>
    <n v="1"/>
    <n v="599.99"/>
    <n v="0.05"/>
    <n v="599.99"/>
    <m/>
    <x v="0"/>
    <x v="1"/>
  </r>
  <r>
    <x v="1322"/>
    <x v="2"/>
    <x v="63"/>
    <n v="1"/>
    <n v="659.99"/>
    <n v="0.05"/>
    <n v="659.99"/>
    <m/>
    <x v="56"/>
    <x v="1"/>
  </r>
  <r>
    <x v="1323"/>
    <x v="0"/>
    <x v="82"/>
    <n v="1"/>
    <n v="250.99"/>
    <n v="0.1"/>
    <n v="250.99"/>
    <m/>
    <x v="75"/>
    <x v="1"/>
  </r>
  <r>
    <x v="1323"/>
    <x v="1"/>
    <x v="110"/>
    <n v="2"/>
    <n v="2499.9899999999998"/>
    <n v="0.2"/>
    <n v="4999.9799999999996"/>
    <m/>
    <x v="102"/>
    <x v="1"/>
  </r>
  <r>
    <x v="1323"/>
    <x v="2"/>
    <x v="111"/>
    <n v="1"/>
    <n v="899.99"/>
    <n v="0.1"/>
    <n v="899.99"/>
    <m/>
    <x v="103"/>
    <x v="1"/>
  </r>
  <r>
    <x v="1323"/>
    <x v="3"/>
    <x v="5"/>
    <n v="1"/>
    <n v="999.99"/>
    <n v="0.2"/>
    <n v="999.99"/>
    <m/>
    <x v="5"/>
    <x v="1"/>
  </r>
  <r>
    <x v="1324"/>
    <x v="0"/>
    <x v="112"/>
    <n v="1"/>
    <n v="2999.99"/>
    <n v="0.05"/>
    <n v="2999.99"/>
    <m/>
    <x v="104"/>
    <x v="2"/>
  </r>
  <r>
    <x v="1324"/>
    <x v="1"/>
    <x v="113"/>
    <n v="1"/>
    <n v="899.99"/>
    <n v="0.05"/>
    <n v="899.99"/>
    <m/>
    <x v="105"/>
    <x v="2"/>
  </r>
  <r>
    <x v="1324"/>
    <x v="2"/>
    <x v="114"/>
    <n v="1"/>
    <n v="2999.99"/>
    <n v="0.1"/>
    <n v="2999.99"/>
    <m/>
    <x v="106"/>
    <x v="2"/>
  </r>
  <r>
    <x v="1324"/>
    <x v="3"/>
    <x v="76"/>
    <n v="1"/>
    <n v="2499.9899999999998"/>
    <n v="7.0000000000000007E-2"/>
    <n v="2499.9899999999998"/>
    <m/>
    <x v="69"/>
    <x v="2"/>
  </r>
  <r>
    <x v="1325"/>
    <x v="0"/>
    <x v="115"/>
    <n v="2"/>
    <n v="2799.99"/>
    <n v="7.0000000000000007E-2"/>
    <n v="5599.98"/>
    <m/>
    <x v="107"/>
    <x v="2"/>
  </r>
  <r>
    <x v="1325"/>
    <x v="1"/>
    <x v="116"/>
    <n v="2"/>
    <n v="199.99"/>
    <n v="7.0000000000000007E-2"/>
    <n v="399.98"/>
    <m/>
    <x v="108"/>
    <x v="2"/>
  </r>
  <r>
    <x v="1326"/>
    <x v="0"/>
    <x v="117"/>
    <n v="2"/>
    <n v="1549.99"/>
    <n v="7.0000000000000007E-2"/>
    <n v="3099.98"/>
    <m/>
    <x v="109"/>
    <x v="1"/>
  </r>
  <r>
    <x v="1326"/>
    <x v="1"/>
    <x v="111"/>
    <n v="2"/>
    <n v="899.99"/>
    <n v="0.1"/>
    <n v="1799.98"/>
    <m/>
    <x v="103"/>
    <x v="1"/>
  </r>
  <r>
    <x v="1326"/>
    <x v="2"/>
    <x v="74"/>
    <n v="2"/>
    <n v="1499.99"/>
    <n v="0.1"/>
    <n v="2999.98"/>
    <m/>
    <x v="67"/>
    <x v="1"/>
  </r>
  <r>
    <x v="1326"/>
    <x v="3"/>
    <x v="118"/>
    <n v="1"/>
    <n v="919.99"/>
    <n v="0.2"/>
    <n v="919.99"/>
    <m/>
    <x v="110"/>
    <x v="1"/>
  </r>
  <r>
    <x v="1327"/>
    <x v="0"/>
    <x v="119"/>
    <n v="1"/>
    <n v="749.99"/>
    <n v="7.0000000000000007E-2"/>
    <n v="749.99"/>
    <m/>
    <x v="111"/>
    <x v="1"/>
  </r>
  <r>
    <x v="1327"/>
    <x v="1"/>
    <x v="120"/>
    <n v="2"/>
    <n v="919.99"/>
    <n v="0.1"/>
    <n v="1839.98"/>
    <m/>
    <x v="112"/>
    <x v="1"/>
  </r>
  <r>
    <x v="1327"/>
    <x v="2"/>
    <x v="121"/>
    <n v="1"/>
    <n v="319.99"/>
    <n v="7.0000000000000007E-2"/>
    <n v="319.99"/>
    <m/>
    <x v="113"/>
    <x v="1"/>
  </r>
  <r>
    <x v="1327"/>
    <x v="3"/>
    <x v="122"/>
    <n v="1"/>
    <n v="749.99"/>
    <n v="0.1"/>
    <n v="749.99"/>
    <m/>
    <x v="111"/>
    <x v="1"/>
  </r>
  <r>
    <x v="1327"/>
    <x v="4"/>
    <x v="123"/>
    <n v="1"/>
    <n v="599.99"/>
    <n v="0.1"/>
    <n v="599.99"/>
    <m/>
    <x v="114"/>
    <x v="1"/>
  </r>
  <r>
    <x v="1328"/>
    <x v="0"/>
    <x v="124"/>
    <n v="1"/>
    <n v="1099.99"/>
    <n v="7.0000000000000007E-2"/>
    <n v="1099.99"/>
    <m/>
    <x v="115"/>
    <x v="0"/>
  </r>
  <r>
    <x v="1328"/>
    <x v="1"/>
    <x v="92"/>
    <n v="1"/>
    <n v="416.99"/>
    <n v="0.05"/>
    <n v="416.99"/>
    <m/>
    <x v="72"/>
    <x v="0"/>
  </r>
  <r>
    <x v="1328"/>
    <x v="2"/>
    <x v="66"/>
    <n v="1"/>
    <n v="2699.99"/>
    <n v="7.0000000000000007E-2"/>
    <n v="2699.99"/>
    <m/>
    <x v="59"/>
    <x v="0"/>
  </r>
  <r>
    <x v="1328"/>
    <x v="3"/>
    <x v="125"/>
    <n v="2"/>
    <n v="319.99"/>
    <n v="0.2"/>
    <n v="639.98"/>
    <m/>
    <x v="116"/>
    <x v="0"/>
  </r>
  <r>
    <x v="1328"/>
    <x v="4"/>
    <x v="17"/>
    <n v="1"/>
    <n v="269.99"/>
    <n v="0.1"/>
    <n v="269.99"/>
    <m/>
    <x v="15"/>
    <x v="0"/>
  </r>
  <r>
    <x v="1329"/>
    <x v="0"/>
    <x v="126"/>
    <n v="1"/>
    <n v="479.99"/>
    <n v="0.2"/>
    <n v="479.99"/>
    <m/>
    <x v="117"/>
    <x v="1"/>
  </r>
  <r>
    <x v="1329"/>
    <x v="1"/>
    <x v="127"/>
    <n v="2"/>
    <n v="679.99"/>
    <n v="0.05"/>
    <n v="1359.98"/>
    <m/>
    <x v="118"/>
    <x v="1"/>
  </r>
  <r>
    <x v="1329"/>
    <x v="2"/>
    <x v="128"/>
    <n v="2"/>
    <n v="429.99"/>
    <n v="0.2"/>
    <n v="859.98"/>
    <m/>
    <x v="119"/>
    <x v="1"/>
  </r>
  <r>
    <x v="1329"/>
    <x v="3"/>
    <x v="48"/>
    <n v="2"/>
    <n v="489.99"/>
    <n v="0.05"/>
    <n v="979.98"/>
    <m/>
    <x v="34"/>
    <x v="1"/>
  </r>
  <r>
    <x v="1329"/>
    <x v="4"/>
    <x v="129"/>
    <n v="1"/>
    <n v="279.99"/>
    <n v="0.1"/>
    <n v="279.99"/>
    <m/>
    <x v="120"/>
    <x v="1"/>
  </r>
  <r>
    <x v="1330"/>
    <x v="0"/>
    <x v="130"/>
    <n v="1"/>
    <n v="2599.9899999999998"/>
    <n v="0.05"/>
    <n v="2599.9899999999998"/>
    <m/>
    <x v="121"/>
    <x v="1"/>
  </r>
  <r>
    <x v="1330"/>
    <x v="1"/>
    <x v="131"/>
    <n v="1"/>
    <n v="369.99"/>
    <n v="0.05"/>
    <n v="369.99"/>
    <m/>
    <x v="122"/>
    <x v="1"/>
  </r>
  <r>
    <x v="1330"/>
    <x v="2"/>
    <x v="132"/>
    <n v="2"/>
    <n v="1799.99"/>
    <n v="0.1"/>
    <n v="3599.98"/>
    <m/>
    <x v="123"/>
    <x v="1"/>
  </r>
  <r>
    <x v="1330"/>
    <x v="3"/>
    <x v="133"/>
    <n v="1"/>
    <n v="799.99"/>
    <n v="0.2"/>
    <n v="799.99"/>
    <m/>
    <x v="124"/>
    <x v="1"/>
  </r>
  <r>
    <x v="1331"/>
    <x v="0"/>
    <x v="134"/>
    <n v="1"/>
    <n v="369.99"/>
    <n v="0.2"/>
    <n v="369.99"/>
    <m/>
    <x v="125"/>
    <x v="1"/>
  </r>
  <r>
    <x v="1331"/>
    <x v="1"/>
    <x v="101"/>
    <n v="2"/>
    <n v="209.99"/>
    <n v="0.05"/>
    <n v="419.98"/>
    <m/>
    <x v="93"/>
    <x v="1"/>
  </r>
  <r>
    <x v="1331"/>
    <x v="2"/>
    <x v="135"/>
    <n v="2"/>
    <n v="919.99"/>
    <n v="7.0000000000000007E-2"/>
    <n v="1839.98"/>
    <m/>
    <x v="126"/>
    <x v="1"/>
  </r>
  <r>
    <x v="1331"/>
    <x v="3"/>
    <x v="136"/>
    <n v="1"/>
    <n v="279.99"/>
    <n v="0.1"/>
    <n v="279.99"/>
    <m/>
    <x v="127"/>
    <x v="1"/>
  </r>
  <r>
    <x v="1332"/>
    <x v="0"/>
    <x v="137"/>
    <n v="2"/>
    <n v="4999.99"/>
    <n v="0.05"/>
    <n v="9999.98"/>
    <m/>
    <x v="128"/>
    <x v="2"/>
  </r>
  <r>
    <x v="1332"/>
    <x v="1"/>
    <x v="138"/>
    <n v="2"/>
    <n v="679.99"/>
    <n v="0.1"/>
    <n v="1359.98"/>
    <m/>
    <x v="129"/>
    <x v="2"/>
  </r>
  <r>
    <x v="1332"/>
    <x v="2"/>
    <x v="40"/>
    <n v="2"/>
    <n v="299.99"/>
    <n v="0.1"/>
    <n v="599.98"/>
    <m/>
    <x v="35"/>
    <x v="2"/>
  </r>
  <r>
    <x v="1332"/>
    <x v="3"/>
    <x v="10"/>
    <n v="1"/>
    <n v="549.99"/>
    <n v="0.05"/>
    <n v="549.99"/>
    <m/>
    <x v="9"/>
    <x v="2"/>
  </r>
  <r>
    <x v="1332"/>
    <x v="4"/>
    <x v="46"/>
    <n v="1"/>
    <n v="647.99"/>
    <n v="0.1"/>
    <n v="647.99"/>
    <m/>
    <x v="40"/>
    <x v="2"/>
  </r>
  <r>
    <x v="1333"/>
    <x v="0"/>
    <x v="139"/>
    <n v="2"/>
    <n v="4999.99"/>
    <n v="0.05"/>
    <n v="9999.98"/>
    <m/>
    <x v="130"/>
    <x v="1"/>
  </r>
  <r>
    <x v="1333"/>
    <x v="1"/>
    <x v="140"/>
    <n v="2"/>
    <n v="4499.99"/>
    <n v="7.0000000000000007E-2"/>
    <n v="8999.98"/>
    <m/>
    <x v="131"/>
    <x v="1"/>
  </r>
  <r>
    <x v="1333"/>
    <x v="2"/>
    <x v="73"/>
    <n v="2"/>
    <n v="109.99"/>
    <n v="0.1"/>
    <n v="219.98"/>
    <m/>
    <x v="66"/>
    <x v="1"/>
  </r>
  <r>
    <x v="1333"/>
    <x v="3"/>
    <x v="17"/>
    <n v="1"/>
    <n v="269.99"/>
    <n v="0.05"/>
    <n v="269.99"/>
    <m/>
    <x v="15"/>
    <x v="1"/>
  </r>
  <r>
    <x v="1333"/>
    <x v="4"/>
    <x v="41"/>
    <n v="1"/>
    <n v="2299.9899999999998"/>
    <n v="0.05"/>
    <n v="2299.9899999999998"/>
    <m/>
    <x v="36"/>
    <x v="1"/>
  </r>
  <r>
    <x v="1334"/>
    <x v="0"/>
    <x v="141"/>
    <n v="2"/>
    <n v="2249.9899999999998"/>
    <n v="0.05"/>
    <n v="4499.9799999999996"/>
    <m/>
    <x v="132"/>
    <x v="1"/>
  </r>
  <r>
    <x v="1335"/>
    <x v="0"/>
    <x v="61"/>
    <n v="2"/>
    <n v="999.99"/>
    <n v="0.2"/>
    <n v="1999.98"/>
    <m/>
    <x v="54"/>
    <x v="0"/>
  </r>
  <r>
    <x v="1335"/>
    <x v="1"/>
    <x v="142"/>
    <n v="1"/>
    <n v="6499.99"/>
    <n v="0.05"/>
    <n v="6499.99"/>
    <m/>
    <x v="133"/>
    <x v="0"/>
  </r>
  <r>
    <x v="1335"/>
    <x v="2"/>
    <x v="20"/>
    <n v="2"/>
    <n v="269.99"/>
    <n v="7.0000000000000007E-2"/>
    <n v="539.98"/>
    <m/>
    <x v="15"/>
    <x v="0"/>
  </r>
  <r>
    <x v="1335"/>
    <x v="3"/>
    <x v="143"/>
    <n v="1"/>
    <n v="3999.99"/>
    <n v="0.1"/>
    <n v="3999.99"/>
    <m/>
    <x v="134"/>
    <x v="0"/>
  </r>
  <r>
    <x v="1335"/>
    <x v="4"/>
    <x v="144"/>
    <n v="1"/>
    <n v="2799.99"/>
    <n v="0.1"/>
    <n v="2799.99"/>
    <m/>
    <x v="135"/>
    <x v="0"/>
  </r>
  <r>
    <x v="1336"/>
    <x v="0"/>
    <x v="145"/>
    <n v="1"/>
    <n v="4999.99"/>
    <n v="0.1"/>
    <n v="4999.99"/>
    <m/>
    <x v="136"/>
    <x v="1"/>
  </r>
  <r>
    <x v="1337"/>
    <x v="0"/>
    <x v="146"/>
    <n v="2"/>
    <n v="6499.99"/>
    <n v="7.0000000000000007E-2"/>
    <n v="12999.98"/>
    <m/>
    <x v="137"/>
    <x v="1"/>
  </r>
  <r>
    <x v="1338"/>
    <x v="0"/>
    <x v="147"/>
    <n v="1"/>
    <n v="3199.99"/>
    <n v="7.0000000000000007E-2"/>
    <n v="3199.99"/>
    <m/>
    <x v="138"/>
    <x v="0"/>
  </r>
  <r>
    <x v="1339"/>
    <x v="0"/>
    <x v="130"/>
    <n v="1"/>
    <n v="2599.9899999999998"/>
    <n v="0.2"/>
    <n v="2599.9899999999998"/>
    <m/>
    <x v="121"/>
    <x v="0"/>
  </r>
  <r>
    <x v="1339"/>
    <x v="1"/>
    <x v="102"/>
    <n v="2"/>
    <n v="209.99"/>
    <n v="0.2"/>
    <n v="419.98"/>
    <m/>
    <x v="94"/>
    <x v="0"/>
  </r>
  <r>
    <x v="1339"/>
    <x v="2"/>
    <x v="148"/>
    <n v="2"/>
    <n v="849.99"/>
    <n v="0.05"/>
    <n v="1699.98"/>
    <m/>
    <x v="139"/>
    <x v="0"/>
  </r>
  <r>
    <x v="1340"/>
    <x v="0"/>
    <x v="149"/>
    <n v="2"/>
    <n v="749.99"/>
    <n v="7.0000000000000007E-2"/>
    <n v="1499.98"/>
    <m/>
    <x v="140"/>
    <x v="1"/>
  </r>
  <r>
    <x v="1340"/>
    <x v="1"/>
    <x v="28"/>
    <n v="2"/>
    <n v="5499.99"/>
    <n v="0.2"/>
    <n v="10999.98"/>
    <m/>
    <x v="24"/>
    <x v="1"/>
  </r>
  <r>
    <x v="1340"/>
    <x v="2"/>
    <x v="150"/>
    <n v="2"/>
    <n v="899.99"/>
    <n v="0.05"/>
    <n v="1799.98"/>
    <m/>
    <x v="141"/>
    <x v="1"/>
  </r>
  <r>
    <x v="1340"/>
    <x v="3"/>
    <x v="82"/>
    <n v="2"/>
    <n v="250.99"/>
    <n v="0.05"/>
    <n v="501.98"/>
    <m/>
    <x v="75"/>
    <x v="1"/>
  </r>
  <r>
    <x v="1341"/>
    <x v="0"/>
    <x v="91"/>
    <n v="1"/>
    <n v="1559.99"/>
    <n v="0.05"/>
    <n v="1559.99"/>
    <m/>
    <x v="84"/>
    <x v="1"/>
  </r>
  <r>
    <x v="1341"/>
    <x v="1"/>
    <x v="151"/>
    <n v="1"/>
    <n v="209.99"/>
    <n v="0.05"/>
    <n v="209.99"/>
    <m/>
    <x v="142"/>
    <x v="1"/>
  </r>
  <r>
    <x v="1342"/>
    <x v="0"/>
    <x v="152"/>
    <n v="1"/>
    <n v="559.99"/>
    <n v="0.05"/>
    <n v="559.99"/>
    <m/>
    <x v="143"/>
    <x v="1"/>
  </r>
  <r>
    <x v="1342"/>
    <x v="1"/>
    <x v="40"/>
    <n v="1"/>
    <n v="299.99"/>
    <n v="0.05"/>
    <n v="299.99"/>
    <m/>
    <x v="35"/>
    <x v="1"/>
  </r>
  <r>
    <x v="1342"/>
    <x v="2"/>
    <x v="153"/>
    <n v="2"/>
    <n v="3499.99"/>
    <n v="0.2"/>
    <n v="6999.98"/>
    <m/>
    <x v="144"/>
    <x v="1"/>
  </r>
  <r>
    <x v="1342"/>
    <x v="3"/>
    <x v="105"/>
    <n v="2"/>
    <n v="346.99"/>
    <n v="0.2"/>
    <n v="693.98"/>
    <m/>
    <x v="97"/>
    <x v="1"/>
  </r>
  <r>
    <x v="1342"/>
    <x v="4"/>
    <x v="154"/>
    <n v="1"/>
    <n v="3299.99"/>
    <n v="0.1"/>
    <n v="3299.99"/>
    <m/>
    <x v="145"/>
    <x v="1"/>
  </r>
  <r>
    <x v="1343"/>
    <x v="0"/>
    <x v="104"/>
    <n v="2"/>
    <n v="799.99"/>
    <n v="7.0000000000000007E-2"/>
    <n v="1599.98"/>
    <m/>
    <x v="96"/>
    <x v="1"/>
  </r>
  <r>
    <x v="1343"/>
    <x v="1"/>
    <x v="27"/>
    <n v="2"/>
    <n v="551.99"/>
    <n v="0.2"/>
    <n v="1103.98"/>
    <m/>
    <x v="23"/>
    <x v="1"/>
  </r>
  <r>
    <x v="1343"/>
    <x v="2"/>
    <x v="5"/>
    <n v="1"/>
    <n v="999.99"/>
    <n v="7.0000000000000007E-2"/>
    <n v="999.99"/>
    <m/>
    <x v="5"/>
    <x v="1"/>
  </r>
  <r>
    <x v="1343"/>
    <x v="3"/>
    <x v="32"/>
    <n v="1"/>
    <n v="4999.99"/>
    <n v="7.0000000000000007E-2"/>
    <n v="4999.99"/>
    <m/>
    <x v="28"/>
    <x v="1"/>
  </r>
  <r>
    <x v="1344"/>
    <x v="0"/>
    <x v="95"/>
    <n v="2"/>
    <n v="4999.99"/>
    <n v="0.2"/>
    <n v="9999.98"/>
    <m/>
    <x v="87"/>
    <x v="1"/>
  </r>
  <r>
    <x v="1344"/>
    <x v="1"/>
    <x v="155"/>
    <n v="2"/>
    <n v="3199.99"/>
    <n v="0.05"/>
    <n v="6399.98"/>
    <m/>
    <x v="146"/>
    <x v="1"/>
  </r>
  <r>
    <x v="1344"/>
    <x v="2"/>
    <x v="156"/>
    <n v="2"/>
    <n v="1549"/>
    <n v="0.2"/>
    <n v="3098"/>
    <m/>
    <x v="147"/>
    <x v="1"/>
  </r>
  <r>
    <x v="1344"/>
    <x v="3"/>
    <x v="6"/>
    <n v="2"/>
    <n v="749.99"/>
    <n v="0.2"/>
    <n v="1499.98"/>
    <m/>
    <x v="6"/>
    <x v="1"/>
  </r>
  <r>
    <x v="1345"/>
    <x v="0"/>
    <x v="157"/>
    <n v="2"/>
    <n v="1499.99"/>
    <n v="0.05"/>
    <n v="2999.98"/>
    <m/>
    <x v="148"/>
    <x v="2"/>
  </r>
  <r>
    <x v="1345"/>
    <x v="1"/>
    <x v="158"/>
    <n v="1"/>
    <n v="4499.99"/>
    <n v="0.05"/>
    <n v="4499.99"/>
    <m/>
    <x v="149"/>
    <x v="2"/>
  </r>
  <r>
    <x v="1345"/>
    <x v="2"/>
    <x v="9"/>
    <n v="2"/>
    <n v="449"/>
    <n v="0.05"/>
    <n v="898"/>
    <m/>
    <x v="8"/>
    <x v="2"/>
  </r>
  <r>
    <x v="1345"/>
    <x v="3"/>
    <x v="159"/>
    <n v="1"/>
    <n v="749.99"/>
    <n v="0.1"/>
    <n v="749.99"/>
    <m/>
    <x v="150"/>
    <x v="2"/>
  </r>
  <r>
    <x v="1345"/>
    <x v="4"/>
    <x v="160"/>
    <n v="2"/>
    <n v="89.99"/>
    <n v="0.2"/>
    <n v="179.98"/>
    <m/>
    <x v="151"/>
    <x v="2"/>
  </r>
  <r>
    <x v="1346"/>
    <x v="0"/>
    <x v="52"/>
    <n v="2"/>
    <n v="5299.99"/>
    <n v="7.0000000000000007E-2"/>
    <n v="10599.98"/>
    <m/>
    <x v="45"/>
    <x v="0"/>
  </r>
  <r>
    <x v="1346"/>
    <x v="1"/>
    <x v="29"/>
    <n v="1"/>
    <n v="749.99"/>
    <n v="0.05"/>
    <n v="749.99"/>
    <m/>
    <x v="25"/>
    <x v="0"/>
  </r>
  <r>
    <x v="1347"/>
    <x v="0"/>
    <x v="139"/>
    <n v="1"/>
    <n v="4999.99"/>
    <n v="0.05"/>
    <n v="4999.99"/>
    <m/>
    <x v="130"/>
    <x v="0"/>
  </r>
  <r>
    <x v="1347"/>
    <x v="1"/>
    <x v="161"/>
    <n v="1"/>
    <n v="5499.99"/>
    <n v="0.05"/>
    <n v="5499.99"/>
    <m/>
    <x v="152"/>
    <x v="0"/>
  </r>
  <r>
    <x v="1347"/>
    <x v="2"/>
    <x v="71"/>
    <n v="2"/>
    <n v="4999.99"/>
    <n v="0.1"/>
    <n v="9999.98"/>
    <m/>
    <x v="64"/>
    <x v="0"/>
  </r>
  <r>
    <x v="1347"/>
    <x v="3"/>
    <x v="162"/>
    <n v="1"/>
    <n v="1799.99"/>
    <n v="7.0000000000000007E-2"/>
    <n v="1799.99"/>
    <m/>
    <x v="153"/>
    <x v="0"/>
  </r>
  <r>
    <x v="1348"/>
    <x v="0"/>
    <x v="141"/>
    <n v="2"/>
    <n v="2249.9899999999998"/>
    <n v="0.05"/>
    <n v="4499.9799999999996"/>
    <m/>
    <x v="132"/>
    <x v="1"/>
  </r>
  <r>
    <x v="1348"/>
    <x v="1"/>
    <x v="137"/>
    <n v="2"/>
    <n v="4999.99"/>
    <n v="7.0000000000000007E-2"/>
    <n v="9999.98"/>
    <m/>
    <x v="128"/>
    <x v="1"/>
  </r>
  <r>
    <x v="1348"/>
    <x v="2"/>
    <x v="163"/>
    <n v="2"/>
    <n v="1549"/>
    <n v="0.2"/>
    <n v="3098"/>
    <m/>
    <x v="154"/>
    <x v="1"/>
  </r>
  <r>
    <x v="1348"/>
    <x v="3"/>
    <x v="153"/>
    <n v="1"/>
    <n v="3499.99"/>
    <n v="0.2"/>
    <n v="3499.99"/>
    <m/>
    <x v="144"/>
    <x v="1"/>
  </r>
  <r>
    <x v="1349"/>
    <x v="0"/>
    <x v="164"/>
    <n v="1"/>
    <n v="749.99"/>
    <n v="0.1"/>
    <n v="749.99"/>
    <m/>
    <x v="155"/>
    <x v="1"/>
  </r>
  <r>
    <x v="1349"/>
    <x v="1"/>
    <x v="165"/>
    <n v="1"/>
    <n v="2599.9899999999998"/>
    <n v="7.0000000000000007E-2"/>
    <n v="2599.9899999999998"/>
    <m/>
    <x v="156"/>
    <x v="1"/>
  </r>
  <r>
    <x v="1349"/>
    <x v="2"/>
    <x v="130"/>
    <n v="1"/>
    <n v="2599.9899999999998"/>
    <n v="7.0000000000000007E-2"/>
    <n v="2599.9899999999998"/>
    <m/>
    <x v="121"/>
    <x v="1"/>
  </r>
  <r>
    <x v="1349"/>
    <x v="3"/>
    <x v="166"/>
    <n v="1"/>
    <n v="2299.9899999999998"/>
    <n v="0.05"/>
    <n v="2299.9899999999998"/>
    <m/>
    <x v="157"/>
    <x v="1"/>
  </r>
  <r>
    <x v="1349"/>
    <x v="4"/>
    <x v="17"/>
    <n v="2"/>
    <n v="269.99"/>
    <n v="0.2"/>
    <n v="539.98"/>
    <m/>
    <x v="15"/>
    <x v="1"/>
  </r>
  <r>
    <x v="1350"/>
    <x v="0"/>
    <x v="167"/>
    <n v="2"/>
    <n v="279.99"/>
    <n v="0.2"/>
    <n v="559.98"/>
    <m/>
    <x v="158"/>
    <x v="1"/>
  </r>
  <r>
    <x v="1350"/>
    <x v="1"/>
    <x v="168"/>
    <n v="1"/>
    <n v="1499.99"/>
    <n v="0.1"/>
    <n v="1499.99"/>
    <m/>
    <x v="159"/>
    <x v="1"/>
  </r>
  <r>
    <x v="1351"/>
    <x v="0"/>
    <x v="169"/>
    <n v="1"/>
    <n v="1799.99"/>
    <n v="0.2"/>
    <n v="1799.99"/>
    <m/>
    <x v="160"/>
    <x v="1"/>
  </r>
  <r>
    <x v="1351"/>
    <x v="1"/>
    <x v="58"/>
    <n v="2"/>
    <n v="875.99"/>
    <n v="0.1"/>
    <n v="1751.98"/>
    <m/>
    <x v="51"/>
    <x v="1"/>
  </r>
  <r>
    <x v="1351"/>
    <x v="2"/>
    <x v="129"/>
    <n v="2"/>
    <n v="279.99"/>
    <n v="0.1"/>
    <n v="559.98"/>
    <m/>
    <x v="120"/>
    <x v="1"/>
  </r>
  <r>
    <x v="1351"/>
    <x v="3"/>
    <x v="106"/>
    <n v="2"/>
    <n v="149.99"/>
    <n v="0.2"/>
    <n v="299.98"/>
    <m/>
    <x v="98"/>
    <x v="1"/>
  </r>
  <r>
    <x v="1351"/>
    <x v="4"/>
    <x v="96"/>
    <n v="1"/>
    <n v="489.99"/>
    <n v="0.05"/>
    <n v="489.99"/>
    <m/>
    <x v="88"/>
    <x v="1"/>
  </r>
  <r>
    <x v="1352"/>
    <x v="0"/>
    <x v="92"/>
    <n v="2"/>
    <n v="416.99"/>
    <n v="0.05"/>
    <n v="833.98"/>
    <m/>
    <x v="72"/>
    <x v="1"/>
  </r>
  <r>
    <x v="1352"/>
    <x v="1"/>
    <x v="170"/>
    <n v="1"/>
    <n v="639.99"/>
    <n v="7.0000000000000007E-2"/>
    <n v="639.99"/>
    <m/>
    <x v="161"/>
    <x v="1"/>
  </r>
  <r>
    <x v="1352"/>
    <x v="2"/>
    <x v="133"/>
    <n v="1"/>
    <n v="799.99"/>
    <n v="0.2"/>
    <n v="799.99"/>
    <m/>
    <x v="124"/>
    <x v="1"/>
  </r>
  <r>
    <x v="1352"/>
    <x v="3"/>
    <x v="106"/>
    <n v="2"/>
    <n v="149.99"/>
    <n v="0.05"/>
    <n v="299.98"/>
    <m/>
    <x v="98"/>
    <x v="1"/>
  </r>
  <r>
    <x v="1353"/>
    <x v="0"/>
    <x v="171"/>
    <n v="2"/>
    <n v="749.99"/>
    <n v="7.0000000000000007E-2"/>
    <n v="1499.98"/>
    <m/>
    <x v="162"/>
    <x v="0"/>
  </r>
  <r>
    <x v="1354"/>
    <x v="0"/>
    <x v="167"/>
    <n v="1"/>
    <n v="279.99"/>
    <n v="0.1"/>
    <n v="279.99"/>
    <m/>
    <x v="158"/>
    <x v="1"/>
  </r>
  <r>
    <x v="1354"/>
    <x v="1"/>
    <x v="130"/>
    <n v="1"/>
    <n v="2599.9899999999998"/>
    <n v="7.0000000000000007E-2"/>
    <n v="2599.9899999999998"/>
    <m/>
    <x v="121"/>
    <x v="1"/>
  </r>
  <r>
    <x v="1354"/>
    <x v="2"/>
    <x v="172"/>
    <n v="1"/>
    <n v="7499.99"/>
    <n v="0.2"/>
    <n v="7499.99"/>
    <m/>
    <x v="163"/>
    <x v="1"/>
  </r>
  <r>
    <x v="1354"/>
    <x v="3"/>
    <x v="173"/>
    <n v="2"/>
    <n v="449.99"/>
    <n v="0.1"/>
    <n v="899.98"/>
    <m/>
    <x v="164"/>
    <x v="1"/>
  </r>
  <r>
    <x v="1355"/>
    <x v="0"/>
    <x v="174"/>
    <n v="1"/>
    <n v="2599.9899999999998"/>
    <n v="0.05"/>
    <n v="2599.9899999999998"/>
    <m/>
    <x v="156"/>
    <x v="1"/>
  </r>
  <r>
    <x v="1355"/>
    <x v="1"/>
    <x v="175"/>
    <n v="2"/>
    <n v="2999.99"/>
    <n v="0.1"/>
    <n v="5999.98"/>
    <m/>
    <x v="165"/>
    <x v="1"/>
  </r>
  <r>
    <x v="1355"/>
    <x v="2"/>
    <x v="176"/>
    <n v="2"/>
    <n v="319.99"/>
    <n v="0.1"/>
    <n v="639.98"/>
    <m/>
    <x v="166"/>
    <x v="1"/>
  </r>
  <r>
    <x v="1356"/>
    <x v="0"/>
    <x v="132"/>
    <n v="2"/>
    <n v="1799.99"/>
    <n v="0.2"/>
    <n v="3599.98"/>
    <m/>
    <x v="123"/>
    <x v="1"/>
  </r>
  <r>
    <x v="1356"/>
    <x v="1"/>
    <x v="91"/>
    <n v="1"/>
    <n v="1559.99"/>
    <n v="0.2"/>
    <n v="1559.99"/>
    <m/>
    <x v="84"/>
    <x v="1"/>
  </r>
  <r>
    <x v="1356"/>
    <x v="2"/>
    <x v="177"/>
    <n v="1"/>
    <n v="919.99"/>
    <n v="0.2"/>
    <n v="919.99"/>
    <m/>
    <x v="167"/>
    <x v="1"/>
  </r>
  <r>
    <x v="1357"/>
    <x v="0"/>
    <x v="113"/>
    <n v="2"/>
    <n v="899.99"/>
    <n v="0.2"/>
    <n v="1799.98"/>
    <m/>
    <x v="105"/>
    <x v="0"/>
  </r>
  <r>
    <x v="1358"/>
    <x v="0"/>
    <x v="129"/>
    <n v="1"/>
    <n v="279.99"/>
    <n v="0.05"/>
    <n v="279.99"/>
    <m/>
    <x v="120"/>
    <x v="2"/>
  </r>
  <r>
    <x v="1358"/>
    <x v="1"/>
    <x v="90"/>
    <n v="1"/>
    <n v="659.99"/>
    <n v="0.05"/>
    <n v="659.99"/>
    <m/>
    <x v="83"/>
    <x v="2"/>
  </r>
  <r>
    <x v="1359"/>
    <x v="0"/>
    <x v="93"/>
    <n v="1"/>
    <n v="1632.99"/>
    <n v="0.05"/>
    <n v="1632.99"/>
    <m/>
    <x v="85"/>
    <x v="1"/>
  </r>
  <r>
    <x v="1360"/>
    <x v="0"/>
    <x v="178"/>
    <n v="2"/>
    <n v="749.99"/>
    <n v="7.0000000000000007E-2"/>
    <n v="1499.98"/>
    <m/>
    <x v="168"/>
    <x v="1"/>
  </r>
  <r>
    <x v="1360"/>
    <x v="1"/>
    <x v="145"/>
    <n v="1"/>
    <n v="4999.99"/>
    <n v="0.05"/>
    <n v="4999.99"/>
    <m/>
    <x v="136"/>
    <x v="1"/>
  </r>
  <r>
    <x v="1360"/>
    <x v="2"/>
    <x v="179"/>
    <n v="2"/>
    <n v="1349"/>
    <n v="0.2"/>
    <n v="2698"/>
    <m/>
    <x v="169"/>
    <x v="1"/>
  </r>
  <r>
    <x v="1361"/>
    <x v="0"/>
    <x v="97"/>
    <n v="2"/>
    <n v="999.99"/>
    <n v="0.2"/>
    <n v="1999.98"/>
    <m/>
    <x v="89"/>
    <x v="1"/>
  </r>
  <r>
    <x v="1361"/>
    <x v="1"/>
    <x v="180"/>
    <n v="2"/>
    <n v="3599.99"/>
    <n v="7.0000000000000007E-2"/>
    <n v="7199.98"/>
    <m/>
    <x v="170"/>
    <x v="1"/>
  </r>
  <r>
    <x v="1361"/>
    <x v="2"/>
    <x v="4"/>
    <n v="2"/>
    <n v="2899.99"/>
    <n v="0.2"/>
    <n v="5799.98"/>
    <m/>
    <x v="4"/>
    <x v="1"/>
  </r>
  <r>
    <x v="1362"/>
    <x v="0"/>
    <x v="82"/>
    <n v="2"/>
    <n v="250.99"/>
    <n v="0.1"/>
    <n v="501.98"/>
    <m/>
    <x v="75"/>
    <x v="1"/>
  </r>
  <r>
    <x v="1363"/>
    <x v="0"/>
    <x v="46"/>
    <n v="1"/>
    <n v="647.99"/>
    <n v="7.0000000000000007E-2"/>
    <n v="647.99"/>
    <m/>
    <x v="40"/>
    <x v="1"/>
  </r>
  <r>
    <x v="1363"/>
    <x v="1"/>
    <x v="181"/>
    <n v="2"/>
    <n v="11999.99"/>
    <n v="0.1"/>
    <n v="23999.98"/>
    <m/>
    <x v="171"/>
    <x v="1"/>
  </r>
  <r>
    <x v="1363"/>
    <x v="2"/>
    <x v="182"/>
    <n v="1"/>
    <n v="2499.9899999999998"/>
    <n v="0.1"/>
    <n v="2499.9899999999998"/>
    <m/>
    <x v="172"/>
    <x v="1"/>
  </r>
  <r>
    <x v="1363"/>
    <x v="3"/>
    <x v="55"/>
    <n v="1"/>
    <n v="470.99"/>
    <n v="7.0000000000000007E-2"/>
    <n v="470.99"/>
    <m/>
    <x v="48"/>
    <x v="1"/>
  </r>
  <r>
    <x v="1364"/>
    <x v="0"/>
    <x v="183"/>
    <n v="1"/>
    <n v="1549.99"/>
    <n v="7.0000000000000007E-2"/>
    <n v="1549.99"/>
    <m/>
    <x v="173"/>
    <x v="1"/>
  </r>
  <r>
    <x v="1364"/>
    <x v="1"/>
    <x v="71"/>
    <n v="1"/>
    <n v="4999.99"/>
    <n v="7.0000000000000007E-2"/>
    <n v="4999.99"/>
    <m/>
    <x v="64"/>
    <x v="1"/>
  </r>
  <r>
    <x v="1364"/>
    <x v="2"/>
    <x v="184"/>
    <n v="1"/>
    <n v="749.99"/>
    <n v="0.05"/>
    <n v="749.99"/>
    <m/>
    <x v="174"/>
    <x v="1"/>
  </r>
  <r>
    <x v="1365"/>
    <x v="0"/>
    <x v="185"/>
    <n v="1"/>
    <n v="3199.99"/>
    <n v="0.1"/>
    <n v="3199.99"/>
    <m/>
    <x v="175"/>
    <x v="1"/>
  </r>
  <r>
    <x v="1365"/>
    <x v="1"/>
    <x v="186"/>
    <n v="2"/>
    <n v="1899"/>
    <n v="0.2"/>
    <n v="3798"/>
    <m/>
    <x v="176"/>
    <x v="1"/>
  </r>
  <r>
    <x v="1365"/>
    <x v="2"/>
    <x v="187"/>
    <n v="1"/>
    <n v="3499.99"/>
    <n v="7.0000000000000007E-2"/>
    <n v="3499.99"/>
    <m/>
    <x v="177"/>
    <x v="1"/>
  </r>
  <r>
    <x v="1366"/>
    <x v="0"/>
    <x v="188"/>
    <n v="1"/>
    <n v="1499.99"/>
    <n v="0.1"/>
    <n v="1499.99"/>
    <m/>
    <x v="178"/>
    <x v="0"/>
  </r>
  <r>
    <x v="1366"/>
    <x v="1"/>
    <x v="189"/>
    <n v="2"/>
    <n v="2599"/>
    <n v="0.2"/>
    <n v="5198"/>
    <m/>
    <x v="179"/>
    <x v="0"/>
  </r>
  <r>
    <x v="1366"/>
    <x v="2"/>
    <x v="190"/>
    <n v="1"/>
    <n v="1499"/>
    <n v="7.0000000000000007E-2"/>
    <n v="1499"/>
    <m/>
    <x v="180"/>
    <x v="0"/>
  </r>
  <r>
    <x v="1366"/>
    <x v="3"/>
    <x v="24"/>
    <n v="2"/>
    <n v="549.99"/>
    <n v="0.05"/>
    <n v="1099.98"/>
    <m/>
    <x v="9"/>
    <x v="0"/>
  </r>
  <r>
    <x v="1367"/>
    <x v="0"/>
    <x v="82"/>
    <n v="1"/>
    <n v="250.99"/>
    <n v="0.1"/>
    <n v="250.99"/>
    <m/>
    <x v="75"/>
    <x v="1"/>
  </r>
  <r>
    <x v="1367"/>
    <x v="1"/>
    <x v="191"/>
    <n v="2"/>
    <n v="489.99"/>
    <n v="7.0000000000000007E-2"/>
    <n v="979.98"/>
    <m/>
    <x v="181"/>
    <x v="1"/>
  </r>
  <r>
    <x v="1367"/>
    <x v="2"/>
    <x v="192"/>
    <n v="1"/>
    <n v="4499.99"/>
    <n v="0.2"/>
    <n v="4499.99"/>
    <m/>
    <x v="182"/>
    <x v="1"/>
  </r>
  <r>
    <x v="1368"/>
    <x v="0"/>
    <x v="193"/>
    <n v="2"/>
    <n v="269.99"/>
    <n v="0.05"/>
    <n v="539.98"/>
    <m/>
    <x v="183"/>
    <x v="1"/>
  </r>
  <r>
    <x v="1369"/>
    <x v="0"/>
    <x v="14"/>
    <n v="1"/>
    <n v="3999.99"/>
    <n v="7.0000000000000007E-2"/>
    <n v="3999.99"/>
    <m/>
    <x v="13"/>
    <x v="1"/>
  </r>
  <r>
    <x v="1369"/>
    <x v="1"/>
    <x v="84"/>
    <n v="2"/>
    <n v="209.99"/>
    <n v="0.1"/>
    <n v="419.98"/>
    <m/>
    <x v="77"/>
    <x v="1"/>
  </r>
  <r>
    <x v="1369"/>
    <x v="2"/>
    <x v="194"/>
    <n v="2"/>
    <n v="1799.99"/>
    <n v="0.2"/>
    <n v="3599.98"/>
    <m/>
    <x v="184"/>
    <x v="1"/>
  </r>
  <r>
    <x v="1369"/>
    <x v="3"/>
    <x v="157"/>
    <n v="1"/>
    <n v="1499.99"/>
    <n v="0.1"/>
    <n v="1499.99"/>
    <m/>
    <x v="148"/>
    <x v="1"/>
  </r>
  <r>
    <x v="1370"/>
    <x v="0"/>
    <x v="195"/>
    <n v="2"/>
    <n v="529.99"/>
    <n v="7.0000000000000007E-2"/>
    <n v="1059.98"/>
    <m/>
    <x v="185"/>
    <x v="1"/>
  </r>
  <r>
    <x v="1370"/>
    <x v="1"/>
    <x v="1"/>
    <n v="2"/>
    <n v="1799.99"/>
    <n v="0.2"/>
    <n v="3599.98"/>
    <m/>
    <x v="1"/>
    <x v="1"/>
  </r>
  <r>
    <x v="1371"/>
    <x v="0"/>
    <x v="178"/>
    <n v="1"/>
    <n v="749.99"/>
    <n v="7.0000000000000007E-2"/>
    <n v="749.99"/>
    <m/>
    <x v="168"/>
    <x v="1"/>
  </r>
  <r>
    <x v="1371"/>
    <x v="1"/>
    <x v="125"/>
    <n v="2"/>
    <n v="319.99"/>
    <n v="0.2"/>
    <n v="639.98"/>
    <m/>
    <x v="116"/>
    <x v="1"/>
  </r>
  <r>
    <x v="1372"/>
    <x v="0"/>
    <x v="65"/>
    <n v="1"/>
    <n v="3499.99"/>
    <n v="0.1"/>
    <n v="3499.99"/>
    <m/>
    <x v="58"/>
    <x v="2"/>
  </r>
  <r>
    <x v="1373"/>
    <x v="0"/>
    <x v="196"/>
    <n v="2"/>
    <n v="2199.9899999999998"/>
    <n v="0.05"/>
    <n v="4399.9799999999996"/>
    <m/>
    <x v="186"/>
    <x v="0"/>
  </r>
  <r>
    <x v="1373"/>
    <x v="1"/>
    <x v="177"/>
    <n v="2"/>
    <n v="919.99"/>
    <n v="7.0000000000000007E-2"/>
    <n v="1839.98"/>
    <m/>
    <x v="167"/>
    <x v="0"/>
  </r>
  <r>
    <x v="1374"/>
    <x v="0"/>
    <x v="162"/>
    <n v="2"/>
    <n v="1799.99"/>
    <n v="0.05"/>
    <n v="3599.98"/>
    <m/>
    <x v="153"/>
    <x v="2"/>
  </r>
  <r>
    <x v="1374"/>
    <x v="1"/>
    <x v="197"/>
    <n v="1"/>
    <n v="2499.9899999999998"/>
    <n v="0.2"/>
    <n v="2499.9899999999998"/>
    <m/>
    <x v="187"/>
    <x v="2"/>
  </r>
  <r>
    <x v="1375"/>
    <x v="0"/>
    <x v="21"/>
    <n v="1"/>
    <n v="1320.99"/>
    <n v="7.0000000000000007E-2"/>
    <n v="1320.99"/>
    <m/>
    <x v="18"/>
    <x v="0"/>
  </r>
  <r>
    <x v="1376"/>
    <x v="0"/>
    <x v="145"/>
    <n v="2"/>
    <n v="4999.99"/>
    <n v="0.05"/>
    <n v="9999.98"/>
    <m/>
    <x v="136"/>
    <x v="1"/>
  </r>
  <r>
    <x v="1376"/>
    <x v="1"/>
    <x v="177"/>
    <n v="1"/>
    <n v="919.99"/>
    <n v="0.05"/>
    <n v="919.99"/>
    <m/>
    <x v="167"/>
    <x v="1"/>
  </r>
  <r>
    <x v="1376"/>
    <x v="2"/>
    <x v="74"/>
    <n v="1"/>
    <n v="1499.99"/>
    <n v="7.0000000000000007E-2"/>
    <n v="1499.99"/>
    <m/>
    <x v="67"/>
    <x v="1"/>
  </r>
  <r>
    <x v="1376"/>
    <x v="3"/>
    <x v="198"/>
    <n v="2"/>
    <n v="3499.99"/>
    <n v="7.0000000000000007E-2"/>
    <n v="6999.98"/>
    <m/>
    <x v="188"/>
    <x v="1"/>
  </r>
  <r>
    <x v="1377"/>
    <x v="0"/>
    <x v="81"/>
    <n v="2"/>
    <n v="349.99"/>
    <n v="7.0000000000000007E-2"/>
    <n v="699.98"/>
    <m/>
    <x v="74"/>
    <x v="0"/>
  </r>
  <r>
    <x v="1377"/>
    <x v="1"/>
    <x v="199"/>
    <n v="2"/>
    <n v="3199.99"/>
    <n v="7.0000000000000007E-2"/>
    <n v="6399.98"/>
    <m/>
    <x v="189"/>
    <x v="0"/>
  </r>
  <r>
    <x v="1377"/>
    <x v="2"/>
    <x v="6"/>
    <n v="2"/>
    <n v="749.99"/>
    <n v="0.2"/>
    <n v="1499.98"/>
    <m/>
    <x v="6"/>
    <x v="0"/>
  </r>
  <r>
    <x v="1377"/>
    <x v="3"/>
    <x v="55"/>
    <n v="1"/>
    <n v="470.99"/>
    <n v="7.0000000000000007E-2"/>
    <n v="470.99"/>
    <m/>
    <x v="48"/>
    <x v="0"/>
  </r>
  <r>
    <x v="1377"/>
    <x v="4"/>
    <x v="120"/>
    <n v="2"/>
    <n v="919.99"/>
    <n v="0.2"/>
    <n v="1839.98"/>
    <m/>
    <x v="112"/>
    <x v="0"/>
  </r>
  <r>
    <x v="1378"/>
    <x v="0"/>
    <x v="12"/>
    <n v="1"/>
    <n v="529.99"/>
    <n v="0.1"/>
    <n v="529.99"/>
    <m/>
    <x v="11"/>
    <x v="1"/>
  </r>
  <r>
    <x v="1378"/>
    <x v="1"/>
    <x v="200"/>
    <n v="1"/>
    <n v="999.99"/>
    <n v="0.1"/>
    <n v="999.99"/>
    <m/>
    <x v="190"/>
    <x v="1"/>
  </r>
  <r>
    <x v="1378"/>
    <x v="2"/>
    <x v="160"/>
    <n v="2"/>
    <n v="89.99"/>
    <n v="0.1"/>
    <n v="179.98"/>
    <m/>
    <x v="151"/>
    <x v="1"/>
  </r>
  <r>
    <x v="1379"/>
    <x v="0"/>
    <x v="201"/>
    <n v="2"/>
    <n v="899.99"/>
    <n v="0.1"/>
    <n v="1799.98"/>
    <m/>
    <x v="191"/>
    <x v="0"/>
  </r>
  <r>
    <x v="1379"/>
    <x v="1"/>
    <x v="202"/>
    <n v="2"/>
    <n v="429.99"/>
    <n v="7.0000000000000007E-2"/>
    <n v="859.98"/>
    <m/>
    <x v="192"/>
    <x v="0"/>
  </r>
  <r>
    <x v="1380"/>
    <x v="0"/>
    <x v="203"/>
    <n v="2"/>
    <n v="229.99"/>
    <n v="0.2"/>
    <n v="459.98"/>
    <m/>
    <x v="193"/>
    <x v="1"/>
  </r>
  <r>
    <x v="1380"/>
    <x v="1"/>
    <x v="204"/>
    <n v="2"/>
    <n v="899.99"/>
    <n v="0.1"/>
    <n v="1799.98"/>
    <m/>
    <x v="194"/>
    <x v="1"/>
  </r>
  <r>
    <x v="1381"/>
    <x v="0"/>
    <x v="126"/>
    <n v="1"/>
    <n v="479.99"/>
    <n v="0.2"/>
    <n v="479.99"/>
    <m/>
    <x v="117"/>
    <x v="1"/>
  </r>
  <r>
    <x v="1381"/>
    <x v="1"/>
    <x v="89"/>
    <n v="2"/>
    <n v="1099.99"/>
    <n v="0.05"/>
    <n v="2199.98"/>
    <m/>
    <x v="82"/>
    <x v="1"/>
  </r>
  <r>
    <x v="1381"/>
    <x v="2"/>
    <x v="205"/>
    <n v="1"/>
    <n v="959.99"/>
    <n v="0.1"/>
    <n v="959.99"/>
    <m/>
    <x v="195"/>
    <x v="1"/>
  </r>
  <r>
    <x v="1381"/>
    <x v="3"/>
    <x v="206"/>
    <n v="1"/>
    <n v="1499.99"/>
    <n v="7.0000000000000007E-2"/>
    <n v="1499.99"/>
    <m/>
    <x v="196"/>
    <x v="1"/>
  </r>
  <r>
    <x v="1381"/>
    <x v="4"/>
    <x v="207"/>
    <n v="1"/>
    <n v="749.99"/>
    <n v="0.2"/>
    <n v="749.99"/>
    <m/>
    <x v="168"/>
    <x v="1"/>
  </r>
  <r>
    <x v="1382"/>
    <x v="0"/>
    <x v="198"/>
    <n v="2"/>
    <n v="3499.99"/>
    <n v="0.2"/>
    <n v="6999.98"/>
    <m/>
    <x v="188"/>
    <x v="0"/>
  </r>
  <r>
    <x v="1382"/>
    <x v="1"/>
    <x v="105"/>
    <n v="2"/>
    <n v="346.99"/>
    <n v="0.05"/>
    <n v="693.98"/>
    <m/>
    <x v="97"/>
    <x v="0"/>
  </r>
  <r>
    <x v="1383"/>
    <x v="0"/>
    <x v="33"/>
    <n v="1"/>
    <n v="469.99"/>
    <n v="7.0000000000000007E-2"/>
    <n v="469.99"/>
    <m/>
    <x v="29"/>
    <x v="1"/>
  </r>
  <r>
    <x v="1383"/>
    <x v="1"/>
    <x v="199"/>
    <n v="2"/>
    <n v="3199.99"/>
    <n v="0.1"/>
    <n v="6399.98"/>
    <m/>
    <x v="189"/>
    <x v="1"/>
  </r>
  <r>
    <x v="1383"/>
    <x v="2"/>
    <x v="84"/>
    <n v="1"/>
    <n v="209.99"/>
    <n v="0.1"/>
    <n v="209.99"/>
    <m/>
    <x v="77"/>
    <x v="1"/>
  </r>
  <r>
    <x v="1383"/>
    <x v="3"/>
    <x v="44"/>
    <n v="1"/>
    <n v="349.99"/>
    <n v="0.05"/>
    <n v="349.99"/>
    <m/>
    <x v="38"/>
    <x v="1"/>
  </r>
  <r>
    <x v="1384"/>
    <x v="0"/>
    <x v="24"/>
    <n v="2"/>
    <n v="549.99"/>
    <n v="0.05"/>
    <n v="1099.98"/>
    <m/>
    <x v="9"/>
    <x v="2"/>
  </r>
  <r>
    <x v="1384"/>
    <x v="1"/>
    <x v="132"/>
    <n v="1"/>
    <n v="1799.99"/>
    <n v="7.0000000000000007E-2"/>
    <n v="1799.99"/>
    <m/>
    <x v="123"/>
    <x v="2"/>
  </r>
  <r>
    <x v="1384"/>
    <x v="2"/>
    <x v="62"/>
    <n v="2"/>
    <n v="1499.99"/>
    <n v="0.1"/>
    <n v="2999.98"/>
    <m/>
    <x v="55"/>
    <x v="2"/>
  </r>
  <r>
    <x v="1384"/>
    <x v="3"/>
    <x v="206"/>
    <n v="1"/>
    <n v="1499.99"/>
    <n v="0.05"/>
    <n v="1499.99"/>
    <m/>
    <x v="196"/>
    <x v="2"/>
  </r>
  <r>
    <x v="1385"/>
    <x v="0"/>
    <x v="208"/>
    <n v="1"/>
    <n v="369.99"/>
    <n v="0.2"/>
    <n v="369.99"/>
    <m/>
    <x v="197"/>
    <x v="0"/>
  </r>
  <r>
    <x v="1385"/>
    <x v="1"/>
    <x v="209"/>
    <n v="1"/>
    <n v="249.99"/>
    <n v="0.1"/>
    <n v="249.99"/>
    <m/>
    <x v="198"/>
    <x v="0"/>
  </r>
  <r>
    <x v="1385"/>
    <x v="2"/>
    <x v="210"/>
    <n v="1"/>
    <n v="899.99"/>
    <n v="0.1"/>
    <n v="899.99"/>
    <m/>
    <x v="191"/>
    <x v="0"/>
  </r>
  <r>
    <x v="1385"/>
    <x v="3"/>
    <x v="158"/>
    <n v="1"/>
    <n v="4499.99"/>
    <n v="7.0000000000000007E-2"/>
    <n v="4499.99"/>
    <m/>
    <x v="149"/>
    <x v="0"/>
  </r>
  <r>
    <x v="1386"/>
    <x v="0"/>
    <x v="26"/>
    <n v="1"/>
    <n v="449.99"/>
    <n v="0.1"/>
    <n v="449.99"/>
    <m/>
    <x v="22"/>
    <x v="1"/>
  </r>
  <r>
    <x v="1387"/>
    <x v="0"/>
    <x v="211"/>
    <n v="1"/>
    <n v="2999.99"/>
    <n v="0.1"/>
    <n v="2999.99"/>
    <m/>
    <x v="199"/>
    <x v="1"/>
  </r>
  <r>
    <x v="1388"/>
    <x v="0"/>
    <x v="25"/>
    <n v="2"/>
    <n v="329.99"/>
    <n v="0.1"/>
    <n v="659.98"/>
    <m/>
    <x v="21"/>
    <x v="1"/>
  </r>
  <r>
    <x v="1388"/>
    <x v="1"/>
    <x v="212"/>
    <n v="2"/>
    <n v="3199.99"/>
    <n v="0.05"/>
    <n v="6399.98"/>
    <m/>
    <x v="200"/>
    <x v="1"/>
  </r>
  <r>
    <x v="1388"/>
    <x v="2"/>
    <x v="213"/>
    <n v="1"/>
    <n v="319.99"/>
    <n v="7.0000000000000007E-2"/>
    <n v="319.99"/>
    <m/>
    <x v="201"/>
    <x v="1"/>
  </r>
  <r>
    <x v="1389"/>
    <x v="0"/>
    <x v="67"/>
    <n v="2"/>
    <n v="1469.99"/>
    <n v="0.05"/>
    <n v="2939.98"/>
    <m/>
    <x v="60"/>
    <x v="1"/>
  </r>
  <r>
    <x v="1389"/>
    <x v="1"/>
    <x v="97"/>
    <n v="2"/>
    <n v="999.99"/>
    <n v="0.05"/>
    <n v="1999.98"/>
    <m/>
    <x v="89"/>
    <x v="1"/>
  </r>
  <r>
    <x v="1389"/>
    <x v="2"/>
    <x v="210"/>
    <n v="1"/>
    <n v="899.99"/>
    <n v="0.1"/>
    <n v="899.99"/>
    <m/>
    <x v="191"/>
    <x v="1"/>
  </r>
  <r>
    <x v="1389"/>
    <x v="3"/>
    <x v="77"/>
    <n v="1"/>
    <n v="481.99"/>
    <n v="0.05"/>
    <n v="481.99"/>
    <m/>
    <x v="70"/>
    <x v="1"/>
  </r>
  <r>
    <x v="1389"/>
    <x v="4"/>
    <x v="162"/>
    <n v="2"/>
    <n v="1799.99"/>
    <n v="0.1"/>
    <n v="3599.98"/>
    <m/>
    <x v="153"/>
    <x v="1"/>
  </r>
  <r>
    <x v="1390"/>
    <x v="0"/>
    <x v="195"/>
    <n v="2"/>
    <n v="529.99"/>
    <n v="7.0000000000000007E-2"/>
    <n v="1059.98"/>
    <m/>
    <x v="185"/>
    <x v="1"/>
  </r>
  <r>
    <x v="1390"/>
    <x v="1"/>
    <x v="214"/>
    <n v="2"/>
    <n v="319.99"/>
    <n v="0.2"/>
    <n v="639.98"/>
    <m/>
    <x v="202"/>
    <x v="1"/>
  </r>
  <r>
    <x v="1390"/>
    <x v="2"/>
    <x v="215"/>
    <n v="1"/>
    <n v="369.99"/>
    <n v="0.2"/>
    <n v="369.99"/>
    <m/>
    <x v="203"/>
    <x v="1"/>
  </r>
  <r>
    <x v="1391"/>
    <x v="0"/>
    <x v="108"/>
    <n v="2"/>
    <n v="189.99"/>
    <n v="0.2"/>
    <n v="379.98"/>
    <m/>
    <x v="100"/>
    <x v="1"/>
  </r>
  <r>
    <x v="1391"/>
    <x v="1"/>
    <x v="216"/>
    <n v="2"/>
    <n v="899.99"/>
    <n v="0.05"/>
    <n v="1799.98"/>
    <m/>
    <x v="204"/>
    <x v="1"/>
  </r>
  <r>
    <x v="1392"/>
    <x v="0"/>
    <x v="102"/>
    <n v="1"/>
    <n v="209.99"/>
    <n v="7.0000000000000007E-2"/>
    <n v="209.99"/>
    <m/>
    <x v="94"/>
    <x v="1"/>
  </r>
  <r>
    <x v="1392"/>
    <x v="1"/>
    <x v="90"/>
    <n v="1"/>
    <n v="659.99"/>
    <n v="7.0000000000000007E-2"/>
    <n v="659.99"/>
    <m/>
    <x v="83"/>
    <x v="1"/>
  </r>
  <r>
    <x v="1392"/>
    <x v="2"/>
    <x v="42"/>
    <n v="2"/>
    <n v="5299.99"/>
    <n v="0.05"/>
    <n v="10599.98"/>
    <m/>
    <x v="37"/>
    <x v="1"/>
  </r>
  <r>
    <x v="1392"/>
    <x v="3"/>
    <x v="217"/>
    <n v="2"/>
    <n v="159.99"/>
    <n v="0.05"/>
    <n v="319.98"/>
    <m/>
    <x v="205"/>
    <x v="1"/>
  </r>
  <r>
    <x v="1393"/>
    <x v="0"/>
    <x v="218"/>
    <n v="2"/>
    <n v="2499.9899999999998"/>
    <n v="0.05"/>
    <n v="4999.9799999999996"/>
    <m/>
    <x v="206"/>
    <x v="2"/>
  </r>
  <r>
    <x v="1394"/>
    <x v="0"/>
    <x v="180"/>
    <n v="1"/>
    <n v="3599.99"/>
    <n v="0.2"/>
    <n v="3599.99"/>
    <m/>
    <x v="170"/>
    <x v="0"/>
  </r>
  <r>
    <x v="1394"/>
    <x v="1"/>
    <x v="74"/>
    <n v="2"/>
    <n v="1499.99"/>
    <n v="0.1"/>
    <n v="2999.98"/>
    <m/>
    <x v="67"/>
    <x v="0"/>
  </r>
  <r>
    <x v="1394"/>
    <x v="2"/>
    <x v="118"/>
    <n v="2"/>
    <n v="919.99"/>
    <n v="0.2"/>
    <n v="1839.98"/>
    <m/>
    <x v="110"/>
    <x v="0"/>
  </r>
  <r>
    <x v="1394"/>
    <x v="3"/>
    <x v="219"/>
    <n v="1"/>
    <n v="679.99"/>
    <n v="0.1"/>
    <n v="679.99"/>
    <m/>
    <x v="129"/>
    <x v="0"/>
  </r>
  <r>
    <x v="1395"/>
    <x v="0"/>
    <x v="94"/>
    <n v="1"/>
    <n v="1999.99"/>
    <n v="0.05"/>
    <n v="1999.99"/>
    <m/>
    <x v="86"/>
    <x v="1"/>
  </r>
  <r>
    <x v="1395"/>
    <x v="1"/>
    <x v="196"/>
    <n v="1"/>
    <n v="2199.9899999999998"/>
    <n v="0.2"/>
    <n v="2199.9899999999998"/>
    <m/>
    <x v="186"/>
    <x v="1"/>
  </r>
  <r>
    <x v="1396"/>
    <x v="0"/>
    <x v="220"/>
    <n v="2"/>
    <n v="469.99"/>
    <n v="0.1"/>
    <n v="939.98"/>
    <m/>
    <x v="207"/>
    <x v="1"/>
  </r>
  <r>
    <x v="1396"/>
    <x v="1"/>
    <x v="112"/>
    <n v="1"/>
    <n v="2999.99"/>
    <n v="7.0000000000000007E-2"/>
    <n v="2999.99"/>
    <m/>
    <x v="104"/>
    <x v="1"/>
  </r>
  <r>
    <x v="1396"/>
    <x v="2"/>
    <x v="14"/>
    <n v="1"/>
    <n v="3999.99"/>
    <n v="0.05"/>
    <n v="3999.99"/>
    <m/>
    <x v="13"/>
    <x v="1"/>
  </r>
  <r>
    <x v="1396"/>
    <x v="3"/>
    <x v="159"/>
    <n v="1"/>
    <n v="749.99"/>
    <n v="0.05"/>
    <n v="749.99"/>
    <m/>
    <x v="150"/>
    <x v="1"/>
  </r>
  <r>
    <x v="1396"/>
    <x v="4"/>
    <x v="46"/>
    <n v="2"/>
    <n v="647.99"/>
    <n v="0.1"/>
    <n v="1295.98"/>
    <m/>
    <x v="40"/>
    <x v="1"/>
  </r>
  <r>
    <x v="1397"/>
    <x v="0"/>
    <x v="79"/>
    <n v="2"/>
    <n v="416.99"/>
    <n v="0.05"/>
    <n v="833.98"/>
    <m/>
    <x v="72"/>
    <x v="0"/>
  </r>
  <r>
    <x v="1397"/>
    <x v="1"/>
    <x v="29"/>
    <n v="1"/>
    <n v="749.99"/>
    <n v="0.2"/>
    <n v="749.99"/>
    <m/>
    <x v="25"/>
    <x v="0"/>
  </r>
  <r>
    <x v="1398"/>
    <x v="0"/>
    <x v="221"/>
    <n v="2"/>
    <n v="1549"/>
    <n v="0.2"/>
    <n v="3098"/>
    <m/>
    <x v="154"/>
    <x v="1"/>
  </r>
  <r>
    <x v="1398"/>
    <x v="1"/>
    <x v="222"/>
    <n v="1"/>
    <n v="479.99"/>
    <n v="0.05"/>
    <n v="479.99"/>
    <m/>
    <x v="208"/>
    <x v="1"/>
  </r>
  <r>
    <x v="1398"/>
    <x v="2"/>
    <x v="220"/>
    <n v="2"/>
    <n v="469.99"/>
    <n v="7.0000000000000007E-2"/>
    <n v="939.98"/>
    <m/>
    <x v="207"/>
    <x v="1"/>
  </r>
  <r>
    <x v="1398"/>
    <x v="3"/>
    <x v="76"/>
    <n v="1"/>
    <n v="2499.9899999999998"/>
    <n v="0.05"/>
    <n v="2499.9899999999998"/>
    <m/>
    <x v="69"/>
    <x v="1"/>
  </r>
  <r>
    <x v="1399"/>
    <x v="0"/>
    <x v="24"/>
    <n v="2"/>
    <n v="549.99"/>
    <n v="0.2"/>
    <n v="1099.98"/>
    <m/>
    <x v="9"/>
    <x v="1"/>
  </r>
  <r>
    <x v="1399"/>
    <x v="1"/>
    <x v="223"/>
    <n v="2"/>
    <n v="909.99"/>
    <n v="0.2"/>
    <n v="1819.98"/>
    <m/>
    <x v="209"/>
    <x v="1"/>
  </r>
  <r>
    <x v="1399"/>
    <x v="2"/>
    <x v="224"/>
    <n v="1"/>
    <n v="229.99"/>
    <n v="0.1"/>
    <n v="229.99"/>
    <m/>
    <x v="210"/>
    <x v="1"/>
  </r>
  <r>
    <x v="1399"/>
    <x v="3"/>
    <x v="45"/>
    <n v="1"/>
    <n v="209.99"/>
    <n v="7.0000000000000007E-2"/>
    <n v="209.99"/>
    <m/>
    <x v="39"/>
    <x v="1"/>
  </r>
  <r>
    <x v="1400"/>
    <x v="0"/>
    <x v="225"/>
    <n v="1"/>
    <n v="379.99"/>
    <n v="7.0000000000000007E-2"/>
    <n v="379.99"/>
    <m/>
    <x v="211"/>
    <x v="1"/>
  </r>
  <r>
    <x v="1400"/>
    <x v="1"/>
    <x v="128"/>
    <n v="1"/>
    <n v="429.99"/>
    <n v="0.05"/>
    <n v="429.99"/>
    <m/>
    <x v="119"/>
    <x v="1"/>
  </r>
  <r>
    <x v="1400"/>
    <x v="2"/>
    <x v="226"/>
    <n v="2"/>
    <n v="749.99"/>
    <n v="0.2"/>
    <n v="1499.98"/>
    <m/>
    <x v="155"/>
    <x v="1"/>
  </r>
  <r>
    <x v="1401"/>
    <x v="0"/>
    <x v="227"/>
    <n v="2"/>
    <n v="2799.99"/>
    <n v="0.2"/>
    <n v="5599.98"/>
    <m/>
    <x v="212"/>
    <x v="1"/>
  </r>
  <r>
    <x v="1401"/>
    <x v="1"/>
    <x v="76"/>
    <n v="2"/>
    <n v="2499.9899999999998"/>
    <n v="0.05"/>
    <n v="4999.9799999999996"/>
    <m/>
    <x v="69"/>
    <x v="1"/>
  </r>
  <r>
    <x v="1401"/>
    <x v="2"/>
    <x v="139"/>
    <n v="1"/>
    <n v="4999.99"/>
    <n v="0.05"/>
    <n v="4999.99"/>
    <m/>
    <x v="130"/>
    <x v="1"/>
  </r>
  <r>
    <x v="1401"/>
    <x v="3"/>
    <x v="228"/>
    <n v="1"/>
    <n v="289.99"/>
    <n v="7.0000000000000007E-2"/>
    <n v="289.99"/>
    <m/>
    <x v="213"/>
    <x v="1"/>
  </r>
  <r>
    <x v="1402"/>
    <x v="0"/>
    <x v="101"/>
    <n v="2"/>
    <n v="209.99"/>
    <n v="0.1"/>
    <n v="419.98"/>
    <m/>
    <x v="93"/>
    <x v="1"/>
  </r>
  <r>
    <x v="1403"/>
    <x v="0"/>
    <x v="225"/>
    <n v="2"/>
    <n v="379.99"/>
    <n v="0.05"/>
    <n v="759.98"/>
    <m/>
    <x v="211"/>
    <x v="0"/>
  </r>
  <r>
    <x v="1403"/>
    <x v="1"/>
    <x v="229"/>
    <n v="1"/>
    <n v="269.99"/>
    <n v="0.1"/>
    <n v="269.99"/>
    <m/>
    <x v="214"/>
    <x v="0"/>
  </r>
  <r>
    <x v="1403"/>
    <x v="2"/>
    <x v="230"/>
    <n v="2"/>
    <n v="2799.99"/>
    <n v="0.2"/>
    <n v="5599.98"/>
    <m/>
    <x v="215"/>
    <x v="0"/>
  </r>
  <r>
    <x v="1404"/>
    <x v="0"/>
    <x v="231"/>
    <n v="2"/>
    <n v="2999.99"/>
    <n v="0.1"/>
    <n v="5999.98"/>
    <m/>
    <x v="216"/>
    <x v="1"/>
  </r>
  <r>
    <x v="1405"/>
    <x v="0"/>
    <x v="128"/>
    <n v="2"/>
    <n v="429.99"/>
    <n v="0.05"/>
    <n v="859.98"/>
    <m/>
    <x v="119"/>
    <x v="1"/>
  </r>
  <r>
    <x v="1405"/>
    <x v="1"/>
    <x v="191"/>
    <n v="1"/>
    <n v="489.99"/>
    <n v="0.1"/>
    <n v="489.99"/>
    <m/>
    <x v="181"/>
    <x v="1"/>
  </r>
  <r>
    <x v="1406"/>
    <x v="0"/>
    <x v="133"/>
    <n v="1"/>
    <n v="799.99"/>
    <n v="0.05"/>
    <n v="799.99"/>
    <m/>
    <x v="124"/>
    <x v="1"/>
  </r>
  <r>
    <x v="1406"/>
    <x v="1"/>
    <x v="107"/>
    <n v="2"/>
    <n v="832.99"/>
    <n v="0.1"/>
    <n v="1665.98"/>
    <m/>
    <x v="99"/>
    <x v="1"/>
  </r>
  <r>
    <x v="1406"/>
    <x v="2"/>
    <x v="232"/>
    <n v="1"/>
    <n v="399.99"/>
    <n v="0.1"/>
    <n v="399.99"/>
    <m/>
    <x v="217"/>
    <x v="1"/>
  </r>
  <r>
    <x v="1406"/>
    <x v="3"/>
    <x v="100"/>
    <n v="1"/>
    <n v="832.99"/>
    <n v="0.2"/>
    <n v="832.99"/>
    <m/>
    <x v="92"/>
    <x v="1"/>
  </r>
  <r>
    <x v="1407"/>
    <x v="0"/>
    <x v="19"/>
    <n v="2"/>
    <n v="299.99"/>
    <n v="0.2"/>
    <n v="599.98"/>
    <m/>
    <x v="17"/>
    <x v="1"/>
  </r>
  <r>
    <x v="1407"/>
    <x v="1"/>
    <x v="171"/>
    <n v="1"/>
    <n v="749.99"/>
    <n v="0.2"/>
    <n v="749.99"/>
    <m/>
    <x v="162"/>
    <x v="1"/>
  </r>
  <r>
    <x v="1407"/>
    <x v="2"/>
    <x v="233"/>
    <n v="1"/>
    <n v="579.99"/>
    <n v="7.0000000000000007E-2"/>
    <n v="579.99"/>
    <m/>
    <x v="218"/>
    <x v="1"/>
  </r>
  <r>
    <x v="1407"/>
    <x v="3"/>
    <x v="234"/>
    <n v="2"/>
    <n v="2599"/>
    <n v="0.2"/>
    <n v="5198"/>
    <m/>
    <x v="219"/>
    <x v="1"/>
  </r>
  <r>
    <x v="1408"/>
    <x v="0"/>
    <x v="235"/>
    <n v="2"/>
    <n v="899.99"/>
    <n v="7.0000000000000007E-2"/>
    <n v="1799.98"/>
    <m/>
    <x v="220"/>
    <x v="2"/>
  </r>
  <r>
    <x v="1408"/>
    <x v="1"/>
    <x v="236"/>
    <n v="1"/>
    <n v="1299.99"/>
    <n v="7.0000000000000007E-2"/>
    <n v="1299.99"/>
    <m/>
    <x v="221"/>
    <x v="2"/>
  </r>
  <r>
    <x v="1408"/>
    <x v="2"/>
    <x v="212"/>
    <n v="2"/>
    <n v="3199.99"/>
    <n v="0.05"/>
    <n v="6399.98"/>
    <m/>
    <x v="200"/>
    <x v="2"/>
  </r>
  <r>
    <x v="1408"/>
    <x v="3"/>
    <x v="237"/>
    <n v="1"/>
    <n v="289.99"/>
    <n v="0.05"/>
    <n v="289.99"/>
    <m/>
    <x v="222"/>
    <x v="2"/>
  </r>
  <r>
    <x v="1408"/>
    <x v="4"/>
    <x v="238"/>
    <n v="1"/>
    <n v="269.99"/>
    <n v="0.1"/>
    <n v="269.99"/>
    <m/>
    <x v="223"/>
    <x v="2"/>
  </r>
  <r>
    <x v="1409"/>
    <x v="0"/>
    <x v="137"/>
    <n v="2"/>
    <n v="4999.99"/>
    <n v="0.1"/>
    <n v="9999.98"/>
    <m/>
    <x v="128"/>
    <x v="1"/>
  </r>
  <r>
    <x v="1409"/>
    <x v="1"/>
    <x v="139"/>
    <n v="2"/>
    <n v="4999.99"/>
    <n v="0.2"/>
    <n v="9999.98"/>
    <m/>
    <x v="130"/>
    <x v="1"/>
  </r>
  <r>
    <x v="1409"/>
    <x v="2"/>
    <x v="138"/>
    <n v="1"/>
    <n v="679.99"/>
    <n v="0.1"/>
    <n v="679.99"/>
    <m/>
    <x v="129"/>
    <x v="1"/>
  </r>
  <r>
    <x v="1410"/>
    <x v="0"/>
    <x v="11"/>
    <n v="1"/>
    <n v="2999.99"/>
    <n v="0.1"/>
    <n v="2999.99"/>
    <m/>
    <x v="10"/>
    <x v="0"/>
  </r>
  <r>
    <x v="1410"/>
    <x v="1"/>
    <x v="239"/>
    <n v="2"/>
    <n v="749.99"/>
    <n v="0.2"/>
    <n v="1499.98"/>
    <m/>
    <x v="224"/>
    <x v="0"/>
  </r>
  <r>
    <x v="1411"/>
    <x v="0"/>
    <x v="118"/>
    <n v="2"/>
    <n v="919.99"/>
    <n v="7.0000000000000007E-2"/>
    <n v="1839.98"/>
    <m/>
    <x v="110"/>
    <x v="1"/>
  </r>
  <r>
    <x v="1411"/>
    <x v="1"/>
    <x v="52"/>
    <n v="1"/>
    <n v="5299.99"/>
    <n v="0.1"/>
    <n v="5299.99"/>
    <m/>
    <x v="45"/>
    <x v="1"/>
  </r>
  <r>
    <x v="1411"/>
    <x v="2"/>
    <x v="36"/>
    <n v="2"/>
    <n v="416.99"/>
    <n v="7.0000000000000007E-2"/>
    <n v="833.98"/>
    <m/>
    <x v="32"/>
    <x v="1"/>
  </r>
  <r>
    <x v="1412"/>
    <x v="0"/>
    <x v="167"/>
    <n v="2"/>
    <n v="279.99"/>
    <n v="0.05"/>
    <n v="559.98"/>
    <m/>
    <x v="158"/>
    <x v="2"/>
  </r>
  <r>
    <x v="1413"/>
    <x v="0"/>
    <x v="231"/>
    <n v="2"/>
    <n v="2999.99"/>
    <n v="0.1"/>
    <n v="5999.98"/>
    <m/>
    <x v="216"/>
    <x v="1"/>
  </r>
  <r>
    <x v="1413"/>
    <x v="1"/>
    <x v="208"/>
    <n v="2"/>
    <n v="369.99"/>
    <n v="0.05"/>
    <n v="739.98"/>
    <m/>
    <x v="197"/>
    <x v="1"/>
  </r>
  <r>
    <x v="1414"/>
    <x v="0"/>
    <x v="93"/>
    <n v="2"/>
    <n v="1632.99"/>
    <n v="7.0000000000000007E-2"/>
    <n v="3265.98"/>
    <m/>
    <x v="85"/>
    <x v="1"/>
  </r>
  <r>
    <x v="1414"/>
    <x v="1"/>
    <x v="7"/>
    <n v="1"/>
    <n v="429"/>
    <n v="0.05"/>
    <n v="429"/>
    <m/>
    <x v="7"/>
    <x v="1"/>
  </r>
  <r>
    <x v="1414"/>
    <x v="2"/>
    <x v="240"/>
    <n v="2"/>
    <n v="249.99"/>
    <n v="0.1"/>
    <n v="499.98"/>
    <m/>
    <x v="225"/>
    <x v="1"/>
  </r>
  <r>
    <x v="1414"/>
    <x v="3"/>
    <x v="241"/>
    <n v="1"/>
    <n v="659.99"/>
    <n v="0.05"/>
    <n v="659.99"/>
    <m/>
    <x v="226"/>
    <x v="1"/>
  </r>
  <r>
    <x v="1415"/>
    <x v="0"/>
    <x v="242"/>
    <n v="1"/>
    <n v="3499.99"/>
    <n v="0.2"/>
    <n v="3499.99"/>
    <m/>
    <x v="227"/>
    <x v="2"/>
  </r>
  <r>
    <x v="1415"/>
    <x v="1"/>
    <x v="243"/>
    <n v="2"/>
    <n v="699.99"/>
    <n v="0.1"/>
    <n v="1399.98"/>
    <m/>
    <x v="228"/>
    <x v="2"/>
  </r>
  <r>
    <x v="1415"/>
    <x v="2"/>
    <x v="102"/>
    <n v="2"/>
    <n v="209.99"/>
    <n v="0.05"/>
    <n v="419.98"/>
    <m/>
    <x v="94"/>
    <x v="2"/>
  </r>
  <r>
    <x v="1416"/>
    <x v="0"/>
    <x v="244"/>
    <n v="2"/>
    <n v="639.99"/>
    <n v="0.2"/>
    <n v="1279.98"/>
    <m/>
    <x v="229"/>
    <x v="0"/>
  </r>
  <r>
    <x v="1417"/>
    <x v="0"/>
    <x v="110"/>
    <n v="2"/>
    <n v="2499.9899999999998"/>
    <n v="0.2"/>
    <n v="4999.9799999999996"/>
    <m/>
    <x v="102"/>
    <x v="1"/>
  </r>
  <r>
    <x v="1417"/>
    <x v="1"/>
    <x v="127"/>
    <n v="2"/>
    <n v="679.99"/>
    <n v="0.05"/>
    <n v="1359.98"/>
    <m/>
    <x v="118"/>
    <x v="1"/>
  </r>
  <r>
    <x v="1418"/>
    <x v="0"/>
    <x v="190"/>
    <n v="1"/>
    <n v="1499"/>
    <n v="7.0000000000000007E-2"/>
    <n v="1499"/>
    <m/>
    <x v="180"/>
    <x v="1"/>
  </r>
  <r>
    <x v="1418"/>
    <x v="1"/>
    <x v="111"/>
    <n v="2"/>
    <n v="899.99"/>
    <n v="0.2"/>
    <n v="1799.98"/>
    <m/>
    <x v="103"/>
    <x v="1"/>
  </r>
  <r>
    <x v="1418"/>
    <x v="2"/>
    <x v="150"/>
    <n v="1"/>
    <n v="899.99"/>
    <n v="0.1"/>
    <n v="899.99"/>
    <m/>
    <x v="141"/>
    <x v="1"/>
  </r>
  <r>
    <x v="1419"/>
    <x v="0"/>
    <x v="245"/>
    <n v="1"/>
    <n v="2299.9899999999998"/>
    <n v="0.2"/>
    <n v="2299.9899999999998"/>
    <m/>
    <x v="230"/>
    <x v="1"/>
  </r>
  <r>
    <x v="1419"/>
    <x v="1"/>
    <x v="242"/>
    <n v="2"/>
    <n v="3499.99"/>
    <n v="0.1"/>
    <n v="6999.98"/>
    <m/>
    <x v="227"/>
    <x v="1"/>
  </r>
  <r>
    <x v="1419"/>
    <x v="2"/>
    <x v="186"/>
    <n v="1"/>
    <n v="1899"/>
    <n v="0.1"/>
    <n v="1899"/>
    <m/>
    <x v="176"/>
    <x v="1"/>
  </r>
  <r>
    <x v="1420"/>
    <x v="0"/>
    <x v="136"/>
    <n v="2"/>
    <n v="279.99"/>
    <n v="0.05"/>
    <n v="559.98"/>
    <m/>
    <x v="127"/>
    <x v="1"/>
  </r>
  <r>
    <x v="1421"/>
    <x v="0"/>
    <x v="53"/>
    <n v="2"/>
    <n v="761.99"/>
    <n v="7.0000000000000007E-2"/>
    <n v="1523.98"/>
    <m/>
    <x v="46"/>
    <x v="2"/>
  </r>
  <r>
    <x v="1421"/>
    <x v="1"/>
    <x v="118"/>
    <n v="2"/>
    <n v="919.99"/>
    <n v="0.2"/>
    <n v="1839.98"/>
    <m/>
    <x v="110"/>
    <x v="2"/>
  </r>
  <r>
    <x v="1421"/>
    <x v="2"/>
    <x v="127"/>
    <n v="1"/>
    <n v="679.99"/>
    <n v="0.05"/>
    <n v="679.99"/>
    <m/>
    <x v="118"/>
    <x v="2"/>
  </r>
  <r>
    <x v="1422"/>
    <x v="0"/>
    <x v="159"/>
    <n v="1"/>
    <n v="749.99"/>
    <n v="0.2"/>
    <n v="749.99"/>
    <m/>
    <x v="150"/>
    <x v="0"/>
  </r>
  <r>
    <x v="1422"/>
    <x v="1"/>
    <x v="68"/>
    <n v="1"/>
    <n v="416.99"/>
    <n v="0.1"/>
    <n v="416.99"/>
    <m/>
    <x v="61"/>
    <x v="0"/>
  </r>
  <r>
    <x v="1422"/>
    <x v="2"/>
    <x v="246"/>
    <n v="1"/>
    <n v="449.99"/>
    <n v="0.2"/>
    <n v="449.99"/>
    <m/>
    <x v="231"/>
    <x v="0"/>
  </r>
  <r>
    <x v="1422"/>
    <x v="3"/>
    <x v="191"/>
    <n v="2"/>
    <n v="489.99"/>
    <n v="0.2"/>
    <n v="979.98"/>
    <m/>
    <x v="181"/>
    <x v="0"/>
  </r>
  <r>
    <x v="1423"/>
    <x v="0"/>
    <x v="247"/>
    <n v="2"/>
    <n v="4999.99"/>
    <n v="0.2"/>
    <n v="9999.98"/>
    <m/>
    <x v="232"/>
    <x v="0"/>
  </r>
  <r>
    <x v="1424"/>
    <x v="0"/>
    <x v="213"/>
    <n v="2"/>
    <n v="319.99"/>
    <n v="0.05"/>
    <n v="639.98"/>
    <m/>
    <x v="201"/>
    <x v="1"/>
  </r>
  <r>
    <x v="1424"/>
    <x v="1"/>
    <x v="160"/>
    <n v="1"/>
    <n v="89.99"/>
    <n v="7.0000000000000007E-2"/>
    <n v="89.99"/>
    <m/>
    <x v="151"/>
    <x v="1"/>
  </r>
  <r>
    <x v="1424"/>
    <x v="2"/>
    <x v="101"/>
    <n v="1"/>
    <n v="209.99"/>
    <n v="7.0000000000000007E-2"/>
    <n v="209.99"/>
    <m/>
    <x v="93"/>
    <x v="1"/>
  </r>
  <r>
    <x v="1424"/>
    <x v="3"/>
    <x v="59"/>
    <n v="2"/>
    <n v="3199.99"/>
    <n v="0.05"/>
    <n v="6399.98"/>
    <m/>
    <x v="52"/>
    <x v="1"/>
  </r>
  <r>
    <x v="1424"/>
    <x v="4"/>
    <x v="132"/>
    <n v="2"/>
    <n v="1799.99"/>
    <n v="7.0000000000000007E-2"/>
    <n v="3599.98"/>
    <m/>
    <x v="123"/>
    <x v="1"/>
  </r>
  <r>
    <x v="1425"/>
    <x v="0"/>
    <x v="149"/>
    <n v="1"/>
    <n v="749.99"/>
    <n v="7.0000000000000007E-2"/>
    <n v="749.99"/>
    <m/>
    <x v="140"/>
    <x v="1"/>
  </r>
  <r>
    <x v="1425"/>
    <x v="1"/>
    <x v="0"/>
    <n v="2"/>
    <n v="599.99"/>
    <n v="0.05"/>
    <n v="1199.98"/>
    <m/>
    <x v="0"/>
    <x v="1"/>
  </r>
  <r>
    <x v="1425"/>
    <x v="2"/>
    <x v="248"/>
    <n v="1"/>
    <n v="319.99"/>
    <n v="7.0000000000000007E-2"/>
    <n v="319.99"/>
    <m/>
    <x v="201"/>
    <x v="1"/>
  </r>
  <r>
    <x v="1426"/>
    <x v="0"/>
    <x v="128"/>
    <n v="2"/>
    <n v="429.99"/>
    <n v="7.0000000000000007E-2"/>
    <n v="859.98"/>
    <m/>
    <x v="119"/>
    <x v="1"/>
  </r>
  <r>
    <x v="1426"/>
    <x v="1"/>
    <x v="112"/>
    <n v="1"/>
    <n v="2999.99"/>
    <n v="0.05"/>
    <n v="2999.99"/>
    <m/>
    <x v="104"/>
    <x v="1"/>
  </r>
  <r>
    <x v="1426"/>
    <x v="2"/>
    <x v="156"/>
    <n v="2"/>
    <n v="1549"/>
    <n v="7.0000000000000007E-2"/>
    <n v="3098"/>
    <m/>
    <x v="147"/>
    <x v="1"/>
  </r>
  <r>
    <x v="1427"/>
    <x v="0"/>
    <x v="249"/>
    <n v="2"/>
    <n v="899.99"/>
    <n v="0.2"/>
    <n v="1799.98"/>
    <m/>
    <x v="233"/>
    <x v="1"/>
  </r>
  <r>
    <x v="1427"/>
    <x v="1"/>
    <x v="250"/>
    <n v="1"/>
    <n v="469.99"/>
    <n v="7.0000000000000007E-2"/>
    <n v="469.99"/>
    <m/>
    <x v="234"/>
    <x v="1"/>
  </r>
  <r>
    <x v="1427"/>
    <x v="2"/>
    <x v="251"/>
    <n v="2"/>
    <n v="2799.99"/>
    <n v="7.0000000000000007E-2"/>
    <n v="5599.98"/>
    <m/>
    <x v="235"/>
    <x v="1"/>
  </r>
  <r>
    <x v="1427"/>
    <x v="3"/>
    <x v="76"/>
    <n v="1"/>
    <n v="2499.9899999999998"/>
    <n v="0.1"/>
    <n v="2499.9899999999998"/>
    <m/>
    <x v="69"/>
    <x v="1"/>
  </r>
  <r>
    <x v="1427"/>
    <x v="4"/>
    <x v="242"/>
    <n v="2"/>
    <n v="3499.99"/>
    <n v="0.2"/>
    <n v="6999.98"/>
    <m/>
    <x v="227"/>
    <x v="1"/>
  </r>
  <r>
    <x v="1428"/>
    <x v="0"/>
    <x v="63"/>
    <n v="2"/>
    <n v="659.99"/>
    <n v="0.2"/>
    <n v="1319.98"/>
    <m/>
    <x v="56"/>
    <x v="1"/>
  </r>
  <r>
    <x v="1429"/>
    <x v="0"/>
    <x v="252"/>
    <n v="1"/>
    <n v="319.99"/>
    <n v="0.05"/>
    <n v="319.99"/>
    <m/>
    <x v="236"/>
    <x v="1"/>
  </r>
  <r>
    <x v="1429"/>
    <x v="1"/>
    <x v="248"/>
    <n v="1"/>
    <n v="319.99"/>
    <n v="7.0000000000000007E-2"/>
    <n v="319.99"/>
    <m/>
    <x v="201"/>
    <x v="1"/>
  </r>
  <r>
    <x v="1430"/>
    <x v="0"/>
    <x v="143"/>
    <n v="1"/>
    <n v="3999.99"/>
    <n v="0.1"/>
    <n v="3999.99"/>
    <m/>
    <x v="134"/>
    <x v="1"/>
  </r>
  <r>
    <x v="1430"/>
    <x v="1"/>
    <x v="29"/>
    <n v="1"/>
    <n v="749.99"/>
    <n v="7.0000000000000007E-2"/>
    <n v="749.99"/>
    <m/>
    <x v="25"/>
    <x v="1"/>
  </r>
  <r>
    <x v="1430"/>
    <x v="2"/>
    <x v="253"/>
    <n v="1"/>
    <n v="2999.99"/>
    <n v="0.2"/>
    <n v="2999.99"/>
    <m/>
    <x v="165"/>
    <x v="1"/>
  </r>
  <r>
    <x v="1430"/>
    <x v="3"/>
    <x v="226"/>
    <n v="1"/>
    <n v="749.99"/>
    <n v="7.0000000000000007E-2"/>
    <n v="749.99"/>
    <m/>
    <x v="155"/>
    <x v="1"/>
  </r>
  <r>
    <x v="1431"/>
    <x v="0"/>
    <x v="254"/>
    <n v="1"/>
    <n v="1899"/>
    <n v="0.2"/>
    <n v="1899"/>
    <m/>
    <x v="237"/>
    <x v="1"/>
  </r>
  <r>
    <x v="1432"/>
    <x v="0"/>
    <x v="240"/>
    <n v="1"/>
    <n v="249.99"/>
    <n v="7.0000000000000007E-2"/>
    <n v="249.99"/>
    <m/>
    <x v="225"/>
    <x v="1"/>
  </r>
  <r>
    <x v="1433"/>
    <x v="0"/>
    <x v="202"/>
    <n v="2"/>
    <n v="429.99"/>
    <n v="0.2"/>
    <n v="859.98"/>
    <m/>
    <x v="192"/>
    <x v="1"/>
  </r>
  <r>
    <x v="1433"/>
    <x v="1"/>
    <x v="255"/>
    <n v="1"/>
    <n v="2999.99"/>
    <n v="0.1"/>
    <n v="2999.99"/>
    <m/>
    <x v="199"/>
    <x v="1"/>
  </r>
  <r>
    <x v="1433"/>
    <x v="2"/>
    <x v="256"/>
    <n v="2"/>
    <n v="279.99"/>
    <n v="0.1"/>
    <n v="559.98"/>
    <m/>
    <x v="238"/>
    <x v="1"/>
  </r>
  <r>
    <x v="1433"/>
    <x v="3"/>
    <x v="32"/>
    <n v="2"/>
    <n v="4999.99"/>
    <n v="7.0000000000000007E-2"/>
    <n v="9999.98"/>
    <m/>
    <x v="28"/>
    <x v="1"/>
  </r>
  <r>
    <x v="1434"/>
    <x v="0"/>
    <x v="257"/>
    <n v="2"/>
    <n v="1599.99"/>
    <n v="7.0000000000000007E-2"/>
    <n v="3199.98"/>
    <m/>
    <x v="239"/>
    <x v="1"/>
  </r>
  <r>
    <x v="1434"/>
    <x v="1"/>
    <x v="61"/>
    <n v="1"/>
    <n v="999.99"/>
    <n v="0.2"/>
    <n v="999.99"/>
    <m/>
    <x v="54"/>
    <x v="1"/>
  </r>
  <r>
    <x v="1434"/>
    <x v="2"/>
    <x v="91"/>
    <n v="1"/>
    <n v="1559.99"/>
    <n v="0.1"/>
    <n v="1559.99"/>
    <m/>
    <x v="84"/>
    <x v="1"/>
  </r>
  <r>
    <x v="1434"/>
    <x v="3"/>
    <x v="258"/>
    <n v="1"/>
    <n v="799.99"/>
    <n v="7.0000000000000007E-2"/>
    <n v="799.99"/>
    <m/>
    <x v="124"/>
    <x v="1"/>
  </r>
  <r>
    <x v="1435"/>
    <x v="0"/>
    <x v="152"/>
    <n v="2"/>
    <n v="559.99"/>
    <n v="7.0000000000000007E-2"/>
    <n v="1119.98"/>
    <m/>
    <x v="143"/>
    <x v="1"/>
  </r>
  <r>
    <x v="1436"/>
    <x v="0"/>
    <x v="257"/>
    <n v="2"/>
    <n v="1599.99"/>
    <n v="0.05"/>
    <n v="3199.98"/>
    <m/>
    <x v="239"/>
    <x v="0"/>
  </r>
  <r>
    <x v="1437"/>
    <x v="0"/>
    <x v="205"/>
    <n v="1"/>
    <n v="959.99"/>
    <n v="0.2"/>
    <n v="959.99"/>
    <m/>
    <x v="195"/>
    <x v="1"/>
  </r>
  <r>
    <x v="1437"/>
    <x v="1"/>
    <x v="247"/>
    <n v="1"/>
    <n v="4999.99"/>
    <n v="0.2"/>
    <n v="4999.99"/>
    <m/>
    <x v="232"/>
    <x v="1"/>
  </r>
  <r>
    <x v="1437"/>
    <x v="2"/>
    <x v="89"/>
    <n v="2"/>
    <n v="1099.99"/>
    <n v="0.05"/>
    <n v="2199.98"/>
    <m/>
    <x v="82"/>
    <x v="1"/>
  </r>
  <r>
    <x v="1437"/>
    <x v="3"/>
    <x v="234"/>
    <n v="1"/>
    <n v="2599"/>
    <n v="0.1"/>
    <n v="2599"/>
    <m/>
    <x v="219"/>
    <x v="1"/>
  </r>
  <r>
    <x v="1437"/>
    <x v="4"/>
    <x v="115"/>
    <n v="2"/>
    <n v="2799.99"/>
    <n v="7.0000000000000007E-2"/>
    <n v="5599.98"/>
    <m/>
    <x v="107"/>
    <x v="1"/>
  </r>
  <r>
    <x v="1438"/>
    <x v="0"/>
    <x v="41"/>
    <n v="1"/>
    <n v="2299.9899999999998"/>
    <n v="7.0000000000000007E-2"/>
    <n v="2299.9899999999998"/>
    <m/>
    <x v="36"/>
    <x v="1"/>
  </r>
  <r>
    <x v="1438"/>
    <x v="1"/>
    <x v="160"/>
    <n v="1"/>
    <n v="89.99"/>
    <n v="0.2"/>
    <n v="89.99"/>
    <m/>
    <x v="151"/>
    <x v="1"/>
  </r>
  <r>
    <x v="1438"/>
    <x v="2"/>
    <x v="48"/>
    <n v="2"/>
    <n v="489.99"/>
    <n v="0.05"/>
    <n v="979.98"/>
    <m/>
    <x v="34"/>
    <x v="1"/>
  </r>
  <r>
    <x v="1438"/>
    <x v="3"/>
    <x v="172"/>
    <n v="1"/>
    <n v="7499.99"/>
    <n v="0.05"/>
    <n v="7499.99"/>
    <m/>
    <x v="163"/>
    <x v="1"/>
  </r>
  <r>
    <x v="1439"/>
    <x v="0"/>
    <x v="259"/>
    <n v="2"/>
    <n v="749.99"/>
    <n v="7.0000000000000007E-2"/>
    <n v="1499.98"/>
    <m/>
    <x v="240"/>
    <x v="2"/>
  </r>
  <r>
    <x v="1439"/>
    <x v="1"/>
    <x v="36"/>
    <n v="1"/>
    <n v="416.99"/>
    <n v="7.0000000000000007E-2"/>
    <n v="416.99"/>
    <m/>
    <x v="32"/>
    <x v="2"/>
  </r>
  <r>
    <x v="1439"/>
    <x v="2"/>
    <x v="192"/>
    <n v="1"/>
    <n v="4499.99"/>
    <n v="0.1"/>
    <n v="4499.99"/>
    <m/>
    <x v="182"/>
    <x v="2"/>
  </r>
  <r>
    <x v="1439"/>
    <x v="3"/>
    <x v="260"/>
    <n v="2"/>
    <n v="749.99"/>
    <n v="0.05"/>
    <n v="1499.98"/>
    <m/>
    <x v="241"/>
    <x v="2"/>
  </r>
  <r>
    <x v="1439"/>
    <x v="4"/>
    <x v="50"/>
    <n v="2"/>
    <n v="250.99"/>
    <n v="0.2"/>
    <n v="501.98"/>
    <m/>
    <x v="43"/>
    <x v="2"/>
  </r>
  <r>
    <x v="1440"/>
    <x v="0"/>
    <x v="18"/>
    <n v="1"/>
    <n v="469.99"/>
    <n v="0.05"/>
    <n v="469.99"/>
    <m/>
    <x v="16"/>
    <x v="2"/>
  </r>
  <r>
    <x v="1440"/>
    <x v="1"/>
    <x v="243"/>
    <n v="2"/>
    <n v="699.99"/>
    <n v="0.2"/>
    <n v="1399.98"/>
    <m/>
    <x v="228"/>
    <x v="2"/>
  </r>
  <r>
    <x v="1440"/>
    <x v="2"/>
    <x v="109"/>
    <n v="1"/>
    <n v="1409.99"/>
    <n v="7.0000000000000007E-2"/>
    <n v="1409.99"/>
    <m/>
    <x v="101"/>
    <x v="2"/>
  </r>
  <r>
    <x v="1441"/>
    <x v="0"/>
    <x v="140"/>
    <n v="1"/>
    <n v="4499.99"/>
    <n v="0.1"/>
    <n v="4499.99"/>
    <m/>
    <x v="131"/>
    <x v="1"/>
  </r>
  <r>
    <x v="1441"/>
    <x v="1"/>
    <x v="229"/>
    <n v="1"/>
    <n v="269.99"/>
    <n v="7.0000000000000007E-2"/>
    <n v="269.99"/>
    <m/>
    <x v="214"/>
    <x v="1"/>
  </r>
  <r>
    <x v="1441"/>
    <x v="2"/>
    <x v="261"/>
    <n v="2"/>
    <n v="209.99"/>
    <n v="0.05"/>
    <n v="419.98"/>
    <m/>
    <x v="242"/>
    <x v="1"/>
  </r>
  <r>
    <x v="1442"/>
    <x v="0"/>
    <x v="140"/>
    <n v="1"/>
    <n v="4499.99"/>
    <n v="7.0000000000000007E-2"/>
    <n v="4499.99"/>
    <m/>
    <x v="131"/>
    <x v="1"/>
  </r>
  <r>
    <x v="1442"/>
    <x v="1"/>
    <x v="94"/>
    <n v="1"/>
    <n v="1999.99"/>
    <n v="0.2"/>
    <n v="1999.99"/>
    <m/>
    <x v="86"/>
    <x v="1"/>
  </r>
  <r>
    <x v="1442"/>
    <x v="2"/>
    <x v="70"/>
    <n v="2"/>
    <n v="339.99"/>
    <n v="0.1"/>
    <n v="679.98"/>
    <m/>
    <x v="63"/>
    <x v="1"/>
  </r>
  <r>
    <x v="1443"/>
    <x v="0"/>
    <x v="45"/>
    <n v="1"/>
    <n v="209.99"/>
    <n v="0.1"/>
    <n v="209.99"/>
    <m/>
    <x v="39"/>
    <x v="1"/>
  </r>
  <r>
    <x v="1443"/>
    <x v="1"/>
    <x v="186"/>
    <n v="2"/>
    <n v="1899"/>
    <n v="0.2"/>
    <n v="3798"/>
    <m/>
    <x v="176"/>
    <x v="1"/>
  </r>
  <r>
    <x v="1444"/>
    <x v="0"/>
    <x v="244"/>
    <n v="2"/>
    <n v="639.99"/>
    <n v="0.1"/>
    <n v="1279.98"/>
    <m/>
    <x v="229"/>
    <x v="1"/>
  </r>
  <r>
    <x v="1444"/>
    <x v="1"/>
    <x v="58"/>
    <n v="1"/>
    <n v="875.99"/>
    <n v="7.0000000000000007E-2"/>
    <n v="875.99"/>
    <m/>
    <x v="51"/>
    <x v="1"/>
  </r>
  <r>
    <x v="1444"/>
    <x v="2"/>
    <x v="262"/>
    <n v="2"/>
    <n v="999.99"/>
    <n v="0.1"/>
    <n v="1999.98"/>
    <m/>
    <x v="243"/>
    <x v="1"/>
  </r>
  <r>
    <x v="1445"/>
    <x v="0"/>
    <x v="213"/>
    <n v="1"/>
    <n v="319.99"/>
    <n v="0.05"/>
    <n v="319.99"/>
    <m/>
    <x v="201"/>
    <x v="1"/>
  </r>
  <r>
    <x v="1445"/>
    <x v="1"/>
    <x v="170"/>
    <n v="2"/>
    <n v="639.99"/>
    <n v="0.05"/>
    <n v="1279.98"/>
    <m/>
    <x v="161"/>
    <x v="1"/>
  </r>
  <r>
    <x v="1445"/>
    <x v="2"/>
    <x v="150"/>
    <n v="2"/>
    <n v="899.99"/>
    <n v="0.05"/>
    <n v="1799.98"/>
    <m/>
    <x v="141"/>
    <x v="1"/>
  </r>
  <r>
    <x v="1446"/>
    <x v="0"/>
    <x v="161"/>
    <n v="1"/>
    <n v="5499.99"/>
    <n v="0.2"/>
    <n v="5499.99"/>
    <m/>
    <x v="152"/>
    <x v="0"/>
  </r>
  <r>
    <x v="1447"/>
    <x v="0"/>
    <x v="263"/>
    <n v="1"/>
    <n v="749.99"/>
    <n v="0.1"/>
    <n v="749.99"/>
    <m/>
    <x v="224"/>
    <x v="1"/>
  </r>
  <r>
    <x v="1448"/>
    <x v="0"/>
    <x v="166"/>
    <n v="1"/>
    <n v="2299.9899999999998"/>
    <n v="7.0000000000000007E-2"/>
    <n v="2299.9899999999998"/>
    <m/>
    <x v="157"/>
    <x v="1"/>
  </r>
  <r>
    <x v="1448"/>
    <x v="1"/>
    <x v="66"/>
    <n v="1"/>
    <n v="2699.99"/>
    <n v="0.2"/>
    <n v="2699.99"/>
    <m/>
    <x v="59"/>
    <x v="1"/>
  </r>
  <r>
    <x v="1448"/>
    <x v="2"/>
    <x v="258"/>
    <n v="2"/>
    <n v="799.99"/>
    <n v="7.0000000000000007E-2"/>
    <n v="1599.98"/>
    <m/>
    <x v="124"/>
    <x v="1"/>
  </r>
  <r>
    <x v="1448"/>
    <x v="3"/>
    <x v="253"/>
    <n v="2"/>
    <n v="2999.99"/>
    <n v="0.05"/>
    <n v="5999.98"/>
    <m/>
    <x v="165"/>
    <x v="1"/>
  </r>
  <r>
    <x v="1448"/>
    <x v="4"/>
    <x v="15"/>
    <n v="2"/>
    <n v="269.99"/>
    <n v="0.1"/>
    <n v="539.98"/>
    <m/>
    <x v="12"/>
    <x v="1"/>
  </r>
  <r>
    <x v="1449"/>
    <x v="0"/>
    <x v="72"/>
    <n v="1"/>
    <n v="489.99"/>
    <n v="7.0000000000000007E-2"/>
    <n v="489.99"/>
    <m/>
    <x v="65"/>
    <x v="1"/>
  </r>
  <r>
    <x v="1449"/>
    <x v="1"/>
    <x v="264"/>
    <n v="2"/>
    <n v="3199.99"/>
    <n v="0.1"/>
    <n v="6399.98"/>
    <m/>
    <x v="244"/>
    <x v="1"/>
  </r>
  <r>
    <x v="1449"/>
    <x v="2"/>
    <x v="265"/>
    <n v="1"/>
    <n v="559.99"/>
    <n v="0.2"/>
    <n v="559.99"/>
    <m/>
    <x v="245"/>
    <x v="1"/>
  </r>
  <r>
    <x v="1449"/>
    <x v="3"/>
    <x v="114"/>
    <n v="2"/>
    <n v="2999.99"/>
    <n v="0.1"/>
    <n v="5999.98"/>
    <m/>
    <x v="106"/>
    <x v="1"/>
  </r>
  <r>
    <x v="1449"/>
    <x v="4"/>
    <x v="111"/>
    <n v="2"/>
    <n v="899.99"/>
    <n v="0.05"/>
    <n v="1799.98"/>
    <m/>
    <x v="103"/>
    <x v="1"/>
  </r>
  <r>
    <x v="1450"/>
    <x v="0"/>
    <x v="266"/>
    <n v="1"/>
    <n v="1469.99"/>
    <n v="0.05"/>
    <n v="1469.99"/>
    <m/>
    <x v="246"/>
    <x v="1"/>
  </r>
  <r>
    <x v="1451"/>
    <x v="0"/>
    <x v="40"/>
    <n v="2"/>
    <n v="299.99"/>
    <n v="0.1"/>
    <n v="599.98"/>
    <m/>
    <x v="35"/>
    <x v="0"/>
  </r>
  <r>
    <x v="1451"/>
    <x v="1"/>
    <x v="150"/>
    <n v="1"/>
    <n v="899.99"/>
    <n v="0.2"/>
    <n v="899.99"/>
    <m/>
    <x v="141"/>
    <x v="0"/>
  </r>
  <r>
    <x v="1451"/>
    <x v="2"/>
    <x v="106"/>
    <n v="2"/>
    <n v="149.99"/>
    <n v="0.05"/>
    <n v="299.98"/>
    <m/>
    <x v="98"/>
    <x v="0"/>
  </r>
  <r>
    <x v="1451"/>
    <x v="3"/>
    <x v="36"/>
    <n v="2"/>
    <n v="416.99"/>
    <n v="7.0000000000000007E-2"/>
    <n v="833.98"/>
    <m/>
    <x v="32"/>
    <x v="0"/>
  </r>
  <r>
    <x v="1452"/>
    <x v="0"/>
    <x v="84"/>
    <n v="2"/>
    <n v="209.99"/>
    <n v="0.1"/>
    <n v="419.98"/>
    <m/>
    <x v="77"/>
    <x v="0"/>
  </r>
  <r>
    <x v="1453"/>
    <x v="0"/>
    <x v="125"/>
    <n v="1"/>
    <n v="319.99"/>
    <n v="7.0000000000000007E-2"/>
    <n v="319.99"/>
    <m/>
    <x v="116"/>
    <x v="1"/>
  </r>
  <r>
    <x v="1453"/>
    <x v="1"/>
    <x v="100"/>
    <n v="2"/>
    <n v="832.99"/>
    <n v="0.1"/>
    <n v="1665.98"/>
    <m/>
    <x v="92"/>
    <x v="1"/>
  </r>
  <r>
    <x v="1453"/>
    <x v="2"/>
    <x v="190"/>
    <n v="1"/>
    <n v="1499"/>
    <n v="0.2"/>
    <n v="1499"/>
    <m/>
    <x v="180"/>
    <x v="1"/>
  </r>
  <r>
    <x v="1453"/>
    <x v="3"/>
    <x v="83"/>
    <n v="2"/>
    <n v="549.99"/>
    <n v="0.05"/>
    <n v="1099.98"/>
    <m/>
    <x v="76"/>
    <x v="1"/>
  </r>
  <r>
    <x v="1454"/>
    <x v="0"/>
    <x v="70"/>
    <n v="2"/>
    <n v="339.99"/>
    <n v="0.05"/>
    <n v="679.98"/>
    <m/>
    <x v="63"/>
    <x v="1"/>
  </r>
  <r>
    <x v="1454"/>
    <x v="1"/>
    <x v="226"/>
    <n v="1"/>
    <n v="749.99"/>
    <n v="0.2"/>
    <n v="749.99"/>
    <m/>
    <x v="155"/>
    <x v="1"/>
  </r>
  <r>
    <x v="1455"/>
    <x v="0"/>
    <x v="230"/>
    <n v="2"/>
    <n v="2799.99"/>
    <n v="0.05"/>
    <n v="5599.98"/>
    <m/>
    <x v="215"/>
    <x v="1"/>
  </r>
  <r>
    <x v="1455"/>
    <x v="1"/>
    <x v="267"/>
    <n v="1"/>
    <n v="639.99"/>
    <n v="7.0000000000000007E-2"/>
    <n v="639.99"/>
    <m/>
    <x v="247"/>
    <x v="1"/>
  </r>
  <r>
    <x v="1455"/>
    <x v="2"/>
    <x v="217"/>
    <n v="2"/>
    <n v="159.99"/>
    <n v="0.1"/>
    <n v="319.98"/>
    <m/>
    <x v="205"/>
    <x v="1"/>
  </r>
  <r>
    <x v="1455"/>
    <x v="3"/>
    <x v="268"/>
    <n v="1"/>
    <n v="289.99"/>
    <n v="0.1"/>
    <n v="289.99"/>
    <m/>
    <x v="248"/>
    <x v="1"/>
  </r>
  <r>
    <x v="1455"/>
    <x v="4"/>
    <x v="250"/>
    <n v="1"/>
    <n v="469.99"/>
    <n v="0.1"/>
    <n v="469.99"/>
    <m/>
    <x v="234"/>
    <x v="1"/>
  </r>
  <r>
    <x v="1456"/>
    <x v="0"/>
    <x v="191"/>
    <n v="1"/>
    <n v="489.99"/>
    <n v="7.0000000000000007E-2"/>
    <n v="489.99"/>
    <m/>
    <x v="181"/>
    <x v="1"/>
  </r>
  <r>
    <x v="1456"/>
    <x v="1"/>
    <x v="103"/>
    <n v="1"/>
    <n v="470.99"/>
    <n v="0.2"/>
    <n v="470.99"/>
    <m/>
    <x v="95"/>
    <x v="1"/>
  </r>
  <r>
    <x v="1456"/>
    <x v="2"/>
    <x v="217"/>
    <n v="1"/>
    <n v="159.99"/>
    <n v="0.2"/>
    <n v="159.99"/>
    <m/>
    <x v="205"/>
    <x v="1"/>
  </r>
  <r>
    <x v="1456"/>
    <x v="3"/>
    <x v="182"/>
    <n v="2"/>
    <n v="2499.9899999999998"/>
    <n v="0.2"/>
    <n v="4999.9799999999996"/>
    <m/>
    <x v="172"/>
    <x v="1"/>
  </r>
  <r>
    <x v="1457"/>
    <x v="0"/>
    <x v="214"/>
    <n v="2"/>
    <n v="319.99"/>
    <n v="0.05"/>
    <n v="639.98"/>
    <m/>
    <x v="202"/>
    <x v="2"/>
  </r>
  <r>
    <x v="1457"/>
    <x v="1"/>
    <x v="86"/>
    <n v="1"/>
    <n v="533.99"/>
    <n v="0.05"/>
    <n v="533.99"/>
    <m/>
    <x v="79"/>
    <x v="2"/>
  </r>
  <r>
    <x v="1457"/>
    <x v="2"/>
    <x v="10"/>
    <n v="1"/>
    <n v="549.99"/>
    <n v="0.05"/>
    <n v="549.99"/>
    <m/>
    <x v="9"/>
    <x v="2"/>
  </r>
  <r>
    <x v="1457"/>
    <x v="3"/>
    <x v="46"/>
    <n v="2"/>
    <n v="647.99"/>
    <n v="0.1"/>
    <n v="1295.98"/>
    <m/>
    <x v="40"/>
    <x v="2"/>
  </r>
  <r>
    <x v="1458"/>
    <x v="0"/>
    <x v="269"/>
    <n v="1"/>
    <n v="1259.9000000000001"/>
    <n v="0.1"/>
    <n v="1259.9000000000001"/>
    <m/>
    <x v="249"/>
    <x v="1"/>
  </r>
  <r>
    <x v="1459"/>
    <x v="0"/>
    <x v="270"/>
    <n v="1"/>
    <n v="4499.99"/>
    <n v="0.05"/>
    <n v="4499.99"/>
    <m/>
    <x v="250"/>
    <x v="1"/>
  </r>
  <r>
    <x v="1459"/>
    <x v="1"/>
    <x v="35"/>
    <n v="1"/>
    <n v="299.99"/>
    <n v="7.0000000000000007E-2"/>
    <n v="299.99"/>
    <m/>
    <x v="31"/>
    <x v="1"/>
  </r>
  <r>
    <x v="1459"/>
    <x v="2"/>
    <x v="271"/>
    <n v="1"/>
    <n v="749.99"/>
    <n v="0.05"/>
    <n v="749.99"/>
    <m/>
    <x v="251"/>
    <x v="1"/>
  </r>
  <r>
    <x v="1459"/>
    <x v="3"/>
    <x v="14"/>
    <n v="2"/>
    <n v="3999.99"/>
    <n v="7.0000000000000007E-2"/>
    <n v="7999.98"/>
    <m/>
    <x v="13"/>
    <x v="1"/>
  </r>
  <r>
    <x v="1459"/>
    <x v="4"/>
    <x v="262"/>
    <n v="2"/>
    <n v="999.99"/>
    <n v="7.0000000000000007E-2"/>
    <n v="1999.98"/>
    <m/>
    <x v="243"/>
    <x v="1"/>
  </r>
  <r>
    <x v="1460"/>
    <x v="0"/>
    <x v="74"/>
    <n v="1"/>
    <n v="1499.99"/>
    <n v="0.2"/>
    <n v="1499.99"/>
    <m/>
    <x v="67"/>
    <x v="1"/>
  </r>
  <r>
    <x v="1460"/>
    <x v="1"/>
    <x v="243"/>
    <n v="2"/>
    <n v="699.99"/>
    <n v="0.2"/>
    <n v="1399.98"/>
    <m/>
    <x v="228"/>
    <x v="1"/>
  </r>
  <r>
    <x v="1461"/>
    <x v="0"/>
    <x v="160"/>
    <n v="1"/>
    <n v="89.99"/>
    <n v="0.2"/>
    <n v="89.99"/>
    <m/>
    <x v="151"/>
    <x v="1"/>
  </r>
  <r>
    <x v="1461"/>
    <x v="1"/>
    <x v="22"/>
    <n v="1"/>
    <n v="499.99"/>
    <n v="7.0000000000000007E-2"/>
    <n v="499.99"/>
    <m/>
    <x v="19"/>
    <x v="1"/>
  </r>
  <r>
    <x v="1461"/>
    <x v="2"/>
    <x v="195"/>
    <n v="1"/>
    <n v="529.99"/>
    <n v="0.1"/>
    <n v="529.99"/>
    <m/>
    <x v="185"/>
    <x v="1"/>
  </r>
  <r>
    <x v="1461"/>
    <x v="3"/>
    <x v="272"/>
    <n v="1"/>
    <n v="369.99"/>
    <n v="0.1"/>
    <n v="369.99"/>
    <m/>
    <x v="252"/>
    <x v="1"/>
  </r>
  <r>
    <x v="1461"/>
    <x v="4"/>
    <x v="211"/>
    <n v="1"/>
    <n v="2999.99"/>
    <n v="0.05"/>
    <n v="2999.99"/>
    <m/>
    <x v="199"/>
    <x v="1"/>
  </r>
  <r>
    <x v="1462"/>
    <x v="0"/>
    <x v="80"/>
    <n v="2"/>
    <n v="6499.99"/>
    <n v="0.05"/>
    <n v="12999.98"/>
    <m/>
    <x v="73"/>
    <x v="1"/>
  </r>
  <r>
    <x v="1462"/>
    <x v="1"/>
    <x v="163"/>
    <n v="1"/>
    <n v="1549"/>
    <n v="0.05"/>
    <n v="1549"/>
    <m/>
    <x v="154"/>
    <x v="1"/>
  </r>
  <r>
    <x v="1463"/>
    <x v="0"/>
    <x v="36"/>
    <n v="2"/>
    <n v="416.99"/>
    <n v="0.05"/>
    <n v="833.98"/>
    <m/>
    <x v="32"/>
    <x v="1"/>
  </r>
  <r>
    <x v="1463"/>
    <x v="1"/>
    <x v="190"/>
    <n v="1"/>
    <n v="1499"/>
    <n v="0.2"/>
    <n v="1499"/>
    <m/>
    <x v="180"/>
    <x v="1"/>
  </r>
  <r>
    <x v="1463"/>
    <x v="2"/>
    <x v="218"/>
    <n v="2"/>
    <n v="2499.9899999999998"/>
    <n v="0.2"/>
    <n v="4999.9799999999996"/>
    <m/>
    <x v="206"/>
    <x v="1"/>
  </r>
  <r>
    <x v="1463"/>
    <x v="3"/>
    <x v="117"/>
    <n v="2"/>
    <n v="1549.99"/>
    <n v="0.05"/>
    <n v="3099.98"/>
    <m/>
    <x v="109"/>
    <x v="1"/>
  </r>
  <r>
    <x v="1464"/>
    <x v="0"/>
    <x v="63"/>
    <n v="2"/>
    <n v="659.99"/>
    <n v="0.05"/>
    <n v="1319.98"/>
    <m/>
    <x v="56"/>
    <x v="1"/>
  </r>
  <r>
    <x v="1465"/>
    <x v="0"/>
    <x v="273"/>
    <n v="2"/>
    <n v="899.99"/>
    <n v="7.0000000000000007E-2"/>
    <n v="1799.98"/>
    <m/>
    <x v="204"/>
    <x v="0"/>
  </r>
  <r>
    <x v="1465"/>
    <x v="1"/>
    <x v="211"/>
    <n v="1"/>
    <n v="2999.99"/>
    <n v="0.05"/>
    <n v="2999.99"/>
    <m/>
    <x v="199"/>
    <x v="0"/>
  </r>
  <r>
    <x v="1465"/>
    <x v="2"/>
    <x v="179"/>
    <n v="2"/>
    <n v="1349"/>
    <n v="0.2"/>
    <n v="2698"/>
    <m/>
    <x v="169"/>
    <x v="0"/>
  </r>
  <r>
    <x v="1465"/>
    <x v="3"/>
    <x v="62"/>
    <n v="2"/>
    <n v="1499.99"/>
    <n v="0.05"/>
    <n v="2999.98"/>
    <m/>
    <x v="55"/>
    <x v="0"/>
  </r>
  <r>
    <x v="1466"/>
    <x v="0"/>
    <x v="9"/>
    <n v="1"/>
    <n v="449"/>
    <n v="7.0000000000000007E-2"/>
    <n v="449"/>
    <m/>
    <x v="8"/>
    <x v="1"/>
  </r>
  <r>
    <x v="1466"/>
    <x v="1"/>
    <x v="185"/>
    <n v="1"/>
    <n v="3199.99"/>
    <n v="0.2"/>
    <n v="3199.99"/>
    <m/>
    <x v="175"/>
    <x v="1"/>
  </r>
  <r>
    <x v="1466"/>
    <x v="2"/>
    <x v="274"/>
    <n v="2"/>
    <n v="369.99"/>
    <n v="0.1"/>
    <n v="739.98"/>
    <m/>
    <x v="253"/>
    <x v="1"/>
  </r>
  <r>
    <x v="1467"/>
    <x v="0"/>
    <x v="116"/>
    <n v="1"/>
    <n v="199.99"/>
    <n v="0.05"/>
    <n v="199.99"/>
    <m/>
    <x v="108"/>
    <x v="0"/>
  </r>
  <r>
    <x v="1467"/>
    <x v="1"/>
    <x v="71"/>
    <n v="1"/>
    <n v="4999.99"/>
    <n v="7.0000000000000007E-2"/>
    <n v="4999.99"/>
    <m/>
    <x v="64"/>
    <x v="0"/>
  </r>
  <r>
    <x v="1467"/>
    <x v="2"/>
    <x v="69"/>
    <n v="2"/>
    <n v="5999.99"/>
    <n v="7.0000000000000007E-2"/>
    <n v="11999.98"/>
    <m/>
    <x v="62"/>
    <x v="0"/>
  </r>
  <r>
    <x v="1468"/>
    <x v="0"/>
    <x v="104"/>
    <n v="2"/>
    <n v="799.99"/>
    <n v="0.2"/>
    <n v="1599.98"/>
    <m/>
    <x v="96"/>
    <x v="2"/>
  </r>
  <r>
    <x v="1468"/>
    <x v="1"/>
    <x v="148"/>
    <n v="2"/>
    <n v="849.99"/>
    <n v="0.05"/>
    <n v="1699.98"/>
    <m/>
    <x v="139"/>
    <x v="2"/>
  </r>
  <r>
    <x v="1468"/>
    <x v="2"/>
    <x v="197"/>
    <n v="1"/>
    <n v="2499.9899999999998"/>
    <n v="7.0000000000000007E-2"/>
    <n v="2499.9899999999998"/>
    <m/>
    <x v="187"/>
    <x v="2"/>
  </r>
  <r>
    <x v="1468"/>
    <x v="3"/>
    <x v="96"/>
    <n v="2"/>
    <n v="489.99"/>
    <n v="0.05"/>
    <n v="979.98"/>
    <m/>
    <x v="88"/>
    <x v="2"/>
  </r>
  <r>
    <x v="1469"/>
    <x v="0"/>
    <x v="55"/>
    <n v="2"/>
    <n v="470.99"/>
    <n v="0.1"/>
    <n v="941.98"/>
    <m/>
    <x v="48"/>
    <x v="1"/>
  </r>
  <r>
    <x v="1469"/>
    <x v="1"/>
    <x v="275"/>
    <n v="1"/>
    <n v="279.99"/>
    <n v="0.05"/>
    <n v="279.99"/>
    <m/>
    <x v="254"/>
    <x v="1"/>
  </r>
  <r>
    <x v="1469"/>
    <x v="2"/>
    <x v="253"/>
    <n v="2"/>
    <n v="2999.99"/>
    <n v="0.05"/>
    <n v="5999.98"/>
    <m/>
    <x v="165"/>
    <x v="1"/>
  </r>
  <r>
    <x v="1470"/>
    <x v="0"/>
    <x v="64"/>
    <n v="2"/>
    <n v="2599.9899999999998"/>
    <n v="0.2"/>
    <n v="5199.9799999999996"/>
    <m/>
    <x v="57"/>
    <x v="1"/>
  </r>
  <r>
    <x v="1470"/>
    <x v="1"/>
    <x v="169"/>
    <n v="1"/>
    <n v="1799.99"/>
    <n v="7.0000000000000007E-2"/>
    <n v="1799.99"/>
    <m/>
    <x v="160"/>
    <x v="1"/>
  </r>
  <r>
    <x v="1471"/>
    <x v="0"/>
    <x v="73"/>
    <n v="1"/>
    <n v="109.99"/>
    <n v="0.2"/>
    <n v="109.99"/>
    <m/>
    <x v="66"/>
    <x v="1"/>
  </r>
  <r>
    <x v="1471"/>
    <x v="1"/>
    <x v="133"/>
    <n v="1"/>
    <n v="799.99"/>
    <n v="0.2"/>
    <n v="799.99"/>
    <m/>
    <x v="124"/>
    <x v="1"/>
  </r>
  <r>
    <x v="1472"/>
    <x v="0"/>
    <x v="73"/>
    <n v="2"/>
    <n v="109.99"/>
    <n v="0.2"/>
    <n v="219.98"/>
    <m/>
    <x v="66"/>
    <x v="0"/>
  </r>
  <r>
    <x v="1472"/>
    <x v="1"/>
    <x v="48"/>
    <n v="1"/>
    <n v="489.99"/>
    <n v="7.0000000000000007E-2"/>
    <n v="489.99"/>
    <m/>
    <x v="34"/>
    <x v="0"/>
  </r>
  <r>
    <x v="1473"/>
    <x v="0"/>
    <x v="235"/>
    <n v="1"/>
    <n v="899.99"/>
    <n v="0.2"/>
    <n v="899.99"/>
    <m/>
    <x v="220"/>
    <x v="0"/>
  </r>
  <r>
    <x v="1473"/>
    <x v="1"/>
    <x v="262"/>
    <n v="1"/>
    <n v="999.99"/>
    <n v="0.05"/>
    <n v="999.99"/>
    <m/>
    <x v="243"/>
    <x v="0"/>
  </r>
  <r>
    <x v="1474"/>
    <x v="0"/>
    <x v="210"/>
    <n v="2"/>
    <n v="899.99"/>
    <n v="0.05"/>
    <n v="1799.98"/>
    <m/>
    <x v="191"/>
    <x v="1"/>
  </r>
  <r>
    <x v="1474"/>
    <x v="1"/>
    <x v="276"/>
    <n v="2"/>
    <n v="899.99"/>
    <n v="7.0000000000000007E-2"/>
    <n v="1799.98"/>
    <m/>
    <x v="220"/>
    <x v="1"/>
  </r>
  <r>
    <x v="1474"/>
    <x v="2"/>
    <x v="254"/>
    <n v="2"/>
    <n v="1899"/>
    <n v="0.05"/>
    <n v="3798"/>
    <m/>
    <x v="237"/>
    <x v="1"/>
  </r>
  <r>
    <x v="1474"/>
    <x v="3"/>
    <x v="277"/>
    <n v="2"/>
    <n v="599.99"/>
    <n v="0.2"/>
    <n v="1199.98"/>
    <m/>
    <x v="255"/>
    <x v="1"/>
  </r>
  <r>
    <x v="1475"/>
    <x v="0"/>
    <x v="199"/>
    <n v="2"/>
    <n v="3199.99"/>
    <n v="7.0000000000000007E-2"/>
    <n v="6399.98"/>
    <m/>
    <x v="189"/>
    <x v="1"/>
  </r>
  <r>
    <x v="1475"/>
    <x v="1"/>
    <x v="87"/>
    <n v="2"/>
    <n v="349.99"/>
    <n v="7.0000000000000007E-2"/>
    <n v="699.98"/>
    <m/>
    <x v="80"/>
    <x v="1"/>
  </r>
  <r>
    <x v="1475"/>
    <x v="2"/>
    <x v="52"/>
    <n v="1"/>
    <n v="5299.99"/>
    <n v="7.0000000000000007E-2"/>
    <n v="5299.99"/>
    <m/>
    <x v="45"/>
    <x v="1"/>
  </r>
  <r>
    <x v="1475"/>
    <x v="3"/>
    <x v="278"/>
    <n v="1"/>
    <n v="2799.99"/>
    <n v="0.1"/>
    <n v="2799.99"/>
    <m/>
    <x v="256"/>
    <x v="1"/>
  </r>
  <r>
    <x v="1475"/>
    <x v="4"/>
    <x v="237"/>
    <n v="2"/>
    <n v="289.99"/>
    <n v="0.1"/>
    <n v="579.98"/>
    <m/>
    <x v="222"/>
    <x v="1"/>
  </r>
  <r>
    <x v="1476"/>
    <x v="0"/>
    <x v="221"/>
    <n v="2"/>
    <n v="1549"/>
    <n v="0.2"/>
    <n v="3098"/>
    <m/>
    <x v="154"/>
    <x v="1"/>
  </r>
  <r>
    <x v="1477"/>
    <x v="0"/>
    <x v="96"/>
    <n v="2"/>
    <n v="489.99"/>
    <n v="0.1"/>
    <n v="979.98"/>
    <m/>
    <x v="88"/>
    <x v="1"/>
  </r>
  <r>
    <x v="1477"/>
    <x v="1"/>
    <x v="262"/>
    <n v="1"/>
    <n v="999.99"/>
    <n v="0.2"/>
    <n v="999.99"/>
    <m/>
    <x v="243"/>
    <x v="1"/>
  </r>
  <r>
    <x v="1478"/>
    <x v="0"/>
    <x v="253"/>
    <n v="1"/>
    <n v="2999.99"/>
    <n v="0.05"/>
    <n v="2999.99"/>
    <m/>
    <x v="165"/>
    <x v="1"/>
  </r>
  <r>
    <x v="1478"/>
    <x v="1"/>
    <x v="279"/>
    <n v="1"/>
    <n v="899.99"/>
    <n v="0.1"/>
    <n v="899.99"/>
    <m/>
    <x v="257"/>
    <x v="1"/>
  </r>
  <r>
    <x v="1479"/>
    <x v="0"/>
    <x v="239"/>
    <n v="2"/>
    <n v="749.99"/>
    <n v="0.1"/>
    <n v="1499.98"/>
    <m/>
    <x v="224"/>
    <x v="1"/>
  </r>
  <r>
    <x v="1479"/>
    <x v="1"/>
    <x v="90"/>
    <n v="2"/>
    <n v="659.99"/>
    <n v="0.1"/>
    <n v="1319.98"/>
    <m/>
    <x v="83"/>
    <x v="1"/>
  </r>
  <r>
    <x v="1479"/>
    <x v="2"/>
    <x v="102"/>
    <n v="2"/>
    <n v="209.99"/>
    <n v="7.0000000000000007E-2"/>
    <n v="419.98"/>
    <m/>
    <x v="94"/>
    <x v="1"/>
  </r>
  <r>
    <x v="1479"/>
    <x v="3"/>
    <x v="205"/>
    <n v="2"/>
    <n v="959.99"/>
    <n v="7.0000000000000007E-2"/>
    <n v="1919.98"/>
    <m/>
    <x v="195"/>
    <x v="1"/>
  </r>
  <r>
    <x v="1480"/>
    <x v="0"/>
    <x v="29"/>
    <n v="2"/>
    <n v="749.99"/>
    <n v="7.0000000000000007E-2"/>
    <n v="1499.98"/>
    <m/>
    <x v="25"/>
    <x v="1"/>
  </r>
  <r>
    <x v="1480"/>
    <x v="1"/>
    <x v="177"/>
    <n v="1"/>
    <n v="919.99"/>
    <n v="0.1"/>
    <n v="919.99"/>
    <m/>
    <x v="167"/>
    <x v="1"/>
  </r>
  <r>
    <x v="1481"/>
    <x v="0"/>
    <x v="74"/>
    <n v="1"/>
    <n v="1499.99"/>
    <n v="0.1"/>
    <n v="1499.99"/>
    <m/>
    <x v="67"/>
    <x v="1"/>
  </r>
  <r>
    <x v="1481"/>
    <x v="1"/>
    <x v="191"/>
    <n v="1"/>
    <n v="489.99"/>
    <n v="0.05"/>
    <n v="489.99"/>
    <m/>
    <x v="181"/>
    <x v="1"/>
  </r>
  <r>
    <x v="1481"/>
    <x v="2"/>
    <x v="71"/>
    <n v="2"/>
    <n v="4999.99"/>
    <n v="7.0000000000000007E-2"/>
    <n v="9999.98"/>
    <m/>
    <x v="64"/>
    <x v="1"/>
  </r>
  <r>
    <x v="1481"/>
    <x v="3"/>
    <x v="95"/>
    <n v="1"/>
    <n v="4999.99"/>
    <n v="0.05"/>
    <n v="4999.99"/>
    <m/>
    <x v="87"/>
    <x v="1"/>
  </r>
  <r>
    <x v="1481"/>
    <x v="4"/>
    <x v="137"/>
    <n v="2"/>
    <n v="4999.99"/>
    <n v="0.05"/>
    <n v="9999.98"/>
    <m/>
    <x v="128"/>
    <x v="1"/>
  </r>
  <r>
    <x v="1482"/>
    <x v="0"/>
    <x v="280"/>
    <n v="1"/>
    <n v="489.99"/>
    <n v="0.05"/>
    <n v="489.99"/>
    <m/>
    <x v="258"/>
    <x v="1"/>
  </r>
  <r>
    <x v="1482"/>
    <x v="1"/>
    <x v="219"/>
    <n v="2"/>
    <n v="679.99"/>
    <n v="7.0000000000000007E-2"/>
    <n v="1359.98"/>
    <m/>
    <x v="129"/>
    <x v="1"/>
  </r>
  <r>
    <x v="1483"/>
    <x v="0"/>
    <x v="214"/>
    <n v="2"/>
    <n v="319.99"/>
    <n v="7.0000000000000007E-2"/>
    <n v="639.98"/>
    <m/>
    <x v="202"/>
    <x v="1"/>
  </r>
  <r>
    <x v="1483"/>
    <x v="1"/>
    <x v="60"/>
    <n v="2"/>
    <n v="3499.99"/>
    <n v="0.2"/>
    <n v="6999.98"/>
    <m/>
    <x v="53"/>
    <x v="1"/>
  </r>
  <r>
    <x v="1483"/>
    <x v="2"/>
    <x v="138"/>
    <n v="2"/>
    <n v="679.99"/>
    <n v="0.05"/>
    <n v="1359.98"/>
    <m/>
    <x v="129"/>
    <x v="1"/>
  </r>
  <r>
    <x v="1484"/>
    <x v="0"/>
    <x v="281"/>
    <n v="2"/>
    <n v="2499.9899999999998"/>
    <n v="0.2"/>
    <n v="4999.9799999999996"/>
    <m/>
    <x v="259"/>
    <x v="1"/>
  </r>
  <r>
    <x v="1484"/>
    <x v="1"/>
    <x v="176"/>
    <n v="1"/>
    <n v="319.99"/>
    <n v="0.2"/>
    <n v="319.99"/>
    <m/>
    <x v="166"/>
    <x v="1"/>
  </r>
  <r>
    <x v="1485"/>
    <x v="0"/>
    <x v="91"/>
    <n v="2"/>
    <n v="1559.99"/>
    <n v="0.05"/>
    <n v="3119.98"/>
    <m/>
    <x v="84"/>
    <x v="1"/>
  </r>
  <r>
    <x v="1485"/>
    <x v="1"/>
    <x v="72"/>
    <n v="1"/>
    <n v="489.99"/>
    <n v="0.05"/>
    <n v="489.99"/>
    <m/>
    <x v="65"/>
    <x v="1"/>
  </r>
  <r>
    <x v="1485"/>
    <x v="2"/>
    <x v="191"/>
    <n v="1"/>
    <n v="489.99"/>
    <n v="0.1"/>
    <n v="489.99"/>
    <m/>
    <x v="181"/>
    <x v="1"/>
  </r>
  <r>
    <x v="1485"/>
    <x v="3"/>
    <x v="116"/>
    <n v="1"/>
    <n v="199.99"/>
    <n v="0.1"/>
    <n v="199.99"/>
    <m/>
    <x v="108"/>
    <x v="1"/>
  </r>
  <r>
    <x v="1486"/>
    <x v="0"/>
    <x v="140"/>
    <n v="1"/>
    <n v="4499.99"/>
    <n v="7.0000000000000007E-2"/>
    <n v="4499.99"/>
    <m/>
    <x v="131"/>
    <x v="0"/>
  </r>
  <r>
    <x v="1486"/>
    <x v="1"/>
    <x v="117"/>
    <n v="2"/>
    <n v="1549.99"/>
    <n v="0.2"/>
    <n v="3099.98"/>
    <m/>
    <x v="109"/>
    <x v="0"/>
  </r>
  <r>
    <x v="1486"/>
    <x v="2"/>
    <x v="255"/>
    <n v="1"/>
    <n v="2999.99"/>
    <n v="0.05"/>
    <n v="2999.99"/>
    <m/>
    <x v="199"/>
    <x v="0"/>
  </r>
  <r>
    <x v="1486"/>
    <x v="3"/>
    <x v="282"/>
    <n v="1"/>
    <n v="2299.9899999999998"/>
    <n v="0.05"/>
    <n v="2299.9899999999998"/>
    <m/>
    <x v="260"/>
    <x v="0"/>
  </r>
  <r>
    <x v="1486"/>
    <x v="4"/>
    <x v="81"/>
    <n v="2"/>
    <n v="349.99"/>
    <n v="0.2"/>
    <n v="699.98"/>
    <m/>
    <x v="74"/>
    <x v="0"/>
  </r>
  <r>
    <x v="1487"/>
    <x v="0"/>
    <x v="41"/>
    <n v="1"/>
    <n v="2299.9899999999998"/>
    <n v="7.0000000000000007E-2"/>
    <n v="2299.9899999999998"/>
    <m/>
    <x v="36"/>
    <x v="0"/>
  </r>
  <r>
    <x v="1487"/>
    <x v="1"/>
    <x v="281"/>
    <n v="1"/>
    <n v="2499.9899999999998"/>
    <n v="7.0000000000000007E-2"/>
    <n v="2499.9899999999998"/>
    <m/>
    <x v="259"/>
    <x v="0"/>
  </r>
  <r>
    <x v="1488"/>
    <x v="0"/>
    <x v="255"/>
    <n v="1"/>
    <n v="2999.99"/>
    <n v="0.2"/>
    <n v="2999.99"/>
    <m/>
    <x v="199"/>
    <x v="0"/>
  </r>
  <r>
    <x v="1488"/>
    <x v="1"/>
    <x v="129"/>
    <n v="2"/>
    <n v="279.99"/>
    <n v="0.2"/>
    <n v="559.98"/>
    <m/>
    <x v="120"/>
    <x v="0"/>
  </r>
  <r>
    <x v="1488"/>
    <x v="2"/>
    <x v="58"/>
    <n v="1"/>
    <n v="875.99"/>
    <n v="0.1"/>
    <n v="875.99"/>
    <m/>
    <x v="51"/>
    <x v="0"/>
  </r>
  <r>
    <x v="1489"/>
    <x v="0"/>
    <x v="40"/>
    <n v="1"/>
    <n v="299.99"/>
    <n v="0.1"/>
    <n v="299.99"/>
    <m/>
    <x v="35"/>
    <x v="0"/>
  </r>
  <r>
    <x v="1489"/>
    <x v="1"/>
    <x v="226"/>
    <n v="1"/>
    <n v="749.99"/>
    <n v="0.1"/>
    <n v="749.99"/>
    <m/>
    <x v="155"/>
    <x v="0"/>
  </r>
  <r>
    <x v="1489"/>
    <x v="2"/>
    <x v="283"/>
    <n v="1"/>
    <n v="319.99"/>
    <n v="0.05"/>
    <n v="319.99"/>
    <m/>
    <x v="261"/>
    <x v="0"/>
  </r>
  <r>
    <x v="1490"/>
    <x v="0"/>
    <x v="43"/>
    <n v="2"/>
    <n v="299.99"/>
    <n v="0.2"/>
    <n v="599.98"/>
    <m/>
    <x v="31"/>
    <x v="0"/>
  </r>
  <r>
    <x v="1490"/>
    <x v="1"/>
    <x v="246"/>
    <n v="1"/>
    <n v="449.99"/>
    <n v="0.05"/>
    <n v="449.99"/>
    <m/>
    <x v="231"/>
    <x v="0"/>
  </r>
  <r>
    <x v="1490"/>
    <x v="2"/>
    <x v="91"/>
    <n v="2"/>
    <n v="1559.99"/>
    <n v="7.0000000000000007E-2"/>
    <n v="3119.98"/>
    <m/>
    <x v="84"/>
    <x v="0"/>
  </r>
  <r>
    <x v="1490"/>
    <x v="3"/>
    <x v="112"/>
    <n v="2"/>
    <n v="2999.99"/>
    <n v="7.0000000000000007E-2"/>
    <n v="5999.98"/>
    <m/>
    <x v="104"/>
    <x v="0"/>
  </r>
  <r>
    <x v="1491"/>
    <x v="0"/>
    <x v="88"/>
    <n v="2"/>
    <n v="379.99"/>
    <n v="0.1"/>
    <n v="759.98"/>
    <m/>
    <x v="81"/>
    <x v="1"/>
  </r>
  <r>
    <x v="1492"/>
    <x v="0"/>
    <x v="128"/>
    <n v="1"/>
    <n v="429.99"/>
    <n v="0.1"/>
    <n v="429.99"/>
    <m/>
    <x v="119"/>
    <x v="2"/>
  </r>
  <r>
    <x v="1493"/>
    <x v="0"/>
    <x v="128"/>
    <n v="2"/>
    <n v="429.99"/>
    <n v="0.1"/>
    <n v="859.98"/>
    <m/>
    <x v="119"/>
    <x v="0"/>
  </r>
  <r>
    <x v="1493"/>
    <x v="1"/>
    <x v="260"/>
    <n v="2"/>
    <n v="749.99"/>
    <n v="0.2"/>
    <n v="1499.98"/>
    <m/>
    <x v="241"/>
    <x v="0"/>
  </r>
  <r>
    <x v="1493"/>
    <x v="2"/>
    <x v="240"/>
    <n v="2"/>
    <n v="249.99"/>
    <n v="0.05"/>
    <n v="499.98"/>
    <m/>
    <x v="225"/>
    <x v="0"/>
  </r>
  <r>
    <x v="1494"/>
    <x v="0"/>
    <x v="208"/>
    <n v="2"/>
    <n v="369.99"/>
    <n v="0.05"/>
    <n v="739.98"/>
    <m/>
    <x v="197"/>
    <x v="1"/>
  </r>
  <r>
    <x v="1494"/>
    <x v="1"/>
    <x v="239"/>
    <n v="2"/>
    <n v="749.99"/>
    <n v="0.2"/>
    <n v="1499.98"/>
    <m/>
    <x v="224"/>
    <x v="1"/>
  </r>
  <r>
    <x v="1494"/>
    <x v="2"/>
    <x v="234"/>
    <n v="1"/>
    <n v="2599"/>
    <n v="0.1"/>
    <n v="2599"/>
    <m/>
    <x v="219"/>
    <x v="1"/>
  </r>
  <r>
    <x v="1495"/>
    <x v="0"/>
    <x v="277"/>
    <n v="1"/>
    <n v="599.99"/>
    <n v="7.0000000000000007E-2"/>
    <n v="599.99"/>
    <m/>
    <x v="255"/>
    <x v="0"/>
  </r>
  <r>
    <x v="1495"/>
    <x v="1"/>
    <x v="204"/>
    <n v="1"/>
    <n v="899.99"/>
    <n v="7.0000000000000007E-2"/>
    <n v="899.99"/>
    <m/>
    <x v="194"/>
    <x v="0"/>
  </r>
  <r>
    <x v="1495"/>
    <x v="2"/>
    <x v="222"/>
    <n v="2"/>
    <n v="479.99"/>
    <n v="0.05"/>
    <n v="959.98"/>
    <m/>
    <x v="208"/>
    <x v="0"/>
  </r>
  <r>
    <x v="1495"/>
    <x v="3"/>
    <x v="246"/>
    <n v="1"/>
    <n v="449.99"/>
    <n v="0.05"/>
    <n v="449.99"/>
    <m/>
    <x v="231"/>
    <x v="0"/>
  </r>
  <r>
    <x v="1495"/>
    <x v="4"/>
    <x v="205"/>
    <n v="2"/>
    <n v="959.99"/>
    <n v="0.2"/>
    <n v="1919.98"/>
    <m/>
    <x v="195"/>
    <x v="0"/>
  </r>
  <r>
    <x v="1496"/>
    <x v="0"/>
    <x v="257"/>
    <n v="2"/>
    <n v="1599.99"/>
    <n v="0.2"/>
    <n v="3199.98"/>
    <m/>
    <x v="239"/>
    <x v="0"/>
  </r>
  <r>
    <x v="1496"/>
    <x v="1"/>
    <x v="255"/>
    <n v="2"/>
    <n v="2999.99"/>
    <n v="0.1"/>
    <n v="5999.98"/>
    <m/>
    <x v="199"/>
    <x v="0"/>
  </r>
  <r>
    <x v="1496"/>
    <x v="2"/>
    <x v="180"/>
    <n v="2"/>
    <n v="3599.99"/>
    <n v="7.0000000000000007E-2"/>
    <n v="7199.98"/>
    <m/>
    <x v="170"/>
    <x v="0"/>
  </r>
  <r>
    <x v="1497"/>
    <x v="0"/>
    <x v="155"/>
    <n v="1"/>
    <n v="3199.99"/>
    <n v="0.05"/>
    <n v="3199.99"/>
    <m/>
    <x v="146"/>
    <x v="0"/>
  </r>
  <r>
    <x v="1497"/>
    <x v="1"/>
    <x v="258"/>
    <n v="2"/>
    <n v="799.99"/>
    <n v="7.0000000000000007E-2"/>
    <n v="1599.98"/>
    <m/>
    <x v="124"/>
    <x v="0"/>
  </r>
  <r>
    <x v="1498"/>
    <x v="0"/>
    <x v="55"/>
    <n v="1"/>
    <n v="470.99"/>
    <n v="0.05"/>
    <n v="470.99"/>
    <m/>
    <x v="48"/>
    <x v="0"/>
  </r>
  <r>
    <x v="1498"/>
    <x v="1"/>
    <x v="194"/>
    <n v="1"/>
    <n v="1799.99"/>
    <n v="7.0000000000000007E-2"/>
    <n v="1799.99"/>
    <m/>
    <x v="184"/>
    <x v="0"/>
  </r>
  <r>
    <x v="1498"/>
    <x v="2"/>
    <x v="217"/>
    <n v="2"/>
    <n v="159.99"/>
    <n v="0.05"/>
    <n v="319.98"/>
    <m/>
    <x v="205"/>
    <x v="0"/>
  </r>
  <r>
    <x v="1498"/>
    <x v="3"/>
    <x v="6"/>
    <n v="1"/>
    <n v="749.99"/>
    <n v="0.05"/>
    <n v="749.99"/>
    <m/>
    <x v="6"/>
    <x v="0"/>
  </r>
  <r>
    <x v="1498"/>
    <x v="4"/>
    <x v="212"/>
    <n v="2"/>
    <n v="3199.99"/>
    <n v="0.1"/>
    <n v="6399.98"/>
    <m/>
    <x v="200"/>
    <x v="0"/>
  </r>
  <r>
    <x v="1499"/>
    <x v="0"/>
    <x v="67"/>
    <n v="2"/>
    <n v="1469.99"/>
    <n v="7.0000000000000007E-2"/>
    <n v="2939.98"/>
    <m/>
    <x v="60"/>
    <x v="0"/>
  </r>
  <r>
    <x v="1499"/>
    <x v="1"/>
    <x v="284"/>
    <n v="1"/>
    <n v="319.99"/>
    <n v="7.0000000000000007E-2"/>
    <n v="319.99"/>
    <m/>
    <x v="262"/>
    <x v="0"/>
  </r>
  <r>
    <x v="1500"/>
    <x v="0"/>
    <x v="277"/>
    <n v="1"/>
    <n v="599.99"/>
    <n v="0.05"/>
    <n v="599.99"/>
    <m/>
    <x v="255"/>
    <x v="1"/>
  </r>
  <r>
    <x v="1500"/>
    <x v="1"/>
    <x v="244"/>
    <n v="1"/>
    <n v="639.99"/>
    <n v="7.0000000000000007E-2"/>
    <n v="639.99"/>
    <m/>
    <x v="229"/>
    <x v="1"/>
  </r>
  <r>
    <x v="1500"/>
    <x v="2"/>
    <x v="12"/>
    <n v="1"/>
    <n v="529.99"/>
    <n v="0.05"/>
    <n v="529.99"/>
    <m/>
    <x v="11"/>
    <x v="1"/>
  </r>
  <r>
    <x v="1500"/>
    <x v="3"/>
    <x v="50"/>
    <n v="1"/>
    <n v="250.99"/>
    <n v="0.2"/>
    <n v="250.99"/>
    <m/>
    <x v="43"/>
    <x v="1"/>
  </r>
  <r>
    <x v="1500"/>
    <x v="4"/>
    <x v="221"/>
    <n v="1"/>
    <n v="1549"/>
    <n v="0.05"/>
    <n v="1549"/>
    <m/>
    <x v="154"/>
    <x v="1"/>
  </r>
  <r>
    <x v="1501"/>
    <x v="0"/>
    <x v="285"/>
    <n v="2"/>
    <n v="529.99"/>
    <n v="0.2"/>
    <n v="1059.98"/>
    <m/>
    <x v="263"/>
    <x v="1"/>
  </r>
  <r>
    <x v="1501"/>
    <x v="1"/>
    <x v="23"/>
    <n v="2"/>
    <n v="449"/>
    <n v="7.0000000000000007E-2"/>
    <n v="898"/>
    <m/>
    <x v="20"/>
    <x v="1"/>
  </r>
  <r>
    <x v="1501"/>
    <x v="2"/>
    <x v="8"/>
    <n v="2"/>
    <n v="599.99"/>
    <n v="7.0000000000000007E-2"/>
    <n v="1199.98"/>
    <m/>
    <x v="3"/>
    <x v="1"/>
  </r>
  <r>
    <x v="1501"/>
    <x v="3"/>
    <x v="217"/>
    <n v="1"/>
    <n v="159.99"/>
    <n v="0.2"/>
    <n v="159.99"/>
    <m/>
    <x v="205"/>
    <x v="1"/>
  </r>
  <r>
    <x v="1501"/>
    <x v="4"/>
    <x v="201"/>
    <n v="1"/>
    <n v="899.99"/>
    <n v="7.0000000000000007E-2"/>
    <n v="899.99"/>
    <m/>
    <x v="191"/>
    <x v="1"/>
  </r>
  <r>
    <x v="1502"/>
    <x v="0"/>
    <x v="223"/>
    <n v="1"/>
    <n v="909.99"/>
    <n v="0.1"/>
    <n v="909.99"/>
    <m/>
    <x v="209"/>
    <x v="0"/>
  </r>
  <r>
    <x v="1502"/>
    <x v="1"/>
    <x v="246"/>
    <n v="2"/>
    <n v="449.99"/>
    <n v="0.05"/>
    <n v="899.98"/>
    <m/>
    <x v="231"/>
    <x v="0"/>
  </r>
  <r>
    <x v="1503"/>
    <x v="0"/>
    <x v="176"/>
    <n v="1"/>
    <n v="319.99"/>
    <n v="7.0000000000000007E-2"/>
    <n v="319.99"/>
    <m/>
    <x v="166"/>
    <x v="0"/>
  </r>
  <r>
    <x v="1504"/>
    <x v="0"/>
    <x v="195"/>
    <n v="2"/>
    <n v="529.99"/>
    <n v="0.05"/>
    <n v="1059.98"/>
    <m/>
    <x v="185"/>
    <x v="1"/>
  </r>
  <r>
    <x v="1504"/>
    <x v="1"/>
    <x v="24"/>
    <n v="2"/>
    <n v="549.99"/>
    <n v="7.0000000000000007E-2"/>
    <n v="1099.98"/>
    <m/>
    <x v="9"/>
    <x v="1"/>
  </r>
  <r>
    <x v="1504"/>
    <x v="2"/>
    <x v="52"/>
    <n v="2"/>
    <n v="5299.99"/>
    <n v="0.05"/>
    <n v="10599.98"/>
    <m/>
    <x v="45"/>
    <x v="1"/>
  </r>
  <r>
    <x v="1505"/>
    <x v="0"/>
    <x v="153"/>
    <n v="1"/>
    <n v="3499.99"/>
    <n v="0.05"/>
    <n v="3499.99"/>
    <m/>
    <x v="144"/>
    <x v="1"/>
  </r>
  <r>
    <x v="1505"/>
    <x v="1"/>
    <x v="145"/>
    <n v="2"/>
    <n v="4999.99"/>
    <n v="0.2"/>
    <n v="9999.98"/>
    <m/>
    <x v="136"/>
    <x v="1"/>
  </r>
  <r>
    <x v="1505"/>
    <x v="2"/>
    <x v="172"/>
    <n v="2"/>
    <n v="7499.99"/>
    <n v="0.05"/>
    <n v="14999.98"/>
    <m/>
    <x v="163"/>
    <x v="1"/>
  </r>
  <r>
    <x v="1506"/>
    <x v="0"/>
    <x v="62"/>
    <n v="2"/>
    <n v="1499.99"/>
    <n v="0.2"/>
    <n v="2999.98"/>
    <m/>
    <x v="55"/>
    <x v="1"/>
  </r>
  <r>
    <x v="1506"/>
    <x v="1"/>
    <x v="16"/>
    <n v="2"/>
    <n v="1680.99"/>
    <n v="0.1"/>
    <n v="3361.98"/>
    <m/>
    <x v="14"/>
    <x v="1"/>
  </r>
  <r>
    <x v="1506"/>
    <x v="2"/>
    <x v="286"/>
    <n v="1"/>
    <n v="1199.99"/>
    <n v="7.0000000000000007E-2"/>
    <n v="1199.99"/>
    <m/>
    <x v="264"/>
    <x v="1"/>
  </r>
  <r>
    <x v="1506"/>
    <x v="3"/>
    <x v="248"/>
    <n v="1"/>
    <n v="319.99"/>
    <n v="7.0000000000000007E-2"/>
    <n v="319.99"/>
    <m/>
    <x v="201"/>
    <x v="1"/>
  </r>
  <r>
    <x v="1506"/>
    <x v="4"/>
    <x v="284"/>
    <n v="2"/>
    <n v="319.99"/>
    <n v="0.05"/>
    <n v="639.98"/>
    <m/>
    <x v="262"/>
    <x v="1"/>
  </r>
  <r>
    <x v="1507"/>
    <x v="0"/>
    <x v="88"/>
    <n v="1"/>
    <n v="379.99"/>
    <n v="0.2"/>
    <n v="379.99"/>
    <m/>
    <x v="81"/>
    <x v="1"/>
  </r>
  <r>
    <x v="1507"/>
    <x v="1"/>
    <x v="36"/>
    <n v="1"/>
    <n v="416.99"/>
    <n v="0.1"/>
    <n v="416.99"/>
    <m/>
    <x v="32"/>
    <x v="1"/>
  </r>
  <r>
    <x v="1507"/>
    <x v="2"/>
    <x v="58"/>
    <n v="2"/>
    <n v="875.99"/>
    <n v="0.05"/>
    <n v="1751.98"/>
    <m/>
    <x v="51"/>
    <x v="1"/>
  </r>
  <r>
    <x v="1507"/>
    <x v="3"/>
    <x v="54"/>
    <n v="1"/>
    <n v="189.99"/>
    <n v="0.05"/>
    <n v="189.99"/>
    <m/>
    <x v="47"/>
    <x v="1"/>
  </r>
  <r>
    <x v="1508"/>
    <x v="0"/>
    <x v="149"/>
    <n v="2"/>
    <n v="749.99"/>
    <n v="7.0000000000000007E-2"/>
    <n v="1499.98"/>
    <m/>
    <x v="140"/>
    <x v="0"/>
  </r>
  <r>
    <x v="1509"/>
    <x v="0"/>
    <x v="199"/>
    <n v="2"/>
    <n v="3199.99"/>
    <n v="0.05"/>
    <n v="6399.98"/>
    <m/>
    <x v="189"/>
    <x v="1"/>
  </r>
  <r>
    <x v="1509"/>
    <x v="1"/>
    <x v="39"/>
    <n v="1"/>
    <n v="449.99"/>
    <n v="0.1"/>
    <n v="449.99"/>
    <m/>
    <x v="22"/>
    <x v="1"/>
  </r>
  <r>
    <x v="1509"/>
    <x v="2"/>
    <x v="211"/>
    <n v="2"/>
    <n v="2999.99"/>
    <n v="0.1"/>
    <n v="5999.98"/>
    <m/>
    <x v="199"/>
    <x v="1"/>
  </r>
  <r>
    <x v="1509"/>
    <x v="3"/>
    <x v="229"/>
    <n v="2"/>
    <n v="269.99"/>
    <n v="0.1"/>
    <n v="539.98"/>
    <m/>
    <x v="214"/>
    <x v="1"/>
  </r>
  <r>
    <x v="1509"/>
    <x v="4"/>
    <x v="234"/>
    <n v="1"/>
    <n v="2599"/>
    <n v="0.05"/>
    <n v="2599"/>
    <m/>
    <x v="219"/>
    <x v="1"/>
  </r>
  <r>
    <x v="1510"/>
    <x v="0"/>
    <x v="183"/>
    <n v="2"/>
    <n v="1549.99"/>
    <n v="0.2"/>
    <n v="3099.98"/>
    <m/>
    <x v="173"/>
    <x v="1"/>
  </r>
  <r>
    <x v="1510"/>
    <x v="1"/>
    <x v="287"/>
    <n v="1"/>
    <n v="389.99"/>
    <n v="7.0000000000000007E-2"/>
    <n v="389.99"/>
    <m/>
    <x v="265"/>
    <x v="1"/>
  </r>
  <r>
    <x v="1510"/>
    <x v="2"/>
    <x v="7"/>
    <n v="2"/>
    <n v="429"/>
    <n v="7.0000000000000007E-2"/>
    <n v="858"/>
    <m/>
    <x v="7"/>
    <x v="1"/>
  </r>
  <r>
    <x v="1510"/>
    <x v="3"/>
    <x v="67"/>
    <n v="1"/>
    <n v="1469.99"/>
    <n v="0.05"/>
    <n v="1469.99"/>
    <m/>
    <x v="60"/>
    <x v="1"/>
  </r>
  <r>
    <x v="1510"/>
    <x v="4"/>
    <x v="190"/>
    <n v="2"/>
    <n v="1499"/>
    <n v="0.2"/>
    <n v="2998"/>
    <m/>
    <x v="180"/>
    <x v="1"/>
  </r>
  <r>
    <x v="1511"/>
    <x v="0"/>
    <x v="223"/>
    <n v="1"/>
    <n v="909.99"/>
    <n v="7.0000000000000007E-2"/>
    <n v="909.99"/>
    <m/>
    <x v="209"/>
    <x v="2"/>
  </r>
  <r>
    <x v="1512"/>
    <x v="0"/>
    <x v="171"/>
    <n v="1"/>
    <n v="749.99"/>
    <n v="0.1"/>
    <n v="749.99"/>
    <m/>
    <x v="162"/>
    <x v="0"/>
  </r>
  <r>
    <x v="1512"/>
    <x v="1"/>
    <x v="32"/>
    <n v="2"/>
    <n v="4999.99"/>
    <n v="0.05"/>
    <n v="9999.98"/>
    <m/>
    <x v="28"/>
    <x v="0"/>
  </r>
  <r>
    <x v="1512"/>
    <x v="2"/>
    <x v="166"/>
    <n v="2"/>
    <n v="2299.9899999999998"/>
    <n v="0.05"/>
    <n v="4599.9799999999996"/>
    <m/>
    <x v="157"/>
    <x v="0"/>
  </r>
  <r>
    <x v="1513"/>
    <x v="0"/>
    <x v="216"/>
    <n v="2"/>
    <n v="899.99"/>
    <n v="0.1"/>
    <n v="1799.98"/>
    <m/>
    <x v="204"/>
    <x v="0"/>
  </r>
  <r>
    <x v="1513"/>
    <x v="1"/>
    <x v="139"/>
    <n v="2"/>
    <n v="4999.99"/>
    <n v="0.05"/>
    <n v="9999.98"/>
    <m/>
    <x v="130"/>
    <x v="0"/>
  </r>
  <r>
    <x v="1514"/>
    <x v="0"/>
    <x v="97"/>
    <n v="2"/>
    <n v="999.99"/>
    <n v="0.2"/>
    <n v="1999.98"/>
    <m/>
    <x v="89"/>
    <x v="2"/>
  </r>
  <r>
    <x v="1514"/>
    <x v="1"/>
    <x v="288"/>
    <n v="2"/>
    <n v="3499.99"/>
    <n v="0.1"/>
    <n v="6999.98"/>
    <m/>
    <x v="266"/>
    <x v="2"/>
  </r>
  <r>
    <x v="1514"/>
    <x v="2"/>
    <x v="273"/>
    <n v="2"/>
    <n v="899.99"/>
    <n v="0.05"/>
    <n v="1799.98"/>
    <m/>
    <x v="204"/>
    <x v="2"/>
  </r>
  <r>
    <x v="1514"/>
    <x v="3"/>
    <x v="95"/>
    <n v="1"/>
    <n v="4999.99"/>
    <n v="0.1"/>
    <n v="4999.99"/>
    <m/>
    <x v="87"/>
    <x v="2"/>
  </r>
  <r>
    <x v="1514"/>
    <x v="4"/>
    <x v="289"/>
    <n v="2"/>
    <n v="959.99"/>
    <n v="0.2"/>
    <n v="1919.98"/>
    <m/>
    <x v="267"/>
    <x v="2"/>
  </r>
  <r>
    <x v="1515"/>
    <x v="0"/>
    <x v="155"/>
    <n v="2"/>
    <n v="3199.99"/>
    <n v="0.1"/>
    <n v="6399.98"/>
    <m/>
    <x v="146"/>
    <x v="0"/>
  </r>
  <r>
    <x v="1515"/>
    <x v="1"/>
    <x v="130"/>
    <n v="1"/>
    <n v="2599.9899999999998"/>
    <n v="0.1"/>
    <n v="2599.9899999999998"/>
    <m/>
    <x v="121"/>
    <x v="0"/>
  </r>
  <r>
    <x v="1515"/>
    <x v="2"/>
    <x v="282"/>
    <n v="2"/>
    <n v="2299.9899999999998"/>
    <n v="0.2"/>
    <n v="4599.9799999999996"/>
    <m/>
    <x v="260"/>
    <x v="0"/>
  </r>
  <r>
    <x v="1515"/>
    <x v="3"/>
    <x v="286"/>
    <n v="2"/>
    <n v="1199.99"/>
    <n v="0.2"/>
    <n v="2399.98"/>
    <m/>
    <x v="264"/>
    <x v="0"/>
  </r>
  <r>
    <x v="1515"/>
    <x v="4"/>
    <x v="261"/>
    <n v="2"/>
    <n v="209.99"/>
    <n v="0.2"/>
    <n v="419.98"/>
    <m/>
    <x v="242"/>
    <x v="0"/>
  </r>
  <r>
    <x v="1516"/>
    <x v="0"/>
    <x v="290"/>
    <n v="2"/>
    <n v="2599.9899999999998"/>
    <n v="7.0000000000000007E-2"/>
    <n v="5199.9799999999996"/>
    <m/>
    <x v="156"/>
    <x v="0"/>
  </r>
  <r>
    <x v="1516"/>
    <x v="1"/>
    <x v="219"/>
    <n v="2"/>
    <n v="679.99"/>
    <n v="0.05"/>
    <n v="1359.98"/>
    <m/>
    <x v="129"/>
    <x v="0"/>
  </r>
  <r>
    <x v="1517"/>
    <x v="0"/>
    <x v="138"/>
    <n v="2"/>
    <n v="679.99"/>
    <n v="0.1"/>
    <n v="1359.98"/>
    <m/>
    <x v="129"/>
    <x v="0"/>
  </r>
  <r>
    <x v="1517"/>
    <x v="1"/>
    <x v="197"/>
    <n v="2"/>
    <n v="2499.9899999999998"/>
    <n v="0.05"/>
    <n v="4999.9799999999996"/>
    <m/>
    <x v="187"/>
    <x v="0"/>
  </r>
  <r>
    <x v="1517"/>
    <x v="2"/>
    <x v="253"/>
    <n v="2"/>
    <n v="2999.99"/>
    <n v="0.05"/>
    <n v="5999.98"/>
    <m/>
    <x v="165"/>
    <x v="0"/>
  </r>
  <r>
    <x v="1518"/>
    <x v="0"/>
    <x v="158"/>
    <n v="1"/>
    <n v="4499.99"/>
    <n v="0.2"/>
    <n v="4499.99"/>
    <m/>
    <x v="149"/>
    <x v="1"/>
  </r>
  <r>
    <x v="1518"/>
    <x v="1"/>
    <x v="25"/>
    <n v="2"/>
    <n v="329.99"/>
    <n v="0.2"/>
    <n v="659.98"/>
    <m/>
    <x v="21"/>
    <x v="1"/>
  </r>
  <r>
    <x v="1518"/>
    <x v="2"/>
    <x v="190"/>
    <n v="2"/>
    <n v="1499"/>
    <n v="7.0000000000000007E-2"/>
    <n v="2998"/>
    <m/>
    <x v="180"/>
    <x v="1"/>
  </r>
  <r>
    <x v="1518"/>
    <x v="3"/>
    <x v="105"/>
    <n v="1"/>
    <n v="346.99"/>
    <n v="0.2"/>
    <n v="346.99"/>
    <m/>
    <x v="97"/>
    <x v="1"/>
  </r>
  <r>
    <x v="1518"/>
    <x v="4"/>
    <x v="237"/>
    <n v="2"/>
    <n v="289.99"/>
    <n v="0.05"/>
    <n v="579.98"/>
    <m/>
    <x v="222"/>
    <x v="1"/>
  </r>
  <r>
    <x v="1519"/>
    <x v="0"/>
    <x v="192"/>
    <n v="1"/>
    <n v="4499.99"/>
    <n v="0.05"/>
    <n v="4499.99"/>
    <m/>
    <x v="182"/>
    <x v="2"/>
  </r>
  <r>
    <x v="1519"/>
    <x v="1"/>
    <x v="198"/>
    <n v="2"/>
    <n v="3499.99"/>
    <n v="0.2"/>
    <n v="6999.98"/>
    <m/>
    <x v="188"/>
    <x v="2"/>
  </r>
  <r>
    <x v="1519"/>
    <x v="2"/>
    <x v="273"/>
    <n v="2"/>
    <n v="899.99"/>
    <n v="7.0000000000000007E-2"/>
    <n v="1799.98"/>
    <m/>
    <x v="204"/>
    <x v="2"/>
  </r>
  <r>
    <x v="1519"/>
    <x v="3"/>
    <x v="160"/>
    <n v="2"/>
    <n v="89.99"/>
    <n v="0.1"/>
    <n v="179.98"/>
    <m/>
    <x v="151"/>
    <x v="2"/>
  </r>
  <r>
    <x v="1520"/>
    <x v="0"/>
    <x v="96"/>
    <n v="1"/>
    <n v="489.99"/>
    <n v="0.2"/>
    <n v="489.99"/>
    <m/>
    <x v="88"/>
    <x v="0"/>
  </r>
  <r>
    <x v="1520"/>
    <x v="1"/>
    <x v="291"/>
    <n v="2"/>
    <n v="679.99"/>
    <n v="0.2"/>
    <n v="1359.98"/>
    <m/>
    <x v="118"/>
    <x v="0"/>
  </r>
  <r>
    <x v="1520"/>
    <x v="2"/>
    <x v="262"/>
    <n v="1"/>
    <n v="999.99"/>
    <n v="0.1"/>
    <n v="999.99"/>
    <m/>
    <x v="243"/>
    <x v="0"/>
  </r>
  <r>
    <x v="1520"/>
    <x v="3"/>
    <x v="206"/>
    <n v="2"/>
    <n v="1499.99"/>
    <n v="0.2"/>
    <n v="2999.98"/>
    <m/>
    <x v="196"/>
    <x v="0"/>
  </r>
  <r>
    <x v="1521"/>
    <x v="0"/>
    <x v="43"/>
    <n v="1"/>
    <n v="299.99"/>
    <n v="0.1"/>
    <n v="299.99"/>
    <m/>
    <x v="31"/>
    <x v="0"/>
  </r>
  <r>
    <x v="1521"/>
    <x v="1"/>
    <x v="257"/>
    <n v="1"/>
    <n v="1599.99"/>
    <n v="7.0000000000000007E-2"/>
    <n v="1599.99"/>
    <m/>
    <x v="239"/>
    <x v="0"/>
  </r>
  <r>
    <x v="1521"/>
    <x v="2"/>
    <x v="266"/>
    <n v="1"/>
    <n v="1469.99"/>
    <n v="7.0000000000000007E-2"/>
    <n v="1469.99"/>
    <m/>
    <x v="246"/>
    <x v="0"/>
  </r>
  <r>
    <x v="1522"/>
    <x v="0"/>
    <x v="122"/>
    <n v="2"/>
    <n v="749.99"/>
    <n v="0.2"/>
    <n v="1499.98"/>
    <m/>
    <x v="111"/>
    <x v="1"/>
  </r>
  <r>
    <x v="1523"/>
    <x v="0"/>
    <x v="163"/>
    <n v="1"/>
    <n v="1549"/>
    <n v="0.1"/>
    <n v="1549"/>
    <m/>
    <x v="154"/>
    <x v="1"/>
  </r>
  <r>
    <x v="1523"/>
    <x v="1"/>
    <x v="214"/>
    <n v="2"/>
    <n v="319.99"/>
    <n v="0.2"/>
    <n v="639.98"/>
    <m/>
    <x v="202"/>
    <x v="1"/>
  </r>
  <r>
    <x v="1523"/>
    <x v="2"/>
    <x v="173"/>
    <n v="1"/>
    <n v="449.99"/>
    <n v="0.2"/>
    <n v="449.99"/>
    <m/>
    <x v="164"/>
    <x v="1"/>
  </r>
  <r>
    <x v="1523"/>
    <x v="3"/>
    <x v="253"/>
    <n v="2"/>
    <n v="2999.99"/>
    <n v="0.2"/>
    <n v="5999.98"/>
    <m/>
    <x v="165"/>
    <x v="1"/>
  </r>
  <r>
    <x v="1524"/>
    <x v="0"/>
    <x v="292"/>
    <n v="1"/>
    <n v="6499.99"/>
    <n v="0.1"/>
    <n v="6499.99"/>
    <m/>
    <x v="268"/>
    <x v="1"/>
  </r>
  <r>
    <x v="1524"/>
    <x v="1"/>
    <x v="179"/>
    <n v="2"/>
    <n v="1349"/>
    <n v="7.0000000000000007E-2"/>
    <n v="2698"/>
    <m/>
    <x v="169"/>
    <x v="1"/>
  </r>
  <r>
    <x v="1524"/>
    <x v="2"/>
    <x v="230"/>
    <n v="1"/>
    <n v="2799.99"/>
    <n v="7.0000000000000007E-2"/>
    <n v="2799.99"/>
    <m/>
    <x v="215"/>
    <x v="1"/>
  </r>
  <r>
    <x v="1525"/>
    <x v="0"/>
    <x v="117"/>
    <n v="1"/>
    <n v="1549.99"/>
    <n v="7.0000000000000007E-2"/>
    <n v="1549.99"/>
    <m/>
    <x v="109"/>
    <x v="1"/>
  </r>
  <r>
    <x v="1525"/>
    <x v="1"/>
    <x v="28"/>
    <n v="1"/>
    <n v="5499.99"/>
    <n v="0.1"/>
    <n v="5499.99"/>
    <m/>
    <x v="24"/>
    <x v="1"/>
  </r>
  <r>
    <x v="1525"/>
    <x v="2"/>
    <x v="207"/>
    <n v="1"/>
    <n v="749.99"/>
    <n v="0.1"/>
    <n v="749.99"/>
    <m/>
    <x v="168"/>
    <x v="1"/>
  </r>
  <r>
    <x v="1525"/>
    <x v="3"/>
    <x v="127"/>
    <n v="1"/>
    <n v="679.99"/>
    <n v="0.05"/>
    <n v="679.99"/>
    <m/>
    <x v="118"/>
    <x v="1"/>
  </r>
  <r>
    <x v="1526"/>
    <x v="0"/>
    <x v="57"/>
    <n v="1"/>
    <n v="469.99"/>
    <n v="0.1"/>
    <n v="469.99"/>
    <m/>
    <x v="50"/>
    <x v="2"/>
  </r>
  <r>
    <x v="1526"/>
    <x v="1"/>
    <x v="27"/>
    <n v="1"/>
    <n v="551.99"/>
    <n v="0.05"/>
    <n v="551.99"/>
    <m/>
    <x v="23"/>
    <x v="2"/>
  </r>
  <r>
    <x v="1526"/>
    <x v="2"/>
    <x v="94"/>
    <n v="2"/>
    <n v="1999.99"/>
    <n v="0.05"/>
    <n v="3999.98"/>
    <m/>
    <x v="86"/>
    <x v="2"/>
  </r>
  <r>
    <x v="1527"/>
    <x v="0"/>
    <x v="202"/>
    <n v="2"/>
    <n v="429.99"/>
    <n v="0.2"/>
    <n v="859.98"/>
    <m/>
    <x v="192"/>
    <x v="2"/>
  </r>
  <r>
    <x v="1528"/>
    <x v="0"/>
    <x v="19"/>
    <n v="1"/>
    <n v="299.99"/>
    <n v="0.05"/>
    <n v="299.99"/>
    <m/>
    <x v="17"/>
    <x v="2"/>
  </r>
  <r>
    <x v="1528"/>
    <x v="1"/>
    <x v="69"/>
    <n v="2"/>
    <n v="5999.99"/>
    <n v="0.1"/>
    <n v="11999.98"/>
    <m/>
    <x v="62"/>
    <x v="2"/>
  </r>
  <r>
    <x v="1529"/>
    <x v="0"/>
    <x v="193"/>
    <n v="2"/>
    <n v="269.99"/>
    <n v="0.1"/>
    <n v="539.98"/>
    <m/>
    <x v="183"/>
    <x v="0"/>
  </r>
  <r>
    <x v="1529"/>
    <x v="1"/>
    <x v="259"/>
    <n v="1"/>
    <n v="749.99"/>
    <n v="0.1"/>
    <n v="749.99"/>
    <m/>
    <x v="240"/>
    <x v="0"/>
  </r>
  <r>
    <x v="1530"/>
    <x v="0"/>
    <x v="186"/>
    <n v="1"/>
    <n v="1899"/>
    <n v="0.1"/>
    <n v="1899"/>
    <m/>
    <x v="176"/>
    <x v="0"/>
  </r>
  <r>
    <x v="1531"/>
    <x v="0"/>
    <x v="114"/>
    <n v="2"/>
    <n v="2999.99"/>
    <n v="7.0000000000000007E-2"/>
    <n v="5999.98"/>
    <m/>
    <x v="106"/>
    <x v="1"/>
  </r>
  <r>
    <x v="1532"/>
    <x v="0"/>
    <x v="203"/>
    <n v="2"/>
    <n v="229.99"/>
    <n v="0.1"/>
    <n v="459.98"/>
    <m/>
    <x v="193"/>
    <x v="1"/>
  </r>
  <r>
    <x v="1532"/>
    <x v="1"/>
    <x v="46"/>
    <n v="1"/>
    <n v="647.99"/>
    <n v="0.1"/>
    <n v="647.99"/>
    <m/>
    <x v="40"/>
    <x v="1"/>
  </r>
  <r>
    <x v="1532"/>
    <x v="2"/>
    <x v="81"/>
    <n v="1"/>
    <n v="349.99"/>
    <n v="0.1"/>
    <n v="349.99"/>
    <m/>
    <x v="74"/>
    <x v="1"/>
  </r>
  <r>
    <x v="1532"/>
    <x v="3"/>
    <x v="111"/>
    <n v="2"/>
    <n v="899.99"/>
    <n v="0.1"/>
    <n v="1799.98"/>
    <m/>
    <x v="103"/>
    <x v="1"/>
  </r>
  <r>
    <x v="1532"/>
    <x v="4"/>
    <x v="80"/>
    <n v="1"/>
    <n v="6499.99"/>
    <n v="0.1"/>
    <n v="6499.99"/>
    <m/>
    <x v="73"/>
    <x v="1"/>
  </r>
  <r>
    <x v="1533"/>
    <x v="0"/>
    <x v="242"/>
    <n v="1"/>
    <n v="3499.99"/>
    <n v="0.1"/>
    <n v="3499.99"/>
    <m/>
    <x v="227"/>
    <x v="1"/>
  </r>
  <r>
    <x v="1533"/>
    <x v="1"/>
    <x v="266"/>
    <n v="1"/>
    <n v="1469.99"/>
    <n v="0.05"/>
    <n v="1469.99"/>
    <m/>
    <x v="246"/>
    <x v="1"/>
  </r>
  <r>
    <x v="1533"/>
    <x v="2"/>
    <x v="116"/>
    <n v="2"/>
    <n v="199.99"/>
    <n v="0.2"/>
    <n v="399.98"/>
    <m/>
    <x v="108"/>
    <x v="1"/>
  </r>
  <r>
    <x v="1533"/>
    <x v="3"/>
    <x v="155"/>
    <n v="2"/>
    <n v="3199.99"/>
    <n v="0.2"/>
    <n v="6399.98"/>
    <m/>
    <x v="146"/>
    <x v="1"/>
  </r>
  <r>
    <x v="1534"/>
    <x v="0"/>
    <x v="102"/>
    <n v="1"/>
    <n v="209.99"/>
    <n v="0.05"/>
    <n v="209.99"/>
    <m/>
    <x v="94"/>
    <x v="1"/>
  </r>
  <r>
    <x v="1534"/>
    <x v="1"/>
    <x v="85"/>
    <n v="2"/>
    <n v="599.99"/>
    <n v="0.05"/>
    <n v="1199.98"/>
    <m/>
    <x v="78"/>
    <x v="1"/>
  </r>
  <r>
    <x v="1535"/>
    <x v="0"/>
    <x v="293"/>
    <n v="1"/>
    <n v="2199.9899999999998"/>
    <n v="0.2"/>
    <n v="2199.9899999999998"/>
    <m/>
    <x v="269"/>
    <x v="1"/>
  </r>
  <r>
    <x v="1535"/>
    <x v="1"/>
    <x v="144"/>
    <n v="2"/>
    <n v="2799.99"/>
    <n v="7.0000000000000007E-2"/>
    <n v="5599.98"/>
    <m/>
    <x v="135"/>
    <x v="1"/>
  </r>
  <r>
    <x v="1535"/>
    <x v="2"/>
    <x v="282"/>
    <n v="2"/>
    <n v="2299.9899999999998"/>
    <n v="0.2"/>
    <n v="4599.9799999999996"/>
    <m/>
    <x v="260"/>
    <x v="1"/>
  </r>
  <r>
    <x v="1536"/>
    <x v="0"/>
    <x v="148"/>
    <n v="2"/>
    <n v="849.99"/>
    <n v="0.05"/>
    <n v="1699.98"/>
    <m/>
    <x v="139"/>
    <x v="1"/>
  </r>
  <r>
    <x v="1537"/>
    <x v="0"/>
    <x v="154"/>
    <n v="1"/>
    <n v="3299.99"/>
    <n v="7.0000000000000007E-2"/>
    <n v="3299.99"/>
    <m/>
    <x v="145"/>
    <x v="1"/>
  </r>
  <r>
    <x v="1537"/>
    <x v="1"/>
    <x v="109"/>
    <n v="2"/>
    <n v="1409.99"/>
    <n v="7.0000000000000007E-2"/>
    <n v="2819.98"/>
    <m/>
    <x v="101"/>
    <x v="1"/>
  </r>
  <r>
    <x v="1537"/>
    <x v="2"/>
    <x v="266"/>
    <n v="1"/>
    <n v="1469.99"/>
    <n v="7.0000000000000007E-2"/>
    <n v="1469.99"/>
    <m/>
    <x v="246"/>
    <x v="1"/>
  </r>
  <r>
    <x v="1537"/>
    <x v="3"/>
    <x v="245"/>
    <n v="1"/>
    <n v="2299.9899999999998"/>
    <n v="0.2"/>
    <n v="2299.9899999999998"/>
    <m/>
    <x v="230"/>
    <x v="1"/>
  </r>
  <r>
    <x v="1537"/>
    <x v="4"/>
    <x v="210"/>
    <n v="2"/>
    <n v="899.99"/>
    <n v="0.05"/>
    <n v="1799.98"/>
    <m/>
    <x v="191"/>
    <x v="1"/>
  </r>
  <r>
    <x v="1538"/>
    <x v="0"/>
    <x v="18"/>
    <n v="2"/>
    <n v="469.99"/>
    <n v="0.05"/>
    <n v="939.98"/>
    <m/>
    <x v="16"/>
    <x v="2"/>
  </r>
  <r>
    <x v="1538"/>
    <x v="1"/>
    <x v="10"/>
    <n v="2"/>
    <n v="549.99"/>
    <n v="0.05"/>
    <n v="1099.98"/>
    <m/>
    <x v="9"/>
    <x v="2"/>
  </r>
  <r>
    <x v="1539"/>
    <x v="0"/>
    <x v="68"/>
    <n v="2"/>
    <n v="416.99"/>
    <n v="0.05"/>
    <n v="833.98"/>
    <m/>
    <x v="61"/>
    <x v="0"/>
  </r>
  <r>
    <x v="1539"/>
    <x v="1"/>
    <x v="184"/>
    <n v="1"/>
    <n v="749.99"/>
    <n v="7.0000000000000007E-2"/>
    <n v="749.99"/>
    <m/>
    <x v="174"/>
    <x v="0"/>
  </r>
  <r>
    <x v="1539"/>
    <x v="2"/>
    <x v="222"/>
    <n v="1"/>
    <n v="479.99"/>
    <n v="0.05"/>
    <n v="479.99"/>
    <m/>
    <x v="208"/>
    <x v="0"/>
  </r>
  <r>
    <x v="1539"/>
    <x v="3"/>
    <x v="294"/>
    <n v="2"/>
    <n v="5499.99"/>
    <n v="0.05"/>
    <n v="10999.98"/>
    <m/>
    <x v="270"/>
    <x v="0"/>
  </r>
  <r>
    <x v="1539"/>
    <x v="4"/>
    <x v="46"/>
    <n v="1"/>
    <n v="647.99"/>
    <n v="0.2"/>
    <n v="647.99"/>
    <m/>
    <x v="40"/>
    <x v="0"/>
  </r>
  <r>
    <x v="1540"/>
    <x v="0"/>
    <x v="181"/>
    <n v="2"/>
    <n v="11999.99"/>
    <n v="0.1"/>
    <n v="23999.98"/>
    <m/>
    <x v="171"/>
    <x v="1"/>
  </r>
  <r>
    <x v="1540"/>
    <x v="1"/>
    <x v="277"/>
    <n v="2"/>
    <n v="599.99"/>
    <n v="7.0000000000000007E-2"/>
    <n v="1199.98"/>
    <m/>
    <x v="255"/>
    <x v="1"/>
  </r>
  <r>
    <x v="1540"/>
    <x v="2"/>
    <x v="199"/>
    <n v="2"/>
    <n v="3199.99"/>
    <n v="0.1"/>
    <n v="6399.98"/>
    <m/>
    <x v="189"/>
    <x v="1"/>
  </r>
  <r>
    <x v="1540"/>
    <x v="3"/>
    <x v="7"/>
    <n v="1"/>
    <n v="429"/>
    <n v="0.1"/>
    <n v="429"/>
    <m/>
    <x v="7"/>
    <x v="1"/>
  </r>
  <r>
    <x v="1540"/>
    <x v="4"/>
    <x v="106"/>
    <n v="2"/>
    <n v="149.99"/>
    <n v="0.05"/>
    <n v="299.98"/>
    <m/>
    <x v="98"/>
    <x v="1"/>
  </r>
  <r>
    <x v="1541"/>
    <x v="0"/>
    <x v="47"/>
    <n v="1"/>
    <n v="402.99"/>
    <n v="0.2"/>
    <n v="402.99"/>
    <m/>
    <x v="41"/>
    <x v="1"/>
  </r>
  <r>
    <x v="1541"/>
    <x v="1"/>
    <x v="281"/>
    <n v="2"/>
    <n v="2499.9899999999998"/>
    <n v="0.05"/>
    <n v="4999.9799999999996"/>
    <m/>
    <x v="259"/>
    <x v="1"/>
  </r>
  <r>
    <x v="1541"/>
    <x v="2"/>
    <x v="153"/>
    <n v="2"/>
    <n v="3499.99"/>
    <n v="0.2"/>
    <n v="6999.98"/>
    <m/>
    <x v="144"/>
    <x v="1"/>
  </r>
  <r>
    <x v="1541"/>
    <x v="3"/>
    <x v="88"/>
    <n v="2"/>
    <n v="379.99"/>
    <n v="0.1"/>
    <n v="759.98"/>
    <m/>
    <x v="81"/>
    <x v="1"/>
  </r>
  <r>
    <x v="1541"/>
    <x v="4"/>
    <x v="167"/>
    <n v="1"/>
    <n v="279.99"/>
    <n v="0.2"/>
    <n v="279.99"/>
    <m/>
    <x v="158"/>
    <x v="1"/>
  </r>
  <r>
    <x v="1542"/>
    <x v="0"/>
    <x v="75"/>
    <n v="2"/>
    <n v="449.99"/>
    <n v="0.1"/>
    <n v="899.98"/>
    <m/>
    <x v="68"/>
    <x v="1"/>
  </r>
  <r>
    <x v="1542"/>
    <x v="1"/>
    <x v="101"/>
    <n v="1"/>
    <n v="209.99"/>
    <n v="0.2"/>
    <n v="209.99"/>
    <m/>
    <x v="93"/>
    <x v="1"/>
  </r>
  <r>
    <x v="1542"/>
    <x v="2"/>
    <x v="289"/>
    <n v="2"/>
    <n v="959.99"/>
    <n v="7.0000000000000007E-2"/>
    <n v="1919.98"/>
    <m/>
    <x v="267"/>
    <x v="1"/>
  </r>
  <r>
    <x v="1542"/>
    <x v="3"/>
    <x v="44"/>
    <n v="2"/>
    <n v="349.99"/>
    <n v="0.05"/>
    <n v="699.98"/>
    <m/>
    <x v="38"/>
    <x v="1"/>
  </r>
  <r>
    <x v="1542"/>
    <x v="4"/>
    <x v="169"/>
    <n v="1"/>
    <n v="1799.99"/>
    <n v="0.2"/>
    <n v="1799.99"/>
    <m/>
    <x v="160"/>
    <x v="1"/>
  </r>
  <r>
    <x v="1543"/>
    <x v="0"/>
    <x v="242"/>
    <n v="2"/>
    <n v="3499.99"/>
    <n v="0.1"/>
    <n v="6999.98"/>
    <m/>
    <x v="227"/>
    <x v="0"/>
  </r>
  <r>
    <x v="1543"/>
    <x v="1"/>
    <x v="92"/>
    <n v="2"/>
    <n v="416.99"/>
    <n v="0.2"/>
    <n v="833.98"/>
    <m/>
    <x v="72"/>
    <x v="0"/>
  </r>
  <r>
    <x v="1544"/>
    <x v="0"/>
    <x v="78"/>
    <n v="1"/>
    <n v="869.99"/>
    <n v="0.1"/>
    <n v="869.99"/>
    <m/>
    <x v="71"/>
    <x v="0"/>
  </r>
  <r>
    <x v="1545"/>
    <x v="0"/>
    <x v="292"/>
    <n v="1"/>
    <n v="6499.99"/>
    <n v="0.1"/>
    <n v="6499.99"/>
    <m/>
    <x v="268"/>
    <x v="0"/>
  </r>
  <r>
    <x v="1545"/>
    <x v="1"/>
    <x v="144"/>
    <n v="2"/>
    <n v="2799.99"/>
    <n v="0.1"/>
    <n v="5599.98"/>
    <m/>
    <x v="135"/>
    <x v="0"/>
  </r>
  <r>
    <x v="1545"/>
    <x v="2"/>
    <x v="149"/>
    <n v="1"/>
    <n v="749.99"/>
    <n v="0.1"/>
    <n v="749.99"/>
    <m/>
    <x v="140"/>
    <x v="0"/>
  </r>
  <r>
    <x v="1545"/>
    <x v="3"/>
    <x v="22"/>
    <n v="1"/>
    <n v="499.99"/>
    <n v="0.05"/>
    <n v="499.99"/>
    <m/>
    <x v="19"/>
    <x v="0"/>
  </r>
  <r>
    <x v="1546"/>
    <x v="0"/>
    <x v="26"/>
    <n v="2"/>
    <n v="449.99"/>
    <n v="0.2"/>
    <n v="899.98"/>
    <m/>
    <x v="22"/>
    <x v="0"/>
  </r>
  <r>
    <x v="1546"/>
    <x v="1"/>
    <x v="180"/>
    <n v="1"/>
    <n v="3599.99"/>
    <n v="0.2"/>
    <n v="3599.99"/>
    <m/>
    <x v="170"/>
    <x v="0"/>
  </r>
  <r>
    <x v="1547"/>
    <x v="0"/>
    <x v="33"/>
    <n v="1"/>
    <n v="469.99"/>
    <n v="0.1"/>
    <n v="469.99"/>
    <m/>
    <x v="29"/>
    <x v="0"/>
  </r>
  <r>
    <x v="1547"/>
    <x v="1"/>
    <x v="288"/>
    <n v="1"/>
    <n v="3499.99"/>
    <n v="7.0000000000000007E-2"/>
    <n v="3499.99"/>
    <m/>
    <x v="266"/>
    <x v="0"/>
  </r>
  <r>
    <x v="1547"/>
    <x v="2"/>
    <x v="37"/>
    <n v="2"/>
    <n v="3499.99"/>
    <n v="0.2"/>
    <n v="6999.98"/>
    <m/>
    <x v="33"/>
    <x v="0"/>
  </r>
  <r>
    <x v="1548"/>
    <x v="0"/>
    <x v="289"/>
    <n v="1"/>
    <n v="959.99"/>
    <n v="0.2"/>
    <n v="959.99"/>
    <m/>
    <x v="267"/>
    <x v="1"/>
  </r>
  <r>
    <x v="1548"/>
    <x v="1"/>
    <x v="295"/>
    <n v="1"/>
    <n v="469.99"/>
    <n v="0.05"/>
    <n v="469.99"/>
    <m/>
    <x v="271"/>
    <x v="1"/>
  </r>
  <r>
    <x v="1548"/>
    <x v="2"/>
    <x v="159"/>
    <n v="2"/>
    <n v="749.99"/>
    <n v="0.05"/>
    <n v="1499.98"/>
    <m/>
    <x v="150"/>
    <x v="1"/>
  </r>
  <r>
    <x v="1548"/>
    <x v="3"/>
    <x v="243"/>
    <n v="2"/>
    <n v="699.99"/>
    <n v="0.1"/>
    <n v="1399.98"/>
    <m/>
    <x v="228"/>
    <x v="1"/>
  </r>
  <r>
    <x v="1549"/>
    <x v="0"/>
    <x v="296"/>
    <n v="2"/>
    <n v="559.99"/>
    <n v="0.05"/>
    <n v="1119.98"/>
    <m/>
    <x v="143"/>
    <x v="1"/>
  </r>
  <r>
    <x v="1549"/>
    <x v="1"/>
    <x v="241"/>
    <n v="1"/>
    <n v="659.99"/>
    <n v="7.0000000000000007E-2"/>
    <n v="659.99"/>
    <m/>
    <x v="226"/>
    <x v="1"/>
  </r>
  <r>
    <x v="1549"/>
    <x v="2"/>
    <x v="144"/>
    <n v="2"/>
    <n v="2799.99"/>
    <n v="0.1"/>
    <n v="5599.98"/>
    <m/>
    <x v="135"/>
    <x v="1"/>
  </r>
  <r>
    <x v="1549"/>
    <x v="3"/>
    <x v="161"/>
    <n v="1"/>
    <n v="5499.99"/>
    <n v="7.0000000000000007E-2"/>
    <n v="5499.99"/>
    <m/>
    <x v="152"/>
    <x v="1"/>
  </r>
  <r>
    <x v="1549"/>
    <x v="4"/>
    <x v="106"/>
    <n v="2"/>
    <n v="149.99"/>
    <n v="0.05"/>
    <n v="299.98"/>
    <m/>
    <x v="98"/>
    <x v="1"/>
  </r>
  <r>
    <x v="1550"/>
    <x v="0"/>
    <x v="143"/>
    <n v="2"/>
    <n v="3999.99"/>
    <n v="0.2"/>
    <n v="7999.98"/>
    <m/>
    <x v="134"/>
    <x v="1"/>
  </r>
  <r>
    <x v="1551"/>
    <x v="0"/>
    <x v="245"/>
    <n v="1"/>
    <n v="2299.9899999999998"/>
    <n v="0.1"/>
    <n v="2299.9899999999998"/>
    <m/>
    <x v="230"/>
    <x v="1"/>
  </r>
  <r>
    <x v="1551"/>
    <x v="1"/>
    <x v="67"/>
    <n v="2"/>
    <n v="1469.99"/>
    <n v="0.05"/>
    <n v="2939.98"/>
    <m/>
    <x v="60"/>
    <x v="1"/>
  </r>
  <r>
    <x v="1552"/>
    <x v="0"/>
    <x v="48"/>
    <n v="1"/>
    <n v="489.99"/>
    <n v="7.0000000000000007E-2"/>
    <n v="489.99"/>
    <m/>
    <x v="34"/>
    <x v="0"/>
  </r>
  <r>
    <x v="1552"/>
    <x v="1"/>
    <x v="10"/>
    <n v="1"/>
    <n v="549.99"/>
    <n v="0.1"/>
    <n v="549.99"/>
    <m/>
    <x v="9"/>
    <x v="0"/>
  </r>
  <r>
    <x v="1552"/>
    <x v="2"/>
    <x v="211"/>
    <n v="1"/>
    <n v="2999.99"/>
    <n v="0.05"/>
    <n v="2999.99"/>
    <m/>
    <x v="199"/>
    <x v="0"/>
  </r>
  <r>
    <x v="1552"/>
    <x v="3"/>
    <x v="84"/>
    <n v="1"/>
    <n v="209.99"/>
    <n v="0.05"/>
    <n v="209.99"/>
    <m/>
    <x v="77"/>
    <x v="0"/>
  </r>
  <r>
    <x v="1553"/>
    <x v="0"/>
    <x v="171"/>
    <n v="1"/>
    <n v="749.99"/>
    <n v="0.05"/>
    <n v="749.99"/>
    <m/>
    <x v="162"/>
    <x v="0"/>
  </r>
  <r>
    <x v="1553"/>
    <x v="1"/>
    <x v="297"/>
    <n v="1"/>
    <n v="279.99"/>
    <n v="0.2"/>
    <n v="279.99"/>
    <m/>
    <x v="272"/>
    <x v="0"/>
  </r>
  <r>
    <x v="1554"/>
    <x v="0"/>
    <x v="24"/>
    <n v="2"/>
    <n v="549.99"/>
    <n v="0.1"/>
    <n v="1099.98"/>
    <m/>
    <x v="9"/>
    <x v="1"/>
  </r>
  <r>
    <x v="1554"/>
    <x v="1"/>
    <x v="292"/>
    <n v="1"/>
    <n v="6499.99"/>
    <n v="0.1"/>
    <n v="6499.99"/>
    <m/>
    <x v="268"/>
    <x v="1"/>
  </r>
  <r>
    <x v="1554"/>
    <x v="2"/>
    <x v="250"/>
    <n v="1"/>
    <n v="469.99"/>
    <n v="0.1"/>
    <n v="469.99"/>
    <m/>
    <x v="234"/>
    <x v="1"/>
  </r>
  <r>
    <x v="1554"/>
    <x v="3"/>
    <x v="186"/>
    <n v="2"/>
    <n v="1899"/>
    <n v="0.05"/>
    <n v="3798"/>
    <m/>
    <x v="176"/>
    <x v="1"/>
  </r>
  <r>
    <x v="1554"/>
    <x v="4"/>
    <x v="298"/>
    <n v="1"/>
    <n v="3199.99"/>
    <n v="0.2"/>
    <n v="3199.99"/>
    <m/>
    <x v="273"/>
    <x v="1"/>
  </r>
  <r>
    <x v="1555"/>
    <x v="0"/>
    <x v="60"/>
    <n v="2"/>
    <n v="3499.99"/>
    <n v="0.2"/>
    <n v="6999.98"/>
    <m/>
    <x v="53"/>
    <x v="1"/>
  </r>
  <r>
    <x v="1555"/>
    <x v="1"/>
    <x v="90"/>
    <n v="1"/>
    <n v="659.99"/>
    <n v="7.0000000000000007E-2"/>
    <n v="659.99"/>
    <m/>
    <x v="83"/>
    <x v="1"/>
  </r>
  <r>
    <x v="1555"/>
    <x v="2"/>
    <x v="237"/>
    <n v="1"/>
    <n v="289.99"/>
    <n v="0.1"/>
    <n v="289.99"/>
    <m/>
    <x v="222"/>
    <x v="1"/>
  </r>
  <r>
    <x v="1555"/>
    <x v="3"/>
    <x v="295"/>
    <n v="2"/>
    <n v="469.99"/>
    <n v="0.05"/>
    <n v="939.98"/>
    <m/>
    <x v="271"/>
    <x v="1"/>
  </r>
  <r>
    <x v="1555"/>
    <x v="4"/>
    <x v="111"/>
    <n v="2"/>
    <n v="899.99"/>
    <n v="0.1"/>
    <n v="1799.98"/>
    <m/>
    <x v="103"/>
    <x v="1"/>
  </r>
  <r>
    <x v="1556"/>
    <x v="0"/>
    <x v="179"/>
    <n v="2"/>
    <n v="1349"/>
    <n v="7.0000000000000007E-2"/>
    <n v="2698"/>
    <m/>
    <x v="169"/>
    <x v="0"/>
  </r>
  <r>
    <x v="1557"/>
    <x v="0"/>
    <x v="109"/>
    <n v="2"/>
    <n v="1409.99"/>
    <n v="7.0000000000000007E-2"/>
    <n v="2819.98"/>
    <m/>
    <x v="101"/>
    <x v="1"/>
  </r>
  <r>
    <x v="1557"/>
    <x v="1"/>
    <x v="262"/>
    <n v="1"/>
    <n v="999.99"/>
    <n v="7.0000000000000007E-2"/>
    <n v="999.99"/>
    <m/>
    <x v="243"/>
    <x v="1"/>
  </r>
  <r>
    <x v="1557"/>
    <x v="2"/>
    <x v="4"/>
    <n v="1"/>
    <n v="2899.99"/>
    <n v="0.05"/>
    <n v="2899.99"/>
    <m/>
    <x v="4"/>
    <x v="1"/>
  </r>
  <r>
    <x v="1557"/>
    <x v="3"/>
    <x v="66"/>
    <n v="1"/>
    <n v="2699.99"/>
    <n v="0.2"/>
    <n v="2699.99"/>
    <m/>
    <x v="59"/>
    <x v="1"/>
  </r>
  <r>
    <x v="1557"/>
    <x v="4"/>
    <x v="130"/>
    <n v="1"/>
    <n v="2599.9899999999998"/>
    <n v="7.0000000000000007E-2"/>
    <n v="2599.9899999999998"/>
    <m/>
    <x v="121"/>
    <x v="1"/>
  </r>
  <r>
    <x v="1558"/>
    <x v="0"/>
    <x v="70"/>
    <n v="2"/>
    <n v="339.99"/>
    <n v="7.0000000000000007E-2"/>
    <n v="679.98"/>
    <m/>
    <x v="63"/>
    <x v="1"/>
  </r>
  <r>
    <x v="1558"/>
    <x v="1"/>
    <x v="9"/>
    <n v="1"/>
    <n v="449"/>
    <n v="0.1"/>
    <n v="449"/>
    <m/>
    <x v="8"/>
    <x v="1"/>
  </r>
  <r>
    <x v="1558"/>
    <x v="2"/>
    <x v="59"/>
    <n v="2"/>
    <n v="3199.99"/>
    <n v="0.1"/>
    <n v="6399.98"/>
    <m/>
    <x v="52"/>
    <x v="1"/>
  </r>
  <r>
    <x v="1558"/>
    <x v="3"/>
    <x v="252"/>
    <n v="1"/>
    <n v="319.99"/>
    <n v="0.1"/>
    <n v="319.99"/>
    <m/>
    <x v="236"/>
    <x v="1"/>
  </r>
  <r>
    <x v="1559"/>
    <x v="0"/>
    <x v="200"/>
    <n v="2"/>
    <n v="999.99"/>
    <n v="0.2"/>
    <n v="1999.98"/>
    <m/>
    <x v="190"/>
    <x v="1"/>
  </r>
  <r>
    <x v="1559"/>
    <x v="1"/>
    <x v="67"/>
    <n v="1"/>
    <n v="1469.99"/>
    <n v="0.2"/>
    <n v="1469.99"/>
    <m/>
    <x v="60"/>
    <x v="1"/>
  </r>
  <r>
    <x v="1560"/>
    <x v="0"/>
    <x v="196"/>
    <n v="2"/>
    <n v="2199.9899999999998"/>
    <n v="7.0000000000000007E-2"/>
    <n v="4399.9799999999996"/>
    <m/>
    <x v="186"/>
    <x v="1"/>
  </r>
  <r>
    <x v="1560"/>
    <x v="1"/>
    <x v="167"/>
    <n v="2"/>
    <n v="279.99"/>
    <n v="0.05"/>
    <n v="559.98"/>
    <m/>
    <x v="158"/>
    <x v="1"/>
  </r>
  <r>
    <x v="1561"/>
    <x v="0"/>
    <x v="59"/>
    <n v="1"/>
    <n v="3199.99"/>
    <n v="0.2"/>
    <n v="3199.99"/>
    <m/>
    <x v="52"/>
    <x v="1"/>
  </r>
  <r>
    <x v="1561"/>
    <x v="1"/>
    <x v="82"/>
    <n v="1"/>
    <n v="250.99"/>
    <n v="0.2"/>
    <n v="250.99"/>
    <m/>
    <x v="75"/>
    <x v="1"/>
  </r>
  <r>
    <x v="1561"/>
    <x v="2"/>
    <x v="185"/>
    <n v="2"/>
    <n v="3199.99"/>
    <n v="7.0000000000000007E-2"/>
    <n v="6399.98"/>
    <m/>
    <x v="175"/>
    <x v="1"/>
  </r>
  <r>
    <x v="1562"/>
    <x v="0"/>
    <x v="198"/>
    <n v="1"/>
    <n v="3499.99"/>
    <n v="7.0000000000000007E-2"/>
    <n v="3499.99"/>
    <m/>
    <x v="188"/>
    <x v="2"/>
  </r>
  <r>
    <x v="1563"/>
    <x v="0"/>
    <x v="299"/>
    <n v="1"/>
    <n v="899.99"/>
    <n v="7.0000000000000007E-2"/>
    <n v="899.99"/>
    <m/>
    <x v="257"/>
    <x v="0"/>
  </r>
  <r>
    <x v="1563"/>
    <x v="1"/>
    <x v="15"/>
    <n v="1"/>
    <n v="269.99"/>
    <n v="0.1"/>
    <n v="269.99"/>
    <m/>
    <x v="12"/>
    <x v="0"/>
  </r>
  <r>
    <x v="1564"/>
    <x v="0"/>
    <x v="88"/>
    <n v="1"/>
    <n v="379.99"/>
    <n v="7.0000000000000007E-2"/>
    <n v="379.99"/>
    <m/>
    <x v="81"/>
    <x v="0"/>
  </r>
  <r>
    <x v="1564"/>
    <x v="1"/>
    <x v="102"/>
    <n v="1"/>
    <n v="209.99"/>
    <n v="0.1"/>
    <n v="209.99"/>
    <m/>
    <x v="94"/>
    <x v="0"/>
  </r>
  <r>
    <x v="1564"/>
    <x v="2"/>
    <x v="276"/>
    <n v="1"/>
    <n v="899.99"/>
    <n v="0.1"/>
    <n v="899.99"/>
    <m/>
    <x v="220"/>
    <x v="0"/>
  </r>
  <r>
    <x v="1564"/>
    <x v="3"/>
    <x v="43"/>
    <n v="1"/>
    <n v="299.99"/>
    <n v="7.0000000000000007E-2"/>
    <n v="299.99"/>
    <m/>
    <x v="31"/>
    <x v="0"/>
  </r>
  <r>
    <x v="1564"/>
    <x v="4"/>
    <x v="219"/>
    <n v="2"/>
    <n v="679.99"/>
    <n v="0.2"/>
    <n v="1359.98"/>
    <m/>
    <x v="129"/>
    <x v="0"/>
  </r>
  <r>
    <x v="1565"/>
    <x v="0"/>
    <x v="135"/>
    <n v="1"/>
    <n v="919.99"/>
    <n v="0.05"/>
    <n v="919.99"/>
    <m/>
    <x v="126"/>
    <x v="0"/>
  </r>
  <r>
    <x v="1565"/>
    <x v="1"/>
    <x v="32"/>
    <n v="2"/>
    <n v="4999.99"/>
    <n v="0.05"/>
    <n v="9999.98"/>
    <m/>
    <x v="28"/>
    <x v="0"/>
  </r>
  <r>
    <x v="1566"/>
    <x v="0"/>
    <x v="300"/>
    <n v="1"/>
    <n v="319.99"/>
    <n v="0.2"/>
    <n v="319.99"/>
    <m/>
    <x v="274"/>
    <x v="0"/>
  </r>
  <r>
    <x v="1567"/>
    <x v="0"/>
    <x v="301"/>
    <n v="1"/>
    <n v="4999.99"/>
    <n v="0.2"/>
    <n v="4999.99"/>
    <m/>
    <x v="275"/>
    <x v="0"/>
  </r>
  <r>
    <x v="1567"/>
    <x v="1"/>
    <x v="86"/>
    <n v="1"/>
    <n v="533.99"/>
    <n v="7.0000000000000007E-2"/>
    <n v="533.99"/>
    <m/>
    <x v="79"/>
    <x v="0"/>
  </r>
  <r>
    <x v="1567"/>
    <x v="2"/>
    <x v="235"/>
    <n v="1"/>
    <n v="899.99"/>
    <n v="0.1"/>
    <n v="899.99"/>
    <m/>
    <x v="220"/>
    <x v="0"/>
  </r>
  <r>
    <x v="1568"/>
    <x v="0"/>
    <x v="253"/>
    <n v="1"/>
    <n v="2999.99"/>
    <n v="0.1"/>
    <n v="2999.99"/>
    <m/>
    <x v="165"/>
    <x v="1"/>
  </r>
  <r>
    <x v="1569"/>
    <x v="0"/>
    <x v="181"/>
    <n v="1"/>
    <n v="11999.99"/>
    <n v="7.0000000000000007E-2"/>
    <n v="11999.99"/>
    <m/>
    <x v="171"/>
    <x v="1"/>
  </r>
  <r>
    <x v="1570"/>
    <x v="0"/>
    <x v="302"/>
    <n v="2"/>
    <n v="699.99"/>
    <n v="0.1"/>
    <n v="1399.98"/>
    <m/>
    <x v="228"/>
    <x v="1"/>
  </r>
  <r>
    <x v="1570"/>
    <x v="1"/>
    <x v="303"/>
    <n v="1"/>
    <n v="559.99"/>
    <n v="7.0000000000000007E-2"/>
    <n v="559.99"/>
    <m/>
    <x v="245"/>
    <x v="1"/>
  </r>
  <r>
    <x v="1570"/>
    <x v="2"/>
    <x v="0"/>
    <n v="2"/>
    <n v="599.99"/>
    <n v="0.2"/>
    <n v="1199.98"/>
    <m/>
    <x v="0"/>
    <x v="1"/>
  </r>
  <r>
    <x v="1571"/>
    <x v="0"/>
    <x v="249"/>
    <n v="2"/>
    <n v="899.99"/>
    <n v="0.05"/>
    <n v="1799.98"/>
    <m/>
    <x v="233"/>
    <x v="2"/>
  </r>
  <r>
    <x v="1571"/>
    <x v="1"/>
    <x v="255"/>
    <n v="1"/>
    <n v="2999.99"/>
    <n v="0.2"/>
    <n v="2999.99"/>
    <m/>
    <x v="199"/>
    <x v="2"/>
  </r>
  <r>
    <x v="1571"/>
    <x v="2"/>
    <x v="185"/>
    <n v="1"/>
    <n v="3199.99"/>
    <n v="0.05"/>
    <n v="3199.99"/>
    <m/>
    <x v="175"/>
    <x v="2"/>
  </r>
  <r>
    <x v="1571"/>
    <x v="3"/>
    <x v="138"/>
    <n v="2"/>
    <n v="679.99"/>
    <n v="0.2"/>
    <n v="1359.98"/>
    <m/>
    <x v="129"/>
    <x v="2"/>
  </r>
  <r>
    <x v="1572"/>
    <x v="0"/>
    <x v="11"/>
    <n v="1"/>
    <n v="2999.99"/>
    <n v="0.05"/>
    <n v="2999.99"/>
    <m/>
    <x v="10"/>
    <x v="0"/>
  </r>
  <r>
    <x v="1572"/>
    <x v="1"/>
    <x v="120"/>
    <n v="1"/>
    <n v="919.99"/>
    <n v="7.0000000000000007E-2"/>
    <n v="919.99"/>
    <m/>
    <x v="112"/>
    <x v="0"/>
  </r>
  <r>
    <x v="1572"/>
    <x v="2"/>
    <x v="12"/>
    <n v="2"/>
    <n v="529.99"/>
    <n v="0.1"/>
    <n v="1059.98"/>
    <m/>
    <x v="11"/>
    <x v="0"/>
  </r>
  <r>
    <x v="1572"/>
    <x v="3"/>
    <x v="249"/>
    <n v="2"/>
    <n v="899.99"/>
    <n v="7.0000000000000007E-2"/>
    <n v="1799.98"/>
    <m/>
    <x v="233"/>
    <x v="0"/>
  </r>
  <r>
    <x v="1572"/>
    <x v="4"/>
    <x v="160"/>
    <n v="2"/>
    <n v="89.99"/>
    <n v="0.1"/>
    <n v="179.98"/>
    <m/>
    <x v="151"/>
    <x v="0"/>
  </r>
  <r>
    <x v="1573"/>
    <x v="0"/>
    <x v="220"/>
    <n v="1"/>
    <n v="469.99"/>
    <n v="0.1"/>
    <n v="469.99"/>
    <m/>
    <x v="207"/>
    <x v="0"/>
  </r>
  <r>
    <x v="1574"/>
    <x v="0"/>
    <x v="99"/>
    <n v="1"/>
    <n v="539.99"/>
    <n v="7.0000000000000007E-2"/>
    <n v="539.99"/>
    <m/>
    <x v="91"/>
    <x v="0"/>
  </r>
  <r>
    <x v="1574"/>
    <x v="1"/>
    <x v="143"/>
    <n v="2"/>
    <n v="3999.99"/>
    <n v="0.1"/>
    <n v="7999.98"/>
    <m/>
    <x v="134"/>
    <x v="0"/>
  </r>
  <r>
    <x v="1574"/>
    <x v="2"/>
    <x v="193"/>
    <n v="1"/>
    <n v="269.99"/>
    <n v="7.0000000000000007E-2"/>
    <n v="269.99"/>
    <m/>
    <x v="183"/>
    <x v="0"/>
  </r>
  <r>
    <x v="1574"/>
    <x v="3"/>
    <x v="250"/>
    <n v="2"/>
    <n v="469.99"/>
    <n v="0.05"/>
    <n v="939.98"/>
    <m/>
    <x v="234"/>
    <x v="0"/>
  </r>
  <r>
    <x v="1574"/>
    <x v="4"/>
    <x v="102"/>
    <n v="2"/>
    <n v="209.99"/>
    <n v="0.2"/>
    <n v="419.98"/>
    <m/>
    <x v="94"/>
    <x v="0"/>
  </r>
  <r>
    <x v="1575"/>
    <x v="0"/>
    <x v="79"/>
    <n v="1"/>
    <n v="416.99"/>
    <n v="0.05"/>
    <n v="416.99"/>
    <m/>
    <x v="72"/>
    <x v="1"/>
  </r>
  <r>
    <x v="1575"/>
    <x v="1"/>
    <x v="284"/>
    <n v="1"/>
    <n v="319.99"/>
    <n v="0.05"/>
    <n v="319.99"/>
    <m/>
    <x v="262"/>
    <x v="1"/>
  </r>
  <r>
    <x v="1575"/>
    <x v="2"/>
    <x v="288"/>
    <n v="2"/>
    <n v="3499.99"/>
    <n v="0.05"/>
    <n v="6999.98"/>
    <m/>
    <x v="266"/>
    <x v="1"/>
  </r>
  <r>
    <x v="1576"/>
    <x v="0"/>
    <x v="136"/>
    <n v="2"/>
    <n v="279.99"/>
    <n v="0.05"/>
    <n v="559.98"/>
    <m/>
    <x v="127"/>
    <x v="1"/>
  </r>
  <r>
    <x v="1576"/>
    <x v="1"/>
    <x v="103"/>
    <n v="2"/>
    <n v="470.99"/>
    <n v="0.1"/>
    <n v="941.98"/>
    <m/>
    <x v="95"/>
    <x v="1"/>
  </r>
  <r>
    <x v="1576"/>
    <x v="2"/>
    <x v="133"/>
    <n v="2"/>
    <n v="799.99"/>
    <n v="0.2"/>
    <n v="1599.98"/>
    <m/>
    <x v="124"/>
    <x v="1"/>
  </r>
  <r>
    <x v="1576"/>
    <x v="3"/>
    <x v="189"/>
    <n v="2"/>
    <n v="2599"/>
    <n v="7.0000000000000007E-2"/>
    <n v="5198"/>
    <m/>
    <x v="179"/>
    <x v="1"/>
  </r>
  <r>
    <x v="1576"/>
    <x v="4"/>
    <x v="129"/>
    <n v="2"/>
    <n v="279.99"/>
    <n v="0.05"/>
    <n v="559.98"/>
    <m/>
    <x v="120"/>
    <x v="1"/>
  </r>
  <r>
    <x v="1577"/>
    <x v="0"/>
    <x v="180"/>
    <n v="2"/>
    <n v="3599.99"/>
    <n v="7.0000000000000007E-2"/>
    <n v="7199.98"/>
    <m/>
    <x v="170"/>
    <x v="1"/>
  </r>
  <r>
    <x v="1577"/>
    <x v="1"/>
    <x v="273"/>
    <n v="1"/>
    <n v="899.99"/>
    <n v="0.05"/>
    <n v="899.99"/>
    <m/>
    <x v="204"/>
    <x v="1"/>
  </r>
  <r>
    <x v="1577"/>
    <x v="2"/>
    <x v="119"/>
    <n v="2"/>
    <n v="749.99"/>
    <n v="0.2"/>
    <n v="1499.98"/>
    <m/>
    <x v="111"/>
    <x v="1"/>
  </r>
  <r>
    <x v="1578"/>
    <x v="0"/>
    <x v="60"/>
    <n v="1"/>
    <n v="3499.99"/>
    <n v="0.05"/>
    <n v="3499.99"/>
    <m/>
    <x v="53"/>
    <x v="0"/>
  </r>
  <r>
    <x v="1578"/>
    <x v="1"/>
    <x v="204"/>
    <n v="1"/>
    <n v="899.99"/>
    <n v="0.1"/>
    <n v="899.99"/>
    <m/>
    <x v="194"/>
    <x v="0"/>
  </r>
  <r>
    <x v="1578"/>
    <x v="2"/>
    <x v="256"/>
    <n v="1"/>
    <n v="279.99"/>
    <n v="7.0000000000000007E-2"/>
    <n v="279.99"/>
    <m/>
    <x v="238"/>
    <x v="0"/>
  </r>
  <r>
    <x v="1578"/>
    <x v="3"/>
    <x v="105"/>
    <n v="2"/>
    <n v="346.99"/>
    <n v="0.1"/>
    <n v="693.98"/>
    <m/>
    <x v="97"/>
    <x v="0"/>
  </r>
  <r>
    <x v="1579"/>
    <x v="0"/>
    <x v="295"/>
    <n v="2"/>
    <n v="469.99"/>
    <n v="7.0000000000000007E-2"/>
    <n v="939.98"/>
    <m/>
    <x v="271"/>
    <x v="0"/>
  </r>
  <r>
    <x v="1579"/>
    <x v="1"/>
    <x v="106"/>
    <n v="2"/>
    <n v="149.99"/>
    <n v="0.2"/>
    <n v="299.98"/>
    <m/>
    <x v="98"/>
    <x v="0"/>
  </r>
  <r>
    <x v="1580"/>
    <x v="0"/>
    <x v="38"/>
    <n v="1"/>
    <n v="489.99"/>
    <n v="0.1"/>
    <n v="489.99"/>
    <m/>
    <x v="34"/>
    <x v="0"/>
  </r>
  <r>
    <x v="1580"/>
    <x v="1"/>
    <x v="268"/>
    <n v="1"/>
    <n v="289.99"/>
    <n v="0.2"/>
    <n v="289.99"/>
    <m/>
    <x v="248"/>
    <x v="0"/>
  </r>
  <r>
    <x v="1581"/>
    <x v="0"/>
    <x v="85"/>
    <n v="1"/>
    <n v="599.99"/>
    <n v="7.0000000000000007E-2"/>
    <n v="599.99"/>
    <m/>
    <x v="78"/>
    <x v="0"/>
  </r>
  <r>
    <x v="1581"/>
    <x v="1"/>
    <x v="168"/>
    <n v="2"/>
    <n v="1499.99"/>
    <n v="7.0000000000000007E-2"/>
    <n v="2999.98"/>
    <m/>
    <x v="159"/>
    <x v="0"/>
  </r>
  <r>
    <x v="1582"/>
    <x v="0"/>
    <x v="12"/>
    <n v="1"/>
    <n v="529.99"/>
    <n v="0.05"/>
    <n v="529.99"/>
    <m/>
    <x v="11"/>
    <x v="1"/>
  </r>
  <r>
    <x v="1582"/>
    <x v="1"/>
    <x v="237"/>
    <n v="2"/>
    <n v="289.99"/>
    <n v="0.2"/>
    <n v="579.98"/>
    <m/>
    <x v="222"/>
    <x v="1"/>
  </r>
  <r>
    <x v="1583"/>
    <x v="0"/>
    <x v="78"/>
    <n v="2"/>
    <n v="869.99"/>
    <n v="0.1"/>
    <n v="1739.98"/>
    <m/>
    <x v="71"/>
    <x v="0"/>
  </r>
  <r>
    <x v="1583"/>
    <x v="1"/>
    <x v="249"/>
    <n v="2"/>
    <n v="899.99"/>
    <n v="0.1"/>
    <n v="1799.98"/>
    <m/>
    <x v="233"/>
    <x v="0"/>
  </r>
  <r>
    <x v="1583"/>
    <x v="2"/>
    <x v="52"/>
    <n v="1"/>
    <n v="5299.99"/>
    <n v="0.2"/>
    <n v="5299.99"/>
    <m/>
    <x v="45"/>
    <x v="0"/>
  </r>
  <r>
    <x v="1583"/>
    <x v="3"/>
    <x v="251"/>
    <n v="1"/>
    <n v="2799.99"/>
    <n v="0.1"/>
    <n v="2799.99"/>
    <m/>
    <x v="235"/>
    <x v="0"/>
  </r>
  <r>
    <x v="1583"/>
    <x v="4"/>
    <x v="162"/>
    <n v="2"/>
    <n v="1799.99"/>
    <n v="7.0000000000000007E-2"/>
    <n v="3599.98"/>
    <m/>
    <x v="153"/>
    <x v="0"/>
  </r>
  <r>
    <x v="1584"/>
    <x v="0"/>
    <x v="173"/>
    <n v="1"/>
    <n v="449.99"/>
    <n v="0.1"/>
    <n v="449.99"/>
    <m/>
    <x v="164"/>
    <x v="0"/>
  </r>
  <r>
    <x v="1584"/>
    <x v="1"/>
    <x v="26"/>
    <n v="2"/>
    <n v="449.99"/>
    <n v="0.1"/>
    <n v="899.98"/>
    <m/>
    <x v="22"/>
    <x v="0"/>
  </r>
  <r>
    <x v="1584"/>
    <x v="2"/>
    <x v="143"/>
    <n v="2"/>
    <n v="3999.99"/>
    <n v="7.0000000000000007E-2"/>
    <n v="7999.98"/>
    <m/>
    <x v="134"/>
    <x v="0"/>
  </r>
  <r>
    <x v="1584"/>
    <x v="3"/>
    <x v="43"/>
    <n v="1"/>
    <n v="299.99"/>
    <n v="0.1"/>
    <n v="299.99"/>
    <m/>
    <x v="31"/>
    <x v="0"/>
  </r>
  <r>
    <x v="1584"/>
    <x v="4"/>
    <x v="278"/>
    <n v="1"/>
    <n v="2799.99"/>
    <n v="0.1"/>
    <n v="2799.99"/>
    <m/>
    <x v="256"/>
    <x v="0"/>
  </r>
  <r>
    <x v="1585"/>
    <x v="0"/>
    <x v="13"/>
    <n v="2"/>
    <n v="269.99"/>
    <n v="0.1"/>
    <n v="539.98"/>
    <m/>
    <x v="12"/>
    <x v="0"/>
  </r>
  <r>
    <x v="1585"/>
    <x v="1"/>
    <x v="215"/>
    <n v="1"/>
    <n v="369.99"/>
    <n v="7.0000000000000007E-2"/>
    <n v="369.99"/>
    <m/>
    <x v="203"/>
    <x v="0"/>
  </r>
  <r>
    <x v="1585"/>
    <x v="2"/>
    <x v="214"/>
    <n v="1"/>
    <n v="319.99"/>
    <n v="0.05"/>
    <n v="319.99"/>
    <m/>
    <x v="202"/>
    <x v="0"/>
  </r>
  <r>
    <x v="1585"/>
    <x v="3"/>
    <x v="264"/>
    <n v="1"/>
    <n v="3199.99"/>
    <n v="0.2"/>
    <n v="3199.99"/>
    <m/>
    <x v="244"/>
    <x v="0"/>
  </r>
  <r>
    <x v="1585"/>
    <x v="4"/>
    <x v="107"/>
    <n v="1"/>
    <n v="832.99"/>
    <n v="0.1"/>
    <n v="832.99"/>
    <m/>
    <x v="99"/>
    <x v="0"/>
  </r>
  <r>
    <x v="1586"/>
    <x v="0"/>
    <x v="77"/>
    <n v="1"/>
    <n v="481.99"/>
    <n v="0.1"/>
    <n v="481.99"/>
    <m/>
    <x v="70"/>
    <x v="0"/>
  </r>
  <r>
    <x v="1586"/>
    <x v="1"/>
    <x v="65"/>
    <n v="2"/>
    <n v="3499.99"/>
    <n v="0.05"/>
    <n v="6999.98"/>
    <m/>
    <x v="58"/>
    <x v="0"/>
  </r>
  <r>
    <x v="1586"/>
    <x v="2"/>
    <x v="46"/>
    <n v="2"/>
    <n v="647.99"/>
    <n v="0.05"/>
    <n v="1295.98"/>
    <m/>
    <x v="40"/>
    <x v="0"/>
  </r>
  <r>
    <x v="1586"/>
    <x v="3"/>
    <x v="133"/>
    <n v="2"/>
    <n v="799.99"/>
    <n v="7.0000000000000007E-2"/>
    <n v="1599.98"/>
    <m/>
    <x v="124"/>
    <x v="0"/>
  </r>
  <r>
    <x v="1587"/>
    <x v="0"/>
    <x v="101"/>
    <n v="2"/>
    <n v="209.99"/>
    <n v="7.0000000000000007E-2"/>
    <n v="419.98"/>
    <m/>
    <x v="93"/>
    <x v="1"/>
  </r>
  <r>
    <x v="1588"/>
    <x v="0"/>
    <x v="267"/>
    <n v="2"/>
    <n v="639.99"/>
    <n v="0.05"/>
    <n v="1279.98"/>
    <m/>
    <x v="247"/>
    <x v="0"/>
  </r>
  <r>
    <x v="1588"/>
    <x v="1"/>
    <x v="258"/>
    <n v="1"/>
    <n v="799.99"/>
    <n v="0.2"/>
    <n v="799.99"/>
    <m/>
    <x v="124"/>
    <x v="0"/>
  </r>
  <r>
    <x v="1588"/>
    <x v="2"/>
    <x v="76"/>
    <n v="2"/>
    <n v="2499.9899999999998"/>
    <n v="0.1"/>
    <n v="4999.9799999999996"/>
    <m/>
    <x v="69"/>
    <x v="0"/>
  </r>
  <r>
    <x v="1589"/>
    <x v="0"/>
    <x v="147"/>
    <n v="2"/>
    <n v="3199.99"/>
    <n v="7.0000000000000007E-2"/>
    <n v="6399.98"/>
    <m/>
    <x v="138"/>
    <x v="0"/>
  </r>
  <r>
    <x v="1589"/>
    <x v="1"/>
    <x v="277"/>
    <n v="1"/>
    <n v="599.99"/>
    <n v="0.2"/>
    <n v="599.99"/>
    <m/>
    <x v="255"/>
    <x v="0"/>
  </r>
  <r>
    <x v="1589"/>
    <x v="2"/>
    <x v="19"/>
    <n v="1"/>
    <n v="299.99"/>
    <n v="7.0000000000000007E-2"/>
    <n v="299.99"/>
    <m/>
    <x v="17"/>
    <x v="0"/>
  </r>
  <r>
    <x v="1590"/>
    <x v="0"/>
    <x v="256"/>
    <n v="2"/>
    <n v="279.99"/>
    <n v="0.2"/>
    <n v="559.98"/>
    <m/>
    <x v="238"/>
    <x v="0"/>
  </r>
  <r>
    <x v="1590"/>
    <x v="1"/>
    <x v="250"/>
    <n v="2"/>
    <n v="469.99"/>
    <n v="0.2"/>
    <n v="939.98"/>
    <m/>
    <x v="234"/>
    <x v="0"/>
  </r>
  <r>
    <x v="1590"/>
    <x v="2"/>
    <x v="44"/>
    <n v="2"/>
    <n v="349.99"/>
    <n v="7.0000000000000007E-2"/>
    <n v="699.98"/>
    <m/>
    <x v="38"/>
    <x v="0"/>
  </r>
  <r>
    <x v="1590"/>
    <x v="3"/>
    <x v="141"/>
    <n v="2"/>
    <n v="2249.9899999999998"/>
    <n v="0.05"/>
    <n v="4499.9799999999996"/>
    <m/>
    <x v="132"/>
    <x v="0"/>
  </r>
  <r>
    <x v="1590"/>
    <x v="4"/>
    <x v="237"/>
    <n v="1"/>
    <n v="289.99"/>
    <n v="0.2"/>
    <n v="289.99"/>
    <m/>
    <x v="222"/>
    <x v="0"/>
  </r>
  <r>
    <x v="1591"/>
    <x v="0"/>
    <x v="304"/>
    <n v="2"/>
    <n v="1549"/>
    <n v="0.05"/>
    <n v="3098"/>
    <m/>
    <x v="147"/>
    <x v="1"/>
  </r>
  <r>
    <x v="1591"/>
    <x v="1"/>
    <x v="166"/>
    <n v="1"/>
    <n v="2299.9899999999998"/>
    <n v="7.0000000000000007E-2"/>
    <n v="2299.9899999999998"/>
    <m/>
    <x v="157"/>
    <x v="1"/>
  </r>
  <r>
    <x v="1591"/>
    <x v="2"/>
    <x v="95"/>
    <n v="2"/>
    <n v="4999.99"/>
    <n v="7.0000000000000007E-2"/>
    <n v="9999.98"/>
    <m/>
    <x v="87"/>
    <x v="1"/>
  </r>
  <r>
    <x v="1591"/>
    <x v="3"/>
    <x v="11"/>
    <n v="1"/>
    <n v="2999.99"/>
    <n v="0.2"/>
    <n v="2999.99"/>
    <m/>
    <x v="10"/>
    <x v="1"/>
  </r>
  <r>
    <x v="1591"/>
    <x v="4"/>
    <x v="261"/>
    <n v="2"/>
    <n v="209.99"/>
    <n v="0.05"/>
    <n v="419.98"/>
    <m/>
    <x v="242"/>
    <x v="1"/>
  </r>
  <r>
    <x v="1592"/>
    <x v="0"/>
    <x v="44"/>
    <n v="2"/>
    <n v="349.99"/>
    <n v="0.2"/>
    <n v="699.98"/>
    <m/>
    <x v="38"/>
    <x v="1"/>
  </r>
  <r>
    <x v="1592"/>
    <x v="1"/>
    <x v="98"/>
    <n v="1"/>
    <n v="469.99"/>
    <n v="7.0000000000000007E-2"/>
    <n v="469.99"/>
    <m/>
    <x v="90"/>
    <x v="1"/>
  </r>
  <r>
    <x v="1592"/>
    <x v="2"/>
    <x v="115"/>
    <n v="2"/>
    <n v="2799.99"/>
    <n v="0.1"/>
    <n v="5599.98"/>
    <m/>
    <x v="107"/>
    <x v="1"/>
  </r>
  <r>
    <x v="1592"/>
    <x v="3"/>
    <x v="92"/>
    <n v="1"/>
    <n v="416.99"/>
    <n v="0.05"/>
    <n v="416.99"/>
    <m/>
    <x v="72"/>
    <x v="1"/>
  </r>
  <r>
    <x v="1592"/>
    <x v="4"/>
    <x v="146"/>
    <n v="2"/>
    <n v="6499.99"/>
    <n v="7.0000000000000007E-2"/>
    <n v="12999.98"/>
    <m/>
    <x v="137"/>
    <x v="1"/>
  </r>
  <r>
    <x v="1593"/>
    <x v="0"/>
    <x v="47"/>
    <n v="2"/>
    <n v="402.99"/>
    <n v="0.1"/>
    <n v="805.98"/>
    <m/>
    <x v="41"/>
    <x v="1"/>
  </r>
  <r>
    <x v="1593"/>
    <x v="1"/>
    <x v="86"/>
    <n v="1"/>
    <n v="533.99"/>
    <n v="0.1"/>
    <n v="533.99"/>
    <m/>
    <x v="79"/>
    <x v="1"/>
  </r>
  <r>
    <x v="1594"/>
    <x v="0"/>
    <x v="225"/>
    <n v="1"/>
    <n v="379.99"/>
    <n v="0.2"/>
    <n v="379.99"/>
    <m/>
    <x v="211"/>
    <x v="1"/>
  </r>
  <r>
    <x v="1595"/>
    <x v="0"/>
    <x v="87"/>
    <n v="1"/>
    <n v="349.99"/>
    <n v="0.05"/>
    <n v="349.99"/>
    <m/>
    <x v="80"/>
    <x v="2"/>
  </r>
  <r>
    <x v="1595"/>
    <x v="1"/>
    <x v="9"/>
    <n v="1"/>
    <n v="449"/>
    <n v="0.1"/>
    <n v="449"/>
    <m/>
    <x v="8"/>
    <x v="2"/>
  </r>
  <r>
    <x v="1596"/>
    <x v="0"/>
    <x v="305"/>
    <n v="1"/>
    <n v="3199.99"/>
    <n v="7.0000000000000007E-2"/>
    <n v="3199.99"/>
    <m/>
    <x v="276"/>
    <x v="2"/>
  </r>
  <r>
    <x v="1596"/>
    <x v="1"/>
    <x v="64"/>
    <n v="1"/>
    <n v="2599.9899999999998"/>
    <n v="7.0000000000000007E-2"/>
    <n v="2599.9899999999998"/>
    <m/>
    <x v="57"/>
    <x v="2"/>
  </r>
  <r>
    <x v="1597"/>
    <x v="0"/>
    <x v="123"/>
    <n v="1"/>
    <n v="599.99"/>
    <n v="0.2"/>
    <n v="599.99"/>
    <m/>
    <x v="114"/>
    <x v="0"/>
  </r>
  <r>
    <x v="1597"/>
    <x v="1"/>
    <x v="60"/>
    <n v="2"/>
    <n v="3499.99"/>
    <n v="7.0000000000000007E-2"/>
    <n v="6999.98"/>
    <m/>
    <x v="53"/>
    <x v="0"/>
  </r>
  <r>
    <x v="1597"/>
    <x v="2"/>
    <x v="54"/>
    <n v="1"/>
    <n v="189.99"/>
    <n v="0.2"/>
    <n v="189.99"/>
    <m/>
    <x v="47"/>
    <x v="0"/>
  </r>
  <r>
    <x v="1598"/>
    <x v="0"/>
    <x v="77"/>
    <n v="2"/>
    <n v="481.99"/>
    <n v="0.2"/>
    <n v="963.98"/>
    <m/>
    <x v="70"/>
    <x v="1"/>
  </r>
  <r>
    <x v="1599"/>
    <x v="0"/>
    <x v="301"/>
    <n v="1"/>
    <n v="4999.99"/>
    <n v="0.1"/>
    <n v="4999.99"/>
    <m/>
    <x v="275"/>
    <x v="1"/>
  </r>
  <r>
    <x v="1599"/>
    <x v="1"/>
    <x v="214"/>
    <n v="1"/>
    <n v="319.99"/>
    <n v="0.05"/>
    <n v="319.99"/>
    <m/>
    <x v="202"/>
    <x v="1"/>
  </r>
  <r>
    <x v="1599"/>
    <x v="2"/>
    <x v="107"/>
    <n v="1"/>
    <n v="832.99"/>
    <n v="0.2"/>
    <n v="832.99"/>
    <m/>
    <x v="99"/>
    <x v="1"/>
  </r>
  <r>
    <x v="1600"/>
    <x v="0"/>
    <x v="233"/>
    <n v="2"/>
    <n v="579.99"/>
    <n v="0.2"/>
    <n v="1159.98"/>
    <m/>
    <x v="218"/>
    <x v="2"/>
  </r>
  <r>
    <x v="1600"/>
    <x v="1"/>
    <x v="2"/>
    <n v="1"/>
    <n v="1549"/>
    <n v="0.2"/>
    <n v="1549"/>
    <m/>
    <x v="2"/>
    <x v="2"/>
  </r>
  <r>
    <x v="1600"/>
    <x v="2"/>
    <x v="229"/>
    <n v="2"/>
    <n v="269.99"/>
    <n v="7.0000000000000007E-2"/>
    <n v="539.98"/>
    <m/>
    <x v="214"/>
    <x v="2"/>
  </r>
  <r>
    <x v="1600"/>
    <x v="3"/>
    <x v="14"/>
    <n v="2"/>
    <n v="3999.99"/>
    <n v="7.0000000000000007E-2"/>
    <n v="7999.98"/>
    <m/>
    <x v="13"/>
    <x v="2"/>
  </r>
  <r>
    <x v="1600"/>
    <x v="4"/>
    <x v="118"/>
    <n v="1"/>
    <n v="919.99"/>
    <n v="0.1"/>
    <n v="919.99"/>
    <m/>
    <x v="110"/>
    <x v="2"/>
  </r>
  <r>
    <x v="1601"/>
    <x v="0"/>
    <x v="68"/>
    <n v="2"/>
    <n v="416.99"/>
    <n v="0.05"/>
    <n v="833.98"/>
    <m/>
    <x v="61"/>
    <x v="1"/>
  </r>
  <r>
    <x v="1601"/>
    <x v="1"/>
    <x v="88"/>
    <n v="1"/>
    <n v="379.99"/>
    <n v="7.0000000000000007E-2"/>
    <n v="379.99"/>
    <m/>
    <x v="81"/>
    <x v="1"/>
  </r>
  <r>
    <x v="1601"/>
    <x v="2"/>
    <x v="224"/>
    <n v="2"/>
    <n v="229.99"/>
    <n v="0.2"/>
    <n v="459.98"/>
    <m/>
    <x v="210"/>
    <x v="1"/>
  </r>
  <r>
    <x v="1601"/>
    <x v="3"/>
    <x v="113"/>
    <n v="2"/>
    <n v="899.99"/>
    <n v="0.05"/>
    <n v="1799.98"/>
    <m/>
    <x v="105"/>
    <x v="1"/>
  </r>
  <r>
    <x v="1602"/>
    <x v="0"/>
    <x v="224"/>
    <n v="2"/>
    <n v="229.99"/>
    <n v="0.05"/>
    <n v="459.98"/>
    <m/>
    <x v="210"/>
    <x v="1"/>
  </r>
  <r>
    <x v="1603"/>
    <x v="0"/>
    <x v="261"/>
    <n v="1"/>
    <n v="209.99"/>
    <n v="0.1"/>
    <n v="209.99"/>
    <m/>
    <x v="242"/>
    <x v="1"/>
  </r>
  <r>
    <x v="1604"/>
    <x v="0"/>
    <x v="31"/>
    <n v="1"/>
    <n v="619.99"/>
    <n v="0.1"/>
    <n v="619.99"/>
    <m/>
    <x v="27"/>
    <x v="2"/>
  </r>
  <r>
    <x v="1604"/>
    <x v="1"/>
    <x v="192"/>
    <n v="1"/>
    <n v="4499.99"/>
    <n v="0.2"/>
    <n v="4499.99"/>
    <m/>
    <x v="182"/>
    <x v="2"/>
  </r>
  <r>
    <x v="1604"/>
    <x v="2"/>
    <x v="188"/>
    <n v="2"/>
    <n v="1499.99"/>
    <n v="0.1"/>
    <n v="2999.98"/>
    <m/>
    <x v="178"/>
    <x v="2"/>
  </r>
  <r>
    <x v="1604"/>
    <x v="3"/>
    <x v="235"/>
    <n v="1"/>
    <n v="899.99"/>
    <n v="0.1"/>
    <n v="899.99"/>
    <m/>
    <x v="220"/>
    <x v="2"/>
  </r>
  <r>
    <x v="1604"/>
    <x v="4"/>
    <x v="61"/>
    <n v="1"/>
    <n v="999.99"/>
    <n v="7.0000000000000007E-2"/>
    <n v="999.99"/>
    <m/>
    <x v="54"/>
    <x v="2"/>
  </r>
  <r>
    <x v="1605"/>
    <x v="0"/>
    <x v="241"/>
    <n v="1"/>
    <n v="659.99"/>
    <n v="0.1"/>
    <n v="659.99"/>
    <m/>
    <x v="226"/>
    <x v="2"/>
  </r>
  <r>
    <x v="1605"/>
    <x v="1"/>
    <x v="261"/>
    <n v="1"/>
    <n v="209.99"/>
    <n v="0.1"/>
    <n v="209.99"/>
    <m/>
    <x v="242"/>
    <x v="2"/>
  </r>
  <r>
    <x v="1606"/>
    <x v="0"/>
    <x v="61"/>
    <n v="1"/>
    <n v="999.99"/>
    <n v="0.05"/>
    <n v="999.99"/>
    <m/>
    <x v="54"/>
    <x v="0"/>
  </r>
  <r>
    <x v="1607"/>
    <x v="0"/>
    <x v="285"/>
    <n v="2"/>
    <n v="529.99"/>
    <n v="0.05"/>
    <n v="1059.98"/>
    <m/>
    <x v="263"/>
    <x v="0"/>
  </r>
  <r>
    <x v="1608"/>
    <x v="0"/>
    <x v="81"/>
    <n v="1"/>
    <n v="349.99"/>
    <n v="0.2"/>
    <n v="349.99"/>
    <m/>
    <x v="74"/>
    <x v="1"/>
  </r>
  <r>
    <x v="1608"/>
    <x v="1"/>
    <x v="207"/>
    <n v="2"/>
    <n v="749.99"/>
    <n v="0.2"/>
    <n v="1499.98"/>
    <m/>
    <x v="168"/>
    <x v="1"/>
  </r>
  <r>
    <x v="1608"/>
    <x v="2"/>
    <x v="121"/>
    <n v="2"/>
    <n v="319.99"/>
    <n v="0.1"/>
    <n v="639.98"/>
    <m/>
    <x v="113"/>
    <x v="1"/>
  </r>
  <r>
    <x v="1608"/>
    <x v="3"/>
    <x v="86"/>
    <n v="1"/>
    <n v="533.99"/>
    <n v="0.2"/>
    <n v="533.99"/>
    <m/>
    <x v="79"/>
    <x v="1"/>
  </r>
  <r>
    <x v="1609"/>
    <x v="0"/>
    <x v="107"/>
    <n v="1"/>
    <n v="832.99"/>
    <n v="7.0000000000000007E-2"/>
    <n v="832.99"/>
    <m/>
    <x v="99"/>
    <x v="1"/>
  </r>
  <r>
    <x v="1609"/>
    <x v="1"/>
    <x v="264"/>
    <n v="2"/>
    <n v="3199.99"/>
    <n v="0.2"/>
    <n v="6399.98"/>
    <m/>
    <x v="244"/>
    <x v="1"/>
  </r>
  <r>
    <x v="1610"/>
    <x v="0"/>
    <x v="278"/>
    <n v="1"/>
    <n v="2799.99"/>
    <n v="7.0000000000000007E-2"/>
    <n v="2799.99"/>
    <m/>
    <x v="256"/>
    <x v="1"/>
  </r>
  <r>
    <x v="1610"/>
    <x v="1"/>
    <x v="212"/>
    <n v="2"/>
    <n v="3199.99"/>
    <n v="0.1"/>
    <n v="6399.98"/>
    <m/>
    <x v="200"/>
    <x v="1"/>
  </r>
  <r>
    <x v="1610"/>
    <x v="2"/>
    <x v="184"/>
    <n v="1"/>
    <n v="749.99"/>
    <n v="0.2"/>
    <n v="749.99"/>
    <m/>
    <x v="174"/>
    <x v="1"/>
  </r>
  <r>
    <x v="1611"/>
    <x v="0"/>
    <x v="243"/>
    <n v="1"/>
    <n v="699.99"/>
    <n v="0.1"/>
    <n v="699.99"/>
    <m/>
    <x v="228"/>
    <x v="0"/>
  </r>
  <r>
    <x v="1611"/>
    <x v="1"/>
    <x v="306"/>
    <n v="2"/>
    <n v="319.99"/>
    <n v="0.05"/>
    <n v="639.98"/>
    <m/>
    <x v="277"/>
    <x v="0"/>
  </r>
  <r>
    <x v="1611"/>
    <x v="2"/>
    <x v="70"/>
    <n v="2"/>
    <n v="339.99"/>
    <n v="0.2"/>
    <n v="679.98"/>
    <m/>
    <x v="63"/>
    <x v="0"/>
  </r>
  <r>
    <x v="1611"/>
    <x v="3"/>
    <x v="284"/>
    <n v="2"/>
    <n v="319.99"/>
    <n v="7.0000000000000007E-2"/>
    <n v="639.98"/>
    <m/>
    <x v="262"/>
    <x v="0"/>
  </r>
  <r>
    <x v="1611"/>
    <x v="4"/>
    <x v="91"/>
    <n v="1"/>
    <n v="1559.99"/>
    <n v="0.1"/>
    <n v="1559.99"/>
    <m/>
    <x v="84"/>
    <x v="0"/>
  </r>
  <r>
    <x v="1612"/>
    <x v="0"/>
    <x v="145"/>
    <n v="1"/>
    <n v="4999.99"/>
    <n v="7.0000000000000007E-2"/>
    <n v="4999.99"/>
    <m/>
    <x v="136"/>
    <x v="1"/>
  </r>
  <r>
    <x v="1612"/>
    <x v="1"/>
    <x v="125"/>
    <n v="2"/>
    <n v="319.99"/>
    <n v="0.05"/>
    <n v="639.98"/>
    <m/>
    <x v="116"/>
    <x v="1"/>
  </r>
  <r>
    <x v="1613"/>
    <x v="0"/>
    <x v="190"/>
    <n v="1"/>
    <n v="1499"/>
    <n v="7.0000000000000007E-2"/>
    <n v="1499"/>
    <m/>
    <x v="180"/>
    <x v="2"/>
  </r>
  <r>
    <x v="1613"/>
    <x v="1"/>
    <x v="166"/>
    <n v="2"/>
    <n v="2299.9899999999998"/>
    <n v="7.0000000000000007E-2"/>
    <n v="4599.9799999999996"/>
    <m/>
    <x v="157"/>
    <x v="2"/>
  </r>
  <r>
    <x v="1613"/>
    <x v="2"/>
    <x v="193"/>
    <n v="2"/>
    <n v="269.99"/>
    <n v="0.2"/>
    <n v="539.98"/>
    <m/>
    <x v="183"/>
    <x v="2"/>
  </r>
  <r>
    <x v="1614"/>
    <x v="0"/>
    <x v="245"/>
    <n v="2"/>
    <n v="2299.9899999999998"/>
    <n v="0.2"/>
    <n v="4599.9799999999996"/>
    <m/>
    <x v="230"/>
    <x v="2"/>
  </r>
  <r>
    <x v="1614"/>
    <x v="1"/>
    <x v="204"/>
    <n v="1"/>
    <n v="899.99"/>
    <n v="7.0000000000000007E-2"/>
    <n v="899.99"/>
    <m/>
    <x v="194"/>
    <x v="2"/>
  </r>
  <r>
    <x v="1614"/>
    <x v="2"/>
    <x v="197"/>
    <n v="1"/>
    <n v="2499.9899999999998"/>
    <n v="0.2"/>
    <n v="2499.9899999999998"/>
    <m/>
    <x v="187"/>
    <x v="2"/>
  </r>
  <r>
    <x v="1615"/>
    <x v="5"/>
    <x v="307"/>
    <m/>
    <m/>
    <m/>
    <m/>
    <m/>
    <x v="278"/>
    <x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22">
  <r>
    <n v="1"/>
    <n v="1"/>
    <n v="20"/>
    <x v="0"/>
    <n v="599.99"/>
    <x v="0"/>
    <x v="0"/>
    <x v="0"/>
    <s v="Electra Townie Original 7D EQ - Women's - 2016"/>
    <x v="0"/>
  </r>
  <r>
    <n v="1"/>
    <n v="2"/>
    <n v="8"/>
    <x v="1"/>
    <n v="1799.99"/>
    <x v="1"/>
    <x v="1"/>
    <x v="1"/>
    <s v="Trek Remedy 29 Carbon Frameset - 2016"/>
    <x v="0"/>
  </r>
  <r>
    <n v="1"/>
    <n v="3"/>
    <n v="10"/>
    <x v="1"/>
    <n v="1549"/>
    <x v="2"/>
    <x v="2"/>
    <x v="1"/>
    <s v="Surly Straggler - 2016"/>
    <x v="0"/>
  </r>
  <r>
    <n v="1"/>
    <n v="4"/>
    <n v="16"/>
    <x v="1"/>
    <n v="599.99"/>
    <x v="2"/>
    <x v="3"/>
    <x v="1"/>
    <s v="Electra Townie Original 7D EQ - 2016"/>
    <x v="0"/>
  </r>
  <r>
    <n v="1"/>
    <n v="5"/>
    <n v="4"/>
    <x v="0"/>
    <n v="2899.99"/>
    <x v="0"/>
    <x v="4"/>
    <x v="1"/>
    <s v="Trek Fuel EX 8 29 - 2016"/>
    <x v="0"/>
  </r>
  <r>
    <n v="2"/>
    <n v="1"/>
    <n v="20"/>
    <x v="0"/>
    <n v="599.99"/>
    <x v="1"/>
    <x v="0"/>
    <x v="1"/>
    <s v="Electra Townie Original 7D EQ - Women's - 2016"/>
    <x v="1"/>
  </r>
  <r>
    <n v="2"/>
    <n v="2"/>
    <n v="16"/>
    <x v="1"/>
    <n v="599.99"/>
    <x v="2"/>
    <x v="3"/>
    <x v="1"/>
    <s v="Electra Townie Original 7D EQ - 2016"/>
    <x v="1"/>
  </r>
  <r>
    <n v="3"/>
    <n v="1"/>
    <n v="3"/>
    <x v="0"/>
    <n v="999.99"/>
    <x v="2"/>
    <x v="5"/>
    <x v="1"/>
    <s v="Surly Wednesday Frameset - 2016"/>
    <x v="1"/>
  </r>
  <r>
    <n v="3"/>
    <n v="2"/>
    <n v="20"/>
    <x v="0"/>
    <n v="599.99"/>
    <x v="2"/>
    <x v="0"/>
    <x v="1"/>
    <s v="Electra Townie Original 7D EQ - Women's - 2016"/>
    <x v="1"/>
  </r>
  <r>
    <n v="4"/>
    <n v="1"/>
    <n v="2"/>
    <x v="1"/>
    <n v="749.99"/>
    <x v="3"/>
    <x v="6"/>
    <x v="1"/>
    <s v="Ritchey Timberwolf Frameset - 2016"/>
    <x v="0"/>
  </r>
  <r>
    <n v="5"/>
    <n v="1"/>
    <n v="10"/>
    <x v="1"/>
    <n v="1549"/>
    <x v="2"/>
    <x v="2"/>
    <x v="1"/>
    <s v="Surly Straggler - 2016"/>
    <x v="1"/>
  </r>
  <r>
    <n v="5"/>
    <n v="2"/>
    <n v="17"/>
    <x v="0"/>
    <n v="429"/>
    <x v="1"/>
    <x v="7"/>
    <x v="1"/>
    <s v="Pure Cycles Vine 8-Speed - 2016"/>
    <x v="1"/>
  </r>
  <r>
    <n v="5"/>
    <n v="3"/>
    <n v="26"/>
    <x v="0"/>
    <n v="599.99"/>
    <x v="1"/>
    <x v="0"/>
    <x v="1"/>
    <s v="Electra Townie Original 7D EQ - 2016"/>
    <x v="1"/>
  </r>
  <r>
    <n v="6"/>
    <n v="1"/>
    <n v="18"/>
    <x v="0"/>
    <n v="449"/>
    <x v="1"/>
    <x v="8"/>
    <x v="1"/>
    <s v="Pure Cycles Western 3-Speed - Women's - 2015/2016"/>
    <x v="1"/>
  </r>
  <r>
    <n v="6"/>
    <n v="2"/>
    <n v="12"/>
    <x v="1"/>
    <n v="549.99"/>
    <x v="2"/>
    <x v="9"/>
    <x v="1"/>
    <s v="Electra Townie Original 21D - 2016"/>
    <x v="1"/>
  </r>
  <r>
    <n v="6"/>
    <n v="3"/>
    <n v="20"/>
    <x v="0"/>
    <n v="599.99"/>
    <x v="3"/>
    <x v="0"/>
    <x v="1"/>
    <s v="Electra Townie Original 7D EQ - Women's - 2016"/>
    <x v="1"/>
  </r>
  <r>
    <n v="6"/>
    <n v="4"/>
    <n v="3"/>
    <x v="1"/>
    <n v="999.99"/>
    <x v="1"/>
    <x v="10"/>
    <x v="1"/>
    <s v="Surly Wednesday Frameset - 2016"/>
    <x v="1"/>
  </r>
  <r>
    <n v="6"/>
    <n v="5"/>
    <n v="9"/>
    <x v="1"/>
    <n v="2999.99"/>
    <x v="1"/>
    <x v="11"/>
    <x v="1"/>
    <s v="Trek Conduit+ - 2016"/>
    <x v="1"/>
  </r>
  <r>
    <n v="7"/>
    <n v="1"/>
    <n v="15"/>
    <x v="0"/>
    <n v="529.99"/>
    <x v="1"/>
    <x v="12"/>
    <x v="1"/>
    <s v="Electra Moto 1 - 2016"/>
    <x v="1"/>
  </r>
  <r>
    <n v="7"/>
    <n v="2"/>
    <n v="3"/>
    <x v="0"/>
    <n v="999.99"/>
    <x v="3"/>
    <x v="5"/>
    <x v="1"/>
    <s v="Surly Wednesday Frameset - 2016"/>
    <x v="1"/>
  </r>
  <r>
    <n v="7"/>
    <n v="3"/>
    <n v="17"/>
    <x v="1"/>
    <n v="429"/>
    <x v="3"/>
    <x v="13"/>
    <x v="1"/>
    <s v="Pure Cycles Vine 8-Speed - 2016"/>
    <x v="1"/>
  </r>
  <r>
    <n v="8"/>
    <n v="1"/>
    <n v="22"/>
    <x v="0"/>
    <n v="269.99"/>
    <x v="2"/>
    <x v="14"/>
    <x v="1"/>
    <s v="Electra Girl's Hawaii 1 (16-inch) - 2015/2016"/>
    <x v="1"/>
  </r>
  <r>
    <n v="8"/>
    <n v="2"/>
    <n v="20"/>
    <x v="1"/>
    <n v="599.99"/>
    <x v="1"/>
    <x v="3"/>
    <x v="1"/>
    <s v="Electra Townie Original 7D EQ - Women's - 2016"/>
    <x v="1"/>
  </r>
  <r>
    <n v="9"/>
    <n v="1"/>
    <n v="7"/>
    <x v="1"/>
    <n v="3999.99"/>
    <x v="3"/>
    <x v="15"/>
    <x v="1"/>
    <s v="Trek Slash 8 27.5 - 2016"/>
    <x v="0"/>
  </r>
  <r>
    <n v="10"/>
    <n v="1"/>
    <n v="14"/>
    <x v="0"/>
    <n v="269.99"/>
    <x v="3"/>
    <x v="14"/>
    <x v="1"/>
    <s v="Electra Girl's Hawaii 1 (16-inch) - 2015/2016"/>
    <x v="1"/>
  </r>
  <r>
    <n v="11"/>
    <n v="1"/>
    <n v="8"/>
    <x v="0"/>
    <n v="1799.99"/>
    <x v="2"/>
    <x v="16"/>
    <x v="1"/>
    <s v="Trek Remedy 29 Carbon Frameset - 2016"/>
    <x v="1"/>
  </r>
  <r>
    <n v="11"/>
    <n v="2"/>
    <n v="22"/>
    <x v="1"/>
    <n v="269.99"/>
    <x v="3"/>
    <x v="17"/>
    <x v="1"/>
    <s v="Electra Girl's Hawaii 1 (16-inch) - 2015/2016"/>
    <x v="1"/>
  </r>
  <r>
    <n v="11"/>
    <n v="3"/>
    <n v="16"/>
    <x v="1"/>
    <n v="599.99"/>
    <x v="0"/>
    <x v="3"/>
    <x v="1"/>
    <s v="Electra Townie Original 7D EQ - 2016"/>
    <x v="1"/>
  </r>
  <r>
    <n v="12"/>
    <n v="1"/>
    <n v="4"/>
    <x v="1"/>
    <n v="2899.99"/>
    <x v="3"/>
    <x v="18"/>
    <x v="1"/>
    <s v="Trek Fuel EX 8 29 - 2016"/>
    <x v="0"/>
  </r>
  <r>
    <n v="12"/>
    <n v="2"/>
    <n v="11"/>
    <x v="0"/>
    <n v="1680.99"/>
    <x v="2"/>
    <x v="19"/>
    <x v="1"/>
    <s v="Surly Straggler 650b - 2016"/>
    <x v="0"/>
  </r>
  <r>
    <n v="13"/>
    <n v="1"/>
    <n v="13"/>
    <x v="0"/>
    <n v="269.99"/>
    <x v="3"/>
    <x v="14"/>
    <x v="1"/>
    <s v="Electra Cruiser 1 (24-Inch) - 2016"/>
    <x v="1"/>
  </r>
  <r>
    <n v="13"/>
    <n v="2"/>
    <n v="17"/>
    <x v="1"/>
    <n v="429"/>
    <x v="2"/>
    <x v="13"/>
    <x v="1"/>
    <s v="Pure Cycles Vine 8-Speed - 2016"/>
    <x v="1"/>
  </r>
  <r>
    <n v="13"/>
    <n v="3"/>
    <n v="20"/>
    <x v="1"/>
    <n v="599.99"/>
    <x v="3"/>
    <x v="3"/>
    <x v="1"/>
    <s v="Electra Townie Original 7D EQ - Women's - 2016"/>
    <x v="1"/>
  </r>
  <r>
    <n v="13"/>
    <n v="4"/>
    <n v="16"/>
    <x v="1"/>
    <n v="599.99"/>
    <x v="2"/>
    <x v="3"/>
    <x v="1"/>
    <s v="Electra Townie Original 7D EQ - 2016"/>
    <x v="1"/>
  </r>
  <r>
    <n v="14"/>
    <n v="1"/>
    <n v="6"/>
    <x v="0"/>
    <n v="469.99"/>
    <x v="1"/>
    <x v="20"/>
    <x v="1"/>
    <s v="Surly Ice Cream Truck Frameset - 2016"/>
    <x v="0"/>
  </r>
  <r>
    <n v="15"/>
    <n v="1"/>
    <n v="12"/>
    <x v="1"/>
    <n v="549.99"/>
    <x v="1"/>
    <x v="9"/>
    <x v="1"/>
    <s v="Electra Townie Original 21D - 2016"/>
    <x v="1"/>
  </r>
  <r>
    <n v="15"/>
    <n v="2"/>
    <n v="8"/>
    <x v="0"/>
    <n v="1799.99"/>
    <x v="1"/>
    <x v="16"/>
    <x v="1"/>
    <s v="Trek Remedy 29 Carbon Frameset - 2016"/>
    <x v="1"/>
  </r>
  <r>
    <n v="15"/>
    <n v="3"/>
    <n v="18"/>
    <x v="1"/>
    <n v="449"/>
    <x v="2"/>
    <x v="21"/>
    <x v="1"/>
    <s v="Pure Cycles Western 3-Speed - Women's - 2015/2016"/>
    <x v="1"/>
  </r>
  <r>
    <n v="15"/>
    <n v="4"/>
    <n v="23"/>
    <x v="1"/>
    <n v="299.99"/>
    <x v="0"/>
    <x v="22"/>
    <x v="1"/>
    <s v="Electra Girl's Hawaii 1 (20-inch) - 2015/2016"/>
    <x v="1"/>
  </r>
  <r>
    <n v="16"/>
    <n v="1"/>
    <n v="8"/>
    <x v="0"/>
    <n v="1799.99"/>
    <x v="0"/>
    <x v="16"/>
    <x v="1"/>
    <s v="Trek Remedy 29 Carbon Frameset - 2016"/>
    <x v="0"/>
  </r>
  <r>
    <n v="16"/>
    <n v="2"/>
    <n v="21"/>
    <x v="0"/>
    <n v="269.99"/>
    <x v="2"/>
    <x v="14"/>
    <x v="1"/>
    <s v="Electra Cruiser 1 (24-Inch) - 2016"/>
    <x v="0"/>
  </r>
  <r>
    <n v="16"/>
    <n v="3"/>
    <n v="13"/>
    <x v="1"/>
    <n v="269.99"/>
    <x v="1"/>
    <x v="17"/>
    <x v="1"/>
    <s v="Electra Cruiser 1 (24-Inch) - 2016"/>
    <x v="0"/>
  </r>
  <r>
    <n v="16"/>
    <n v="4"/>
    <n v="14"/>
    <x v="0"/>
    <n v="269.99"/>
    <x v="1"/>
    <x v="14"/>
    <x v="1"/>
    <s v="Electra Girl's Hawaii 1 (16-inch) - 2015/2016"/>
    <x v="0"/>
  </r>
  <r>
    <n v="17"/>
    <n v="1"/>
    <n v="8"/>
    <x v="0"/>
    <n v="1799.99"/>
    <x v="1"/>
    <x v="16"/>
    <x v="1"/>
    <s v="Trek Remedy 29 Carbon Frameset - 2016"/>
    <x v="0"/>
  </r>
  <r>
    <n v="17"/>
    <n v="2"/>
    <n v="23"/>
    <x v="0"/>
    <n v="299.99"/>
    <x v="3"/>
    <x v="23"/>
    <x v="1"/>
    <s v="Electra Girl's Hawaii 1 (20-inch) - 2015/2016"/>
    <x v="0"/>
  </r>
  <r>
    <n v="17"/>
    <n v="3"/>
    <n v="5"/>
    <x v="0"/>
    <n v="1320.99"/>
    <x v="3"/>
    <x v="24"/>
    <x v="1"/>
    <s v="Heller Shagamaw Frame - 2016"/>
    <x v="0"/>
  </r>
  <r>
    <n v="17"/>
    <n v="4"/>
    <n v="20"/>
    <x v="1"/>
    <n v="599.99"/>
    <x v="0"/>
    <x v="3"/>
    <x v="1"/>
    <s v="Electra Townie Original 7D EQ - Women's - 2016"/>
    <x v="0"/>
  </r>
  <r>
    <n v="18"/>
    <n v="1"/>
    <n v="2"/>
    <x v="1"/>
    <n v="749.99"/>
    <x v="0"/>
    <x v="6"/>
    <x v="1"/>
    <s v="Ritchey Timberwolf Frameset - 2016"/>
    <x v="0"/>
  </r>
  <r>
    <n v="18"/>
    <n v="2"/>
    <n v="22"/>
    <x v="0"/>
    <n v="269.99"/>
    <x v="2"/>
    <x v="14"/>
    <x v="1"/>
    <s v="Electra Girl's Hawaii 1 (16-inch) - 2015/2016"/>
    <x v="0"/>
  </r>
  <r>
    <n v="18"/>
    <n v="3"/>
    <n v="7"/>
    <x v="0"/>
    <n v="3999.99"/>
    <x v="3"/>
    <x v="25"/>
    <x v="1"/>
    <s v="Trek Slash 8 27.5 - 2016"/>
    <x v="0"/>
  </r>
  <r>
    <n v="18"/>
    <n v="4"/>
    <n v="25"/>
    <x v="1"/>
    <n v="499.99"/>
    <x v="2"/>
    <x v="26"/>
    <x v="1"/>
    <s v="Electra Townie Original 7D - 2015/2016"/>
    <x v="0"/>
  </r>
  <r>
    <n v="18"/>
    <n v="5"/>
    <n v="9"/>
    <x v="1"/>
    <n v="2999.99"/>
    <x v="3"/>
    <x v="11"/>
    <x v="1"/>
    <s v="Trek Conduit+ - 2016"/>
    <x v="0"/>
  </r>
  <r>
    <n v="19"/>
    <n v="1"/>
    <n v="10"/>
    <x v="0"/>
    <n v="1549"/>
    <x v="1"/>
    <x v="27"/>
    <x v="1"/>
    <s v="Surly Straggler - 2016"/>
    <x v="0"/>
  </r>
  <r>
    <n v="19"/>
    <n v="2"/>
    <n v="9"/>
    <x v="1"/>
    <n v="2999.99"/>
    <x v="0"/>
    <x v="11"/>
    <x v="1"/>
    <s v="Trek Conduit+ - 2016"/>
    <x v="0"/>
  </r>
  <r>
    <n v="20"/>
    <n v="1"/>
    <n v="9"/>
    <x v="0"/>
    <n v="2999.99"/>
    <x v="1"/>
    <x v="28"/>
    <x v="1"/>
    <s v="Trek Conduit+ - 2016"/>
    <x v="0"/>
  </r>
  <r>
    <n v="20"/>
    <n v="2"/>
    <n v="10"/>
    <x v="1"/>
    <n v="1549"/>
    <x v="1"/>
    <x v="2"/>
    <x v="1"/>
    <s v="Surly Straggler - 2016"/>
    <x v="0"/>
  </r>
  <r>
    <n v="21"/>
    <n v="1"/>
    <n v="14"/>
    <x v="0"/>
    <n v="269.99"/>
    <x v="2"/>
    <x v="14"/>
    <x v="1"/>
    <s v="Electra Girl's Hawaii 1 (16-inch) - 2015/2016"/>
    <x v="1"/>
  </r>
  <r>
    <n v="21"/>
    <n v="2"/>
    <n v="17"/>
    <x v="0"/>
    <n v="429"/>
    <x v="3"/>
    <x v="7"/>
    <x v="1"/>
    <s v="Pure Cycles Vine 8-Speed - 2016"/>
    <x v="1"/>
  </r>
  <r>
    <n v="21"/>
    <n v="3"/>
    <n v="10"/>
    <x v="0"/>
    <n v="1549"/>
    <x v="1"/>
    <x v="27"/>
    <x v="1"/>
    <s v="Surly Straggler - 2016"/>
    <x v="1"/>
  </r>
  <r>
    <n v="22"/>
    <n v="1"/>
    <n v="15"/>
    <x v="1"/>
    <n v="529.99"/>
    <x v="0"/>
    <x v="29"/>
    <x v="1"/>
    <s v="Electra Moto 1 - 2016"/>
    <x v="0"/>
  </r>
  <r>
    <n v="22"/>
    <n v="2"/>
    <n v="22"/>
    <x v="0"/>
    <n v="269.99"/>
    <x v="2"/>
    <x v="14"/>
    <x v="1"/>
    <s v="Electra Girl's Hawaii 1 (16-inch) - 2015/2016"/>
    <x v="0"/>
  </r>
  <r>
    <n v="23"/>
    <n v="1"/>
    <n v="4"/>
    <x v="1"/>
    <n v="2899.99"/>
    <x v="2"/>
    <x v="18"/>
    <x v="1"/>
    <s v="Trek Fuel EX 8 29 - 2016"/>
    <x v="0"/>
  </r>
  <r>
    <n v="23"/>
    <n v="2"/>
    <n v="23"/>
    <x v="1"/>
    <n v="299.99"/>
    <x v="3"/>
    <x v="22"/>
    <x v="1"/>
    <s v="Electra Girl's Hawaii 1 (20-inch) - 2015/2016"/>
    <x v="0"/>
  </r>
  <r>
    <n v="23"/>
    <n v="3"/>
    <n v="13"/>
    <x v="0"/>
    <n v="269.99"/>
    <x v="0"/>
    <x v="14"/>
    <x v="1"/>
    <s v="Electra Cruiser 1 (24-Inch) - 2016"/>
    <x v="0"/>
  </r>
  <r>
    <n v="24"/>
    <n v="1"/>
    <n v="3"/>
    <x v="1"/>
    <n v="999.99"/>
    <x v="3"/>
    <x v="10"/>
    <x v="1"/>
    <s v="Surly Wednesday Frameset - 2016"/>
    <x v="1"/>
  </r>
  <r>
    <n v="24"/>
    <n v="2"/>
    <n v="18"/>
    <x v="1"/>
    <n v="449"/>
    <x v="1"/>
    <x v="21"/>
    <x v="1"/>
    <s v="Pure Cycles Western 3-Speed - Women's - 2015/2016"/>
    <x v="1"/>
  </r>
  <r>
    <n v="25"/>
    <n v="1"/>
    <n v="23"/>
    <x v="1"/>
    <n v="299.99"/>
    <x v="0"/>
    <x v="22"/>
    <x v="1"/>
    <s v="Electra Girl's Hawaii 1 (20-inch) - 2015/2016"/>
    <x v="1"/>
  </r>
  <r>
    <n v="25"/>
    <n v="2"/>
    <n v="10"/>
    <x v="1"/>
    <n v="1549"/>
    <x v="0"/>
    <x v="2"/>
    <x v="1"/>
    <s v="Surly Straggler - 2016"/>
    <x v="1"/>
  </r>
  <r>
    <n v="25"/>
    <n v="3"/>
    <n v="22"/>
    <x v="0"/>
    <n v="269.99"/>
    <x v="0"/>
    <x v="14"/>
    <x v="1"/>
    <s v="Electra Girl's Hawaii 1 (16-inch) - 2015/2016"/>
    <x v="1"/>
  </r>
  <r>
    <n v="25"/>
    <n v="4"/>
    <n v="14"/>
    <x v="0"/>
    <n v="269.99"/>
    <x v="0"/>
    <x v="14"/>
    <x v="1"/>
    <s v="Electra Girl's Hawaii 1 (16-inch) - 2015/2016"/>
    <x v="1"/>
  </r>
  <r>
    <n v="25"/>
    <n v="5"/>
    <n v="21"/>
    <x v="0"/>
    <n v="269.99"/>
    <x v="3"/>
    <x v="14"/>
    <x v="1"/>
    <s v="Electra Cruiser 1 (24-Inch) - 2016"/>
    <x v="1"/>
  </r>
  <r>
    <n v="26"/>
    <n v="1"/>
    <n v="7"/>
    <x v="0"/>
    <n v="3999.99"/>
    <x v="2"/>
    <x v="25"/>
    <x v="1"/>
    <s v="Trek Slash 8 27.5 - 2016"/>
    <x v="1"/>
  </r>
  <r>
    <n v="26"/>
    <n v="2"/>
    <n v="2"/>
    <x v="0"/>
    <n v="749.99"/>
    <x v="0"/>
    <x v="30"/>
    <x v="1"/>
    <s v="Ritchey Timberwolf Frameset - 2016"/>
    <x v="1"/>
  </r>
  <r>
    <n v="26"/>
    <n v="3"/>
    <n v="12"/>
    <x v="0"/>
    <n v="549.99"/>
    <x v="0"/>
    <x v="31"/>
    <x v="1"/>
    <s v="Electra Townie Original 21D - 2016"/>
    <x v="1"/>
  </r>
  <r>
    <n v="26"/>
    <n v="4"/>
    <n v="21"/>
    <x v="1"/>
    <n v="269.99"/>
    <x v="1"/>
    <x v="17"/>
    <x v="1"/>
    <s v="Electra Cruiser 1 (24-Inch) - 2016"/>
    <x v="1"/>
  </r>
  <r>
    <n v="27"/>
    <n v="1"/>
    <n v="5"/>
    <x v="0"/>
    <n v="1320.99"/>
    <x v="0"/>
    <x v="24"/>
    <x v="1"/>
    <s v="Heller Shagamaw Frame - 2016"/>
    <x v="1"/>
  </r>
  <r>
    <n v="27"/>
    <n v="2"/>
    <n v="19"/>
    <x v="0"/>
    <n v="449"/>
    <x v="0"/>
    <x v="8"/>
    <x v="1"/>
    <s v="Pure Cycles William 3-Speed - 2016"/>
    <x v="1"/>
  </r>
  <r>
    <n v="27"/>
    <n v="3"/>
    <n v="26"/>
    <x v="1"/>
    <n v="599.99"/>
    <x v="1"/>
    <x v="3"/>
    <x v="1"/>
    <s v="Electra Townie Original 7D EQ - 2016"/>
    <x v="1"/>
  </r>
  <r>
    <n v="27"/>
    <n v="4"/>
    <n v="8"/>
    <x v="0"/>
    <n v="1799.99"/>
    <x v="1"/>
    <x v="16"/>
    <x v="1"/>
    <s v="Trek Remedy 29 Carbon Frameset - 2016"/>
    <x v="1"/>
  </r>
  <r>
    <n v="28"/>
    <n v="1"/>
    <n v="5"/>
    <x v="0"/>
    <n v="1320.99"/>
    <x v="2"/>
    <x v="24"/>
    <x v="1"/>
    <s v="Heller Shagamaw Frame - 2016"/>
    <x v="1"/>
  </r>
  <r>
    <n v="28"/>
    <n v="2"/>
    <n v="7"/>
    <x v="1"/>
    <n v="3999.99"/>
    <x v="0"/>
    <x v="15"/>
    <x v="1"/>
    <s v="Trek Slash 8 27.5 - 2016"/>
    <x v="1"/>
  </r>
  <r>
    <n v="28"/>
    <n v="3"/>
    <n v="14"/>
    <x v="1"/>
    <n v="269.99"/>
    <x v="3"/>
    <x v="17"/>
    <x v="1"/>
    <s v="Electra Girl's Hawaii 1 (16-inch) - 2015/2016"/>
    <x v="1"/>
  </r>
  <r>
    <n v="28"/>
    <n v="4"/>
    <n v="6"/>
    <x v="0"/>
    <n v="469.99"/>
    <x v="2"/>
    <x v="20"/>
    <x v="1"/>
    <s v="Surly Ice Cream Truck Frameset - 2016"/>
    <x v="1"/>
  </r>
  <r>
    <n v="29"/>
    <n v="1"/>
    <n v="24"/>
    <x v="1"/>
    <n v="549.99"/>
    <x v="2"/>
    <x v="9"/>
    <x v="1"/>
    <s v="Electra Townie Original 21D - 2016"/>
    <x v="1"/>
  </r>
  <r>
    <n v="29"/>
    <n v="2"/>
    <n v="6"/>
    <x v="0"/>
    <n v="469.99"/>
    <x v="0"/>
    <x v="20"/>
    <x v="1"/>
    <s v="Surly Ice Cream Truck Frameset - 2016"/>
    <x v="1"/>
  </r>
  <r>
    <n v="29"/>
    <n v="3"/>
    <n v="21"/>
    <x v="1"/>
    <n v="269.99"/>
    <x v="3"/>
    <x v="17"/>
    <x v="1"/>
    <s v="Electra Cruiser 1 (24-Inch) - 2016"/>
    <x v="1"/>
  </r>
  <r>
    <n v="29"/>
    <n v="4"/>
    <n v="8"/>
    <x v="0"/>
    <n v="1799.99"/>
    <x v="0"/>
    <x v="16"/>
    <x v="1"/>
    <s v="Trek Remedy 29 Carbon Frameset - 2016"/>
    <x v="1"/>
  </r>
  <r>
    <n v="29"/>
    <n v="5"/>
    <n v="14"/>
    <x v="1"/>
    <n v="269.99"/>
    <x v="2"/>
    <x v="17"/>
    <x v="1"/>
    <s v="Electra Girl's Hawaii 1 (16-inch) - 2015/2016"/>
    <x v="1"/>
  </r>
  <r>
    <n v="30"/>
    <n v="1"/>
    <n v="26"/>
    <x v="0"/>
    <n v="599.99"/>
    <x v="2"/>
    <x v="0"/>
    <x v="1"/>
    <s v="Electra Townie Original 7D EQ - 2016"/>
    <x v="1"/>
  </r>
  <r>
    <n v="30"/>
    <n v="2"/>
    <n v="17"/>
    <x v="0"/>
    <n v="429"/>
    <x v="1"/>
    <x v="7"/>
    <x v="1"/>
    <s v="Pure Cycles Vine 8-Speed - 2016"/>
    <x v="1"/>
  </r>
  <r>
    <n v="30"/>
    <n v="3"/>
    <n v="19"/>
    <x v="0"/>
    <n v="449"/>
    <x v="3"/>
    <x v="8"/>
    <x v="1"/>
    <s v="Pure Cycles William 3-Speed - 2016"/>
    <x v="1"/>
  </r>
  <r>
    <n v="30"/>
    <n v="4"/>
    <n v="4"/>
    <x v="0"/>
    <n v="2899.99"/>
    <x v="3"/>
    <x v="4"/>
    <x v="1"/>
    <s v="Trek Fuel EX 8 29 - 2016"/>
    <x v="1"/>
  </r>
  <r>
    <n v="30"/>
    <n v="5"/>
    <n v="7"/>
    <x v="1"/>
    <n v="3999.99"/>
    <x v="3"/>
    <x v="15"/>
    <x v="1"/>
    <s v="Trek Slash 8 27.5 - 2016"/>
    <x v="1"/>
  </r>
  <r>
    <n v="31"/>
    <n v="1"/>
    <n v="11"/>
    <x v="1"/>
    <n v="1680.99"/>
    <x v="2"/>
    <x v="32"/>
    <x v="1"/>
    <s v="Surly Straggler 650b - 2016"/>
    <x v="2"/>
  </r>
  <r>
    <n v="31"/>
    <n v="2"/>
    <n v="9"/>
    <x v="1"/>
    <n v="2999.99"/>
    <x v="0"/>
    <x v="11"/>
    <x v="1"/>
    <s v="Trek Conduit+ - 2016"/>
    <x v="2"/>
  </r>
  <r>
    <n v="32"/>
    <n v="1"/>
    <n v="8"/>
    <x v="1"/>
    <n v="1799.99"/>
    <x v="1"/>
    <x v="1"/>
    <x v="1"/>
    <s v="Trek Remedy 29 Carbon Frameset - 2016"/>
    <x v="0"/>
  </r>
  <r>
    <n v="32"/>
    <n v="2"/>
    <n v="12"/>
    <x v="1"/>
    <n v="549.99"/>
    <x v="1"/>
    <x v="9"/>
    <x v="1"/>
    <s v="Electra Townie Original 21D - 2016"/>
    <x v="0"/>
  </r>
  <r>
    <n v="32"/>
    <n v="3"/>
    <n v="25"/>
    <x v="1"/>
    <n v="499.99"/>
    <x v="3"/>
    <x v="26"/>
    <x v="1"/>
    <s v="Electra Townie Original 7D - 2015/2016"/>
    <x v="0"/>
  </r>
  <r>
    <n v="33"/>
    <n v="1"/>
    <n v="23"/>
    <x v="1"/>
    <n v="299.99"/>
    <x v="1"/>
    <x v="22"/>
    <x v="1"/>
    <s v="Electra Girl's Hawaii 1 (20-inch) - 2015/2016"/>
    <x v="1"/>
  </r>
  <r>
    <n v="33"/>
    <n v="2"/>
    <n v="7"/>
    <x v="0"/>
    <n v="3999.99"/>
    <x v="3"/>
    <x v="25"/>
    <x v="1"/>
    <s v="Trek Slash 8 27.5 - 2016"/>
    <x v="1"/>
  </r>
  <r>
    <n v="34"/>
    <n v="1"/>
    <n v="8"/>
    <x v="1"/>
    <n v="1799.99"/>
    <x v="1"/>
    <x v="1"/>
    <x v="1"/>
    <s v="Trek Remedy 29 Carbon Frameset - 2016"/>
    <x v="1"/>
  </r>
  <r>
    <n v="34"/>
    <n v="2"/>
    <n v="10"/>
    <x v="1"/>
    <n v="1549"/>
    <x v="3"/>
    <x v="2"/>
    <x v="1"/>
    <s v="Surly Straggler - 2016"/>
    <x v="1"/>
  </r>
  <r>
    <n v="34"/>
    <n v="3"/>
    <n v="17"/>
    <x v="1"/>
    <n v="429"/>
    <x v="0"/>
    <x v="13"/>
    <x v="1"/>
    <s v="Pure Cycles Vine 8-Speed - 2016"/>
    <x v="1"/>
  </r>
  <r>
    <n v="35"/>
    <n v="1"/>
    <n v="18"/>
    <x v="0"/>
    <n v="449"/>
    <x v="2"/>
    <x v="8"/>
    <x v="1"/>
    <s v="Pure Cycles Western 3-Speed - Women's - 2015/2016"/>
    <x v="1"/>
  </r>
  <r>
    <n v="35"/>
    <n v="2"/>
    <n v="20"/>
    <x v="1"/>
    <n v="599.99"/>
    <x v="2"/>
    <x v="3"/>
    <x v="1"/>
    <s v="Electra Townie Original 7D EQ - Women's - 2016"/>
    <x v="1"/>
  </r>
  <r>
    <n v="35"/>
    <n v="3"/>
    <n v="5"/>
    <x v="0"/>
    <n v="1320.99"/>
    <x v="0"/>
    <x v="24"/>
    <x v="1"/>
    <s v="Heller Shagamaw Frame - 2016"/>
    <x v="1"/>
  </r>
  <r>
    <n v="35"/>
    <n v="4"/>
    <n v="21"/>
    <x v="1"/>
    <n v="269.99"/>
    <x v="1"/>
    <x v="17"/>
    <x v="1"/>
    <s v="Electra Cruiser 1 (24-Inch) - 2016"/>
    <x v="1"/>
  </r>
  <r>
    <n v="35"/>
    <n v="5"/>
    <n v="22"/>
    <x v="0"/>
    <n v="269.99"/>
    <x v="1"/>
    <x v="14"/>
    <x v="1"/>
    <s v="Electra Girl's Hawaii 1 (16-inch) - 2015/2016"/>
    <x v="1"/>
  </r>
  <r>
    <n v="36"/>
    <n v="1"/>
    <n v="9"/>
    <x v="0"/>
    <n v="2999.99"/>
    <x v="1"/>
    <x v="28"/>
    <x v="1"/>
    <s v="Trek Conduit+ - 2016"/>
    <x v="1"/>
  </r>
  <r>
    <n v="36"/>
    <n v="2"/>
    <n v="5"/>
    <x v="0"/>
    <n v="1320.99"/>
    <x v="2"/>
    <x v="24"/>
    <x v="1"/>
    <s v="Heller Shagamaw Frame - 2016"/>
    <x v="1"/>
  </r>
  <r>
    <n v="36"/>
    <n v="3"/>
    <n v="3"/>
    <x v="1"/>
    <n v="999.99"/>
    <x v="0"/>
    <x v="10"/>
    <x v="1"/>
    <s v="Surly Wednesday Frameset - 2016"/>
    <x v="1"/>
  </r>
  <r>
    <n v="37"/>
    <n v="1"/>
    <n v="16"/>
    <x v="1"/>
    <n v="599.99"/>
    <x v="2"/>
    <x v="3"/>
    <x v="1"/>
    <s v="Electra Townie Original 7D EQ - 2016"/>
    <x v="1"/>
  </r>
  <r>
    <n v="38"/>
    <n v="1"/>
    <n v="7"/>
    <x v="1"/>
    <n v="3999.99"/>
    <x v="2"/>
    <x v="15"/>
    <x v="1"/>
    <s v="Trek Slash 8 27.5 - 2016"/>
    <x v="1"/>
  </r>
  <r>
    <n v="38"/>
    <n v="2"/>
    <n v="23"/>
    <x v="0"/>
    <n v="299.99"/>
    <x v="1"/>
    <x v="23"/>
    <x v="1"/>
    <s v="Electra Girl's Hawaii 1 (20-inch) - 2015/2016"/>
    <x v="1"/>
  </r>
  <r>
    <n v="38"/>
    <n v="3"/>
    <n v="25"/>
    <x v="0"/>
    <n v="499.99"/>
    <x v="0"/>
    <x v="33"/>
    <x v="1"/>
    <s v="Electra Townie Original 7D - 2015/2016"/>
    <x v="1"/>
  </r>
  <r>
    <n v="38"/>
    <n v="4"/>
    <n v="10"/>
    <x v="1"/>
    <n v="1549"/>
    <x v="3"/>
    <x v="2"/>
    <x v="1"/>
    <s v="Surly Straggler - 2016"/>
    <x v="1"/>
  </r>
  <r>
    <n v="38"/>
    <n v="5"/>
    <n v="24"/>
    <x v="0"/>
    <n v="549.99"/>
    <x v="1"/>
    <x v="31"/>
    <x v="1"/>
    <s v="Electra Townie Original 21D - 2016"/>
    <x v="1"/>
  </r>
  <r>
    <n v="39"/>
    <n v="1"/>
    <n v="22"/>
    <x v="1"/>
    <n v="269.99"/>
    <x v="0"/>
    <x v="17"/>
    <x v="1"/>
    <s v="Electra Girl's Hawaii 1 (16-inch) - 2015/2016"/>
    <x v="1"/>
  </r>
  <r>
    <n v="39"/>
    <n v="2"/>
    <n v="16"/>
    <x v="1"/>
    <n v="599.99"/>
    <x v="0"/>
    <x v="3"/>
    <x v="1"/>
    <s v="Electra Townie Original 7D EQ - 2016"/>
    <x v="1"/>
  </r>
  <r>
    <n v="39"/>
    <n v="3"/>
    <n v="3"/>
    <x v="1"/>
    <n v="999.99"/>
    <x v="2"/>
    <x v="10"/>
    <x v="1"/>
    <s v="Surly Wednesday Frameset - 2016"/>
    <x v="1"/>
  </r>
  <r>
    <n v="39"/>
    <n v="4"/>
    <n v="15"/>
    <x v="0"/>
    <n v="529.99"/>
    <x v="3"/>
    <x v="12"/>
    <x v="1"/>
    <s v="Electra Moto 1 - 2016"/>
    <x v="1"/>
  </r>
  <r>
    <n v="40"/>
    <n v="1"/>
    <n v="17"/>
    <x v="0"/>
    <n v="429"/>
    <x v="0"/>
    <x v="7"/>
    <x v="1"/>
    <s v="Pure Cycles Vine 8-Speed - 2016"/>
    <x v="0"/>
  </r>
  <r>
    <n v="40"/>
    <n v="2"/>
    <n v="8"/>
    <x v="1"/>
    <n v="1799.99"/>
    <x v="0"/>
    <x v="1"/>
    <x v="1"/>
    <s v="Trek Remedy 29 Carbon Frameset - 2016"/>
    <x v="0"/>
  </r>
  <r>
    <n v="41"/>
    <n v="1"/>
    <n v="5"/>
    <x v="0"/>
    <n v="1320.99"/>
    <x v="3"/>
    <x v="24"/>
    <x v="1"/>
    <s v="Heller Shagamaw Frame - 2016"/>
    <x v="1"/>
  </r>
  <r>
    <n v="41"/>
    <n v="2"/>
    <n v="19"/>
    <x v="1"/>
    <n v="449"/>
    <x v="0"/>
    <x v="21"/>
    <x v="1"/>
    <s v="Pure Cycles William 3-Speed - 2016"/>
    <x v="1"/>
  </r>
  <r>
    <n v="41"/>
    <n v="3"/>
    <n v="26"/>
    <x v="1"/>
    <n v="599.99"/>
    <x v="0"/>
    <x v="3"/>
    <x v="1"/>
    <s v="Electra Townie Original 7D EQ - 2016"/>
    <x v="1"/>
  </r>
  <r>
    <n v="42"/>
    <n v="1"/>
    <n v="19"/>
    <x v="0"/>
    <n v="449"/>
    <x v="2"/>
    <x v="8"/>
    <x v="1"/>
    <s v="Pure Cycles William 3-Speed - 2016"/>
    <x v="1"/>
  </r>
  <r>
    <n v="43"/>
    <n v="1"/>
    <n v="13"/>
    <x v="1"/>
    <n v="269.99"/>
    <x v="3"/>
    <x v="17"/>
    <x v="1"/>
    <s v="Electra Cruiser 1 (24-Inch) - 2016"/>
    <x v="1"/>
  </r>
  <r>
    <n v="43"/>
    <n v="2"/>
    <n v="12"/>
    <x v="1"/>
    <n v="549.99"/>
    <x v="2"/>
    <x v="9"/>
    <x v="1"/>
    <s v="Electra Townie Original 21D - 2016"/>
    <x v="1"/>
  </r>
  <r>
    <n v="44"/>
    <n v="1"/>
    <n v="7"/>
    <x v="0"/>
    <n v="3999.99"/>
    <x v="3"/>
    <x v="25"/>
    <x v="1"/>
    <s v="Trek Slash 8 27.5 - 2016"/>
    <x v="1"/>
  </r>
  <r>
    <n v="44"/>
    <n v="2"/>
    <n v="16"/>
    <x v="0"/>
    <n v="599.99"/>
    <x v="2"/>
    <x v="0"/>
    <x v="1"/>
    <s v="Electra Townie Original 7D EQ - 2016"/>
    <x v="1"/>
  </r>
  <r>
    <n v="45"/>
    <n v="1"/>
    <n v="4"/>
    <x v="1"/>
    <n v="2899.99"/>
    <x v="0"/>
    <x v="18"/>
    <x v="1"/>
    <s v="Trek Fuel EX 8 29 - 2016"/>
    <x v="1"/>
  </r>
  <r>
    <n v="45"/>
    <n v="2"/>
    <n v="22"/>
    <x v="0"/>
    <n v="269.99"/>
    <x v="1"/>
    <x v="14"/>
    <x v="1"/>
    <s v="Electra Girl's Hawaii 1 (16-inch) - 2015/2016"/>
    <x v="1"/>
  </r>
  <r>
    <n v="45"/>
    <n v="3"/>
    <n v="21"/>
    <x v="1"/>
    <n v="269.99"/>
    <x v="2"/>
    <x v="17"/>
    <x v="1"/>
    <s v="Electra Cruiser 1 (24-Inch) - 2016"/>
    <x v="1"/>
  </r>
  <r>
    <n v="46"/>
    <n v="1"/>
    <n v="17"/>
    <x v="0"/>
    <n v="429"/>
    <x v="3"/>
    <x v="7"/>
    <x v="1"/>
    <s v="Pure Cycles Vine 8-Speed - 2016"/>
    <x v="1"/>
  </r>
  <r>
    <n v="47"/>
    <n v="1"/>
    <n v="6"/>
    <x v="0"/>
    <n v="469.99"/>
    <x v="2"/>
    <x v="20"/>
    <x v="1"/>
    <s v="Surly Ice Cream Truck Frameset - 2016"/>
    <x v="1"/>
  </r>
  <r>
    <n v="47"/>
    <n v="2"/>
    <n v="15"/>
    <x v="0"/>
    <n v="529.99"/>
    <x v="3"/>
    <x v="12"/>
    <x v="1"/>
    <s v="Electra Moto 1 - 2016"/>
    <x v="1"/>
  </r>
  <r>
    <n v="47"/>
    <n v="3"/>
    <n v="25"/>
    <x v="1"/>
    <n v="499.99"/>
    <x v="1"/>
    <x v="26"/>
    <x v="1"/>
    <s v="Electra Townie Original 7D - 2015/2016"/>
    <x v="1"/>
  </r>
  <r>
    <n v="47"/>
    <n v="4"/>
    <n v="13"/>
    <x v="0"/>
    <n v="269.99"/>
    <x v="0"/>
    <x v="14"/>
    <x v="1"/>
    <s v="Electra Cruiser 1 (24-Inch) - 2016"/>
    <x v="1"/>
  </r>
  <r>
    <n v="48"/>
    <n v="1"/>
    <n v="11"/>
    <x v="0"/>
    <n v="1680.99"/>
    <x v="3"/>
    <x v="19"/>
    <x v="1"/>
    <s v="Surly Straggler 650b - 2016"/>
    <x v="1"/>
  </r>
  <r>
    <n v="48"/>
    <n v="2"/>
    <n v="4"/>
    <x v="0"/>
    <n v="2899.99"/>
    <x v="0"/>
    <x v="4"/>
    <x v="1"/>
    <s v="Trek Fuel EX 8 29 - 2016"/>
    <x v="1"/>
  </r>
  <r>
    <n v="48"/>
    <n v="3"/>
    <n v="5"/>
    <x v="1"/>
    <n v="1320.99"/>
    <x v="3"/>
    <x v="34"/>
    <x v="1"/>
    <s v="Heller Shagamaw Frame - 2016"/>
    <x v="1"/>
  </r>
  <r>
    <n v="48"/>
    <n v="4"/>
    <n v="14"/>
    <x v="1"/>
    <n v="269.99"/>
    <x v="1"/>
    <x v="17"/>
    <x v="1"/>
    <s v="Electra Girl's Hawaii 1 (16-inch) - 2015/2016"/>
    <x v="1"/>
  </r>
  <r>
    <n v="49"/>
    <n v="1"/>
    <n v="13"/>
    <x v="1"/>
    <n v="269.99"/>
    <x v="1"/>
    <x v="17"/>
    <x v="1"/>
    <s v="Electra Cruiser 1 (24-Inch) - 2016"/>
    <x v="1"/>
  </r>
  <r>
    <n v="50"/>
    <n v="1"/>
    <n v="3"/>
    <x v="0"/>
    <n v="999.99"/>
    <x v="2"/>
    <x v="5"/>
    <x v="1"/>
    <s v="Surly Wednesday Frameset - 2016"/>
    <x v="2"/>
  </r>
  <r>
    <n v="50"/>
    <n v="2"/>
    <n v="26"/>
    <x v="1"/>
    <n v="599.99"/>
    <x v="1"/>
    <x v="3"/>
    <x v="1"/>
    <s v="Electra Townie Original 7D EQ - 2016"/>
    <x v="2"/>
  </r>
  <r>
    <n v="50"/>
    <n v="3"/>
    <n v="13"/>
    <x v="1"/>
    <n v="269.99"/>
    <x v="0"/>
    <x v="17"/>
    <x v="1"/>
    <s v="Electra Cruiser 1 (24-Inch) - 2016"/>
    <x v="2"/>
  </r>
  <r>
    <n v="51"/>
    <n v="1"/>
    <n v="13"/>
    <x v="0"/>
    <n v="269.99"/>
    <x v="2"/>
    <x v="14"/>
    <x v="1"/>
    <s v="Electra Cruiser 1 (24-Inch) - 2016"/>
    <x v="1"/>
  </r>
  <r>
    <n v="51"/>
    <n v="2"/>
    <n v="20"/>
    <x v="0"/>
    <n v="599.99"/>
    <x v="2"/>
    <x v="0"/>
    <x v="1"/>
    <s v="Electra Townie Original 7D EQ - Women's - 2016"/>
    <x v="1"/>
  </r>
  <r>
    <n v="51"/>
    <n v="3"/>
    <n v="26"/>
    <x v="1"/>
    <n v="599.99"/>
    <x v="0"/>
    <x v="3"/>
    <x v="1"/>
    <s v="Electra Townie Original 7D EQ - 2016"/>
    <x v="1"/>
  </r>
  <r>
    <n v="52"/>
    <n v="1"/>
    <n v="25"/>
    <x v="0"/>
    <n v="499.99"/>
    <x v="1"/>
    <x v="33"/>
    <x v="1"/>
    <s v="Electra Townie Original 7D - 2015/2016"/>
    <x v="0"/>
  </r>
  <r>
    <n v="53"/>
    <n v="1"/>
    <n v="8"/>
    <x v="1"/>
    <n v="1799.99"/>
    <x v="0"/>
    <x v="1"/>
    <x v="1"/>
    <s v="Trek Remedy 29 Carbon Frameset - 2016"/>
    <x v="1"/>
  </r>
  <r>
    <n v="53"/>
    <n v="2"/>
    <n v="23"/>
    <x v="1"/>
    <n v="299.99"/>
    <x v="2"/>
    <x v="22"/>
    <x v="1"/>
    <s v="Electra Girl's Hawaii 1 (20-inch) - 2015/2016"/>
    <x v="1"/>
  </r>
  <r>
    <n v="53"/>
    <n v="3"/>
    <n v="14"/>
    <x v="1"/>
    <n v="269.99"/>
    <x v="0"/>
    <x v="17"/>
    <x v="1"/>
    <s v="Electra Girl's Hawaii 1 (16-inch) - 2015/2016"/>
    <x v="1"/>
  </r>
  <r>
    <n v="53"/>
    <n v="4"/>
    <n v="25"/>
    <x v="1"/>
    <n v="499.99"/>
    <x v="3"/>
    <x v="26"/>
    <x v="1"/>
    <s v="Electra Townie Original 7D - 2015/2016"/>
    <x v="1"/>
  </r>
  <r>
    <n v="54"/>
    <n v="1"/>
    <n v="26"/>
    <x v="1"/>
    <n v="599.99"/>
    <x v="0"/>
    <x v="3"/>
    <x v="1"/>
    <s v="Electra Townie Original 7D EQ - 2016"/>
    <x v="1"/>
  </r>
  <r>
    <n v="54"/>
    <n v="2"/>
    <n v="3"/>
    <x v="0"/>
    <n v="999.99"/>
    <x v="0"/>
    <x v="5"/>
    <x v="1"/>
    <s v="Surly Wednesday Frameset - 2016"/>
    <x v="1"/>
  </r>
  <r>
    <n v="55"/>
    <n v="1"/>
    <n v="21"/>
    <x v="0"/>
    <n v="269.99"/>
    <x v="2"/>
    <x v="14"/>
    <x v="1"/>
    <s v="Electra Cruiser 1 (24-Inch) - 2016"/>
    <x v="1"/>
  </r>
  <r>
    <n v="55"/>
    <n v="2"/>
    <n v="25"/>
    <x v="1"/>
    <n v="499.99"/>
    <x v="0"/>
    <x v="26"/>
    <x v="1"/>
    <s v="Electra Townie Original 7D - 2015/2016"/>
    <x v="1"/>
  </r>
  <r>
    <n v="55"/>
    <n v="3"/>
    <n v="15"/>
    <x v="1"/>
    <n v="529.99"/>
    <x v="0"/>
    <x v="29"/>
    <x v="1"/>
    <s v="Electra Moto 1 - 2016"/>
    <x v="1"/>
  </r>
  <r>
    <n v="56"/>
    <n v="1"/>
    <n v="20"/>
    <x v="1"/>
    <n v="599.99"/>
    <x v="1"/>
    <x v="3"/>
    <x v="1"/>
    <s v="Electra Townie Original 7D EQ - Women's - 2016"/>
    <x v="1"/>
  </r>
  <r>
    <n v="57"/>
    <n v="1"/>
    <n v="23"/>
    <x v="1"/>
    <n v="299.99"/>
    <x v="3"/>
    <x v="22"/>
    <x v="1"/>
    <s v="Electra Girl's Hawaii 1 (20-inch) - 2015/2016"/>
    <x v="1"/>
  </r>
  <r>
    <n v="57"/>
    <n v="2"/>
    <n v="19"/>
    <x v="1"/>
    <n v="449"/>
    <x v="0"/>
    <x v="21"/>
    <x v="1"/>
    <s v="Pure Cycles William 3-Speed - 2016"/>
    <x v="1"/>
  </r>
  <r>
    <n v="57"/>
    <n v="3"/>
    <n v="13"/>
    <x v="0"/>
    <n v="269.99"/>
    <x v="1"/>
    <x v="14"/>
    <x v="1"/>
    <s v="Electra Cruiser 1 (24-Inch) - 2016"/>
    <x v="1"/>
  </r>
  <r>
    <n v="58"/>
    <n v="1"/>
    <n v="14"/>
    <x v="1"/>
    <n v="269.99"/>
    <x v="2"/>
    <x v="17"/>
    <x v="1"/>
    <s v="Electra Girl's Hawaii 1 (16-inch) - 2015/2016"/>
    <x v="1"/>
  </r>
  <r>
    <n v="58"/>
    <n v="2"/>
    <n v="18"/>
    <x v="0"/>
    <n v="449"/>
    <x v="1"/>
    <x v="8"/>
    <x v="1"/>
    <s v="Pure Cycles Western 3-Speed - Women's - 2015/2016"/>
    <x v="1"/>
  </r>
  <r>
    <n v="58"/>
    <n v="3"/>
    <n v="23"/>
    <x v="0"/>
    <n v="299.99"/>
    <x v="3"/>
    <x v="23"/>
    <x v="1"/>
    <s v="Electra Girl's Hawaii 1 (20-inch) - 2015/2016"/>
    <x v="1"/>
  </r>
  <r>
    <n v="59"/>
    <n v="1"/>
    <n v="21"/>
    <x v="0"/>
    <n v="269.99"/>
    <x v="2"/>
    <x v="14"/>
    <x v="1"/>
    <s v="Electra Cruiser 1 (24-Inch) - 2016"/>
    <x v="1"/>
  </r>
  <r>
    <n v="59"/>
    <n v="2"/>
    <n v="2"/>
    <x v="0"/>
    <n v="749.99"/>
    <x v="3"/>
    <x v="30"/>
    <x v="1"/>
    <s v="Ritchey Timberwolf Frameset - 2016"/>
    <x v="1"/>
  </r>
  <r>
    <n v="59"/>
    <n v="3"/>
    <n v="17"/>
    <x v="1"/>
    <n v="429"/>
    <x v="3"/>
    <x v="13"/>
    <x v="1"/>
    <s v="Pure Cycles Vine 8-Speed - 2016"/>
    <x v="1"/>
  </r>
  <r>
    <n v="60"/>
    <n v="1"/>
    <n v="14"/>
    <x v="1"/>
    <n v="269.99"/>
    <x v="2"/>
    <x v="17"/>
    <x v="1"/>
    <s v="Electra Girl's Hawaii 1 (16-inch) - 2015/2016"/>
    <x v="0"/>
  </r>
  <r>
    <n v="60"/>
    <n v="2"/>
    <n v="4"/>
    <x v="0"/>
    <n v="2899.99"/>
    <x v="3"/>
    <x v="4"/>
    <x v="1"/>
    <s v="Trek Fuel EX 8 29 - 2016"/>
    <x v="0"/>
  </r>
  <r>
    <n v="60"/>
    <n v="3"/>
    <n v="15"/>
    <x v="0"/>
    <n v="529.99"/>
    <x v="1"/>
    <x v="12"/>
    <x v="1"/>
    <s v="Electra Moto 1 - 2016"/>
    <x v="0"/>
  </r>
  <r>
    <n v="60"/>
    <n v="4"/>
    <n v="22"/>
    <x v="0"/>
    <n v="269.99"/>
    <x v="0"/>
    <x v="14"/>
    <x v="1"/>
    <s v="Electra Girl's Hawaii 1 (16-inch) - 2015/2016"/>
    <x v="0"/>
  </r>
  <r>
    <n v="61"/>
    <n v="1"/>
    <n v="25"/>
    <x v="0"/>
    <n v="499.99"/>
    <x v="3"/>
    <x v="33"/>
    <x v="1"/>
    <s v="Electra Townie Original 7D - 2015/2016"/>
    <x v="1"/>
  </r>
  <r>
    <n v="61"/>
    <n v="2"/>
    <n v="15"/>
    <x v="1"/>
    <n v="529.99"/>
    <x v="2"/>
    <x v="29"/>
    <x v="1"/>
    <s v="Electra Moto 1 - 2016"/>
    <x v="1"/>
  </r>
  <r>
    <n v="61"/>
    <n v="3"/>
    <n v="5"/>
    <x v="1"/>
    <n v="1320.99"/>
    <x v="0"/>
    <x v="34"/>
    <x v="1"/>
    <s v="Heller Shagamaw Frame - 2016"/>
    <x v="1"/>
  </r>
  <r>
    <n v="62"/>
    <n v="1"/>
    <n v="14"/>
    <x v="0"/>
    <n v="269.99"/>
    <x v="1"/>
    <x v="14"/>
    <x v="1"/>
    <s v="Electra Girl's Hawaii 1 (16-inch) - 2015/2016"/>
    <x v="0"/>
  </r>
  <r>
    <n v="62"/>
    <n v="2"/>
    <n v="8"/>
    <x v="1"/>
    <n v="1799.99"/>
    <x v="3"/>
    <x v="1"/>
    <x v="1"/>
    <s v="Trek Remedy 29 Carbon Frameset - 2016"/>
    <x v="0"/>
  </r>
  <r>
    <n v="62"/>
    <n v="3"/>
    <n v="22"/>
    <x v="1"/>
    <n v="269.99"/>
    <x v="3"/>
    <x v="17"/>
    <x v="1"/>
    <s v="Electra Girl's Hawaii 1 (16-inch) - 2015/2016"/>
    <x v="0"/>
  </r>
  <r>
    <n v="63"/>
    <n v="1"/>
    <n v="25"/>
    <x v="1"/>
    <n v="499.99"/>
    <x v="3"/>
    <x v="26"/>
    <x v="1"/>
    <s v="Electra Townie Original 7D - 2015/2016"/>
    <x v="1"/>
  </r>
  <r>
    <n v="63"/>
    <n v="2"/>
    <n v="19"/>
    <x v="1"/>
    <n v="449"/>
    <x v="2"/>
    <x v="21"/>
    <x v="1"/>
    <s v="Pure Cycles William 3-Speed - 2016"/>
    <x v="1"/>
  </r>
  <r>
    <n v="63"/>
    <n v="3"/>
    <n v="3"/>
    <x v="0"/>
    <n v="999.99"/>
    <x v="3"/>
    <x v="5"/>
    <x v="1"/>
    <s v="Surly Wednesday Frameset - 2016"/>
    <x v="1"/>
  </r>
  <r>
    <n v="64"/>
    <n v="1"/>
    <n v="25"/>
    <x v="1"/>
    <n v="499.99"/>
    <x v="3"/>
    <x v="26"/>
    <x v="1"/>
    <s v="Electra Townie Original 7D - 2015/2016"/>
    <x v="1"/>
  </r>
  <r>
    <n v="64"/>
    <n v="2"/>
    <n v="22"/>
    <x v="1"/>
    <n v="269.99"/>
    <x v="0"/>
    <x v="17"/>
    <x v="1"/>
    <s v="Electra Girl's Hawaii 1 (16-inch) - 2015/2016"/>
    <x v="1"/>
  </r>
  <r>
    <n v="64"/>
    <n v="3"/>
    <n v="23"/>
    <x v="1"/>
    <n v="299.99"/>
    <x v="0"/>
    <x v="22"/>
    <x v="1"/>
    <s v="Electra Girl's Hawaii 1 (20-inch) - 2015/2016"/>
    <x v="1"/>
  </r>
  <r>
    <n v="64"/>
    <n v="4"/>
    <n v="24"/>
    <x v="1"/>
    <n v="549.99"/>
    <x v="3"/>
    <x v="9"/>
    <x v="1"/>
    <s v="Electra Townie Original 21D - 2016"/>
    <x v="1"/>
  </r>
  <r>
    <n v="65"/>
    <n v="1"/>
    <n v="12"/>
    <x v="0"/>
    <n v="549.99"/>
    <x v="3"/>
    <x v="31"/>
    <x v="1"/>
    <s v="Electra Townie Original 21D - 2016"/>
    <x v="1"/>
  </r>
  <r>
    <n v="66"/>
    <n v="1"/>
    <n v="2"/>
    <x v="0"/>
    <n v="749.99"/>
    <x v="0"/>
    <x v="30"/>
    <x v="1"/>
    <s v="Ritchey Timberwolf Frameset - 2016"/>
    <x v="1"/>
  </r>
  <r>
    <n v="66"/>
    <n v="2"/>
    <n v="23"/>
    <x v="0"/>
    <n v="299.99"/>
    <x v="1"/>
    <x v="23"/>
    <x v="1"/>
    <s v="Electra Girl's Hawaii 1 (20-inch) - 2015/2016"/>
    <x v="1"/>
  </r>
  <r>
    <n v="66"/>
    <n v="3"/>
    <n v="12"/>
    <x v="0"/>
    <n v="549.99"/>
    <x v="1"/>
    <x v="31"/>
    <x v="1"/>
    <s v="Electra Townie Original 21D - 2016"/>
    <x v="1"/>
  </r>
  <r>
    <n v="67"/>
    <n v="1"/>
    <n v="23"/>
    <x v="1"/>
    <n v="299.99"/>
    <x v="0"/>
    <x v="22"/>
    <x v="1"/>
    <s v="Electra Girl's Hawaii 1 (20-inch) - 2015/2016"/>
    <x v="2"/>
  </r>
  <r>
    <n v="67"/>
    <n v="2"/>
    <n v="12"/>
    <x v="1"/>
    <n v="549.99"/>
    <x v="3"/>
    <x v="9"/>
    <x v="1"/>
    <s v="Electra Townie Original 21D - 2016"/>
    <x v="2"/>
  </r>
  <r>
    <n v="67"/>
    <n v="3"/>
    <n v="21"/>
    <x v="0"/>
    <n v="269.99"/>
    <x v="0"/>
    <x v="14"/>
    <x v="1"/>
    <s v="Electra Cruiser 1 (24-Inch) - 2016"/>
    <x v="2"/>
  </r>
  <r>
    <n v="67"/>
    <n v="4"/>
    <n v="5"/>
    <x v="1"/>
    <n v="1320.99"/>
    <x v="3"/>
    <x v="34"/>
    <x v="1"/>
    <s v="Heller Shagamaw Frame - 2016"/>
    <x v="2"/>
  </r>
  <r>
    <n v="67"/>
    <n v="5"/>
    <n v="19"/>
    <x v="0"/>
    <n v="449"/>
    <x v="0"/>
    <x v="8"/>
    <x v="1"/>
    <s v="Pure Cycles William 3-Speed - 2016"/>
    <x v="2"/>
  </r>
  <r>
    <n v="68"/>
    <n v="1"/>
    <n v="13"/>
    <x v="1"/>
    <n v="269.99"/>
    <x v="1"/>
    <x v="17"/>
    <x v="1"/>
    <s v="Electra Cruiser 1 (24-Inch) - 2016"/>
    <x v="1"/>
  </r>
  <r>
    <n v="68"/>
    <n v="2"/>
    <n v="17"/>
    <x v="0"/>
    <n v="429"/>
    <x v="3"/>
    <x v="7"/>
    <x v="1"/>
    <s v="Pure Cycles Vine 8-Speed - 2016"/>
    <x v="1"/>
  </r>
  <r>
    <n v="69"/>
    <n v="1"/>
    <n v="22"/>
    <x v="1"/>
    <n v="269.99"/>
    <x v="3"/>
    <x v="17"/>
    <x v="1"/>
    <s v="Electra Girl's Hawaii 1 (16-inch) - 2015/2016"/>
    <x v="1"/>
  </r>
  <r>
    <n v="69"/>
    <n v="2"/>
    <n v="5"/>
    <x v="0"/>
    <n v="1320.99"/>
    <x v="0"/>
    <x v="24"/>
    <x v="1"/>
    <s v="Heller Shagamaw Frame - 2016"/>
    <x v="1"/>
  </r>
  <r>
    <n v="69"/>
    <n v="3"/>
    <n v="10"/>
    <x v="0"/>
    <n v="1549"/>
    <x v="2"/>
    <x v="27"/>
    <x v="1"/>
    <s v="Surly Straggler - 2016"/>
    <x v="1"/>
  </r>
  <r>
    <n v="70"/>
    <n v="1"/>
    <n v="3"/>
    <x v="1"/>
    <n v="999.99"/>
    <x v="2"/>
    <x v="10"/>
    <x v="1"/>
    <s v="Surly Wednesday Frameset - 2016"/>
    <x v="2"/>
  </r>
  <r>
    <n v="70"/>
    <n v="2"/>
    <n v="18"/>
    <x v="0"/>
    <n v="449"/>
    <x v="0"/>
    <x v="8"/>
    <x v="1"/>
    <s v="Pure Cycles Western 3-Speed - Women's - 2015/2016"/>
    <x v="2"/>
  </r>
  <r>
    <n v="70"/>
    <n v="3"/>
    <n v="20"/>
    <x v="0"/>
    <n v="599.99"/>
    <x v="2"/>
    <x v="0"/>
    <x v="1"/>
    <s v="Electra Townie Original 7D EQ - Women's - 2016"/>
    <x v="2"/>
  </r>
  <r>
    <n v="71"/>
    <n v="1"/>
    <n v="26"/>
    <x v="1"/>
    <n v="599.99"/>
    <x v="2"/>
    <x v="3"/>
    <x v="1"/>
    <s v="Electra Townie Original 7D EQ - 2016"/>
    <x v="1"/>
  </r>
  <r>
    <n v="71"/>
    <n v="2"/>
    <n v="24"/>
    <x v="0"/>
    <n v="549.99"/>
    <x v="0"/>
    <x v="31"/>
    <x v="1"/>
    <s v="Electra Townie Original 21D - 2016"/>
    <x v="1"/>
  </r>
  <r>
    <n v="71"/>
    <n v="3"/>
    <n v="18"/>
    <x v="0"/>
    <n v="449"/>
    <x v="3"/>
    <x v="8"/>
    <x v="1"/>
    <s v="Pure Cycles Western 3-Speed - Women's - 2015/2016"/>
    <x v="1"/>
  </r>
  <r>
    <n v="72"/>
    <n v="1"/>
    <n v="17"/>
    <x v="1"/>
    <n v="429"/>
    <x v="1"/>
    <x v="13"/>
    <x v="1"/>
    <s v="Pure Cycles Vine 8-Speed - 2016"/>
    <x v="0"/>
  </r>
  <r>
    <n v="72"/>
    <n v="2"/>
    <n v="12"/>
    <x v="0"/>
    <n v="549.99"/>
    <x v="2"/>
    <x v="31"/>
    <x v="1"/>
    <s v="Electra Townie Original 21D - 2016"/>
    <x v="0"/>
  </r>
  <r>
    <n v="72"/>
    <n v="3"/>
    <n v="13"/>
    <x v="1"/>
    <n v="269.99"/>
    <x v="3"/>
    <x v="17"/>
    <x v="1"/>
    <s v="Electra Cruiser 1 (24-Inch) - 2016"/>
    <x v="0"/>
  </r>
  <r>
    <n v="73"/>
    <n v="1"/>
    <n v="22"/>
    <x v="0"/>
    <n v="269.99"/>
    <x v="1"/>
    <x v="14"/>
    <x v="1"/>
    <s v="Electra Girl's Hawaii 1 (16-inch) - 2015/2016"/>
    <x v="1"/>
  </r>
  <r>
    <n v="73"/>
    <n v="2"/>
    <n v="26"/>
    <x v="1"/>
    <n v="599.99"/>
    <x v="2"/>
    <x v="3"/>
    <x v="1"/>
    <s v="Electra Townie Original 7D EQ - 2016"/>
    <x v="1"/>
  </r>
  <r>
    <n v="73"/>
    <n v="3"/>
    <n v="3"/>
    <x v="1"/>
    <n v="999.99"/>
    <x v="1"/>
    <x v="10"/>
    <x v="1"/>
    <s v="Surly Wednesday Frameset - 2016"/>
    <x v="1"/>
  </r>
  <r>
    <n v="73"/>
    <n v="4"/>
    <n v="25"/>
    <x v="0"/>
    <n v="499.99"/>
    <x v="1"/>
    <x v="33"/>
    <x v="1"/>
    <s v="Electra Townie Original 7D - 2015/2016"/>
    <x v="1"/>
  </r>
  <r>
    <n v="73"/>
    <n v="5"/>
    <n v="23"/>
    <x v="1"/>
    <n v="299.99"/>
    <x v="0"/>
    <x v="22"/>
    <x v="1"/>
    <s v="Electra Girl's Hawaii 1 (20-inch) - 2015/2016"/>
    <x v="1"/>
  </r>
  <r>
    <n v="74"/>
    <n v="1"/>
    <n v="16"/>
    <x v="1"/>
    <n v="599.99"/>
    <x v="2"/>
    <x v="3"/>
    <x v="1"/>
    <s v="Electra Townie Original 7D EQ - 2016"/>
    <x v="1"/>
  </r>
  <r>
    <n v="74"/>
    <n v="2"/>
    <n v="6"/>
    <x v="0"/>
    <n v="469.99"/>
    <x v="1"/>
    <x v="20"/>
    <x v="1"/>
    <s v="Surly Ice Cream Truck Frameset - 2016"/>
    <x v="1"/>
  </r>
  <r>
    <n v="75"/>
    <n v="1"/>
    <n v="3"/>
    <x v="0"/>
    <n v="999.99"/>
    <x v="3"/>
    <x v="5"/>
    <x v="1"/>
    <s v="Surly Wednesday Frameset - 2016"/>
    <x v="1"/>
  </r>
  <r>
    <n v="75"/>
    <n v="2"/>
    <n v="7"/>
    <x v="1"/>
    <n v="3999.99"/>
    <x v="1"/>
    <x v="15"/>
    <x v="1"/>
    <s v="Trek Slash 8 27.5 - 2016"/>
    <x v="1"/>
  </r>
  <r>
    <n v="75"/>
    <n v="3"/>
    <n v="15"/>
    <x v="0"/>
    <n v="529.99"/>
    <x v="0"/>
    <x v="12"/>
    <x v="1"/>
    <s v="Electra Moto 1 - 2016"/>
    <x v="1"/>
  </r>
  <r>
    <n v="76"/>
    <n v="1"/>
    <n v="12"/>
    <x v="0"/>
    <n v="549.99"/>
    <x v="2"/>
    <x v="31"/>
    <x v="1"/>
    <s v="Electra Townie Original 21D - 2016"/>
    <x v="1"/>
  </r>
  <r>
    <n v="76"/>
    <n v="2"/>
    <n v="11"/>
    <x v="1"/>
    <n v="1680.99"/>
    <x v="3"/>
    <x v="32"/>
    <x v="1"/>
    <s v="Surly Straggler 650b - 2016"/>
    <x v="1"/>
  </r>
  <r>
    <n v="76"/>
    <n v="3"/>
    <n v="5"/>
    <x v="0"/>
    <n v="1320.99"/>
    <x v="1"/>
    <x v="24"/>
    <x v="1"/>
    <s v="Heller Shagamaw Frame - 2016"/>
    <x v="1"/>
  </r>
  <r>
    <n v="77"/>
    <n v="1"/>
    <n v="20"/>
    <x v="0"/>
    <n v="599.99"/>
    <x v="1"/>
    <x v="0"/>
    <x v="1"/>
    <s v="Electra Townie Original 7D EQ - Women's - 2016"/>
    <x v="0"/>
  </r>
  <r>
    <n v="77"/>
    <n v="2"/>
    <n v="24"/>
    <x v="1"/>
    <n v="549.99"/>
    <x v="3"/>
    <x v="9"/>
    <x v="1"/>
    <s v="Electra Townie Original 21D - 2016"/>
    <x v="0"/>
  </r>
  <r>
    <n v="77"/>
    <n v="3"/>
    <n v="26"/>
    <x v="0"/>
    <n v="599.99"/>
    <x v="0"/>
    <x v="0"/>
    <x v="1"/>
    <s v="Electra Townie Original 7D EQ - 2016"/>
    <x v="0"/>
  </r>
  <r>
    <n v="77"/>
    <n v="4"/>
    <n v="25"/>
    <x v="0"/>
    <n v="499.99"/>
    <x v="0"/>
    <x v="33"/>
    <x v="1"/>
    <s v="Electra Townie Original 7D - 2015/2016"/>
    <x v="0"/>
  </r>
  <r>
    <n v="78"/>
    <n v="1"/>
    <n v="17"/>
    <x v="0"/>
    <n v="429"/>
    <x v="1"/>
    <x v="7"/>
    <x v="1"/>
    <s v="Pure Cycles Vine 8-Speed - 2016"/>
    <x v="1"/>
  </r>
  <r>
    <n v="78"/>
    <n v="2"/>
    <n v="19"/>
    <x v="0"/>
    <n v="449"/>
    <x v="0"/>
    <x v="8"/>
    <x v="1"/>
    <s v="Pure Cycles William 3-Speed - 2016"/>
    <x v="1"/>
  </r>
  <r>
    <n v="78"/>
    <n v="3"/>
    <n v="18"/>
    <x v="1"/>
    <n v="449"/>
    <x v="3"/>
    <x v="21"/>
    <x v="1"/>
    <s v="Pure Cycles Western 3-Speed - Women's - 2015/2016"/>
    <x v="1"/>
  </r>
  <r>
    <n v="78"/>
    <n v="4"/>
    <n v="14"/>
    <x v="1"/>
    <n v="269.99"/>
    <x v="3"/>
    <x v="17"/>
    <x v="1"/>
    <s v="Electra Girl's Hawaii 1 (16-inch) - 2015/2016"/>
    <x v="1"/>
  </r>
  <r>
    <n v="79"/>
    <n v="1"/>
    <n v="9"/>
    <x v="1"/>
    <n v="2999.99"/>
    <x v="3"/>
    <x v="11"/>
    <x v="1"/>
    <s v="Trek Conduit+ - 2016"/>
    <x v="0"/>
  </r>
  <r>
    <n v="79"/>
    <n v="2"/>
    <n v="17"/>
    <x v="1"/>
    <n v="429"/>
    <x v="2"/>
    <x v="13"/>
    <x v="1"/>
    <s v="Pure Cycles Vine 8-Speed - 2016"/>
    <x v="0"/>
  </r>
  <r>
    <n v="79"/>
    <n v="3"/>
    <n v="6"/>
    <x v="0"/>
    <n v="469.99"/>
    <x v="3"/>
    <x v="20"/>
    <x v="1"/>
    <s v="Surly Ice Cream Truck Frameset - 2016"/>
    <x v="0"/>
  </r>
  <r>
    <n v="79"/>
    <n v="4"/>
    <n v="25"/>
    <x v="1"/>
    <n v="499.99"/>
    <x v="1"/>
    <x v="26"/>
    <x v="1"/>
    <s v="Electra Townie Original 7D - 2015/2016"/>
    <x v="0"/>
  </r>
  <r>
    <n v="80"/>
    <n v="1"/>
    <n v="26"/>
    <x v="0"/>
    <n v="599.99"/>
    <x v="3"/>
    <x v="0"/>
    <x v="1"/>
    <s v="Electra Townie Original 7D EQ - 2016"/>
    <x v="1"/>
  </r>
  <r>
    <n v="80"/>
    <n v="2"/>
    <n v="24"/>
    <x v="0"/>
    <n v="549.99"/>
    <x v="3"/>
    <x v="31"/>
    <x v="1"/>
    <s v="Electra Townie Original 21D - 2016"/>
    <x v="1"/>
  </r>
  <r>
    <n v="80"/>
    <n v="3"/>
    <n v="17"/>
    <x v="0"/>
    <n v="429"/>
    <x v="0"/>
    <x v="7"/>
    <x v="1"/>
    <s v="Pure Cycles Vine 8-Speed - 2016"/>
    <x v="1"/>
  </r>
  <r>
    <n v="81"/>
    <n v="1"/>
    <n v="10"/>
    <x v="1"/>
    <n v="1549"/>
    <x v="0"/>
    <x v="2"/>
    <x v="1"/>
    <s v="Surly Straggler - 2016"/>
    <x v="1"/>
  </r>
  <r>
    <n v="81"/>
    <n v="2"/>
    <n v="23"/>
    <x v="1"/>
    <n v="299.99"/>
    <x v="2"/>
    <x v="22"/>
    <x v="1"/>
    <s v="Electra Girl's Hawaii 1 (20-inch) - 2015/2016"/>
    <x v="1"/>
  </r>
  <r>
    <n v="81"/>
    <n v="3"/>
    <n v="25"/>
    <x v="1"/>
    <n v="499.99"/>
    <x v="2"/>
    <x v="26"/>
    <x v="1"/>
    <s v="Electra Townie Original 7D - 2015/2016"/>
    <x v="1"/>
  </r>
  <r>
    <n v="82"/>
    <n v="1"/>
    <n v="25"/>
    <x v="1"/>
    <n v="499.99"/>
    <x v="3"/>
    <x v="26"/>
    <x v="1"/>
    <s v="Electra Townie Original 7D - 2015/2016"/>
    <x v="1"/>
  </r>
  <r>
    <n v="82"/>
    <n v="2"/>
    <n v="11"/>
    <x v="1"/>
    <n v="1680.99"/>
    <x v="0"/>
    <x v="32"/>
    <x v="1"/>
    <s v="Surly Straggler 650b - 2016"/>
    <x v="1"/>
  </r>
  <r>
    <n v="83"/>
    <n v="1"/>
    <n v="20"/>
    <x v="0"/>
    <n v="599.99"/>
    <x v="0"/>
    <x v="0"/>
    <x v="1"/>
    <s v="Electra Townie Original 7D EQ - Women's - 2016"/>
    <x v="0"/>
  </r>
  <r>
    <n v="83"/>
    <n v="2"/>
    <n v="3"/>
    <x v="1"/>
    <n v="999.99"/>
    <x v="2"/>
    <x v="10"/>
    <x v="1"/>
    <s v="Surly Wednesday Frameset - 2016"/>
    <x v="0"/>
  </r>
  <r>
    <n v="84"/>
    <n v="1"/>
    <n v="23"/>
    <x v="1"/>
    <n v="299.99"/>
    <x v="1"/>
    <x v="22"/>
    <x v="1"/>
    <s v="Electra Girl's Hawaii 1 (20-inch) - 2015/2016"/>
    <x v="1"/>
  </r>
  <r>
    <n v="84"/>
    <n v="2"/>
    <n v="15"/>
    <x v="1"/>
    <n v="529.99"/>
    <x v="1"/>
    <x v="29"/>
    <x v="1"/>
    <s v="Electra Moto 1 - 2016"/>
    <x v="1"/>
  </r>
  <r>
    <n v="85"/>
    <n v="1"/>
    <n v="4"/>
    <x v="1"/>
    <n v="2899.99"/>
    <x v="2"/>
    <x v="18"/>
    <x v="1"/>
    <s v="Trek Fuel EX 8 29 - 2016"/>
    <x v="1"/>
  </r>
  <r>
    <n v="85"/>
    <n v="2"/>
    <n v="18"/>
    <x v="0"/>
    <n v="449"/>
    <x v="1"/>
    <x v="8"/>
    <x v="1"/>
    <s v="Pure Cycles Western 3-Speed - Women's - 2015/2016"/>
    <x v="1"/>
  </r>
  <r>
    <n v="86"/>
    <n v="1"/>
    <n v="9"/>
    <x v="1"/>
    <n v="2999.99"/>
    <x v="3"/>
    <x v="11"/>
    <x v="1"/>
    <s v="Trek Conduit+ - 2016"/>
    <x v="1"/>
  </r>
  <r>
    <n v="86"/>
    <n v="2"/>
    <n v="23"/>
    <x v="1"/>
    <n v="299.99"/>
    <x v="1"/>
    <x v="22"/>
    <x v="1"/>
    <s v="Electra Girl's Hawaii 1 (20-inch) - 2015/2016"/>
    <x v="1"/>
  </r>
  <r>
    <n v="86"/>
    <n v="3"/>
    <n v="21"/>
    <x v="1"/>
    <n v="269.99"/>
    <x v="0"/>
    <x v="17"/>
    <x v="1"/>
    <s v="Electra Cruiser 1 (24-Inch) - 2016"/>
    <x v="1"/>
  </r>
  <r>
    <n v="86"/>
    <n v="4"/>
    <n v="15"/>
    <x v="0"/>
    <n v="529.99"/>
    <x v="3"/>
    <x v="12"/>
    <x v="1"/>
    <s v="Electra Moto 1 - 2016"/>
    <x v="1"/>
  </r>
  <r>
    <n v="87"/>
    <n v="1"/>
    <n v="20"/>
    <x v="1"/>
    <n v="599.99"/>
    <x v="0"/>
    <x v="3"/>
    <x v="1"/>
    <s v="Electra Townie Original 7D EQ - Women's - 2016"/>
    <x v="1"/>
  </r>
  <r>
    <n v="87"/>
    <n v="2"/>
    <n v="23"/>
    <x v="1"/>
    <n v="299.99"/>
    <x v="3"/>
    <x v="22"/>
    <x v="1"/>
    <s v="Electra Girl's Hawaii 1 (20-inch) - 2015/2016"/>
    <x v="1"/>
  </r>
  <r>
    <n v="88"/>
    <n v="1"/>
    <n v="10"/>
    <x v="0"/>
    <n v="1549"/>
    <x v="1"/>
    <x v="27"/>
    <x v="1"/>
    <s v="Surly Straggler - 2016"/>
    <x v="1"/>
  </r>
  <r>
    <n v="88"/>
    <n v="2"/>
    <n v="8"/>
    <x v="1"/>
    <n v="1799.99"/>
    <x v="3"/>
    <x v="1"/>
    <x v="1"/>
    <s v="Trek Remedy 29 Carbon Frameset - 2016"/>
    <x v="1"/>
  </r>
  <r>
    <n v="88"/>
    <n v="3"/>
    <n v="7"/>
    <x v="0"/>
    <n v="3999.99"/>
    <x v="3"/>
    <x v="25"/>
    <x v="1"/>
    <s v="Trek Slash 8 27.5 - 2016"/>
    <x v="1"/>
  </r>
  <r>
    <n v="89"/>
    <n v="1"/>
    <n v="5"/>
    <x v="0"/>
    <n v="1320.99"/>
    <x v="2"/>
    <x v="24"/>
    <x v="1"/>
    <s v="Heller Shagamaw Frame - 2016"/>
    <x v="2"/>
  </r>
  <r>
    <n v="89"/>
    <n v="2"/>
    <n v="6"/>
    <x v="1"/>
    <n v="469.99"/>
    <x v="3"/>
    <x v="35"/>
    <x v="1"/>
    <s v="Surly Ice Cream Truck Frameset - 2016"/>
    <x v="2"/>
  </r>
  <r>
    <n v="90"/>
    <n v="1"/>
    <n v="3"/>
    <x v="0"/>
    <n v="999.99"/>
    <x v="3"/>
    <x v="5"/>
    <x v="1"/>
    <s v="Surly Wednesday Frameset - 2016"/>
    <x v="1"/>
  </r>
  <r>
    <n v="90"/>
    <n v="2"/>
    <n v="6"/>
    <x v="0"/>
    <n v="469.99"/>
    <x v="1"/>
    <x v="20"/>
    <x v="1"/>
    <s v="Surly Ice Cream Truck Frameset - 2016"/>
    <x v="1"/>
  </r>
  <r>
    <n v="91"/>
    <n v="1"/>
    <n v="11"/>
    <x v="0"/>
    <n v="1680.99"/>
    <x v="3"/>
    <x v="19"/>
    <x v="1"/>
    <s v="Surly Straggler 650b - 2016"/>
    <x v="0"/>
  </r>
  <r>
    <n v="91"/>
    <n v="2"/>
    <n v="25"/>
    <x v="0"/>
    <n v="499.99"/>
    <x v="2"/>
    <x v="33"/>
    <x v="1"/>
    <s v="Electra Townie Original 7D - 2015/2016"/>
    <x v="0"/>
  </r>
  <r>
    <n v="91"/>
    <n v="3"/>
    <n v="15"/>
    <x v="1"/>
    <n v="529.99"/>
    <x v="1"/>
    <x v="29"/>
    <x v="1"/>
    <s v="Electra Moto 1 - 2016"/>
    <x v="0"/>
  </r>
  <r>
    <n v="91"/>
    <n v="4"/>
    <n v="13"/>
    <x v="1"/>
    <n v="269.99"/>
    <x v="1"/>
    <x v="17"/>
    <x v="1"/>
    <s v="Electra Cruiser 1 (24-Inch) - 2016"/>
    <x v="0"/>
  </r>
  <r>
    <n v="92"/>
    <n v="1"/>
    <n v="8"/>
    <x v="0"/>
    <n v="1799.99"/>
    <x v="3"/>
    <x v="16"/>
    <x v="1"/>
    <s v="Trek Remedy 29 Carbon Frameset - 2016"/>
    <x v="1"/>
  </r>
  <r>
    <n v="93"/>
    <n v="1"/>
    <n v="22"/>
    <x v="1"/>
    <n v="269.99"/>
    <x v="1"/>
    <x v="17"/>
    <x v="1"/>
    <s v="Electra Girl's Hawaii 1 (16-inch) - 2015/2016"/>
    <x v="0"/>
  </r>
  <r>
    <n v="93"/>
    <n v="2"/>
    <n v="17"/>
    <x v="0"/>
    <n v="429"/>
    <x v="2"/>
    <x v="7"/>
    <x v="1"/>
    <s v="Pure Cycles Vine 8-Speed - 2016"/>
    <x v="0"/>
  </r>
  <r>
    <n v="93"/>
    <n v="3"/>
    <n v="21"/>
    <x v="0"/>
    <n v="269.99"/>
    <x v="3"/>
    <x v="14"/>
    <x v="1"/>
    <s v="Electra Cruiser 1 (24-Inch) - 2016"/>
    <x v="0"/>
  </r>
  <r>
    <n v="93"/>
    <n v="4"/>
    <n v="2"/>
    <x v="0"/>
    <n v="749.99"/>
    <x v="0"/>
    <x v="30"/>
    <x v="1"/>
    <s v="Ritchey Timberwolf Frameset - 2016"/>
    <x v="0"/>
  </r>
  <r>
    <n v="93"/>
    <n v="5"/>
    <n v="10"/>
    <x v="1"/>
    <n v="1549"/>
    <x v="1"/>
    <x v="2"/>
    <x v="1"/>
    <s v="Surly Straggler - 2016"/>
    <x v="0"/>
  </r>
  <r>
    <n v="94"/>
    <n v="1"/>
    <n v="12"/>
    <x v="0"/>
    <n v="549.99"/>
    <x v="2"/>
    <x v="31"/>
    <x v="1"/>
    <s v="Electra Townie Original 21D - 2016"/>
    <x v="0"/>
  </r>
  <r>
    <n v="94"/>
    <n v="2"/>
    <n v="4"/>
    <x v="0"/>
    <n v="2899.99"/>
    <x v="0"/>
    <x v="4"/>
    <x v="1"/>
    <s v="Trek Fuel EX 8 29 - 2016"/>
    <x v="0"/>
  </r>
  <r>
    <n v="94"/>
    <n v="3"/>
    <n v="11"/>
    <x v="0"/>
    <n v="1680.99"/>
    <x v="0"/>
    <x v="19"/>
    <x v="1"/>
    <s v="Surly Straggler 650b - 2016"/>
    <x v="0"/>
  </r>
  <r>
    <n v="94"/>
    <n v="4"/>
    <n v="21"/>
    <x v="1"/>
    <n v="269.99"/>
    <x v="1"/>
    <x v="17"/>
    <x v="1"/>
    <s v="Electra Cruiser 1 (24-Inch) - 2016"/>
    <x v="0"/>
  </r>
  <r>
    <n v="95"/>
    <n v="1"/>
    <n v="10"/>
    <x v="1"/>
    <n v="1549"/>
    <x v="0"/>
    <x v="2"/>
    <x v="1"/>
    <s v="Surly Straggler - 2016"/>
    <x v="1"/>
  </r>
  <r>
    <n v="95"/>
    <n v="2"/>
    <n v="19"/>
    <x v="0"/>
    <n v="449"/>
    <x v="3"/>
    <x v="8"/>
    <x v="1"/>
    <s v="Pure Cycles William 3-Speed - 2016"/>
    <x v="1"/>
  </r>
  <r>
    <n v="95"/>
    <n v="3"/>
    <n v="8"/>
    <x v="1"/>
    <n v="1799.99"/>
    <x v="0"/>
    <x v="1"/>
    <x v="1"/>
    <s v="Trek Remedy 29 Carbon Frameset - 2016"/>
    <x v="1"/>
  </r>
  <r>
    <n v="95"/>
    <n v="4"/>
    <n v="20"/>
    <x v="1"/>
    <n v="599.99"/>
    <x v="2"/>
    <x v="3"/>
    <x v="1"/>
    <s v="Electra Townie Original 7D EQ - Women's - 2016"/>
    <x v="1"/>
  </r>
  <r>
    <n v="96"/>
    <n v="1"/>
    <n v="26"/>
    <x v="0"/>
    <n v="599.99"/>
    <x v="3"/>
    <x v="0"/>
    <x v="1"/>
    <s v="Electra Townie Original 7D EQ - 2016"/>
    <x v="1"/>
  </r>
  <r>
    <n v="96"/>
    <n v="2"/>
    <n v="23"/>
    <x v="0"/>
    <n v="299.99"/>
    <x v="2"/>
    <x v="23"/>
    <x v="1"/>
    <s v="Electra Girl's Hawaii 1 (20-inch) - 2015/2016"/>
    <x v="1"/>
  </r>
  <r>
    <n v="97"/>
    <n v="1"/>
    <n v="20"/>
    <x v="1"/>
    <n v="599.99"/>
    <x v="0"/>
    <x v="3"/>
    <x v="1"/>
    <s v="Electra Townie Original 7D EQ - Women's - 2016"/>
    <x v="1"/>
  </r>
  <r>
    <n v="97"/>
    <n v="2"/>
    <n v="2"/>
    <x v="0"/>
    <n v="749.99"/>
    <x v="1"/>
    <x v="30"/>
    <x v="1"/>
    <s v="Ritchey Timberwolf Frameset - 2016"/>
    <x v="1"/>
  </r>
  <r>
    <n v="97"/>
    <n v="3"/>
    <n v="6"/>
    <x v="1"/>
    <n v="469.99"/>
    <x v="0"/>
    <x v="35"/>
    <x v="1"/>
    <s v="Surly Ice Cream Truck Frameset - 2016"/>
    <x v="1"/>
  </r>
  <r>
    <n v="97"/>
    <n v="4"/>
    <n v="19"/>
    <x v="0"/>
    <n v="449"/>
    <x v="3"/>
    <x v="8"/>
    <x v="1"/>
    <s v="Pure Cycles William 3-Speed - 2016"/>
    <x v="1"/>
  </r>
  <r>
    <n v="98"/>
    <n v="1"/>
    <n v="19"/>
    <x v="0"/>
    <n v="449"/>
    <x v="1"/>
    <x v="8"/>
    <x v="1"/>
    <s v="Pure Cycles William 3-Speed - 2016"/>
    <x v="1"/>
  </r>
  <r>
    <n v="98"/>
    <n v="2"/>
    <n v="21"/>
    <x v="0"/>
    <n v="269.99"/>
    <x v="3"/>
    <x v="14"/>
    <x v="1"/>
    <s v="Electra Cruiser 1 (24-Inch) - 2016"/>
    <x v="1"/>
  </r>
  <r>
    <n v="98"/>
    <n v="3"/>
    <n v="2"/>
    <x v="0"/>
    <n v="749.99"/>
    <x v="0"/>
    <x v="30"/>
    <x v="1"/>
    <s v="Ritchey Timberwolf Frameset - 2016"/>
    <x v="1"/>
  </r>
  <r>
    <n v="98"/>
    <n v="4"/>
    <n v="22"/>
    <x v="1"/>
    <n v="269.99"/>
    <x v="0"/>
    <x v="17"/>
    <x v="1"/>
    <s v="Electra Girl's Hawaii 1 (16-inch) - 2015/2016"/>
    <x v="1"/>
  </r>
  <r>
    <n v="99"/>
    <n v="1"/>
    <n v="13"/>
    <x v="0"/>
    <n v="269.99"/>
    <x v="0"/>
    <x v="14"/>
    <x v="1"/>
    <s v="Electra Cruiser 1 (24-Inch) - 2016"/>
    <x v="2"/>
  </r>
  <r>
    <n v="99"/>
    <n v="2"/>
    <n v="21"/>
    <x v="0"/>
    <n v="269.99"/>
    <x v="0"/>
    <x v="14"/>
    <x v="1"/>
    <s v="Electra Cruiser 1 (24-Inch) - 2016"/>
    <x v="2"/>
  </r>
  <r>
    <n v="99"/>
    <n v="3"/>
    <n v="25"/>
    <x v="1"/>
    <n v="499.99"/>
    <x v="2"/>
    <x v="26"/>
    <x v="1"/>
    <s v="Electra Townie Original 7D - 2015/2016"/>
    <x v="2"/>
  </r>
  <r>
    <n v="99"/>
    <n v="4"/>
    <n v="7"/>
    <x v="1"/>
    <n v="3999.99"/>
    <x v="1"/>
    <x v="15"/>
    <x v="1"/>
    <s v="Trek Slash 8 27.5 - 2016"/>
    <x v="2"/>
  </r>
  <r>
    <n v="99"/>
    <n v="5"/>
    <n v="23"/>
    <x v="1"/>
    <n v="299.99"/>
    <x v="0"/>
    <x v="22"/>
    <x v="1"/>
    <s v="Electra Girl's Hawaii 1 (20-inch) - 2015/2016"/>
    <x v="2"/>
  </r>
  <r>
    <n v="100"/>
    <n v="1"/>
    <n v="12"/>
    <x v="1"/>
    <n v="549.99"/>
    <x v="2"/>
    <x v="9"/>
    <x v="1"/>
    <s v="Electra Townie Original 21D - 2016"/>
    <x v="1"/>
  </r>
  <r>
    <n v="100"/>
    <n v="2"/>
    <n v="11"/>
    <x v="1"/>
    <n v="1680.99"/>
    <x v="3"/>
    <x v="32"/>
    <x v="1"/>
    <s v="Surly Straggler 650b - 2016"/>
    <x v="1"/>
  </r>
  <r>
    <n v="100"/>
    <n v="3"/>
    <n v="7"/>
    <x v="1"/>
    <n v="3999.99"/>
    <x v="0"/>
    <x v="15"/>
    <x v="1"/>
    <s v="Trek Slash 8 27.5 - 2016"/>
    <x v="1"/>
  </r>
  <r>
    <n v="100"/>
    <n v="4"/>
    <n v="16"/>
    <x v="1"/>
    <n v="599.99"/>
    <x v="0"/>
    <x v="3"/>
    <x v="1"/>
    <s v="Electra Townie Original 7D EQ - 2016"/>
    <x v="1"/>
  </r>
  <r>
    <n v="100"/>
    <n v="5"/>
    <n v="24"/>
    <x v="1"/>
    <n v="549.99"/>
    <x v="3"/>
    <x v="9"/>
    <x v="1"/>
    <s v="Electra Townie Original 21D - 2016"/>
    <x v="1"/>
  </r>
  <r>
    <n v="101"/>
    <n v="1"/>
    <n v="12"/>
    <x v="1"/>
    <n v="549.99"/>
    <x v="0"/>
    <x v="9"/>
    <x v="1"/>
    <s v="Electra Townie Original 21D - 2016"/>
    <x v="2"/>
  </r>
  <r>
    <n v="102"/>
    <n v="1"/>
    <n v="15"/>
    <x v="0"/>
    <n v="529.99"/>
    <x v="2"/>
    <x v="12"/>
    <x v="1"/>
    <s v="Electra Moto 1 - 2016"/>
    <x v="1"/>
  </r>
  <r>
    <n v="102"/>
    <n v="2"/>
    <n v="22"/>
    <x v="0"/>
    <n v="269.99"/>
    <x v="1"/>
    <x v="14"/>
    <x v="1"/>
    <s v="Electra Girl's Hawaii 1 (16-inch) - 2015/2016"/>
    <x v="1"/>
  </r>
  <r>
    <n v="103"/>
    <n v="1"/>
    <n v="17"/>
    <x v="0"/>
    <n v="429"/>
    <x v="1"/>
    <x v="7"/>
    <x v="1"/>
    <s v="Pure Cycles Vine 8-Speed - 2016"/>
    <x v="0"/>
  </r>
  <r>
    <n v="103"/>
    <n v="2"/>
    <n v="3"/>
    <x v="0"/>
    <n v="999.99"/>
    <x v="2"/>
    <x v="5"/>
    <x v="1"/>
    <s v="Surly Wednesday Frameset - 2016"/>
    <x v="0"/>
  </r>
  <r>
    <n v="103"/>
    <n v="3"/>
    <n v="18"/>
    <x v="0"/>
    <n v="449"/>
    <x v="0"/>
    <x v="8"/>
    <x v="1"/>
    <s v="Pure Cycles Western 3-Speed - Women's - 2015/2016"/>
    <x v="0"/>
  </r>
  <r>
    <n v="103"/>
    <n v="4"/>
    <n v="15"/>
    <x v="1"/>
    <n v="529.99"/>
    <x v="3"/>
    <x v="29"/>
    <x v="1"/>
    <s v="Electra Moto 1 - 2016"/>
    <x v="0"/>
  </r>
  <r>
    <n v="103"/>
    <n v="5"/>
    <n v="9"/>
    <x v="1"/>
    <n v="2999.99"/>
    <x v="3"/>
    <x v="11"/>
    <x v="1"/>
    <s v="Trek Conduit+ - 2016"/>
    <x v="0"/>
  </r>
  <r>
    <n v="104"/>
    <n v="1"/>
    <n v="19"/>
    <x v="1"/>
    <n v="449"/>
    <x v="3"/>
    <x v="21"/>
    <x v="1"/>
    <s v="Pure Cycles William 3-Speed - 2016"/>
    <x v="1"/>
  </r>
  <r>
    <n v="104"/>
    <n v="2"/>
    <n v="26"/>
    <x v="0"/>
    <n v="599.99"/>
    <x v="2"/>
    <x v="0"/>
    <x v="1"/>
    <s v="Electra Townie Original 7D EQ - 2016"/>
    <x v="1"/>
  </r>
  <r>
    <n v="105"/>
    <n v="1"/>
    <n v="11"/>
    <x v="1"/>
    <n v="1680.99"/>
    <x v="0"/>
    <x v="32"/>
    <x v="1"/>
    <s v="Surly Straggler 650b - 2016"/>
    <x v="1"/>
  </r>
  <r>
    <n v="105"/>
    <n v="2"/>
    <n v="3"/>
    <x v="0"/>
    <n v="999.99"/>
    <x v="2"/>
    <x v="5"/>
    <x v="1"/>
    <s v="Surly Wednesday Frameset - 2016"/>
    <x v="1"/>
  </r>
  <r>
    <n v="105"/>
    <n v="3"/>
    <n v="9"/>
    <x v="0"/>
    <n v="2999.99"/>
    <x v="2"/>
    <x v="28"/>
    <x v="1"/>
    <s v="Trek Conduit+ - 2016"/>
    <x v="1"/>
  </r>
  <r>
    <n v="106"/>
    <n v="1"/>
    <n v="17"/>
    <x v="0"/>
    <n v="429"/>
    <x v="3"/>
    <x v="7"/>
    <x v="1"/>
    <s v="Pure Cycles Vine 8-Speed - 2016"/>
    <x v="2"/>
  </r>
  <r>
    <n v="106"/>
    <n v="2"/>
    <n v="13"/>
    <x v="1"/>
    <n v="269.99"/>
    <x v="3"/>
    <x v="17"/>
    <x v="1"/>
    <s v="Electra Cruiser 1 (24-Inch) - 2016"/>
    <x v="2"/>
  </r>
  <r>
    <n v="107"/>
    <n v="1"/>
    <n v="19"/>
    <x v="0"/>
    <n v="449"/>
    <x v="0"/>
    <x v="8"/>
    <x v="1"/>
    <s v="Pure Cycles William 3-Speed - 2016"/>
    <x v="0"/>
  </r>
  <r>
    <n v="107"/>
    <n v="2"/>
    <n v="13"/>
    <x v="1"/>
    <n v="269.99"/>
    <x v="3"/>
    <x v="17"/>
    <x v="1"/>
    <s v="Electra Cruiser 1 (24-Inch) - 2016"/>
    <x v="0"/>
  </r>
  <r>
    <n v="108"/>
    <n v="1"/>
    <n v="11"/>
    <x v="0"/>
    <n v="1680.99"/>
    <x v="3"/>
    <x v="19"/>
    <x v="1"/>
    <s v="Surly Straggler 650b - 2016"/>
    <x v="1"/>
  </r>
  <r>
    <n v="108"/>
    <n v="2"/>
    <n v="22"/>
    <x v="1"/>
    <n v="269.99"/>
    <x v="1"/>
    <x v="17"/>
    <x v="1"/>
    <s v="Electra Girl's Hawaii 1 (16-inch) - 2015/2016"/>
    <x v="1"/>
  </r>
  <r>
    <n v="108"/>
    <n v="3"/>
    <n v="16"/>
    <x v="1"/>
    <n v="599.99"/>
    <x v="2"/>
    <x v="3"/>
    <x v="1"/>
    <s v="Electra Townie Original 7D EQ - 2016"/>
    <x v="1"/>
  </r>
  <r>
    <n v="109"/>
    <n v="1"/>
    <n v="22"/>
    <x v="1"/>
    <n v="269.99"/>
    <x v="3"/>
    <x v="17"/>
    <x v="1"/>
    <s v="Electra Girl's Hawaii 1 (16-inch) - 2015/2016"/>
    <x v="1"/>
  </r>
  <r>
    <n v="109"/>
    <n v="2"/>
    <n v="6"/>
    <x v="0"/>
    <n v="469.99"/>
    <x v="1"/>
    <x v="20"/>
    <x v="1"/>
    <s v="Surly Ice Cream Truck Frameset - 2016"/>
    <x v="1"/>
  </r>
  <r>
    <n v="110"/>
    <n v="1"/>
    <n v="14"/>
    <x v="0"/>
    <n v="269.99"/>
    <x v="3"/>
    <x v="14"/>
    <x v="1"/>
    <s v="Electra Girl's Hawaii 1 (16-inch) - 2015/2016"/>
    <x v="2"/>
  </r>
  <r>
    <n v="111"/>
    <n v="1"/>
    <n v="14"/>
    <x v="0"/>
    <n v="269.99"/>
    <x v="3"/>
    <x v="14"/>
    <x v="1"/>
    <s v="Electra Girl's Hawaii 1 (16-inch) - 2015/2016"/>
    <x v="1"/>
  </r>
  <r>
    <n v="111"/>
    <n v="2"/>
    <n v="12"/>
    <x v="1"/>
    <n v="549.99"/>
    <x v="1"/>
    <x v="9"/>
    <x v="1"/>
    <s v="Electra Townie Original 21D - 2016"/>
    <x v="1"/>
  </r>
  <r>
    <n v="112"/>
    <n v="1"/>
    <n v="23"/>
    <x v="1"/>
    <n v="299.99"/>
    <x v="0"/>
    <x v="22"/>
    <x v="1"/>
    <s v="Electra Girl's Hawaii 1 (20-inch) - 2015/2016"/>
    <x v="1"/>
  </r>
  <r>
    <n v="112"/>
    <n v="2"/>
    <n v="25"/>
    <x v="1"/>
    <n v="499.99"/>
    <x v="1"/>
    <x v="26"/>
    <x v="1"/>
    <s v="Electra Townie Original 7D - 2015/2016"/>
    <x v="1"/>
  </r>
  <r>
    <n v="112"/>
    <n v="3"/>
    <n v="24"/>
    <x v="1"/>
    <n v="549.99"/>
    <x v="2"/>
    <x v="9"/>
    <x v="1"/>
    <s v="Electra Townie Original 21D - 2016"/>
    <x v="1"/>
  </r>
  <r>
    <n v="112"/>
    <n v="4"/>
    <n v="5"/>
    <x v="0"/>
    <n v="1320.99"/>
    <x v="0"/>
    <x v="24"/>
    <x v="1"/>
    <s v="Heller Shagamaw Frame - 2016"/>
    <x v="1"/>
  </r>
  <r>
    <n v="113"/>
    <n v="1"/>
    <n v="12"/>
    <x v="1"/>
    <n v="549.99"/>
    <x v="1"/>
    <x v="9"/>
    <x v="1"/>
    <s v="Electra Townie Original 21D - 2016"/>
    <x v="1"/>
  </r>
  <r>
    <n v="113"/>
    <n v="2"/>
    <n v="24"/>
    <x v="1"/>
    <n v="549.99"/>
    <x v="3"/>
    <x v="9"/>
    <x v="1"/>
    <s v="Electra Townie Original 21D - 2016"/>
    <x v="1"/>
  </r>
  <r>
    <n v="113"/>
    <n v="3"/>
    <n v="6"/>
    <x v="0"/>
    <n v="469.99"/>
    <x v="1"/>
    <x v="20"/>
    <x v="1"/>
    <s v="Surly Ice Cream Truck Frameset - 2016"/>
    <x v="1"/>
  </r>
  <r>
    <n v="113"/>
    <n v="4"/>
    <n v="23"/>
    <x v="0"/>
    <n v="299.99"/>
    <x v="0"/>
    <x v="23"/>
    <x v="1"/>
    <s v="Electra Girl's Hawaii 1 (20-inch) - 2015/2016"/>
    <x v="1"/>
  </r>
  <r>
    <n v="113"/>
    <n v="5"/>
    <n v="5"/>
    <x v="1"/>
    <n v="1320.99"/>
    <x v="0"/>
    <x v="34"/>
    <x v="1"/>
    <s v="Heller Shagamaw Frame - 2016"/>
    <x v="1"/>
  </r>
  <r>
    <n v="114"/>
    <n v="1"/>
    <n v="12"/>
    <x v="0"/>
    <n v="549.99"/>
    <x v="2"/>
    <x v="31"/>
    <x v="1"/>
    <s v="Electra Townie Original 21D - 2016"/>
    <x v="1"/>
  </r>
  <r>
    <n v="114"/>
    <n v="2"/>
    <n v="2"/>
    <x v="0"/>
    <n v="749.99"/>
    <x v="1"/>
    <x v="30"/>
    <x v="1"/>
    <s v="Ritchey Timberwolf Frameset - 2016"/>
    <x v="1"/>
  </r>
  <r>
    <n v="114"/>
    <n v="3"/>
    <n v="13"/>
    <x v="1"/>
    <n v="269.99"/>
    <x v="3"/>
    <x v="17"/>
    <x v="1"/>
    <s v="Electra Cruiser 1 (24-Inch) - 2016"/>
    <x v="1"/>
  </r>
  <r>
    <n v="115"/>
    <n v="1"/>
    <n v="22"/>
    <x v="0"/>
    <n v="269.99"/>
    <x v="0"/>
    <x v="14"/>
    <x v="1"/>
    <s v="Electra Girl's Hawaii 1 (16-inch) - 2015/2016"/>
    <x v="1"/>
  </r>
  <r>
    <n v="115"/>
    <n v="2"/>
    <n v="19"/>
    <x v="0"/>
    <n v="449"/>
    <x v="3"/>
    <x v="8"/>
    <x v="1"/>
    <s v="Pure Cycles William 3-Speed - 2016"/>
    <x v="1"/>
  </r>
  <r>
    <n v="116"/>
    <n v="1"/>
    <n v="26"/>
    <x v="0"/>
    <n v="599.99"/>
    <x v="2"/>
    <x v="0"/>
    <x v="1"/>
    <s v="Electra Townie Original 7D EQ - 2016"/>
    <x v="1"/>
  </r>
  <r>
    <n v="117"/>
    <n v="1"/>
    <n v="22"/>
    <x v="1"/>
    <n v="269.99"/>
    <x v="0"/>
    <x v="17"/>
    <x v="1"/>
    <s v="Electra Girl's Hawaii 1 (16-inch) - 2015/2016"/>
    <x v="1"/>
  </r>
  <r>
    <n v="117"/>
    <n v="2"/>
    <n v="26"/>
    <x v="0"/>
    <n v="599.99"/>
    <x v="2"/>
    <x v="0"/>
    <x v="1"/>
    <s v="Electra Townie Original 7D EQ - 2016"/>
    <x v="1"/>
  </r>
  <r>
    <n v="117"/>
    <n v="3"/>
    <n v="14"/>
    <x v="0"/>
    <n v="269.99"/>
    <x v="0"/>
    <x v="14"/>
    <x v="1"/>
    <s v="Electra Girl's Hawaii 1 (16-inch) - 2015/2016"/>
    <x v="1"/>
  </r>
  <r>
    <n v="117"/>
    <n v="4"/>
    <n v="19"/>
    <x v="0"/>
    <n v="449"/>
    <x v="2"/>
    <x v="8"/>
    <x v="1"/>
    <s v="Pure Cycles William 3-Speed - 2016"/>
    <x v="1"/>
  </r>
  <r>
    <n v="118"/>
    <n v="1"/>
    <n v="18"/>
    <x v="0"/>
    <n v="449"/>
    <x v="1"/>
    <x v="8"/>
    <x v="1"/>
    <s v="Pure Cycles Western 3-Speed - Women's - 2015/2016"/>
    <x v="0"/>
  </r>
  <r>
    <n v="118"/>
    <n v="2"/>
    <n v="4"/>
    <x v="0"/>
    <n v="2899.99"/>
    <x v="1"/>
    <x v="4"/>
    <x v="1"/>
    <s v="Trek Fuel EX 8 29 - 2016"/>
    <x v="0"/>
  </r>
  <r>
    <n v="118"/>
    <n v="3"/>
    <n v="6"/>
    <x v="0"/>
    <n v="469.99"/>
    <x v="1"/>
    <x v="20"/>
    <x v="1"/>
    <s v="Surly Ice Cream Truck Frameset - 2016"/>
    <x v="0"/>
  </r>
  <r>
    <n v="118"/>
    <n v="4"/>
    <n v="3"/>
    <x v="1"/>
    <n v="999.99"/>
    <x v="3"/>
    <x v="10"/>
    <x v="1"/>
    <s v="Surly Wednesday Frameset - 2016"/>
    <x v="0"/>
  </r>
  <r>
    <n v="118"/>
    <n v="5"/>
    <n v="23"/>
    <x v="1"/>
    <n v="299.99"/>
    <x v="1"/>
    <x v="22"/>
    <x v="1"/>
    <s v="Electra Girl's Hawaii 1 (20-inch) - 2015/2016"/>
    <x v="0"/>
  </r>
  <r>
    <n v="119"/>
    <n v="1"/>
    <n v="25"/>
    <x v="0"/>
    <n v="499.99"/>
    <x v="2"/>
    <x v="33"/>
    <x v="1"/>
    <s v="Electra Townie Original 7D - 2015/2016"/>
    <x v="1"/>
  </r>
  <r>
    <n v="120"/>
    <n v="1"/>
    <n v="13"/>
    <x v="1"/>
    <n v="269.99"/>
    <x v="2"/>
    <x v="17"/>
    <x v="1"/>
    <s v="Electra Cruiser 1 (24-Inch) - 2016"/>
    <x v="1"/>
  </r>
  <r>
    <n v="120"/>
    <n v="2"/>
    <n v="6"/>
    <x v="1"/>
    <n v="469.99"/>
    <x v="2"/>
    <x v="35"/>
    <x v="1"/>
    <s v="Surly Ice Cream Truck Frameset - 2016"/>
    <x v="1"/>
  </r>
  <r>
    <n v="120"/>
    <n v="3"/>
    <n v="10"/>
    <x v="1"/>
    <n v="1549"/>
    <x v="2"/>
    <x v="2"/>
    <x v="1"/>
    <s v="Surly Straggler - 2016"/>
    <x v="1"/>
  </r>
  <r>
    <n v="120"/>
    <n v="4"/>
    <n v="17"/>
    <x v="0"/>
    <n v="429"/>
    <x v="2"/>
    <x v="7"/>
    <x v="1"/>
    <s v="Pure Cycles Vine 8-Speed - 2016"/>
    <x v="1"/>
  </r>
  <r>
    <n v="120"/>
    <n v="5"/>
    <n v="16"/>
    <x v="1"/>
    <n v="599.99"/>
    <x v="0"/>
    <x v="3"/>
    <x v="1"/>
    <s v="Electra Townie Original 7D EQ - 2016"/>
    <x v="1"/>
  </r>
  <r>
    <n v="121"/>
    <n v="1"/>
    <n v="5"/>
    <x v="0"/>
    <n v="1320.99"/>
    <x v="0"/>
    <x v="24"/>
    <x v="1"/>
    <s v="Heller Shagamaw Frame - 2016"/>
    <x v="1"/>
  </r>
  <r>
    <n v="121"/>
    <n v="2"/>
    <n v="14"/>
    <x v="1"/>
    <n v="269.99"/>
    <x v="3"/>
    <x v="17"/>
    <x v="1"/>
    <s v="Electra Girl's Hawaii 1 (16-inch) - 2015/2016"/>
    <x v="1"/>
  </r>
  <r>
    <n v="121"/>
    <n v="3"/>
    <n v="4"/>
    <x v="1"/>
    <n v="2899.99"/>
    <x v="3"/>
    <x v="18"/>
    <x v="1"/>
    <s v="Trek Fuel EX 8 29 - 2016"/>
    <x v="1"/>
  </r>
  <r>
    <n v="121"/>
    <n v="4"/>
    <n v="24"/>
    <x v="1"/>
    <n v="549.99"/>
    <x v="1"/>
    <x v="9"/>
    <x v="1"/>
    <s v="Electra Townie Original 21D - 2016"/>
    <x v="1"/>
  </r>
  <r>
    <n v="121"/>
    <n v="5"/>
    <n v="2"/>
    <x v="1"/>
    <n v="749.99"/>
    <x v="2"/>
    <x v="6"/>
    <x v="1"/>
    <s v="Ritchey Timberwolf Frameset - 2016"/>
    <x v="1"/>
  </r>
  <r>
    <n v="122"/>
    <n v="1"/>
    <n v="16"/>
    <x v="0"/>
    <n v="599.99"/>
    <x v="3"/>
    <x v="0"/>
    <x v="1"/>
    <s v="Electra Townie Original 7D EQ - 2016"/>
    <x v="1"/>
  </r>
  <r>
    <n v="123"/>
    <n v="1"/>
    <n v="12"/>
    <x v="1"/>
    <n v="549.99"/>
    <x v="3"/>
    <x v="9"/>
    <x v="1"/>
    <s v="Electra Townie Original 21D - 2016"/>
    <x v="1"/>
  </r>
  <r>
    <n v="124"/>
    <n v="1"/>
    <n v="16"/>
    <x v="0"/>
    <n v="599.99"/>
    <x v="2"/>
    <x v="0"/>
    <x v="1"/>
    <s v="Electra Townie Original 7D EQ - 2016"/>
    <x v="0"/>
  </r>
  <r>
    <n v="124"/>
    <n v="2"/>
    <n v="4"/>
    <x v="0"/>
    <n v="2899.99"/>
    <x v="1"/>
    <x v="4"/>
    <x v="1"/>
    <s v="Trek Fuel EX 8 29 - 2016"/>
    <x v="0"/>
  </r>
  <r>
    <n v="124"/>
    <n v="3"/>
    <n v="7"/>
    <x v="1"/>
    <n v="3999.99"/>
    <x v="2"/>
    <x v="15"/>
    <x v="1"/>
    <s v="Trek Slash 8 27.5 - 2016"/>
    <x v="0"/>
  </r>
  <r>
    <n v="125"/>
    <n v="1"/>
    <n v="17"/>
    <x v="0"/>
    <n v="429"/>
    <x v="3"/>
    <x v="7"/>
    <x v="1"/>
    <s v="Pure Cycles Vine 8-Speed - 2016"/>
    <x v="1"/>
  </r>
  <r>
    <n v="126"/>
    <n v="1"/>
    <n v="9"/>
    <x v="1"/>
    <n v="2999.99"/>
    <x v="2"/>
    <x v="11"/>
    <x v="1"/>
    <s v="Trek Conduit+ - 2016"/>
    <x v="1"/>
  </r>
  <r>
    <n v="127"/>
    <n v="1"/>
    <n v="17"/>
    <x v="0"/>
    <n v="429"/>
    <x v="1"/>
    <x v="7"/>
    <x v="1"/>
    <s v="Pure Cycles Vine 8-Speed - 2016"/>
    <x v="2"/>
  </r>
  <r>
    <n v="127"/>
    <n v="2"/>
    <n v="20"/>
    <x v="0"/>
    <n v="599.99"/>
    <x v="3"/>
    <x v="0"/>
    <x v="1"/>
    <s v="Electra Townie Original 7D EQ - Women's - 2016"/>
    <x v="2"/>
  </r>
  <r>
    <n v="127"/>
    <n v="3"/>
    <n v="4"/>
    <x v="1"/>
    <n v="2899.99"/>
    <x v="1"/>
    <x v="18"/>
    <x v="1"/>
    <s v="Trek Fuel EX 8 29 - 2016"/>
    <x v="2"/>
  </r>
  <r>
    <n v="128"/>
    <n v="1"/>
    <n v="24"/>
    <x v="1"/>
    <n v="549.99"/>
    <x v="3"/>
    <x v="9"/>
    <x v="1"/>
    <s v="Electra Townie Original 21D - 2016"/>
    <x v="1"/>
  </r>
  <r>
    <n v="128"/>
    <n v="2"/>
    <n v="16"/>
    <x v="1"/>
    <n v="599.99"/>
    <x v="3"/>
    <x v="3"/>
    <x v="1"/>
    <s v="Electra Townie Original 7D EQ - 2016"/>
    <x v="1"/>
  </r>
  <r>
    <n v="128"/>
    <n v="3"/>
    <n v="4"/>
    <x v="1"/>
    <n v="2899.99"/>
    <x v="0"/>
    <x v="18"/>
    <x v="1"/>
    <s v="Trek Fuel EX 8 29 - 2016"/>
    <x v="1"/>
  </r>
  <r>
    <n v="128"/>
    <n v="4"/>
    <n v="3"/>
    <x v="1"/>
    <n v="999.99"/>
    <x v="0"/>
    <x v="10"/>
    <x v="1"/>
    <s v="Surly Wednesday Frameset - 2016"/>
    <x v="1"/>
  </r>
  <r>
    <n v="129"/>
    <n v="1"/>
    <n v="18"/>
    <x v="0"/>
    <n v="449"/>
    <x v="3"/>
    <x v="8"/>
    <x v="1"/>
    <s v="Pure Cycles Western 3-Speed - Women's - 2015/2016"/>
    <x v="1"/>
  </r>
  <r>
    <n v="129"/>
    <n v="2"/>
    <n v="9"/>
    <x v="0"/>
    <n v="2999.99"/>
    <x v="3"/>
    <x v="28"/>
    <x v="1"/>
    <s v="Trek Conduit+ - 2016"/>
    <x v="1"/>
  </r>
  <r>
    <n v="130"/>
    <n v="1"/>
    <n v="26"/>
    <x v="0"/>
    <n v="599.99"/>
    <x v="2"/>
    <x v="0"/>
    <x v="1"/>
    <s v="Electra Townie Original 7D EQ - 2016"/>
    <x v="1"/>
  </r>
  <r>
    <n v="130"/>
    <n v="2"/>
    <n v="5"/>
    <x v="1"/>
    <n v="1320.99"/>
    <x v="1"/>
    <x v="34"/>
    <x v="1"/>
    <s v="Heller Shagamaw Frame - 2016"/>
    <x v="1"/>
  </r>
  <r>
    <n v="131"/>
    <n v="1"/>
    <n v="22"/>
    <x v="1"/>
    <n v="269.99"/>
    <x v="0"/>
    <x v="17"/>
    <x v="1"/>
    <s v="Electra Girl's Hawaii 1 (16-inch) - 2015/2016"/>
    <x v="2"/>
  </r>
  <r>
    <n v="131"/>
    <n v="2"/>
    <n v="4"/>
    <x v="1"/>
    <n v="2899.99"/>
    <x v="1"/>
    <x v="18"/>
    <x v="1"/>
    <s v="Trek Fuel EX 8 29 - 2016"/>
    <x v="2"/>
  </r>
  <r>
    <n v="131"/>
    <n v="3"/>
    <n v="24"/>
    <x v="1"/>
    <n v="549.99"/>
    <x v="3"/>
    <x v="9"/>
    <x v="1"/>
    <s v="Electra Townie Original 21D - 2016"/>
    <x v="2"/>
  </r>
  <r>
    <n v="132"/>
    <n v="1"/>
    <n v="2"/>
    <x v="1"/>
    <n v="749.99"/>
    <x v="2"/>
    <x v="6"/>
    <x v="1"/>
    <s v="Ritchey Timberwolf Frameset - 2016"/>
    <x v="0"/>
  </r>
  <r>
    <n v="132"/>
    <n v="2"/>
    <n v="20"/>
    <x v="0"/>
    <n v="599.99"/>
    <x v="2"/>
    <x v="0"/>
    <x v="1"/>
    <s v="Electra Townie Original 7D EQ - Women's - 2016"/>
    <x v="0"/>
  </r>
  <r>
    <n v="132"/>
    <n v="3"/>
    <n v="9"/>
    <x v="0"/>
    <n v="2999.99"/>
    <x v="3"/>
    <x v="28"/>
    <x v="1"/>
    <s v="Trek Conduit+ - 2016"/>
    <x v="0"/>
  </r>
  <r>
    <n v="133"/>
    <n v="1"/>
    <n v="13"/>
    <x v="1"/>
    <n v="269.99"/>
    <x v="2"/>
    <x v="17"/>
    <x v="1"/>
    <s v="Electra Cruiser 1 (24-Inch) - 2016"/>
    <x v="1"/>
  </r>
  <r>
    <n v="133"/>
    <n v="2"/>
    <n v="22"/>
    <x v="0"/>
    <n v="269.99"/>
    <x v="0"/>
    <x v="14"/>
    <x v="1"/>
    <s v="Electra Girl's Hawaii 1 (16-inch) - 2015/2016"/>
    <x v="1"/>
  </r>
  <r>
    <n v="134"/>
    <n v="1"/>
    <n v="19"/>
    <x v="1"/>
    <n v="449"/>
    <x v="3"/>
    <x v="21"/>
    <x v="1"/>
    <s v="Pure Cycles William 3-Speed - 2016"/>
    <x v="1"/>
  </r>
  <r>
    <n v="134"/>
    <n v="2"/>
    <n v="2"/>
    <x v="1"/>
    <n v="749.99"/>
    <x v="1"/>
    <x v="6"/>
    <x v="1"/>
    <s v="Ritchey Timberwolf Frameset - 2016"/>
    <x v="1"/>
  </r>
  <r>
    <n v="134"/>
    <n v="3"/>
    <n v="18"/>
    <x v="1"/>
    <n v="449"/>
    <x v="1"/>
    <x v="21"/>
    <x v="1"/>
    <s v="Pure Cycles Western 3-Speed - Women's - 2015/2016"/>
    <x v="1"/>
  </r>
  <r>
    <n v="135"/>
    <n v="1"/>
    <n v="5"/>
    <x v="1"/>
    <n v="1320.99"/>
    <x v="2"/>
    <x v="34"/>
    <x v="1"/>
    <s v="Heller Shagamaw Frame - 2016"/>
    <x v="1"/>
  </r>
  <r>
    <n v="135"/>
    <n v="2"/>
    <n v="18"/>
    <x v="1"/>
    <n v="449"/>
    <x v="2"/>
    <x v="21"/>
    <x v="1"/>
    <s v="Pure Cycles Western 3-Speed - Women's - 2015/2016"/>
    <x v="1"/>
  </r>
  <r>
    <n v="135"/>
    <n v="3"/>
    <n v="25"/>
    <x v="0"/>
    <n v="499.99"/>
    <x v="0"/>
    <x v="33"/>
    <x v="1"/>
    <s v="Electra Townie Original 7D - 2015/2016"/>
    <x v="1"/>
  </r>
  <r>
    <n v="135"/>
    <n v="4"/>
    <n v="2"/>
    <x v="0"/>
    <n v="749.99"/>
    <x v="2"/>
    <x v="30"/>
    <x v="1"/>
    <s v="Ritchey Timberwolf Frameset - 2016"/>
    <x v="1"/>
  </r>
  <r>
    <n v="136"/>
    <n v="1"/>
    <n v="7"/>
    <x v="1"/>
    <n v="3999.99"/>
    <x v="0"/>
    <x v="15"/>
    <x v="1"/>
    <s v="Trek Slash 8 27.5 - 2016"/>
    <x v="2"/>
  </r>
  <r>
    <n v="136"/>
    <n v="2"/>
    <n v="3"/>
    <x v="1"/>
    <n v="999.99"/>
    <x v="2"/>
    <x v="10"/>
    <x v="1"/>
    <s v="Surly Wednesday Frameset - 2016"/>
    <x v="2"/>
  </r>
  <r>
    <n v="137"/>
    <n v="1"/>
    <n v="23"/>
    <x v="0"/>
    <n v="299.99"/>
    <x v="1"/>
    <x v="23"/>
    <x v="1"/>
    <s v="Electra Girl's Hawaii 1 (20-inch) - 2015/2016"/>
    <x v="1"/>
  </r>
  <r>
    <n v="137"/>
    <n v="2"/>
    <n v="22"/>
    <x v="0"/>
    <n v="269.99"/>
    <x v="3"/>
    <x v="14"/>
    <x v="1"/>
    <s v="Electra Girl's Hawaii 1 (16-inch) - 2015/2016"/>
    <x v="1"/>
  </r>
  <r>
    <n v="138"/>
    <n v="1"/>
    <n v="16"/>
    <x v="1"/>
    <n v="599.99"/>
    <x v="3"/>
    <x v="3"/>
    <x v="1"/>
    <s v="Electra Townie Original 7D EQ - 2016"/>
    <x v="1"/>
  </r>
  <r>
    <n v="138"/>
    <n v="2"/>
    <n v="6"/>
    <x v="0"/>
    <n v="469.99"/>
    <x v="0"/>
    <x v="20"/>
    <x v="1"/>
    <s v="Surly Ice Cream Truck Frameset - 2016"/>
    <x v="1"/>
  </r>
  <r>
    <n v="139"/>
    <n v="1"/>
    <n v="19"/>
    <x v="1"/>
    <n v="449"/>
    <x v="1"/>
    <x v="21"/>
    <x v="1"/>
    <s v="Pure Cycles William 3-Speed - 2016"/>
    <x v="1"/>
  </r>
  <r>
    <n v="139"/>
    <n v="2"/>
    <n v="3"/>
    <x v="0"/>
    <n v="999.99"/>
    <x v="1"/>
    <x v="5"/>
    <x v="1"/>
    <s v="Surly Wednesday Frameset - 2016"/>
    <x v="1"/>
  </r>
  <r>
    <n v="140"/>
    <n v="1"/>
    <n v="15"/>
    <x v="0"/>
    <n v="529.99"/>
    <x v="0"/>
    <x v="12"/>
    <x v="1"/>
    <s v="Electra Moto 1 - 2016"/>
    <x v="1"/>
  </r>
  <r>
    <n v="140"/>
    <n v="2"/>
    <n v="21"/>
    <x v="0"/>
    <n v="269.99"/>
    <x v="0"/>
    <x v="14"/>
    <x v="1"/>
    <s v="Electra Cruiser 1 (24-Inch) - 2016"/>
    <x v="1"/>
  </r>
  <r>
    <n v="140"/>
    <n v="3"/>
    <n v="12"/>
    <x v="1"/>
    <n v="549.99"/>
    <x v="0"/>
    <x v="9"/>
    <x v="1"/>
    <s v="Electra Townie Original 21D - 2016"/>
    <x v="1"/>
  </r>
  <r>
    <n v="140"/>
    <n v="4"/>
    <n v="3"/>
    <x v="0"/>
    <n v="999.99"/>
    <x v="2"/>
    <x v="5"/>
    <x v="1"/>
    <s v="Surly Wednesday Frameset - 2016"/>
    <x v="1"/>
  </r>
  <r>
    <n v="141"/>
    <n v="1"/>
    <n v="18"/>
    <x v="0"/>
    <n v="449"/>
    <x v="0"/>
    <x v="8"/>
    <x v="1"/>
    <s v="Pure Cycles Western 3-Speed - Women's - 2015/2016"/>
    <x v="1"/>
  </r>
  <r>
    <n v="142"/>
    <n v="1"/>
    <n v="16"/>
    <x v="1"/>
    <n v="599.99"/>
    <x v="3"/>
    <x v="3"/>
    <x v="1"/>
    <s v="Electra Townie Original 7D EQ - 2016"/>
    <x v="0"/>
  </r>
  <r>
    <n v="142"/>
    <n v="2"/>
    <n v="11"/>
    <x v="1"/>
    <n v="1680.99"/>
    <x v="3"/>
    <x v="32"/>
    <x v="1"/>
    <s v="Surly Straggler 650b - 2016"/>
    <x v="0"/>
  </r>
  <r>
    <n v="142"/>
    <n v="3"/>
    <n v="19"/>
    <x v="0"/>
    <n v="449"/>
    <x v="1"/>
    <x v="8"/>
    <x v="1"/>
    <s v="Pure Cycles William 3-Speed - 2016"/>
    <x v="0"/>
  </r>
  <r>
    <n v="143"/>
    <n v="1"/>
    <n v="6"/>
    <x v="0"/>
    <n v="469.99"/>
    <x v="0"/>
    <x v="20"/>
    <x v="1"/>
    <s v="Surly Ice Cream Truck Frameset - 2016"/>
    <x v="1"/>
  </r>
  <r>
    <n v="144"/>
    <n v="1"/>
    <n v="8"/>
    <x v="1"/>
    <n v="1799.99"/>
    <x v="2"/>
    <x v="1"/>
    <x v="1"/>
    <s v="Trek Remedy 29 Carbon Frameset - 2016"/>
    <x v="1"/>
  </r>
  <r>
    <n v="145"/>
    <n v="1"/>
    <n v="11"/>
    <x v="0"/>
    <n v="1680.99"/>
    <x v="0"/>
    <x v="19"/>
    <x v="1"/>
    <s v="Surly Straggler 650b - 2016"/>
    <x v="1"/>
  </r>
  <r>
    <n v="145"/>
    <n v="2"/>
    <n v="9"/>
    <x v="1"/>
    <n v="2999.99"/>
    <x v="3"/>
    <x v="11"/>
    <x v="1"/>
    <s v="Trek Conduit+ - 2016"/>
    <x v="1"/>
  </r>
  <r>
    <n v="146"/>
    <n v="1"/>
    <n v="3"/>
    <x v="1"/>
    <n v="999.99"/>
    <x v="0"/>
    <x v="10"/>
    <x v="1"/>
    <s v="Surly Wednesday Frameset - 2016"/>
    <x v="0"/>
  </r>
  <r>
    <n v="146"/>
    <n v="2"/>
    <n v="12"/>
    <x v="0"/>
    <n v="549.99"/>
    <x v="3"/>
    <x v="31"/>
    <x v="1"/>
    <s v="Electra Townie Original 21D - 2016"/>
    <x v="0"/>
  </r>
  <r>
    <n v="146"/>
    <n v="3"/>
    <n v="20"/>
    <x v="1"/>
    <n v="599.99"/>
    <x v="3"/>
    <x v="3"/>
    <x v="1"/>
    <s v="Electra Townie Original 7D EQ - Women's - 2016"/>
    <x v="0"/>
  </r>
  <r>
    <n v="146"/>
    <n v="4"/>
    <n v="6"/>
    <x v="1"/>
    <n v="469.99"/>
    <x v="2"/>
    <x v="35"/>
    <x v="1"/>
    <s v="Surly Ice Cream Truck Frameset - 2016"/>
    <x v="0"/>
  </r>
  <r>
    <n v="146"/>
    <n v="5"/>
    <n v="2"/>
    <x v="0"/>
    <n v="749.99"/>
    <x v="1"/>
    <x v="30"/>
    <x v="1"/>
    <s v="Ritchey Timberwolf Frameset - 2016"/>
    <x v="0"/>
  </r>
  <r>
    <n v="147"/>
    <n v="1"/>
    <n v="26"/>
    <x v="1"/>
    <n v="599.99"/>
    <x v="0"/>
    <x v="3"/>
    <x v="1"/>
    <s v="Electra Townie Original 7D EQ - 2016"/>
    <x v="1"/>
  </r>
  <r>
    <n v="148"/>
    <n v="1"/>
    <n v="14"/>
    <x v="0"/>
    <n v="269.99"/>
    <x v="2"/>
    <x v="14"/>
    <x v="1"/>
    <s v="Electra Girl's Hawaii 1 (16-inch) - 2015/2016"/>
    <x v="1"/>
  </r>
  <r>
    <n v="149"/>
    <n v="1"/>
    <n v="12"/>
    <x v="1"/>
    <n v="549.99"/>
    <x v="1"/>
    <x v="9"/>
    <x v="1"/>
    <s v="Electra Townie Original 21D - 2016"/>
    <x v="1"/>
  </r>
  <r>
    <n v="149"/>
    <n v="2"/>
    <n v="21"/>
    <x v="1"/>
    <n v="269.99"/>
    <x v="1"/>
    <x v="17"/>
    <x v="1"/>
    <s v="Electra Cruiser 1 (24-Inch) - 2016"/>
    <x v="1"/>
  </r>
  <r>
    <n v="150"/>
    <n v="1"/>
    <n v="7"/>
    <x v="0"/>
    <n v="3999.99"/>
    <x v="3"/>
    <x v="25"/>
    <x v="1"/>
    <s v="Trek Slash 8 27.5 - 2016"/>
    <x v="0"/>
  </r>
  <r>
    <n v="150"/>
    <n v="2"/>
    <n v="3"/>
    <x v="0"/>
    <n v="999.99"/>
    <x v="0"/>
    <x v="5"/>
    <x v="1"/>
    <s v="Surly Wednesday Frameset - 2016"/>
    <x v="0"/>
  </r>
  <r>
    <n v="150"/>
    <n v="3"/>
    <n v="17"/>
    <x v="0"/>
    <n v="429"/>
    <x v="1"/>
    <x v="7"/>
    <x v="1"/>
    <s v="Pure Cycles Vine 8-Speed - 2016"/>
    <x v="0"/>
  </r>
  <r>
    <n v="150"/>
    <n v="4"/>
    <n v="25"/>
    <x v="1"/>
    <n v="499.99"/>
    <x v="1"/>
    <x v="26"/>
    <x v="1"/>
    <s v="Electra Townie Original 7D - 2015/2016"/>
    <x v="0"/>
  </r>
  <r>
    <n v="151"/>
    <n v="1"/>
    <n v="17"/>
    <x v="0"/>
    <n v="429"/>
    <x v="3"/>
    <x v="7"/>
    <x v="1"/>
    <s v="Pure Cycles Vine 8-Speed - 2016"/>
    <x v="0"/>
  </r>
  <r>
    <n v="151"/>
    <n v="2"/>
    <n v="26"/>
    <x v="0"/>
    <n v="599.99"/>
    <x v="3"/>
    <x v="0"/>
    <x v="1"/>
    <s v="Electra Townie Original 7D EQ - 2016"/>
    <x v="0"/>
  </r>
  <r>
    <n v="152"/>
    <n v="1"/>
    <n v="6"/>
    <x v="1"/>
    <n v="469.99"/>
    <x v="0"/>
    <x v="35"/>
    <x v="1"/>
    <s v="Surly Ice Cream Truck Frameset - 2016"/>
    <x v="1"/>
  </r>
  <r>
    <n v="152"/>
    <n v="2"/>
    <n v="22"/>
    <x v="1"/>
    <n v="269.99"/>
    <x v="0"/>
    <x v="17"/>
    <x v="1"/>
    <s v="Electra Girl's Hawaii 1 (16-inch) - 2015/2016"/>
    <x v="1"/>
  </r>
  <r>
    <n v="152"/>
    <n v="3"/>
    <n v="16"/>
    <x v="1"/>
    <n v="599.99"/>
    <x v="1"/>
    <x v="3"/>
    <x v="1"/>
    <s v="Electra Townie Original 7D EQ - 2016"/>
    <x v="1"/>
  </r>
  <r>
    <n v="153"/>
    <n v="1"/>
    <n v="16"/>
    <x v="0"/>
    <n v="599.99"/>
    <x v="1"/>
    <x v="0"/>
    <x v="1"/>
    <s v="Electra Townie Original 7D EQ - 2016"/>
    <x v="1"/>
  </r>
  <r>
    <n v="153"/>
    <n v="2"/>
    <n v="8"/>
    <x v="0"/>
    <n v="1799.99"/>
    <x v="1"/>
    <x v="16"/>
    <x v="1"/>
    <s v="Trek Remedy 29 Carbon Frameset - 2016"/>
    <x v="1"/>
  </r>
  <r>
    <n v="153"/>
    <n v="3"/>
    <n v="15"/>
    <x v="1"/>
    <n v="529.99"/>
    <x v="2"/>
    <x v="29"/>
    <x v="1"/>
    <s v="Electra Moto 1 - 2016"/>
    <x v="1"/>
  </r>
  <r>
    <n v="154"/>
    <n v="1"/>
    <n v="12"/>
    <x v="0"/>
    <n v="549.99"/>
    <x v="3"/>
    <x v="31"/>
    <x v="1"/>
    <s v="Electra Townie Original 21D - 2016"/>
    <x v="0"/>
  </r>
  <r>
    <n v="155"/>
    <n v="1"/>
    <n v="8"/>
    <x v="0"/>
    <n v="1799.99"/>
    <x v="3"/>
    <x v="16"/>
    <x v="1"/>
    <s v="Trek Remedy 29 Carbon Frameset - 2016"/>
    <x v="1"/>
  </r>
  <r>
    <n v="156"/>
    <n v="1"/>
    <n v="18"/>
    <x v="1"/>
    <n v="449"/>
    <x v="0"/>
    <x v="21"/>
    <x v="1"/>
    <s v="Pure Cycles Western 3-Speed - Women's - 2015/2016"/>
    <x v="0"/>
  </r>
  <r>
    <n v="156"/>
    <n v="2"/>
    <n v="17"/>
    <x v="1"/>
    <n v="429"/>
    <x v="2"/>
    <x v="13"/>
    <x v="1"/>
    <s v="Pure Cycles Vine 8-Speed - 2016"/>
    <x v="0"/>
  </r>
  <r>
    <n v="156"/>
    <n v="3"/>
    <n v="6"/>
    <x v="0"/>
    <n v="469.99"/>
    <x v="1"/>
    <x v="20"/>
    <x v="1"/>
    <s v="Surly Ice Cream Truck Frameset - 2016"/>
    <x v="0"/>
  </r>
  <r>
    <n v="157"/>
    <n v="1"/>
    <n v="4"/>
    <x v="0"/>
    <n v="2899.99"/>
    <x v="3"/>
    <x v="4"/>
    <x v="1"/>
    <s v="Trek Fuel EX 8 29 - 2016"/>
    <x v="2"/>
  </r>
  <r>
    <n v="157"/>
    <n v="2"/>
    <n v="7"/>
    <x v="1"/>
    <n v="3999.99"/>
    <x v="1"/>
    <x v="15"/>
    <x v="1"/>
    <s v="Trek Slash 8 27.5 - 2016"/>
    <x v="2"/>
  </r>
  <r>
    <n v="158"/>
    <n v="1"/>
    <n v="24"/>
    <x v="0"/>
    <n v="549.99"/>
    <x v="3"/>
    <x v="31"/>
    <x v="1"/>
    <s v="Electra Townie Original 21D - 2016"/>
    <x v="2"/>
  </r>
  <r>
    <n v="159"/>
    <n v="1"/>
    <n v="13"/>
    <x v="0"/>
    <n v="269.99"/>
    <x v="0"/>
    <x v="14"/>
    <x v="1"/>
    <s v="Electra Cruiser 1 (24-Inch) - 2016"/>
    <x v="0"/>
  </r>
  <r>
    <n v="160"/>
    <n v="1"/>
    <n v="21"/>
    <x v="0"/>
    <n v="269.99"/>
    <x v="1"/>
    <x v="14"/>
    <x v="1"/>
    <s v="Electra Cruiser 1 (24-Inch) - 2016"/>
    <x v="1"/>
  </r>
  <r>
    <n v="160"/>
    <n v="2"/>
    <n v="15"/>
    <x v="1"/>
    <n v="529.99"/>
    <x v="1"/>
    <x v="29"/>
    <x v="1"/>
    <s v="Electra Moto 1 - 2016"/>
    <x v="1"/>
  </r>
  <r>
    <n v="160"/>
    <n v="3"/>
    <n v="18"/>
    <x v="1"/>
    <n v="449"/>
    <x v="3"/>
    <x v="21"/>
    <x v="1"/>
    <s v="Pure Cycles Western 3-Speed - Women's - 2015/2016"/>
    <x v="1"/>
  </r>
  <r>
    <n v="160"/>
    <n v="4"/>
    <n v="11"/>
    <x v="0"/>
    <n v="1680.99"/>
    <x v="2"/>
    <x v="19"/>
    <x v="1"/>
    <s v="Surly Straggler 650b - 2016"/>
    <x v="1"/>
  </r>
  <r>
    <n v="161"/>
    <n v="1"/>
    <n v="24"/>
    <x v="1"/>
    <n v="549.99"/>
    <x v="1"/>
    <x v="9"/>
    <x v="1"/>
    <s v="Electra Townie Original 21D - 2016"/>
    <x v="1"/>
  </r>
  <r>
    <n v="161"/>
    <n v="2"/>
    <n v="22"/>
    <x v="0"/>
    <n v="269.99"/>
    <x v="2"/>
    <x v="14"/>
    <x v="1"/>
    <s v="Electra Girl's Hawaii 1 (16-inch) - 2015/2016"/>
    <x v="1"/>
  </r>
  <r>
    <n v="161"/>
    <n v="3"/>
    <n v="7"/>
    <x v="1"/>
    <n v="3999.99"/>
    <x v="2"/>
    <x v="15"/>
    <x v="1"/>
    <s v="Trek Slash 8 27.5 - 2016"/>
    <x v="1"/>
  </r>
  <r>
    <n v="162"/>
    <n v="1"/>
    <n v="18"/>
    <x v="0"/>
    <n v="449"/>
    <x v="1"/>
    <x v="8"/>
    <x v="1"/>
    <s v="Pure Cycles Western 3-Speed - Women's - 2015/2016"/>
    <x v="0"/>
  </r>
  <r>
    <n v="162"/>
    <n v="2"/>
    <n v="21"/>
    <x v="1"/>
    <n v="269.99"/>
    <x v="1"/>
    <x v="17"/>
    <x v="1"/>
    <s v="Electra Cruiser 1 (24-Inch) - 2016"/>
    <x v="0"/>
  </r>
  <r>
    <n v="162"/>
    <n v="3"/>
    <n v="3"/>
    <x v="1"/>
    <n v="999.99"/>
    <x v="3"/>
    <x v="10"/>
    <x v="1"/>
    <s v="Surly Wednesday Frameset - 2016"/>
    <x v="0"/>
  </r>
  <r>
    <n v="163"/>
    <n v="1"/>
    <n v="12"/>
    <x v="0"/>
    <n v="549.99"/>
    <x v="3"/>
    <x v="31"/>
    <x v="1"/>
    <s v="Electra Townie Original 21D - 2016"/>
    <x v="1"/>
  </r>
  <r>
    <n v="163"/>
    <n v="2"/>
    <n v="18"/>
    <x v="0"/>
    <n v="449"/>
    <x v="0"/>
    <x v="8"/>
    <x v="1"/>
    <s v="Pure Cycles Western 3-Speed - Women's - 2015/2016"/>
    <x v="1"/>
  </r>
  <r>
    <n v="164"/>
    <n v="1"/>
    <n v="4"/>
    <x v="1"/>
    <n v="2899.99"/>
    <x v="2"/>
    <x v="18"/>
    <x v="1"/>
    <s v="Trek Fuel EX 8 29 - 2016"/>
    <x v="1"/>
  </r>
  <r>
    <n v="164"/>
    <n v="2"/>
    <n v="10"/>
    <x v="1"/>
    <n v="1549"/>
    <x v="2"/>
    <x v="2"/>
    <x v="1"/>
    <s v="Surly Straggler - 2016"/>
    <x v="1"/>
  </r>
  <r>
    <n v="164"/>
    <n v="3"/>
    <n v="14"/>
    <x v="0"/>
    <n v="269.99"/>
    <x v="3"/>
    <x v="14"/>
    <x v="1"/>
    <s v="Electra Girl's Hawaii 1 (16-inch) - 2015/2016"/>
    <x v="1"/>
  </r>
  <r>
    <n v="165"/>
    <n v="1"/>
    <n v="4"/>
    <x v="1"/>
    <n v="2899.99"/>
    <x v="2"/>
    <x v="18"/>
    <x v="1"/>
    <s v="Trek Fuel EX 8 29 - 2016"/>
    <x v="0"/>
  </r>
  <r>
    <n v="165"/>
    <n v="2"/>
    <n v="23"/>
    <x v="0"/>
    <n v="299.99"/>
    <x v="0"/>
    <x v="23"/>
    <x v="1"/>
    <s v="Electra Girl's Hawaii 1 (20-inch) - 2015/2016"/>
    <x v="0"/>
  </r>
  <r>
    <n v="165"/>
    <n v="3"/>
    <n v="2"/>
    <x v="0"/>
    <n v="749.99"/>
    <x v="2"/>
    <x v="30"/>
    <x v="1"/>
    <s v="Ritchey Timberwolf Frameset - 2016"/>
    <x v="0"/>
  </r>
  <r>
    <n v="166"/>
    <n v="1"/>
    <n v="10"/>
    <x v="1"/>
    <n v="1549"/>
    <x v="3"/>
    <x v="2"/>
    <x v="1"/>
    <s v="Surly Straggler - 2016"/>
    <x v="1"/>
  </r>
  <r>
    <n v="166"/>
    <n v="2"/>
    <n v="11"/>
    <x v="0"/>
    <n v="1680.99"/>
    <x v="0"/>
    <x v="19"/>
    <x v="1"/>
    <s v="Surly Straggler 650b - 2016"/>
    <x v="1"/>
  </r>
  <r>
    <n v="167"/>
    <n v="1"/>
    <n v="12"/>
    <x v="0"/>
    <n v="549.99"/>
    <x v="2"/>
    <x v="31"/>
    <x v="1"/>
    <s v="Electra Townie Original 21D - 2016"/>
    <x v="1"/>
  </r>
  <r>
    <n v="167"/>
    <n v="2"/>
    <n v="10"/>
    <x v="0"/>
    <n v="1549"/>
    <x v="0"/>
    <x v="27"/>
    <x v="1"/>
    <s v="Surly Straggler - 2016"/>
    <x v="1"/>
  </r>
  <r>
    <n v="167"/>
    <n v="3"/>
    <n v="13"/>
    <x v="1"/>
    <n v="269.99"/>
    <x v="2"/>
    <x v="17"/>
    <x v="1"/>
    <s v="Electra Cruiser 1 (24-Inch) - 2016"/>
    <x v="1"/>
  </r>
  <r>
    <n v="167"/>
    <n v="4"/>
    <n v="7"/>
    <x v="1"/>
    <n v="3999.99"/>
    <x v="2"/>
    <x v="15"/>
    <x v="1"/>
    <s v="Trek Slash 8 27.5 - 2016"/>
    <x v="1"/>
  </r>
  <r>
    <n v="168"/>
    <n v="1"/>
    <n v="6"/>
    <x v="0"/>
    <n v="469.99"/>
    <x v="3"/>
    <x v="20"/>
    <x v="1"/>
    <s v="Surly Ice Cream Truck Frameset - 2016"/>
    <x v="0"/>
  </r>
  <r>
    <n v="168"/>
    <n v="2"/>
    <n v="11"/>
    <x v="1"/>
    <n v="1680.99"/>
    <x v="1"/>
    <x v="32"/>
    <x v="1"/>
    <s v="Surly Straggler 650b - 2016"/>
    <x v="0"/>
  </r>
  <r>
    <n v="168"/>
    <n v="3"/>
    <n v="12"/>
    <x v="1"/>
    <n v="549.99"/>
    <x v="1"/>
    <x v="9"/>
    <x v="1"/>
    <s v="Electra Townie Original 21D - 2016"/>
    <x v="0"/>
  </r>
  <r>
    <n v="168"/>
    <n v="4"/>
    <n v="22"/>
    <x v="1"/>
    <n v="269.99"/>
    <x v="0"/>
    <x v="17"/>
    <x v="1"/>
    <s v="Electra Girl's Hawaii 1 (16-inch) - 2015/2016"/>
    <x v="0"/>
  </r>
  <r>
    <n v="169"/>
    <n v="1"/>
    <n v="20"/>
    <x v="1"/>
    <n v="599.99"/>
    <x v="3"/>
    <x v="3"/>
    <x v="1"/>
    <s v="Electra Townie Original 7D EQ - Women's - 2016"/>
    <x v="1"/>
  </r>
  <r>
    <n v="169"/>
    <n v="2"/>
    <n v="5"/>
    <x v="0"/>
    <n v="1320.99"/>
    <x v="2"/>
    <x v="24"/>
    <x v="1"/>
    <s v="Heller Shagamaw Frame - 2016"/>
    <x v="1"/>
  </r>
  <r>
    <n v="169"/>
    <n v="3"/>
    <n v="10"/>
    <x v="0"/>
    <n v="1549"/>
    <x v="0"/>
    <x v="27"/>
    <x v="1"/>
    <s v="Surly Straggler - 2016"/>
    <x v="1"/>
  </r>
  <r>
    <n v="169"/>
    <n v="4"/>
    <n v="11"/>
    <x v="0"/>
    <n v="1680.99"/>
    <x v="0"/>
    <x v="19"/>
    <x v="1"/>
    <s v="Surly Straggler 650b - 2016"/>
    <x v="1"/>
  </r>
  <r>
    <n v="169"/>
    <n v="5"/>
    <n v="14"/>
    <x v="1"/>
    <n v="269.99"/>
    <x v="2"/>
    <x v="17"/>
    <x v="1"/>
    <s v="Electra Girl's Hawaii 1 (16-inch) - 2015/2016"/>
    <x v="1"/>
  </r>
  <r>
    <n v="170"/>
    <n v="1"/>
    <n v="12"/>
    <x v="1"/>
    <n v="549.99"/>
    <x v="3"/>
    <x v="9"/>
    <x v="1"/>
    <s v="Electra Townie Original 21D - 2016"/>
    <x v="1"/>
  </r>
  <r>
    <n v="170"/>
    <n v="2"/>
    <n v="24"/>
    <x v="0"/>
    <n v="549.99"/>
    <x v="2"/>
    <x v="31"/>
    <x v="1"/>
    <s v="Electra Townie Original 21D - 2016"/>
    <x v="1"/>
  </r>
  <r>
    <n v="170"/>
    <n v="3"/>
    <n v="7"/>
    <x v="0"/>
    <n v="3999.99"/>
    <x v="0"/>
    <x v="25"/>
    <x v="1"/>
    <s v="Trek Slash 8 27.5 - 2016"/>
    <x v="1"/>
  </r>
  <r>
    <n v="170"/>
    <n v="4"/>
    <n v="18"/>
    <x v="1"/>
    <n v="449"/>
    <x v="2"/>
    <x v="21"/>
    <x v="1"/>
    <s v="Pure Cycles Western 3-Speed - Women's - 2015/2016"/>
    <x v="1"/>
  </r>
  <r>
    <n v="171"/>
    <n v="1"/>
    <n v="8"/>
    <x v="0"/>
    <n v="1799.99"/>
    <x v="2"/>
    <x v="16"/>
    <x v="1"/>
    <s v="Trek Remedy 29 Carbon Frameset - 2016"/>
    <x v="0"/>
  </r>
  <r>
    <n v="172"/>
    <n v="1"/>
    <n v="23"/>
    <x v="0"/>
    <n v="299.99"/>
    <x v="1"/>
    <x v="23"/>
    <x v="1"/>
    <s v="Electra Girl's Hawaii 1 (20-inch) - 2015/2016"/>
    <x v="1"/>
  </r>
  <r>
    <n v="172"/>
    <n v="2"/>
    <n v="16"/>
    <x v="0"/>
    <n v="599.99"/>
    <x v="0"/>
    <x v="0"/>
    <x v="1"/>
    <s v="Electra Townie Original 7D EQ - 2016"/>
    <x v="1"/>
  </r>
  <r>
    <n v="173"/>
    <n v="1"/>
    <n v="14"/>
    <x v="0"/>
    <n v="269.99"/>
    <x v="2"/>
    <x v="14"/>
    <x v="1"/>
    <s v="Electra Girl's Hawaii 1 (16-inch) - 2015/2016"/>
    <x v="2"/>
  </r>
  <r>
    <n v="173"/>
    <n v="2"/>
    <n v="16"/>
    <x v="0"/>
    <n v="599.99"/>
    <x v="0"/>
    <x v="0"/>
    <x v="1"/>
    <s v="Electra Townie Original 7D EQ - 2016"/>
    <x v="2"/>
  </r>
  <r>
    <n v="173"/>
    <n v="3"/>
    <n v="20"/>
    <x v="1"/>
    <n v="599.99"/>
    <x v="2"/>
    <x v="3"/>
    <x v="1"/>
    <s v="Electra Townie Original 7D EQ - Women's - 2016"/>
    <x v="2"/>
  </r>
  <r>
    <n v="174"/>
    <n v="1"/>
    <n v="22"/>
    <x v="1"/>
    <n v="269.99"/>
    <x v="0"/>
    <x v="17"/>
    <x v="1"/>
    <s v="Electra Girl's Hawaii 1 (16-inch) - 2015/2016"/>
    <x v="1"/>
  </r>
  <r>
    <n v="174"/>
    <n v="2"/>
    <n v="19"/>
    <x v="1"/>
    <n v="449"/>
    <x v="3"/>
    <x v="21"/>
    <x v="1"/>
    <s v="Pure Cycles William 3-Speed - 2016"/>
    <x v="1"/>
  </r>
  <r>
    <n v="175"/>
    <n v="1"/>
    <n v="5"/>
    <x v="0"/>
    <n v="1320.99"/>
    <x v="3"/>
    <x v="24"/>
    <x v="1"/>
    <s v="Heller Shagamaw Frame - 2016"/>
    <x v="1"/>
  </r>
  <r>
    <n v="175"/>
    <n v="2"/>
    <n v="2"/>
    <x v="1"/>
    <n v="749.99"/>
    <x v="0"/>
    <x v="6"/>
    <x v="1"/>
    <s v="Ritchey Timberwolf Frameset - 2016"/>
    <x v="1"/>
  </r>
  <r>
    <n v="175"/>
    <n v="3"/>
    <n v="21"/>
    <x v="1"/>
    <n v="269.99"/>
    <x v="3"/>
    <x v="17"/>
    <x v="1"/>
    <s v="Electra Cruiser 1 (24-Inch) - 2016"/>
    <x v="1"/>
  </r>
  <r>
    <n v="175"/>
    <n v="4"/>
    <n v="19"/>
    <x v="0"/>
    <n v="449"/>
    <x v="1"/>
    <x v="8"/>
    <x v="1"/>
    <s v="Pure Cycles William 3-Speed - 2016"/>
    <x v="1"/>
  </r>
  <r>
    <n v="176"/>
    <n v="1"/>
    <n v="2"/>
    <x v="1"/>
    <n v="749.99"/>
    <x v="1"/>
    <x v="6"/>
    <x v="1"/>
    <s v="Ritchey Timberwolf Frameset - 2016"/>
    <x v="1"/>
  </r>
  <r>
    <n v="176"/>
    <n v="2"/>
    <n v="11"/>
    <x v="1"/>
    <n v="1680.99"/>
    <x v="0"/>
    <x v="32"/>
    <x v="1"/>
    <s v="Surly Straggler 650b - 2016"/>
    <x v="1"/>
  </r>
  <r>
    <n v="176"/>
    <n v="3"/>
    <n v="16"/>
    <x v="1"/>
    <n v="599.99"/>
    <x v="2"/>
    <x v="3"/>
    <x v="1"/>
    <s v="Electra Townie Original 7D EQ - 2016"/>
    <x v="1"/>
  </r>
  <r>
    <n v="177"/>
    <n v="1"/>
    <n v="20"/>
    <x v="1"/>
    <n v="599.99"/>
    <x v="3"/>
    <x v="3"/>
    <x v="1"/>
    <s v="Electra Townie Original 7D EQ - Women's - 2016"/>
    <x v="0"/>
  </r>
  <r>
    <n v="178"/>
    <n v="1"/>
    <n v="10"/>
    <x v="1"/>
    <n v="1549"/>
    <x v="0"/>
    <x v="2"/>
    <x v="1"/>
    <s v="Surly Straggler - 2016"/>
    <x v="1"/>
  </r>
  <r>
    <n v="178"/>
    <n v="2"/>
    <n v="12"/>
    <x v="0"/>
    <n v="549.99"/>
    <x v="2"/>
    <x v="31"/>
    <x v="1"/>
    <s v="Electra Townie Original 21D - 2016"/>
    <x v="1"/>
  </r>
  <r>
    <n v="178"/>
    <n v="3"/>
    <n v="3"/>
    <x v="0"/>
    <n v="999.99"/>
    <x v="3"/>
    <x v="5"/>
    <x v="1"/>
    <s v="Surly Wednesday Frameset - 2016"/>
    <x v="1"/>
  </r>
  <r>
    <n v="178"/>
    <n v="4"/>
    <n v="18"/>
    <x v="0"/>
    <n v="449"/>
    <x v="1"/>
    <x v="8"/>
    <x v="1"/>
    <s v="Pure Cycles Western 3-Speed - Women's - 2015/2016"/>
    <x v="1"/>
  </r>
  <r>
    <n v="179"/>
    <n v="1"/>
    <n v="13"/>
    <x v="1"/>
    <n v="269.99"/>
    <x v="2"/>
    <x v="17"/>
    <x v="1"/>
    <s v="Electra Cruiser 1 (24-Inch) - 2016"/>
    <x v="1"/>
  </r>
  <r>
    <n v="179"/>
    <n v="2"/>
    <n v="26"/>
    <x v="0"/>
    <n v="599.99"/>
    <x v="3"/>
    <x v="0"/>
    <x v="1"/>
    <s v="Electra Townie Original 7D EQ - 2016"/>
    <x v="1"/>
  </r>
  <r>
    <n v="179"/>
    <n v="3"/>
    <n v="18"/>
    <x v="0"/>
    <n v="449"/>
    <x v="0"/>
    <x v="8"/>
    <x v="1"/>
    <s v="Pure Cycles Western 3-Speed - Women's - 2015/2016"/>
    <x v="1"/>
  </r>
  <r>
    <n v="179"/>
    <n v="4"/>
    <n v="12"/>
    <x v="1"/>
    <n v="549.99"/>
    <x v="0"/>
    <x v="9"/>
    <x v="1"/>
    <s v="Electra Townie Original 21D - 2016"/>
    <x v="1"/>
  </r>
  <r>
    <n v="179"/>
    <n v="5"/>
    <n v="20"/>
    <x v="1"/>
    <n v="599.99"/>
    <x v="3"/>
    <x v="3"/>
    <x v="1"/>
    <s v="Electra Townie Original 7D EQ - Women's - 2016"/>
    <x v="1"/>
  </r>
  <r>
    <n v="180"/>
    <n v="1"/>
    <n v="16"/>
    <x v="0"/>
    <n v="599.99"/>
    <x v="1"/>
    <x v="0"/>
    <x v="1"/>
    <s v="Electra Townie Original 7D EQ - 2016"/>
    <x v="1"/>
  </r>
  <r>
    <n v="181"/>
    <n v="1"/>
    <n v="10"/>
    <x v="0"/>
    <n v="1549"/>
    <x v="2"/>
    <x v="27"/>
    <x v="1"/>
    <s v="Surly Straggler - 2016"/>
    <x v="0"/>
  </r>
  <r>
    <n v="181"/>
    <n v="2"/>
    <n v="11"/>
    <x v="0"/>
    <n v="1680.99"/>
    <x v="3"/>
    <x v="19"/>
    <x v="1"/>
    <s v="Surly Straggler 650b - 2016"/>
    <x v="0"/>
  </r>
  <r>
    <n v="181"/>
    <n v="3"/>
    <n v="15"/>
    <x v="1"/>
    <n v="529.99"/>
    <x v="0"/>
    <x v="29"/>
    <x v="1"/>
    <s v="Electra Moto 1 - 2016"/>
    <x v="0"/>
  </r>
  <r>
    <n v="181"/>
    <n v="4"/>
    <n v="24"/>
    <x v="1"/>
    <n v="549.99"/>
    <x v="2"/>
    <x v="9"/>
    <x v="1"/>
    <s v="Electra Townie Original 21D - 2016"/>
    <x v="0"/>
  </r>
  <r>
    <n v="182"/>
    <n v="1"/>
    <n v="25"/>
    <x v="1"/>
    <n v="499.99"/>
    <x v="2"/>
    <x v="26"/>
    <x v="1"/>
    <s v="Electra Townie Original 7D - 2015/2016"/>
    <x v="1"/>
  </r>
  <r>
    <n v="182"/>
    <n v="2"/>
    <n v="24"/>
    <x v="1"/>
    <n v="549.99"/>
    <x v="1"/>
    <x v="9"/>
    <x v="1"/>
    <s v="Electra Townie Original 21D - 2016"/>
    <x v="1"/>
  </r>
  <r>
    <n v="183"/>
    <n v="1"/>
    <n v="11"/>
    <x v="1"/>
    <n v="1680.99"/>
    <x v="0"/>
    <x v="32"/>
    <x v="1"/>
    <s v="Surly Straggler 650b - 2016"/>
    <x v="1"/>
  </r>
  <r>
    <n v="183"/>
    <n v="2"/>
    <n v="12"/>
    <x v="1"/>
    <n v="549.99"/>
    <x v="2"/>
    <x v="9"/>
    <x v="1"/>
    <s v="Electra Townie Original 21D - 2016"/>
    <x v="1"/>
  </r>
  <r>
    <n v="183"/>
    <n v="3"/>
    <n v="19"/>
    <x v="0"/>
    <n v="449"/>
    <x v="1"/>
    <x v="8"/>
    <x v="1"/>
    <s v="Pure Cycles William 3-Speed - 2016"/>
    <x v="1"/>
  </r>
  <r>
    <n v="183"/>
    <n v="4"/>
    <n v="17"/>
    <x v="0"/>
    <n v="429"/>
    <x v="1"/>
    <x v="7"/>
    <x v="1"/>
    <s v="Pure Cycles Vine 8-Speed - 2016"/>
    <x v="1"/>
  </r>
  <r>
    <n v="184"/>
    <n v="1"/>
    <n v="4"/>
    <x v="0"/>
    <n v="2899.99"/>
    <x v="0"/>
    <x v="4"/>
    <x v="1"/>
    <s v="Trek Fuel EX 8 29 - 2016"/>
    <x v="1"/>
  </r>
  <r>
    <n v="184"/>
    <n v="2"/>
    <n v="5"/>
    <x v="0"/>
    <n v="1320.99"/>
    <x v="3"/>
    <x v="24"/>
    <x v="1"/>
    <s v="Heller Shagamaw Frame - 2016"/>
    <x v="1"/>
  </r>
  <r>
    <n v="184"/>
    <n v="3"/>
    <n v="14"/>
    <x v="0"/>
    <n v="269.99"/>
    <x v="3"/>
    <x v="14"/>
    <x v="1"/>
    <s v="Electra Girl's Hawaii 1 (16-inch) - 2015/2016"/>
    <x v="1"/>
  </r>
  <r>
    <n v="185"/>
    <n v="1"/>
    <n v="20"/>
    <x v="0"/>
    <n v="599.99"/>
    <x v="3"/>
    <x v="0"/>
    <x v="1"/>
    <s v="Electra Townie Original 7D EQ - Women's - 2016"/>
    <x v="0"/>
  </r>
  <r>
    <n v="185"/>
    <n v="2"/>
    <n v="8"/>
    <x v="0"/>
    <n v="1799.99"/>
    <x v="2"/>
    <x v="16"/>
    <x v="1"/>
    <s v="Trek Remedy 29 Carbon Frameset - 2016"/>
    <x v="0"/>
  </r>
  <r>
    <n v="186"/>
    <n v="1"/>
    <n v="4"/>
    <x v="0"/>
    <n v="2899.99"/>
    <x v="3"/>
    <x v="4"/>
    <x v="1"/>
    <s v="Trek Fuel EX 8 29 - 2016"/>
    <x v="1"/>
  </r>
  <r>
    <n v="186"/>
    <n v="2"/>
    <n v="6"/>
    <x v="0"/>
    <n v="469.99"/>
    <x v="3"/>
    <x v="20"/>
    <x v="1"/>
    <s v="Surly Ice Cream Truck Frameset - 2016"/>
    <x v="1"/>
  </r>
  <r>
    <n v="187"/>
    <n v="1"/>
    <n v="5"/>
    <x v="0"/>
    <n v="1320.99"/>
    <x v="2"/>
    <x v="24"/>
    <x v="1"/>
    <s v="Heller Shagamaw Frame - 2016"/>
    <x v="1"/>
  </r>
  <r>
    <n v="188"/>
    <n v="1"/>
    <n v="7"/>
    <x v="1"/>
    <n v="3999.99"/>
    <x v="1"/>
    <x v="15"/>
    <x v="1"/>
    <s v="Trek Slash 8 27.5 - 2016"/>
    <x v="1"/>
  </r>
  <r>
    <n v="189"/>
    <n v="1"/>
    <n v="16"/>
    <x v="1"/>
    <n v="599.99"/>
    <x v="0"/>
    <x v="3"/>
    <x v="1"/>
    <s v="Electra Townie Original 7D EQ - 2016"/>
    <x v="0"/>
  </r>
  <r>
    <n v="190"/>
    <n v="1"/>
    <n v="24"/>
    <x v="0"/>
    <n v="549.99"/>
    <x v="2"/>
    <x v="31"/>
    <x v="1"/>
    <s v="Electra Townie Original 21D - 2016"/>
    <x v="1"/>
  </r>
  <r>
    <n v="190"/>
    <n v="2"/>
    <n v="15"/>
    <x v="0"/>
    <n v="529.99"/>
    <x v="0"/>
    <x v="12"/>
    <x v="1"/>
    <s v="Electra Moto 1 - 2016"/>
    <x v="1"/>
  </r>
  <r>
    <n v="190"/>
    <n v="3"/>
    <n v="3"/>
    <x v="1"/>
    <n v="999.99"/>
    <x v="0"/>
    <x v="10"/>
    <x v="1"/>
    <s v="Surly Wednesday Frameset - 2016"/>
    <x v="1"/>
  </r>
  <r>
    <n v="191"/>
    <n v="1"/>
    <n v="25"/>
    <x v="0"/>
    <n v="499.99"/>
    <x v="2"/>
    <x v="33"/>
    <x v="1"/>
    <s v="Electra Townie Original 7D - 2015/2016"/>
    <x v="0"/>
  </r>
  <r>
    <n v="191"/>
    <n v="2"/>
    <n v="12"/>
    <x v="1"/>
    <n v="549.99"/>
    <x v="0"/>
    <x v="9"/>
    <x v="1"/>
    <s v="Electra Townie Original 21D - 2016"/>
    <x v="0"/>
  </r>
  <r>
    <n v="191"/>
    <n v="3"/>
    <n v="3"/>
    <x v="0"/>
    <n v="999.99"/>
    <x v="1"/>
    <x v="5"/>
    <x v="1"/>
    <s v="Surly Wednesday Frameset - 2016"/>
    <x v="0"/>
  </r>
  <r>
    <n v="191"/>
    <n v="4"/>
    <n v="8"/>
    <x v="1"/>
    <n v="1799.99"/>
    <x v="2"/>
    <x v="1"/>
    <x v="1"/>
    <s v="Trek Remedy 29 Carbon Frameset - 2016"/>
    <x v="0"/>
  </r>
  <r>
    <n v="191"/>
    <n v="5"/>
    <n v="23"/>
    <x v="0"/>
    <n v="299.99"/>
    <x v="2"/>
    <x v="23"/>
    <x v="1"/>
    <s v="Electra Girl's Hawaii 1 (20-inch) - 2015/2016"/>
    <x v="0"/>
  </r>
  <r>
    <n v="192"/>
    <n v="1"/>
    <n v="8"/>
    <x v="1"/>
    <n v="1799.99"/>
    <x v="3"/>
    <x v="1"/>
    <x v="1"/>
    <s v="Trek Remedy 29 Carbon Frameset - 2016"/>
    <x v="1"/>
  </r>
  <r>
    <n v="192"/>
    <n v="2"/>
    <n v="25"/>
    <x v="0"/>
    <n v="499.99"/>
    <x v="1"/>
    <x v="33"/>
    <x v="1"/>
    <s v="Electra Townie Original 7D - 2015/2016"/>
    <x v="1"/>
  </r>
  <r>
    <n v="192"/>
    <n v="3"/>
    <n v="2"/>
    <x v="0"/>
    <n v="749.99"/>
    <x v="2"/>
    <x v="30"/>
    <x v="1"/>
    <s v="Ritchey Timberwolf Frameset - 2016"/>
    <x v="1"/>
  </r>
  <r>
    <n v="192"/>
    <n v="4"/>
    <n v="24"/>
    <x v="1"/>
    <n v="549.99"/>
    <x v="1"/>
    <x v="9"/>
    <x v="1"/>
    <s v="Electra Townie Original 21D - 2016"/>
    <x v="1"/>
  </r>
  <r>
    <n v="192"/>
    <n v="5"/>
    <n v="10"/>
    <x v="1"/>
    <n v="1549"/>
    <x v="0"/>
    <x v="2"/>
    <x v="1"/>
    <s v="Surly Straggler - 2016"/>
    <x v="1"/>
  </r>
  <r>
    <n v="193"/>
    <n v="1"/>
    <n v="12"/>
    <x v="1"/>
    <n v="549.99"/>
    <x v="3"/>
    <x v="9"/>
    <x v="1"/>
    <s v="Electra Townie Original 21D - 2016"/>
    <x v="0"/>
  </r>
  <r>
    <n v="194"/>
    <n v="1"/>
    <n v="21"/>
    <x v="1"/>
    <n v="269.99"/>
    <x v="0"/>
    <x v="17"/>
    <x v="1"/>
    <s v="Electra Cruiser 1 (24-Inch) - 2016"/>
    <x v="1"/>
  </r>
  <r>
    <n v="195"/>
    <n v="1"/>
    <n v="18"/>
    <x v="0"/>
    <n v="449"/>
    <x v="0"/>
    <x v="8"/>
    <x v="1"/>
    <s v="Pure Cycles Western 3-Speed - Women's - 2015/2016"/>
    <x v="1"/>
  </r>
  <r>
    <n v="195"/>
    <n v="2"/>
    <n v="14"/>
    <x v="0"/>
    <n v="269.99"/>
    <x v="2"/>
    <x v="14"/>
    <x v="1"/>
    <s v="Electra Girl's Hawaii 1 (16-inch) - 2015/2016"/>
    <x v="1"/>
  </r>
  <r>
    <n v="195"/>
    <n v="3"/>
    <n v="5"/>
    <x v="1"/>
    <n v="1320.99"/>
    <x v="0"/>
    <x v="34"/>
    <x v="1"/>
    <s v="Heller Shagamaw Frame - 2016"/>
    <x v="1"/>
  </r>
  <r>
    <n v="195"/>
    <n v="4"/>
    <n v="4"/>
    <x v="1"/>
    <n v="2899.99"/>
    <x v="0"/>
    <x v="18"/>
    <x v="1"/>
    <s v="Trek Fuel EX 8 29 - 2016"/>
    <x v="1"/>
  </r>
  <r>
    <n v="195"/>
    <n v="5"/>
    <n v="21"/>
    <x v="1"/>
    <n v="269.99"/>
    <x v="3"/>
    <x v="17"/>
    <x v="1"/>
    <s v="Electra Cruiser 1 (24-Inch) - 2016"/>
    <x v="1"/>
  </r>
  <r>
    <n v="196"/>
    <n v="1"/>
    <n v="6"/>
    <x v="0"/>
    <n v="469.99"/>
    <x v="2"/>
    <x v="20"/>
    <x v="1"/>
    <s v="Surly Ice Cream Truck Frameset - 2016"/>
    <x v="1"/>
  </r>
  <r>
    <n v="196"/>
    <n v="2"/>
    <n v="3"/>
    <x v="1"/>
    <n v="999.99"/>
    <x v="1"/>
    <x v="10"/>
    <x v="1"/>
    <s v="Surly Wednesday Frameset - 2016"/>
    <x v="1"/>
  </r>
  <r>
    <n v="196"/>
    <n v="3"/>
    <n v="10"/>
    <x v="1"/>
    <n v="1549"/>
    <x v="1"/>
    <x v="2"/>
    <x v="1"/>
    <s v="Surly Straggler - 2016"/>
    <x v="1"/>
  </r>
  <r>
    <n v="196"/>
    <n v="4"/>
    <n v="12"/>
    <x v="0"/>
    <n v="549.99"/>
    <x v="1"/>
    <x v="31"/>
    <x v="1"/>
    <s v="Electra Townie Original 21D - 2016"/>
    <x v="1"/>
  </r>
  <r>
    <n v="196"/>
    <n v="5"/>
    <n v="20"/>
    <x v="0"/>
    <n v="599.99"/>
    <x v="3"/>
    <x v="0"/>
    <x v="1"/>
    <s v="Electra Townie Original 7D EQ - Women's - 2016"/>
    <x v="1"/>
  </r>
  <r>
    <n v="197"/>
    <n v="1"/>
    <n v="4"/>
    <x v="1"/>
    <n v="2899.99"/>
    <x v="0"/>
    <x v="18"/>
    <x v="1"/>
    <s v="Trek Fuel EX 8 29 - 2016"/>
    <x v="1"/>
  </r>
  <r>
    <n v="197"/>
    <n v="2"/>
    <n v="2"/>
    <x v="1"/>
    <n v="749.99"/>
    <x v="1"/>
    <x v="6"/>
    <x v="1"/>
    <s v="Ritchey Timberwolf Frameset - 2016"/>
    <x v="1"/>
  </r>
  <r>
    <n v="198"/>
    <n v="1"/>
    <n v="6"/>
    <x v="1"/>
    <n v="469.99"/>
    <x v="2"/>
    <x v="35"/>
    <x v="1"/>
    <s v="Surly Ice Cream Truck Frameset - 2016"/>
    <x v="1"/>
  </r>
  <r>
    <n v="198"/>
    <n v="2"/>
    <n v="20"/>
    <x v="1"/>
    <n v="599.99"/>
    <x v="1"/>
    <x v="3"/>
    <x v="1"/>
    <s v="Electra Townie Original 7D EQ - Women's - 2016"/>
    <x v="1"/>
  </r>
  <r>
    <n v="198"/>
    <n v="3"/>
    <n v="8"/>
    <x v="1"/>
    <n v="1799.99"/>
    <x v="0"/>
    <x v="1"/>
    <x v="1"/>
    <s v="Trek Remedy 29 Carbon Frameset - 2016"/>
    <x v="1"/>
  </r>
  <r>
    <n v="198"/>
    <n v="4"/>
    <n v="13"/>
    <x v="1"/>
    <n v="269.99"/>
    <x v="2"/>
    <x v="17"/>
    <x v="1"/>
    <s v="Electra Cruiser 1 (24-Inch) - 2016"/>
    <x v="1"/>
  </r>
  <r>
    <n v="198"/>
    <n v="5"/>
    <n v="17"/>
    <x v="0"/>
    <n v="429"/>
    <x v="2"/>
    <x v="7"/>
    <x v="1"/>
    <s v="Pure Cycles Vine 8-Speed - 2016"/>
    <x v="1"/>
  </r>
  <r>
    <n v="199"/>
    <n v="1"/>
    <n v="25"/>
    <x v="1"/>
    <n v="499.99"/>
    <x v="2"/>
    <x v="26"/>
    <x v="1"/>
    <s v="Electra Townie Original 7D - 2015/2016"/>
    <x v="1"/>
  </r>
  <r>
    <n v="199"/>
    <n v="2"/>
    <n v="18"/>
    <x v="1"/>
    <n v="449"/>
    <x v="1"/>
    <x v="21"/>
    <x v="1"/>
    <s v="Pure Cycles Western 3-Speed - Women's - 2015/2016"/>
    <x v="1"/>
  </r>
  <r>
    <n v="199"/>
    <n v="3"/>
    <n v="4"/>
    <x v="0"/>
    <n v="2899.99"/>
    <x v="0"/>
    <x v="4"/>
    <x v="1"/>
    <s v="Trek Fuel EX 8 29 - 2016"/>
    <x v="1"/>
  </r>
  <r>
    <n v="200"/>
    <n v="1"/>
    <n v="23"/>
    <x v="1"/>
    <n v="299.99"/>
    <x v="2"/>
    <x v="22"/>
    <x v="1"/>
    <s v="Electra Girl's Hawaii 1 (20-inch) - 2015/2016"/>
    <x v="1"/>
  </r>
  <r>
    <n v="200"/>
    <n v="2"/>
    <n v="22"/>
    <x v="1"/>
    <n v="269.99"/>
    <x v="1"/>
    <x v="17"/>
    <x v="1"/>
    <s v="Electra Girl's Hawaii 1 (16-inch) - 2015/2016"/>
    <x v="1"/>
  </r>
  <r>
    <n v="201"/>
    <n v="1"/>
    <n v="24"/>
    <x v="0"/>
    <n v="549.99"/>
    <x v="2"/>
    <x v="31"/>
    <x v="1"/>
    <s v="Electra Townie Original 21D - 2016"/>
    <x v="2"/>
  </r>
  <r>
    <n v="201"/>
    <n v="2"/>
    <n v="7"/>
    <x v="0"/>
    <n v="3999.99"/>
    <x v="0"/>
    <x v="25"/>
    <x v="1"/>
    <s v="Trek Slash 8 27.5 - 2016"/>
    <x v="2"/>
  </r>
  <r>
    <n v="201"/>
    <n v="3"/>
    <n v="14"/>
    <x v="1"/>
    <n v="269.99"/>
    <x v="3"/>
    <x v="17"/>
    <x v="1"/>
    <s v="Electra Girl's Hawaii 1 (16-inch) - 2015/2016"/>
    <x v="2"/>
  </r>
  <r>
    <n v="201"/>
    <n v="4"/>
    <n v="17"/>
    <x v="0"/>
    <n v="429"/>
    <x v="2"/>
    <x v="7"/>
    <x v="1"/>
    <s v="Pure Cycles Vine 8-Speed - 2016"/>
    <x v="2"/>
  </r>
  <r>
    <n v="202"/>
    <n v="1"/>
    <n v="8"/>
    <x v="0"/>
    <n v="1799.99"/>
    <x v="1"/>
    <x v="16"/>
    <x v="1"/>
    <s v="Trek Remedy 29 Carbon Frameset - 2016"/>
    <x v="0"/>
  </r>
  <r>
    <n v="202"/>
    <n v="2"/>
    <n v="17"/>
    <x v="0"/>
    <n v="429"/>
    <x v="2"/>
    <x v="7"/>
    <x v="1"/>
    <s v="Pure Cycles Vine 8-Speed - 2016"/>
    <x v="0"/>
  </r>
  <r>
    <n v="202"/>
    <n v="3"/>
    <n v="15"/>
    <x v="1"/>
    <n v="529.99"/>
    <x v="2"/>
    <x v="29"/>
    <x v="1"/>
    <s v="Electra Moto 1 - 2016"/>
    <x v="0"/>
  </r>
  <r>
    <n v="202"/>
    <n v="4"/>
    <n v="25"/>
    <x v="1"/>
    <n v="499.99"/>
    <x v="2"/>
    <x v="26"/>
    <x v="1"/>
    <s v="Electra Townie Original 7D - 2015/2016"/>
    <x v="0"/>
  </r>
  <r>
    <n v="203"/>
    <n v="1"/>
    <n v="26"/>
    <x v="0"/>
    <n v="599.99"/>
    <x v="2"/>
    <x v="0"/>
    <x v="1"/>
    <s v="Electra Townie Original 7D EQ - 2016"/>
    <x v="2"/>
  </r>
  <r>
    <n v="203"/>
    <n v="2"/>
    <n v="3"/>
    <x v="1"/>
    <n v="999.99"/>
    <x v="3"/>
    <x v="10"/>
    <x v="1"/>
    <s v="Surly Wednesday Frameset - 2016"/>
    <x v="2"/>
  </r>
  <r>
    <n v="203"/>
    <n v="3"/>
    <n v="17"/>
    <x v="1"/>
    <n v="429"/>
    <x v="0"/>
    <x v="13"/>
    <x v="1"/>
    <s v="Pure Cycles Vine 8-Speed - 2016"/>
    <x v="2"/>
  </r>
  <r>
    <n v="203"/>
    <n v="4"/>
    <n v="19"/>
    <x v="1"/>
    <n v="449"/>
    <x v="1"/>
    <x v="21"/>
    <x v="1"/>
    <s v="Pure Cycles William 3-Speed - 2016"/>
    <x v="2"/>
  </r>
  <r>
    <n v="204"/>
    <n v="1"/>
    <n v="6"/>
    <x v="1"/>
    <n v="469.99"/>
    <x v="1"/>
    <x v="35"/>
    <x v="1"/>
    <s v="Surly Ice Cream Truck Frameset - 2016"/>
    <x v="1"/>
  </r>
  <r>
    <n v="204"/>
    <n v="2"/>
    <n v="17"/>
    <x v="1"/>
    <n v="429"/>
    <x v="3"/>
    <x v="13"/>
    <x v="1"/>
    <s v="Pure Cycles Vine 8-Speed - 2016"/>
    <x v="1"/>
  </r>
  <r>
    <n v="205"/>
    <n v="1"/>
    <n v="22"/>
    <x v="1"/>
    <n v="269.99"/>
    <x v="2"/>
    <x v="17"/>
    <x v="1"/>
    <s v="Electra Girl's Hawaii 1 (16-inch) - 2015/2016"/>
    <x v="1"/>
  </r>
  <r>
    <n v="205"/>
    <n v="2"/>
    <n v="24"/>
    <x v="1"/>
    <n v="549.99"/>
    <x v="3"/>
    <x v="9"/>
    <x v="1"/>
    <s v="Electra Townie Original 21D - 2016"/>
    <x v="1"/>
  </r>
  <r>
    <n v="206"/>
    <n v="1"/>
    <n v="25"/>
    <x v="0"/>
    <n v="499.99"/>
    <x v="2"/>
    <x v="33"/>
    <x v="1"/>
    <s v="Electra Townie Original 7D - 2015/2016"/>
    <x v="2"/>
  </r>
  <r>
    <n v="206"/>
    <n v="2"/>
    <n v="20"/>
    <x v="0"/>
    <n v="599.99"/>
    <x v="0"/>
    <x v="0"/>
    <x v="1"/>
    <s v="Electra Townie Original 7D EQ - Women's - 2016"/>
    <x v="2"/>
  </r>
  <r>
    <n v="207"/>
    <n v="1"/>
    <n v="12"/>
    <x v="1"/>
    <n v="549.99"/>
    <x v="0"/>
    <x v="9"/>
    <x v="1"/>
    <s v="Electra Townie Original 21D - 2016"/>
    <x v="1"/>
  </r>
  <r>
    <n v="207"/>
    <n v="2"/>
    <n v="5"/>
    <x v="0"/>
    <n v="1320.99"/>
    <x v="2"/>
    <x v="24"/>
    <x v="1"/>
    <s v="Heller Shagamaw Frame - 2016"/>
    <x v="1"/>
  </r>
  <r>
    <n v="207"/>
    <n v="3"/>
    <n v="11"/>
    <x v="1"/>
    <n v="1680.99"/>
    <x v="1"/>
    <x v="32"/>
    <x v="1"/>
    <s v="Surly Straggler 650b - 2016"/>
    <x v="1"/>
  </r>
  <r>
    <n v="207"/>
    <n v="4"/>
    <n v="7"/>
    <x v="1"/>
    <n v="3999.99"/>
    <x v="3"/>
    <x v="15"/>
    <x v="1"/>
    <s v="Trek Slash 8 27.5 - 2016"/>
    <x v="1"/>
  </r>
  <r>
    <n v="208"/>
    <n v="1"/>
    <n v="6"/>
    <x v="1"/>
    <n v="469.99"/>
    <x v="2"/>
    <x v="35"/>
    <x v="1"/>
    <s v="Surly Ice Cream Truck Frameset - 2016"/>
    <x v="1"/>
  </r>
  <r>
    <n v="208"/>
    <n v="2"/>
    <n v="4"/>
    <x v="1"/>
    <n v="2899.99"/>
    <x v="1"/>
    <x v="18"/>
    <x v="1"/>
    <s v="Trek Fuel EX 8 29 - 2016"/>
    <x v="1"/>
  </r>
  <r>
    <n v="208"/>
    <n v="3"/>
    <n v="3"/>
    <x v="0"/>
    <n v="999.99"/>
    <x v="2"/>
    <x v="5"/>
    <x v="1"/>
    <s v="Surly Wednesday Frameset - 2016"/>
    <x v="1"/>
  </r>
  <r>
    <n v="208"/>
    <n v="4"/>
    <n v="12"/>
    <x v="0"/>
    <n v="549.99"/>
    <x v="0"/>
    <x v="31"/>
    <x v="1"/>
    <s v="Electra Townie Original 21D - 2016"/>
    <x v="1"/>
  </r>
  <r>
    <n v="208"/>
    <n v="5"/>
    <n v="10"/>
    <x v="1"/>
    <n v="1549"/>
    <x v="2"/>
    <x v="2"/>
    <x v="1"/>
    <s v="Surly Straggler - 2016"/>
    <x v="1"/>
  </r>
  <r>
    <n v="209"/>
    <n v="1"/>
    <n v="13"/>
    <x v="0"/>
    <n v="269.99"/>
    <x v="3"/>
    <x v="14"/>
    <x v="1"/>
    <s v="Electra Cruiser 1 (24-Inch) - 2016"/>
    <x v="1"/>
  </r>
  <r>
    <n v="210"/>
    <n v="1"/>
    <n v="14"/>
    <x v="0"/>
    <n v="269.99"/>
    <x v="1"/>
    <x v="14"/>
    <x v="1"/>
    <s v="Electra Girl's Hawaii 1 (16-inch) - 2015/2016"/>
    <x v="1"/>
  </r>
  <r>
    <n v="210"/>
    <n v="2"/>
    <n v="13"/>
    <x v="1"/>
    <n v="269.99"/>
    <x v="0"/>
    <x v="17"/>
    <x v="1"/>
    <s v="Electra Cruiser 1 (24-Inch) - 2016"/>
    <x v="1"/>
  </r>
  <r>
    <n v="211"/>
    <n v="1"/>
    <n v="10"/>
    <x v="0"/>
    <n v="1549"/>
    <x v="1"/>
    <x v="27"/>
    <x v="1"/>
    <s v="Surly Straggler - 2016"/>
    <x v="1"/>
  </r>
  <r>
    <n v="211"/>
    <n v="2"/>
    <n v="2"/>
    <x v="1"/>
    <n v="749.99"/>
    <x v="1"/>
    <x v="6"/>
    <x v="1"/>
    <s v="Ritchey Timberwolf Frameset - 2016"/>
    <x v="1"/>
  </r>
  <r>
    <n v="212"/>
    <n v="1"/>
    <n v="16"/>
    <x v="1"/>
    <n v="599.99"/>
    <x v="1"/>
    <x v="3"/>
    <x v="1"/>
    <s v="Electra Townie Original 7D EQ - 2016"/>
    <x v="1"/>
  </r>
  <r>
    <n v="212"/>
    <n v="2"/>
    <n v="12"/>
    <x v="1"/>
    <n v="549.99"/>
    <x v="0"/>
    <x v="9"/>
    <x v="1"/>
    <s v="Electra Townie Original 21D - 2016"/>
    <x v="1"/>
  </r>
  <r>
    <n v="212"/>
    <n v="3"/>
    <n v="19"/>
    <x v="0"/>
    <n v="449"/>
    <x v="3"/>
    <x v="8"/>
    <x v="1"/>
    <s v="Pure Cycles William 3-Speed - 2016"/>
    <x v="1"/>
  </r>
  <r>
    <n v="212"/>
    <n v="4"/>
    <n v="7"/>
    <x v="0"/>
    <n v="3999.99"/>
    <x v="0"/>
    <x v="25"/>
    <x v="1"/>
    <s v="Trek Slash 8 27.5 - 2016"/>
    <x v="1"/>
  </r>
  <r>
    <n v="213"/>
    <n v="1"/>
    <n v="13"/>
    <x v="0"/>
    <n v="269.99"/>
    <x v="3"/>
    <x v="14"/>
    <x v="1"/>
    <s v="Electra Cruiser 1 (24-Inch) - 2016"/>
    <x v="2"/>
  </r>
  <r>
    <n v="214"/>
    <n v="1"/>
    <n v="21"/>
    <x v="0"/>
    <n v="269.99"/>
    <x v="3"/>
    <x v="14"/>
    <x v="1"/>
    <s v="Electra Cruiser 1 (24-Inch) - 2016"/>
    <x v="1"/>
  </r>
  <r>
    <n v="215"/>
    <n v="1"/>
    <n v="19"/>
    <x v="0"/>
    <n v="449"/>
    <x v="1"/>
    <x v="8"/>
    <x v="1"/>
    <s v="Pure Cycles William 3-Speed - 2016"/>
    <x v="1"/>
  </r>
  <r>
    <n v="215"/>
    <n v="2"/>
    <n v="12"/>
    <x v="1"/>
    <n v="549.99"/>
    <x v="3"/>
    <x v="9"/>
    <x v="1"/>
    <s v="Electra Townie Original 21D - 2016"/>
    <x v="1"/>
  </r>
  <r>
    <n v="216"/>
    <n v="1"/>
    <n v="22"/>
    <x v="1"/>
    <n v="269.99"/>
    <x v="3"/>
    <x v="17"/>
    <x v="1"/>
    <s v="Electra Girl's Hawaii 1 (16-inch) - 2015/2016"/>
    <x v="0"/>
  </r>
  <r>
    <n v="216"/>
    <n v="2"/>
    <n v="16"/>
    <x v="1"/>
    <n v="599.99"/>
    <x v="2"/>
    <x v="3"/>
    <x v="1"/>
    <s v="Electra Townie Original 7D EQ - 2016"/>
    <x v="0"/>
  </r>
  <r>
    <n v="217"/>
    <n v="1"/>
    <n v="18"/>
    <x v="0"/>
    <n v="449"/>
    <x v="3"/>
    <x v="8"/>
    <x v="1"/>
    <s v="Pure Cycles Western 3-Speed - Women's - 2015/2016"/>
    <x v="1"/>
  </r>
  <r>
    <n v="217"/>
    <n v="2"/>
    <n v="10"/>
    <x v="1"/>
    <n v="1549"/>
    <x v="3"/>
    <x v="2"/>
    <x v="1"/>
    <s v="Surly Straggler - 2016"/>
    <x v="1"/>
  </r>
  <r>
    <n v="217"/>
    <n v="3"/>
    <n v="17"/>
    <x v="0"/>
    <n v="429"/>
    <x v="1"/>
    <x v="7"/>
    <x v="1"/>
    <s v="Pure Cycles Vine 8-Speed - 2016"/>
    <x v="1"/>
  </r>
  <r>
    <n v="218"/>
    <n v="1"/>
    <n v="2"/>
    <x v="1"/>
    <n v="749.99"/>
    <x v="3"/>
    <x v="6"/>
    <x v="1"/>
    <s v="Ritchey Timberwolf Frameset - 2016"/>
    <x v="1"/>
  </r>
  <r>
    <n v="218"/>
    <n v="2"/>
    <n v="13"/>
    <x v="0"/>
    <n v="269.99"/>
    <x v="1"/>
    <x v="14"/>
    <x v="1"/>
    <s v="Electra Cruiser 1 (24-Inch) - 2016"/>
    <x v="1"/>
  </r>
  <r>
    <n v="218"/>
    <n v="3"/>
    <n v="12"/>
    <x v="0"/>
    <n v="549.99"/>
    <x v="2"/>
    <x v="31"/>
    <x v="1"/>
    <s v="Electra Townie Original 21D - 2016"/>
    <x v="1"/>
  </r>
  <r>
    <n v="219"/>
    <n v="1"/>
    <n v="26"/>
    <x v="0"/>
    <n v="599.99"/>
    <x v="2"/>
    <x v="0"/>
    <x v="1"/>
    <s v="Electra Townie Original 7D EQ - 2016"/>
    <x v="1"/>
  </r>
  <r>
    <n v="219"/>
    <n v="2"/>
    <n v="5"/>
    <x v="0"/>
    <n v="1320.99"/>
    <x v="0"/>
    <x v="24"/>
    <x v="1"/>
    <s v="Heller Shagamaw Frame - 2016"/>
    <x v="1"/>
  </r>
  <r>
    <n v="220"/>
    <n v="1"/>
    <n v="6"/>
    <x v="1"/>
    <n v="469.99"/>
    <x v="2"/>
    <x v="35"/>
    <x v="1"/>
    <s v="Surly Ice Cream Truck Frameset - 2016"/>
    <x v="1"/>
  </r>
  <r>
    <n v="220"/>
    <n v="2"/>
    <n v="25"/>
    <x v="0"/>
    <n v="499.99"/>
    <x v="1"/>
    <x v="33"/>
    <x v="1"/>
    <s v="Electra Townie Original 7D - 2015/2016"/>
    <x v="1"/>
  </r>
  <r>
    <n v="220"/>
    <n v="3"/>
    <n v="22"/>
    <x v="1"/>
    <n v="269.99"/>
    <x v="3"/>
    <x v="17"/>
    <x v="1"/>
    <s v="Electra Girl's Hawaii 1 (16-inch) - 2015/2016"/>
    <x v="1"/>
  </r>
  <r>
    <n v="220"/>
    <n v="4"/>
    <n v="3"/>
    <x v="1"/>
    <n v="999.99"/>
    <x v="0"/>
    <x v="10"/>
    <x v="1"/>
    <s v="Surly Wednesday Frameset - 2016"/>
    <x v="1"/>
  </r>
  <r>
    <n v="221"/>
    <n v="1"/>
    <n v="11"/>
    <x v="1"/>
    <n v="1680.99"/>
    <x v="1"/>
    <x v="32"/>
    <x v="1"/>
    <s v="Surly Straggler 650b - 2016"/>
    <x v="0"/>
  </r>
  <r>
    <n v="222"/>
    <n v="1"/>
    <n v="10"/>
    <x v="0"/>
    <n v="1549"/>
    <x v="3"/>
    <x v="27"/>
    <x v="1"/>
    <s v="Surly Straggler - 2016"/>
    <x v="1"/>
  </r>
  <r>
    <n v="222"/>
    <n v="2"/>
    <n v="2"/>
    <x v="1"/>
    <n v="749.99"/>
    <x v="3"/>
    <x v="6"/>
    <x v="1"/>
    <s v="Ritchey Timberwolf Frameset - 2016"/>
    <x v="1"/>
  </r>
  <r>
    <n v="223"/>
    <n v="1"/>
    <n v="7"/>
    <x v="1"/>
    <n v="3999.99"/>
    <x v="2"/>
    <x v="15"/>
    <x v="1"/>
    <s v="Trek Slash 8 27.5 - 2016"/>
    <x v="1"/>
  </r>
  <r>
    <n v="223"/>
    <n v="2"/>
    <n v="5"/>
    <x v="0"/>
    <n v="1320.99"/>
    <x v="0"/>
    <x v="24"/>
    <x v="1"/>
    <s v="Heller Shagamaw Frame - 2016"/>
    <x v="1"/>
  </r>
  <r>
    <n v="223"/>
    <n v="3"/>
    <n v="21"/>
    <x v="1"/>
    <n v="269.99"/>
    <x v="3"/>
    <x v="17"/>
    <x v="1"/>
    <s v="Electra Cruiser 1 (24-Inch) - 2016"/>
    <x v="1"/>
  </r>
  <r>
    <n v="223"/>
    <n v="4"/>
    <n v="20"/>
    <x v="0"/>
    <n v="599.99"/>
    <x v="2"/>
    <x v="0"/>
    <x v="1"/>
    <s v="Electra Townie Original 7D EQ - Women's - 2016"/>
    <x v="1"/>
  </r>
  <r>
    <n v="223"/>
    <n v="5"/>
    <n v="15"/>
    <x v="0"/>
    <n v="529.99"/>
    <x v="2"/>
    <x v="12"/>
    <x v="1"/>
    <s v="Electra Moto 1 - 2016"/>
    <x v="1"/>
  </r>
  <r>
    <n v="224"/>
    <n v="1"/>
    <n v="6"/>
    <x v="0"/>
    <n v="469.99"/>
    <x v="1"/>
    <x v="20"/>
    <x v="1"/>
    <s v="Surly Ice Cream Truck Frameset - 2016"/>
    <x v="0"/>
  </r>
  <r>
    <n v="224"/>
    <n v="2"/>
    <n v="11"/>
    <x v="1"/>
    <n v="1680.99"/>
    <x v="3"/>
    <x v="32"/>
    <x v="1"/>
    <s v="Surly Straggler 650b - 2016"/>
    <x v="0"/>
  </r>
  <r>
    <n v="224"/>
    <n v="3"/>
    <n v="10"/>
    <x v="1"/>
    <n v="1549"/>
    <x v="0"/>
    <x v="2"/>
    <x v="1"/>
    <s v="Surly Straggler - 2016"/>
    <x v="0"/>
  </r>
  <r>
    <n v="224"/>
    <n v="4"/>
    <n v="25"/>
    <x v="0"/>
    <n v="499.99"/>
    <x v="2"/>
    <x v="33"/>
    <x v="1"/>
    <s v="Electra Townie Original 7D - 2015/2016"/>
    <x v="0"/>
  </r>
  <r>
    <n v="225"/>
    <n v="1"/>
    <n v="21"/>
    <x v="0"/>
    <n v="269.99"/>
    <x v="3"/>
    <x v="14"/>
    <x v="1"/>
    <s v="Electra Cruiser 1 (24-Inch) - 2016"/>
    <x v="0"/>
  </r>
  <r>
    <n v="225"/>
    <n v="2"/>
    <n v="9"/>
    <x v="0"/>
    <n v="2999.99"/>
    <x v="3"/>
    <x v="28"/>
    <x v="1"/>
    <s v="Trek Conduit+ - 2016"/>
    <x v="0"/>
  </r>
  <r>
    <n v="226"/>
    <n v="1"/>
    <n v="2"/>
    <x v="0"/>
    <n v="749.99"/>
    <x v="2"/>
    <x v="30"/>
    <x v="1"/>
    <s v="Ritchey Timberwolf Frameset - 2016"/>
    <x v="0"/>
  </r>
  <r>
    <n v="227"/>
    <n v="1"/>
    <n v="3"/>
    <x v="1"/>
    <n v="999.99"/>
    <x v="2"/>
    <x v="10"/>
    <x v="1"/>
    <s v="Surly Wednesday Frameset - 2016"/>
    <x v="1"/>
  </r>
  <r>
    <n v="227"/>
    <n v="2"/>
    <n v="15"/>
    <x v="1"/>
    <n v="529.99"/>
    <x v="3"/>
    <x v="29"/>
    <x v="1"/>
    <s v="Electra Moto 1 - 2016"/>
    <x v="1"/>
  </r>
  <r>
    <n v="228"/>
    <n v="1"/>
    <n v="25"/>
    <x v="0"/>
    <n v="499.99"/>
    <x v="0"/>
    <x v="33"/>
    <x v="1"/>
    <s v="Electra Townie Original 7D - 2015/2016"/>
    <x v="1"/>
  </r>
  <r>
    <n v="228"/>
    <n v="2"/>
    <n v="2"/>
    <x v="1"/>
    <n v="749.99"/>
    <x v="1"/>
    <x v="6"/>
    <x v="1"/>
    <s v="Ritchey Timberwolf Frameset - 2016"/>
    <x v="1"/>
  </r>
  <r>
    <n v="228"/>
    <n v="3"/>
    <n v="23"/>
    <x v="1"/>
    <n v="299.99"/>
    <x v="3"/>
    <x v="22"/>
    <x v="1"/>
    <s v="Electra Girl's Hawaii 1 (20-inch) - 2015/2016"/>
    <x v="1"/>
  </r>
  <r>
    <n v="228"/>
    <n v="4"/>
    <n v="4"/>
    <x v="0"/>
    <n v="2899.99"/>
    <x v="0"/>
    <x v="4"/>
    <x v="1"/>
    <s v="Trek Fuel EX 8 29 - 2016"/>
    <x v="1"/>
  </r>
  <r>
    <n v="228"/>
    <n v="5"/>
    <n v="22"/>
    <x v="0"/>
    <n v="269.99"/>
    <x v="2"/>
    <x v="14"/>
    <x v="1"/>
    <s v="Electra Girl's Hawaii 1 (16-inch) - 2015/2016"/>
    <x v="1"/>
  </r>
  <r>
    <n v="229"/>
    <n v="1"/>
    <n v="25"/>
    <x v="1"/>
    <n v="499.99"/>
    <x v="0"/>
    <x v="26"/>
    <x v="1"/>
    <s v="Electra Townie Original 7D - 2015/2016"/>
    <x v="1"/>
  </r>
  <r>
    <n v="229"/>
    <n v="2"/>
    <n v="5"/>
    <x v="1"/>
    <n v="1320.99"/>
    <x v="3"/>
    <x v="34"/>
    <x v="1"/>
    <s v="Heller Shagamaw Frame - 2016"/>
    <x v="1"/>
  </r>
  <r>
    <n v="229"/>
    <n v="3"/>
    <n v="8"/>
    <x v="0"/>
    <n v="1799.99"/>
    <x v="0"/>
    <x v="16"/>
    <x v="1"/>
    <s v="Trek Remedy 29 Carbon Frameset - 2016"/>
    <x v="1"/>
  </r>
  <r>
    <n v="230"/>
    <n v="1"/>
    <n v="11"/>
    <x v="1"/>
    <n v="1680.99"/>
    <x v="1"/>
    <x v="32"/>
    <x v="1"/>
    <s v="Surly Straggler 650b - 2016"/>
    <x v="1"/>
  </r>
  <r>
    <n v="231"/>
    <n v="1"/>
    <n v="8"/>
    <x v="1"/>
    <n v="1799.99"/>
    <x v="1"/>
    <x v="1"/>
    <x v="1"/>
    <s v="Trek Remedy 29 Carbon Frameset - 2016"/>
    <x v="1"/>
  </r>
  <r>
    <n v="231"/>
    <n v="2"/>
    <n v="14"/>
    <x v="1"/>
    <n v="269.99"/>
    <x v="0"/>
    <x v="17"/>
    <x v="1"/>
    <s v="Electra Girl's Hawaii 1 (16-inch) - 2015/2016"/>
    <x v="1"/>
  </r>
  <r>
    <n v="231"/>
    <n v="3"/>
    <n v="5"/>
    <x v="1"/>
    <n v="1320.99"/>
    <x v="0"/>
    <x v="34"/>
    <x v="1"/>
    <s v="Heller Shagamaw Frame - 2016"/>
    <x v="1"/>
  </r>
  <r>
    <n v="232"/>
    <n v="1"/>
    <n v="18"/>
    <x v="0"/>
    <n v="449"/>
    <x v="1"/>
    <x v="8"/>
    <x v="1"/>
    <s v="Pure Cycles Western 3-Speed - Women's - 2015/2016"/>
    <x v="0"/>
  </r>
  <r>
    <n v="232"/>
    <n v="2"/>
    <n v="11"/>
    <x v="1"/>
    <n v="1680.99"/>
    <x v="2"/>
    <x v="32"/>
    <x v="1"/>
    <s v="Surly Straggler 650b - 2016"/>
    <x v="0"/>
  </r>
  <r>
    <n v="232"/>
    <n v="3"/>
    <n v="26"/>
    <x v="1"/>
    <n v="599.99"/>
    <x v="1"/>
    <x v="3"/>
    <x v="1"/>
    <s v="Electra Townie Original 7D EQ - 2016"/>
    <x v="0"/>
  </r>
  <r>
    <n v="232"/>
    <n v="4"/>
    <n v="8"/>
    <x v="1"/>
    <n v="1799.99"/>
    <x v="3"/>
    <x v="1"/>
    <x v="1"/>
    <s v="Trek Remedy 29 Carbon Frameset - 2016"/>
    <x v="0"/>
  </r>
  <r>
    <n v="233"/>
    <n v="1"/>
    <n v="14"/>
    <x v="0"/>
    <n v="269.99"/>
    <x v="3"/>
    <x v="14"/>
    <x v="1"/>
    <s v="Electra Girl's Hawaii 1 (16-inch) - 2015/2016"/>
    <x v="1"/>
  </r>
  <r>
    <n v="233"/>
    <n v="2"/>
    <n v="16"/>
    <x v="1"/>
    <n v="599.99"/>
    <x v="3"/>
    <x v="3"/>
    <x v="1"/>
    <s v="Electra Townie Original 7D EQ - 2016"/>
    <x v="1"/>
  </r>
  <r>
    <n v="233"/>
    <n v="3"/>
    <n v="12"/>
    <x v="0"/>
    <n v="549.99"/>
    <x v="0"/>
    <x v="31"/>
    <x v="1"/>
    <s v="Electra Townie Original 21D - 2016"/>
    <x v="1"/>
  </r>
  <r>
    <n v="233"/>
    <n v="4"/>
    <n v="15"/>
    <x v="1"/>
    <n v="529.99"/>
    <x v="1"/>
    <x v="29"/>
    <x v="1"/>
    <s v="Electra Moto 1 - 2016"/>
    <x v="1"/>
  </r>
  <r>
    <n v="234"/>
    <n v="1"/>
    <n v="11"/>
    <x v="1"/>
    <n v="1680.99"/>
    <x v="0"/>
    <x v="32"/>
    <x v="1"/>
    <s v="Surly Straggler 650b - 2016"/>
    <x v="1"/>
  </r>
  <r>
    <n v="234"/>
    <n v="2"/>
    <n v="17"/>
    <x v="1"/>
    <n v="429"/>
    <x v="2"/>
    <x v="13"/>
    <x v="1"/>
    <s v="Pure Cycles Vine 8-Speed - 2016"/>
    <x v="1"/>
  </r>
  <r>
    <n v="234"/>
    <n v="3"/>
    <n v="12"/>
    <x v="0"/>
    <n v="549.99"/>
    <x v="3"/>
    <x v="31"/>
    <x v="1"/>
    <s v="Electra Townie Original 21D - 2016"/>
    <x v="1"/>
  </r>
  <r>
    <n v="234"/>
    <n v="4"/>
    <n v="7"/>
    <x v="0"/>
    <n v="3999.99"/>
    <x v="2"/>
    <x v="25"/>
    <x v="1"/>
    <s v="Trek Slash 8 27.5 - 2016"/>
    <x v="1"/>
  </r>
  <r>
    <n v="234"/>
    <n v="5"/>
    <n v="23"/>
    <x v="0"/>
    <n v="299.99"/>
    <x v="3"/>
    <x v="23"/>
    <x v="1"/>
    <s v="Electra Girl's Hawaii 1 (20-inch) - 2015/2016"/>
    <x v="1"/>
  </r>
  <r>
    <n v="235"/>
    <n v="1"/>
    <n v="6"/>
    <x v="0"/>
    <n v="469.99"/>
    <x v="1"/>
    <x v="20"/>
    <x v="1"/>
    <s v="Surly Ice Cream Truck Frameset - 2016"/>
    <x v="1"/>
  </r>
  <r>
    <n v="235"/>
    <n v="2"/>
    <n v="13"/>
    <x v="1"/>
    <n v="269.99"/>
    <x v="2"/>
    <x v="17"/>
    <x v="1"/>
    <s v="Electra Cruiser 1 (24-Inch) - 2016"/>
    <x v="1"/>
  </r>
  <r>
    <n v="235"/>
    <n v="3"/>
    <n v="7"/>
    <x v="1"/>
    <n v="3999.99"/>
    <x v="2"/>
    <x v="15"/>
    <x v="1"/>
    <s v="Trek Slash 8 27.5 - 2016"/>
    <x v="1"/>
  </r>
  <r>
    <n v="236"/>
    <n v="1"/>
    <n v="3"/>
    <x v="1"/>
    <n v="999.99"/>
    <x v="1"/>
    <x v="10"/>
    <x v="1"/>
    <s v="Surly Wednesday Frameset - 2016"/>
    <x v="1"/>
  </r>
  <r>
    <n v="236"/>
    <n v="2"/>
    <n v="2"/>
    <x v="1"/>
    <n v="749.99"/>
    <x v="3"/>
    <x v="6"/>
    <x v="1"/>
    <s v="Ritchey Timberwolf Frameset - 2016"/>
    <x v="1"/>
  </r>
  <r>
    <n v="236"/>
    <n v="3"/>
    <n v="4"/>
    <x v="1"/>
    <n v="2899.99"/>
    <x v="3"/>
    <x v="18"/>
    <x v="1"/>
    <s v="Trek Fuel EX 8 29 - 2016"/>
    <x v="1"/>
  </r>
  <r>
    <n v="237"/>
    <n v="1"/>
    <n v="15"/>
    <x v="0"/>
    <n v="529.99"/>
    <x v="0"/>
    <x v="12"/>
    <x v="1"/>
    <s v="Electra Moto 1 - 2016"/>
    <x v="1"/>
  </r>
  <r>
    <n v="237"/>
    <n v="2"/>
    <n v="24"/>
    <x v="0"/>
    <n v="549.99"/>
    <x v="1"/>
    <x v="31"/>
    <x v="1"/>
    <s v="Electra Townie Original 21D - 2016"/>
    <x v="1"/>
  </r>
  <r>
    <n v="237"/>
    <n v="3"/>
    <n v="20"/>
    <x v="1"/>
    <n v="599.99"/>
    <x v="0"/>
    <x v="3"/>
    <x v="1"/>
    <s v="Electra Townie Original 7D EQ - Women's - 2016"/>
    <x v="1"/>
  </r>
  <r>
    <n v="237"/>
    <n v="4"/>
    <n v="26"/>
    <x v="0"/>
    <n v="599.99"/>
    <x v="2"/>
    <x v="0"/>
    <x v="1"/>
    <s v="Electra Townie Original 7D EQ - 2016"/>
    <x v="1"/>
  </r>
  <r>
    <n v="238"/>
    <n v="1"/>
    <n v="20"/>
    <x v="1"/>
    <n v="599.99"/>
    <x v="0"/>
    <x v="3"/>
    <x v="1"/>
    <s v="Electra Townie Original 7D EQ - Women's - 2016"/>
    <x v="1"/>
  </r>
  <r>
    <n v="238"/>
    <n v="2"/>
    <n v="25"/>
    <x v="0"/>
    <n v="499.99"/>
    <x v="1"/>
    <x v="33"/>
    <x v="1"/>
    <s v="Electra Townie Original 7D - 2015/2016"/>
    <x v="1"/>
  </r>
  <r>
    <n v="238"/>
    <n v="3"/>
    <n v="13"/>
    <x v="1"/>
    <n v="269.99"/>
    <x v="0"/>
    <x v="17"/>
    <x v="1"/>
    <s v="Electra Cruiser 1 (24-Inch) - 2016"/>
    <x v="1"/>
  </r>
  <r>
    <n v="238"/>
    <n v="4"/>
    <n v="22"/>
    <x v="1"/>
    <n v="269.99"/>
    <x v="2"/>
    <x v="17"/>
    <x v="1"/>
    <s v="Electra Girl's Hawaii 1 (16-inch) - 2015/2016"/>
    <x v="1"/>
  </r>
  <r>
    <n v="238"/>
    <n v="5"/>
    <n v="7"/>
    <x v="0"/>
    <n v="3999.99"/>
    <x v="1"/>
    <x v="25"/>
    <x v="1"/>
    <s v="Trek Slash 8 27.5 - 2016"/>
    <x v="1"/>
  </r>
  <r>
    <n v="239"/>
    <n v="1"/>
    <n v="16"/>
    <x v="1"/>
    <n v="599.99"/>
    <x v="3"/>
    <x v="3"/>
    <x v="1"/>
    <s v="Electra Townie Original 7D EQ - 2016"/>
    <x v="2"/>
  </r>
  <r>
    <n v="239"/>
    <n v="2"/>
    <n v="21"/>
    <x v="1"/>
    <n v="269.99"/>
    <x v="2"/>
    <x v="17"/>
    <x v="1"/>
    <s v="Electra Cruiser 1 (24-Inch) - 2016"/>
    <x v="2"/>
  </r>
  <r>
    <n v="239"/>
    <n v="3"/>
    <n v="18"/>
    <x v="0"/>
    <n v="449"/>
    <x v="1"/>
    <x v="8"/>
    <x v="1"/>
    <s v="Pure Cycles Western 3-Speed - Women's - 2015/2016"/>
    <x v="2"/>
  </r>
  <r>
    <n v="239"/>
    <n v="4"/>
    <n v="4"/>
    <x v="1"/>
    <n v="2899.99"/>
    <x v="1"/>
    <x v="18"/>
    <x v="1"/>
    <s v="Trek Fuel EX 8 29 - 2016"/>
    <x v="2"/>
  </r>
  <r>
    <n v="240"/>
    <n v="1"/>
    <n v="9"/>
    <x v="0"/>
    <n v="2999.99"/>
    <x v="1"/>
    <x v="28"/>
    <x v="1"/>
    <s v="Trek Conduit+ - 2016"/>
    <x v="1"/>
  </r>
  <r>
    <n v="240"/>
    <n v="2"/>
    <n v="8"/>
    <x v="0"/>
    <n v="1799.99"/>
    <x v="1"/>
    <x v="16"/>
    <x v="1"/>
    <s v="Trek Remedy 29 Carbon Frameset - 2016"/>
    <x v="1"/>
  </r>
  <r>
    <n v="240"/>
    <n v="3"/>
    <n v="5"/>
    <x v="0"/>
    <n v="1320.99"/>
    <x v="1"/>
    <x v="24"/>
    <x v="1"/>
    <s v="Heller Shagamaw Frame - 2016"/>
    <x v="1"/>
  </r>
  <r>
    <n v="240"/>
    <n v="4"/>
    <n v="18"/>
    <x v="1"/>
    <n v="449"/>
    <x v="1"/>
    <x v="21"/>
    <x v="1"/>
    <s v="Pure Cycles Western 3-Speed - Women's - 2015/2016"/>
    <x v="1"/>
  </r>
  <r>
    <n v="241"/>
    <n v="1"/>
    <n v="7"/>
    <x v="0"/>
    <n v="3999.99"/>
    <x v="0"/>
    <x v="25"/>
    <x v="1"/>
    <s v="Trek Slash 8 27.5 - 2016"/>
    <x v="1"/>
  </r>
  <r>
    <n v="242"/>
    <n v="1"/>
    <n v="3"/>
    <x v="0"/>
    <n v="999.99"/>
    <x v="0"/>
    <x v="5"/>
    <x v="1"/>
    <s v="Surly Wednesday Frameset - 2016"/>
    <x v="1"/>
  </r>
  <r>
    <n v="243"/>
    <n v="1"/>
    <n v="25"/>
    <x v="1"/>
    <n v="499.99"/>
    <x v="2"/>
    <x v="26"/>
    <x v="1"/>
    <s v="Electra Townie Original 7D - 2015/2016"/>
    <x v="2"/>
  </r>
  <r>
    <n v="243"/>
    <n v="2"/>
    <n v="19"/>
    <x v="1"/>
    <n v="449"/>
    <x v="1"/>
    <x v="21"/>
    <x v="1"/>
    <s v="Pure Cycles William 3-Speed - 2016"/>
    <x v="2"/>
  </r>
  <r>
    <n v="243"/>
    <n v="3"/>
    <n v="7"/>
    <x v="1"/>
    <n v="3999.99"/>
    <x v="2"/>
    <x v="15"/>
    <x v="1"/>
    <s v="Trek Slash 8 27.5 - 2016"/>
    <x v="2"/>
  </r>
  <r>
    <n v="244"/>
    <n v="1"/>
    <n v="19"/>
    <x v="0"/>
    <n v="449"/>
    <x v="1"/>
    <x v="8"/>
    <x v="1"/>
    <s v="Pure Cycles William 3-Speed - 2016"/>
    <x v="1"/>
  </r>
  <r>
    <n v="244"/>
    <n v="2"/>
    <n v="25"/>
    <x v="0"/>
    <n v="499.99"/>
    <x v="0"/>
    <x v="33"/>
    <x v="1"/>
    <s v="Electra Townie Original 7D - 2015/2016"/>
    <x v="1"/>
  </r>
  <r>
    <n v="244"/>
    <n v="3"/>
    <n v="22"/>
    <x v="0"/>
    <n v="269.99"/>
    <x v="3"/>
    <x v="14"/>
    <x v="1"/>
    <s v="Electra Girl's Hawaii 1 (16-inch) - 2015/2016"/>
    <x v="1"/>
  </r>
  <r>
    <n v="245"/>
    <n v="1"/>
    <n v="10"/>
    <x v="1"/>
    <n v="1549"/>
    <x v="2"/>
    <x v="2"/>
    <x v="1"/>
    <s v="Surly Straggler - 2016"/>
    <x v="1"/>
  </r>
  <r>
    <n v="245"/>
    <n v="2"/>
    <n v="8"/>
    <x v="0"/>
    <n v="1799.99"/>
    <x v="3"/>
    <x v="16"/>
    <x v="1"/>
    <s v="Trek Remedy 29 Carbon Frameset - 2016"/>
    <x v="1"/>
  </r>
  <r>
    <n v="246"/>
    <n v="1"/>
    <n v="17"/>
    <x v="1"/>
    <n v="429"/>
    <x v="0"/>
    <x v="13"/>
    <x v="1"/>
    <s v="Pure Cycles Vine 8-Speed - 2016"/>
    <x v="1"/>
  </r>
  <r>
    <n v="247"/>
    <n v="1"/>
    <n v="25"/>
    <x v="0"/>
    <n v="499.99"/>
    <x v="1"/>
    <x v="33"/>
    <x v="1"/>
    <s v="Electra Townie Original 7D - 2015/2016"/>
    <x v="0"/>
  </r>
  <r>
    <n v="247"/>
    <n v="2"/>
    <n v="3"/>
    <x v="0"/>
    <n v="999.99"/>
    <x v="0"/>
    <x v="5"/>
    <x v="1"/>
    <s v="Surly Wednesday Frameset - 2016"/>
    <x v="0"/>
  </r>
  <r>
    <n v="248"/>
    <n v="1"/>
    <n v="13"/>
    <x v="0"/>
    <n v="269.99"/>
    <x v="3"/>
    <x v="14"/>
    <x v="1"/>
    <s v="Electra Cruiser 1 (24-Inch) - 2016"/>
    <x v="1"/>
  </r>
  <r>
    <n v="248"/>
    <n v="2"/>
    <n v="26"/>
    <x v="1"/>
    <n v="599.99"/>
    <x v="3"/>
    <x v="3"/>
    <x v="1"/>
    <s v="Electra Townie Original 7D EQ - 2016"/>
    <x v="1"/>
  </r>
  <r>
    <n v="248"/>
    <n v="3"/>
    <n v="17"/>
    <x v="0"/>
    <n v="429"/>
    <x v="3"/>
    <x v="7"/>
    <x v="1"/>
    <s v="Pure Cycles Vine 8-Speed - 2016"/>
    <x v="1"/>
  </r>
  <r>
    <n v="248"/>
    <n v="4"/>
    <n v="9"/>
    <x v="0"/>
    <n v="2999.99"/>
    <x v="0"/>
    <x v="28"/>
    <x v="1"/>
    <s v="Trek Conduit+ - 2016"/>
    <x v="1"/>
  </r>
  <r>
    <n v="249"/>
    <n v="1"/>
    <n v="7"/>
    <x v="1"/>
    <n v="3999.99"/>
    <x v="2"/>
    <x v="15"/>
    <x v="1"/>
    <s v="Trek Slash 8 27.5 - 2016"/>
    <x v="1"/>
  </r>
  <r>
    <n v="249"/>
    <n v="2"/>
    <n v="18"/>
    <x v="1"/>
    <n v="449"/>
    <x v="2"/>
    <x v="21"/>
    <x v="1"/>
    <s v="Pure Cycles Western 3-Speed - Women's - 2015/2016"/>
    <x v="1"/>
  </r>
  <r>
    <n v="249"/>
    <n v="3"/>
    <n v="22"/>
    <x v="0"/>
    <n v="269.99"/>
    <x v="3"/>
    <x v="14"/>
    <x v="1"/>
    <s v="Electra Girl's Hawaii 1 (16-inch) - 2015/2016"/>
    <x v="1"/>
  </r>
  <r>
    <n v="250"/>
    <n v="1"/>
    <n v="17"/>
    <x v="1"/>
    <n v="429"/>
    <x v="2"/>
    <x v="13"/>
    <x v="1"/>
    <s v="Pure Cycles Vine 8-Speed - 2016"/>
    <x v="1"/>
  </r>
  <r>
    <n v="250"/>
    <n v="2"/>
    <n v="11"/>
    <x v="1"/>
    <n v="1680.99"/>
    <x v="3"/>
    <x v="32"/>
    <x v="1"/>
    <s v="Surly Straggler 650b - 2016"/>
    <x v="1"/>
  </r>
  <r>
    <n v="251"/>
    <n v="1"/>
    <n v="23"/>
    <x v="1"/>
    <n v="299.99"/>
    <x v="0"/>
    <x v="22"/>
    <x v="1"/>
    <s v="Electra Girl's Hawaii 1 (20-inch) - 2015/2016"/>
    <x v="1"/>
  </r>
  <r>
    <n v="251"/>
    <n v="2"/>
    <n v="22"/>
    <x v="1"/>
    <n v="269.99"/>
    <x v="2"/>
    <x v="17"/>
    <x v="1"/>
    <s v="Electra Girl's Hawaii 1 (16-inch) - 2015/2016"/>
    <x v="1"/>
  </r>
  <r>
    <n v="252"/>
    <n v="1"/>
    <n v="11"/>
    <x v="1"/>
    <n v="1680.99"/>
    <x v="3"/>
    <x v="32"/>
    <x v="1"/>
    <s v="Surly Straggler 650b - 2016"/>
    <x v="2"/>
  </r>
  <r>
    <n v="252"/>
    <n v="2"/>
    <n v="4"/>
    <x v="0"/>
    <n v="2899.99"/>
    <x v="1"/>
    <x v="4"/>
    <x v="1"/>
    <s v="Trek Fuel EX 8 29 - 2016"/>
    <x v="2"/>
  </r>
  <r>
    <n v="252"/>
    <n v="3"/>
    <n v="19"/>
    <x v="0"/>
    <n v="449"/>
    <x v="3"/>
    <x v="8"/>
    <x v="1"/>
    <s v="Pure Cycles William 3-Speed - 2016"/>
    <x v="2"/>
  </r>
  <r>
    <n v="253"/>
    <n v="1"/>
    <n v="11"/>
    <x v="1"/>
    <n v="1680.99"/>
    <x v="1"/>
    <x v="32"/>
    <x v="1"/>
    <s v="Surly Straggler 650b - 2016"/>
    <x v="1"/>
  </r>
  <r>
    <n v="254"/>
    <n v="1"/>
    <n v="6"/>
    <x v="1"/>
    <n v="469.99"/>
    <x v="1"/>
    <x v="35"/>
    <x v="1"/>
    <s v="Surly Ice Cream Truck Frameset - 2016"/>
    <x v="1"/>
  </r>
  <r>
    <n v="254"/>
    <n v="2"/>
    <n v="3"/>
    <x v="0"/>
    <n v="999.99"/>
    <x v="2"/>
    <x v="5"/>
    <x v="1"/>
    <s v="Surly Wednesday Frameset - 2016"/>
    <x v="1"/>
  </r>
  <r>
    <n v="254"/>
    <n v="3"/>
    <n v="12"/>
    <x v="0"/>
    <n v="549.99"/>
    <x v="2"/>
    <x v="31"/>
    <x v="1"/>
    <s v="Electra Townie Original 21D - 2016"/>
    <x v="1"/>
  </r>
  <r>
    <n v="255"/>
    <n v="1"/>
    <n v="5"/>
    <x v="1"/>
    <n v="1320.99"/>
    <x v="3"/>
    <x v="34"/>
    <x v="1"/>
    <s v="Heller Shagamaw Frame - 2016"/>
    <x v="1"/>
  </r>
  <r>
    <n v="255"/>
    <n v="2"/>
    <n v="14"/>
    <x v="0"/>
    <n v="269.99"/>
    <x v="0"/>
    <x v="14"/>
    <x v="1"/>
    <s v="Electra Girl's Hawaii 1 (16-inch) - 2015/2016"/>
    <x v="1"/>
  </r>
  <r>
    <n v="255"/>
    <n v="3"/>
    <n v="2"/>
    <x v="1"/>
    <n v="749.99"/>
    <x v="0"/>
    <x v="6"/>
    <x v="1"/>
    <s v="Ritchey Timberwolf Frameset - 2016"/>
    <x v="1"/>
  </r>
  <r>
    <n v="255"/>
    <n v="4"/>
    <n v="21"/>
    <x v="0"/>
    <n v="269.99"/>
    <x v="1"/>
    <x v="14"/>
    <x v="1"/>
    <s v="Electra Cruiser 1 (24-Inch) - 2016"/>
    <x v="1"/>
  </r>
  <r>
    <n v="256"/>
    <n v="1"/>
    <n v="11"/>
    <x v="0"/>
    <n v="1680.99"/>
    <x v="3"/>
    <x v="19"/>
    <x v="1"/>
    <s v="Surly Straggler 650b - 2016"/>
    <x v="1"/>
  </r>
  <r>
    <n v="256"/>
    <n v="2"/>
    <n v="21"/>
    <x v="0"/>
    <n v="269.99"/>
    <x v="2"/>
    <x v="14"/>
    <x v="1"/>
    <s v="Electra Cruiser 1 (24-Inch) - 2016"/>
    <x v="1"/>
  </r>
  <r>
    <n v="257"/>
    <n v="1"/>
    <n v="8"/>
    <x v="1"/>
    <n v="1799.99"/>
    <x v="1"/>
    <x v="1"/>
    <x v="1"/>
    <s v="Trek Remedy 29 Carbon Frameset - 2016"/>
    <x v="0"/>
  </r>
  <r>
    <n v="257"/>
    <n v="2"/>
    <n v="13"/>
    <x v="1"/>
    <n v="269.99"/>
    <x v="0"/>
    <x v="17"/>
    <x v="1"/>
    <s v="Electra Cruiser 1 (24-Inch) - 2016"/>
    <x v="0"/>
  </r>
  <r>
    <n v="257"/>
    <n v="3"/>
    <n v="10"/>
    <x v="1"/>
    <n v="1549"/>
    <x v="3"/>
    <x v="2"/>
    <x v="1"/>
    <s v="Surly Straggler - 2016"/>
    <x v="0"/>
  </r>
  <r>
    <n v="257"/>
    <n v="4"/>
    <n v="15"/>
    <x v="0"/>
    <n v="529.99"/>
    <x v="3"/>
    <x v="12"/>
    <x v="1"/>
    <s v="Electra Moto 1 - 2016"/>
    <x v="0"/>
  </r>
  <r>
    <n v="258"/>
    <n v="1"/>
    <n v="8"/>
    <x v="1"/>
    <n v="1799.99"/>
    <x v="2"/>
    <x v="1"/>
    <x v="1"/>
    <s v="Trek Remedy 29 Carbon Frameset - 2016"/>
    <x v="1"/>
  </r>
  <r>
    <n v="258"/>
    <n v="2"/>
    <n v="4"/>
    <x v="0"/>
    <n v="2899.99"/>
    <x v="1"/>
    <x v="4"/>
    <x v="1"/>
    <s v="Trek Fuel EX 8 29 - 2016"/>
    <x v="1"/>
  </r>
  <r>
    <n v="258"/>
    <n v="3"/>
    <n v="19"/>
    <x v="0"/>
    <n v="449"/>
    <x v="1"/>
    <x v="8"/>
    <x v="1"/>
    <s v="Pure Cycles William 3-Speed - 2016"/>
    <x v="1"/>
  </r>
  <r>
    <n v="258"/>
    <n v="4"/>
    <n v="18"/>
    <x v="0"/>
    <n v="449"/>
    <x v="2"/>
    <x v="8"/>
    <x v="1"/>
    <s v="Pure Cycles Western 3-Speed - Women's - 2015/2016"/>
    <x v="1"/>
  </r>
  <r>
    <n v="259"/>
    <n v="1"/>
    <n v="26"/>
    <x v="0"/>
    <n v="599.99"/>
    <x v="2"/>
    <x v="0"/>
    <x v="1"/>
    <s v="Electra Townie Original 7D EQ - 2016"/>
    <x v="1"/>
  </r>
  <r>
    <n v="259"/>
    <n v="2"/>
    <n v="6"/>
    <x v="1"/>
    <n v="469.99"/>
    <x v="3"/>
    <x v="35"/>
    <x v="1"/>
    <s v="Surly Ice Cream Truck Frameset - 2016"/>
    <x v="1"/>
  </r>
  <r>
    <n v="259"/>
    <n v="3"/>
    <n v="2"/>
    <x v="1"/>
    <n v="749.99"/>
    <x v="0"/>
    <x v="6"/>
    <x v="1"/>
    <s v="Ritchey Timberwolf Frameset - 2016"/>
    <x v="1"/>
  </r>
  <r>
    <n v="259"/>
    <n v="4"/>
    <n v="4"/>
    <x v="0"/>
    <n v="2899.99"/>
    <x v="3"/>
    <x v="4"/>
    <x v="1"/>
    <s v="Trek Fuel EX 8 29 - 2016"/>
    <x v="1"/>
  </r>
  <r>
    <n v="260"/>
    <n v="1"/>
    <n v="23"/>
    <x v="1"/>
    <n v="299.99"/>
    <x v="0"/>
    <x v="22"/>
    <x v="1"/>
    <s v="Electra Girl's Hawaii 1 (20-inch) - 2015/2016"/>
    <x v="1"/>
  </r>
  <r>
    <n v="260"/>
    <n v="2"/>
    <n v="10"/>
    <x v="0"/>
    <n v="1549"/>
    <x v="0"/>
    <x v="27"/>
    <x v="1"/>
    <s v="Surly Straggler - 2016"/>
    <x v="1"/>
  </r>
  <r>
    <n v="260"/>
    <n v="3"/>
    <n v="24"/>
    <x v="1"/>
    <n v="549.99"/>
    <x v="0"/>
    <x v="9"/>
    <x v="1"/>
    <s v="Electra Townie Original 21D - 2016"/>
    <x v="1"/>
  </r>
  <r>
    <n v="261"/>
    <n v="1"/>
    <n v="16"/>
    <x v="1"/>
    <n v="599.99"/>
    <x v="2"/>
    <x v="3"/>
    <x v="1"/>
    <s v="Electra Townie Original 7D EQ - 2016"/>
    <x v="0"/>
  </r>
  <r>
    <n v="261"/>
    <n v="2"/>
    <n v="14"/>
    <x v="0"/>
    <n v="269.99"/>
    <x v="3"/>
    <x v="14"/>
    <x v="1"/>
    <s v="Electra Girl's Hawaii 1 (16-inch) - 2015/2016"/>
    <x v="0"/>
  </r>
  <r>
    <n v="261"/>
    <n v="3"/>
    <n v="17"/>
    <x v="1"/>
    <n v="429"/>
    <x v="3"/>
    <x v="13"/>
    <x v="1"/>
    <s v="Pure Cycles Vine 8-Speed - 2016"/>
    <x v="0"/>
  </r>
  <r>
    <n v="262"/>
    <n v="1"/>
    <n v="2"/>
    <x v="0"/>
    <n v="749.99"/>
    <x v="1"/>
    <x v="30"/>
    <x v="1"/>
    <s v="Ritchey Timberwolf Frameset - 2016"/>
    <x v="2"/>
  </r>
  <r>
    <n v="262"/>
    <n v="2"/>
    <n v="9"/>
    <x v="1"/>
    <n v="2999.99"/>
    <x v="2"/>
    <x v="11"/>
    <x v="1"/>
    <s v="Trek Conduit+ - 2016"/>
    <x v="2"/>
  </r>
  <r>
    <n v="263"/>
    <n v="1"/>
    <n v="9"/>
    <x v="0"/>
    <n v="2999.99"/>
    <x v="1"/>
    <x v="28"/>
    <x v="1"/>
    <s v="Trek Conduit+ - 2016"/>
    <x v="1"/>
  </r>
  <r>
    <n v="263"/>
    <n v="2"/>
    <n v="3"/>
    <x v="0"/>
    <n v="999.99"/>
    <x v="0"/>
    <x v="5"/>
    <x v="1"/>
    <s v="Surly Wednesday Frameset - 2016"/>
    <x v="1"/>
  </r>
  <r>
    <n v="263"/>
    <n v="3"/>
    <n v="2"/>
    <x v="1"/>
    <n v="749.99"/>
    <x v="2"/>
    <x v="6"/>
    <x v="1"/>
    <s v="Ritchey Timberwolf Frameset - 2016"/>
    <x v="1"/>
  </r>
  <r>
    <n v="264"/>
    <n v="1"/>
    <n v="10"/>
    <x v="0"/>
    <n v="1549"/>
    <x v="0"/>
    <x v="27"/>
    <x v="1"/>
    <s v="Surly Straggler - 2016"/>
    <x v="0"/>
  </r>
  <r>
    <n v="264"/>
    <n v="2"/>
    <n v="24"/>
    <x v="1"/>
    <n v="549.99"/>
    <x v="2"/>
    <x v="9"/>
    <x v="1"/>
    <s v="Electra Townie Original 21D - 2016"/>
    <x v="0"/>
  </r>
  <r>
    <n v="264"/>
    <n v="3"/>
    <n v="15"/>
    <x v="1"/>
    <n v="529.99"/>
    <x v="3"/>
    <x v="29"/>
    <x v="1"/>
    <s v="Electra Moto 1 - 2016"/>
    <x v="0"/>
  </r>
  <r>
    <n v="264"/>
    <n v="4"/>
    <n v="3"/>
    <x v="1"/>
    <n v="999.99"/>
    <x v="1"/>
    <x v="10"/>
    <x v="1"/>
    <s v="Surly Wednesday Frameset - 2016"/>
    <x v="0"/>
  </r>
  <r>
    <n v="265"/>
    <n v="1"/>
    <n v="9"/>
    <x v="1"/>
    <n v="2999.99"/>
    <x v="0"/>
    <x v="11"/>
    <x v="1"/>
    <s v="Trek Conduit+ - 2016"/>
    <x v="1"/>
  </r>
  <r>
    <n v="266"/>
    <n v="1"/>
    <n v="6"/>
    <x v="1"/>
    <n v="469.99"/>
    <x v="1"/>
    <x v="35"/>
    <x v="1"/>
    <s v="Surly Ice Cream Truck Frameset - 2016"/>
    <x v="1"/>
  </r>
  <r>
    <n v="266"/>
    <n v="2"/>
    <n v="19"/>
    <x v="0"/>
    <n v="449"/>
    <x v="0"/>
    <x v="8"/>
    <x v="1"/>
    <s v="Pure Cycles William 3-Speed - 2016"/>
    <x v="1"/>
  </r>
  <r>
    <n v="266"/>
    <n v="3"/>
    <n v="25"/>
    <x v="0"/>
    <n v="499.99"/>
    <x v="2"/>
    <x v="33"/>
    <x v="1"/>
    <s v="Electra Townie Original 7D - 2015/2016"/>
    <x v="1"/>
  </r>
  <r>
    <n v="267"/>
    <n v="1"/>
    <n v="22"/>
    <x v="1"/>
    <n v="269.99"/>
    <x v="0"/>
    <x v="17"/>
    <x v="1"/>
    <s v="Electra Girl's Hawaii 1 (16-inch) - 2015/2016"/>
    <x v="0"/>
  </r>
  <r>
    <n v="267"/>
    <n v="2"/>
    <n v="23"/>
    <x v="1"/>
    <n v="299.99"/>
    <x v="3"/>
    <x v="22"/>
    <x v="1"/>
    <s v="Electra Girl's Hawaii 1 (20-inch) - 2015/2016"/>
    <x v="0"/>
  </r>
  <r>
    <n v="267"/>
    <n v="3"/>
    <n v="24"/>
    <x v="0"/>
    <n v="549.99"/>
    <x v="3"/>
    <x v="31"/>
    <x v="1"/>
    <s v="Electra Townie Original 21D - 2016"/>
    <x v="0"/>
  </r>
  <r>
    <n v="267"/>
    <n v="4"/>
    <n v="7"/>
    <x v="1"/>
    <n v="3999.99"/>
    <x v="1"/>
    <x v="15"/>
    <x v="1"/>
    <s v="Trek Slash 8 27.5 - 2016"/>
    <x v="0"/>
  </r>
  <r>
    <n v="267"/>
    <n v="5"/>
    <n v="21"/>
    <x v="0"/>
    <n v="269.99"/>
    <x v="2"/>
    <x v="14"/>
    <x v="1"/>
    <s v="Electra Cruiser 1 (24-Inch) - 2016"/>
    <x v="0"/>
  </r>
  <r>
    <n v="268"/>
    <n v="1"/>
    <n v="7"/>
    <x v="0"/>
    <n v="3999.99"/>
    <x v="2"/>
    <x v="25"/>
    <x v="1"/>
    <s v="Trek Slash 8 27.5 - 2016"/>
    <x v="0"/>
  </r>
  <r>
    <n v="268"/>
    <n v="2"/>
    <n v="6"/>
    <x v="1"/>
    <n v="469.99"/>
    <x v="0"/>
    <x v="35"/>
    <x v="1"/>
    <s v="Surly Ice Cream Truck Frameset - 2016"/>
    <x v="0"/>
  </r>
  <r>
    <n v="268"/>
    <n v="3"/>
    <n v="9"/>
    <x v="0"/>
    <n v="2999.99"/>
    <x v="3"/>
    <x v="28"/>
    <x v="1"/>
    <s v="Trek Conduit+ - 2016"/>
    <x v="0"/>
  </r>
  <r>
    <n v="269"/>
    <n v="1"/>
    <n v="5"/>
    <x v="0"/>
    <n v="1320.99"/>
    <x v="1"/>
    <x v="24"/>
    <x v="1"/>
    <s v="Heller Shagamaw Frame - 2016"/>
    <x v="1"/>
  </r>
  <r>
    <n v="269"/>
    <n v="2"/>
    <n v="23"/>
    <x v="1"/>
    <n v="299.99"/>
    <x v="1"/>
    <x v="22"/>
    <x v="1"/>
    <s v="Electra Girl's Hawaii 1 (20-inch) - 2015/2016"/>
    <x v="1"/>
  </r>
  <r>
    <n v="269"/>
    <n v="3"/>
    <n v="18"/>
    <x v="0"/>
    <n v="449"/>
    <x v="2"/>
    <x v="8"/>
    <x v="1"/>
    <s v="Pure Cycles Western 3-Speed - Women's - 2015/2016"/>
    <x v="1"/>
  </r>
  <r>
    <n v="269"/>
    <n v="4"/>
    <n v="3"/>
    <x v="0"/>
    <n v="999.99"/>
    <x v="2"/>
    <x v="5"/>
    <x v="1"/>
    <s v="Surly Wednesday Frameset - 2016"/>
    <x v="1"/>
  </r>
  <r>
    <n v="270"/>
    <n v="1"/>
    <n v="25"/>
    <x v="1"/>
    <n v="499.99"/>
    <x v="0"/>
    <x v="26"/>
    <x v="1"/>
    <s v="Electra Townie Original 7D - 2015/2016"/>
    <x v="1"/>
  </r>
  <r>
    <n v="270"/>
    <n v="2"/>
    <n v="15"/>
    <x v="0"/>
    <n v="529.99"/>
    <x v="3"/>
    <x v="12"/>
    <x v="1"/>
    <s v="Electra Moto 1 - 2016"/>
    <x v="1"/>
  </r>
  <r>
    <n v="271"/>
    <n v="1"/>
    <n v="11"/>
    <x v="1"/>
    <n v="1680.99"/>
    <x v="1"/>
    <x v="32"/>
    <x v="1"/>
    <s v="Surly Straggler 650b - 2016"/>
    <x v="1"/>
  </r>
  <r>
    <n v="271"/>
    <n v="2"/>
    <n v="6"/>
    <x v="1"/>
    <n v="469.99"/>
    <x v="2"/>
    <x v="35"/>
    <x v="1"/>
    <s v="Surly Ice Cream Truck Frameset - 2016"/>
    <x v="1"/>
  </r>
  <r>
    <n v="271"/>
    <n v="3"/>
    <n v="13"/>
    <x v="0"/>
    <n v="269.99"/>
    <x v="3"/>
    <x v="14"/>
    <x v="1"/>
    <s v="Electra Cruiser 1 (24-Inch) - 2016"/>
    <x v="1"/>
  </r>
  <r>
    <n v="271"/>
    <n v="4"/>
    <n v="7"/>
    <x v="1"/>
    <n v="3999.99"/>
    <x v="3"/>
    <x v="15"/>
    <x v="1"/>
    <s v="Trek Slash 8 27.5 - 2016"/>
    <x v="1"/>
  </r>
  <r>
    <n v="272"/>
    <n v="1"/>
    <n v="2"/>
    <x v="1"/>
    <n v="749.99"/>
    <x v="1"/>
    <x v="6"/>
    <x v="1"/>
    <s v="Ritchey Timberwolf Frameset - 2016"/>
    <x v="1"/>
  </r>
  <r>
    <n v="272"/>
    <n v="2"/>
    <n v="11"/>
    <x v="0"/>
    <n v="1680.99"/>
    <x v="1"/>
    <x v="19"/>
    <x v="1"/>
    <s v="Surly Straggler 650b - 2016"/>
    <x v="1"/>
  </r>
  <r>
    <n v="273"/>
    <n v="1"/>
    <n v="21"/>
    <x v="0"/>
    <n v="269.99"/>
    <x v="3"/>
    <x v="14"/>
    <x v="1"/>
    <s v="Electra Cruiser 1 (24-Inch) - 2016"/>
    <x v="1"/>
  </r>
  <r>
    <n v="274"/>
    <n v="1"/>
    <n v="11"/>
    <x v="1"/>
    <n v="1680.99"/>
    <x v="2"/>
    <x v="32"/>
    <x v="1"/>
    <s v="Surly Straggler 650b - 2016"/>
    <x v="1"/>
  </r>
  <r>
    <n v="274"/>
    <n v="2"/>
    <n v="25"/>
    <x v="1"/>
    <n v="499.99"/>
    <x v="3"/>
    <x v="26"/>
    <x v="1"/>
    <s v="Electra Townie Original 7D - 2015/2016"/>
    <x v="1"/>
  </r>
  <r>
    <n v="274"/>
    <n v="3"/>
    <n v="9"/>
    <x v="1"/>
    <n v="2999.99"/>
    <x v="1"/>
    <x v="11"/>
    <x v="1"/>
    <s v="Trek Conduit+ - 2016"/>
    <x v="1"/>
  </r>
  <r>
    <n v="275"/>
    <n v="1"/>
    <n v="18"/>
    <x v="0"/>
    <n v="449"/>
    <x v="2"/>
    <x v="8"/>
    <x v="1"/>
    <s v="Pure Cycles Western 3-Speed - Women's - 2015/2016"/>
    <x v="1"/>
  </r>
  <r>
    <n v="275"/>
    <n v="2"/>
    <n v="25"/>
    <x v="0"/>
    <n v="499.99"/>
    <x v="3"/>
    <x v="33"/>
    <x v="1"/>
    <s v="Electra Townie Original 7D - 2015/2016"/>
    <x v="1"/>
  </r>
  <r>
    <n v="275"/>
    <n v="3"/>
    <n v="7"/>
    <x v="1"/>
    <n v="3999.99"/>
    <x v="2"/>
    <x v="15"/>
    <x v="1"/>
    <s v="Trek Slash 8 27.5 - 2016"/>
    <x v="1"/>
  </r>
  <r>
    <n v="276"/>
    <n v="1"/>
    <n v="3"/>
    <x v="1"/>
    <n v="999.99"/>
    <x v="0"/>
    <x v="10"/>
    <x v="1"/>
    <s v="Surly Wednesday Frameset - 2016"/>
    <x v="1"/>
  </r>
  <r>
    <n v="276"/>
    <n v="2"/>
    <n v="17"/>
    <x v="0"/>
    <n v="429"/>
    <x v="2"/>
    <x v="7"/>
    <x v="1"/>
    <s v="Pure Cycles Vine 8-Speed - 2016"/>
    <x v="1"/>
  </r>
  <r>
    <n v="276"/>
    <n v="3"/>
    <n v="9"/>
    <x v="1"/>
    <n v="2999.99"/>
    <x v="1"/>
    <x v="11"/>
    <x v="1"/>
    <s v="Trek Conduit+ - 2016"/>
    <x v="1"/>
  </r>
  <r>
    <n v="277"/>
    <n v="1"/>
    <n v="20"/>
    <x v="1"/>
    <n v="599.99"/>
    <x v="0"/>
    <x v="3"/>
    <x v="1"/>
    <s v="Electra Townie Original 7D EQ - Women's - 2016"/>
    <x v="1"/>
  </r>
  <r>
    <n v="277"/>
    <n v="2"/>
    <n v="6"/>
    <x v="1"/>
    <n v="469.99"/>
    <x v="0"/>
    <x v="35"/>
    <x v="1"/>
    <s v="Surly Ice Cream Truck Frameset - 2016"/>
    <x v="1"/>
  </r>
  <r>
    <n v="277"/>
    <n v="3"/>
    <n v="13"/>
    <x v="1"/>
    <n v="269.99"/>
    <x v="3"/>
    <x v="17"/>
    <x v="1"/>
    <s v="Electra Cruiser 1 (24-Inch) - 2016"/>
    <x v="1"/>
  </r>
  <r>
    <n v="278"/>
    <n v="1"/>
    <n v="16"/>
    <x v="0"/>
    <n v="599.99"/>
    <x v="0"/>
    <x v="0"/>
    <x v="1"/>
    <s v="Electra Townie Original 7D EQ - 2016"/>
    <x v="0"/>
  </r>
  <r>
    <n v="278"/>
    <n v="2"/>
    <n v="19"/>
    <x v="1"/>
    <n v="449"/>
    <x v="1"/>
    <x v="21"/>
    <x v="1"/>
    <s v="Pure Cycles William 3-Speed - 2016"/>
    <x v="0"/>
  </r>
  <r>
    <n v="278"/>
    <n v="3"/>
    <n v="13"/>
    <x v="0"/>
    <n v="269.99"/>
    <x v="1"/>
    <x v="14"/>
    <x v="1"/>
    <s v="Electra Cruiser 1 (24-Inch) - 2016"/>
    <x v="0"/>
  </r>
  <r>
    <n v="278"/>
    <n v="4"/>
    <n v="11"/>
    <x v="1"/>
    <n v="1680.99"/>
    <x v="1"/>
    <x v="32"/>
    <x v="1"/>
    <s v="Surly Straggler 650b - 2016"/>
    <x v="0"/>
  </r>
  <r>
    <n v="279"/>
    <n v="1"/>
    <n v="25"/>
    <x v="0"/>
    <n v="499.99"/>
    <x v="1"/>
    <x v="33"/>
    <x v="1"/>
    <s v="Electra Townie Original 7D - 2015/2016"/>
    <x v="1"/>
  </r>
  <r>
    <n v="280"/>
    <n v="1"/>
    <n v="25"/>
    <x v="0"/>
    <n v="499.99"/>
    <x v="1"/>
    <x v="33"/>
    <x v="1"/>
    <s v="Electra Townie Original 7D - 2015/2016"/>
    <x v="1"/>
  </r>
  <r>
    <n v="280"/>
    <n v="2"/>
    <n v="26"/>
    <x v="1"/>
    <n v="599.99"/>
    <x v="1"/>
    <x v="3"/>
    <x v="1"/>
    <s v="Electra Townie Original 7D EQ - 2016"/>
    <x v="1"/>
  </r>
  <r>
    <n v="280"/>
    <n v="3"/>
    <n v="13"/>
    <x v="0"/>
    <n v="269.99"/>
    <x v="1"/>
    <x v="14"/>
    <x v="1"/>
    <s v="Electra Cruiser 1 (24-Inch) - 2016"/>
    <x v="1"/>
  </r>
  <r>
    <n v="281"/>
    <n v="1"/>
    <n v="22"/>
    <x v="0"/>
    <n v="269.99"/>
    <x v="1"/>
    <x v="14"/>
    <x v="1"/>
    <s v="Electra Girl's Hawaii 1 (16-inch) - 2015/2016"/>
    <x v="1"/>
  </r>
  <r>
    <n v="281"/>
    <n v="2"/>
    <n v="14"/>
    <x v="1"/>
    <n v="269.99"/>
    <x v="3"/>
    <x v="17"/>
    <x v="1"/>
    <s v="Electra Girl's Hawaii 1 (16-inch) - 2015/2016"/>
    <x v="1"/>
  </r>
  <r>
    <n v="281"/>
    <n v="3"/>
    <n v="7"/>
    <x v="1"/>
    <n v="3999.99"/>
    <x v="1"/>
    <x v="15"/>
    <x v="1"/>
    <s v="Trek Slash 8 27.5 - 2016"/>
    <x v="1"/>
  </r>
  <r>
    <n v="282"/>
    <n v="1"/>
    <n v="20"/>
    <x v="0"/>
    <n v="599.99"/>
    <x v="1"/>
    <x v="0"/>
    <x v="1"/>
    <s v="Electra Townie Original 7D EQ - Women's - 2016"/>
    <x v="2"/>
  </r>
  <r>
    <n v="282"/>
    <n v="2"/>
    <n v="7"/>
    <x v="1"/>
    <n v="3999.99"/>
    <x v="1"/>
    <x v="15"/>
    <x v="1"/>
    <s v="Trek Slash 8 27.5 - 2016"/>
    <x v="2"/>
  </r>
  <r>
    <n v="282"/>
    <n v="3"/>
    <n v="3"/>
    <x v="1"/>
    <n v="999.99"/>
    <x v="2"/>
    <x v="10"/>
    <x v="1"/>
    <s v="Surly Wednesday Frameset - 2016"/>
    <x v="2"/>
  </r>
  <r>
    <n v="282"/>
    <n v="4"/>
    <n v="16"/>
    <x v="1"/>
    <n v="599.99"/>
    <x v="1"/>
    <x v="3"/>
    <x v="1"/>
    <s v="Electra Townie Original 7D EQ - 2016"/>
    <x v="2"/>
  </r>
  <r>
    <n v="283"/>
    <n v="1"/>
    <n v="9"/>
    <x v="0"/>
    <n v="2999.99"/>
    <x v="2"/>
    <x v="28"/>
    <x v="1"/>
    <s v="Trek Conduit+ - 2016"/>
    <x v="0"/>
  </r>
  <r>
    <n v="283"/>
    <n v="2"/>
    <n v="16"/>
    <x v="1"/>
    <n v="599.99"/>
    <x v="0"/>
    <x v="3"/>
    <x v="1"/>
    <s v="Electra Townie Original 7D EQ - 2016"/>
    <x v="0"/>
  </r>
  <r>
    <n v="284"/>
    <n v="1"/>
    <n v="24"/>
    <x v="1"/>
    <n v="549.99"/>
    <x v="0"/>
    <x v="9"/>
    <x v="1"/>
    <s v="Electra Townie Original 21D - 2016"/>
    <x v="1"/>
  </r>
  <r>
    <n v="284"/>
    <n v="2"/>
    <n v="20"/>
    <x v="0"/>
    <n v="599.99"/>
    <x v="0"/>
    <x v="0"/>
    <x v="1"/>
    <s v="Electra Townie Original 7D EQ - Women's - 2016"/>
    <x v="1"/>
  </r>
  <r>
    <n v="285"/>
    <n v="1"/>
    <n v="16"/>
    <x v="1"/>
    <n v="599.99"/>
    <x v="2"/>
    <x v="3"/>
    <x v="1"/>
    <s v="Electra Townie Original 7D EQ - 2016"/>
    <x v="0"/>
  </r>
  <r>
    <n v="285"/>
    <n v="2"/>
    <n v="12"/>
    <x v="0"/>
    <n v="549.99"/>
    <x v="2"/>
    <x v="31"/>
    <x v="1"/>
    <s v="Electra Townie Original 21D - 2016"/>
    <x v="0"/>
  </r>
  <r>
    <n v="285"/>
    <n v="3"/>
    <n v="2"/>
    <x v="0"/>
    <n v="749.99"/>
    <x v="3"/>
    <x v="30"/>
    <x v="1"/>
    <s v="Ritchey Timberwolf Frameset - 2016"/>
    <x v="0"/>
  </r>
  <r>
    <n v="286"/>
    <n v="1"/>
    <n v="26"/>
    <x v="1"/>
    <n v="599.99"/>
    <x v="0"/>
    <x v="3"/>
    <x v="1"/>
    <s v="Electra Townie Original 7D EQ - 2016"/>
    <x v="1"/>
  </r>
  <r>
    <n v="286"/>
    <n v="2"/>
    <n v="21"/>
    <x v="1"/>
    <n v="269.99"/>
    <x v="1"/>
    <x v="17"/>
    <x v="1"/>
    <s v="Electra Cruiser 1 (24-Inch) - 2016"/>
    <x v="1"/>
  </r>
  <r>
    <n v="286"/>
    <n v="3"/>
    <n v="16"/>
    <x v="1"/>
    <n v="599.99"/>
    <x v="3"/>
    <x v="3"/>
    <x v="1"/>
    <s v="Electra Townie Original 7D EQ - 2016"/>
    <x v="1"/>
  </r>
  <r>
    <n v="286"/>
    <n v="4"/>
    <n v="7"/>
    <x v="0"/>
    <n v="3999.99"/>
    <x v="3"/>
    <x v="25"/>
    <x v="1"/>
    <s v="Trek Slash 8 27.5 - 2016"/>
    <x v="1"/>
  </r>
  <r>
    <n v="287"/>
    <n v="1"/>
    <n v="5"/>
    <x v="0"/>
    <n v="1320.99"/>
    <x v="0"/>
    <x v="24"/>
    <x v="1"/>
    <s v="Heller Shagamaw Frame - 2016"/>
    <x v="1"/>
  </r>
  <r>
    <n v="287"/>
    <n v="2"/>
    <n v="10"/>
    <x v="0"/>
    <n v="1549"/>
    <x v="2"/>
    <x v="27"/>
    <x v="1"/>
    <s v="Surly Straggler - 2016"/>
    <x v="1"/>
  </r>
  <r>
    <n v="287"/>
    <n v="3"/>
    <n v="2"/>
    <x v="0"/>
    <n v="749.99"/>
    <x v="2"/>
    <x v="30"/>
    <x v="1"/>
    <s v="Ritchey Timberwolf Frameset - 2016"/>
    <x v="1"/>
  </r>
  <r>
    <n v="287"/>
    <n v="4"/>
    <n v="20"/>
    <x v="0"/>
    <n v="599.99"/>
    <x v="2"/>
    <x v="0"/>
    <x v="1"/>
    <s v="Electra Townie Original 7D EQ - Women's - 2016"/>
    <x v="1"/>
  </r>
  <r>
    <n v="288"/>
    <n v="1"/>
    <n v="4"/>
    <x v="0"/>
    <n v="2899.99"/>
    <x v="0"/>
    <x v="4"/>
    <x v="1"/>
    <s v="Trek Fuel EX 8 29 - 2016"/>
    <x v="1"/>
  </r>
  <r>
    <n v="288"/>
    <n v="2"/>
    <n v="10"/>
    <x v="0"/>
    <n v="1549"/>
    <x v="3"/>
    <x v="27"/>
    <x v="1"/>
    <s v="Surly Straggler - 2016"/>
    <x v="1"/>
  </r>
  <r>
    <n v="288"/>
    <n v="3"/>
    <n v="7"/>
    <x v="1"/>
    <n v="3999.99"/>
    <x v="2"/>
    <x v="15"/>
    <x v="1"/>
    <s v="Trek Slash 8 27.5 - 2016"/>
    <x v="1"/>
  </r>
  <r>
    <n v="289"/>
    <n v="1"/>
    <n v="13"/>
    <x v="0"/>
    <n v="269.99"/>
    <x v="1"/>
    <x v="14"/>
    <x v="1"/>
    <s v="Electra Cruiser 1 (24-Inch) - 2016"/>
    <x v="1"/>
  </r>
  <r>
    <n v="289"/>
    <n v="2"/>
    <n v="24"/>
    <x v="0"/>
    <n v="549.99"/>
    <x v="0"/>
    <x v="31"/>
    <x v="1"/>
    <s v="Electra Townie Original 21D - 2016"/>
    <x v="1"/>
  </r>
  <r>
    <n v="289"/>
    <n v="3"/>
    <n v="17"/>
    <x v="0"/>
    <n v="429"/>
    <x v="0"/>
    <x v="7"/>
    <x v="1"/>
    <s v="Pure Cycles Vine 8-Speed - 2016"/>
    <x v="1"/>
  </r>
  <r>
    <n v="290"/>
    <n v="1"/>
    <n v="2"/>
    <x v="1"/>
    <n v="749.99"/>
    <x v="1"/>
    <x v="6"/>
    <x v="1"/>
    <s v="Ritchey Timberwolf Frameset - 2016"/>
    <x v="1"/>
  </r>
  <r>
    <n v="290"/>
    <n v="2"/>
    <n v="5"/>
    <x v="1"/>
    <n v="1320.99"/>
    <x v="1"/>
    <x v="34"/>
    <x v="1"/>
    <s v="Heller Shagamaw Frame - 2016"/>
    <x v="1"/>
  </r>
  <r>
    <n v="290"/>
    <n v="3"/>
    <n v="21"/>
    <x v="0"/>
    <n v="269.99"/>
    <x v="3"/>
    <x v="14"/>
    <x v="1"/>
    <s v="Electra Cruiser 1 (24-Inch) - 2016"/>
    <x v="1"/>
  </r>
  <r>
    <n v="291"/>
    <n v="1"/>
    <n v="6"/>
    <x v="1"/>
    <n v="469.99"/>
    <x v="2"/>
    <x v="35"/>
    <x v="1"/>
    <s v="Surly Ice Cream Truck Frameset - 2016"/>
    <x v="1"/>
  </r>
  <r>
    <n v="291"/>
    <n v="2"/>
    <n v="21"/>
    <x v="1"/>
    <n v="269.99"/>
    <x v="1"/>
    <x v="17"/>
    <x v="1"/>
    <s v="Electra Cruiser 1 (24-Inch) - 2016"/>
    <x v="1"/>
  </r>
  <r>
    <n v="292"/>
    <n v="1"/>
    <n v="18"/>
    <x v="1"/>
    <n v="449"/>
    <x v="3"/>
    <x v="21"/>
    <x v="1"/>
    <s v="Pure Cycles Western 3-Speed - Women's - 2015/2016"/>
    <x v="2"/>
  </r>
  <r>
    <n v="292"/>
    <n v="2"/>
    <n v="4"/>
    <x v="0"/>
    <n v="2899.99"/>
    <x v="1"/>
    <x v="4"/>
    <x v="1"/>
    <s v="Trek Fuel EX 8 29 - 2016"/>
    <x v="2"/>
  </r>
  <r>
    <n v="292"/>
    <n v="3"/>
    <n v="10"/>
    <x v="1"/>
    <n v="1549"/>
    <x v="2"/>
    <x v="2"/>
    <x v="1"/>
    <s v="Surly Straggler - 2016"/>
    <x v="2"/>
  </r>
  <r>
    <n v="293"/>
    <n v="1"/>
    <n v="19"/>
    <x v="1"/>
    <n v="449"/>
    <x v="2"/>
    <x v="21"/>
    <x v="1"/>
    <s v="Pure Cycles William 3-Speed - 2016"/>
    <x v="1"/>
  </r>
  <r>
    <n v="293"/>
    <n v="2"/>
    <n v="6"/>
    <x v="0"/>
    <n v="469.99"/>
    <x v="0"/>
    <x v="20"/>
    <x v="1"/>
    <s v="Surly Ice Cream Truck Frameset - 2016"/>
    <x v="1"/>
  </r>
  <r>
    <n v="294"/>
    <n v="1"/>
    <n v="18"/>
    <x v="0"/>
    <n v="449"/>
    <x v="0"/>
    <x v="8"/>
    <x v="1"/>
    <s v="Pure Cycles Western 3-Speed - Women's - 2015/2016"/>
    <x v="1"/>
  </r>
  <r>
    <n v="294"/>
    <n v="2"/>
    <n v="14"/>
    <x v="0"/>
    <n v="269.99"/>
    <x v="0"/>
    <x v="14"/>
    <x v="1"/>
    <s v="Electra Girl's Hawaii 1 (16-inch) - 2015/2016"/>
    <x v="1"/>
  </r>
  <r>
    <n v="294"/>
    <n v="3"/>
    <n v="7"/>
    <x v="1"/>
    <n v="3999.99"/>
    <x v="2"/>
    <x v="15"/>
    <x v="1"/>
    <s v="Trek Slash 8 27.5 - 2016"/>
    <x v="1"/>
  </r>
  <r>
    <n v="294"/>
    <n v="4"/>
    <n v="25"/>
    <x v="1"/>
    <n v="499.99"/>
    <x v="0"/>
    <x v="26"/>
    <x v="1"/>
    <s v="Electra Townie Original 7D - 2015/2016"/>
    <x v="1"/>
  </r>
  <r>
    <n v="295"/>
    <n v="1"/>
    <n v="22"/>
    <x v="1"/>
    <n v="269.99"/>
    <x v="1"/>
    <x v="17"/>
    <x v="1"/>
    <s v="Electra Girl's Hawaii 1 (16-inch) - 2015/2016"/>
    <x v="1"/>
  </r>
  <r>
    <n v="296"/>
    <n v="1"/>
    <n v="25"/>
    <x v="1"/>
    <n v="499.99"/>
    <x v="1"/>
    <x v="26"/>
    <x v="1"/>
    <s v="Electra Townie Original 7D - 2015/2016"/>
    <x v="1"/>
  </r>
  <r>
    <n v="296"/>
    <n v="2"/>
    <n v="12"/>
    <x v="1"/>
    <n v="549.99"/>
    <x v="3"/>
    <x v="9"/>
    <x v="1"/>
    <s v="Electra Townie Original 21D - 2016"/>
    <x v="1"/>
  </r>
  <r>
    <n v="296"/>
    <n v="3"/>
    <n v="11"/>
    <x v="1"/>
    <n v="1680.99"/>
    <x v="3"/>
    <x v="32"/>
    <x v="1"/>
    <s v="Surly Straggler 650b - 2016"/>
    <x v="1"/>
  </r>
  <r>
    <n v="296"/>
    <n v="4"/>
    <n v="9"/>
    <x v="0"/>
    <n v="2999.99"/>
    <x v="0"/>
    <x v="28"/>
    <x v="1"/>
    <s v="Trek Conduit+ - 2016"/>
    <x v="1"/>
  </r>
  <r>
    <n v="297"/>
    <n v="1"/>
    <n v="4"/>
    <x v="1"/>
    <n v="2899.99"/>
    <x v="0"/>
    <x v="18"/>
    <x v="1"/>
    <s v="Trek Fuel EX 8 29 - 2016"/>
    <x v="1"/>
  </r>
  <r>
    <n v="298"/>
    <n v="1"/>
    <n v="23"/>
    <x v="0"/>
    <n v="299.99"/>
    <x v="0"/>
    <x v="23"/>
    <x v="1"/>
    <s v="Electra Girl's Hawaii 1 (20-inch) - 2015/2016"/>
    <x v="2"/>
  </r>
  <r>
    <n v="298"/>
    <n v="2"/>
    <n v="6"/>
    <x v="1"/>
    <n v="469.99"/>
    <x v="2"/>
    <x v="35"/>
    <x v="1"/>
    <s v="Surly Ice Cream Truck Frameset - 2016"/>
    <x v="2"/>
  </r>
  <r>
    <n v="298"/>
    <n v="3"/>
    <n v="22"/>
    <x v="0"/>
    <n v="269.99"/>
    <x v="0"/>
    <x v="14"/>
    <x v="1"/>
    <s v="Electra Girl's Hawaii 1 (16-inch) - 2015/2016"/>
    <x v="2"/>
  </r>
  <r>
    <n v="298"/>
    <n v="4"/>
    <n v="9"/>
    <x v="0"/>
    <n v="2999.99"/>
    <x v="1"/>
    <x v="28"/>
    <x v="1"/>
    <s v="Trek Conduit+ - 2016"/>
    <x v="2"/>
  </r>
  <r>
    <n v="298"/>
    <n v="5"/>
    <n v="14"/>
    <x v="1"/>
    <n v="269.99"/>
    <x v="3"/>
    <x v="17"/>
    <x v="1"/>
    <s v="Electra Girl's Hawaii 1 (16-inch) - 2015/2016"/>
    <x v="2"/>
  </r>
  <r>
    <n v="299"/>
    <n v="1"/>
    <n v="11"/>
    <x v="1"/>
    <n v="1680.99"/>
    <x v="2"/>
    <x v="32"/>
    <x v="1"/>
    <s v="Surly Straggler 650b - 2016"/>
    <x v="1"/>
  </r>
  <r>
    <n v="299"/>
    <n v="2"/>
    <n v="10"/>
    <x v="1"/>
    <n v="1549"/>
    <x v="0"/>
    <x v="2"/>
    <x v="1"/>
    <s v="Surly Straggler - 2016"/>
    <x v="1"/>
  </r>
  <r>
    <n v="300"/>
    <n v="1"/>
    <n v="16"/>
    <x v="1"/>
    <n v="599.99"/>
    <x v="3"/>
    <x v="3"/>
    <x v="1"/>
    <s v="Electra Townie Original 7D EQ - 2016"/>
    <x v="1"/>
  </r>
  <r>
    <n v="300"/>
    <n v="2"/>
    <n v="9"/>
    <x v="1"/>
    <n v="2999.99"/>
    <x v="3"/>
    <x v="11"/>
    <x v="1"/>
    <s v="Trek Conduit+ - 2016"/>
    <x v="1"/>
  </r>
  <r>
    <n v="300"/>
    <n v="3"/>
    <n v="10"/>
    <x v="0"/>
    <n v="1549"/>
    <x v="3"/>
    <x v="27"/>
    <x v="1"/>
    <s v="Surly Straggler - 2016"/>
    <x v="1"/>
  </r>
  <r>
    <n v="300"/>
    <n v="4"/>
    <n v="11"/>
    <x v="1"/>
    <n v="1680.99"/>
    <x v="0"/>
    <x v="32"/>
    <x v="1"/>
    <s v="Surly Straggler 650b - 2016"/>
    <x v="1"/>
  </r>
  <r>
    <n v="301"/>
    <n v="1"/>
    <n v="6"/>
    <x v="0"/>
    <n v="469.99"/>
    <x v="2"/>
    <x v="20"/>
    <x v="1"/>
    <s v="Surly Ice Cream Truck Frameset - 2016"/>
    <x v="1"/>
  </r>
  <r>
    <n v="301"/>
    <n v="2"/>
    <n v="22"/>
    <x v="0"/>
    <n v="269.99"/>
    <x v="3"/>
    <x v="14"/>
    <x v="1"/>
    <s v="Electra Girl's Hawaii 1 (16-inch) - 2015/2016"/>
    <x v="1"/>
  </r>
  <r>
    <n v="302"/>
    <n v="1"/>
    <n v="24"/>
    <x v="1"/>
    <n v="549.99"/>
    <x v="0"/>
    <x v="9"/>
    <x v="1"/>
    <s v="Electra Townie Original 21D - 2016"/>
    <x v="1"/>
  </r>
  <r>
    <n v="302"/>
    <n v="2"/>
    <n v="18"/>
    <x v="1"/>
    <n v="449"/>
    <x v="1"/>
    <x v="21"/>
    <x v="1"/>
    <s v="Pure Cycles Western 3-Speed - Women's - 2015/2016"/>
    <x v="1"/>
  </r>
  <r>
    <n v="302"/>
    <n v="3"/>
    <n v="2"/>
    <x v="1"/>
    <n v="749.99"/>
    <x v="0"/>
    <x v="6"/>
    <x v="1"/>
    <s v="Ritchey Timberwolf Frameset - 2016"/>
    <x v="1"/>
  </r>
  <r>
    <n v="303"/>
    <n v="1"/>
    <n v="8"/>
    <x v="1"/>
    <n v="1799.99"/>
    <x v="2"/>
    <x v="1"/>
    <x v="1"/>
    <s v="Trek Remedy 29 Carbon Frameset - 2016"/>
    <x v="1"/>
  </r>
  <r>
    <n v="303"/>
    <n v="2"/>
    <n v="24"/>
    <x v="1"/>
    <n v="549.99"/>
    <x v="2"/>
    <x v="9"/>
    <x v="1"/>
    <s v="Electra Townie Original 21D - 2016"/>
    <x v="1"/>
  </r>
  <r>
    <n v="304"/>
    <n v="1"/>
    <n v="10"/>
    <x v="0"/>
    <n v="1549"/>
    <x v="2"/>
    <x v="27"/>
    <x v="1"/>
    <s v="Surly Straggler - 2016"/>
    <x v="1"/>
  </r>
  <r>
    <n v="304"/>
    <n v="2"/>
    <n v="7"/>
    <x v="1"/>
    <n v="3999.99"/>
    <x v="3"/>
    <x v="15"/>
    <x v="1"/>
    <s v="Trek Slash 8 27.5 - 2016"/>
    <x v="1"/>
  </r>
  <r>
    <n v="304"/>
    <n v="3"/>
    <n v="20"/>
    <x v="0"/>
    <n v="599.99"/>
    <x v="3"/>
    <x v="0"/>
    <x v="1"/>
    <s v="Electra Townie Original 7D EQ - Women's - 2016"/>
    <x v="1"/>
  </r>
  <r>
    <n v="305"/>
    <n v="1"/>
    <n v="10"/>
    <x v="0"/>
    <n v="1549"/>
    <x v="1"/>
    <x v="27"/>
    <x v="1"/>
    <s v="Surly Straggler - 2016"/>
    <x v="1"/>
  </r>
  <r>
    <n v="305"/>
    <n v="2"/>
    <n v="6"/>
    <x v="0"/>
    <n v="469.99"/>
    <x v="3"/>
    <x v="20"/>
    <x v="1"/>
    <s v="Surly Ice Cream Truck Frameset - 2016"/>
    <x v="1"/>
  </r>
  <r>
    <n v="305"/>
    <n v="3"/>
    <n v="3"/>
    <x v="1"/>
    <n v="999.99"/>
    <x v="0"/>
    <x v="10"/>
    <x v="1"/>
    <s v="Surly Wednesday Frameset - 2016"/>
    <x v="1"/>
  </r>
  <r>
    <n v="306"/>
    <n v="1"/>
    <n v="10"/>
    <x v="0"/>
    <n v="1549"/>
    <x v="0"/>
    <x v="27"/>
    <x v="1"/>
    <s v="Surly Straggler - 2016"/>
    <x v="1"/>
  </r>
  <r>
    <n v="306"/>
    <n v="2"/>
    <n v="22"/>
    <x v="0"/>
    <n v="269.99"/>
    <x v="1"/>
    <x v="14"/>
    <x v="1"/>
    <s v="Electra Girl's Hawaii 1 (16-inch) - 2015/2016"/>
    <x v="1"/>
  </r>
  <r>
    <n v="307"/>
    <n v="1"/>
    <n v="15"/>
    <x v="1"/>
    <n v="529.99"/>
    <x v="2"/>
    <x v="29"/>
    <x v="1"/>
    <s v="Electra Moto 1 - 2016"/>
    <x v="1"/>
  </r>
  <r>
    <n v="308"/>
    <n v="1"/>
    <n v="7"/>
    <x v="0"/>
    <n v="3999.99"/>
    <x v="3"/>
    <x v="25"/>
    <x v="1"/>
    <s v="Trek Slash 8 27.5 - 2016"/>
    <x v="1"/>
  </r>
  <r>
    <n v="308"/>
    <n v="2"/>
    <n v="18"/>
    <x v="1"/>
    <n v="449"/>
    <x v="0"/>
    <x v="21"/>
    <x v="1"/>
    <s v="Pure Cycles Western 3-Speed - Women's - 2015/2016"/>
    <x v="1"/>
  </r>
  <r>
    <n v="308"/>
    <n v="3"/>
    <n v="14"/>
    <x v="0"/>
    <n v="269.99"/>
    <x v="0"/>
    <x v="14"/>
    <x v="1"/>
    <s v="Electra Girl's Hawaii 1 (16-inch) - 2015/2016"/>
    <x v="1"/>
  </r>
  <r>
    <n v="309"/>
    <n v="1"/>
    <n v="3"/>
    <x v="0"/>
    <n v="999.99"/>
    <x v="2"/>
    <x v="5"/>
    <x v="1"/>
    <s v="Surly Wednesday Frameset - 2016"/>
    <x v="1"/>
  </r>
  <r>
    <n v="309"/>
    <n v="2"/>
    <n v="12"/>
    <x v="0"/>
    <n v="549.99"/>
    <x v="2"/>
    <x v="31"/>
    <x v="1"/>
    <s v="Electra Townie Original 21D - 2016"/>
    <x v="1"/>
  </r>
  <r>
    <n v="310"/>
    <n v="1"/>
    <n v="7"/>
    <x v="1"/>
    <n v="3999.99"/>
    <x v="1"/>
    <x v="15"/>
    <x v="1"/>
    <s v="Trek Slash 8 27.5 - 2016"/>
    <x v="0"/>
  </r>
  <r>
    <n v="310"/>
    <n v="2"/>
    <n v="14"/>
    <x v="1"/>
    <n v="269.99"/>
    <x v="3"/>
    <x v="17"/>
    <x v="1"/>
    <s v="Electra Girl's Hawaii 1 (16-inch) - 2015/2016"/>
    <x v="0"/>
  </r>
  <r>
    <n v="310"/>
    <n v="3"/>
    <n v="5"/>
    <x v="1"/>
    <n v="1320.99"/>
    <x v="0"/>
    <x v="34"/>
    <x v="1"/>
    <s v="Heller Shagamaw Frame - 2016"/>
    <x v="0"/>
  </r>
  <r>
    <n v="310"/>
    <n v="4"/>
    <n v="8"/>
    <x v="0"/>
    <n v="1799.99"/>
    <x v="0"/>
    <x v="16"/>
    <x v="1"/>
    <s v="Trek Remedy 29 Carbon Frameset - 2016"/>
    <x v="0"/>
  </r>
  <r>
    <n v="311"/>
    <n v="1"/>
    <n v="17"/>
    <x v="1"/>
    <n v="429"/>
    <x v="2"/>
    <x v="13"/>
    <x v="1"/>
    <s v="Pure Cycles Vine 8-Speed - 2016"/>
    <x v="1"/>
  </r>
  <r>
    <n v="311"/>
    <n v="2"/>
    <n v="5"/>
    <x v="1"/>
    <n v="1320.99"/>
    <x v="0"/>
    <x v="34"/>
    <x v="1"/>
    <s v="Heller Shagamaw Frame - 2016"/>
    <x v="1"/>
  </r>
  <r>
    <n v="312"/>
    <n v="1"/>
    <n v="24"/>
    <x v="1"/>
    <n v="549.99"/>
    <x v="2"/>
    <x v="9"/>
    <x v="1"/>
    <s v="Electra Townie Original 21D - 2016"/>
    <x v="1"/>
  </r>
  <r>
    <n v="312"/>
    <n v="2"/>
    <n v="14"/>
    <x v="1"/>
    <n v="269.99"/>
    <x v="1"/>
    <x v="17"/>
    <x v="1"/>
    <s v="Electra Girl's Hawaii 1 (16-inch) - 2015/2016"/>
    <x v="1"/>
  </r>
  <r>
    <n v="312"/>
    <n v="3"/>
    <n v="16"/>
    <x v="1"/>
    <n v="599.99"/>
    <x v="2"/>
    <x v="3"/>
    <x v="1"/>
    <s v="Electra Townie Original 7D EQ - 2016"/>
    <x v="1"/>
  </r>
  <r>
    <n v="313"/>
    <n v="1"/>
    <n v="4"/>
    <x v="0"/>
    <n v="2899.99"/>
    <x v="1"/>
    <x v="4"/>
    <x v="1"/>
    <s v="Trek Fuel EX 8 29 - 2016"/>
    <x v="2"/>
  </r>
  <r>
    <n v="313"/>
    <n v="2"/>
    <n v="10"/>
    <x v="1"/>
    <n v="1549"/>
    <x v="1"/>
    <x v="2"/>
    <x v="1"/>
    <s v="Surly Straggler - 2016"/>
    <x v="2"/>
  </r>
  <r>
    <n v="314"/>
    <n v="1"/>
    <n v="5"/>
    <x v="0"/>
    <n v="1320.99"/>
    <x v="1"/>
    <x v="24"/>
    <x v="1"/>
    <s v="Heller Shagamaw Frame - 2016"/>
    <x v="1"/>
  </r>
  <r>
    <n v="314"/>
    <n v="2"/>
    <n v="9"/>
    <x v="0"/>
    <n v="2999.99"/>
    <x v="2"/>
    <x v="28"/>
    <x v="1"/>
    <s v="Trek Conduit+ - 2016"/>
    <x v="1"/>
  </r>
  <r>
    <n v="314"/>
    <n v="3"/>
    <n v="22"/>
    <x v="1"/>
    <n v="269.99"/>
    <x v="0"/>
    <x v="17"/>
    <x v="1"/>
    <s v="Electra Girl's Hawaii 1 (16-inch) - 2015/2016"/>
    <x v="1"/>
  </r>
  <r>
    <n v="314"/>
    <n v="4"/>
    <n v="7"/>
    <x v="1"/>
    <n v="3999.99"/>
    <x v="1"/>
    <x v="15"/>
    <x v="1"/>
    <s v="Trek Slash 8 27.5 - 2016"/>
    <x v="1"/>
  </r>
  <r>
    <n v="315"/>
    <n v="1"/>
    <n v="11"/>
    <x v="0"/>
    <n v="1680.99"/>
    <x v="0"/>
    <x v="19"/>
    <x v="1"/>
    <s v="Surly Straggler 650b - 2016"/>
    <x v="1"/>
  </r>
  <r>
    <n v="315"/>
    <n v="2"/>
    <n v="9"/>
    <x v="0"/>
    <n v="2999.99"/>
    <x v="3"/>
    <x v="28"/>
    <x v="1"/>
    <s v="Trek Conduit+ - 2016"/>
    <x v="1"/>
  </r>
  <r>
    <n v="316"/>
    <n v="1"/>
    <n v="2"/>
    <x v="1"/>
    <n v="749.99"/>
    <x v="0"/>
    <x v="6"/>
    <x v="1"/>
    <s v="Ritchey Timberwolf Frameset - 2016"/>
    <x v="1"/>
  </r>
  <r>
    <n v="316"/>
    <n v="2"/>
    <n v="16"/>
    <x v="1"/>
    <n v="599.99"/>
    <x v="3"/>
    <x v="3"/>
    <x v="1"/>
    <s v="Electra Townie Original 7D EQ - 2016"/>
    <x v="1"/>
  </r>
  <r>
    <n v="316"/>
    <n v="3"/>
    <n v="20"/>
    <x v="0"/>
    <n v="599.99"/>
    <x v="3"/>
    <x v="0"/>
    <x v="1"/>
    <s v="Electra Townie Original 7D EQ - Women's - 2016"/>
    <x v="1"/>
  </r>
  <r>
    <n v="316"/>
    <n v="4"/>
    <n v="19"/>
    <x v="0"/>
    <n v="449"/>
    <x v="0"/>
    <x v="8"/>
    <x v="1"/>
    <s v="Pure Cycles William 3-Speed - 2016"/>
    <x v="1"/>
  </r>
  <r>
    <n v="316"/>
    <n v="5"/>
    <n v="17"/>
    <x v="0"/>
    <n v="429"/>
    <x v="2"/>
    <x v="7"/>
    <x v="1"/>
    <s v="Pure Cycles Vine 8-Speed - 2016"/>
    <x v="1"/>
  </r>
  <r>
    <n v="317"/>
    <n v="1"/>
    <n v="10"/>
    <x v="0"/>
    <n v="1549"/>
    <x v="0"/>
    <x v="27"/>
    <x v="1"/>
    <s v="Surly Straggler - 2016"/>
    <x v="1"/>
  </r>
  <r>
    <n v="317"/>
    <n v="2"/>
    <n v="22"/>
    <x v="0"/>
    <n v="269.99"/>
    <x v="2"/>
    <x v="14"/>
    <x v="1"/>
    <s v="Electra Girl's Hawaii 1 (16-inch) - 2015/2016"/>
    <x v="1"/>
  </r>
  <r>
    <n v="317"/>
    <n v="3"/>
    <n v="15"/>
    <x v="0"/>
    <n v="529.99"/>
    <x v="2"/>
    <x v="12"/>
    <x v="1"/>
    <s v="Electra Moto 1 - 2016"/>
    <x v="1"/>
  </r>
  <r>
    <n v="317"/>
    <n v="4"/>
    <n v="13"/>
    <x v="1"/>
    <n v="269.99"/>
    <x v="0"/>
    <x v="17"/>
    <x v="1"/>
    <s v="Electra Cruiser 1 (24-Inch) - 2016"/>
    <x v="1"/>
  </r>
  <r>
    <n v="318"/>
    <n v="1"/>
    <n v="13"/>
    <x v="1"/>
    <n v="269.99"/>
    <x v="3"/>
    <x v="17"/>
    <x v="1"/>
    <s v="Electra Cruiser 1 (24-Inch) - 2016"/>
    <x v="1"/>
  </r>
  <r>
    <n v="318"/>
    <n v="2"/>
    <n v="25"/>
    <x v="1"/>
    <n v="499.99"/>
    <x v="0"/>
    <x v="26"/>
    <x v="1"/>
    <s v="Electra Townie Original 7D - 2015/2016"/>
    <x v="1"/>
  </r>
  <r>
    <n v="318"/>
    <n v="3"/>
    <n v="9"/>
    <x v="0"/>
    <n v="2999.99"/>
    <x v="2"/>
    <x v="28"/>
    <x v="1"/>
    <s v="Trek Conduit+ - 2016"/>
    <x v="1"/>
  </r>
  <r>
    <n v="319"/>
    <n v="1"/>
    <n v="11"/>
    <x v="0"/>
    <n v="1680.99"/>
    <x v="1"/>
    <x v="19"/>
    <x v="1"/>
    <s v="Surly Straggler 650b - 2016"/>
    <x v="1"/>
  </r>
  <r>
    <n v="319"/>
    <n v="2"/>
    <n v="21"/>
    <x v="0"/>
    <n v="269.99"/>
    <x v="0"/>
    <x v="14"/>
    <x v="1"/>
    <s v="Electra Cruiser 1 (24-Inch) - 2016"/>
    <x v="1"/>
  </r>
  <r>
    <n v="319"/>
    <n v="3"/>
    <n v="15"/>
    <x v="1"/>
    <n v="529.99"/>
    <x v="3"/>
    <x v="29"/>
    <x v="1"/>
    <s v="Electra Moto 1 - 2016"/>
    <x v="1"/>
  </r>
  <r>
    <n v="319"/>
    <n v="4"/>
    <n v="23"/>
    <x v="0"/>
    <n v="299.99"/>
    <x v="2"/>
    <x v="23"/>
    <x v="1"/>
    <s v="Electra Girl's Hawaii 1 (20-inch) - 2015/2016"/>
    <x v="1"/>
  </r>
  <r>
    <n v="320"/>
    <n v="1"/>
    <n v="2"/>
    <x v="0"/>
    <n v="749.99"/>
    <x v="3"/>
    <x v="30"/>
    <x v="1"/>
    <s v="Ritchey Timberwolf Frameset - 2016"/>
    <x v="0"/>
  </r>
  <r>
    <n v="321"/>
    <n v="1"/>
    <n v="4"/>
    <x v="1"/>
    <n v="2899.99"/>
    <x v="0"/>
    <x v="18"/>
    <x v="1"/>
    <s v="Trek Fuel EX 8 29 - 2016"/>
    <x v="1"/>
  </r>
  <r>
    <n v="321"/>
    <n v="2"/>
    <n v="12"/>
    <x v="1"/>
    <n v="549.99"/>
    <x v="0"/>
    <x v="9"/>
    <x v="1"/>
    <s v="Electra Townie Original 21D - 2016"/>
    <x v="1"/>
  </r>
  <r>
    <n v="321"/>
    <n v="3"/>
    <n v="26"/>
    <x v="0"/>
    <n v="599.99"/>
    <x v="0"/>
    <x v="0"/>
    <x v="1"/>
    <s v="Electra Townie Original 7D EQ - 2016"/>
    <x v="1"/>
  </r>
  <r>
    <n v="321"/>
    <n v="4"/>
    <n v="23"/>
    <x v="1"/>
    <n v="299.99"/>
    <x v="0"/>
    <x v="22"/>
    <x v="1"/>
    <s v="Electra Girl's Hawaii 1 (20-inch) - 2015/2016"/>
    <x v="1"/>
  </r>
  <r>
    <n v="322"/>
    <n v="1"/>
    <n v="13"/>
    <x v="1"/>
    <n v="269.99"/>
    <x v="0"/>
    <x v="17"/>
    <x v="1"/>
    <s v="Electra Cruiser 1 (24-Inch) - 2016"/>
    <x v="1"/>
  </r>
  <r>
    <n v="322"/>
    <n v="2"/>
    <n v="21"/>
    <x v="0"/>
    <n v="269.99"/>
    <x v="1"/>
    <x v="14"/>
    <x v="1"/>
    <s v="Electra Cruiser 1 (24-Inch) - 2016"/>
    <x v="1"/>
  </r>
  <r>
    <n v="323"/>
    <n v="1"/>
    <n v="13"/>
    <x v="1"/>
    <n v="269.99"/>
    <x v="1"/>
    <x v="17"/>
    <x v="1"/>
    <s v="Electra Cruiser 1 (24-Inch) - 2016"/>
    <x v="1"/>
  </r>
  <r>
    <n v="323"/>
    <n v="2"/>
    <n v="26"/>
    <x v="1"/>
    <n v="599.99"/>
    <x v="3"/>
    <x v="3"/>
    <x v="1"/>
    <s v="Electra Townie Original 7D EQ - 2016"/>
    <x v="1"/>
  </r>
  <r>
    <n v="324"/>
    <n v="1"/>
    <n v="2"/>
    <x v="1"/>
    <n v="749.99"/>
    <x v="3"/>
    <x v="6"/>
    <x v="1"/>
    <s v="Ritchey Timberwolf Frameset - 2016"/>
    <x v="1"/>
  </r>
  <r>
    <n v="324"/>
    <n v="2"/>
    <n v="17"/>
    <x v="0"/>
    <n v="429"/>
    <x v="0"/>
    <x v="7"/>
    <x v="1"/>
    <s v="Pure Cycles Vine 8-Speed - 2016"/>
    <x v="1"/>
  </r>
  <r>
    <n v="324"/>
    <n v="3"/>
    <n v="22"/>
    <x v="1"/>
    <n v="269.99"/>
    <x v="0"/>
    <x v="17"/>
    <x v="1"/>
    <s v="Electra Girl's Hawaii 1 (16-inch) - 2015/2016"/>
    <x v="1"/>
  </r>
  <r>
    <n v="324"/>
    <n v="4"/>
    <n v="19"/>
    <x v="0"/>
    <n v="449"/>
    <x v="2"/>
    <x v="8"/>
    <x v="1"/>
    <s v="Pure Cycles William 3-Speed - 2016"/>
    <x v="1"/>
  </r>
  <r>
    <n v="324"/>
    <n v="5"/>
    <n v="12"/>
    <x v="0"/>
    <n v="549.99"/>
    <x v="2"/>
    <x v="31"/>
    <x v="1"/>
    <s v="Electra Townie Original 21D - 2016"/>
    <x v="1"/>
  </r>
  <r>
    <n v="325"/>
    <n v="1"/>
    <n v="7"/>
    <x v="0"/>
    <n v="3999.99"/>
    <x v="2"/>
    <x v="25"/>
    <x v="1"/>
    <s v="Trek Slash 8 27.5 - 2016"/>
    <x v="1"/>
  </r>
  <r>
    <n v="325"/>
    <n v="2"/>
    <n v="12"/>
    <x v="0"/>
    <n v="549.99"/>
    <x v="0"/>
    <x v="31"/>
    <x v="1"/>
    <s v="Electra Townie Original 21D - 2016"/>
    <x v="1"/>
  </r>
  <r>
    <n v="325"/>
    <n v="3"/>
    <n v="6"/>
    <x v="1"/>
    <n v="469.99"/>
    <x v="0"/>
    <x v="35"/>
    <x v="1"/>
    <s v="Surly Ice Cream Truck Frameset - 2016"/>
    <x v="1"/>
  </r>
  <r>
    <n v="326"/>
    <n v="1"/>
    <n v="12"/>
    <x v="0"/>
    <n v="549.99"/>
    <x v="3"/>
    <x v="31"/>
    <x v="1"/>
    <s v="Electra Townie Original 21D - 2016"/>
    <x v="2"/>
  </r>
  <r>
    <n v="326"/>
    <n v="2"/>
    <n v="23"/>
    <x v="0"/>
    <n v="299.99"/>
    <x v="1"/>
    <x v="23"/>
    <x v="1"/>
    <s v="Electra Girl's Hawaii 1 (20-inch) - 2015/2016"/>
    <x v="2"/>
  </r>
  <r>
    <n v="327"/>
    <n v="1"/>
    <n v="12"/>
    <x v="1"/>
    <n v="549.99"/>
    <x v="1"/>
    <x v="9"/>
    <x v="1"/>
    <s v="Electra Townie Original 21D - 2016"/>
    <x v="1"/>
  </r>
  <r>
    <n v="327"/>
    <n v="2"/>
    <n v="13"/>
    <x v="0"/>
    <n v="269.99"/>
    <x v="1"/>
    <x v="14"/>
    <x v="1"/>
    <s v="Electra Cruiser 1 (24-Inch) - 2016"/>
    <x v="1"/>
  </r>
  <r>
    <n v="327"/>
    <n v="3"/>
    <n v="4"/>
    <x v="0"/>
    <n v="2899.99"/>
    <x v="2"/>
    <x v="4"/>
    <x v="1"/>
    <s v="Trek Fuel EX 8 29 - 2016"/>
    <x v="1"/>
  </r>
  <r>
    <n v="328"/>
    <n v="1"/>
    <n v="6"/>
    <x v="1"/>
    <n v="469.99"/>
    <x v="3"/>
    <x v="35"/>
    <x v="1"/>
    <s v="Surly Ice Cream Truck Frameset - 2016"/>
    <x v="1"/>
  </r>
  <r>
    <n v="329"/>
    <n v="1"/>
    <n v="14"/>
    <x v="1"/>
    <n v="269.99"/>
    <x v="1"/>
    <x v="17"/>
    <x v="1"/>
    <s v="Electra Girl's Hawaii 1 (16-inch) - 2015/2016"/>
    <x v="1"/>
  </r>
  <r>
    <n v="329"/>
    <n v="2"/>
    <n v="8"/>
    <x v="1"/>
    <n v="1799.99"/>
    <x v="2"/>
    <x v="1"/>
    <x v="1"/>
    <s v="Trek Remedy 29 Carbon Frameset - 2016"/>
    <x v="1"/>
  </r>
  <r>
    <n v="329"/>
    <n v="3"/>
    <n v="23"/>
    <x v="0"/>
    <n v="299.99"/>
    <x v="0"/>
    <x v="23"/>
    <x v="1"/>
    <s v="Electra Girl's Hawaii 1 (20-inch) - 2015/2016"/>
    <x v="1"/>
  </r>
  <r>
    <n v="329"/>
    <n v="4"/>
    <n v="17"/>
    <x v="0"/>
    <n v="429"/>
    <x v="1"/>
    <x v="7"/>
    <x v="1"/>
    <s v="Pure Cycles Vine 8-Speed - 2016"/>
    <x v="1"/>
  </r>
  <r>
    <n v="329"/>
    <n v="5"/>
    <n v="26"/>
    <x v="1"/>
    <n v="599.99"/>
    <x v="2"/>
    <x v="3"/>
    <x v="1"/>
    <s v="Electra Townie Original 7D EQ - 2016"/>
    <x v="1"/>
  </r>
  <r>
    <n v="330"/>
    <n v="1"/>
    <n v="21"/>
    <x v="1"/>
    <n v="269.99"/>
    <x v="2"/>
    <x v="17"/>
    <x v="1"/>
    <s v="Electra Cruiser 1 (24-Inch) - 2016"/>
    <x v="1"/>
  </r>
  <r>
    <n v="331"/>
    <n v="1"/>
    <n v="17"/>
    <x v="1"/>
    <n v="429"/>
    <x v="3"/>
    <x v="13"/>
    <x v="1"/>
    <s v="Pure Cycles Vine 8-Speed - 2016"/>
    <x v="1"/>
  </r>
  <r>
    <n v="332"/>
    <n v="1"/>
    <n v="18"/>
    <x v="1"/>
    <n v="449"/>
    <x v="2"/>
    <x v="21"/>
    <x v="1"/>
    <s v="Pure Cycles Western 3-Speed - Women's - 2015/2016"/>
    <x v="1"/>
  </r>
  <r>
    <n v="333"/>
    <n v="1"/>
    <n v="18"/>
    <x v="1"/>
    <n v="449"/>
    <x v="1"/>
    <x v="21"/>
    <x v="1"/>
    <s v="Pure Cycles Western 3-Speed - Women's - 2015/2016"/>
    <x v="1"/>
  </r>
  <r>
    <n v="333"/>
    <n v="2"/>
    <n v="8"/>
    <x v="1"/>
    <n v="1799.99"/>
    <x v="2"/>
    <x v="1"/>
    <x v="1"/>
    <s v="Trek Remedy 29 Carbon Frameset - 2016"/>
    <x v="1"/>
  </r>
  <r>
    <n v="333"/>
    <n v="3"/>
    <n v="3"/>
    <x v="0"/>
    <n v="999.99"/>
    <x v="0"/>
    <x v="5"/>
    <x v="1"/>
    <s v="Surly Wednesday Frameset - 2016"/>
    <x v="1"/>
  </r>
  <r>
    <n v="334"/>
    <n v="1"/>
    <n v="16"/>
    <x v="1"/>
    <n v="599.99"/>
    <x v="0"/>
    <x v="3"/>
    <x v="1"/>
    <s v="Electra Townie Original 7D EQ - 2016"/>
    <x v="1"/>
  </r>
  <r>
    <n v="334"/>
    <n v="2"/>
    <n v="9"/>
    <x v="0"/>
    <n v="2999.99"/>
    <x v="2"/>
    <x v="28"/>
    <x v="1"/>
    <s v="Trek Conduit+ - 2016"/>
    <x v="1"/>
  </r>
  <r>
    <n v="334"/>
    <n v="3"/>
    <n v="3"/>
    <x v="1"/>
    <n v="999.99"/>
    <x v="2"/>
    <x v="10"/>
    <x v="1"/>
    <s v="Surly Wednesday Frameset - 2016"/>
    <x v="1"/>
  </r>
  <r>
    <n v="335"/>
    <n v="1"/>
    <n v="6"/>
    <x v="0"/>
    <n v="469.99"/>
    <x v="3"/>
    <x v="20"/>
    <x v="1"/>
    <s v="Surly Ice Cream Truck Frameset - 2016"/>
    <x v="1"/>
  </r>
  <r>
    <n v="335"/>
    <n v="2"/>
    <n v="2"/>
    <x v="1"/>
    <n v="749.99"/>
    <x v="3"/>
    <x v="6"/>
    <x v="1"/>
    <s v="Ritchey Timberwolf Frameset - 2016"/>
    <x v="1"/>
  </r>
  <r>
    <n v="335"/>
    <n v="3"/>
    <n v="21"/>
    <x v="0"/>
    <n v="269.99"/>
    <x v="1"/>
    <x v="14"/>
    <x v="1"/>
    <s v="Electra Cruiser 1 (24-Inch) - 2016"/>
    <x v="1"/>
  </r>
  <r>
    <n v="336"/>
    <n v="1"/>
    <n v="4"/>
    <x v="0"/>
    <n v="2899.99"/>
    <x v="3"/>
    <x v="4"/>
    <x v="1"/>
    <s v="Trek Fuel EX 8 29 - 2016"/>
    <x v="1"/>
  </r>
  <r>
    <n v="336"/>
    <n v="2"/>
    <n v="12"/>
    <x v="0"/>
    <n v="549.99"/>
    <x v="0"/>
    <x v="31"/>
    <x v="1"/>
    <s v="Electra Townie Original 21D - 2016"/>
    <x v="1"/>
  </r>
  <r>
    <n v="337"/>
    <n v="1"/>
    <n v="18"/>
    <x v="0"/>
    <n v="449"/>
    <x v="2"/>
    <x v="8"/>
    <x v="1"/>
    <s v="Pure Cycles Western 3-Speed - Women's - 2015/2016"/>
    <x v="1"/>
  </r>
  <r>
    <n v="337"/>
    <n v="2"/>
    <n v="4"/>
    <x v="0"/>
    <n v="2899.99"/>
    <x v="2"/>
    <x v="4"/>
    <x v="1"/>
    <s v="Trek Fuel EX 8 29 - 2016"/>
    <x v="1"/>
  </r>
  <r>
    <n v="338"/>
    <n v="1"/>
    <n v="6"/>
    <x v="1"/>
    <n v="469.99"/>
    <x v="1"/>
    <x v="35"/>
    <x v="1"/>
    <s v="Surly Ice Cream Truck Frameset - 2016"/>
    <x v="0"/>
  </r>
  <r>
    <n v="338"/>
    <n v="2"/>
    <n v="10"/>
    <x v="0"/>
    <n v="1549"/>
    <x v="1"/>
    <x v="27"/>
    <x v="1"/>
    <s v="Surly Straggler - 2016"/>
    <x v="0"/>
  </r>
  <r>
    <n v="338"/>
    <n v="3"/>
    <n v="22"/>
    <x v="0"/>
    <n v="269.99"/>
    <x v="3"/>
    <x v="14"/>
    <x v="1"/>
    <s v="Electra Girl's Hawaii 1 (16-inch) - 2015/2016"/>
    <x v="0"/>
  </r>
  <r>
    <n v="338"/>
    <n v="4"/>
    <n v="11"/>
    <x v="1"/>
    <n v="1680.99"/>
    <x v="1"/>
    <x v="32"/>
    <x v="1"/>
    <s v="Surly Straggler 650b - 2016"/>
    <x v="0"/>
  </r>
  <r>
    <n v="338"/>
    <n v="5"/>
    <n v="9"/>
    <x v="0"/>
    <n v="2999.99"/>
    <x v="2"/>
    <x v="28"/>
    <x v="1"/>
    <s v="Trek Conduit+ - 2016"/>
    <x v="0"/>
  </r>
  <r>
    <n v="339"/>
    <n v="1"/>
    <n v="13"/>
    <x v="0"/>
    <n v="269.99"/>
    <x v="3"/>
    <x v="14"/>
    <x v="1"/>
    <s v="Electra Cruiser 1 (24-Inch) - 2016"/>
    <x v="1"/>
  </r>
  <r>
    <n v="339"/>
    <n v="2"/>
    <n v="15"/>
    <x v="1"/>
    <n v="529.99"/>
    <x v="2"/>
    <x v="29"/>
    <x v="1"/>
    <s v="Electra Moto 1 - 2016"/>
    <x v="1"/>
  </r>
  <r>
    <n v="340"/>
    <n v="1"/>
    <n v="11"/>
    <x v="0"/>
    <n v="1680.99"/>
    <x v="2"/>
    <x v="19"/>
    <x v="1"/>
    <s v="Surly Straggler 650b - 2016"/>
    <x v="1"/>
  </r>
  <r>
    <n v="340"/>
    <n v="2"/>
    <n v="24"/>
    <x v="0"/>
    <n v="549.99"/>
    <x v="2"/>
    <x v="31"/>
    <x v="1"/>
    <s v="Electra Townie Original 21D - 2016"/>
    <x v="1"/>
  </r>
  <r>
    <n v="340"/>
    <n v="3"/>
    <n v="13"/>
    <x v="1"/>
    <n v="269.99"/>
    <x v="3"/>
    <x v="17"/>
    <x v="1"/>
    <s v="Electra Cruiser 1 (24-Inch) - 2016"/>
    <x v="1"/>
  </r>
  <r>
    <n v="340"/>
    <n v="4"/>
    <n v="12"/>
    <x v="1"/>
    <n v="549.99"/>
    <x v="1"/>
    <x v="9"/>
    <x v="1"/>
    <s v="Electra Townie Original 21D - 2016"/>
    <x v="1"/>
  </r>
  <r>
    <n v="340"/>
    <n v="5"/>
    <n v="10"/>
    <x v="1"/>
    <n v="1549"/>
    <x v="3"/>
    <x v="2"/>
    <x v="1"/>
    <s v="Surly Straggler - 2016"/>
    <x v="1"/>
  </r>
  <r>
    <n v="341"/>
    <n v="1"/>
    <n v="23"/>
    <x v="1"/>
    <n v="299.99"/>
    <x v="2"/>
    <x v="22"/>
    <x v="1"/>
    <s v="Electra Girl's Hawaii 1 (20-inch) - 2015/2016"/>
    <x v="0"/>
  </r>
  <r>
    <n v="342"/>
    <n v="1"/>
    <n v="26"/>
    <x v="0"/>
    <n v="599.99"/>
    <x v="1"/>
    <x v="0"/>
    <x v="1"/>
    <s v="Electra Townie Original 7D EQ - 2016"/>
    <x v="1"/>
  </r>
  <r>
    <n v="342"/>
    <n v="2"/>
    <n v="9"/>
    <x v="0"/>
    <n v="2999.99"/>
    <x v="0"/>
    <x v="28"/>
    <x v="1"/>
    <s v="Trek Conduit+ - 2016"/>
    <x v="1"/>
  </r>
  <r>
    <n v="342"/>
    <n v="3"/>
    <n v="16"/>
    <x v="1"/>
    <n v="599.99"/>
    <x v="3"/>
    <x v="3"/>
    <x v="1"/>
    <s v="Electra Townie Original 7D EQ - 2016"/>
    <x v="1"/>
  </r>
  <r>
    <n v="343"/>
    <n v="1"/>
    <n v="20"/>
    <x v="1"/>
    <n v="599.99"/>
    <x v="0"/>
    <x v="3"/>
    <x v="1"/>
    <s v="Electra Townie Original 7D EQ - Women's - 2016"/>
    <x v="1"/>
  </r>
  <r>
    <n v="343"/>
    <n v="2"/>
    <n v="25"/>
    <x v="0"/>
    <n v="499.99"/>
    <x v="2"/>
    <x v="33"/>
    <x v="1"/>
    <s v="Electra Townie Original 7D - 2015/2016"/>
    <x v="1"/>
  </r>
  <r>
    <n v="343"/>
    <n v="3"/>
    <n v="5"/>
    <x v="1"/>
    <n v="1320.99"/>
    <x v="2"/>
    <x v="34"/>
    <x v="1"/>
    <s v="Heller Shagamaw Frame - 2016"/>
    <x v="1"/>
  </r>
  <r>
    <n v="343"/>
    <n v="4"/>
    <n v="10"/>
    <x v="0"/>
    <n v="1549"/>
    <x v="3"/>
    <x v="27"/>
    <x v="1"/>
    <s v="Surly Straggler - 2016"/>
    <x v="1"/>
  </r>
  <r>
    <n v="344"/>
    <n v="1"/>
    <n v="22"/>
    <x v="0"/>
    <n v="269.99"/>
    <x v="2"/>
    <x v="14"/>
    <x v="1"/>
    <s v="Electra Girl's Hawaii 1 (16-inch) - 2015/2016"/>
    <x v="1"/>
  </r>
  <r>
    <n v="344"/>
    <n v="2"/>
    <n v="18"/>
    <x v="1"/>
    <n v="449"/>
    <x v="1"/>
    <x v="21"/>
    <x v="1"/>
    <s v="Pure Cycles Western 3-Speed - Women's - 2015/2016"/>
    <x v="1"/>
  </r>
  <r>
    <n v="344"/>
    <n v="3"/>
    <n v="14"/>
    <x v="0"/>
    <n v="269.99"/>
    <x v="0"/>
    <x v="14"/>
    <x v="1"/>
    <s v="Electra Girl's Hawaii 1 (16-inch) - 2015/2016"/>
    <x v="1"/>
  </r>
  <r>
    <n v="345"/>
    <n v="1"/>
    <n v="18"/>
    <x v="1"/>
    <n v="449"/>
    <x v="3"/>
    <x v="21"/>
    <x v="1"/>
    <s v="Pure Cycles Western 3-Speed - Women's - 2015/2016"/>
    <x v="1"/>
  </r>
  <r>
    <n v="345"/>
    <n v="2"/>
    <n v="24"/>
    <x v="1"/>
    <n v="549.99"/>
    <x v="1"/>
    <x v="9"/>
    <x v="1"/>
    <s v="Electra Townie Original 21D - 2016"/>
    <x v="1"/>
  </r>
  <r>
    <n v="346"/>
    <n v="1"/>
    <n v="13"/>
    <x v="0"/>
    <n v="269.99"/>
    <x v="1"/>
    <x v="14"/>
    <x v="1"/>
    <s v="Electra Cruiser 1 (24-Inch) - 2016"/>
    <x v="2"/>
  </r>
  <r>
    <n v="346"/>
    <n v="2"/>
    <n v="23"/>
    <x v="0"/>
    <n v="299.99"/>
    <x v="0"/>
    <x v="23"/>
    <x v="1"/>
    <s v="Electra Girl's Hawaii 1 (20-inch) - 2015/2016"/>
    <x v="2"/>
  </r>
  <r>
    <n v="346"/>
    <n v="3"/>
    <n v="21"/>
    <x v="0"/>
    <n v="269.99"/>
    <x v="3"/>
    <x v="14"/>
    <x v="1"/>
    <s v="Electra Cruiser 1 (24-Inch) - 2016"/>
    <x v="2"/>
  </r>
  <r>
    <n v="346"/>
    <n v="4"/>
    <n v="15"/>
    <x v="0"/>
    <n v="529.99"/>
    <x v="2"/>
    <x v="12"/>
    <x v="1"/>
    <s v="Electra Moto 1 - 2016"/>
    <x v="2"/>
  </r>
  <r>
    <n v="346"/>
    <n v="5"/>
    <n v="18"/>
    <x v="1"/>
    <n v="449"/>
    <x v="2"/>
    <x v="21"/>
    <x v="1"/>
    <s v="Pure Cycles Western 3-Speed - Women's - 2015/2016"/>
    <x v="2"/>
  </r>
  <r>
    <n v="347"/>
    <n v="1"/>
    <n v="23"/>
    <x v="0"/>
    <n v="299.99"/>
    <x v="1"/>
    <x v="23"/>
    <x v="1"/>
    <s v="Electra Girl's Hawaii 1 (20-inch) - 2015/2016"/>
    <x v="1"/>
  </r>
  <r>
    <n v="348"/>
    <n v="1"/>
    <n v="5"/>
    <x v="1"/>
    <n v="1320.99"/>
    <x v="2"/>
    <x v="34"/>
    <x v="1"/>
    <s v="Heller Shagamaw Frame - 2016"/>
    <x v="2"/>
  </r>
  <r>
    <n v="348"/>
    <n v="2"/>
    <n v="15"/>
    <x v="1"/>
    <n v="529.99"/>
    <x v="1"/>
    <x v="29"/>
    <x v="1"/>
    <s v="Electra Moto 1 - 2016"/>
    <x v="2"/>
  </r>
  <r>
    <n v="349"/>
    <n v="1"/>
    <n v="20"/>
    <x v="1"/>
    <n v="599.99"/>
    <x v="0"/>
    <x v="3"/>
    <x v="1"/>
    <s v="Electra Townie Original 7D EQ - Women's - 2016"/>
    <x v="0"/>
  </r>
  <r>
    <n v="350"/>
    <n v="1"/>
    <n v="6"/>
    <x v="1"/>
    <n v="469.99"/>
    <x v="2"/>
    <x v="35"/>
    <x v="1"/>
    <s v="Surly Ice Cream Truck Frameset - 2016"/>
    <x v="0"/>
  </r>
  <r>
    <n v="350"/>
    <n v="2"/>
    <n v="20"/>
    <x v="0"/>
    <n v="599.99"/>
    <x v="1"/>
    <x v="0"/>
    <x v="1"/>
    <s v="Electra Townie Original 7D EQ - Women's - 2016"/>
    <x v="0"/>
  </r>
  <r>
    <n v="350"/>
    <n v="3"/>
    <n v="3"/>
    <x v="0"/>
    <n v="999.99"/>
    <x v="1"/>
    <x v="5"/>
    <x v="1"/>
    <s v="Surly Wednesday Frameset - 2016"/>
    <x v="0"/>
  </r>
  <r>
    <n v="351"/>
    <n v="1"/>
    <n v="4"/>
    <x v="1"/>
    <n v="2899.99"/>
    <x v="2"/>
    <x v="18"/>
    <x v="1"/>
    <s v="Trek Fuel EX 8 29 - 2016"/>
    <x v="0"/>
  </r>
  <r>
    <n v="351"/>
    <n v="2"/>
    <n v="24"/>
    <x v="1"/>
    <n v="549.99"/>
    <x v="3"/>
    <x v="9"/>
    <x v="1"/>
    <s v="Electra Townie Original 21D - 2016"/>
    <x v="0"/>
  </r>
  <r>
    <n v="351"/>
    <n v="3"/>
    <n v="20"/>
    <x v="0"/>
    <n v="599.99"/>
    <x v="0"/>
    <x v="0"/>
    <x v="1"/>
    <s v="Electra Townie Original 7D EQ - Women's - 2016"/>
    <x v="0"/>
  </r>
  <r>
    <n v="351"/>
    <n v="4"/>
    <n v="22"/>
    <x v="1"/>
    <n v="269.99"/>
    <x v="1"/>
    <x v="17"/>
    <x v="1"/>
    <s v="Electra Girl's Hawaii 1 (16-inch) - 2015/2016"/>
    <x v="0"/>
  </r>
  <r>
    <n v="352"/>
    <n v="1"/>
    <n v="11"/>
    <x v="0"/>
    <n v="1680.99"/>
    <x v="0"/>
    <x v="19"/>
    <x v="1"/>
    <s v="Surly Straggler 650b - 2016"/>
    <x v="1"/>
  </r>
  <r>
    <n v="352"/>
    <n v="2"/>
    <n v="14"/>
    <x v="0"/>
    <n v="269.99"/>
    <x v="0"/>
    <x v="14"/>
    <x v="1"/>
    <s v="Electra Girl's Hawaii 1 (16-inch) - 2015/2016"/>
    <x v="1"/>
  </r>
  <r>
    <n v="353"/>
    <n v="1"/>
    <n v="2"/>
    <x v="1"/>
    <n v="749.99"/>
    <x v="0"/>
    <x v="6"/>
    <x v="1"/>
    <s v="Ritchey Timberwolf Frameset - 2016"/>
    <x v="1"/>
  </r>
  <r>
    <n v="354"/>
    <n v="1"/>
    <n v="21"/>
    <x v="0"/>
    <n v="269.99"/>
    <x v="0"/>
    <x v="14"/>
    <x v="1"/>
    <s v="Electra Cruiser 1 (24-Inch) - 2016"/>
    <x v="2"/>
  </r>
  <r>
    <n v="354"/>
    <n v="2"/>
    <n v="19"/>
    <x v="0"/>
    <n v="449"/>
    <x v="2"/>
    <x v="8"/>
    <x v="1"/>
    <s v="Pure Cycles William 3-Speed - 2016"/>
    <x v="2"/>
  </r>
  <r>
    <n v="355"/>
    <n v="1"/>
    <n v="16"/>
    <x v="0"/>
    <n v="599.99"/>
    <x v="3"/>
    <x v="0"/>
    <x v="1"/>
    <s v="Electra Townie Original 7D EQ - 2016"/>
    <x v="2"/>
  </r>
  <r>
    <n v="355"/>
    <n v="2"/>
    <n v="14"/>
    <x v="1"/>
    <n v="269.99"/>
    <x v="1"/>
    <x v="17"/>
    <x v="1"/>
    <s v="Electra Girl's Hawaii 1 (16-inch) - 2015/2016"/>
    <x v="2"/>
  </r>
  <r>
    <n v="356"/>
    <n v="1"/>
    <n v="23"/>
    <x v="1"/>
    <n v="299.99"/>
    <x v="2"/>
    <x v="22"/>
    <x v="1"/>
    <s v="Electra Girl's Hawaii 1 (20-inch) - 2015/2016"/>
    <x v="1"/>
  </r>
  <r>
    <n v="356"/>
    <n v="2"/>
    <n v="4"/>
    <x v="0"/>
    <n v="2899.99"/>
    <x v="2"/>
    <x v="4"/>
    <x v="1"/>
    <s v="Trek Fuel EX 8 29 - 2016"/>
    <x v="1"/>
  </r>
  <r>
    <n v="356"/>
    <n v="3"/>
    <n v="13"/>
    <x v="0"/>
    <n v="269.99"/>
    <x v="2"/>
    <x v="14"/>
    <x v="1"/>
    <s v="Electra Cruiser 1 (24-Inch) - 2016"/>
    <x v="1"/>
  </r>
  <r>
    <n v="357"/>
    <n v="1"/>
    <n v="17"/>
    <x v="1"/>
    <n v="429"/>
    <x v="2"/>
    <x v="13"/>
    <x v="1"/>
    <s v="Pure Cycles Vine 8-Speed - 2016"/>
    <x v="2"/>
  </r>
  <r>
    <n v="357"/>
    <n v="2"/>
    <n v="21"/>
    <x v="1"/>
    <n v="269.99"/>
    <x v="1"/>
    <x v="17"/>
    <x v="1"/>
    <s v="Electra Cruiser 1 (24-Inch) - 2016"/>
    <x v="2"/>
  </r>
  <r>
    <n v="357"/>
    <n v="3"/>
    <n v="24"/>
    <x v="0"/>
    <n v="549.99"/>
    <x v="1"/>
    <x v="31"/>
    <x v="1"/>
    <s v="Electra Townie Original 21D - 2016"/>
    <x v="2"/>
  </r>
  <r>
    <n v="357"/>
    <n v="4"/>
    <n v="9"/>
    <x v="0"/>
    <n v="2999.99"/>
    <x v="2"/>
    <x v="28"/>
    <x v="1"/>
    <s v="Trek Conduit+ - 2016"/>
    <x v="2"/>
  </r>
  <r>
    <n v="358"/>
    <n v="1"/>
    <n v="21"/>
    <x v="1"/>
    <n v="269.99"/>
    <x v="3"/>
    <x v="17"/>
    <x v="1"/>
    <s v="Electra Cruiser 1 (24-Inch) - 2016"/>
    <x v="1"/>
  </r>
  <r>
    <n v="358"/>
    <n v="2"/>
    <n v="6"/>
    <x v="1"/>
    <n v="469.99"/>
    <x v="1"/>
    <x v="35"/>
    <x v="1"/>
    <s v="Surly Ice Cream Truck Frameset - 2016"/>
    <x v="1"/>
  </r>
  <r>
    <n v="358"/>
    <n v="3"/>
    <n v="8"/>
    <x v="1"/>
    <n v="1799.99"/>
    <x v="2"/>
    <x v="1"/>
    <x v="1"/>
    <s v="Trek Remedy 29 Carbon Frameset - 2016"/>
    <x v="1"/>
  </r>
  <r>
    <n v="358"/>
    <n v="4"/>
    <n v="18"/>
    <x v="1"/>
    <n v="449"/>
    <x v="3"/>
    <x v="21"/>
    <x v="1"/>
    <s v="Pure Cycles Western 3-Speed - Women's - 2015/2016"/>
    <x v="1"/>
  </r>
  <r>
    <n v="359"/>
    <n v="1"/>
    <n v="15"/>
    <x v="1"/>
    <n v="529.99"/>
    <x v="1"/>
    <x v="29"/>
    <x v="1"/>
    <s v="Electra Moto 1 - 2016"/>
    <x v="1"/>
  </r>
  <r>
    <n v="359"/>
    <n v="2"/>
    <n v="9"/>
    <x v="1"/>
    <n v="2999.99"/>
    <x v="1"/>
    <x v="11"/>
    <x v="1"/>
    <s v="Trek Conduit+ - 2016"/>
    <x v="1"/>
  </r>
  <r>
    <n v="359"/>
    <n v="3"/>
    <n v="7"/>
    <x v="1"/>
    <n v="3999.99"/>
    <x v="0"/>
    <x v="15"/>
    <x v="1"/>
    <s v="Trek Slash 8 27.5 - 2016"/>
    <x v="1"/>
  </r>
  <r>
    <n v="360"/>
    <n v="1"/>
    <n v="26"/>
    <x v="0"/>
    <n v="599.99"/>
    <x v="2"/>
    <x v="0"/>
    <x v="1"/>
    <s v="Electra Townie Original 7D EQ - 2016"/>
    <x v="1"/>
  </r>
  <r>
    <n v="360"/>
    <n v="2"/>
    <n v="7"/>
    <x v="1"/>
    <n v="3999.99"/>
    <x v="0"/>
    <x v="15"/>
    <x v="1"/>
    <s v="Trek Slash 8 27.5 - 2016"/>
    <x v="1"/>
  </r>
  <r>
    <n v="360"/>
    <n v="3"/>
    <n v="13"/>
    <x v="1"/>
    <n v="269.99"/>
    <x v="2"/>
    <x v="17"/>
    <x v="1"/>
    <s v="Electra Cruiser 1 (24-Inch) - 2016"/>
    <x v="1"/>
  </r>
  <r>
    <n v="360"/>
    <n v="4"/>
    <n v="25"/>
    <x v="0"/>
    <n v="499.99"/>
    <x v="3"/>
    <x v="33"/>
    <x v="1"/>
    <s v="Electra Townie Original 7D - 2015/2016"/>
    <x v="1"/>
  </r>
  <r>
    <n v="361"/>
    <n v="1"/>
    <n v="24"/>
    <x v="1"/>
    <n v="549.99"/>
    <x v="2"/>
    <x v="9"/>
    <x v="1"/>
    <s v="Electra Townie Original 21D - 2016"/>
    <x v="1"/>
  </r>
  <r>
    <n v="361"/>
    <n v="2"/>
    <n v="6"/>
    <x v="1"/>
    <n v="469.99"/>
    <x v="3"/>
    <x v="35"/>
    <x v="1"/>
    <s v="Surly Ice Cream Truck Frameset - 2016"/>
    <x v="1"/>
  </r>
  <r>
    <n v="361"/>
    <n v="3"/>
    <n v="11"/>
    <x v="0"/>
    <n v="1680.99"/>
    <x v="3"/>
    <x v="19"/>
    <x v="1"/>
    <s v="Surly Straggler 650b - 2016"/>
    <x v="1"/>
  </r>
  <r>
    <n v="362"/>
    <n v="1"/>
    <n v="2"/>
    <x v="0"/>
    <n v="749.99"/>
    <x v="1"/>
    <x v="30"/>
    <x v="1"/>
    <s v="Ritchey Timberwolf Frameset - 2016"/>
    <x v="0"/>
  </r>
  <r>
    <n v="363"/>
    <n v="1"/>
    <n v="21"/>
    <x v="1"/>
    <n v="269.99"/>
    <x v="3"/>
    <x v="17"/>
    <x v="1"/>
    <s v="Electra Cruiser 1 (24-Inch) - 2016"/>
    <x v="2"/>
  </r>
  <r>
    <n v="363"/>
    <n v="2"/>
    <n v="14"/>
    <x v="0"/>
    <n v="269.99"/>
    <x v="1"/>
    <x v="14"/>
    <x v="1"/>
    <s v="Electra Girl's Hawaii 1 (16-inch) - 2015/2016"/>
    <x v="2"/>
  </r>
  <r>
    <n v="363"/>
    <n v="3"/>
    <n v="15"/>
    <x v="0"/>
    <n v="529.99"/>
    <x v="3"/>
    <x v="12"/>
    <x v="1"/>
    <s v="Electra Moto 1 - 2016"/>
    <x v="2"/>
  </r>
  <r>
    <n v="363"/>
    <n v="4"/>
    <n v="20"/>
    <x v="0"/>
    <n v="599.99"/>
    <x v="0"/>
    <x v="0"/>
    <x v="1"/>
    <s v="Electra Townie Original 7D EQ - Women's - 2016"/>
    <x v="2"/>
  </r>
  <r>
    <n v="364"/>
    <n v="1"/>
    <n v="25"/>
    <x v="1"/>
    <n v="499.99"/>
    <x v="2"/>
    <x v="26"/>
    <x v="1"/>
    <s v="Electra Townie Original 7D - 2015/2016"/>
    <x v="1"/>
  </r>
  <r>
    <n v="365"/>
    <n v="1"/>
    <n v="24"/>
    <x v="1"/>
    <n v="549.99"/>
    <x v="1"/>
    <x v="9"/>
    <x v="1"/>
    <s v="Electra Townie Original 21D - 2016"/>
    <x v="1"/>
  </r>
  <r>
    <n v="366"/>
    <n v="1"/>
    <n v="21"/>
    <x v="0"/>
    <n v="269.99"/>
    <x v="3"/>
    <x v="14"/>
    <x v="1"/>
    <s v="Electra Cruiser 1 (24-Inch) - 2016"/>
    <x v="2"/>
  </r>
  <r>
    <n v="366"/>
    <n v="2"/>
    <n v="4"/>
    <x v="0"/>
    <n v="2899.99"/>
    <x v="1"/>
    <x v="4"/>
    <x v="1"/>
    <s v="Trek Fuel EX 8 29 - 2016"/>
    <x v="2"/>
  </r>
  <r>
    <n v="366"/>
    <n v="3"/>
    <n v="16"/>
    <x v="1"/>
    <n v="599.99"/>
    <x v="0"/>
    <x v="3"/>
    <x v="1"/>
    <s v="Electra Townie Original 7D EQ - 2016"/>
    <x v="2"/>
  </r>
  <r>
    <n v="367"/>
    <n v="1"/>
    <n v="26"/>
    <x v="1"/>
    <n v="599.99"/>
    <x v="3"/>
    <x v="3"/>
    <x v="1"/>
    <s v="Electra Townie Original 7D EQ - 2016"/>
    <x v="1"/>
  </r>
  <r>
    <n v="367"/>
    <n v="2"/>
    <n v="14"/>
    <x v="0"/>
    <n v="269.99"/>
    <x v="2"/>
    <x v="14"/>
    <x v="1"/>
    <s v="Electra Girl's Hawaii 1 (16-inch) - 2015/2016"/>
    <x v="1"/>
  </r>
  <r>
    <n v="367"/>
    <n v="3"/>
    <n v="10"/>
    <x v="1"/>
    <n v="1549"/>
    <x v="2"/>
    <x v="2"/>
    <x v="1"/>
    <s v="Surly Straggler - 2016"/>
    <x v="1"/>
  </r>
  <r>
    <n v="368"/>
    <n v="1"/>
    <n v="5"/>
    <x v="0"/>
    <n v="1320.99"/>
    <x v="0"/>
    <x v="24"/>
    <x v="1"/>
    <s v="Heller Shagamaw Frame - 2016"/>
    <x v="1"/>
  </r>
  <r>
    <n v="368"/>
    <n v="2"/>
    <n v="10"/>
    <x v="1"/>
    <n v="1549"/>
    <x v="0"/>
    <x v="2"/>
    <x v="1"/>
    <s v="Surly Straggler - 2016"/>
    <x v="1"/>
  </r>
  <r>
    <n v="368"/>
    <n v="3"/>
    <n v="21"/>
    <x v="1"/>
    <n v="269.99"/>
    <x v="3"/>
    <x v="17"/>
    <x v="1"/>
    <s v="Electra Cruiser 1 (24-Inch) - 2016"/>
    <x v="1"/>
  </r>
  <r>
    <n v="368"/>
    <n v="4"/>
    <n v="19"/>
    <x v="0"/>
    <n v="449"/>
    <x v="2"/>
    <x v="8"/>
    <x v="1"/>
    <s v="Pure Cycles William 3-Speed - 2016"/>
    <x v="1"/>
  </r>
  <r>
    <n v="369"/>
    <n v="1"/>
    <n v="10"/>
    <x v="1"/>
    <n v="1549"/>
    <x v="1"/>
    <x v="2"/>
    <x v="1"/>
    <s v="Surly Straggler - 2016"/>
    <x v="0"/>
  </r>
  <r>
    <n v="370"/>
    <n v="1"/>
    <n v="25"/>
    <x v="1"/>
    <n v="499.99"/>
    <x v="2"/>
    <x v="26"/>
    <x v="1"/>
    <s v="Electra Townie Original 7D - 2015/2016"/>
    <x v="1"/>
  </r>
  <r>
    <n v="370"/>
    <n v="2"/>
    <n v="4"/>
    <x v="1"/>
    <n v="2899.99"/>
    <x v="3"/>
    <x v="18"/>
    <x v="1"/>
    <s v="Trek Fuel EX 8 29 - 2016"/>
    <x v="1"/>
  </r>
  <r>
    <n v="371"/>
    <n v="1"/>
    <n v="14"/>
    <x v="0"/>
    <n v="269.99"/>
    <x v="0"/>
    <x v="14"/>
    <x v="1"/>
    <s v="Electra Girl's Hawaii 1 (16-inch) - 2015/2016"/>
    <x v="1"/>
  </r>
  <r>
    <n v="371"/>
    <n v="2"/>
    <n v="12"/>
    <x v="0"/>
    <n v="549.99"/>
    <x v="0"/>
    <x v="31"/>
    <x v="1"/>
    <s v="Electra Townie Original 21D - 2016"/>
    <x v="1"/>
  </r>
  <r>
    <n v="372"/>
    <n v="1"/>
    <n v="11"/>
    <x v="0"/>
    <n v="1680.99"/>
    <x v="2"/>
    <x v="19"/>
    <x v="1"/>
    <s v="Surly Straggler 650b - 2016"/>
    <x v="1"/>
  </r>
  <r>
    <n v="372"/>
    <n v="2"/>
    <n v="14"/>
    <x v="1"/>
    <n v="269.99"/>
    <x v="3"/>
    <x v="17"/>
    <x v="1"/>
    <s v="Electra Girl's Hawaii 1 (16-inch) - 2015/2016"/>
    <x v="1"/>
  </r>
  <r>
    <n v="372"/>
    <n v="3"/>
    <n v="5"/>
    <x v="0"/>
    <n v="1320.99"/>
    <x v="3"/>
    <x v="24"/>
    <x v="1"/>
    <s v="Heller Shagamaw Frame - 2016"/>
    <x v="1"/>
  </r>
  <r>
    <n v="373"/>
    <n v="1"/>
    <n v="8"/>
    <x v="1"/>
    <n v="1799.99"/>
    <x v="2"/>
    <x v="1"/>
    <x v="1"/>
    <s v="Trek Remedy 29 Carbon Frameset - 2016"/>
    <x v="1"/>
  </r>
  <r>
    <n v="373"/>
    <n v="2"/>
    <n v="22"/>
    <x v="0"/>
    <n v="269.99"/>
    <x v="3"/>
    <x v="14"/>
    <x v="1"/>
    <s v="Electra Girl's Hawaii 1 (16-inch) - 2015/2016"/>
    <x v="1"/>
  </r>
  <r>
    <n v="373"/>
    <n v="3"/>
    <n v="19"/>
    <x v="1"/>
    <n v="449"/>
    <x v="0"/>
    <x v="21"/>
    <x v="1"/>
    <s v="Pure Cycles William 3-Speed - 2016"/>
    <x v="1"/>
  </r>
  <r>
    <n v="373"/>
    <n v="4"/>
    <n v="12"/>
    <x v="0"/>
    <n v="549.99"/>
    <x v="3"/>
    <x v="31"/>
    <x v="1"/>
    <s v="Electra Townie Original 21D - 2016"/>
    <x v="1"/>
  </r>
  <r>
    <n v="373"/>
    <n v="5"/>
    <n v="13"/>
    <x v="0"/>
    <n v="269.99"/>
    <x v="3"/>
    <x v="14"/>
    <x v="1"/>
    <s v="Electra Cruiser 1 (24-Inch) - 2016"/>
    <x v="1"/>
  </r>
  <r>
    <n v="374"/>
    <n v="1"/>
    <n v="10"/>
    <x v="0"/>
    <n v="1549"/>
    <x v="3"/>
    <x v="27"/>
    <x v="1"/>
    <s v="Surly Straggler - 2016"/>
    <x v="0"/>
  </r>
  <r>
    <n v="374"/>
    <n v="2"/>
    <n v="7"/>
    <x v="0"/>
    <n v="3999.99"/>
    <x v="1"/>
    <x v="25"/>
    <x v="1"/>
    <s v="Trek Slash 8 27.5 - 2016"/>
    <x v="0"/>
  </r>
  <r>
    <n v="375"/>
    <n v="1"/>
    <n v="21"/>
    <x v="1"/>
    <n v="269.99"/>
    <x v="2"/>
    <x v="17"/>
    <x v="1"/>
    <s v="Electra Cruiser 1 (24-Inch) - 2016"/>
    <x v="1"/>
  </r>
  <r>
    <n v="375"/>
    <n v="2"/>
    <n v="2"/>
    <x v="1"/>
    <n v="749.99"/>
    <x v="2"/>
    <x v="6"/>
    <x v="1"/>
    <s v="Ritchey Timberwolf Frameset - 2016"/>
    <x v="1"/>
  </r>
  <r>
    <n v="375"/>
    <n v="3"/>
    <n v="4"/>
    <x v="1"/>
    <n v="2899.99"/>
    <x v="1"/>
    <x v="18"/>
    <x v="1"/>
    <s v="Trek Fuel EX 8 29 - 2016"/>
    <x v="1"/>
  </r>
  <r>
    <n v="375"/>
    <n v="4"/>
    <n v="12"/>
    <x v="1"/>
    <n v="549.99"/>
    <x v="2"/>
    <x v="9"/>
    <x v="1"/>
    <s v="Electra Townie Original 21D - 2016"/>
    <x v="1"/>
  </r>
  <r>
    <n v="376"/>
    <n v="1"/>
    <n v="2"/>
    <x v="1"/>
    <n v="749.99"/>
    <x v="1"/>
    <x v="6"/>
    <x v="1"/>
    <s v="Ritchey Timberwolf Frameset - 2016"/>
    <x v="1"/>
  </r>
  <r>
    <n v="376"/>
    <n v="2"/>
    <n v="23"/>
    <x v="1"/>
    <n v="299.99"/>
    <x v="3"/>
    <x v="22"/>
    <x v="1"/>
    <s v="Electra Girl's Hawaii 1 (20-inch) - 2015/2016"/>
    <x v="1"/>
  </r>
  <r>
    <n v="377"/>
    <n v="1"/>
    <n v="8"/>
    <x v="0"/>
    <n v="1799.99"/>
    <x v="2"/>
    <x v="16"/>
    <x v="1"/>
    <s v="Trek Remedy 29 Carbon Frameset - 2016"/>
    <x v="1"/>
  </r>
  <r>
    <n v="377"/>
    <n v="2"/>
    <n v="14"/>
    <x v="0"/>
    <n v="269.99"/>
    <x v="1"/>
    <x v="14"/>
    <x v="1"/>
    <s v="Electra Girl's Hawaii 1 (16-inch) - 2015/2016"/>
    <x v="1"/>
  </r>
  <r>
    <n v="378"/>
    <n v="1"/>
    <n v="26"/>
    <x v="1"/>
    <n v="599.99"/>
    <x v="2"/>
    <x v="3"/>
    <x v="1"/>
    <s v="Electra Townie Original 7D EQ - 2016"/>
    <x v="2"/>
  </r>
  <r>
    <n v="379"/>
    <n v="1"/>
    <n v="9"/>
    <x v="0"/>
    <n v="2999.99"/>
    <x v="1"/>
    <x v="28"/>
    <x v="1"/>
    <s v="Trek Conduit+ - 2016"/>
    <x v="1"/>
  </r>
  <r>
    <n v="379"/>
    <n v="2"/>
    <n v="16"/>
    <x v="0"/>
    <n v="599.99"/>
    <x v="0"/>
    <x v="0"/>
    <x v="1"/>
    <s v="Electra Townie Original 7D EQ - 2016"/>
    <x v="1"/>
  </r>
  <r>
    <n v="380"/>
    <n v="1"/>
    <n v="16"/>
    <x v="0"/>
    <n v="599.99"/>
    <x v="2"/>
    <x v="0"/>
    <x v="1"/>
    <s v="Electra Townie Original 7D EQ - 2016"/>
    <x v="1"/>
  </r>
  <r>
    <n v="380"/>
    <n v="2"/>
    <n v="11"/>
    <x v="1"/>
    <n v="1680.99"/>
    <x v="2"/>
    <x v="32"/>
    <x v="1"/>
    <s v="Surly Straggler 650b - 2016"/>
    <x v="1"/>
  </r>
  <r>
    <n v="381"/>
    <n v="1"/>
    <n v="21"/>
    <x v="1"/>
    <n v="269.99"/>
    <x v="1"/>
    <x v="17"/>
    <x v="1"/>
    <s v="Electra Cruiser 1 (24-Inch) - 2016"/>
    <x v="1"/>
  </r>
  <r>
    <n v="382"/>
    <n v="1"/>
    <n v="8"/>
    <x v="0"/>
    <n v="1799.99"/>
    <x v="3"/>
    <x v="16"/>
    <x v="1"/>
    <s v="Trek Remedy 29 Carbon Frameset - 2016"/>
    <x v="1"/>
  </r>
  <r>
    <n v="382"/>
    <n v="2"/>
    <n v="9"/>
    <x v="0"/>
    <n v="2999.99"/>
    <x v="3"/>
    <x v="28"/>
    <x v="1"/>
    <s v="Trek Conduit+ - 2016"/>
    <x v="1"/>
  </r>
  <r>
    <n v="382"/>
    <n v="3"/>
    <n v="13"/>
    <x v="0"/>
    <n v="269.99"/>
    <x v="1"/>
    <x v="14"/>
    <x v="1"/>
    <s v="Electra Cruiser 1 (24-Inch) - 2016"/>
    <x v="1"/>
  </r>
  <r>
    <n v="383"/>
    <n v="1"/>
    <n v="19"/>
    <x v="0"/>
    <n v="449"/>
    <x v="1"/>
    <x v="8"/>
    <x v="1"/>
    <s v="Pure Cycles William 3-Speed - 2016"/>
    <x v="1"/>
  </r>
  <r>
    <n v="383"/>
    <n v="2"/>
    <n v="22"/>
    <x v="1"/>
    <n v="269.99"/>
    <x v="2"/>
    <x v="17"/>
    <x v="1"/>
    <s v="Electra Girl's Hawaii 1 (16-inch) - 2015/2016"/>
    <x v="1"/>
  </r>
  <r>
    <n v="383"/>
    <n v="3"/>
    <n v="13"/>
    <x v="0"/>
    <n v="269.99"/>
    <x v="3"/>
    <x v="14"/>
    <x v="1"/>
    <s v="Electra Cruiser 1 (24-Inch) - 2016"/>
    <x v="1"/>
  </r>
  <r>
    <n v="383"/>
    <n v="4"/>
    <n v="21"/>
    <x v="1"/>
    <n v="269.99"/>
    <x v="2"/>
    <x v="17"/>
    <x v="1"/>
    <s v="Electra Cruiser 1 (24-Inch) - 2016"/>
    <x v="1"/>
  </r>
  <r>
    <n v="383"/>
    <n v="5"/>
    <n v="14"/>
    <x v="0"/>
    <n v="269.99"/>
    <x v="3"/>
    <x v="14"/>
    <x v="1"/>
    <s v="Electra Girl's Hawaii 1 (16-inch) - 2015/2016"/>
    <x v="1"/>
  </r>
  <r>
    <n v="384"/>
    <n v="1"/>
    <n v="20"/>
    <x v="0"/>
    <n v="599.99"/>
    <x v="3"/>
    <x v="0"/>
    <x v="1"/>
    <s v="Electra Townie Original 7D EQ - Women's - 2016"/>
    <x v="1"/>
  </r>
  <r>
    <n v="384"/>
    <n v="2"/>
    <n v="21"/>
    <x v="1"/>
    <n v="269.99"/>
    <x v="0"/>
    <x v="17"/>
    <x v="1"/>
    <s v="Electra Cruiser 1 (24-Inch) - 2016"/>
    <x v="1"/>
  </r>
  <r>
    <n v="384"/>
    <n v="3"/>
    <n v="8"/>
    <x v="0"/>
    <n v="1799.99"/>
    <x v="2"/>
    <x v="16"/>
    <x v="1"/>
    <s v="Trek Remedy 29 Carbon Frameset - 2016"/>
    <x v="1"/>
  </r>
  <r>
    <n v="384"/>
    <n v="4"/>
    <n v="15"/>
    <x v="0"/>
    <n v="529.99"/>
    <x v="3"/>
    <x v="12"/>
    <x v="1"/>
    <s v="Electra Moto 1 - 2016"/>
    <x v="1"/>
  </r>
  <r>
    <n v="384"/>
    <n v="5"/>
    <n v="4"/>
    <x v="0"/>
    <n v="2899.99"/>
    <x v="0"/>
    <x v="4"/>
    <x v="1"/>
    <s v="Trek Fuel EX 8 29 - 2016"/>
    <x v="1"/>
  </r>
  <r>
    <n v="385"/>
    <n v="1"/>
    <n v="21"/>
    <x v="0"/>
    <n v="269.99"/>
    <x v="1"/>
    <x v="14"/>
    <x v="1"/>
    <s v="Electra Cruiser 1 (24-Inch) - 2016"/>
    <x v="1"/>
  </r>
  <r>
    <n v="385"/>
    <n v="2"/>
    <n v="7"/>
    <x v="1"/>
    <n v="3999.99"/>
    <x v="0"/>
    <x v="15"/>
    <x v="1"/>
    <s v="Trek Slash 8 27.5 - 2016"/>
    <x v="1"/>
  </r>
  <r>
    <n v="385"/>
    <n v="3"/>
    <n v="26"/>
    <x v="1"/>
    <n v="599.99"/>
    <x v="2"/>
    <x v="3"/>
    <x v="1"/>
    <s v="Electra Townie Original 7D EQ - 2016"/>
    <x v="1"/>
  </r>
  <r>
    <n v="386"/>
    <n v="1"/>
    <n v="8"/>
    <x v="0"/>
    <n v="1799.99"/>
    <x v="0"/>
    <x v="16"/>
    <x v="1"/>
    <s v="Trek Remedy 29 Carbon Frameset - 2016"/>
    <x v="1"/>
  </r>
  <r>
    <n v="386"/>
    <n v="2"/>
    <n v="3"/>
    <x v="1"/>
    <n v="999.99"/>
    <x v="2"/>
    <x v="10"/>
    <x v="1"/>
    <s v="Surly Wednesday Frameset - 2016"/>
    <x v="1"/>
  </r>
  <r>
    <n v="386"/>
    <n v="3"/>
    <n v="16"/>
    <x v="1"/>
    <n v="599.99"/>
    <x v="0"/>
    <x v="3"/>
    <x v="1"/>
    <s v="Electra Townie Original 7D EQ - 2016"/>
    <x v="1"/>
  </r>
  <r>
    <n v="387"/>
    <n v="1"/>
    <n v="18"/>
    <x v="0"/>
    <n v="449"/>
    <x v="0"/>
    <x v="8"/>
    <x v="1"/>
    <s v="Pure Cycles Western 3-Speed - Women's - 2015/2016"/>
    <x v="2"/>
  </r>
  <r>
    <n v="388"/>
    <n v="1"/>
    <n v="19"/>
    <x v="1"/>
    <n v="449"/>
    <x v="0"/>
    <x v="21"/>
    <x v="1"/>
    <s v="Pure Cycles William 3-Speed - 2016"/>
    <x v="2"/>
  </r>
  <r>
    <n v="388"/>
    <n v="2"/>
    <n v="13"/>
    <x v="1"/>
    <n v="269.99"/>
    <x v="1"/>
    <x v="17"/>
    <x v="1"/>
    <s v="Electra Cruiser 1 (24-Inch) - 2016"/>
    <x v="2"/>
  </r>
  <r>
    <n v="388"/>
    <n v="3"/>
    <n v="2"/>
    <x v="0"/>
    <n v="749.99"/>
    <x v="1"/>
    <x v="30"/>
    <x v="1"/>
    <s v="Ritchey Timberwolf Frameset - 2016"/>
    <x v="2"/>
  </r>
  <r>
    <n v="388"/>
    <n v="4"/>
    <n v="11"/>
    <x v="0"/>
    <n v="1680.99"/>
    <x v="3"/>
    <x v="19"/>
    <x v="1"/>
    <s v="Surly Straggler 650b - 2016"/>
    <x v="2"/>
  </r>
  <r>
    <n v="389"/>
    <n v="1"/>
    <n v="2"/>
    <x v="0"/>
    <n v="749.99"/>
    <x v="1"/>
    <x v="30"/>
    <x v="1"/>
    <s v="Ritchey Timberwolf Frameset - 2016"/>
    <x v="0"/>
  </r>
  <r>
    <n v="389"/>
    <n v="2"/>
    <n v="15"/>
    <x v="1"/>
    <n v="529.99"/>
    <x v="1"/>
    <x v="29"/>
    <x v="1"/>
    <s v="Electra Moto 1 - 2016"/>
    <x v="0"/>
  </r>
  <r>
    <n v="389"/>
    <n v="3"/>
    <n v="10"/>
    <x v="1"/>
    <n v="1549"/>
    <x v="2"/>
    <x v="2"/>
    <x v="1"/>
    <s v="Surly Straggler - 2016"/>
    <x v="0"/>
  </r>
  <r>
    <n v="389"/>
    <n v="4"/>
    <n v="5"/>
    <x v="0"/>
    <n v="1320.99"/>
    <x v="2"/>
    <x v="24"/>
    <x v="1"/>
    <s v="Heller Shagamaw Frame - 2016"/>
    <x v="0"/>
  </r>
  <r>
    <n v="389"/>
    <n v="5"/>
    <n v="9"/>
    <x v="0"/>
    <n v="2999.99"/>
    <x v="0"/>
    <x v="28"/>
    <x v="1"/>
    <s v="Trek Conduit+ - 2016"/>
    <x v="0"/>
  </r>
  <r>
    <n v="390"/>
    <n v="1"/>
    <n v="23"/>
    <x v="0"/>
    <n v="299.99"/>
    <x v="2"/>
    <x v="23"/>
    <x v="1"/>
    <s v="Electra Girl's Hawaii 1 (20-inch) - 2015/2016"/>
    <x v="2"/>
  </r>
  <r>
    <n v="390"/>
    <n v="2"/>
    <n v="7"/>
    <x v="1"/>
    <n v="3999.99"/>
    <x v="1"/>
    <x v="15"/>
    <x v="1"/>
    <s v="Trek Slash 8 27.5 - 2016"/>
    <x v="2"/>
  </r>
  <r>
    <n v="390"/>
    <n v="3"/>
    <n v="9"/>
    <x v="0"/>
    <n v="2999.99"/>
    <x v="2"/>
    <x v="28"/>
    <x v="1"/>
    <s v="Trek Conduit+ - 2016"/>
    <x v="2"/>
  </r>
  <r>
    <n v="391"/>
    <n v="1"/>
    <n v="8"/>
    <x v="0"/>
    <n v="1799.99"/>
    <x v="1"/>
    <x v="16"/>
    <x v="1"/>
    <s v="Trek Remedy 29 Carbon Frameset - 2016"/>
    <x v="2"/>
  </r>
  <r>
    <n v="391"/>
    <n v="2"/>
    <n v="5"/>
    <x v="1"/>
    <n v="1320.99"/>
    <x v="0"/>
    <x v="34"/>
    <x v="1"/>
    <s v="Heller Shagamaw Frame - 2016"/>
    <x v="2"/>
  </r>
  <r>
    <n v="391"/>
    <n v="3"/>
    <n v="24"/>
    <x v="1"/>
    <n v="549.99"/>
    <x v="1"/>
    <x v="9"/>
    <x v="1"/>
    <s v="Electra Townie Original 21D - 2016"/>
    <x v="2"/>
  </r>
  <r>
    <n v="392"/>
    <n v="1"/>
    <n v="14"/>
    <x v="1"/>
    <n v="269.99"/>
    <x v="3"/>
    <x v="17"/>
    <x v="1"/>
    <s v="Electra Girl's Hawaii 1 (16-inch) - 2015/2016"/>
    <x v="0"/>
  </r>
  <r>
    <n v="392"/>
    <n v="2"/>
    <n v="3"/>
    <x v="1"/>
    <n v="999.99"/>
    <x v="2"/>
    <x v="10"/>
    <x v="1"/>
    <s v="Surly Wednesday Frameset - 2016"/>
    <x v="0"/>
  </r>
  <r>
    <n v="393"/>
    <n v="1"/>
    <n v="6"/>
    <x v="1"/>
    <n v="469.99"/>
    <x v="0"/>
    <x v="35"/>
    <x v="1"/>
    <s v="Surly Ice Cream Truck Frameset - 2016"/>
    <x v="1"/>
  </r>
  <r>
    <n v="394"/>
    <n v="1"/>
    <n v="23"/>
    <x v="0"/>
    <n v="299.99"/>
    <x v="2"/>
    <x v="23"/>
    <x v="1"/>
    <s v="Electra Girl's Hawaii 1 (20-inch) - 2015/2016"/>
    <x v="0"/>
  </r>
  <r>
    <n v="394"/>
    <n v="2"/>
    <n v="16"/>
    <x v="0"/>
    <n v="599.99"/>
    <x v="0"/>
    <x v="0"/>
    <x v="1"/>
    <s v="Electra Townie Original 7D EQ - 2016"/>
    <x v="0"/>
  </r>
  <r>
    <n v="394"/>
    <n v="3"/>
    <n v="14"/>
    <x v="1"/>
    <n v="269.99"/>
    <x v="0"/>
    <x v="17"/>
    <x v="1"/>
    <s v="Electra Girl's Hawaii 1 (16-inch) - 2015/2016"/>
    <x v="0"/>
  </r>
  <r>
    <n v="395"/>
    <n v="1"/>
    <n v="14"/>
    <x v="0"/>
    <n v="269.99"/>
    <x v="2"/>
    <x v="14"/>
    <x v="1"/>
    <s v="Electra Girl's Hawaii 1 (16-inch) - 2015/2016"/>
    <x v="1"/>
  </r>
  <r>
    <n v="396"/>
    <n v="1"/>
    <n v="12"/>
    <x v="0"/>
    <n v="549.99"/>
    <x v="3"/>
    <x v="31"/>
    <x v="1"/>
    <s v="Electra Townie Original 21D - 2016"/>
    <x v="1"/>
  </r>
  <r>
    <n v="396"/>
    <n v="2"/>
    <n v="25"/>
    <x v="1"/>
    <n v="499.99"/>
    <x v="2"/>
    <x v="26"/>
    <x v="1"/>
    <s v="Electra Townie Original 7D - 2015/2016"/>
    <x v="1"/>
  </r>
  <r>
    <n v="396"/>
    <n v="3"/>
    <n v="5"/>
    <x v="0"/>
    <n v="1320.99"/>
    <x v="0"/>
    <x v="24"/>
    <x v="1"/>
    <s v="Heller Shagamaw Frame - 2016"/>
    <x v="1"/>
  </r>
  <r>
    <n v="397"/>
    <n v="1"/>
    <n v="7"/>
    <x v="0"/>
    <n v="3999.99"/>
    <x v="2"/>
    <x v="25"/>
    <x v="1"/>
    <s v="Trek Slash 8 27.5 - 2016"/>
    <x v="1"/>
  </r>
  <r>
    <n v="398"/>
    <n v="1"/>
    <n v="8"/>
    <x v="1"/>
    <n v="1799.99"/>
    <x v="2"/>
    <x v="1"/>
    <x v="1"/>
    <s v="Trek Remedy 29 Carbon Frameset - 2016"/>
    <x v="0"/>
  </r>
  <r>
    <n v="398"/>
    <n v="2"/>
    <n v="18"/>
    <x v="1"/>
    <n v="449"/>
    <x v="2"/>
    <x v="21"/>
    <x v="1"/>
    <s v="Pure Cycles Western 3-Speed - Women's - 2015/2016"/>
    <x v="0"/>
  </r>
  <r>
    <n v="398"/>
    <n v="3"/>
    <n v="25"/>
    <x v="0"/>
    <n v="499.99"/>
    <x v="0"/>
    <x v="33"/>
    <x v="1"/>
    <s v="Electra Townie Original 7D - 2015/2016"/>
    <x v="0"/>
  </r>
  <r>
    <n v="398"/>
    <n v="4"/>
    <n v="17"/>
    <x v="0"/>
    <n v="429"/>
    <x v="2"/>
    <x v="7"/>
    <x v="1"/>
    <s v="Pure Cycles Vine 8-Speed - 2016"/>
    <x v="0"/>
  </r>
  <r>
    <n v="399"/>
    <n v="1"/>
    <n v="25"/>
    <x v="0"/>
    <n v="499.99"/>
    <x v="2"/>
    <x v="33"/>
    <x v="1"/>
    <s v="Electra Townie Original 7D - 2015/2016"/>
    <x v="1"/>
  </r>
  <r>
    <n v="399"/>
    <n v="2"/>
    <n v="11"/>
    <x v="1"/>
    <n v="1680.99"/>
    <x v="2"/>
    <x v="32"/>
    <x v="1"/>
    <s v="Surly Straggler 650b - 2016"/>
    <x v="1"/>
  </r>
  <r>
    <n v="399"/>
    <n v="3"/>
    <n v="14"/>
    <x v="0"/>
    <n v="269.99"/>
    <x v="3"/>
    <x v="14"/>
    <x v="1"/>
    <s v="Electra Girl's Hawaii 1 (16-inch) - 2015/2016"/>
    <x v="1"/>
  </r>
  <r>
    <n v="400"/>
    <n v="1"/>
    <n v="24"/>
    <x v="1"/>
    <n v="549.99"/>
    <x v="1"/>
    <x v="9"/>
    <x v="1"/>
    <s v="Electra Townie Original 21D - 2016"/>
    <x v="1"/>
  </r>
  <r>
    <n v="400"/>
    <n v="2"/>
    <n v="9"/>
    <x v="0"/>
    <n v="2999.99"/>
    <x v="0"/>
    <x v="28"/>
    <x v="1"/>
    <s v="Trek Conduit+ - 2016"/>
    <x v="1"/>
  </r>
  <r>
    <n v="400"/>
    <n v="3"/>
    <n v="3"/>
    <x v="1"/>
    <n v="999.99"/>
    <x v="0"/>
    <x v="10"/>
    <x v="1"/>
    <s v="Surly Wednesday Frameset - 2016"/>
    <x v="1"/>
  </r>
  <r>
    <n v="401"/>
    <n v="1"/>
    <n v="23"/>
    <x v="0"/>
    <n v="299.99"/>
    <x v="0"/>
    <x v="23"/>
    <x v="1"/>
    <s v="Electra Girl's Hawaii 1 (20-inch) - 2015/2016"/>
    <x v="1"/>
  </r>
  <r>
    <n v="401"/>
    <n v="2"/>
    <n v="10"/>
    <x v="1"/>
    <n v="1549"/>
    <x v="0"/>
    <x v="2"/>
    <x v="1"/>
    <s v="Surly Straggler - 2016"/>
    <x v="1"/>
  </r>
  <r>
    <n v="402"/>
    <n v="1"/>
    <n v="6"/>
    <x v="1"/>
    <n v="469.99"/>
    <x v="1"/>
    <x v="35"/>
    <x v="1"/>
    <s v="Surly Ice Cream Truck Frameset - 2016"/>
    <x v="1"/>
  </r>
  <r>
    <n v="402"/>
    <n v="2"/>
    <n v="5"/>
    <x v="0"/>
    <n v="1320.99"/>
    <x v="1"/>
    <x v="24"/>
    <x v="1"/>
    <s v="Heller Shagamaw Frame - 2016"/>
    <x v="1"/>
  </r>
  <r>
    <n v="402"/>
    <n v="3"/>
    <n v="26"/>
    <x v="0"/>
    <n v="599.99"/>
    <x v="2"/>
    <x v="0"/>
    <x v="1"/>
    <s v="Electra Townie Original 7D EQ - 2016"/>
    <x v="1"/>
  </r>
  <r>
    <n v="403"/>
    <n v="1"/>
    <n v="12"/>
    <x v="1"/>
    <n v="549.99"/>
    <x v="3"/>
    <x v="9"/>
    <x v="1"/>
    <s v="Electra Townie Original 21D - 2016"/>
    <x v="0"/>
  </r>
  <r>
    <n v="403"/>
    <n v="2"/>
    <n v="7"/>
    <x v="1"/>
    <n v="3999.99"/>
    <x v="0"/>
    <x v="15"/>
    <x v="1"/>
    <s v="Trek Slash 8 27.5 - 2016"/>
    <x v="0"/>
  </r>
  <r>
    <n v="403"/>
    <n v="3"/>
    <n v="22"/>
    <x v="1"/>
    <n v="269.99"/>
    <x v="2"/>
    <x v="17"/>
    <x v="1"/>
    <s v="Electra Girl's Hawaii 1 (16-inch) - 2015/2016"/>
    <x v="0"/>
  </r>
  <r>
    <n v="403"/>
    <n v="4"/>
    <n v="24"/>
    <x v="0"/>
    <n v="549.99"/>
    <x v="0"/>
    <x v="31"/>
    <x v="1"/>
    <s v="Electra Townie Original 21D - 2016"/>
    <x v="0"/>
  </r>
  <r>
    <n v="404"/>
    <n v="1"/>
    <n v="9"/>
    <x v="0"/>
    <n v="2999.99"/>
    <x v="1"/>
    <x v="28"/>
    <x v="1"/>
    <s v="Trek Conduit+ - 2016"/>
    <x v="1"/>
  </r>
  <r>
    <n v="404"/>
    <n v="2"/>
    <n v="25"/>
    <x v="1"/>
    <n v="499.99"/>
    <x v="2"/>
    <x v="26"/>
    <x v="1"/>
    <s v="Electra Townie Original 7D - 2015/2016"/>
    <x v="1"/>
  </r>
  <r>
    <n v="404"/>
    <n v="3"/>
    <n v="16"/>
    <x v="1"/>
    <n v="599.99"/>
    <x v="0"/>
    <x v="3"/>
    <x v="1"/>
    <s v="Electra Townie Original 7D EQ - 2016"/>
    <x v="1"/>
  </r>
  <r>
    <n v="405"/>
    <n v="1"/>
    <n v="3"/>
    <x v="1"/>
    <n v="999.99"/>
    <x v="0"/>
    <x v="10"/>
    <x v="1"/>
    <s v="Surly Wednesday Frameset - 2016"/>
    <x v="1"/>
  </r>
  <r>
    <n v="405"/>
    <n v="2"/>
    <n v="10"/>
    <x v="1"/>
    <n v="1549"/>
    <x v="3"/>
    <x v="2"/>
    <x v="1"/>
    <s v="Surly Straggler - 2016"/>
    <x v="1"/>
  </r>
  <r>
    <n v="405"/>
    <n v="3"/>
    <n v="14"/>
    <x v="1"/>
    <n v="269.99"/>
    <x v="1"/>
    <x v="17"/>
    <x v="1"/>
    <s v="Electra Girl's Hawaii 1 (16-inch) - 2015/2016"/>
    <x v="1"/>
  </r>
  <r>
    <n v="406"/>
    <n v="1"/>
    <n v="4"/>
    <x v="0"/>
    <n v="2899.99"/>
    <x v="0"/>
    <x v="4"/>
    <x v="1"/>
    <s v="Trek Fuel EX 8 29 - 2016"/>
    <x v="1"/>
  </r>
  <r>
    <n v="407"/>
    <n v="1"/>
    <n v="20"/>
    <x v="0"/>
    <n v="599.99"/>
    <x v="0"/>
    <x v="0"/>
    <x v="1"/>
    <s v="Electra Townie Original 7D EQ - Women's - 2016"/>
    <x v="2"/>
  </r>
  <r>
    <n v="407"/>
    <n v="2"/>
    <n v="5"/>
    <x v="0"/>
    <n v="1320.99"/>
    <x v="2"/>
    <x v="24"/>
    <x v="1"/>
    <s v="Heller Shagamaw Frame - 2016"/>
    <x v="2"/>
  </r>
  <r>
    <n v="408"/>
    <n v="1"/>
    <n v="18"/>
    <x v="0"/>
    <n v="449"/>
    <x v="0"/>
    <x v="8"/>
    <x v="1"/>
    <s v="Pure Cycles Western 3-Speed - Women's - 2015/2016"/>
    <x v="0"/>
  </r>
  <r>
    <n v="408"/>
    <n v="2"/>
    <n v="3"/>
    <x v="0"/>
    <n v="999.99"/>
    <x v="1"/>
    <x v="5"/>
    <x v="1"/>
    <s v="Surly Wednesday Frameset - 2016"/>
    <x v="0"/>
  </r>
  <r>
    <n v="408"/>
    <n v="3"/>
    <n v="2"/>
    <x v="1"/>
    <n v="749.99"/>
    <x v="1"/>
    <x v="6"/>
    <x v="1"/>
    <s v="Ritchey Timberwolf Frameset - 2016"/>
    <x v="0"/>
  </r>
  <r>
    <n v="408"/>
    <n v="4"/>
    <n v="17"/>
    <x v="1"/>
    <n v="429"/>
    <x v="0"/>
    <x v="13"/>
    <x v="1"/>
    <s v="Pure Cycles Vine 8-Speed - 2016"/>
    <x v="0"/>
  </r>
  <r>
    <n v="409"/>
    <n v="1"/>
    <n v="15"/>
    <x v="0"/>
    <n v="529.99"/>
    <x v="1"/>
    <x v="12"/>
    <x v="1"/>
    <s v="Electra Moto 1 - 2016"/>
    <x v="1"/>
  </r>
  <r>
    <n v="409"/>
    <n v="2"/>
    <n v="16"/>
    <x v="1"/>
    <n v="599.99"/>
    <x v="0"/>
    <x v="3"/>
    <x v="1"/>
    <s v="Electra Townie Original 7D EQ - 2016"/>
    <x v="1"/>
  </r>
  <r>
    <n v="409"/>
    <n v="3"/>
    <n v="21"/>
    <x v="0"/>
    <n v="269.99"/>
    <x v="2"/>
    <x v="14"/>
    <x v="1"/>
    <s v="Electra Cruiser 1 (24-Inch) - 2016"/>
    <x v="1"/>
  </r>
  <r>
    <n v="410"/>
    <n v="1"/>
    <n v="25"/>
    <x v="0"/>
    <n v="499.99"/>
    <x v="3"/>
    <x v="33"/>
    <x v="1"/>
    <s v="Electra Townie Original 7D - 2015/2016"/>
    <x v="1"/>
  </r>
  <r>
    <n v="410"/>
    <n v="2"/>
    <n v="9"/>
    <x v="1"/>
    <n v="2999.99"/>
    <x v="2"/>
    <x v="11"/>
    <x v="1"/>
    <s v="Trek Conduit+ - 2016"/>
    <x v="1"/>
  </r>
  <r>
    <n v="410"/>
    <n v="3"/>
    <n v="24"/>
    <x v="1"/>
    <n v="549.99"/>
    <x v="3"/>
    <x v="9"/>
    <x v="1"/>
    <s v="Electra Townie Original 21D - 2016"/>
    <x v="1"/>
  </r>
  <r>
    <n v="411"/>
    <n v="1"/>
    <n v="2"/>
    <x v="0"/>
    <n v="749.99"/>
    <x v="1"/>
    <x v="30"/>
    <x v="1"/>
    <s v="Ritchey Timberwolf Frameset - 2016"/>
    <x v="0"/>
  </r>
  <r>
    <n v="411"/>
    <n v="2"/>
    <n v="26"/>
    <x v="1"/>
    <n v="599.99"/>
    <x v="2"/>
    <x v="3"/>
    <x v="1"/>
    <s v="Electra Townie Original 7D EQ - 2016"/>
    <x v="0"/>
  </r>
  <r>
    <n v="412"/>
    <n v="1"/>
    <n v="7"/>
    <x v="0"/>
    <n v="3999.99"/>
    <x v="3"/>
    <x v="25"/>
    <x v="1"/>
    <s v="Trek Slash 8 27.5 - 2016"/>
    <x v="0"/>
  </r>
  <r>
    <n v="412"/>
    <n v="2"/>
    <n v="24"/>
    <x v="0"/>
    <n v="549.99"/>
    <x v="1"/>
    <x v="31"/>
    <x v="1"/>
    <s v="Electra Townie Original 21D - 2016"/>
    <x v="0"/>
  </r>
  <r>
    <n v="412"/>
    <n v="3"/>
    <n v="17"/>
    <x v="0"/>
    <n v="429"/>
    <x v="3"/>
    <x v="7"/>
    <x v="1"/>
    <s v="Pure Cycles Vine 8-Speed - 2016"/>
    <x v="0"/>
  </r>
  <r>
    <n v="413"/>
    <n v="1"/>
    <n v="8"/>
    <x v="1"/>
    <n v="1799.99"/>
    <x v="2"/>
    <x v="1"/>
    <x v="1"/>
    <s v="Trek Remedy 29 Carbon Frameset - 2016"/>
    <x v="1"/>
  </r>
  <r>
    <n v="413"/>
    <n v="2"/>
    <n v="25"/>
    <x v="0"/>
    <n v="499.99"/>
    <x v="3"/>
    <x v="33"/>
    <x v="1"/>
    <s v="Electra Townie Original 7D - 2015/2016"/>
    <x v="1"/>
  </r>
  <r>
    <n v="413"/>
    <n v="3"/>
    <n v="9"/>
    <x v="0"/>
    <n v="2999.99"/>
    <x v="1"/>
    <x v="28"/>
    <x v="1"/>
    <s v="Trek Conduit+ - 2016"/>
    <x v="1"/>
  </r>
  <r>
    <n v="414"/>
    <n v="1"/>
    <n v="4"/>
    <x v="1"/>
    <n v="2899.99"/>
    <x v="3"/>
    <x v="18"/>
    <x v="1"/>
    <s v="Trek Fuel EX 8 29 - 2016"/>
    <x v="1"/>
  </r>
  <r>
    <n v="415"/>
    <n v="1"/>
    <n v="3"/>
    <x v="0"/>
    <n v="999.99"/>
    <x v="1"/>
    <x v="5"/>
    <x v="1"/>
    <s v="Surly Wednesday Frameset - 2016"/>
    <x v="1"/>
  </r>
  <r>
    <n v="415"/>
    <n v="2"/>
    <n v="23"/>
    <x v="1"/>
    <n v="299.99"/>
    <x v="0"/>
    <x v="22"/>
    <x v="1"/>
    <s v="Electra Girl's Hawaii 1 (20-inch) - 2015/2016"/>
    <x v="1"/>
  </r>
  <r>
    <n v="415"/>
    <n v="3"/>
    <n v="5"/>
    <x v="0"/>
    <n v="1320.99"/>
    <x v="0"/>
    <x v="24"/>
    <x v="1"/>
    <s v="Heller Shagamaw Frame - 2016"/>
    <x v="1"/>
  </r>
  <r>
    <n v="415"/>
    <n v="4"/>
    <n v="6"/>
    <x v="1"/>
    <n v="469.99"/>
    <x v="2"/>
    <x v="35"/>
    <x v="1"/>
    <s v="Surly Ice Cream Truck Frameset - 2016"/>
    <x v="1"/>
  </r>
  <r>
    <n v="416"/>
    <n v="1"/>
    <n v="22"/>
    <x v="0"/>
    <n v="269.99"/>
    <x v="1"/>
    <x v="14"/>
    <x v="1"/>
    <s v="Electra Girl's Hawaii 1 (16-inch) - 2015/2016"/>
    <x v="1"/>
  </r>
  <r>
    <n v="416"/>
    <n v="2"/>
    <n v="14"/>
    <x v="0"/>
    <n v="269.99"/>
    <x v="1"/>
    <x v="14"/>
    <x v="1"/>
    <s v="Electra Girl's Hawaii 1 (16-inch) - 2015/2016"/>
    <x v="1"/>
  </r>
  <r>
    <n v="416"/>
    <n v="3"/>
    <n v="24"/>
    <x v="0"/>
    <n v="549.99"/>
    <x v="3"/>
    <x v="31"/>
    <x v="1"/>
    <s v="Electra Townie Original 21D - 2016"/>
    <x v="1"/>
  </r>
  <r>
    <n v="417"/>
    <n v="1"/>
    <n v="26"/>
    <x v="1"/>
    <n v="599.99"/>
    <x v="1"/>
    <x v="3"/>
    <x v="1"/>
    <s v="Electra Townie Original 7D EQ - 2016"/>
    <x v="0"/>
  </r>
  <r>
    <n v="417"/>
    <n v="2"/>
    <n v="6"/>
    <x v="1"/>
    <n v="469.99"/>
    <x v="1"/>
    <x v="35"/>
    <x v="1"/>
    <s v="Surly Ice Cream Truck Frameset - 2016"/>
    <x v="0"/>
  </r>
  <r>
    <n v="418"/>
    <n v="1"/>
    <n v="12"/>
    <x v="0"/>
    <n v="549.99"/>
    <x v="2"/>
    <x v="31"/>
    <x v="1"/>
    <s v="Electra Townie Original 21D - 2016"/>
    <x v="1"/>
  </r>
  <r>
    <n v="418"/>
    <n v="2"/>
    <n v="20"/>
    <x v="0"/>
    <n v="599.99"/>
    <x v="2"/>
    <x v="0"/>
    <x v="1"/>
    <s v="Electra Townie Original 7D EQ - Women's - 2016"/>
    <x v="1"/>
  </r>
  <r>
    <n v="419"/>
    <n v="1"/>
    <n v="9"/>
    <x v="0"/>
    <n v="2999.99"/>
    <x v="2"/>
    <x v="28"/>
    <x v="1"/>
    <s v="Trek Conduit+ - 2016"/>
    <x v="2"/>
  </r>
  <r>
    <n v="420"/>
    <n v="1"/>
    <n v="17"/>
    <x v="1"/>
    <n v="429"/>
    <x v="0"/>
    <x v="13"/>
    <x v="1"/>
    <s v="Pure Cycles Vine 8-Speed - 2016"/>
    <x v="0"/>
  </r>
  <r>
    <n v="420"/>
    <n v="2"/>
    <n v="15"/>
    <x v="1"/>
    <n v="529.99"/>
    <x v="3"/>
    <x v="29"/>
    <x v="1"/>
    <s v="Electra Moto 1 - 2016"/>
    <x v="0"/>
  </r>
  <r>
    <n v="420"/>
    <n v="3"/>
    <n v="3"/>
    <x v="1"/>
    <n v="999.99"/>
    <x v="2"/>
    <x v="10"/>
    <x v="1"/>
    <s v="Surly Wednesday Frameset - 2016"/>
    <x v="0"/>
  </r>
  <r>
    <n v="421"/>
    <n v="1"/>
    <n v="6"/>
    <x v="1"/>
    <n v="469.99"/>
    <x v="1"/>
    <x v="35"/>
    <x v="1"/>
    <s v="Surly Ice Cream Truck Frameset - 2016"/>
    <x v="0"/>
  </r>
  <r>
    <n v="421"/>
    <n v="2"/>
    <n v="3"/>
    <x v="1"/>
    <n v="999.99"/>
    <x v="0"/>
    <x v="10"/>
    <x v="1"/>
    <s v="Surly Wednesday Frameset - 2016"/>
    <x v="0"/>
  </r>
  <r>
    <n v="421"/>
    <n v="3"/>
    <n v="20"/>
    <x v="1"/>
    <n v="599.99"/>
    <x v="0"/>
    <x v="3"/>
    <x v="1"/>
    <s v="Electra Townie Original 7D EQ - Women's - 2016"/>
    <x v="0"/>
  </r>
  <r>
    <n v="421"/>
    <n v="4"/>
    <n v="4"/>
    <x v="0"/>
    <n v="2899.99"/>
    <x v="1"/>
    <x v="4"/>
    <x v="1"/>
    <s v="Trek Fuel EX 8 29 - 2016"/>
    <x v="0"/>
  </r>
  <r>
    <n v="421"/>
    <n v="5"/>
    <n v="23"/>
    <x v="1"/>
    <n v="299.99"/>
    <x v="0"/>
    <x v="22"/>
    <x v="1"/>
    <s v="Electra Girl's Hawaii 1 (20-inch) - 2015/2016"/>
    <x v="0"/>
  </r>
  <r>
    <n v="422"/>
    <n v="1"/>
    <n v="20"/>
    <x v="1"/>
    <n v="599.99"/>
    <x v="2"/>
    <x v="3"/>
    <x v="1"/>
    <s v="Electra Townie Original 7D EQ - Women's - 2016"/>
    <x v="1"/>
  </r>
  <r>
    <n v="423"/>
    <n v="1"/>
    <n v="8"/>
    <x v="1"/>
    <n v="1799.99"/>
    <x v="2"/>
    <x v="1"/>
    <x v="1"/>
    <s v="Trek Remedy 29 Carbon Frameset - 2016"/>
    <x v="1"/>
  </r>
  <r>
    <n v="423"/>
    <n v="2"/>
    <n v="17"/>
    <x v="0"/>
    <n v="429"/>
    <x v="0"/>
    <x v="7"/>
    <x v="1"/>
    <s v="Pure Cycles Vine 8-Speed - 2016"/>
    <x v="1"/>
  </r>
  <r>
    <n v="423"/>
    <n v="3"/>
    <n v="23"/>
    <x v="1"/>
    <n v="299.99"/>
    <x v="1"/>
    <x v="22"/>
    <x v="1"/>
    <s v="Electra Girl's Hawaii 1 (20-inch) - 2015/2016"/>
    <x v="1"/>
  </r>
  <r>
    <n v="423"/>
    <n v="4"/>
    <n v="2"/>
    <x v="0"/>
    <n v="749.99"/>
    <x v="0"/>
    <x v="30"/>
    <x v="1"/>
    <s v="Ritchey Timberwolf Frameset - 2016"/>
    <x v="1"/>
  </r>
  <r>
    <n v="424"/>
    <n v="1"/>
    <n v="22"/>
    <x v="0"/>
    <n v="269.99"/>
    <x v="3"/>
    <x v="14"/>
    <x v="1"/>
    <s v="Electra Girl's Hawaii 1 (16-inch) - 2015/2016"/>
    <x v="0"/>
  </r>
  <r>
    <n v="424"/>
    <n v="2"/>
    <n v="6"/>
    <x v="0"/>
    <n v="469.99"/>
    <x v="2"/>
    <x v="20"/>
    <x v="1"/>
    <s v="Surly Ice Cream Truck Frameset - 2016"/>
    <x v="0"/>
  </r>
  <r>
    <n v="425"/>
    <n v="1"/>
    <n v="6"/>
    <x v="0"/>
    <n v="469.99"/>
    <x v="3"/>
    <x v="20"/>
    <x v="1"/>
    <s v="Surly Ice Cream Truck Frameset - 2016"/>
    <x v="1"/>
  </r>
  <r>
    <n v="425"/>
    <n v="2"/>
    <n v="21"/>
    <x v="1"/>
    <n v="269.99"/>
    <x v="1"/>
    <x v="17"/>
    <x v="1"/>
    <s v="Electra Cruiser 1 (24-Inch) - 2016"/>
    <x v="1"/>
  </r>
  <r>
    <n v="425"/>
    <n v="3"/>
    <n v="19"/>
    <x v="0"/>
    <n v="449"/>
    <x v="2"/>
    <x v="8"/>
    <x v="1"/>
    <s v="Pure Cycles William 3-Speed - 2016"/>
    <x v="1"/>
  </r>
  <r>
    <n v="426"/>
    <n v="1"/>
    <n v="10"/>
    <x v="0"/>
    <n v="1549"/>
    <x v="3"/>
    <x v="27"/>
    <x v="1"/>
    <s v="Surly Straggler - 2016"/>
    <x v="1"/>
  </r>
  <r>
    <n v="426"/>
    <n v="2"/>
    <n v="23"/>
    <x v="1"/>
    <n v="299.99"/>
    <x v="2"/>
    <x v="22"/>
    <x v="1"/>
    <s v="Electra Girl's Hawaii 1 (20-inch) - 2015/2016"/>
    <x v="1"/>
  </r>
  <r>
    <n v="427"/>
    <n v="1"/>
    <n v="12"/>
    <x v="1"/>
    <n v="549.99"/>
    <x v="1"/>
    <x v="9"/>
    <x v="1"/>
    <s v="Electra Townie Original 21D - 2016"/>
    <x v="0"/>
  </r>
  <r>
    <n v="427"/>
    <n v="2"/>
    <n v="15"/>
    <x v="1"/>
    <n v="529.99"/>
    <x v="3"/>
    <x v="29"/>
    <x v="1"/>
    <s v="Electra Moto 1 - 2016"/>
    <x v="0"/>
  </r>
  <r>
    <n v="427"/>
    <n v="3"/>
    <n v="26"/>
    <x v="1"/>
    <n v="599.99"/>
    <x v="1"/>
    <x v="3"/>
    <x v="1"/>
    <s v="Electra Townie Original 7D EQ - 2016"/>
    <x v="0"/>
  </r>
  <r>
    <n v="428"/>
    <n v="1"/>
    <n v="5"/>
    <x v="1"/>
    <n v="1320.99"/>
    <x v="0"/>
    <x v="34"/>
    <x v="1"/>
    <s v="Heller Shagamaw Frame - 2016"/>
    <x v="1"/>
  </r>
  <r>
    <n v="428"/>
    <n v="2"/>
    <n v="14"/>
    <x v="0"/>
    <n v="269.99"/>
    <x v="0"/>
    <x v="14"/>
    <x v="1"/>
    <s v="Electra Girl's Hawaii 1 (16-inch) - 2015/2016"/>
    <x v="1"/>
  </r>
  <r>
    <n v="429"/>
    <n v="1"/>
    <n v="11"/>
    <x v="0"/>
    <n v="1680.99"/>
    <x v="0"/>
    <x v="19"/>
    <x v="1"/>
    <s v="Surly Straggler 650b - 2016"/>
    <x v="2"/>
  </r>
  <r>
    <n v="429"/>
    <n v="2"/>
    <n v="4"/>
    <x v="1"/>
    <n v="2899.99"/>
    <x v="3"/>
    <x v="18"/>
    <x v="1"/>
    <s v="Trek Fuel EX 8 29 - 2016"/>
    <x v="2"/>
  </r>
  <r>
    <n v="429"/>
    <n v="3"/>
    <n v="5"/>
    <x v="1"/>
    <n v="1320.99"/>
    <x v="2"/>
    <x v="34"/>
    <x v="1"/>
    <s v="Heller Shagamaw Frame - 2016"/>
    <x v="2"/>
  </r>
  <r>
    <n v="429"/>
    <n v="4"/>
    <n v="6"/>
    <x v="0"/>
    <n v="469.99"/>
    <x v="1"/>
    <x v="20"/>
    <x v="1"/>
    <s v="Surly Ice Cream Truck Frameset - 2016"/>
    <x v="2"/>
  </r>
  <r>
    <n v="429"/>
    <n v="5"/>
    <n v="2"/>
    <x v="0"/>
    <n v="749.99"/>
    <x v="3"/>
    <x v="30"/>
    <x v="1"/>
    <s v="Ritchey Timberwolf Frameset - 2016"/>
    <x v="2"/>
  </r>
  <r>
    <n v="430"/>
    <n v="1"/>
    <n v="22"/>
    <x v="1"/>
    <n v="269.99"/>
    <x v="3"/>
    <x v="17"/>
    <x v="1"/>
    <s v="Electra Girl's Hawaii 1 (16-inch) - 2015/2016"/>
    <x v="1"/>
  </r>
  <r>
    <n v="430"/>
    <n v="2"/>
    <n v="11"/>
    <x v="0"/>
    <n v="1680.99"/>
    <x v="1"/>
    <x v="19"/>
    <x v="1"/>
    <s v="Surly Straggler 650b - 2016"/>
    <x v="1"/>
  </r>
  <r>
    <n v="430"/>
    <n v="3"/>
    <n v="4"/>
    <x v="1"/>
    <n v="2899.99"/>
    <x v="0"/>
    <x v="18"/>
    <x v="1"/>
    <s v="Trek Fuel EX 8 29 - 2016"/>
    <x v="1"/>
  </r>
  <r>
    <n v="430"/>
    <n v="4"/>
    <n v="13"/>
    <x v="1"/>
    <n v="269.99"/>
    <x v="0"/>
    <x v="17"/>
    <x v="1"/>
    <s v="Electra Cruiser 1 (24-Inch) - 2016"/>
    <x v="1"/>
  </r>
  <r>
    <n v="430"/>
    <n v="5"/>
    <n v="8"/>
    <x v="0"/>
    <n v="1799.99"/>
    <x v="0"/>
    <x v="16"/>
    <x v="1"/>
    <s v="Trek Remedy 29 Carbon Frameset - 2016"/>
    <x v="1"/>
  </r>
  <r>
    <n v="431"/>
    <n v="1"/>
    <n v="14"/>
    <x v="1"/>
    <n v="269.99"/>
    <x v="0"/>
    <x v="17"/>
    <x v="1"/>
    <s v="Electra Girl's Hawaii 1 (16-inch) - 2015/2016"/>
    <x v="1"/>
  </r>
  <r>
    <n v="431"/>
    <n v="2"/>
    <n v="6"/>
    <x v="0"/>
    <n v="469.99"/>
    <x v="3"/>
    <x v="20"/>
    <x v="1"/>
    <s v="Surly Ice Cream Truck Frameset - 2016"/>
    <x v="1"/>
  </r>
  <r>
    <n v="431"/>
    <n v="3"/>
    <n v="18"/>
    <x v="0"/>
    <n v="449"/>
    <x v="0"/>
    <x v="8"/>
    <x v="1"/>
    <s v="Pure Cycles Western 3-Speed - Women's - 2015/2016"/>
    <x v="1"/>
  </r>
  <r>
    <n v="431"/>
    <n v="4"/>
    <n v="13"/>
    <x v="1"/>
    <n v="269.99"/>
    <x v="1"/>
    <x v="17"/>
    <x v="1"/>
    <s v="Electra Cruiser 1 (24-Inch) - 2016"/>
    <x v="1"/>
  </r>
  <r>
    <n v="431"/>
    <n v="5"/>
    <n v="19"/>
    <x v="0"/>
    <n v="449"/>
    <x v="1"/>
    <x v="8"/>
    <x v="1"/>
    <s v="Pure Cycles William 3-Speed - 2016"/>
    <x v="1"/>
  </r>
  <r>
    <n v="432"/>
    <n v="1"/>
    <n v="10"/>
    <x v="1"/>
    <n v="1549"/>
    <x v="0"/>
    <x v="2"/>
    <x v="1"/>
    <s v="Surly Straggler - 2016"/>
    <x v="0"/>
  </r>
  <r>
    <n v="432"/>
    <n v="2"/>
    <n v="7"/>
    <x v="1"/>
    <n v="3999.99"/>
    <x v="2"/>
    <x v="15"/>
    <x v="1"/>
    <s v="Trek Slash 8 27.5 - 2016"/>
    <x v="0"/>
  </r>
  <r>
    <n v="433"/>
    <n v="1"/>
    <n v="6"/>
    <x v="0"/>
    <n v="469.99"/>
    <x v="3"/>
    <x v="20"/>
    <x v="1"/>
    <s v="Surly Ice Cream Truck Frameset - 2016"/>
    <x v="1"/>
  </r>
  <r>
    <n v="433"/>
    <n v="2"/>
    <n v="10"/>
    <x v="0"/>
    <n v="1549"/>
    <x v="0"/>
    <x v="27"/>
    <x v="1"/>
    <s v="Surly Straggler - 2016"/>
    <x v="1"/>
  </r>
  <r>
    <n v="433"/>
    <n v="3"/>
    <n v="24"/>
    <x v="0"/>
    <n v="549.99"/>
    <x v="3"/>
    <x v="31"/>
    <x v="1"/>
    <s v="Electra Townie Original 21D - 2016"/>
    <x v="1"/>
  </r>
  <r>
    <n v="433"/>
    <n v="4"/>
    <n v="4"/>
    <x v="0"/>
    <n v="2899.99"/>
    <x v="0"/>
    <x v="4"/>
    <x v="1"/>
    <s v="Trek Fuel EX 8 29 - 2016"/>
    <x v="1"/>
  </r>
  <r>
    <n v="434"/>
    <n v="1"/>
    <n v="21"/>
    <x v="0"/>
    <n v="269.99"/>
    <x v="2"/>
    <x v="14"/>
    <x v="1"/>
    <s v="Electra Cruiser 1 (24-Inch) - 2016"/>
    <x v="1"/>
  </r>
  <r>
    <n v="434"/>
    <n v="2"/>
    <n v="20"/>
    <x v="0"/>
    <n v="599.99"/>
    <x v="3"/>
    <x v="0"/>
    <x v="1"/>
    <s v="Electra Townie Original 7D EQ - Women's - 2016"/>
    <x v="1"/>
  </r>
  <r>
    <n v="434"/>
    <n v="3"/>
    <n v="9"/>
    <x v="0"/>
    <n v="2999.99"/>
    <x v="0"/>
    <x v="28"/>
    <x v="1"/>
    <s v="Trek Conduit+ - 2016"/>
    <x v="1"/>
  </r>
  <r>
    <n v="434"/>
    <n v="4"/>
    <n v="11"/>
    <x v="1"/>
    <n v="1680.99"/>
    <x v="1"/>
    <x v="32"/>
    <x v="1"/>
    <s v="Surly Straggler 650b - 2016"/>
    <x v="1"/>
  </r>
  <r>
    <n v="434"/>
    <n v="5"/>
    <n v="18"/>
    <x v="1"/>
    <n v="449"/>
    <x v="2"/>
    <x v="21"/>
    <x v="1"/>
    <s v="Pure Cycles Western 3-Speed - Women's - 2015/2016"/>
    <x v="1"/>
  </r>
  <r>
    <n v="435"/>
    <n v="1"/>
    <n v="22"/>
    <x v="0"/>
    <n v="269.99"/>
    <x v="2"/>
    <x v="14"/>
    <x v="1"/>
    <s v="Electra Girl's Hawaii 1 (16-inch) - 2015/2016"/>
    <x v="2"/>
  </r>
  <r>
    <n v="435"/>
    <n v="2"/>
    <n v="9"/>
    <x v="0"/>
    <n v="2999.99"/>
    <x v="2"/>
    <x v="28"/>
    <x v="1"/>
    <s v="Trek Conduit+ - 2016"/>
    <x v="2"/>
  </r>
  <r>
    <n v="435"/>
    <n v="3"/>
    <n v="18"/>
    <x v="0"/>
    <n v="449"/>
    <x v="2"/>
    <x v="8"/>
    <x v="1"/>
    <s v="Pure Cycles Western 3-Speed - Women's - 2015/2016"/>
    <x v="2"/>
  </r>
  <r>
    <n v="436"/>
    <n v="1"/>
    <n v="3"/>
    <x v="0"/>
    <n v="999.99"/>
    <x v="2"/>
    <x v="5"/>
    <x v="1"/>
    <s v="Surly Wednesday Frameset - 2016"/>
    <x v="1"/>
  </r>
  <r>
    <n v="436"/>
    <n v="2"/>
    <n v="23"/>
    <x v="0"/>
    <n v="299.99"/>
    <x v="0"/>
    <x v="23"/>
    <x v="1"/>
    <s v="Electra Girl's Hawaii 1 (20-inch) - 2015/2016"/>
    <x v="1"/>
  </r>
  <r>
    <n v="437"/>
    <n v="1"/>
    <n v="3"/>
    <x v="0"/>
    <n v="999.99"/>
    <x v="2"/>
    <x v="5"/>
    <x v="1"/>
    <s v="Surly Wednesday Frameset - 2016"/>
    <x v="1"/>
  </r>
  <r>
    <n v="437"/>
    <n v="2"/>
    <n v="10"/>
    <x v="0"/>
    <n v="1549"/>
    <x v="2"/>
    <x v="27"/>
    <x v="1"/>
    <s v="Surly Straggler - 2016"/>
    <x v="1"/>
  </r>
  <r>
    <n v="437"/>
    <n v="3"/>
    <n v="8"/>
    <x v="1"/>
    <n v="1799.99"/>
    <x v="2"/>
    <x v="1"/>
    <x v="1"/>
    <s v="Trek Remedy 29 Carbon Frameset - 2016"/>
    <x v="1"/>
  </r>
  <r>
    <n v="438"/>
    <n v="1"/>
    <n v="4"/>
    <x v="0"/>
    <n v="2899.99"/>
    <x v="1"/>
    <x v="4"/>
    <x v="1"/>
    <s v="Trek Fuel EX 8 29 - 2016"/>
    <x v="2"/>
  </r>
  <r>
    <n v="438"/>
    <n v="2"/>
    <n v="22"/>
    <x v="0"/>
    <n v="269.99"/>
    <x v="3"/>
    <x v="14"/>
    <x v="1"/>
    <s v="Electra Girl's Hawaii 1 (16-inch) - 2015/2016"/>
    <x v="2"/>
  </r>
  <r>
    <n v="438"/>
    <n v="3"/>
    <n v="8"/>
    <x v="1"/>
    <n v="1799.99"/>
    <x v="2"/>
    <x v="1"/>
    <x v="1"/>
    <s v="Trek Remedy 29 Carbon Frameset - 2016"/>
    <x v="2"/>
  </r>
  <r>
    <n v="438"/>
    <n v="4"/>
    <n v="13"/>
    <x v="1"/>
    <n v="269.99"/>
    <x v="2"/>
    <x v="17"/>
    <x v="1"/>
    <s v="Electra Cruiser 1 (24-Inch) - 2016"/>
    <x v="2"/>
  </r>
  <r>
    <n v="439"/>
    <n v="1"/>
    <n v="6"/>
    <x v="1"/>
    <n v="469.99"/>
    <x v="1"/>
    <x v="35"/>
    <x v="1"/>
    <s v="Surly Ice Cream Truck Frameset - 2016"/>
    <x v="1"/>
  </r>
  <r>
    <n v="439"/>
    <n v="2"/>
    <n v="7"/>
    <x v="1"/>
    <n v="3999.99"/>
    <x v="2"/>
    <x v="15"/>
    <x v="1"/>
    <s v="Trek Slash 8 27.5 - 2016"/>
    <x v="1"/>
  </r>
  <r>
    <n v="440"/>
    <n v="1"/>
    <n v="19"/>
    <x v="1"/>
    <n v="449"/>
    <x v="1"/>
    <x v="21"/>
    <x v="1"/>
    <s v="Pure Cycles William 3-Speed - 2016"/>
    <x v="1"/>
  </r>
  <r>
    <n v="440"/>
    <n v="2"/>
    <n v="4"/>
    <x v="1"/>
    <n v="2899.99"/>
    <x v="1"/>
    <x v="18"/>
    <x v="1"/>
    <s v="Trek Fuel EX 8 29 - 2016"/>
    <x v="1"/>
  </r>
  <r>
    <n v="441"/>
    <n v="1"/>
    <n v="12"/>
    <x v="0"/>
    <n v="549.99"/>
    <x v="1"/>
    <x v="31"/>
    <x v="1"/>
    <s v="Electra Townie Original 21D - 2016"/>
    <x v="0"/>
  </r>
  <r>
    <n v="441"/>
    <n v="2"/>
    <n v="15"/>
    <x v="0"/>
    <n v="529.99"/>
    <x v="3"/>
    <x v="12"/>
    <x v="1"/>
    <s v="Electra Moto 1 - 2016"/>
    <x v="0"/>
  </r>
  <r>
    <n v="442"/>
    <n v="1"/>
    <n v="16"/>
    <x v="1"/>
    <n v="599.99"/>
    <x v="1"/>
    <x v="3"/>
    <x v="1"/>
    <s v="Electra Townie Original 7D EQ - 2016"/>
    <x v="1"/>
  </r>
  <r>
    <n v="442"/>
    <n v="2"/>
    <n v="26"/>
    <x v="1"/>
    <n v="599.99"/>
    <x v="0"/>
    <x v="3"/>
    <x v="1"/>
    <s v="Electra Townie Original 7D EQ - 2016"/>
    <x v="1"/>
  </r>
  <r>
    <n v="442"/>
    <n v="3"/>
    <n v="6"/>
    <x v="1"/>
    <n v="469.99"/>
    <x v="0"/>
    <x v="35"/>
    <x v="1"/>
    <s v="Surly Ice Cream Truck Frameset - 2016"/>
    <x v="1"/>
  </r>
  <r>
    <n v="443"/>
    <n v="1"/>
    <n v="5"/>
    <x v="0"/>
    <n v="1320.99"/>
    <x v="2"/>
    <x v="24"/>
    <x v="1"/>
    <s v="Heller Shagamaw Frame - 2016"/>
    <x v="1"/>
  </r>
  <r>
    <n v="443"/>
    <n v="2"/>
    <n v="26"/>
    <x v="0"/>
    <n v="599.99"/>
    <x v="0"/>
    <x v="0"/>
    <x v="1"/>
    <s v="Electra Townie Original 7D EQ - 2016"/>
    <x v="1"/>
  </r>
  <r>
    <n v="444"/>
    <n v="1"/>
    <n v="22"/>
    <x v="0"/>
    <n v="269.99"/>
    <x v="1"/>
    <x v="14"/>
    <x v="1"/>
    <s v="Electra Girl's Hawaii 1 (16-inch) - 2015/2016"/>
    <x v="0"/>
  </r>
  <r>
    <n v="444"/>
    <n v="2"/>
    <n v="15"/>
    <x v="1"/>
    <n v="529.99"/>
    <x v="1"/>
    <x v="29"/>
    <x v="1"/>
    <s v="Electra Moto 1 - 2016"/>
    <x v="0"/>
  </r>
  <r>
    <n v="444"/>
    <n v="3"/>
    <n v="20"/>
    <x v="1"/>
    <n v="599.99"/>
    <x v="2"/>
    <x v="3"/>
    <x v="1"/>
    <s v="Electra Townie Original 7D EQ - Women's - 2016"/>
    <x v="0"/>
  </r>
  <r>
    <n v="444"/>
    <n v="4"/>
    <n v="16"/>
    <x v="0"/>
    <n v="599.99"/>
    <x v="3"/>
    <x v="0"/>
    <x v="1"/>
    <s v="Electra Townie Original 7D EQ - 2016"/>
    <x v="0"/>
  </r>
  <r>
    <n v="444"/>
    <n v="5"/>
    <n v="10"/>
    <x v="1"/>
    <n v="1549"/>
    <x v="0"/>
    <x v="2"/>
    <x v="1"/>
    <s v="Surly Straggler - 2016"/>
    <x v="0"/>
  </r>
  <r>
    <n v="445"/>
    <n v="1"/>
    <n v="7"/>
    <x v="0"/>
    <n v="3999.99"/>
    <x v="0"/>
    <x v="25"/>
    <x v="1"/>
    <s v="Trek Slash 8 27.5 - 2016"/>
    <x v="1"/>
  </r>
  <r>
    <n v="445"/>
    <n v="2"/>
    <n v="16"/>
    <x v="0"/>
    <n v="599.99"/>
    <x v="1"/>
    <x v="0"/>
    <x v="1"/>
    <s v="Electra Townie Original 7D EQ - 2016"/>
    <x v="1"/>
  </r>
  <r>
    <n v="445"/>
    <n v="3"/>
    <n v="23"/>
    <x v="0"/>
    <n v="299.99"/>
    <x v="0"/>
    <x v="23"/>
    <x v="1"/>
    <s v="Electra Girl's Hawaii 1 (20-inch) - 2015/2016"/>
    <x v="1"/>
  </r>
  <r>
    <n v="446"/>
    <n v="1"/>
    <n v="22"/>
    <x v="0"/>
    <n v="269.99"/>
    <x v="0"/>
    <x v="14"/>
    <x v="1"/>
    <s v="Electra Girl's Hawaii 1 (16-inch) - 2015/2016"/>
    <x v="1"/>
  </r>
  <r>
    <n v="446"/>
    <n v="2"/>
    <n v="16"/>
    <x v="1"/>
    <n v="599.99"/>
    <x v="1"/>
    <x v="3"/>
    <x v="1"/>
    <s v="Electra Townie Original 7D EQ - 2016"/>
    <x v="1"/>
  </r>
  <r>
    <n v="447"/>
    <n v="1"/>
    <n v="4"/>
    <x v="1"/>
    <n v="2899.99"/>
    <x v="2"/>
    <x v="18"/>
    <x v="1"/>
    <s v="Trek Fuel EX 8 29 - 2016"/>
    <x v="2"/>
  </r>
  <r>
    <n v="447"/>
    <n v="2"/>
    <n v="3"/>
    <x v="0"/>
    <n v="999.99"/>
    <x v="3"/>
    <x v="5"/>
    <x v="1"/>
    <s v="Surly Wednesday Frameset - 2016"/>
    <x v="2"/>
  </r>
  <r>
    <n v="447"/>
    <n v="3"/>
    <n v="8"/>
    <x v="0"/>
    <n v="1799.99"/>
    <x v="1"/>
    <x v="16"/>
    <x v="1"/>
    <s v="Trek Remedy 29 Carbon Frameset - 2016"/>
    <x v="2"/>
  </r>
  <r>
    <n v="448"/>
    <n v="1"/>
    <n v="13"/>
    <x v="1"/>
    <n v="269.99"/>
    <x v="2"/>
    <x v="17"/>
    <x v="1"/>
    <s v="Electra Cruiser 1 (24-Inch) - 2016"/>
    <x v="1"/>
  </r>
  <r>
    <n v="448"/>
    <n v="2"/>
    <n v="6"/>
    <x v="1"/>
    <n v="469.99"/>
    <x v="2"/>
    <x v="35"/>
    <x v="1"/>
    <s v="Surly Ice Cream Truck Frameset - 2016"/>
    <x v="1"/>
  </r>
  <r>
    <n v="449"/>
    <n v="1"/>
    <n v="17"/>
    <x v="1"/>
    <n v="429"/>
    <x v="2"/>
    <x v="13"/>
    <x v="1"/>
    <s v="Pure Cycles Vine 8-Speed - 2016"/>
    <x v="1"/>
  </r>
  <r>
    <n v="449"/>
    <n v="2"/>
    <n v="2"/>
    <x v="0"/>
    <n v="749.99"/>
    <x v="2"/>
    <x v="30"/>
    <x v="1"/>
    <s v="Ritchey Timberwolf Frameset - 2016"/>
    <x v="1"/>
  </r>
  <r>
    <n v="449"/>
    <n v="3"/>
    <n v="7"/>
    <x v="1"/>
    <n v="3999.99"/>
    <x v="1"/>
    <x v="15"/>
    <x v="1"/>
    <s v="Trek Slash 8 27.5 - 2016"/>
    <x v="1"/>
  </r>
  <r>
    <n v="449"/>
    <n v="4"/>
    <n v="26"/>
    <x v="1"/>
    <n v="599.99"/>
    <x v="0"/>
    <x v="3"/>
    <x v="1"/>
    <s v="Electra Townie Original 7D EQ - 2016"/>
    <x v="1"/>
  </r>
  <r>
    <n v="450"/>
    <n v="1"/>
    <n v="24"/>
    <x v="0"/>
    <n v="549.99"/>
    <x v="2"/>
    <x v="31"/>
    <x v="1"/>
    <s v="Electra Townie Original 21D - 2016"/>
    <x v="1"/>
  </r>
  <r>
    <n v="450"/>
    <n v="2"/>
    <n v="12"/>
    <x v="0"/>
    <n v="549.99"/>
    <x v="1"/>
    <x v="31"/>
    <x v="1"/>
    <s v="Electra Townie Original 21D - 2016"/>
    <x v="1"/>
  </r>
  <r>
    <n v="450"/>
    <n v="3"/>
    <n v="5"/>
    <x v="0"/>
    <n v="1320.99"/>
    <x v="3"/>
    <x v="24"/>
    <x v="1"/>
    <s v="Heller Shagamaw Frame - 2016"/>
    <x v="1"/>
  </r>
  <r>
    <n v="451"/>
    <n v="1"/>
    <n v="14"/>
    <x v="1"/>
    <n v="269.99"/>
    <x v="2"/>
    <x v="17"/>
    <x v="1"/>
    <s v="Electra Girl's Hawaii 1 (16-inch) - 2015/2016"/>
    <x v="1"/>
  </r>
  <r>
    <n v="452"/>
    <n v="1"/>
    <n v="11"/>
    <x v="0"/>
    <n v="1680.99"/>
    <x v="2"/>
    <x v="19"/>
    <x v="1"/>
    <s v="Surly Straggler 650b - 2016"/>
    <x v="1"/>
  </r>
  <r>
    <n v="452"/>
    <n v="2"/>
    <n v="16"/>
    <x v="0"/>
    <n v="599.99"/>
    <x v="2"/>
    <x v="0"/>
    <x v="1"/>
    <s v="Electra Townie Original 7D EQ - 2016"/>
    <x v="1"/>
  </r>
  <r>
    <n v="452"/>
    <n v="3"/>
    <n v="7"/>
    <x v="1"/>
    <n v="3999.99"/>
    <x v="3"/>
    <x v="15"/>
    <x v="1"/>
    <s v="Trek Slash 8 27.5 - 2016"/>
    <x v="1"/>
  </r>
  <r>
    <n v="452"/>
    <n v="4"/>
    <n v="8"/>
    <x v="0"/>
    <n v="1799.99"/>
    <x v="3"/>
    <x v="16"/>
    <x v="1"/>
    <s v="Trek Remedy 29 Carbon Frameset - 2016"/>
    <x v="1"/>
  </r>
  <r>
    <n v="453"/>
    <n v="1"/>
    <n v="23"/>
    <x v="0"/>
    <n v="299.99"/>
    <x v="2"/>
    <x v="23"/>
    <x v="1"/>
    <s v="Electra Girl's Hawaii 1 (20-inch) - 2015/2016"/>
    <x v="1"/>
  </r>
  <r>
    <n v="453"/>
    <n v="2"/>
    <n v="20"/>
    <x v="1"/>
    <n v="599.99"/>
    <x v="0"/>
    <x v="3"/>
    <x v="1"/>
    <s v="Electra Townie Original 7D EQ - Women's - 2016"/>
    <x v="1"/>
  </r>
  <r>
    <n v="453"/>
    <n v="3"/>
    <n v="4"/>
    <x v="0"/>
    <n v="2899.99"/>
    <x v="0"/>
    <x v="4"/>
    <x v="1"/>
    <s v="Trek Fuel EX 8 29 - 2016"/>
    <x v="1"/>
  </r>
  <r>
    <n v="454"/>
    <n v="1"/>
    <n v="25"/>
    <x v="1"/>
    <n v="499.99"/>
    <x v="1"/>
    <x v="26"/>
    <x v="1"/>
    <s v="Electra Townie Original 7D - 2015/2016"/>
    <x v="1"/>
  </r>
  <r>
    <n v="454"/>
    <n v="2"/>
    <n v="13"/>
    <x v="1"/>
    <n v="269.99"/>
    <x v="2"/>
    <x v="17"/>
    <x v="1"/>
    <s v="Electra Cruiser 1 (24-Inch) - 2016"/>
    <x v="1"/>
  </r>
  <r>
    <n v="454"/>
    <n v="3"/>
    <n v="24"/>
    <x v="1"/>
    <n v="549.99"/>
    <x v="3"/>
    <x v="9"/>
    <x v="1"/>
    <s v="Electra Townie Original 21D - 2016"/>
    <x v="1"/>
  </r>
  <r>
    <n v="455"/>
    <n v="1"/>
    <n v="9"/>
    <x v="0"/>
    <n v="2999.99"/>
    <x v="2"/>
    <x v="28"/>
    <x v="1"/>
    <s v="Trek Conduit+ - 2016"/>
    <x v="1"/>
  </r>
  <r>
    <n v="456"/>
    <n v="1"/>
    <n v="17"/>
    <x v="1"/>
    <n v="429"/>
    <x v="1"/>
    <x v="13"/>
    <x v="1"/>
    <s v="Pure Cycles Vine 8-Speed - 2016"/>
    <x v="2"/>
  </r>
  <r>
    <n v="456"/>
    <n v="2"/>
    <n v="23"/>
    <x v="0"/>
    <n v="299.99"/>
    <x v="1"/>
    <x v="23"/>
    <x v="1"/>
    <s v="Electra Girl's Hawaii 1 (20-inch) - 2015/2016"/>
    <x v="2"/>
  </r>
  <r>
    <n v="457"/>
    <n v="1"/>
    <n v="24"/>
    <x v="1"/>
    <n v="549.99"/>
    <x v="1"/>
    <x v="9"/>
    <x v="1"/>
    <s v="Electra Townie Original 21D - 2016"/>
    <x v="0"/>
  </r>
  <r>
    <n v="457"/>
    <n v="2"/>
    <n v="2"/>
    <x v="0"/>
    <n v="749.99"/>
    <x v="2"/>
    <x v="30"/>
    <x v="1"/>
    <s v="Ritchey Timberwolf Frameset - 2016"/>
    <x v="0"/>
  </r>
  <r>
    <n v="457"/>
    <n v="3"/>
    <n v="7"/>
    <x v="1"/>
    <n v="3999.99"/>
    <x v="3"/>
    <x v="15"/>
    <x v="1"/>
    <s v="Trek Slash 8 27.5 - 2016"/>
    <x v="0"/>
  </r>
  <r>
    <n v="457"/>
    <n v="4"/>
    <n v="17"/>
    <x v="0"/>
    <n v="429"/>
    <x v="0"/>
    <x v="7"/>
    <x v="1"/>
    <s v="Pure Cycles Vine 8-Speed - 2016"/>
    <x v="0"/>
  </r>
  <r>
    <n v="458"/>
    <n v="1"/>
    <n v="2"/>
    <x v="0"/>
    <n v="749.99"/>
    <x v="0"/>
    <x v="30"/>
    <x v="1"/>
    <s v="Ritchey Timberwolf Frameset - 2016"/>
    <x v="1"/>
  </r>
  <r>
    <n v="458"/>
    <n v="2"/>
    <n v="21"/>
    <x v="1"/>
    <n v="269.99"/>
    <x v="1"/>
    <x v="17"/>
    <x v="1"/>
    <s v="Electra Cruiser 1 (24-Inch) - 2016"/>
    <x v="1"/>
  </r>
  <r>
    <n v="458"/>
    <n v="3"/>
    <n v="11"/>
    <x v="0"/>
    <n v="1680.99"/>
    <x v="3"/>
    <x v="19"/>
    <x v="1"/>
    <s v="Surly Straggler 650b - 2016"/>
    <x v="1"/>
  </r>
  <r>
    <n v="458"/>
    <n v="4"/>
    <n v="24"/>
    <x v="0"/>
    <n v="549.99"/>
    <x v="0"/>
    <x v="31"/>
    <x v="1"/>
    <s v="Electra Townie Original 21D - 2016"/>
    <x v="1"/>
  </r>
  <r>
    <n v="458"/>
    <n v="5"/>
    <n v="3"/>
    <x v="1"/>
    <n v="999.99"/>
    <x v="0"/>
    <x v="10"/>
    <x v="1"/>
    <s v="Surly Wednesday Frameset - 2016"/>
    <x v="1"/>
  </r>
  <r>
    <n v="459"/>
    <n v="1"/>
    <n v="11"/>
    <x v="0"/>
    <n v="1680.99"/>
    <x v="0"/>
    <x v="19"/>
    <x v="1"/>
    <s v="Surly Straggler 650b - 2016"/>
    <x v="1"/>
  </r>
  <r>
    <n v="460"/>
    <n v="1"/>
    <n v="19"/>
    <x v="0"/>
    <n v="449"/>
    <x v="2"/>
    <x v="8"/>
    <x v="1"/>
    <s v="Pure Cycles William 3-Speed - 2016"/>
    <x v="2"/>
  </r>
  <r>
    <n v="460"/>
    <n v="2"/>
    <n v="18"/>
    <x v="1"/>
    <n v="449"/>
    <x v="1"/>
    <x v="21"/>
    <x v="1"/>
    <s v="Pure Cycles Western 3-Speed - Women's - 2015/2016"/>
    <x v="2"/>
  </r>
  <r>
    <n v="460"/>
    <n v="3"/>
    <n v="4"/>
    <x v="0"/>
    <n v="2899.99"/>
    <x v="0"/>
    <x v="4"/>
    <x v="1"/>
    <s v="Trek Fuel EX 8 29 - 2016"/>
    <x v="2"/>
  </r>
  <r>
    <n v="460"/>
    <n v="4"/>
    <n v="22"/>
    <x v="1"/>
    <n v="269.99"/>
    <x v="3"/>
    <x v="17"/>
    <x v="1"/>
    <s v="Electra Girl's Hawaii 1 (16-inch) - 2015/2016"/>
    <x v="2"/>
  </r>
  <r>
    <n v="461"/>
    <n v="1"/>
    <n v="16"/>
    <x v="0"/>
    <n v="599.99"/>
    <x v="1"/>
    <x v="0"/>
    <x v="1"/>
    <s v="Electra Townie Original 7D EQ - 2016"/>
    <x v="1"/>
  </r>
  <r>
    <n v="461"/>
    <n v="2"/>
    <n v="4"/>
    <x v="0"/>
    <n v="2899.99"/>
    <x v="0"/>
    <x v="4"/>
    <x v="1"/>
    <s v="Trek Fuel EX 8 29 - 2016"/>
    <x v="1"/>
  </r>
  <r>
    <n v="461"/>
    <n v="3"/>
    <n v="8"/>
    <x v="1"/>
    <n v="1799.99"/>
    <x v="2"/>
    <x v="1"/>
    <x v="1"/>
    <s v="Trek Remedy 29 Carbon Frameset - 2016"/>
    <x v="1"/>
  </r>
  <r>
    <n v="461"/>
    <n v="4"/>
    <n v="24"/>
    <x v="0"/>
    <n v="549.99"/>
    <x v="3"/>
    <x v="31"/>
    <x v="1"/>
    <s v="Electra Townie Original 21D - 2016"/>
    <x v="1"/>
  </r>
  <r>
    <n v="461"/>
    <n v="5"/>
    <n v="18"/>
    <x v="1"/>
    <n v="449"/>
    <x v="3"/>
    <x v="21"/>
    <x v="1"/>
    <s v="Pure Cycles Western 3-Speed - Women's - 2015/2016"/>
    <x v="1"/>
  </r>
  <r>
    <n v="462"/>
    <n v="1"/>
    <n v="12"/>
    <x v="1"/>
    <n v="549.99"/>
    <x v="3"/>
    <x v="9"/>
    <x v="1"/>
    <s v="Electra Townie Original 21D - 2016"/>
    <x v="1"/>
  </r>
  <r>
    <n v="463"/>
    <n v="1"/>
    <n v="13"/>
    <x v="1"/>
    <n v="269.99"/>
    <x v="1"/>
    <x v="17"/>
    <x v="1"/>
    <s v="Electra Cruiser 1 (24-Inch) - 2016"/>
    <x v="2"/>
  </r>
  <r>
    <n v="464"/>
    <n v="1"/>
    <n v="7"/>
    <x v="0"/>
    <n v="3999.99"/>
    <x v="3"/>
    <x v="25"/>
    <x v="1"/>
    <s v="Trek Slash 8 27.5 - 2016"/>
    <x v="1"/>
  </r>
  <r>
    <n v="465"/>
    <n v="1"/>
    <n v="6"/>
    <x v="1"/>
    <n v="469.99"/>
    <x v="3"/>
    <x v="35"/>
    <x v="1"/>
    <s v="Surly Ice Cream Truck Frameset - 2016"/>
    <x v="1"/>
  </r>
  <r>
    <n v="465"/>
    <n v="2"/>
    <n v="25"/>
    <x v="1"/>
    <n v="499.99"/>
    <x v="3"/>
    <x v="26"/>
    <x v="1"/>
    <s v="Electra Townie Original 7D - 2015/2016"/>
    <x v="1"/>
  </r>
  <r>
    <n v="466"/>
    <n v="1"/>
    <n v="19"/>
    <x v="1"/>
    <n v="449"/>
    <x v="0"/>
    <x v="21"/>
    <x v="1"/>
    <s v="Pure Cycles William 3-Speed - 2016"/>
    <x v="1"/>
  </r>
  <r>
    <n v="466"/>
    <n v="2"/>
    <n v="6"/>
    <x v="0"/>
    <n v="469.99"/>
    <x v="0"/>
    <x v="20"/>
    <x v="1"/>
    <s v="Surly Ice Cream Truck Frameset - 2016"/>
    <x v="1"/>
  </r>
  <r>
    <n v="466"/>
    <n v="3"/>
    <n v="7"/>
    <x v="1"/>
    <n v="3999.99"/>
    <x v="2"/>
    <x v="15"/>
    <x v="1"/>
    <s v="Trek Slash 8 27.5 - 2016"/>
    <x v="1"/>
  </r>
  <r>
    <n v="466"/>
    <n v="4"/>
    <n v="15"/>
    <x v="0"/>
    <n v="529.99"/>
    <x v="3"/>
    <x v="12"/>
    <x v="1"/>
    <s v="Electra Moto 1 - 2016"/>
    <x v="1"/>
  </r>
  <r>
    <n v="466"/>
    <n v="5"/>
    <n v="5"/>
    <x v="0"/>
    <n v="1320.99"/>
    <x v="3"/>
    <x v="24"/>
    <x v="1"/>
    <s v="Heller Shagamaw Frame - 2016"/>
    <x v="1"/>
  </r>
  <r>
    <n v="467"/>
    <n v="1"/>
    <n v="19"/>
    <x v="0"/>
    <n v="449"/>
    <x v="1"/>
    <x v="8"/>
    <x v="1"/>
    <s v="Pure Cycles William 3-Speed - 2016"/>
    <x v="2"/>
  </r>
  <r>
    <n v="467"/>
    <n v="2"/>
    <n v="10"/>
    <x v="0"/>
    <n v="1549"/>
    <x v="1"/>
    <x v="27"/>
    <x v="1"/>
    <s v="Surly Straggler - 2016"/>
    <x v="2"/>
  </r>
  <r>
    <n v="467"/>
    <n v="3"/>
    <n v="22"/>
    <x v="1"/>
    <n v="269.99"/>
    <x v="3"/>
    <x v="17"/>
    <x v="1"/>
    <s v="Electra Girl's Hawaii 1 (16-inch) - 2015/2016"/>
    <x v="2"/>
  </r>
  <r>
    <n v="467"/>
    <n v="4"/>
    <n v="17"/>
    <x v="1"/>
    <n v="429"/>
    <x v="1"/>
    <x v="13"/>
    <x v="1"/>
    <s v="Pure Cycles Vine 8-Speed - 2016"/>
    <x v="2"/>
  </r>
  <r>
    <n v="467"/>
    <n v="5"/>
    <n v="11"/>
    <x v="0"/>
    <n v="1680.99"/>
    <x v="3"/>
    <x v="19"/>
    <x v="1"/>
    <s v="Surly Straggler 650b - 2016"/>
    <x v="2"/>
  </r>
  <r>
    <n v="468"/>
    <n v="1"/>
    <n v="19"/>
    <x v="0"/>
    <n v="449"/>
    <x v="3"/>
    <x v="8"/>
    <x v="1"/>
    <s v="Pure Cycles William 3-Speed - 2016"/>
    <x v="0"/>
  </r>
  <r>
    <n v="468"/>
    <n v="2"/>
    <n v="9"/>
    <x v="1"/>
    <n v="2999.99"/>
    <x v="2"/>
    <x v="11"/>
    <x v="1"/>
    <s v="Trek Conduit+ - 2016"/>
    <x v="0"/>
  </r>
  <r>
    <n v="468"/>
    <n v="3"/>
    <n v="10"/>
    <x v="1"/>
    <n v="1549"/>
    <x v="2"/>
    <x v="2"/>
    <x v="1"/>
    <s v="Surly Straggler - 2016"/>
    <x v="0"/>
  </r>
  <r>
    <n v="468"/>
    <n v="4"/>
    <n v="25"/>
    <x v="0"/>
    <n v="499.99"/>
    <x v="3"/>
    <x v="33"/>
    <x v="1"/>
    <s v="Electra Townie Original 7D - 2015/2016"/>
    <x v="0"/>
  </r>
  <r>
    <n v="469"/>
    <n v="1"/>
    <n v="8"/>
    <x v="1"/>
    <n v="1799.99"/>
    <x v="3"/>
    <x v="1"/>
    <x v="1"/>
    <s v="Trek Remedy 29 Carbon Frameset - 2016"/>
    <x v="1"/>
  </r>
  <r>
    <n v="469"/>
    <n v="2"/>
    <n v="4"/>
    <x v="0"/>
    <n v="2899.99"/>
    <x v="1"/>
    <x v="4"/>
    <x v="1"/>
    <s v="Trek Fuel EX 8 29 - 2016"/>
    <x v="1"/>
  </r>
  <r>
    <n v="469"/>
    <n v="3"/>
    <n v="15"/>
    <x v="1"/>
    <n v="529.99"/>
    <x v="0"/>
    <x v="29"/>
    <x v="1"/>
    <s v="Electra Moto 1 - 2016"/>
    <x v="1"/>
  </r>
  <r>
    <n v="470"/>
    <n v="1"/>
    <n v="18"/>
    <x v="0"/>
    <n v="449"/>
    <x v="2"/>
    <x v="8"/>
    <x v="1"/>
    <s v="Pure Cycles Western 3-Speed - Women's - 2015/2016"/>
    <x v="0"/>
  </r>
  <r>
    <n v="470"/>
    <n v="2"/>
    <n v="13"/>
    <x v="0"/>
    <n v="269.99"/>
    <x v="2"/>
    <x v="14"/>
    <x v="1"/>
    <s v="Electra Cruiser 1 (24-Inch) - 2016"/>
    <x v="0"/>
  </r>
  <r>
    <n v="470"/>
    <n v="3"/>
    <n v="8"/>
    <x v="1"/>
    <n v="1799.99"/>
    <x v="0"/>
    <x v="1"/>
    <x v="1"/>
    <s v="Trek Remedy 29 Carbon Frameset - 2016"/>
    <x v="0"/>
  </r>
  <r>
    <n v="471"/>
    <n v="1"/>
    <n v="14"/>
    <x v="0"/>
    <n v="269.99"/>
    <x v="0"/>
    <x v="14"/>
    <x v="1"/>
    <s v="Electra Girl's Hawaii 1 (16-inch) - 2015/2016"/>
    <x v="0"/>
  </r>
  <r>
    <n v="471"/>
    <n v="2"/>
    <n v="13"/>
    <x v="1"/>
    <n v="269.99"/>
    <x v="2"/>
    <x v="17"/>
    <x v="1"/>
    <s v="Electra Cruiser 1 (24-Inch) - 2016"/>
    <x v="0"/>
  </r>
  <r>
    <n v="472"/>
    <n v="1"/>
    <n v="15"/>
    <x v="0"/>
    <n v="529.99"/>
    <x v="3"/>
    <x v="12"/>
    <x v="1"/>
    <s v="Electra Moto 1 - 2016"/>
    <x v="1"/>
  </r>
  <r>
    <n v="472"/>
    <n v="2"/>
    <n v="21"/>
    <x v="1"/>
    <n v="269.99"/>
    <x v="3"/>
    <x v="17"/>
    <x v="1"/>
    <s v="Electra Cruiser 1 (24-Inch) - 2016"/>
    <x v="1"/>
  </r>
  <r>
    <n v="473"/>
    <n v="1"/>
    <n v="26"/>
    <x v="0"/>
    <n v="599.99"/>
    <x v="1"/>
    <x v="0"/>
    <x v="1"/>
    <s v="Electra Townie Original 7D EQ - 2016"/>
    <x v="1"/>
  </r>
  <r>
    <n v="474"/>
    <n v="1"/>
    <n v="19"/>
    <x v="1"/>
    <n v="449"/>
    <x v="2"/>
    <x v="21"/>
    <x v="1"/>
    <s v="Pure Cycles William 3-Speed - 2016"/>
    <x v="0"/>
  </r>
  <r>
    <n v="474"/>
    <n v="2"/>
    <n v="11"/>
    <x v="0"/>
    <n v="1680.99"/>
    <x v="0"/>
    <x v="19"/>
    <x v="1"/>
    <s v="Surly Straggler 650b - 2016"/>
    <x v="0"/>
  </r>
  <r>
    <n v="475"/>
    <n v="1"/>
    <n v="17"/>
    <x v="1"/>
    <n v="429"/>
    <x v="1"/>
    <x v="13"/>
    <x v="1"/>
    <s v="Pure Cycles Vine 8-Speed - 2016"/>
    <x v="1"/>
  </r>
  <r>
    <n v="475"/>
    <n v="2"/>
    <n v="26"/>
    <x v="1"/>
    <n v="599.99"/>
    <x v="0"/>
    <x v="3"/>
    <x v="1"/>
    <s v="Electra Townie Original 7D EQ - 2016"/>
    <x v="1"/>
  </r>
  <r>
    <n v="475"/>
    <n v="3"/>
    <n v="25"/>
    <x v="0"/>
    <n v="499.99"/>
    <x v="0"/>
    <x v="33"/>
    <x v="1"/>
    <s v="Electra Townie Original 7D - 2015/2016"/>
    <x v="1"/>
  </r>
  <r>
    <n v="476"/>
    <n v="1"/>
    <n v="22"/>
    <x v="1"/>
    <n v="269.99"/>
    <x v="1"/>
    <x v="17"/>
    <x v="1"/>
    <s v="Electra Girl's Hawaii 1 (16-inch) - 2015/2016"/>
    <x v="1"/>
  </r>
  <r>
    <n v="476"/>
    <n v="2"/>
    <n v="4"/>
    <x v="1"/>
    <n v="2899.99"/>
    <x v="0"/>
    <x v="18"/>
    <x v="1"/>
    <s v="Trek Fuel EX 8 29 - 2016"/>
    <x v="1"/>
  </r>
  <r>
    <n v="476"/>
    <n v="3"/>
    <n v="11"/>
    <x v="1"/>
    <n v="1680.99"/>
    <x v="1"/>
    <x v="32"/>
    <x v="1"/>
    <s v="Surly Straggler 650b - 2016"/>
    <x v="1"/>
  </r>
  <r>
    <n v="476"/>
    <n v="4"/>
    <n v="20"/>
    <x v="1"/>
    <n v="599.99"/>
    <x v="2"/>
    <x v="3"/>
    <x v="1"/>
    <s v="Electra Townie Original 7D EQ - Women's - 2016"/>
    <x v="1"/>
  </r>
  <r>
    <n v="477"/>
    <n v="1"/>
    <n v="6"/>
    <x v="0"/>
    <n v="469.99"/>
    <x v="3"/>
    <x v="20"/>
    <x v="1"/>
    <s v="Surly Ice Cream Truck Frameset - 2016"/>
    <x v="0"/>
  </r>
  <r>
    <n v="477"/>
    <n v="2"/>
    <n v="10"/>
    <x v="0"/>
    <n v="1549"/>
    <x v="2"/>
    <x v="27"/>
    <x v="1"/>
    <s v="Surly Straggler - 2016"/>
    <x v="0"/>
  </r>
  <r>
    <n v="478"/>
    <n v="1"/>
    <n v="21"/>
    <x v="1"/>
    <n v="269.99"/>
    <x v="1"/>
    <x v="17"/>
    <x v="1"/>
    <s v="Electra Cruiser 1 (24-Inch) - 2016"/>
    <x v="1"/>
  </r>
  <r>
    <n v="479"/>
    <n v="1"/>
    <n v="26"/>
    <x v="0"/>
    <n v="599.99"/>
    <x v="1"/>
    <x v="0"/>
    <x v="1"/>
    <s v="Electra Townie Original 7D EQ - 2016"/>
    <x v="1"/>
  </r>
  <r>
    <n v="479"/>
    <n v="2"/>
    <n v="12"/>
    <x v="0"/>
    <n v="549.99"/>
    <x v="2"/>
    <x v="31"/>
    <x v="1"/>
    <s v="Electra Townie Original 21D - 2016"/>
    <x v="1"/>
  </r>
  <r>
    <n v="479"/>
    <n v="3"/>
    <n v="21"/>
    <x v="0"/>
    <n v="269.99"/>
    <x v="0"/>
    <x v="14"/>
    <x v="1"/>
    <s v="Electra Cruiser 1 (24-Inch) - 2016"/>
    <x v="1"/>
  </r>
  <r>
    <n v="479"/>
    <n v="4"/>
    <n v="7"/>
    <x v="0"/>
    <n v="3999.99"/>
    <x v="2"/>
    <x v="25"/>
    <x v="1"/>
    <s v="Trek Slash 8 27.5 - 2016"/>
    <x v="1"/>
  </r>
  <r>
    <n v="479"/>
    <n v="5"/>
    <n v="10"/>
    <x v="0"/>
    <n v="1549"/>
    <x v="0"/>
    <x v="27"/>
    <x v="1"/>
    <s v="Surly Straggler - 2016"/>
    <x v="1"/>
  </r>
  <r>
    <n v="480"/>
    <n v="1"/>
    <n v="4"/>
    <x v="0"/>
    <n v="2899.99"/>
    <x v="2"/>
    <x v="4"/>
    <x v="1"/>
    <s v="Trek Fuel EX 8 29 - 2016"/>
    <x v="0"/>
  </r>
  <r>
    <n v="480"/>
    <n v="2"/>
    <n v="15"/>
    <x v="0"/>
    <n v="529.99"/>
    <x v="2"/>
    <x v="12"/>
    <x v="1"/>
    <s v="Electra Moto 1 - 2016"/>
    <x v="0"/>
  </r>
  <r>
    <n v="480"/>
    <n v="3"/>
    <n v="23"/>
    <x v="1"/>
    <n v="299.99"/>
    <x v="1"/>
    <x v="22"/>
    <x v="1"/>
    <s v="Electra Girl's Hawaii 1 (20-inch) - 2015/2016"/>
    <x v="0"/>
  </r>
  <r>
    <n v="481"/>
    <n v="1"/>
    <n v="13"/>
    <x v="1"/>
    <n v="269.99"/>
    <x v="0"/>
    <x v="17"/>
    <x v="1"/>
    <s v="Electra Cruiser 1 (24-Inch) - 2016"/>
    <x v="2"/>
  </r>
  <r>
    <n v="481"/>
    <n v="2"/>
    <n v="16"/>
    <x v="1"/>
    <n v="599.99"/>
    <x v="1"/>
    <x v="3"/>
    <x v="1"/>
    <s v="Electra Townie Original 7D EQ - 2016"/>
    <x v="2"/>
  </r>
  <r>
    <n v="481"/>
    <n v="3"/>
    <n v="9"/>
    <x v="1"/>
    <n v="2999.99"/>
    <x v="3"/>
    <x v="11"/>
    <x v="1"/>
    <s v="Trek Conduit+ - 2016"/>
    <x v="2"/>
  </r>
  <r>
    <n v="482"/>
    <n v="1"/>
    <n v="13"/>
    <x v="0"/>
    <n v="269.99"/>
    <x v="0"/>
    <x v="14"/>
    <x v="1"/>
    <s v="Electra Cruiser 1 (24-Inch) - 2016"/>
    <x v="1"/>
  </r>
  <r>
    <n v="482"/>
    <n v="2"/>
    <n v="14"/>
    <x v="0"/>
    <n v="269.99"/>
    <x v="3"/>
    <x v="14"/>
    <x v="1"/>
    <s v="Electra Girl's Hawaii 1 (16-inch) - 2015/2016"/>
    <x v="1"/>
  </r>
  <r>
    <n v="483"/>
    <n v="1"/>
    <n v="17"/>
    <x v="0"/>
    <n v="429"/>
    <x v="1"/>
    <x v="7"/>
    <x v="1"/>
    <s v="Pure Cycles Vine 8-Speed - 2016"/>
    <x v="0"/>
  </r>
  <r>
    <n v="484"/>
    <n v="1"/>
    <n v="8"/>
    <x v="1"/>
    <n v="1799.99"/>
    <x v="3"/>
    <x v="1"/>
    <x v="1"/>
    <s v="Trek Remedy 29 Carbon Frameset - 2016"/>
    <x v="1"/>
  </r>
  <r>
    <n v="484"/>
    <n v="2"/>
    <n v="24"/>
    <x v="0"/>
    <n v="549.99"/>
    <x v="2"/>
    <x v="31"/>
    <x v="1"/>
    <s v="Electra Townie Original 21D - 2016"/>
    <x v="1"/>
  </r>
  <r>
    <n v="484"/>
    <n v="3"/>
    <n v="9"/>
    <x v="1"/>
    <n v="2999.99"/>
    <x v="2"/>
    <x v="11"/>
    <x v="1"/>
    <s v="Trek Conduit+ - 2016"/>
    <x v="1"/>
  </r>
  <r>
    <n v="484"/>
    <n v="4"/>
    <n v="6"/>
    <x v="0"/>
    <n v="469.99"/>
    <x v="0"/>
    <x v="20"/>
    <x v="1"/>
    <s v="Surly Ice Cream Truck Frameset - 2016"/>
    <x v="1"/>
  </r>
  <r>
    <n v="485"/>
    <n v="1"/>
    <n v="13"/>
    <x v="0"/>
    <n v="269.99"/>
    <x v="3"/>
    <x v="14"/>
    <x v="1"/>
    <s v="Electra Cruiser 1 (24-Inch) - 2016"/>
    <x v="1"/>
  </r>
  <r>
    <n v="485"/>
    <n v="2"/>
    <n v="26"/>
    <x v="1"/>
    <n v="599.99"/>
    <x v="2"/>
    <x v="3"/>
    <x v="1"/>
    <s v="Electra Townie Original 7D EQ - 2016"/>
    <x v="1"/>
  </r>
  <r>
    <n v="486"/>
    <n v="1"/>
    <n v="9"/>
    <x v="0"/>
    <n v="2999.99"/>
    <x v="1"/>
    <x v="28"/>
    <x v="1"/>
    <s v="Trek Conduit+ - 2016"/>
    <x v="1"/>
  </r>
  <r>
    <n v="486"/>
    <n v="2"/>
    <n v="23"/>
    <x v="1"/>
    <n v="299.99"/>
    <x v="2"/>
    <x v="22"/>
    <x v="1"/>
    <s v="Electra Girl's Hawaii 1 (20-inch) - 2015/2016"/>
    <x v="1"/>
  </r>
  <r>
    <n v="487"/>
    <n v="1"/>
    <n v="6"/>
    <x v="0"/>
    <n v="469.99"/>
    <x v="0"/>
    <x v="20"/>
    <x v="1"/>
    <s v="Surly Ice Cream Truck Frameset - 2016"/>
    <x v="1"/>
  </r>
  <r>
    <n v="488"/>
    <n v="1"/>
    <n v="13"/>
    <x v="1"/>
    <n v="269.99"/>
    <x v="1"/>
    <x v="17"/>
    <x v="1"/>
    <s v="Electra Cruiser 1 (24-Inch) - 2016"/>
    <x v="1"/>
  </r>
  <r>
    <n v="488"/>
    <n v="2"/>
    <n v="23"/>
    <x v="1"/>
    <n v="299.99"/>
    <x v="2"/>
    <x v="22"/>
    <x v="1"/>
    <s v="Electra Girl's Hawaii 1 (20-inch) - 2015/2016"/>
    <x v="1"/>
  </r>
  <r>
    <n v="488"/>
    <n v="3"/>
    <n v="22"/>
    <x v="0"/>
    <n v="269.99"/>
    <x v="2"/>
    <x v="14"/>
    <x v="1"/>
    <s v="Electra Girl's Hawaii 1 (16-inch) - 2015/2016"/>
    <x v="1"/>
  </r>
  <r>
    <n v="489"/>
    <n v="1"/>
    <n v="8"/>
    <x v="1"/>
    <n v="1799.99"/>
    <x v="3"/>
    <x v="1"/>
    <x v="1"/>
    <s v="Trek Remedy 29 Carbon Frameset - 2016"/>
    <x v="2"/>
  </r>
  <r>
    <n v="490"/>
    <n v="1"/>
    <n v="12"/>
    <x v="0"/>
    <n v="549.99"/>
    <x v="3"/>
    <x v="31"/>
    <x v="1"/>
    <s v="Electra Townie Original 21D - 2016"/>
    <x v="1"/>
  </r>
  <r>
    <n v="490"/>
    <n v="2"/>
    <n v="23"/>
    <x v="0"/>
    <n v="299.99"/>
    <x v="2"/>
    <x v="23"/>
    <x v="1"/>
    <s v="Electra Girl's Hawaii 1 (20-inch) - 2015/2016"/>
    <x v="1"/>
  </r>
  <r>
    <n v="490"/>
    <n v="3"/>
    <n v="14"/>
    <x v="0"/>
    <n v="269.99"/>
    <x v="3"/>
    <x v="14"/>
    <x v="1"/>
    <s v="Electra Girl's Hawaii 1 (16-inch) - 2015/2016"/>
    <x v="1"/>
  </r>
  <r>
    <n v="490"/>
    <n v="4"/>
    <n v="13"/>
    <x v="1"/>
    <n v="269.99"/>
    <x v="1"/>
    <x v="17"/>
    <x v="1"/>
    <s v="Electra Cruiser 1 (24-Inch) - 2016"/>
    <x v="1"/>
  </r>
  <r>
    <n v="491"/>
    <n v="1"/>
    <n v="9"/>
    <x v="1"/>
    <n v="2999.99"/>
    <x v="0"/>
    <x v="11"/>
    <x v="1"/>
    <s v="Trek Conduit+ - 2016"/>
    <x v="0"/>
  </r>
  <r>
    <n v="491"/>
    <n v="2"/>
    <n v="21"/>
    <x v="1"/>
    <n v="269.99"/>
    <x v="2"/>
    <x v="17"/>
    <x v="1"/>
    <s v="Electra Cruiser 1 (24-Inch) - 2016"/>
    <x v="0"/>
  </r>
  <r>
    <n v="491"/>
    <n v="3"/>
    <n v="15"/>
    <x v="1"/>
    <n v="529.99"/>
    <x v="2"/>
    <x v="29"/>
    <x v="1"/>
    <s v="Electra Moto 1 - 2016"/>
    <x v="0"/>
  </r>
  <r>
    <n v="492"/>
    <n v="1"/>
    <n v="6"/>
    <x v="0"/>
    <n v="469.99"/>
    <x v="3"/>
    <x v="20"/>
    <x v="1"/>
    <s v="Surly Ice Cream Truck Frameset - 2016"/>
    <x v="0"/>
  </r>
  <r>
    <n v="492"/>
    <n v="2"/>
    <n v="22"/>
    <x v="1"/>
    <n v="269.99"/>
    <x v="3"/>
    <x v="17"/>
    <x v="1"/>
    <s v="Electra Girl's Hawaii 1 (16-inch) - 2015/2016"/>
    <x v="0"/>
  </r>
  <r>
    <n v="492"/>
    <n v="3"/>
    <n v="26"/>
    <x v="0"/>
    <n v="599.99"/>
    <x v="2"/>
    <x v="0"/>
    <x v="1"/>
    <s v="Electra Townie Original 7D EQ - 2016"/>
    <x v="0"/>
  </r>
  <r>
    <n v="493"/>
    <n v="1"/>
    <n v="15"/>
    <x v="0"/>
    <n v="529.99"/>
    <x v="2"/>
    <x v="12"/>
    <x v="1"/>
    <s v="Electra Moto 1 - 2016"/>
    <x v="0"/>
  </r>
  <r>
    <n v="493"/>
    <n v="2"/>
    <n v="18"/>
    <x v="1"/>
    <n v="449"/>
    <x v="2"/>
    <x v="21"/>
    <x v="1"/>
    <s v="Pure Cycles Western 3-Speed - Women's - 2015/2016"/>
    <x v="0"/>
  </r>
  <r>
    <n v="493"/>
    <n v="3"/>
    <n v="26"/>
    <x v="0"/>
    <n v="599.99"/>
    <x v="2"/>
    <x v="0"/>
    <x v="1"/>
    <s v="Electra Townie Original 7D EQ - 2016"/>
    <x v="0"/>
  </r>
  <r>
    <n v="494"/>
    <n v="1"/>
    <n v="23"/>
    <x v="0"/>
    <n v="299.99"/>
    <x v="3"/>
    <x v="23"/>
    <x v="1"/>
    <s v="Electra Girl's Hawaii 1 (20-inch) - 2015/2016"/>
    <x v="1"/>
  </r>
  <r>
    <n v="495"/>
    <n v="1"/>
    <n v="22"/>
    <x v="0"/>
    <n v="269.99"/>
    <x v="0"/>
    <x v="14"/>
    <x v="1"/>
    <s v="Electra Girl's Hawaii 1 (16-inch) - 2015/2016"/>
    <x v="0"/>
  </r>
  <r>
    <n v="495"/>
    <n v="2"/>
    <n v="9"/>
    <x v="0"/>
    <n v="2999.99"/>
    <x v="2"/>
    <x v="28"/>
    <x v="1"/>
    <s v="Trek Conduit+ - 2016"/>
    <x v="0"/>
  </r>
  <r>
    <n v="496"/>
    <n v="1"/>
    <n v="23"/>
    <x v="0"/>
    <n v="299.99"/>
    <x v="0"/>
    <x v="23"/>
    <x v="1"/>
    <s v="Electra Girl's Hawaii 1 (20-inch) - 2015/2016"/>
    <x v="1"/>
  </r>
  <r>
    <n v="496"/>
    <n v="2"/>
    <n v="13"/>
    <x v="0"/>
    <n v="269.99"/>
    <x v="3"/>
    <x v="14"/>
    <x v="1"/>
    <s v="Electra Cruiser 1 (24-Inch) - 2016"/>
    <x v="1"/>
  </r>
  <r>
    <n v="496"/>
    <n v="3"/>
    <n v="21"/>
    <x v="1"/>
    <n v="269.99"/>
    <x v="0"/>
    <x v="17"/>
    <x v="1"/>
    <s v="Electra Cruiser 1 (24-Inch) - 2016"/>
    <x v="1"/>
  </r>
  <r>
    <n v="497"/>
    <n v="1"/>
    <n v="25"/>
    <x v="1"/>
    <n v="499.99"/>
    <x v="1"/>
    <x v="26"/>
    <x v="1"/>
    <s v="Electra Townie Original 7D - 2015/2016"/>
    <x v="1"/>
  </r>
  <r>
    <n v="498"/>
    <n v="1"/>
    <n v="24"/>
    <x v="0"/>
    <n v="549.99"/>
    <x v="1"/>
    <x v="31"/>
    <x v="1"/>
    <s v="Electra Townie Original 21D - 2016"/>
    <x v="1"/>
  </r>
  <r>
    <n v="498"/>
    <n v="2"/>
    <n v="21"/>
    <x v="0"/>
    <n v="269.99"/>
    <x v="3"/>
    <x v="14"/>
    <x v="1"/>
    <s v="Electra Cruiser 1 (24-Inch) - 2016"/>
    <x v="1"/>
  </r>
  <r>
    <n v="498"/>
    <n v="3"/>
    <n v="10"/>
    <x v="0"/>
    <n v="1549"/>
    <x v="1"/>
    <x v="27"/>
    <x v="1"/>
    <s v="Surly Straggler - 2016"/>
    <x v="1"/>
  </r>
  <r>
    <n v="499"/>
    <n v="1"/>
    <n v="11"/>
    <x v="0"/>
    <n v="1680.99"/>
    <x v="0"/>
    <x v="19"/>
    <x v="1"/>
    <s v="Surly Straggler 650b - 2016"/>
    <x v="0"/>
  </r>
  <r>
    <n v="499"/>
    <n v="2"/>
    <n v="15"/>
    <x v="0"/>
    <n v="529.99"/>
    <x v="1"/>
    <x v="12"/>
    <x v="1"/>
    <s v="Electra Moto 1 - 2016"/>
    <x v="0"/>
  </r>
  <r>
    <n v="499"/>
    <n v="3"/>
    <n v="14"/>
    <x v="1"/>
    <n v="269.99"/>
    <x v="0"/>
    <x v="17"/>
    <x v="1"/>
    <s v="Electra Girl's Hawaii 1 (16-inch) - 2015/2016"/>
    <x v="0"/>
  </r>
  <r>
    <n v="499"/>
    <n v="4"/>
    <n v="20"/>
    <x v="1"/>
    <n v="599.99"/>
    <x v="3"/>
    <x v="3"/>
    <x v="1"/>
    <s v="Electra Townie Original 7D EQ - Women's - 2016"/>
    <x v="0"/>
  </r>
  <r>
    <n v="500"/>
    <n v="1"/>
    <n v="12"/>
    <x v="1"/>
    <n v="549.99"/>
    <x v="2"/>
    <x v="9"/>
    <x v="1"/>
    <s v="Electra Townie Original 21D - 2016"/>
    <x v="1"/>
  </r>
  <r>
    <n v="500"/>
    <n v="2"/>
    <n v="14"/>
    <x v="0"/>
    <n v="269.99"/>
    <x v="0"/>
    <x v="14"/>
    <x v="1"/>
    <s v="Electra Girl's Hawaii 1 (16-inch) - 2015/2016"/>
    <x v="1"/>
  </r>
  <r>
    <n v="501"/>
    <n v="1"/>
    <n v="19"/>
    <x v="1"/>
    <n v="449"/>
    <x v="2"/>
    <x v="21"/>
    <x v="1"/>
    <s v="Pure Cycles William 3-Speed - 2016"/>
    <x v="1"/>
  </r>
  <r>
    <n v="501"/>
    <n v="2"/>
    <n v="8"/>
    <x v="0"/>
    <n v="1799.99"/>
    <x v="1"/>
    <x v="16"/>
    <x v="1"/>
    <s v="Trek Remedy 29 Carbon Frameset - 2016"/>
    <x v="1"/>
  </r>
  <r>
    <n v="501"/>
    <n v="3"/>
    <n v="14"/>
    <x v="0"/>
    <n v="269.99"/>
    <x v="3"/>
    <x v="14"/>
    <x v="1"/>
    <s v="Electra Girl's Hawaii 1 (16-inch) - 2015/2016"/>
    <x v="1"/>
  </r>
  <r>
    <n v="501"/>
    <n v="4"/>
    <n v="23"/>
    <x v="1"/>
    <n v="299.99"/>
    <x v="1"/>
    <x v="22"/>
    <x v="1"/>
    <s v="Electra Girl's Hawaii 1 (20-inch) - 2015/2016"/>
    <x v="1"/>
  </r>
  <r>
    <n v="502"/>
    <n v="1"/>
    <n v="13"/>
    <x v="0"/>
    <n v="269.99"/>
    <x v="2"/>
    <x v="14"/>
    <x v="1"/>
    <s v="Electra Cruiser 1 (24-Inch) - 2016"/>
    <x v="2"/>
  </r>
  <r>
    <n v="503"/>
    <n v="1"/>
    <n v="13"/>
    <x v="1"/>
    <n v="269.99"/>
    <x v="1"/>
    <x v="17"/>
    <x v="1"/>
    <s v="Electra Cruiser 1 (24-Inch) - 2016"/>
    <x v="1"/>
  </r>
  <r>
    <n v="503"/>
    <n v="2"/>
    <n v="10"/>
    <x v="0"/>
    <n v="1549"/>
    <x v="2"/>
    <x v="27"/>
    <x v="1"/>
    <s v="Surly Straggler - 2016"/>
    <x v="1"/>
  </r>
  <r>
    <n v="504"/>
    <n v="1"/>
    <n v="24"/>
    <x v="1"/>
    <n v="549.99"/>
    <x v="3"/>
    <x v="9"/>
    <x v="1"/>
    <s v="Electra Townie Original 21D - 2016"/>
    <x v="0"/>
  </r>
  <r>
    <n v="504"/>
    <n v="2"/>
    <n v="2"/>
    <x v="1"/>
    <n v="749.99"/>
    <x v="2"/>
    <x v="6"/>
    <x v="1"/>
    <s v="Ritchey Timberwolf Frameset - 2016"/>
    <x v="0"/>
  </r>
  <r>
    <n v="505"/>
    <n v="1"/>
    <n v="26"/>
    <x v="0"/>
    <n v="599.99"/>
    <x v="0"/>
    <x v="0"/>
    <x v="1"/>
    <s v="Electra Townie Original 7D EQ - 2016"/>
    <x v="1"/>
  </r>
  <r>
    <n v="506"/>
    <n v="1"/>
    <n v="25"/>
    <x v="0"/>
    <n v="499.99"/>
    <x v="3"/>
    <x v="33"/>
    <x v="1"/>
    <s v="Electra Townie Original 7D - 2015/2016"/>
    <x v="1"/>
  </r>
  <r>
    <n v="506"/>
    <n v="2"/>
    <n v="7"/>
    <x v="0"/>
    <n v="3999.99"/>
    <x v="1"/>
    <x v="25"/>
    <x v="1"/>
    <s v="Trek Slash 8 27.5 - 2016"/>
    <x v="1"/>
  </r>
  <r>
    <n v="507"/>
    <n v="1"/>
    <n v="11"/>
    <x v="1"/>
    <n v="1680.99"/>
    <x v="2"/>
    <x v="32"/>
    <x v="1"/>
    <s v="Surly Straggler 650b - 2016"/>
    <x v="0"/>
  </r>
  <r>
    <n v="507"/>
    <n v="2"/>
    <n v="13"/>
    <x v="1"/>
    <n v="269.99"/>
    <x v="1"/>
    <x v="17"/>
    <x v="1"/>
    <s v="Electra Cruiser 1 (24-Inch) - 2016"/>
    <x v="0"/>
  </r>
  <r>
    <n v="507"/>
    <n v="3"/>
    <n v="20"/>
    <x v="1"/>
    <n v="599.99"/>
    <x v="3"/>
    <x v="3"/>
    <x v="1"/>
    <s v="Electra Townie Original 7D EQ - Women's - 2016"/>
    <x v="0"/>
  </r>
  <r>
    <n v="508"/>
    <n v="1"/>
    <n v="8"/>
    <x v="0"/>
    <n v="1799.99"/>
    <x v="2"/>
    <x v="16"/>
    <x v="1"/>
    <s v="Trek Remedy 29 Carbon Frameset - 2016"/>
    <x v="1"/>
  </r>
  <r>
    <n v="508"/>
    <n v="2"/>
    <n v="2"/>
    <x v="1"/>
    <n v="749.99"/>
    <x v="2"/>
    <x v="6"/>
    <x v="1"/>
    <s v="Ritchey Timberwolf Frameset - 2016"/>
    <x v="1"/>
  </r>
  <r>
    <n v="508"/>
    <n v="3"/>
    <n v="10"/>
    <x v="1"/>
    <n v="1549"/>
    <x v="2"/>
    <x v="2"/>
    <x v="1"/>
    <s v="Surly Straggler - 2016"/>
    <x v="1"/>
  </r>
  <r>
    <n v="508"/>
    <n v="4"/>
    <n v="25"/>
    <x v="0"/>
    <n v="499.99"/>
    <x v="1"/>
    <x v="33"/>
    <x v="1"/>
    <s v="Electra Townie Original 7D - 2015/2016"/>
    <x v="1"/>
  </r>
  <r>
    <n v="509"/>
    <n v="1"/>
    <n v="23"/>
    <x v="1"/>
    <n v="299.99"/>
    <x v="0"/>
    <x v="22"/>
    <x v="1"/>
    <s v="Electra Girl's Hawaii 1 (20-inch) - 2015/2016"/>
    <x v="1"/>
  </r>
  <r>
    <n v="509"/>
    <n v="2"/>
    <n v="4"/>
    <x v="1"/>
    <n v="2899.99"/>
    <x v="2"/>
    <x v="18"/>
    <x v="1"/>
    <s v="Trek Fuel EX 8 29 - 2016"/>
    <x v="1"/>
  </r>
  <r>
    <n v="510"/>
    <n v="1"/>
    <n v="17"/>
    <x v="0"/>
    <n v="429"/>
    <x v="3"/>
    <x v="7"/>
    <x v="1"/>
    <s v="Pure Cycles Vine 8-Speed - 2016"/>
    <x v="1"/>
  </r>
  <r>
    <n v="511"/>
    <n v="1"/>
    <n v="22"/>
    <x v="1"/>
    <n v="269.99"/>
    <x v="2"/>
    <x v="17"/>
    <x v="1"/>
    <s v="Electra Girl's Hawaii 1 (16-inch) - 2015/2016"/>
    <x v="1"/>
  </r>
  <r>
    <n v="511"/>
    <n v="2"/>
    <n v="13"/>
    <x v="0"/>
    <n v="269.99"/>
    <x v="3"/>
    <x v="14"/>
    <x v="1"/>
    <s v="Electra Cruiser 1 (24-Inch) - 2016"/>
    <x v="1"/>
  </r>
  <r>
    <n v="512"/>
    <n v="1"/>
    <n v="21"/>
    <x v="0"/>
    <n v="269.99"/>
    <x v="1"/>
    <x v="14"/>
    <x v="1"/>
    <s v="Electra Cruiser 1 (24-Inch) - 2016"/>
    <x v="1"/>
  </r>
  <r>
    <n v="513"/>
    <n v="1"/>
    <n v="7"/>
    <x v="0"/>
    <n v="3999.99"/>
    <x v="1"/>
    <x v="25"/>
    <x v="1"/>
    <s v="Trek Slash 8 27.5 - 2016"/>
    <x v="1"/>
  </r>
  <r>
    <n v="513"/>
    <n v="2"/>
    <n v="13"/>
    <x v="0"/>
    <n v="269.99"/>
    <x v="0"/>
    <x v="14"/>
    <x v="1"/>
    <s v="Electra Cruiser 1 (24-Inch) - 2016"/>
    <x v="1"/>
  </r>
  <r>
    <n v="513"/>
    <n v="3"/>
    <n v="23"/>
    <x v="0"/>
    <n v="299.99"/>
    <x v="1"/>
    <x v="23"/>
    <x v="1"/>
    <s v="Electra Girl's Hawaii 1 (20-inch) - 2015/2016"/>
    <x v="1"/>
  </r>
  <r>
    <n v="514"/>
    <n v="1"/>
    <n v="18"/>
    <x v="1"/>
    <n v="449"/>
    <x v="0"/>
    <x v="21"/>
    <x v="1"/>
    <s v="Pure Cycles Western 3-Speed - Women's - 2015/2016"/>
    <x v="1"/>
  </r>
  <r>
    <n v="514"/>
    <n v="2"/>
    <n v="17"/>
    <x v="1"/>
    <n v="429"/>
    <x v="1"/>
    <x v="13"/>
    <x v="1"/>
    <s v="Pure Cycles Vine 8-Speed - 2016"/>
    <x v="1"/>
  </r>
  <r>
    <n v="515"/>
    <n v="1"/>
    <n v="8"/>
    <x v="0"/>
    <n v="1799.99"/>
    <x v="1"/>
    <x v="16"/>
    <x v="1"/>
    <s v="Trek Remedy 29 Carbon Frameset - 2016"/>
    <x v="1"/>
  </r>
  <r>
    <n v="515"/>
    <n v="2"/>
    <n v="5"/>
    <x v="0"/>
    <n v="1320.99"/>
    <x v="3"/>
    <x v="24"/>
    <x v="1"/>
    <s v="Heller Shagamaw Frame - 2016"/>
    <x v="1"/>
  </r>
  <r>
    <n v="515"/>
    <n v="3"/>
    <n v="25"/>
    <x v="1"/>
    <n v="499.99"/>
    <x v="1"/>
    <x v="26"/>
    <x v="1"/>
    <s v="Electra Townie Original 7D - 2015/2016"/>
    <x v="1"/>
  </r>
  <r>
    <n v="515"/>
    <n v="4"/>
    <n v="6"/>
    <x v="1"/>
    <n v="469.99"/>
    <x v="0"/>
    <x v="35"/>
    <x v="1"/>
    <s v="Surly Ice Cream Truck Frameset - 2016"/>
    <x v="1"/>
  </r>
  <r>
    <n v="516"/>
    <n v="1"/>
    <n v="7"/>
    <x v="0"/>
    <n v="3999.99"/>
    <x v="2"/>
    <x v="25"/>
    <x v="1"/>
    <s v="Trek Slash 8 27.5 - 2016"/>
    <x v="1"/>
  </r>
  <r>
    <n v="516"/>
    <n v="2"/>
    <n v="5"/>
    <x v="1"/>
    <n v="1320.99"/>
    <x v="3"/>
    <x v="34"/>
    <x v="1"/>
    <s v="Heller Shagamaw Frame - 2016"/>
    <x v="1"/>
  </r>
  <r>
    <n v="517"/>
    <n v="1"/>
    <n v="21"/>
    <x v="1"/>
    <n v="269.99"/>
    <x v="1"/>
    <x v="17"/>
    <x v="1"/>
    <s v="Electra Cruiser 1 (24-Inch) - 2016"/>
    <x v="1"/>
  </r>
  <r>
    <n v="518"/>
    <n v="1"/>
    <n v="16"/>
    <x v="1"/>
    <n v="599.99"/>
    <x v="0"/>
    <x v="3"/>
    <x v="1"/>
    <s v="Electra Townie Original 7D EQ - 2016"/>
    <x v="0"/>
  </r>
  <r>
    <n v="518"/>
    <n v="2"/>
    <n v="5"/>
    <x v="1"/>
    <n v="1320.99"/>
    <x v="2"/>
    <x v="34"/>
    <x v="1"/>
    <s v="Heller Shagamaw Frame - 2016"/>
    <x v="0"/>
  </r>
  <r>
    <n v="518"/>
    <n v="3"/>
    <n v="25"/>
    <x v="1"/>
    <n v="499.99"/>
    <x v="2"/>
    <x v="26"/>
    <x v="1"/>
    <s v="Electra Townie Original 7D - 2015/2016"/>
    <x v="0"/>
  </r>
  <r>
    <n v="518"/>
    <n v="4"/>
    <n v="15"/>
    <x v="1"/>
    <n v="529.99"/>
    <x v="0"/>
    <x v="29"/>
    <x v="1"/>
    <s v="Electra Moto 1 - 2016"/>
    <x v="0"/>
  </r>
  <r>
    <n v="518"/>
    <n v="5"/>
    <n v="11"/>
    <x v="1"/>
    <n v="1680.99"/>
    <x v="1"/>
    <x v="32"/>
    <x v="1"/>
    <s v="Surly Straggler 650b - 2016"/>
    <x v="0"/>
  </r>
  <r>
    <n v="519"/>
    <n v="1"/>
    <n v="6"/>
    <x v="0"/>
    <n v="469.99"/>
    <x v="1"/>
    <x v="20"/>
    <x v="1"/>
    <s v="Surly Ice Cream Truck Frameset - 2016"/>
    <x v="1"/>
  </r>
  <r>
    <n v="519"/>
    <n v="2"/>
    <n v="16"/>
    <x v="0"/>
    <n v="599.99"/>
    <x v="3"/>
    <x v="0"/>
    <x v="1"/>
    <s v="Electra Townie Original 7D EQ - 2016"/>
    <x v="1"/>
  </r>
  <r>
    <n v="519"/>
    <n v="3"/>
    <n v="23"/>
    <x v="1"/>
    <n v="299.99"/>
    <x v="2"/>
    <x v="22"/>
    <x v="1"/>
    <s v="Electra Girl's Hawaii 1 (20-inch) - 2015/2016"/>
    <x v="1"/>
  </r>
  <r>
    <n v="519"/>
    <n v="4"/>
    <n v="18"/>
    <x v="1"/>
    <n v="449"/>
    <x v="0"/>
    <x v="21"/>
    <x v="1"/>
    <s v="Pure Cycles Western 3-Speed - Women's - 2015/2016"/>
    <x v="1"/>
  </r>
  <r>
    <n v="519"/>
    <n v="5"/>
    <n v="7"/>
    <x v="0"/>
    <n v="3999.99"/>
    <x v="2"/>
    <x v="25"/>
    <x v="1"/>
    <s v="Trek Slash 8 27.5 - 2016"/>
    <x v="1"/>
  </r>
  <r>
    <n v="520"/>
    <n v="1"/>
    <n v="26"/>
    <x v="0"/>
    <n v="599.99"/>
    <x v="3"/>
    <x v="0"/>
    <x v="1"/>
    <s v="Electra Townie Original 7D EQ - 2016"/>
    <x v="1"/>
  </r>
  <r>
    <n v="520"/>
    <n v="2"/>
    <n v="24"/>
    <x v="0"/>
    <n v="549.99"/>
    <x v="0"/>
    <x v="31"/>
    <x v="1"/>
    <s v="Electra Townie Original 21D - 2016"/>
    <x v="1"/>
  </r>
  <r>
    <n v="520"/>
    <n v="3"/>
    <n v="10"/>
    <x v="0"/>
    <n v="1549"/>
    <x v="1"/>
    <x v="27"/>
    <x v="1"/>
    <s v="Surly Straggler - 2016"/>
    <x v="1"/>
  </r>
  <r>
    <n v="521"/>
    <n v="1"/>
    <n v="5"/>
    <x v="0"/>
    <n v="1320.99"/>
    <x v="0"/>
    <x v="24"/>
    <x v="1"/>
    <s v="Heller Shagamaw Frame - 2016"/>
    <x v="1"/>
  </r>
  <r>
    <n v="521"/>
    <n v="2"/>
    <n v="14"/>
    <x v="0"/>
    <n v="269.99"/>
    <x v="0"/>
    <x v="14"/>
    <x v="1"/>
    <s v="Electra Girl's Hawaii 1 (16-inch) - 2015/2016"/>
    <x v="1"/>
  </r>
  <r>
    <n v="522"/>
    <n v="1"/>
    <n v="4"/>
    <x v="1"/>
    <n v="2899.99"/>
    <x v="1"/>
    <x v="18"/>
    <x v="1"/>
    <s v="Trek Fuel EX 8 29 - 2016"/>
    <x v="1"/>
  </r>
  <r>
    <n v="522"/>
    <n v="2"/>
    <n v="22"/>
    <x v="1"/>
    <n v="269.99"/>
    <x v="1"/>
    <x v="17"/>
    <x v="1"/>
    <s v="Electra Girl's Hawaii 1 (16-inch) - 2015/2016"/>
    <x v="1"/>
  </r>
  <r>
    <n v="522"/>
    <n v="3"/>
    <n v="21"/>
    <x v="0"/>
    <n v="269.99"/>
    <x v="2"/>
    <x v="14"/>
    <x v="1"/>
    <s v="Electra Cruiser 1 (24-Inch) - 2016"/>
    <x v="1"/>
  </r>
  <r>
    <n v="523"/>
    <n v="1"/>
    <n v="12"/>
    <x v="0"/>
    <n v="549.99"/>
    <x v="0"/>
    <x v="31"/>
    <x v="1"/>
    <s v="Electra Townie Original 21D - 2016"/>
    <x v="1"/>
  </r>
  <r>
    <n v="523"/>
    <n v="2"/>
    <n v="20"/>
    <x v="0"/>
    <n v="599.99"/>
    <x v="2"/>
    <x v="0"/>
    <x v="1"/>
    <s v="Electra Townie Original 7D EQ - Women's - 2016"/>
    <x v="1"/>
  </r>
  <r>
    <n v="523"/>
    <n v="3"/>
    <n v="5"/>
    <x v="1"/>
    <n v="1320.99"/>
    <x v="3"/>
    <x v="34"/>
    <x v="1"/>
    <s v="Heller Shagamaw Frame - 2016"/>
    <x v="1"/>
  </r>
  <r>
    <n v="523"/>
    <n v="4"/>
    <n v="16"/>
    <x v="1"/>
    <n v="599.99"/>
    <x v="1"/>
    <x v="3"/>
    <x v="1"/>
    <s v="Electra Townie Original 7D EQ - 2016"/>
    <x v="1"/>
  </r>
  <r>
    <n v="524"/>
    <n v="1"/>
    <n v="11"/>
    <x v="0"/>
    <n v="1680.99"/>
    <x v="1"/>
    <x v="19"/>
    <x v="1"/>
    <s v="Surly Straggler 650b - 2016"/>
    <x v="0"/>
  </r>
  <r>
    <n v="524"/>
    <n v="2"/>
    <n v="2"/>
    <x v="0"/>
    <n v="749.99"/>
    <x v="2"/>
    <x v="30"/>
    <x v="1"/>
    <s v="Ritchey Timberwolf Frameset - 2016"/>
    <x v="0"/>
  </r>
  <r>
    <n v="524"/>
    <n v="3"/>
    <n v="9"/>
    <x v="0"/>
    <n v="2999.99"/>
    <x v="0"/>
    <x v="28"/>
    <x v="1"/>
    <s v="Trek Conduit+ - 2016"/>
    <x v="0"/>
  </r>
  <r>
    <n v="524"/>
    <n v="4"/>
    <n v="3"/>
    <x v="1"/>
    <n v="999.99"/>
    <x v="1"/>
    <x v="10"/>
    <x v="1"/>
    <s v="Surly Wednesday Frameset - 2016"/>
    <x v="0"/>
  </r>
  <r>
    <n v="524"/>
    <n v="5"/>
    <n v="26"/>
    <x v="0"/>
    <n v="599.99"/>
    <x v="2"/>
    <x v="0"/>
    <x v="1"/>
    <s v="Electra Townie Original 7D EQ - 2016"/>
    <x v="0"/>
  </r>
  <r>
    <n v="525"/>
    <n v="1"/>
    <n v="9"/>
    <x v="1"/>
    <n v="2999.99"/>
    <x v="1"/>
    <x v="11"/>
    <x v="1"/>
    <s v="Trek Conduit+ - 2016"/>
    <x v="0"/>
  </r>
  <r>
    <n v="525"/>
    <n v="2"/>
    <n v="6"/>
    <x v="1"/>
    <n v="469.99"/>
    <x v="1"/>
    <x v="35"/>
    <x v="1"/>
    <s v="Surly Ice Cream Truck Frameset - 2016"/>
    <x v="0"/>
  </r>
  <r>
    <n v="525"/>
    <n v="3"/>
    <n v="10"/>
    <x v="0"/>
    <n v="1549"/>
    <x v="3"/>
    <x v="27"/>
    <x v="1"/>
    <s v="Surly Straggler - 2016"/>
    <x v="0"/>
  </r>
  <r>
    <n v="526"/>
    <n v="1"/>
    <n v="3"/>
    <x v="1"/>
    <n v="999.99"/>
    <x v="3"/>
    <x v="10"/>
    <x v="1"/>
    <s v="Surly Wednesday Frameset - 2016"/>
    <x v="1"/>
  </r>
  <r>
    <n v="526"/>
    <n v="2"/>
    <n v="8"/>
    <x v="0"/>
    <n v="1799.99"/>
    <x v="3"/>
    <x v="16"/>
    <x v="1"/>
    <s v="Trek Remedy 29 Carbon Frameset - 2016"/>
    <x v="1"/>
  </r>
  <r>
    <n v="526"/>
    <n v="3"/>
    <n v="21"/>
    <x v="0"/>
    <n v="269.99"/>
    <x v="2"/>
    <x v="14"/>
    <x v="1"/>
    <s v="Electra Cruiser 1 (24-Inch) - 2016"/>
    <x v="1"/>
  </r>
  <r>
    <n v="526"/>
    <n v="4"/>
    <n v="15"/>
    <x v="0"/>
    <n v="529.99"/>
    <x v="1"/>
    <x v="12"/>
    <x v="1"/>
    <s v="Electra Moto 1 - 2016"/>
    <x v="1"/>
  </r>
  <r>
    <n v="527"/>
    <n v="1"/>
    <n v="18"/>
    <x v="1"/>
    <n v="449"/>
    <x v="1"/>
    <x v="21"/>
    <x v="1"/>
    <s v="Pure Cycles Western 3-Speed - Women's - 2015/2016"/>
    <x v="0"/>
  </r>
  <r>
    <n v="527"/>
    <n v="2"/>
    <n v="4"/>
    <x v="0"/>
    <n v="2899.99"/>
    <x v="0"/>
    <x v="4"/>
    <x v="1"/>
    <s v="Trek Fuel EX 8 29 - 2016"/>
    <x v="0"/>
  </r>
  <r>
    <n v="527"/>
    <n v="3"/>
    <n v="19"/>
    <x v="0"/>
    <n v="449"/>
    <x v="3"/>
    <x v="8"/>
    <x v="1"/>
    <s v="Pure Cycles William 3-Speed - 2016"/>
    <x v="0"/>
  </r>
  <r>
    <n v="527"/>
    <n v="4"/>
    <n v="9"/>
    <x v="1"/>
    <n v="2999.99"/>
    <x v="0"/>
    <x v="11"/>
    <x v="1"/>
    <s v="Trek Conduit+ - 2016"/>
    <x v="0"/>
  </r>
  <r>
    <n v="528"/>
    <n v="1"/>
    <n v="21"/>
    <x v="1"/>
    <n v="269.99"/>
    <x v="2"/>
    <x v="17"/>
    <x v="1"/>
    <s v="Electra Cruiser 1 (24-Inch) - 2016"/>
    <x v="1"/>
  </r>
  <r>
    <n v="529"/>
    <n v="1"/>
    <n v="12"/>
    <x v="1"/>
    <n v="549.99"/>
    <x v="1"/>
    <x v="9"/>
    <x v="1"/>
    <s v="Electra Townie Original 21D - 2016"/>
    <x v="1"/>
  </r>
  <r>
    <n v="530"/>
    <n v="1"/>
    <n v="2"/>
    <x v="1"/>
    <n v="749.99"/>
    <x v="2"/>
    <x v="6"/>
    <x v="1"/>
    <s v="Ritchey Timberwolf Frameset - 2016"/>
    <x v="1"/>
  </r>
  <r>
    <n v="530"/>
    <n v="2"/>
    <n v="4"/>
    <x v="0"/>
    <n v="2899.99"/>
    <x v="1"/>
    <x v="4"/>
    <x v="1"/>
    <s v="Trek Fuel EX 8 29 - 2016"/>
    <x v="1"/>
  </r>
  <r>
    <n v="530"/>
    <n v="3"/>
    <n v="6"/>
    <x v="1"/>
    <n v="469.99"/>
    <x v="0"/>
    <x v="35"/>
    <x v="1"/>
    <s v="Surly Ice Cream Truck Frameset - 2016"/>
    <x v="1"/>
  </r>
  <r>
    <n v="531"/>
    <n v="1"/>
    <n v="6"/>
    <x v="0"/>
    <n v="469.99"/>
    <x v="0"/>
    <x v="20"/>
    <x v="1"/>
    <s v="Surly Ice Cream Truck Frameset - 2016"/>
    <x v="2"/>
  </r>
  <r>
    <n v="531"/>
    <n v="2"/>
    <n v="12"/>
    <x v="1"/>
    <n v="549.99"/>
    <x v="0"/>
    <x v="9"/>
    <x v="1"/>
    <s v="Electra Townie Original 21D - 2016"/>
    <x v="2"/>
  </r>
  <r>
    <n v="531"/>
    <n v="3"/>
    <n v="25"/>
    <x v="0"/>
    <n v="499.99"/>
    <x v="1"/>
    <x v="33"/>
    <x v="1"/>
    <s v="Electra Townie Original 7D - 2015/2016"/>
    <x v="2"/>
  </r>
  <r>
    <n v="532"/>
    <n v="1"/>
    <n v="17"/>
    <x v="1"/>
    <n v="429"/>
    <x v="1"/>
    <x v="13"/>
    <x v="1"/>
    <s v="Pure Cycles Vine 8-Speed - 2016"/>
    <x v="1"/>
  </r>
  <r>
    <n v="532"/>
    <n v="2"/>
    <n v="16"/>
    <x v="1"/>
    <n v="599.99"/>
    <x v="0"/>
    <x v="3"/>
    <x v="1"/>
    <s v="Electra Townie Original 7D EQ - 2016"/>
    <x v="1"/>
  </r>
  <r>
    <n v="532"/>
    <n v="3"/>
    <n v="12"/>
    <x v="0"/>
    <n v="549.99"/>
    <x v="3"/>
    <x v="31"/>
    <x v="1"/>
    <s v="Electra Townie Original 21D - 2016"/>
    <x v="1"/>
  </r>
  <r>
    <n v="533"/>
    <n v="1"/>
    <n v="4"/>
    <x v="0"/>
    <n v="2899.99"/>
    <x v="0"/>
    <x v="4"/>
    <x v="1"/>
    <s v="Trek Fuel EX 8 29 - 2016"/>
    <x v="1"/>
  </r>
  <r>
    <n v="533"/>
    <n v="2"/>
    <n v="12"/>
    <x v="1"/>
    <n v="549.99"/>
    <x v="3"/>
    <x v="9"/>
    <x v="1"/>
    <s v="Electra Townie Original 21D - 2016"/>
    <x v="1"/>
  </r>
  <r>
    <n v="533"/>
    <n v="3"/>
    <n v="10"/>
    <x v="0"/>
    <n v="1549"/>
    <x v="0"/>
    <x v="27"/>
    <x v="1"/>
    <s v="Surly Straggler - 2016"/>
    <x v="1"/>
  </r>
  <r>
    <n v="533"/>
    <n v="4"/>
    <n v="25"/>
    <x v="0"/>
    <n v="499.99"/>
    <x v="2"/>
    <x v="33"/>
    <x v="1"/>
    <s v="Electra Townie Original 7D - 2015/2016"/>
    <x v="1"/>
  </r>
  <r>
    <n v="534"/>
    <n v="1"/>
    <n v="21"/>
    <x v="1"/>
    <n v="269.99"/>
    <x v="2"/>
    <x v="17"/>
    <x v="1"/>
    <s v="Electra Cruiser 1 (24-Inch) - 2016"/>
    <x v="1"/>
  </r>
  <r>
    <n v="534"/>
    <n v="2"/>
    <n v="9"/>
    <x v="1"/>
    <n v="2999.99"/>
    <x v="2"/>
    <x v="11"/>
    <x v="1"/>
    <s v="Trek Conduit+ - 2016"/>
    <x v="1"/>
  </r>
  <r>
    <n v="534"/>
    <n v="3"/>
    <n v="2"/>
    <x v="0"/>
    <n v="749.99"/>
    <x v="1"/>
    <x v="30"/>
    <x v="1"/>
    <s v="Ritchey Timberwolf Frameset - 2016"/>
    <x v="1"/>
  </r>
  <r>
    <n v="534"/>
    <n v="4"/>
    <n v="24"/>
    <x v="1"/>
    <n v="549.99"/>
    <x v="3"/>
    <x v="9"/>
    <x v="1"/>
    <s v="Electra Townie Original 21D - 2016"/>
    <x v="1"/>
  </r>
  <r>
    <n v="535"/>
    <n v="1"/>
    <n v="24"/>
    <x v="0"/>
    <n v="549.99"/>
    <x v="2"/>
    <x v="31"/>
    <x v="1"/>
    <s v="Electra Townie Original 21D - 2016"/>
    <x v="2"/>
  </r>
  <r>
    <n v="535"/>
    <n v="2"/>
    <n v="15"/>
    <x v="0"/>
    <n v="529.99"/>
    <x v="3"/>
    <x v="12"/>
    <x v="1"/>
    <s v="Electra Moto 1 - 2016"/>
    <x v="2"/>
  </r>
  <r>
    <n v="535"/>
    <n v="3"/>
    <n v="22"/>
    <x v="1"/>
    <n v="269.99"/>
    <x v="3"/>
    <x v="17"/>
    <x v="1"/>
    <s v="Electra Girl's Hawaii 1 (16-inch) - 2015/2016"/>
    <x v="2"/>
  </r>
  <r>
    <n v="536"/>
    <n v="1"/>
    <n v="22"/>
    <x v="0"/>
    <n v="269.99"/>
    <x v="3"/>
    <x v="14"/>
    <x v="1"/>
    <s v="Electra Girl's Hawaii 1 (16-inch) - 2015/2016"/>
    <x v="0"/>
  </r>
  <r>
    <n v="536"/>
    <n v="2"/>
    <n v="2"/>
    <x v="0"/>
    <n v="749.99"/>
    <x v="3"/>
    <x v="30"/>
    <x v="1"/>
    <s v="Ritchey Timberwolf Frameset - 2016"/>
    <x v="0"/>
  </r>
  <r>
    <n v="536"/>
    <n v="3"/>
    <n v="12"/>
    <x v="1"/>
    <n v="549.99"/>
    <x v="2"/>
    <x v="9"/>
    <x v="1"/>
    <s v="Electra Townie Original 21D - 2016"/>
    <x v="0"/>
  </r>
  <r>
    <n v="536"/>
    <n v="4"/>
    <n v="14"/>
    <x v="0"/>
    <n v="269.99"/>
    <x v="1"/>
    <x v="14"/>
    <x v="1"/>
    <s v="Electra Girl's Hawaii 1 (16-inch) - 2015/2016"/>
    <x v="0"/>
  </r>
  <r>
    <n v="537"/>
    <n v="1"/>
    <n v="10"/>
    <x v="0"/>
    <n v="1549"/>
    <x v="2"/>
    <x v="27"/>
    <x v="1"/>
    <s v="Surly Straggler - 2016"/>
    <x v="0"/>
  </r>
  <r>
    <n v="537"/>
    <n v="2"/>
    <n v="26"/>
    <x v="0"/>
    <n v="599.99"/>
    <x v="2"/>
    <x v="0"/>
    <x v="1"/>
    <s v="Electra Townie Original 7D EQ - 2016"/>
    <x v="0"/>
  </r>
  <r>
    <n v="537"/>
    <n v="3"/>
    <n v="17"/>
    <x v="1"/>
    <n v="429"/>
    <x v="3"/>
    <x v="13"/>
    <x v="1"/>
    <s v="Pure Cycles Vine 8-Speed - 2016"/>
    <x v="0"/>
  </r>
  <r>
    <n v="537"/>
    <n v="4"/>
    <n v="25"/>
    <x v="1"/>
    <n v="499.99"/>
    <x v="0"/>
    <x v="26"/>
    <x v="1"/>
    <s v="Electra Townie Original 7D - 2015/2016"/>
    <x v="0"/>
  </r>
  <r>
    <n v="538"/>
    <n v="1"/>
    <n v="2"/>
    <x v="1"/>
    <n v="749.99"/>
    <x v="0"/>
    <x v="6"/>
    <x v="1"/>
    <s v="Ritchey Timberwolf Frameset - 2016"/>
    <x v="1"/>
  </r>
  <r>
    <n v="539"/>
    <n v="1"/>
    <n v="9"/>
    <x v="1"/>
    <n v="2999.99"/>
    <x v="3"/>
    <x v="11"/>
    <x v="1"/>
    <s v="Trek Conduit+ - 2016"/>
    <x v="1"/>
  </r>
  <r>
    <n v="539"/>
    <n v="2"/>
    <n v="23"/>
    <x v="0"/>
    <n v="299.99"/>
    <x v="2"/>
    <x v="23"/>
    <x v="1"/>
    <s v="Electra Girl's Hawaii 1 (20-inch) - 2015/2016"/>
    <x v="1"/>
  </r>
  <r>
    <n v="539"/>
    <n v="3"/>
    <n v="21"/>
    <x v="1"/>
    <n v="269.99"/>
    <x v="1"/>
    <x v="17"/>
    <x v="1"/>
    <s v="Electra Cruiser 1 (24-Inch) - 2016"/>
    <x v="1"/>
  </r>
  <r>
    <n v="540"/>
    <n v="1"/>
    <n v="19"/>
    <x v="0"/>
    <n v="449"/>
    <x v="3"/>
    <x v="8"/>
    <x v="1"/>
    <s v="Pure Cycles William 3-Speed - 2016"/>
    <x v="0"/>
  </r>
  <r>
    <n v="540"/>
    <n v="2"/>
    <n v="26"/>
    <x v="1"/>
    <n v="599.99"/>
    <x v="3"/>
    <x v="3"/>
    <x v="1"/>
    <s v="Electra Townie Original 7D EQ - 2016"/>
    <x v="0"/>
  </r>
  <r>
    <n v="540"/>
    <n v="3"/>
    <n v="23"/>
    <x v="1"/>
    <n v="299.99"/>
    <x v="1"/>
    <x v="22"/>
    <x v="1"/>
    <s v="Electra Girl's Hawaii 1 (20-inch) - 2015/2016"/>
    <x v="0"/>
  </r>
  <r>
    <n v="541"/>
    <n v="1"/>
    <n v="22"/>
    <x v="1"/>
    <n v="269.99"/>
    <x v="2"/>
    <x v="17"/>
    <x v="1"/>
    <s v="Electra Girl's Hawaii 1 (16-inch) - 2015/2016"/>
    <x v="0"/>
  </r>
  <r>
    <n v="542"/>
    <n v="1"/>
    <n v="16"/>
    <x v="1"/>
    <n v="599.99"/>
    <x v="0"/>
    <x v="3"/>
    <x v="1"/>
    <s v="Electra Townie Original 7D EQ - 2016"/>
    <x v="1"/>
  </r>
  <r>
    <n v="542"/>
    <n v="2"/>
    <n v="9"/>
    <x v="0"/>
    <n v="2999.99"/>
    <x v="3"/>
    <x v="28"/>
    <x v="1"/>
    <s v="Trek Conduit+ - 2016"/>
    <x v="1"/>
  </r>
  <r>
    <n v="542"/>
    <n v="3"/>
    <n v="20"/>
    <x v="0"/>
    <n v="599.99"/>
    <x v="3"/>
    <x v="0"/>
    <x v="1"/>
    <s v="Electra Townie Original 7D EQ - Women's - 2016"/>
    <x v="1"/>
  </r>
  <r>
    <n v="542"/>
    <n v="4"/>
    <n v="19"/>
    <x v="1"/>
    <n v="449"/>
    <x v="0"/>
    <x v="21"/>
    <x v="1"/>
    <s v="Pure Cycles William 3-Speed - 2016"/>
    <x v="1"/>
  </r>
  <r>
    <n v="543"/>
    <n v="1"/>
    <n v="25"/>
    <x v="0"/>
    <n v="499.99"/>
    <x v="0"/>
    <x v="33"/>
    <x v="1"/>
    <s v="Electra Townie Original 7D - 2015/2016"/>
    <x v="1"/>
  </r>
  <r>
    <n v="543"/>
    <n v="2"/>
    <n v="18"/>
    <x v="0"/>
    <n v="449"/>
    <x v="0"/>
    <x v="8"/>
    <x v="1"/>
    <s v="Pure Cycles Western 3-Speed - Women's - 2015/2016"/>
    <x v="1"/>
  </r>
  <r>
    <n v="543"/>
    <n v="3"/>
    <n v="26"/>
    <x v="1"/>
    <n v="599.99"/>
    <x v="2"/>
    <x v="3"/>
    <x v="1"/>
    <s v="Electra Townie Original 7D EQ - 2016"/>
    <x v="1"/>
  </r>
  <r>
    <n v="544"/>
    <n v="1"/>
    <n v="12"/>
    <x v="0"/>
    <n v="549.99"/>
    <x v="2"/>
    <x v="31"/>
    <x v="1"/>
    <s v="Electra Townie Original 21D - 2016"/>
    <x v="1"/>
  </r>
  <r>
    <n v="544"/>
    <n v="2"/>
    <n v="17"/>
    <x v="0"/>
    <n v="429"/>
    <x v="3"/>
    <x v="7"/>
    <x v="1"/>
    <s v="Pure Cycles Vine 8-Speed - 2016"/>
    <x v="1"/>
  </r>
  <r>
    <n v="544"/>
    <n v="3"/>
    <n v="21"/>
    <x v="0"/>
    <n v="269.99"/>
    <x v="2"/>
    <x v="14"/>
    <x v="1"/>
    <s v="Electra Cruiser 1 (24-Inch) - 2016"/>
    <x v="1"/>
  </r>
  <r>
    <n v="545"/>
    <n v="1"/>
    <n v="25"/>
    <x v="1"/>
    <n v="499.99"/>
    <x v="0"/>
    <x v="26"/>
    <x v="1"/>
    <s v="Electra Townie Original 7D - 2015/2016"/>
    <x v="2"/>
  </r>
  <r>
    <n v="545"/>
    <n v="2"/>
    <n v="6"/>
    <x v="0"/>
    <n v="469.99"/>
    <x v="1"/>
    <x v="20"/>
    <x v="1"/>
    <s v="Surly Ice Cream Truck Frameset - 2016"/>
    <x v="2"/>
  </r>
  <r>
    <n v="545"/>
    <n v="3"/>
    <n v="24"/>
    <x v="0"/>
    <n v="549.99"/>
    <x v="0"/>
    <x v="31"/>
    <x v="1"/>
    <s v="Electra Townie Original 21D - 2016"/>
    <x v="2"/>
  </r>
  <r>
    <n v="545"/>
    <n v="4"/>
    <n v="20"/>
    <x v="1"/>
    <n v="599.99"/>
    <x v="1"/>
    <x v="3"/>
    <x v="1"/>
    <s v="Electra Townie Original 7D EQ - Women's - 2016"/>
    <x v="2"/>
  </r>
  <r>
    <n v="546"/>
    <n v="1"/>
    <n v="17"/>
    <x v="1"/>
    <n v="429"/>
    <x v="2"/>
    <x v="13"/>
    <x v="1"/>
    <s v="Pure Cycles Vine 8-Speed - 2016"/>
    <x v="1"/>
  </r>
  <r>
    <n v="546"/>
    <n v="2"/>
    <n v="8"/>
    <x v="0"/>
    <n v="1799.99"/>
    <x v="3"/>
    <x v="16"/>
    <x v="1"/>
    <s v="Trek Remedy 29 Carbon Frameset - 2016"/>
    <x v="1"/>
  </r>
  <r>
    <n v="546"/>
    <n v="3"/>
    <n v="18"/>
    <x v="1"/>
    <n v="449"/>
    <x v="1"/>
    <x v="21"/>
    <x v="1"/>
    <s v="Pure Cycles Western 3-Speed - Women's - 2015/2016"/>
    <x v="1"/>
  </r>
  <r>
    <n v="547"/>
    <n v="1"/>
    <n v="11"/>
    <x v="1"/>
    <n v="1680.99"/>
    <x v="2"/>
    <x v="32"/>
    <x v="1"/>
    <s v="Surly Straggler 650b - 2016"/>
    <x v="2"/>
  </r>
  <r>
    <n v="547"/>
    <n v="2"/>
    <n v="9"/>
    <x v="0"/>
    <n v="2999.99"/>
    <x v="0"/>
    <x v="28"/>
    <x v="1"/>
    <s v="Trek Conduit+ - 2016"/>
    <x v="2"/>
  </r>
  <r>
    <n v="547"/>
    <n v="3"/>
    <n v="5"/>
    <x v="0"/>
    <n v="1320.99"/>
    <x v="3"/>
    <x v="24"/>
    <x v="1"/>
    <s v="Heller Shagamaw Frame - 2016"/>
    <x v="2"/>
  </r>
  <r>
    <n v="548"/>
    <n v="1"/>
    <n v="8"/>
    <x v="0"/>
    <n v="1799.99"/>
    <x v="3"/>
    <x v="16"/>
    <x v="1"/>
    <s v="Trek Remedy 29 Carbon Frameset - 2016"/>
    <x v="1"/>
  </r>
  <r>
    <n v="548"/>
    <n v="2"/>
    <n v="11"/>
    <x v="1"/>
    <n v="1680.99"/>
    <x v="1"/>
    <x v="32"/>
    <x v="1"/>
    <s v="Surly Straggler 650b - 2016"/>
    <x v="1"/>
  </r>
  <r>
    <n v="549"/>
    <n v="1"/>
    <n v="15"/>
    <x v="0"/>
    <n v="529.99"/>
    <x v="1"/>
    <x v="12"/>
    <x v="1"/>
    <s v="Electra Moto 1 - 2016"/>
    <x v="2"/>
  </r>
  <r>
    <n v="549"/>
    <n v="2"/>
    <n v="16"/>
    <x v="0"/>
    <n v="599.99"/>
    <x v="2"/>
    <x v="0"/>
    <x v="1"/>
    <s v="Electra Townie Original 7D EQ - 2016"/>
    <x v="2"/>
  </r>
  <r>
    <n v="549"/>
    <n v="3"/>
    <n v="3"/>
    <x v="0"/>
    <n v="999.99"/>
    <x v="1"/>
    <x v="5"/>
    <x v="1"/>
    <s v="Surly Wednesday Frameset - 2016"/>
    <x v="2"/>
  </r>
  <r>
    <n v="549"/>
    <n v="4"/>
    <n v="7"/>
    <x v="0"/>
    <n v="3999.99"/>
    <x v="2"/>
    <x v="25"/>
    <x v="1"/>
    <s v="Trek Slash 8 27.5 - 2016"/>
    <x v="2"/>
  </r>
  <r>
    <n v="549"/>
    <n v="5"/>
    <n v="13"/>
    <x v="1"/>
    <n v="269.99"/>
    <x v="3"/>
    <x v="17"/>
    <x v="1"/>
    <s v="Electra Cruiser 1 (24-Inch) - 2016"/>
    <x v="2"/>
  </r>
  <r>
    <n v="550"/>
    <n v="1"/>
    <n v="4"/>
    <x v="0"/>
    <n v="2899.99"/>
    <x v="2"/>
    <x v="4"/>
    <x v="1"/>
    <s v="Trek Fuel EX 8 29 - 2016"/>
    <x v="1"/>
  </r>
  <r>
    <n v="551"/>
    <n v="1"/>
    <n v="16"/>
    <x v="0"/>
    <n v="599.99"/>
    <x v="2"/>
    <x v="0"/>
    <x v="1"/>
    <s v="Electra Townie Original 7D EQ - 2016"/>
    <x v="1"/>
  </r>
  <r>
    <n v="551"/>
    <n v="2"/>
    <n v="26"/>
    <x v="0"/>
    <n v="599.99"/>
    <x v="1"/>
    <x v="0"/>
    <x v="1"/>
    <s v="Electra Townie Original 7D EQ - 2016"/>
    <x v="1"/>
  </r>
  <r>
    <n v="551"/>
    <n v="3"/>
    <n v="11"/>
    <x v="1"/>
    <n v="1680.99"/>
    <x v="0"/>
    <x v="32"/>
    <x v="1"/>
    <s v="Surly Straggler 650b - 2016"/>
    <x v="1"/>
  </r>
  <r>
    <n v="551"/>
    <n v="4"/>
    <n v="15"/>
    <x v="1"/>
    <n v="529.99"/>
    <x v="0"/>
    <x v="29"/>
    <x v="1"/>
    <s v="Electra Moto 1 - 2016"/>
    <x v="1"/>
  </r>
  <r>
    <n v="552"/>
    <n v="1"/>
    <n v="23"/>
    <x v="0"/>
    <n v="299.99"/>
    <x v="0"/>
    <x v="23"/>
    <x v="1"/>
    <s v="Electra Girl's Hawaii 1 (20-inch) - 2015/2016"/>
    <x v="1"/>
  </r>
  <r>
    <n v="552"/>
    <n v="2"/>
    <n v="2"/>
    <x v="0"/>
    <n v="749.99"/>
    <x v="0"/>
    <x v="30"/>
    <x v="1"/>
    <s v="Ritchey Timberwolf Frameset - 2016"/>
    <x v="1"/>
  </r>
  <r>
    <n v="552"/>
    <n v="3"/>
    <n v="24"/>
    <x v="0"/>
    <n v="549.99"/>
    <x v="0"/>
    <x v="31"/>
    <x v="1"/>
    <s v="Electra Townie Original 21D - 2016"/>
    <x v="1"/>
  </r>
  <r>
    <n v="552"/>
    <n v="4"/>
    <n v="18"/>
    <x v="0"/>
    <n v="449"/>
    <x v="3"/>
    <x v="8"/>
    <x v="1"/>
    <s v="Pure Cycles Western 3-Speed - Women's - 2015/2016"/>
    <x v="1"/>
  </r>
  <r>
    <n v="552"/>
    <n v="5"/>
    <n v="19"/>
    <x v="1"/>
    <n v="449"/>
    <x v="0"/>
    <x v="21"/>
    <x v="1"/>
    <s v="Pure Cycles William 3-Speed - 2016"/>
    <x v="1"/>
  </r>
  <r>
    <n v="553"/>
    <n v="1"/>
    <n v="24"/>
    <x v="0"/>
    <n v="549.99"/>
    <x v="3"/>
    <x v="31"/>
    <x v="1"/>
    <s v="Electra Townie Original 21D - 2016"/>
    <x v="2"/>
  </r>
  <r>
    <n v="553"/>
    <n v="2"/>
    <n v="18"/>
    <x v="1"/>
    <n v="449"/>
    <x v="1"/>
    <x v="21"/>
    <x v="1"/>
    <s v="Pure Cycles Western 3-Speed - Women's - 2015/2016"/>
    <x v="2"/>
  </r>
  <r>
    <n v="553"/>
    <n v="3"/>
    <n v="12"/>
    <x v="0"/>
    <n v="549.99"/>
    <x v="1"/>
    <x v="31"/>
    <x v="1"/>
    <s v="Electra Townie Original 21D - 2016"/>
    <x v="2"/>
  </r>
  <r>
    <n v="554"/>
    <n v="1"/>
    <n v="3"/>
    <x v="1"/>
    <n v="999.99"/>
    <x v="1"/>
    <x v="10"/>
    <x v="1"/>
    <s v="Surly Wednesday Frameset - 2016"/>
    <x v="0"/>
  </r>
  <r>
    <n v="554"/>
    <n v="2"/>
    <n v="22"/>
    <x v="0"/>
    <n v="269.99"/>
    <x v="2"/>
    <x v="14"/>
    <x v="1"/>
    <s v="Electra Girl's Hawaii 1 (16-inch) - 2015/2016"/>
    <x v="0"/>
  </r>
  <r>
    <n v="554"/>
    <n v="3"/>
    <n v="4"/>
    <x v="1"/>
    <n v="2899.99"/>
    <x v="0"/>
    <x v="18"/>
    <x v="1"/>
    <s v="Trek Fuel EX 8 29 - 2016"/>
    <x v="0"/>
  </r>
  <r>
    <n v="555"/>
    <n v="1"/>
    <n v="8"/>
    <x v="0"/>
    <n v="1799.99"/>
    <x v="0"/>
    <x v="16"/>
    <x v="1"/>
    <s v="Trek Remedy 29 Carbon Frameset - 2016"/>
    <x v="1"/>
  </r>
  <r>
    <n v="555"/>
    <n v="2"/>
    <n v="7"/>
    <x v="0"/>
    <n v="3999.99"/>
    <x v="3"/>
    <x v="25"/>
    <x v="1"/>
    <s v="Trek Slash 8 27.5 - 2016"/>
    <x v="1"/>
  </r>
  <r>
    <n v="555"/>
    <n v="3"/>
    <n v="20"/>
    <x v="1"/>
    <n v="599.99"/>
    <x v="1"/>
    <x v="3"/>
    <x v="1"/>
    <s v="Electra Townie Original 7D EQ - Women's - 2016"/>
    <x v="1"/>
  </r>
  <r>
    <n v="556"/>
    <n v="1"/>
    <n v="16"/>
    <x v="0"/>
    <n v="599.99"/>
    <x v="3"/>
    <x v="0"/>
    <x v="1"/>
    <s v="Electra Townie Original 7D EQ - 2016"/>
    <x v="2"/>
  </r>
  <r>
    <n v="556"/>
    <n v="2"/>
    <n v="4"/>
    <x v="1"/>
    <n v="2899.99"/>
    <x v="0"/>
    <x v="18"/>
    <x v="1"/>
    <s v="Trek Fuel EX 8 29 - 2016"/>
    <x v="2"/>
  </r>
  <r>
    <n v="557"/>
    <n v="1"/>
    <n v="9"/>
    <x v="1"/>
    <n v="2999.99"/>
    <x v="3"/>
    <x v="11"/>
    <x v="1"/>
    <s v="Trek Conduit+ - 2016"/>
    <x v="1"/>
  </r>
  <r>
    <n v="557"/>
    <n v="2"/>
    <n v="10"/>
    <x v="0"/>
    <n v="1549"/>
    <x v="3"/>
    <x v="27"/>
    <x v="1"/>
    <s v="Surly Straggler - 2016"/>
    <x v="1"/>
  </r>
  <r>
    <n v="558"/>
    <n v="1"/>
    <n v="7"/>
    <x v="0"/>
    <n v="3999.99"/>
    <x v="1"/>
    <x v="25"/>
    <x v="1"/>
    <s v="Trek Slash 8 27.5 - 2016"/>
    <x v="1"/>
  </r>
  <r>
    <n v="558"/>
    <n v="2"/>
    <n v="16"/>
    <x v="0"/>
    <n v="599.99"/>
    <x v="1"/>
    <x v="0"/>
    <x v="1"/>
    <s v="Electra Townie Original 7D EQ - 2016"/>
    <x v="1"/>
  </r>
  <r>
    <n v="558"/>
    <n v="3"/>
    <n v="9"/>
    <x v="0"/>
    <n v="2999.99"/>
    <x v="3"/>
    <x v="28"/>
    <x v="1"/>
    <s v="Trek Conduit+ - 2016"/>
    <x v="1"/>
  </r>
  <r>
    <n v="558"/>
    <n v="4"/>
    <n v="21"/>
    <x v="1"/>
    <n v="269.99"/>
    <x v="2"/>
    <x v="17"/>
    <x v="1"/>
    <s v="Electra Cruiser 1 (24-Inch) - 2016"/>
    <x v="1"/>
  </r>
  <r>
    <n v="558"/>
    <n v="5"/>
    <n v="10"/>
    <x v="1"/>
    <n v="1549"/>
    <x v="1"/>
    <x v="2"/>
    <x v="1"/>
    <s v="Surly Straggler - 2016"/>
    <x v="1"/>
  </r>
  <r>
    <n v="559"/>
    <n v="1"/>
    <n v="15"/>
    <x v="1"/>
    <n v="529.99"/>
    <x v="3"/>
    <x v="29"/>
    <x v="1"/>
    <s v="Electra Moto 1 - 2016"/>
    <x v="0"/>
  </r>
  <r>
    <n v="559"/>
    <n v="2"/>
    <n v="6"/>
    <x v="0"/>
    <n v="469.99"/>
    <x v="3"/>
    <x v="20"/>
    <x v="1"/>
    <s v="Surly Ice Cream Truck Frameset - 2016"/>
    <x v="0"/>
  </r>
  <r>
    <n v="559"/>
    <n v="3"/>
    <n v="7"/>
    <x v="1"/>
    <n v="3999.99"/>
    <x v="1"/>
    <x v="15"/>
    <x v="1"/>
    <s v="Trek Slash 8 27.5 - 2016"/>
    <x v="0"/>
  </r>
  <r>
    <n v="560"/>
    <n v="1"/>
    <n v="16"/>
    <x v="0"/>
    <n v="599.99"/>
    <x v="2"/>
    <x v="0"/>
    <x v="1"/>
    <s v="Electra Townie Original 7D EQ - 2016"/>
    <x v="1"/>
  </r>
  <r>
    <n v="560"/>
    <n v="2"/>
    <n v="26"/>
    <x v="1"/>
    <n v="599.99"/>
    <x v="3"/>
    <x v="3"/>
    <x v="1"/>
    <s v="Electra Townie Original 7D EQ - 2016"/>
    <x v="1"/>
  </r>
  <r>
    <n v="561"/>
    <n v="1"/>
    <n v="15"/>
    <x v="1"/>
    <n v="529.99"/>
    <x v="2"/>
    <x v="29"/>
    <x v="1"/>
    <s v="Electra Moto 1 - 2016"/>
    <x v="1"/>
  </r>
  <r>
    <n v="561"/>
    <n v="2"/>
    <n v="18"/>
    <x v="0"/>
    <n v="449"/>
    <x v="2"/>
    <x v="8"/>
    <x v="1"/>
    <s v="Pure Cycles Western 3-Speed - Women's - 2015/2016"/>
    <x v="1"/>
  </r>
  <r>
    <n v="561"/>
    <n v="3"/>
    <n v="5"/>
    <x v="0"/>
    <n v="1320.99"/>
    <x v="2"/>
    <x v="24"/>
    <x v="1"/>
    <s v="Heller Shagamaw Frame - 2016"/>
    <x v="1"/>
  </r>
  <r>
    <n v="561"/>
    <n v="4"/>
    <n v="17"/>
    <x v="1"/>
    <n v="429"/>
    <x v="1"/>
    <x v="13"/>
    <x v="1"/>
    <s v="Pure Cycles Vine 8-Speed - 2016"/>
    <x v="1"/>
  </r>
  <r>
    <n v="562"/>
    <n v="1"/>
    <n v="25"/>
    <x v="1"/>
    <n v="499.99"/>
    <x v="1"/>
    <x v="26"/>
    <x v="1"/>
    <s v="Electra Townie Original 7D - 2015/2016"/>
    <x v="1"/>
  </r>
  <r>
    <n v="562"/>
    <n v="2"/>
    <n v="26"/>
    <x v="0"/>
    <n v="599.99"/>
    <x v="2"/>
    <x v="0"/>
    <x v="1"/>
    <s v="Electra Townie Original 7D EQ - 2016"/>
    <x v="1"/>
  </r>
  <r>
    <n v="563"/>
    <n v="1"/>
    <n v="6"/>
    <x v="1"/>
    <n v="469.99"/>
    <x v="3"/>
    <x v="35"/>
    <x v="1"/>
    <s v="Surly Ice Cream Truck Frameset - 2016"/>
    <x v="1"/>
  </r>
  <r>
    <n v="563"/>
    <n v="2"/>
    <n v="19"/>
    <x v="0"/>
    <n v="449"/>
    <x v="2"/>
    <x v="8"/>
    <x v="1"/>
    <s v="Pure Cycles William 3-Speed - 2016"/>
    <x v="1"/>
  </r>
  <r>
    <n v="563"/>
    <n v="3"/>
    <n v="13"/>
    <x v="1"/>
    <n v="269.99"/>
    <x v="3"/>
    <x v="17"/>
    <x v="1"/>
    <s v="Electra Cruiser 1 (24-Inch) - 2016"/>
    <x v="1"/>
  </r>
  <r>
    <n v="564"/>
    <n v="1"/>
    <n v="4"/>
    <x v="0"/>
    <n v="2899.99"/>
    <x v="0"/>
    <x v="4"/>
    <x v="1"/>
    <s v="Trek Fuel EX 8 29 - 2016"/>
    <x v="1"/>
  </r>
  <r>
    <n v="564"/>
    <n v="2"/>
    <n v="15"/>
    <x v="0"/>
    <n v="529.99"/>
    <x v="0"/>
    <x v="12"/>
    <x v="1"/>
    <s v="Electra Moto 1 - 2016"/>
    <x v="1"/>
  </r>
  <r>
    <n v="565"/>
    <n v="1"/>
    <n v="18"/>
    <x v="0"/>
    <n v="449"/>
    <x v="0"/>
    <x v="8"/>
    <x v="1"/>
    <s v="Pure Cycles Western 3-Speed - Women's - 2015/2016"/>
    <x v="1"/>
  </r>
  <r>
    <n v="565"/>
    <n v="2"/>
    <n v="25"/>
    <x v="1"/>
    <n v="499.99"/>
    <x v="3"/>
    <x v="26"/>
    <x v="1"/>
    <s v="Electra Townie Original 7D - 2015/2016"/>
    <x v="1"/>
  </r>
  <r>
    <n v="565"/>
    <n v="3"/>
    <n v="9"/>
    <x v="0"/>
    <n v="2999.99"/>
    <x v="2"/>
    <x v="28"/>
    <x v="1"/>
    <s v="Trek Conduit+ - 2016"/>
    <x v="1"/>
  </r>
  <r>
    <n v="565"/>
    <n v="4"/>
    <n v="17"/>
    <x v="0"/>
    <n v="429"/>
    <x v="3"/>
    <x v="7"/>
    <x v="1"/>
    <s v="Pure Cycles Vine 8-Speed - 2016"/>
    <x v="1"/>
  </r>
  <r>
    <n v="566"/>
    <n v="1"/>
    <n v="24"/>
    <x v="1"/>
    <n v="549.99"/>
    <x v="1"/>
    <x v="9"/>
    <x v="1"/>
    <s v="Electra Townie Original 21D - 2016"/>
    <x v="0"/>
  </r>
  <r>
    <n v="566"/>
    <n v="2"/>
    <n v="7"/>
    <x v="1"/>
    <n v="3999.99"/>
    <x v="0"/>
    <x v="15"/>
    <x v="1"/>
    <s v="Trek Slash 8 27.5 - 2016"/>
    <x v="0"/>
  </r>
  <r>
    <n v="566"/>
    <n v="3"/>
    <n v="8"/>
    <x v="0"/>
    <n v="1799.99"/>
    <x v="3"/>
    <x v="16"/>
    <x v="1"/>
    <s v="Trek Remedy 29 Carbon Frameset - 2016"/>
    <x v="0"/>
  </r>
  <r>
    <n v="566"/>
    <n v="4"/>
    <n v="21"/>
    <x v="1"/>
    <n v="269.99"/>
    <x v="0"/>
    <x v="17"/>
    <x v="1"/>
    <s v="Electra Cruiser 1 (24-Inch) - 2016"/>
    <x v="0"/>
  </r>
  <r>
    <n v="567"/>
    <n v="1"/>
    <n v="9"/>
    <x v="0"/>
    <n v="2999.99"/>
    <x v="0"/>
    <x v="28"/>
    <x v="1"/>
    <s v="Trek Conduit+ - 2016"/>
    <x v="0"/>
  </r>
  <r>
    <n v="567"/>
    <n v="2"/>
    <n v="5"/>
    <x v="0"/>
    <n v="1320.99"/>
    <x v="1"/>
    <x v="24"/>
    <x v="1"/>
    <s v="Heller Shagamaw Frame - 2016"/>
    <x v="0"/>
  </r>
  <r>
    <n v="568"/>
    <n v="1"/>
    <n v="5"/>
    <x v="0"/>
    <n v="1320.99"/>
    <x v="2"/>
    <x v="24"/>
    <x v="1"/>
    <s v="Heller Shagamaw Frame - 2016"/>
    <x v="0"/>
  </r>
  <r>
    <n v="568"/>
    <n v="2"/>
    <n v="10"/>
    <x v="0"/>
    <n v="1549"/>
    <x v="2"/>
    <x v="27"/>
    <x v="1"/>
    <s v="Surly Straggler - 2016"/>
    <x v="0"/>
  </r>
  <r>
    <n v="569"/>
    <n v="1"/>
    <n v="16"/>
    <x v="0"/>
    <n v="599.99"/>
    <x v="2"/>
    <x v="0"/>
    <x v="1"/>
    <s v="Electra Townie Original 7D EQ - 2016"/>
    <x v="1"/>
  </r>
  <r>
    <n v="569"/>
    <n v="2"/>
    <n v="24"/>
    <x v="1"/>
    <n v="549.99"/>
    <x v="3"/>
    <x v="9"/>
    <x v="1"/>
    <s v="Electra Townie Original 21D - 2016"/>
    <x v="1"/>
  </r>
  <r>
    <n v="570"/>
    <n v="1"/>
    <n v="18"/>
    <x v="0"/>
    <n v="449"/>
    <x v="1"/>
    <x v="8"/>
    <x v="1"/>
    <s v="Pure Cycles Western 3-Speed - Women's - 2015/2016"/>
    <x v="1"/>
  </r>
  <r>
    <n v="570"/>
    <n v="2"/>
    <n v="24"/>
    <x v="1"/>
    <n v="549.99"/>
    <x v="3"/>
    <x v="9"/>
    <x v="1"/>
    <s v="Electra Townie Original 21D - 2016"/>
    <x v="1"/>
  </r>
  <r>
    <n v="570"/>
    <n v="3"/>
    <n v="3"/>
    <x v="1"/>
    <n v="999.99"/>
    <x v="0"/>
    <x v="10"/>
    <x v="1"/>
    <s v="Surly Wednesday Frameset - 2016"/>
    <x v="1"/>
  </r>
  <r>
    <n v="570"/>
    <n v="4"/>
    <n v="11"/>
    <x v="0"/>
    <n v="1680.99"/>
    <x v="3"/>
    <x v="19"/>
    <x v="1"/>
    <s v="Surly Straggler 650b - 2016"/>
    <x v="1"/>
  </r>
  <r>
    <n v="570"/>
    <n v="5"/>
    <n v="16"/>
    <x v="0"/>
    <n v="599.99"/>
    <x v="2"/>
    <x v="0"/>
    <x v="1"/>
    <s v="Electra Townie Original 7D EQ - 2016"/>
    <x v="1"/>
  </r>
  <r>
    <n v="571"/>
    <n v="1"/>
    <n v="4"/>
    <x v="0"/>
    <n v="2899.99"/>
    <x v="2"/>
    <x v="4"/>
    <x v="1"/>
    <s v="Trek Fuel EX 8 29 - 2016"/>
    <x v="0"/>
  </r>
  <r>
    <n v="571"/>
    <n v="2"/>
    <n v="9"/>
    <x v="0"/>
    <n v="2999.99"/>
    <x v="3"/>
    <x v="28"/>
    <x v="1"/>
    <s v="Trek Conduit+ - 2016"/>
    <x v="0"/>
  </r>
  <r>
    <n v="572"/>
    <n v="1"/>
    <n v="3"/>
    <x v="0"/>
    <n v="999.99"/>
    <x v="2"/>
    <x v="5"/>
    <x v="1"/>
    <s v="Surly Wednesday Frameset - 2016"/>
    <x v="1"/>
  </r>
  <r>
    <n v="572"/>
    <n v="2"/>
    <n v="13"/>
    <x v="1"/>
    <n v="269.99"/>
    <x v="3"/>
    <x v="17"/>
    <x v="1"/>
    <s v="Electra Cruiser 1 (24-Inch) - 2016"/>
    <x v="1"/>
  </r>
  <r>
    <n v="572"/>
    <n v="3"/>
    <n v="11"/>
    <x v="1"/>
    <n v="1680.99"/>
    <x v="0"/>
    <x v="32"/>
    <x v="1"/>
    <s v="Surly Straggler 650b - 2016"/>
    <x v="1"/>
  </r>
  <r>
    <n v="573"/>
    <n v="1"/>
    <n v="2"/>
    <x v="0"/>
    <n v="749.99"/>
    <x v="0"/>
    <x v="30"/>
    <x v="1"/>
    <s v="Ritchey Timberwolf Frameset - 2016"/>
    <x v="1"/>
  </r>
  <r>
    <n v="574"/>
    <n v="1"/>
    <n v="26"/>
    <x v="0"/>
    <n v="599.99"/>
    <x v="2"/>
    <x v="0"/>
    <x v="1"/>
    <s v="Electra Townie Original 7D EQ - 2016"/>
    <x v="1"/>
  </r>
  <r>
    <n v="574"/>
    <n v="2"/>
    <n v="13"/>
    <x v="1"/>
    <n v="269.99"/>
    <x v="3"/>
    <x v="17"/>
    <x v="1"/>
    <s v="Electra Cruiser 1 (24-Inch) - 2016"/>
    <x v="1"/>
  </r>
  <r>
    <n v="574"/>
    <n v="3"/>
    <n v="12"/>
    <x v="1"/>
    <n v="549.99"/>
    <x v="3"/>
    <x v="9"/>
    <x v="1"/>
    <s v="Electra Townie Original 21D - 2016"/>
    <x v="1"/>
  </r>
  <r>
    <n v="574"/>
    <n v="4"/>
    <n v="23"/>
    <x v="1"/>
    <n v="299.99"/>
    <x v="3"/>
    <x v="22"/>
    <x v="1"/>
    <s v="Electra Girl's Hawaii 1 (20-inch) - 2015/2016"/>
    <x v="1"/>
  </r>
  <r>
    <n v="574"/>
    <n v="5"/>
    <n v="11"/>
    <x v="1"/>
    <n v="1680.99"/>
    <x v="2"/>
    <x v="32"/>
    <x v="1"/>
    <s v="Surly Straggler 650b - 2016"/>
    <x v="1"/>
  </r>
  <r>
    <n v="575"/>
    <n v="1"/>
    <n v="4"/>
    <x v="1"/>
    <n v="2899.99"/>
    <x v="1"/>
    <x v="18"/>
    <x v="1"/>
    <s v="Trek Fuel EX 8 29 - 2016"/>
    <x v="0"/>
  </r>
  <r>
    <n v="575"/>
    <n v="2"/>
    <n v="12"/>
    <x v="0"/>
    <n v="549.99"/>
    <x v="0"/>
    <x v="31"/>
    <x v="1"/>
    <s v="Electra Townie Original 21D - 2016"/>
    <x v="0"/>
  </r>
  <r>
    <n v="576"/>
    <n v="1"/>
    <n v="9"/>
    <x v="0"/>
    <n v="2999.99"/>
    <x v="3"/>
    <x v="28"/>
    <x v="1"/>
    <s v="Trek Conduit+ - 2016"/>
    <x v="0"/>
  </r>
  <r>
    <n v="577"/>
    <n v="1"/>
    <n v="3"/>
    <x v="1"/>
    <n v="999.99"/>
    <x v="0"/>
    <x v="10"/>
    <x v="1"/>
    <s v="Surly Wednesday Frameset - 2016"/>
    <x v="1"/>
  </r>
  <r>
    <n v="578"/>
    <n v="1"/>
    <n v="21"/>
    <x v="0"/>
    <n v="269.99"/>
    <x v="1"/>
    <x v="14"/>
    <x v="1"/>
    <s v="Electra Cruiser 1 (24-Inch) - 2016"/>
    <x v="1"/>
  </r>
  <r>
    <n v="578"/>
    <n v="2"/>
    <n v="25"/>
    <x v="1"/>
    <n v="499.99"/>
    <x v="0"/>
    <x v="26"/>
    <x v="1"/>
    <s v="Electra Townie Original 7D - 2015/2016"/>
    <x v="1"/>
  </r>
  <r>
    <n v="578"/>
    <n v="3"/>
    <n v="18"/>
    <x v="1"/>
    <n v="449"/>
    <x v="2"/>
    <x v="21"/>
    <x v="1"/>
    <s v="Pure Cycles Western 3-Speed - Women's - 2015/2016"/>
    <x v="1"/>
  </r>
  <r>
    <n v="578"/>
    <n v="4"/>
    <n v="8"/>
    <x v="1"/>
    <n v="1799.99"/>
    <x v="0"/>
    <x v="1"/>
    <x v="1"/>
    <s v="Trek Remedy 29 Carbon Frameset - 2016"/>
    <x v="1"/>
  </r>
  <r>
    <n v="579"/>
    <n v="1"/>
    <n v="7"/>
    <x v="1"/>
    <n v="3999.99"/>
    <x v="2"/>
    <x v="15"/>
    <x v="1"/>
    <s v="Trek Slash 8 27.5 - 2016"/>
    <x v="2"/>
  </r>
  <r>
    <n v="579"/>
    <n v="2"/>
    <n v="6"/>
    <x v="0"/>
    <n v="469.99"/>
    <x v="0"/>
    <x v="20"/>
    <x v="1"/>
    <s v="Surly Ice Cream Truck Frameset - 2016"/>
    <x v="2"/>
  </r>
  <r>
    <n v="580"/>
    <n v="1"/>
    <n v="16"/>
    <x v="1"/>
    <n v="599.99"/>
    <x v="0"/>
    <x v="3"/>
    <x v="1"/>
    <s v="Electra Townie Original 7D EQ - 2016"/>
    <x v="0"/>
  </r>
  <r>
    <n v="580"/>
    <n v="2"/>
    <n v="15"/>
    <x v="0"/>
    <n v="529.99"/>
    <x v="1"/>
    <x v="12"/>
    <x v="1"/>
    <s v="Electra Moto 1 - 2016"/>
    <x v="0"/>
  </r>
  <r>
    <n v="580"/>
    <n v="3"/>
    <n v="21"/>
    <x v="1"/>
    <n v="269.99"/>
    <x v="0"/>
    <x v="17"/>
    <x v="1"/>
    <s v="Electra Cruiser 1 (24-Inch) - 2016"/>
    <x v="0"/>
  </r>
  <r>
    <n v="580"/>
    <n v="4"/>
    <n v="9"/>
    <x v="1"/>
    <n v="2999.99"/>
    <x v="1"/>
    <x v="11"/>
    <x v="1"/>
    <s v="Trek Conduit+ - 2016"/>
    <x v="0"/>
  </r>
  <r>
    <n v="580"/>
    <n v="5"/>
    <n v="19"/>
    <x v="0"/>
    <n v="449"/>
    <x v="0"/>
    <x v="8"/>
    <x v="1"/>
    <s v="Pure Cycles William 3-Speed - 2016"/>
    <x v="0"/>
  </r>
  <r>
    <n v="581"/>
    <n v="1"/>
    <n v="8"/>
    <x v="1"/>
    <n v="1799.99"/>
    <x v="1"/>
    <x v="1"/>
    <x v="1"/>
    <s v="Trek Remedy 29 Carbon Frameset - 2016"/>
    <x v="0"/>
  </r>
  <r>
    <n v="582"/>
    <n v="1"/>
    <n v="10"/>
    <x v="1"/>
    <n v="1549"/>
    <x v="0"/>
    <x v="2"/>
    <x v="1"/>
    <s v="Surly Straggler - 2016"/>
    <x v="0"/>
  </r>
  <r>
    <n v="582"/>
    <n v="2"/>
    <n v="17"/>
    <x v="1"/>
    <n v="429"/>
    <x v="1"/>
    <x v="13"/>
    <x v="1"/>
    <s v="Pure Cycles Vine 8-Speed - 2016"/>
    <x v="0"/>
  </r>
  <r>
    <n v="583"/>
    <n v="1"/>
    <n v="15"/>
    <x v="1"/>
    <n v="529.99"/>
    <x v="0"/>
    <x v="29"/>
    <x v="1"/>
    <s v="Electra Moto 1 - 2016"/>
    <x v="1"/>
  </r>
  <r>
    <n v="584"/>
    <n v="1"/>
    <n v="19"/>
    <x v="0"/>
    <n v="449"/>
    <x v="1"/>
    <x v="8"/>
    <x v="1"/>
    <s v="Pure Cycles William 3-Speed - 2016"/>
    <x v="1"/>
  </r>
  <r>
    <n v="584"/>
    <n v="2"/>
    <n v="23"/>
    <x v="0"/>
    <n v="299.99"/>
    <x v="1"/>
    <x v="23"/>
    <x v="1"/>
    <s v="Electra Girl's Hawaii 1 (20-inch) - 2015/2016"/>
    <x v="1"/>
  </r>
  <r>
    <n v="584"/>
    <n v="3"/>
    <n v="15"/>
    <x v="0"/>
    <n v="529.99"/>
    <x v="3"/>
    <x v="12"/>
    <x v="1"/>
    <s v="Electra Moto 1 - 2016"/>
    <x v="1"/>
  </r>
  <r>
    <n v="584"/>
    <n v="4"/>
    <n v="22"/>
    <x v="0"/>
    <n v="269.99"/>
    <x v="2"/>
    <x v="14"/>
    <x v="1"/>
    <s v="Electra Girl's Hawaii 1 (16-inch) - 2015/2016"/>
    <x v="1"/>
  </r>
  <r>
    <n v="584"/>
    <n v="5"/>
    <n v="8"/>
    <x v="1"/>
    <n v="1799.99"/>
    <x v="1"/>
    <x v="1"/>
    <x v="1"/>
    <s v="Trek Remedy 29 Carbon Frameset - 2016"/>
    <x v="1"/>
  </r>
  <r>
    <n v="585"/>
    <n v="1"/>
    <n v="10"/>
    <x v="0"/>
    <n v="1549"/>
    <x v="0"/>
    <x v="27"/>
    <x v="1"/>
    <s v="Surly Straggler - 2016"/>
    <x v="1"/>
  </r>
  <r>
    <n v="585"/>
    <n v="2"/>
    <n v="18"/>
    <x v="1"/>
    <n v="449"/>
    <x v="0"/>
    <x v="21"/>
    <x v="1"/>
    <s v="Pure Cycles Western 3-Speed - Women's - 2015/2016"/>
    <x v="1"/>
  </r>
  <r>
    <n v="585"/>
    <n v="3"/>
    <n v="15"/>
    <x v="0"/>
    <n v="529.99"/>
    <x v="2"/>
    <x v="12"/>
    <x v="1"/>
    <s v="Electra Moto 1 - 2016"/>
    <x v="1"/>
  </r>
  <r>
    <n v="585"/>
    <n v="4"/>
    <n v="12"/>
    <x v="1"/>
    <n v="549.99"/>
    <x v="1"/>
    <x v="9"/>
    <x v="1"/>
    <s v="Electra Townie Original 21D - 2016"/>
    <x v="1"/>
  </r>
  <r>
    <n v="586"/>
    <n v="1"/>
    <n v="11"/>
    <x v="1"/>
    <n v="1680.99"/>
    <x v="3"/>
    <x v="32"/>
    <x v="1"/>
    <s v="Surly Straggler 650b - 2016"/>
    <x v="1"/>
  </r>
  <r>
    <n v="586"/>
    <n v="2"/>
    <n v="23"/>
    <x v="1"/>
    <n v="299.99"/>
    <x v="0"/>
    <x v="22"/>
    <x v="1"/>
    <s v="Electra Girl's Hawaii 1 (20-inch) - 2015/2016"/>
    <x v="1"/>
  </r>
  <r>
    <n v="587"/>
    <n v="1"/>
    <n v="24"/>
    <x v="0"/>
    <n v="549.99"/>
    <x v="2"/>
    <x v="31"/>
    <x v="1"/>
    <s v="Electra Townie Original 21D - 2016"/>
    <x v="0"/>
  </r>
  <r>
    <n v="587"/>
    <n v="2"/>
    <n v="23"/>
    <x v="0"/>
    <n v="299.99"/>
    <x v="2"/>
    <x v="23"/>
    <x v="1"/>
    <s v="Electra Girl's Hawaii 1 (20-inch) - 2015/2016"/>
    <x v="0"/>
  </r>
  <r>
    <n v="587"/>
    <n v="3"/>
    <n v="18"/>
    <x v="0"/>
    <n v="449"/>
    <x v="2"/>
    <x v="8"/>
    <x v="1"/>
    <s v="Pure Cycles Western 3-Speed - Women's - 2015/2016"/>
    <x v="0"/>
  </r>
  <r>
    <n v="587"/>
    <n v="4"/>
    <n v="21"/>
    <x v="0"/>
    <n v="269.99"/>
    <x v="0"/>
    <x v="14"/>
    <x v="1"/>
    <s v="Electra Cruiser 1 (24-Inch) - 2016"/>
    <x v="0"/>
  </r>
  <r>
    <n v="588"/>
    <n v="1"/>
    <n v="10"/>
    <x v="1"/>
    <n v="1549"/>
    <x v="1"/>
    <x v="2"/>
    <x v="1"/>
    <s v="Surly Straggler - 2016"/>
    <x v="1"/>
  </r>
  <r>
    <n v="588"/>
    <n v="2"/>
    <n v="23"/>
    <x v="0"/>
    <n v="299.99"/>
    <x v="0"/>
    <x v="23"/>
    <x v="1"/>
    <s v="Electra Girl's Hawaii 1 (20-inch) - 2015/2016"/>
    <x v="1"/>
  </r>
  <r>
    <n v="589"/>
    <n v="1"/>
    <n v="15"/>
    <x v="1"/>
    <n v="529.99"/>
    <x v="2"/>
    <x v="29"/>
    <x v="1"/>
    <s v="Electra Moto 1 - 2016"/>
    <x v="1"/>
  </r>
  <r>
    <n v="590"/>
    <n v="1"/>
    <n v="2"/>
    <x v="1"/>
    <n v="749.99"/>
    <x v="3"/>
    <x v="6"/>
    <x v="1"/>
    <s v="Ritchey Timberwolf Frameset - 2016"/>
    <x v="1"/>
  </r>
  <r>
    <n v="590"/>
    <n v="2"/>
    <n v="20"/>
    <x v="0"/>
    <n v="599.99"/>
    <x v="1"/>
    <x v="0"/>
    <x v="1"/>
    <s v="Electra Townie Original 7D EQ - Women's - 2016"/>
    <x v="1"/>
  </r>
  <r>
    <n v="590"/>
    <n v="3"/>
    <n v="8"/>
    <x v="1"/>
    <n v="1799.99"/>
    <x v="2"/>
    <x v="1"/>
    <x v="1"/>
    <s v="Trek Remedy 29 Carbon Frameset - 2016"/>
    <x v="1"/>
  </r>
  <r>
    <n v="590"/>
    <n v="4"/>
    <n v="5"/>
    <x v="1"/>
    <n v="1320.99"/>
    <x v="3"/>
    <x v="34"/>
    <x v="1"/>
    <s v="Heller Shagamaw Frame - 2016"/>
    <x v="1"/>
  </r>
  <r>
    <n v="590"/>
    <n v="5"/>
    <n v="24"/>
    <x v="0"/>
    <n v="549.99"/>
    <x v="3"/>
    <x v="31"/>
    <x v="1"/>
    <s v="Electra Townie Original 21D - 2016"/>
    <x v="1"/>
  </r>
  <r>
    <n v="591"/>
    <n v="1"/>
    <n v="16"/>
    <x v="1"/>
    <n v="599.99"/>
    <x v="2"/>
    <x v="3"/>
    <x v="1"/>
    <s v="Electra Townie Original 7D EQ - 2016"/>
    <x v="1"/>
  </r>
  <r>
    <n v="591"/>
    <n v="2"/>
    <n v="25"/>
    <x v="1"/>
    <n v="499.99"/>
    <x v="2"/>
    <x v="26"/>
    <x v="1"/>
    <s v="Electra Townie Original 7D - 2015/2016"/>
    <x v="1"/>
  </r>
  <r>
    <n v="591"/>
    <n v="3"/>
    <n v="2"/>
    <x v="1"/>
    <n v="749.99"/>
    <x v="3"/>
    <x v="6"/>
    <x v="1"/>
    <s v="Ritchey Timberwolf Frameset - 2016"/>
    <x v="1"/>
  </r>
  <r>
    <n v="592"/>
    <n v="1"/>
    <n v="21"/>
    <x v="1"/>
    <n v="269.99"/>
    <x v="3"/>
    <x v="17"/>
    <x v="1"/>
    <s v="Electra Cruiser 1 (24-Inch) - 2016"/>
    <x v="1"/>
  </r>
  <r>
    <n v="592"/>
    <n v="2"/>
    <n v="16"/>
    <x v="0"/>
    <n v="599.99"/>
    <x v="2"/>
    <x v="0"/>
    <x v="1"/>
    <s v="Electra Townie Original 7D EQ - 2016"/>
    <x v="1"/>
  </r>
  <r>
    <n v="592"/>
    <n v="3"/>
    <n v="18"/>
    <x v="1"/>
    <n v="449"/>
    <x v="1"/>
    <x v="21"/>
    <x v="1"/>
    <s v="Pure Cycles Western 3-Speed - Women's - 2015/2016"/>
    <x v="1"/>
  </r>
  <r>
    <n v="593"/>
    <n v="1"/>
    <n v="3"/>
    <x v="1"/>
    <n v="999.99"/>
    <x v="3"/>
    <x v="10"/>
    <x v="1"/>
    <s v="Surly Wednesday Frameset - 2016"/>
    <x v="2"/>
  </r>
  <r>
    <n v="593"/>
    <n v="2"/>
    <n v="25"/>
    <x v="0"/>
    <n v="499.99"/>
    <x v="1"/>
    <x v="33"/>
    <x v="1"/>
    <s v="Electra Townie Original 7D - 2015/2016"/>
    <x v="2"/>
  </r>
  <r>
    <n v="594"/>
    <n v="1"/>
    <n v="26"/>
    <x v="0"/>
    <n v="599.99"/>
    <x v="3"/>
    <x v="0"/>
    <x v="1"/>
    <s v="Electra Townie Original 7D EQ - 2016"/>
    <x v="2"/>
  </r>
  <r>
    <n v="594"/>
    <n v="2"/>
    <n v="21"/>
    <x v="1"/>
    <n v="269.99"/>
    <x v="2"/>
    <x v="17"/>
    <x v="1"/>
    <s v="Electra Cruiser 1 (24-Inch) - 2016"/>
    <x v="2"/>
  </r>
  <r>
    <n v="595"/>
    <n v="1"/>
    <n v="4"/>
    <x v="0"/>
    <n v="2899.99"/>
    <x v="1"/>
    <x v="4"/>
    <x v="1"/>
    <s v="Trek Fuel EX 8 29 - 2016"/>
    <x v="0"/>
  </r>
  <r>
    <n v="595"/>
    <n v="2"/>
    <n v="19"/>
    <x v="1"/>
    <n v="449"/>
    <x v="1"/>
    <x v="21"/>
    <x v="1"/>
    <s v="Pure Cycles William 3-Speed - 2016"/>
    <x v="0"/>
  </r>
  <r>
    <n v="595"/>
    <n v="3"/>
    <n v="3"/>
    <x v="0"/>
    <n v="999.99"/>
    <x v="1"/>
    <x v="5"/>
    <x v="1"/>
    <s v="Surly Wednesday Frameset - 2016"/>
    <x v="0"/>
  </r>
  <r>
    <n v="595"/>
    <n v="4"/>
    <n v="10"/>
    <x v="0"/>
    <n v="1549"/>
    <x v="1"/>
    <x v="27"/>
    <x v="1"/>
    <s v="Surly Straggler - 2016"/>
    <x v="0"/>
  </r>
  <r>
    <n v="595"/>
    <n v="5"/>
    <n v="26"/>
    <x v="1"/>
    <n v="599.99"/>
    <x v="2"/>
    <x v="3"/>
    <x v="1"/>
    <s v="Electra Townie Original 7D EQ - 2016"/>
    <x v="0"/>
  </r>
  <r>
    <n v="596"/>
    <n v="1"/>
    <n v="5"/>
    <x v="0"/>
    <n v="1320.99"/>
    <x v="2"/>
    <x v="24"/>
    <x v="1"/>
    <s v="Heller Shagamaw Frame - 2016"/>
    <x v="0"/>
  </r>
  <r>
    <n v="596"/>
    <n v="2"/>
    <n v="23"/>
    <x v="1"/>
    <n v="299.99"/>
    <x v="3"/>
    <x v="22"/>
    <x v="1"/>
    <s v="Electra Girl's Hawaii 1 (20-inch) - 2015/2016"/>
    <x v="0"/>
  </r>
  <r>
    <n v="596"/>
    <n v="3"/>
    <n v="9"/>
    <x v="0"/>
    <n v="2999.99"/>
    <x v="2"/>
    <x v="28"/>
    <x v="1"/>
    <s v="Trek Conduit+ - 2016"/>
    <x v="0"/>
  </r>
  <r>
    <n v="597"/>
    <n v="1"/>
    <n v="17"/>
    <x v="1"/>
    <n v="429"/>
    <x v="0"/>
    <x v="13"/>
    <x v="1"/>
    <s v="Pure Cycles Vine 8-Speed - 2016"/>
    <x v="1"/>
  </r>
  <r>
    <n v="597"/>
    <n v="2"/>
    <n v="8"/>
    <x v="0"/>
    <n v="1799.99"/>
    <x v="1"/>
    <x v="16"/>
    <x v="1"/>
    <s v="Trek Remedy 29 Carbon Frameset - 2016"/>
    <x v="1"/>
  </r>
  <r>
    <n v="598"/>
    <n v="1"/>
    <n v="4"/>
    <x v="1"/>
    <n v="2899.99"/>
    <x v="2"/>
    <x v="18"/>
    <x v="1"/>
    <s v="Trek Fuel EX 8 29 - 2016"/>
    <x v="0"/>
  </r>
  <r>
    <n v="598"/>
    <n v="2"/>
    <n v="16"/>
    <x v="1"/>
    <n v="599.99"/>
    <x v="1"/>
    <x v="3"/>
    <x v="1"/>
    <s v="Electra Townie Original 7D EQ - 2016"/>
    <x v="0"/>
  </r>
  <r>
    <n v="598"/>
    <n v="3"/>
    <n v="14"/>
    <x v="0"/>
    <n v="269.99"/>
    <x v="3"/>
    <x v="14"/>
    <x v="1"/>
    <s v="Electra Girl's Hawaii 1 (16-inch) - 2015/2016"/>
    <x v="0"/>
  </r>
  <r>
    <n v="599"/>
    <n v="1"/>
    <n v="9"/>
    <x v="1"/>
    <n v="2999.99"/>
    <x v="2"/>
    <x v="11"/>
    <x v="1"/>
    <s v="Trek Conduit+ - 2016"/>
    <x v="1"/>
  </r>
  <r>
    <n v="599"/>
    <n v="2"/>
    <n v="22"/>
    <x v="1"/>
    <n v="269.99"/>
    <x v="0"/>
    <x v="17"/>
    <x v="1"/>
    <s v="Electra Girl's Hawaii 1 (16-inch) - 2015/2016"/>
    <x v="1"/>
  </r>
  <r>
    <n v="599"/>
    <n v="3"/>
    <n v="23"/>
    <x v="0"/>
    <n v="299.99"/>
    <x v="1"/>
    <x v="23"/>
    <x v="1"/>
    <s v="Electra Girl's Hawaii 1 (20-inch) - 2015/2016"/>
    <x v="1"/>
  </r>
  <r>
    <n v="599"/>
    <n v="4"/>
    <n v="10"/>
    <x v="1"/>
    <n v="1549"/>
    <x v="3"/>
    <x v="2"/>
    <x v="1"/>
    <s v="Surly Straggler - 2016"/>
    <x v="1"/>
  </r>
  <r>
    <n v="600"/>
    <n v="1"/>
    <n v="26"/>
    <x v="1"/>
    <n v="599.99"/>
    <x v="1"/>
    <x v="3"/>
    <x v="1"/>
    <s v="Electra Townie Original 7D EQ - 2016"/>
    <x v="1"/>
  </r>
  <r>
    <n v="600"/>
    <n v="2"/>
    <n v="4"/>
    <x v="0"/>
    <n v="2899.99"/>
    <x v="0"/>
    <x v="4"/>
    <x v="1"/>
    <s v="Trek Fuel EX 8 29 - 2016"/>
    <x v="1"/>
  </r>
  <r>
    <n v="600"/>
    <n v="3"/>
    <n v="18"/>
    <x v="1"/>
    <n v="449"/>
    <x v="1"/>
    <x v="21"/>
    <x v="1"/>
    <s v="Pure Cycles Western 3-Speed - Women's - 2015/2016"/>
    <x v="1"/>
  </r>
  <r>
    <n v="601"/>
    <n v="1"/>
    <n v="12"/>
    <x v="1"/>
    <n v="549.99"/>
    <x v="0"/>
    <x v="9"/>
    <x v="1"/>
    <s v="Electra Townie Original 21D - 2016"/>
    <x v="1"/>
  </r>
  <r>
    <n v="602"/>
    <n v="1"/>
    <n v="15"/>
    <x v="1"/>
    <n v="529.99"/>
    <x v="2"/>
    <x v="29"/>
    <x v="1"/>
    <s v="Electra Moto 1 - 2016"/>
    <x v="1"/>
  </r>
  <r>
    <n v="602"/>
    <n v="2"/>
    <n v="5"/>
    <x v="1"/>
    <n v="1320.99"/>
    <x v="1"/>
    <x v="34"/>
    <x v="1"/>
    <s v="Heller Shagamaw Frame - 2016"/>
    <x v="1"/>
  </r>
  <r>
    <n v="603"/>
    <n v="1"/>
    <n v="12"/>
    <x v="0"/>
    <n v="549.99"/>
    <x v="1"/>
    <x v="31"/>
    <x v="1"/>
    <s v="Electra Townie Original 21D - 2016"/>
    <x v="1"/>
  </r>
  <r>
    <n v="603"/>
    <n v="2"/>
    <n v="4"/>
    <x v="0"/>
    <n v="2899.99"/>
    <x v="3"/>
    <x v="4"/>
    <x v="1"/>
    <s v="Trek Fuel EX 8 29 - 2016"/>
    <x v="1"/>
  </r>
  <r>
    <n v="604"/>
    <n v="1"/>
    <n v="10"/>
    <x v="1"/>
    <n v="1549"/>
    <x v="1"/>
    <x v="2"/>
    <x v="1"/>
    <s v="Surly Straggler - 2016"/>
    <x v="1"/>
  </r>
  <r>
    <n v="604"/>
    <n v="2"/>
    <n v="9"/>
    <x v="1"/>
    <n v="2999.99"/>
    <x v="0"/>
    <x v="11"/>
    <x v="1"/>
    <s v="Trek Conduit+ - 2016"/>
    <x v="1"/>
  </r>
  <r>
    <n v="605"/>
    <n v="1"/>
    <n v="19"/>
    <x v="0"/>
    <n v="449"/>
    <x v="1"/>
    <x v="8"/>
    <x v="1"/>
    <s v="Pure Cycles William 3-Speed - 2016"/>
    <x v="1"/>
  </r>
  <r>
    <n v="605"/>
    <n v="2"/>
    <n v="25"/>
    <x v="1"/>
    <n v="499.99"/>
    <x v="2"/>
    <x v="26"/>
    <x v="1"/>
    <s v="Electra Townie Original 7D - 2015/2016"/>
    <x v="1"/>
  </r>
  <r>
    <n v="605"/>
    <n v="3"/>
    <n v="13"/>
    <x v="1"/>
    <n v="269.99"/>
    <x v="0"/>
    <x v="17"/>
    <x v="1"/>
    <s v="Electra Cruiser 1 (24-Inch) - 2016"/>
    <x v="1"/>
  </r>
  <r>
    <n v="605"/>
    <n v="4"/>
    <n v="11"/>
    <x v="0"/>
    <n v="1680.99"/>
    <x v="0"/>
    <x v="19"/>
    <x v="1"/>
    <s v="Surly Straggler 650b - 2016"/>
    <x v="1"/>
  </r>
  <r>
    <n v="606"/>
    <n v="1"/>
    <n v="6"/>
    <x v="1"/>
    <n v="469.99"/>
    <x v="0"/>
    <x v="35"/>
    <x v="1"/>
    <s v="Surly Ice Cream Truck Frameset - 2016"/>
    <x v="1"/>
  </r>
  <r>
    <n v="606"/>
    <n v="2"/>
    <n v="18"/>
    <x v="1"/>
    <n v="449"/>
    <x v="2"/>
    <x v="21"/>
    <x v="1"/>
    <s v="Pure Cycles Western 3-Speed - Women's - 2015/2016"/>
    <x v="1"/>
  </r>
  <r>
    <n v="607"/>
    <n v="1"/>
    <n v="11"/>
    <x v="1"/>
    <n v="1680.99"/>
    <x v="0"/>
    <x v="32"/>
    <x v="1"/>
    <s v="Surly Straggler 650b - 2016"/>
    <x v="1"/>
  </r>
  <r>
    <n v="607"/>
    <n v="2"/>
    <n v="26"/>
    <x v="1"/>
    <n v="599.99"/>
    <x v="0"/>
    <x v="3"/>
    <x v="1"/>
    <s v="Electra Townie Original 7D EQ - 2016"/>
    <x v="1"/>
  </r>
  <r>
    <n v="607"/>
    <n v="3"/>
    <n v="14"/>
    <x v="0"/>
    <n v="269.99"/>
    <x v="1"/>
    <x v="14"/>
    <x v="1"/>
    <s v="Electra Girl's Hawaii 1 (16-inch) - 2015/2016"/>
    <x v="1"/>
  </r>
  <r>
    <n v="608"/>
    <n v="1"/>
    <n v="4"/>
    <x v="1"/>
    <n v="2899.99"/>
    <x v="0"/>
    <x v="18"/>
    <x v="1"/>
    <s v="Trek Fuel EX 8 29 - 2016"/>
    <x v="0"/>
  </r>
  <r>
    <n v="608"/>
    <n v="2"/>
    <n v="7"/>
    <x v="1"/>
    <n v="3999.99"/>
    <x v="3"/>
    <x v="15"/>
    <x v="1"/>
    <s v="Trek Slash 8 27.5 - 2016"/>
    <x v="0"/>
  </r>
  <r>
    <n v="608"/>
    <n v="3"/>
    <n v="24"/>
    <x v="0"/>
    <n v="549.99"/>
    <x v="3"/>
    <x v="31"/>
    <x v="1"/>
    <s v="Electra Townie Original 21D - 2016"/>
    <x v="0"/>
  </r>
  <r>
    <n v="609"/>
    <n v="1"/>
    <n v="10"/>
    <x v="0"/>
    <n v="1549"/>
    <x v="1"/>
    <x v="27"/>
    <x v="1"/>
    <s v="Surly Straggler - 2016"/>
    <x v="1"/>
  </r>
  <r>
    <n v="609"/>
    <n v="2"/>
    <n v="7"/>
    <x v="0"/>
    <n v="3999.99"/>
    <x v="3"/>
    <x v="25"/>
    <x v="1"/>
    <s v="Trek Slash 8 27.5 - 2016"/>
    <x v="1"/>
  </r>
  <r>
    <n v="609"/>
    <n v="3"/>
    <n v="22"/>
    <x v="1"/>
    <n v="269.99"/>
    <x v="3"/>
    <x v="17"/>
    <x v="1"/>
    <s v="Electra Girl's Hawaii 1 (16-inch) - 2015/2016"/>
    <x v="1"/>
  </r>
  <r>
    <n v="609"/>
    <n v="4"/>
    <n v="5"/>
    <x v="0"/>
    <n v="1320.99"/>
    <x v="3"/>
    <x v="24"/>
    <x v="1"/>
    <s v="Heller Shagamaw Frame - 2016"/>
    <x v="1"/>
  </r>
  <r>
    <n v="610"/>
    <n v="1"/>
    <n v="26"/>
    <x v="0"/>
    <n v="599.99"/>
    <x v="3"/>
    <x v="0"/>
    <x v="1"/>
    <s v="Electra Townie Original 7D EQ - 2016"/>
    <x v="1"/>
  </r>
  <r>
    <n v="610"/>
    <n v="2"/>
    <n v="24"/>
    <x v="0"/>
    <n v="549.99"/>
    <x v="1"/>
    <x v="31"/>
    <x v="1"/>
    <s v="Electra Townie Original 21D - 2016"/>
    <x v="1"/>
  </r>
  <r>
    <n v="610"/>
    <n v="3"/>
    <n v="18"/>
    <x v="1"/>
    <n v="449"/>
    <x v="1"/>
    <x v="21"/>
    <x v="1"/>
    <s v="Pure Cycles Western 3-Speed - Women's - 2015/2016"/>
    <x v="1"/>
  </r>
  <r>
    <n v="610"/>
    <n v="4"/>
    <n v="3"/>
    <x v="0"/>
    <n v="999.99"/>
    <x v="1"/>
    <x v="5"/>
    <x v="1"/>
    <s v="Surly Wednesday Frameset - 2016"/>
    <x v="1"/>
  </r>
  <r>
    <n v="610"/>
    <n v="5"/>
    <n v="8"/>
    <x v="0"/>
    <n v="1799.99"/>
    <x v="3"/>
    <x v="16"/>
    <x v="1"/>
    <s v="Trek Remedy 29 Carbon Frameset - 2016"/>
    <x v="1"/>
  </r>
  <r>
    <n v="611"/>
    <n v="1"/>
    <n v="16"/>
    <x v="1"/>
    <n v="599.99"/>
    <x v="1"/>
    <x v="3"/>
    <x v="1"/>
    <s v="Electra Townie Original 7D EQ - 2016"/>
    <x v="1"/>
  </r>
  <r>
    <n v="612"/>
    <n v="1"/>
    <n v="13"/>
    <x v="0"/>
    <n v="269.99"/>
    <x v="3"/>
    <x v="14"/>
    <x v="1"/>
    <s v="Electra Cruiser 1 (24-Inch) - 2016"/>
    <x v="1"/>
  </r>
  <r>
    <n v="612"/>
    <n v="2"/>
    <n v="14"/>
    <x v="0"/>
    <n v="269.99"/>
    <x v="3"/>
    <x v="14"/>
    <x v="1"/>
    <s v="Electra Girl's Hawaii 1 (16-inch) - 2015/2016"/>
    <x v="1"/>
  </r>
  <r>
    <n v="612"/>
    <n v="3"/>
    <n v="17"/>
    <x v="0"/>
    <n v="429"/>
    <x v="1"/>
    <x v="7"/>
    <x v="1"/>
    <s v="Pure Cycles Vine 8-Speed - 2016"/>
    <x v="1"/>
  </r>
  <r>
    <n v="612"/>
    <n v="4"/>
    <n v="20"/>
    <x v="0"/>
    <n v="599.99"/>
    <x v="0"/>
    <x v="0"/>
    <x v="1"/>
    <s v="Electra Townie Original 7D EQ - Women's - 2016"/>
    <x v="1"/>
  </r>
  <r>
    <n v="613"/>
    <n v="1"/>
    <n v="9"/>
    <x v="1"/>
    <n v="2999.99"/>
    <x v="3"/>
    <x v="11"/>
    <x v="1"/>
    <s v="Trek Conduit+ - 2016"/>
    <x v="1"/>
  </r>
  <r>
    <n v="613"/>
    <n v="2"/>
    <n v="18"/>
    <x v="1"/>
    <n v="449"/>
    <x v="2"/>
    <x v="21"/>
    <x v="1"/>
    <s v="Pure Cycles Western 3-Speed - Women's - 2015/2016"/>
    <x v="1"/>
  </r>
  <r>
    <n v="613"/>
    <n v="3"/>
    <n v="12"/>
    <x v="0"/>
    <n v="549.99"/>
    <x v="1"/>
    <x v="31"/>
    <x v="1"/>
    <s v="Electra Townie Original 21D - 2016"/>
    <x v="1"/>
  </r>
  <r>
    <n v="614"/>
    <n v="1"/>
    <n v="18"/>
    <x v="0"/>
    <n v="449"/>
    <x v="3"/>
    <x v="8"/>
    <x v="1"/>
    <s v="Pure Cycles Western 3-Speed - Women's - 2015/2016"/>
    <x v="0"/>
  </r>
  <r>
    <n v="614"/>
    <n v="2"/>
    <n v="21"/>
    <x v="0"/>
    <n v="269.99"/>
    <x v="2"/>
    <x v="14"/>
    <x v="1"/>
    <s v="Electra Cruiser 1 (24-Inch) - 2016"/>
    <x v="0"/>
  </r>
  <r>
    <n v="615"/>
    <n v="1"/>
    <n v="11"/>
    <x v="0"/>
    <n v="1680.99"/>
    <x v="1"/>
    <x v="19"/>
    <x v="1"/>
    <s v="Surly Straggler 650b - 2016"/>
    <x v="2"/>
  </r>
  <r>
    <n v="615"/>
    <n v="2"/>
    <n v="23"/>
    <x v="0"/>
    <n v="299.99"/>
    <x v="2"/>
    <x v="23"/>
    <x v="1"/>
    <s v="Electra Girl's Hawaii 1 (20-inch) - 2015/2016"/>
    <x v="2"/>
  </r>
  <r>
    <n v="615"/>
    <n v="3"/>
    <n v="6"/>
    <x v="1"/>
    <n v="469.99"/>
    <x v="3"/>
    <x v="35"/>
    <x v="1"/>
    <s v="Surly Ice Cream Truck Frameset - 2016"/>
    <x v="2"/>
  </r>
  <r>
    <n v="615"/>
    <n v="4"/>
    <n v="19"/>
    <x v="1"/>
    <n v="449"/>
    <x v="3"/>
    <x v="21"/>
    <x v="1"/>
    <s v="Pure Cycles William 3-Speed - 2016"/>
    <x v="2"/>
  </r>
  <r>
    <n v="616"/>
    <n v="1"/>
    <n v="24"/>
    <x v="0"/>
    <n v="549.99"/>
    <x v="0"/>
    <x v="31"/>
    <x v="1"/>
    <s v="Electra Townie Original 21D - 2016"/>
    <x v="1"/>
  </r>
  <r>
    <n v="616"/>
    <n v="2"/>
    <n v="16"/>
    <x v="1"/>
    <n v="599.99"/>
    <x v="0"/>
    <x v="3"/>
    <x v="1"/>
    <s v="Electra Townie Original 7D EQ - 2016"/>
    <x v="1"/>
  </r>
  <r>
    <n v="617"/>
    <n v="1"/>
    <n v="15"/>
    <x v="1"/>
    <n v="529.99"/>
    <x v="0"/>
    <x v="29"/>
    <x v="1"/>
    <s v="Electra Moto 1 - 2016"/>
    <x v="1"/>
  </r>
  <r>
    <n v="617"/>
    <n v="2"/>
    <n v="11"/>
    <x v="1"/>
    <n v="1680.99"/>
    <x v="1"/>
    <x v="32"/>
    <x v="1"/>
    <s v="Surly Straggler 650b - 2016"/>
    <x v="1"/>
  </r>
  <r>
    <n v="618"/>
    <n v="1"/>
    <n v="17"/>
    <x v="1"/>
    <n v="429"/>
    <x v="3"/>
    <x v="13"/>
    <x v="1"/>
    <s v="Pure Cycles Vine 8-Speed - 2016"/>
    <x v="1"/>
  </r>
  <r>
    <n v="618"/>
    <n v="2"/>
    <n v="11"/>
    <x v="0"/>
    <n v="1680.99"/>
    <x v="1"/>
    <x v="19"/>
    <x v="1"/>
    <s v="Surly Straggler 650b - 2016"/>
    <x v="1"/>
  </r>
  <r>
    <n v="619"/>
    <n v="1"/>
    <n v="25"/>
    <x v="0"/>
    <n v="499.99"/>
    <x v="1"/>
    <x v="33"/>
    <x v="1"/>
    <s v="Electra Townie Original 7D - 2015/2016"/>
    <x v="1"/>
  </r>
  <r>
    <n v="620"/>
    <n v="1"/>
    <n v="5"/>
    <x v="1"/>
    <n v="1320.99"/>
    <x v="0"/>
    <x v="34"/>
    <x v="1"/>
    <s v="Heller Shagamaw Frame - 2016"/>
    <x v="1"/>
  </r>
  <r>
    <n v="621"/>
    <n v="1"/>
    <n v="17"/>
    <x v="1"/>
    <n v="429"/>
    <x v="1"/>
    <x v="13"/>
    <x v="1"/>
    <s v="Pure Cycles Vine 8-Speed - 2016"/>
    <x v="1"/>
  </r>
  <r>
    <n v="622"/>
    <n v="1"/>
    <n v="9"/>
    <x v="1"/>
    <n v="2999.99"/>
    <x v="1"/>
    <x v="11"/>
    <x v="1"/>
    <s v="Trek Conduit+ - 2016"/>
    <x v="1"/>
  </r>
  <r>
    <n v="622"/>
    <n v="2"/>
    <n v="18"/>
    <x v="0"/>
    <n v="449"/>
    <x v="3"/>
    <x v="8"/>
    <x v="1"/>
    <s v="Pure Cycles Western 3-Speed - Women's - 2015/2016"/>
    <x v="1"/>
  </r>
  <r>
    <n v="622"/>
    <n v="3"/>
    <n v="10"/>
    <x v="0"/>
    <n v="1549"/>
    <x v="0"/>
    <x v="27"/>
    <x v="1"/>
    <s v="Surly Straggler - 2016"/>
    <x v="1"/>
  </r>
  <r>
    <n v="622"/>
    <n v="4"/>
    <n v="25"/>
    <x v="0"/>
    <n v="499.99"/>
    <x v="1"/>
    <x v="33"/>
    <x v="1"/>
    <s v="Electra Townie Original 7D - 2015/2016"/>
    <x v="1"/>
  </r>
  <r>
    <n v="623"/>
    <n v="1"/>
    <n v="8"/>
    <x v="0"/>
    <n v="1799.99"/>
    <x v="1"/>
    <x v="16"/>
    <x v="1"/>
    <s v="Trek Remedy 29 Carbon Frameset - 2016"/>
    <x v="1"/>
  </r>
  <r>
    <n v="624"/>
    <n v="1"/>
    <n v="21"/>
    <x v="1"/>
    <n v="269.99"/>
    <x v="2"/>
    <x v="17"/>
    <x v="1"/>
    <s v="Electra Cruiser 1 (24-Inch) - 2016"/>
    <x v="1"/>
  </r>
  <r>
    <n v="624"/>
    <n v="2"/>
    <n v="16"/>
    <x v="0"/>
    <n v="599.99"/>
    <x v="1"/>
    <x v="0"/>
    <x v="1"/>
    <s v="Electra Townie Original 7D EQ - 2016"/>
    <x v="1"/>
  </r>
  <r>
    <n v="624"/>
    <n v="3"/>
    <n v="22"/>
    <x v="0"/>
    <n v="269.99"/>
    <x v="1"/>
    <x v="14"/>
    <x v="1"/>
    <s v="Electra Girl's Hawaii 1 (16-inch) - 2015/2016"/>
    <x v="1"/>
  </r>
  <r>
    <n v="624"/>
    <n v="4"/>
    <n v="14"/>
    <x v="1"/>
    <n v="269.99"/>
    <x v="0"/>
    <x v="17"/>
    <x v="1"/>
    <s v="Electra Girl's Hawaii 1 (16-inch) - 2015/2016"/>
    <x v="1"/>
  </r>
  <r>
    <n v="625"/>
    <n v="1"/>
    <n v="17"/>
    <x v="0"/>
    <n v="429"/>
    <x v="1"/>
    <x v="7"/>
    <x v="1"/>
    <s v="Pure Cycles Vine 8-Speed - 2016"/>
    <x v="0"/>
  </r>
  <r>
    <n v="625"/>
    <n v="2"/>
    <n v="11"/>
    <x v="1"/>
    <n v="1680.99"/>
    <x v="0"/>
    <x v="32"/>
    <x v="1"/>
    <s v="Surly Straggler 650b - 2016"/>
    <x v="0"/>
  </r>
  <r>
    <n v="625"/>
    <n v="3"/>
    <n v="26"/>
    <x v="0"/>
    <n v="599.99"/>
    <x v="1"/>
    <x v="0"/>
    <x v="1"/>
    <s v="Electra Townie Original 7D EQ - 2016"/>
    <x v="0"/>
  </r>
  <r>
    <n v="625"/>
    <n v="4"/>
    <n v="23"/>
    <x v="1"/>
    <n v="299.99"/>
    <x v="3"/>
    <x v="22"/>
    <x v="1"/>
    <s v="Electra Girl's Hawaii 1 (20-inch) - 2015/2016"/>
    <x v="0"/>
  </r>
  <r>
    <n v="626"/>
    <n v="1"/>
    <n v="15"/>
    <x v="0"/>
    <n v="529.99"/>
    <x v="0"/>
    <x v="12"/>
    <x v="1"/>
    <s v="Electra Moto 1 - 2016"/>
    <x v="1"/>
  </r>
  <r>
    <n v="627"/>
    <n v="1"/>
    <n v="19"/>
    <x v="0"/>
    <n v="449"/>
    <x v="1"/>
    <x v="8"/>
    <x v="1"/>
    <s v="Pure Cycles William 3-Speed - 2016"/>
    <x v="1"/>
  </r>
  <r>
    <n v="627"/>
    <n v="2"/>
    <n v="9"/>
    <x v="1"/>
    <n v="2999.99"/>
    <x v="0"/>
    <x v="11"/>
    <x v="1"/>
    <s v="Trek Conduit+ - 2016"/>
    <x v="1"/>
  </r>
  <r>
    <n v="627"/>
    <n v="3"/>
    <n v="26"/>
    <x v="0"/>
    <n v="599.99"/>
    <x v="1"/>
    <x v="0"/>
    <x v="1"/>
    <s v="Electra Townie Original 7D EQ - 2016"/>
    <x v="1"/>
  </r>
  <r>
    <n v="628"/>
    <n v="1"/>
    <n v="15"/>
    <x v="1"/>
    <n v="529.99"/>
    <x v="3"/>
    <x v="29"/>
    <x v="1"/>
    <s v="Electra Moto 1 - 2016"/>
    <x v="0"/>
  </r>
  <r>
    <n v="629"/>
    <n v="1"/>
    <n v="19"/>
    <x v="0"/>
    <n v="449"/>
    <x v="2"/>
    <x v="8"/>
    <x v="1"/>
    <s v="Pure Cycles William 3-Speed - 2016"/>
    <x v="0"/>
  </r>
  <r>
    <n v="629"/>
    <n v="2"/>
    <n v="5"/>
    <x v="1"/>
    <n v="1320.99"/>
    <x v="2"/>
    <x v="34"/>
    <x v="1"/>
    <s v="Heller Shagamaw Frame - 2016"/>
    <x v="0"/>
  </r>
  <r>
    <n v="629"/>
    <n v="3"/>
    <n v="23"/>
    <x v="1"/>
    <n v="299.99"/>
    <x v="3"/>
    <x v="22"/>
    <x v="1"/>
    <s v="Electra Girl's Hawaii 1 (20-inch) - 2015/2016"/>
    <x v="0"/>
  </r>
  <r>
    <n v="629"/>
    <n v="4"/>
    <n v="14"/>
    <x v="1"/>
    <n v="269.99"/>
    <x v="2"/>
    <x v="17"/>
    <x v="1"/>
    <s v="Electra Girl's Hawaii 1 (16-inch) - 2015/2016"/>
    <x v="0"/>
  </r>
  <r>
    <n v="629"/>
    <n v="5"/>
    <n v="6"/>
    <x v="1"/>
    <n v="469.99"/>
    <x v="3"/>
    <x v="35"/>
    <x v="1"/>
    <s v="Surly Ice Cream Truck Frameset - 2016"/>
    <x v="0"/>
  </r>
  <r>
    <n v="630"/>
    <n v="1"/>
    <n v="5"/>
    <x v="0"/>
    <n v="1320.99"/>
    <x v="2"/>
    <x v="24"/>
    <x v="1"/>
    <s v="Heller Shagamaw Frame - 2016"/>
    <x v="1"/>
  </r>
  <r>
    <n v="630"/>
    <n v="2"/>
    <n v="25"/>
    <x v="0"/>
    <n v="499.99"/>
    <x v="3"/>
    <x v="33"/>
    <x v="1"/>
    <s v="Electra Townie Original 7D - 2015/2016"/>
    <x v="1"/>
  </r>
  <r>
    <n v="630"/>
    <n v="3"/>
    <n v="18"/>
    <x v="1"/>
    <n v="449"/>
    <x v="3"/>
    <x v="21"/>
    <x v="1"/>
    <s v="Pure Cycles Western 3-Speed - Women's - 2015/2016"/>
    <x v="1"/>
  </r>
  <r>
    <n v="630"/>
    <n v="4"/>
    <n v="21"/>
    <x v="1"/>
    <n v="269.99"/>
    <x v="1"/>
    <x v="17"/>
    <x v="1"/>
    <s v="Electra Cruiser 1 (24-Inch) - 2016"/>
    <x v="1"/>
  </r>
  <r>
    <n v="631"/>
    <n v="1"/>
    <n v="24"/>
    <x v="1"/>
    <n v="549.99"/>
    <x v="1"/>
    <x v="9"/>
    <x v="1"/>
    <s v="Electra Townie Original 21D - 2016"/>
    <x v="0"/>
  </r>
  <r>
    <n v="631"/>
    <n v="2"/>
    <n v="15"/>
    <x v="1"/>
    <n v="529.99"/>
    <x v="1"/>
    <x v="29"/>
    <x v="1"/>
    <s v="Electra Moto 1 - 2016"/>
    <x v="0"/>
  </r>
  <r>
    <n v="632"/>
    <n v="1"/>
    <n v="25"/>
    <x v="0"/>
    <n v="499.99"/>
    <x v="0"/>
    <x v="33"/>
    <x v="1"/>
    <s v="Electra Townie Original 7D - 2015/2016"/>
    <x v="1"/>
  </r>
  <r>
    <n v="632"/>
    <n v="2"/>
    <n v="11"/>
    <x v="1"/>
    <n v="1680.99"/>
    <x v="3"/>
    <x v="32"/>
    <x v="1"/>
    <s v="Surly Straggler 650b - 2016"/>
    <x v="1"/>
  </r>
  <r>
    <n v="632"/>
    <n v="3"/>
    <n v="15"/>
    <x v="0"/>
    <n v="529.99"/>
    <x v="1"/>
    <x v="12"/>
    <x v="1"/>
    <s v="Electra Moto 1 - 2016"/>
    <x v="1"/>
  </r>
  <r>
    <n v="632"/>
    <n v="4"/>
    <n v="6"/>
    <x v="0"/>
    <n v="469.99"/>
    <x v="2"/>
    <x v="20"/>
    <x v="1"/>
    <s v="Surly Ice Cream Truck Frameset - 2016"/>
    <x v="1"/>
  </r>
  <r>
    <n v="632"/>
    <n v="5"/>
    <n v="22"/>
    <x v="1"/>
    <n v="269.99"/>
    <x v="3"/>
    <x v="17"/>
    <x v="1"/>
    <s v="Electra Girl's Hawaii 1 (16-inch) - 2015/2016"/>
    <x v="1"/>
  </r>
  <r>
    <n v="633"/>
    <n v="1"/>
    <n v="12"/>
    <x v="1"/>
    <n v="549.99"/>
    <x v="2"/>
    <x v="9"/>
    <x v="1"/>
    <s v="Electra Townie Original 21D - 2016"/>
    <x v="2"/>
  </r>
  <r>
    <n v="633"/>
    <n v="2"/>
    <n v="13"/>
    <x v="1"/>
    <n v="269.99"/>
    <x v="0"/>
    <x v="17"/>
    <x v="1"/>
    <s v="Electra Cruiser 1 (24-Inch) - 2016"/>
    <x v="2"/>
  </r>
  <r>
    <n v="633"/>
    <n v="3"/>
    <n v="5"/>
    <x v="1"/>
    <n v="1320.99"/>
    <x v="0"/>
    <x v="34"/>
    <x v="1"/>
    <s v="Heller Shagamaw Frame - 2016"/>
    <x v="2"/>
  </r>
  <r>
    <n v="633"/>
    <n v="4"/>
    <n v="10"/>
    <x v="1"/>
    <n v="1549"/>
    <x v="0"/>
    <x v="2"/>
    <x v="1"/>
    <s v="Surly Straggler - 2016"/>
    <x v="2"/>
  </r>
  <r>
    <n v="634"/>
    <n v="1"/>
    <n v="4"/>
    <x v="1"/>
    <n v="2899.99"/>
    <x v="2"/>
    <x v="18"/>
    <x v="1"/>
    <s v="Trek Fuel EX 8 29 - 2016"/>
    <x v="1"/>
  </r>
  <r>
    <n v="634"/>
    <n v="2"/>
    <n v="12"/>
    <x v="0"/>
    <n v="549.99"/>
    <x v="3"/>
    <x v="31"/>
    <x v="1"/>
    <s v="Electra Townie Original 21D - 2016"/>
    <x v="1"/>
  </r>
  <r>
    <n v="635"/>
    <n v="1"/>
    <n v="4"/>
    <x v="0"/>
    <n v="2899.99"/>
    <x v="2"/>
    <x v="4"/>
    <x v="1"/>
    <s v="Trek Fuel EX 8 29 - 2016"/>
    <x v="1"/>
  </r>
  <r>
    <n v="636"/>
    <n v="1"/>
    <n v="85"/>
    <x v="1"/>
    <n v="329.99"/>
    <x v="0"/>
    <x v="36"/>
    <x v="1"/>
    <s v="Haro Downtown 16 - 2017"/>
    <x v="0"/>
  </r>
  <r>
    <n v="637"/>
    <n v="1"/>
    <n v="9"/>
    <x v="0"/>
    <n v="2999.99"/>
    <x v="3"/>
    <x v="28"/>
    <x v="1"/>
    <s v="Trek Conduit+ - 2016"/>
    <x v="1"/>
  </r>
  <r>
    <n v="637"/>
    <n v="2"/>
    <n v="106"/>
    <x v="1"/>
    <n v="449.99"/>
    <x v="3"/>
    <x v="37"/>
    <x v="1"/>
    <s v="Sun Bicycles Cruz 3 - 2017"/>
    <x v="1"/>
  </r>
  <r>
    <n v="638"/>
    <n v="1"/>
    <n v="103"/>
    <x v="0"/>
    <n v="551.99"/>
    <x v="2"/>
    <x v="38"/>
    <x v="1"/>
    <s v="Sun Bicycles Streamway 3 - 2017"/>
    <x v="1"/>
  </r>
  <r>
    <n v="638"/>
    <n v="2"/>
    <n v="56"/>
    <x v="0"/>
    <n v="5499.99"/>
    <x v="0"/>
    <x v="39"/>
    <x v="1"/>
    <s v="Trek Domane SLR 6 Disc - 2017"/>
    <x v="1"/>
  </r>
  <r>
    <n v="638"/>
    <n v="3"/>
    <n v="53"/>
    <x v="1"/>
    <n v="749.99"/>
    <x v="2"/>
    <x v="6"/>
    <x v="1"/>
    <s v="Surly Ogre Frameset - 2017"/>
    <x v="1"/>
  </r>
  <r>
    <n v="639"/>
    <n v="1"/>
    <n v="15"/>
    <x v="0"/>
    <n v="529.99"/>
    <x v="1"/>
    <x v="12"/>
    <x v="1"/>
    <s v="Electra Moto 1 - 2016"/>
    <x v="1"/>
  </r>
  <r>
    <n v="639"/>
    <n v="2"/>
    <n v="73"/>
    <x v="0"/>
    <n v="749.99"/>
    <x v="2"/>
    <x v="30"/>
    <x v="1"/>
    <s v="Sun Bicycles Brickell Tandem 7 - 2017"/>
    <x v="1"/>
  </r>
  <r>
    <n v="639"/>
    <n v="3"/>
    <n v="72"/>
    <x v="0"/>
    <n v="619.99"/>
    <x v="2"/>
    <x v="40"/>
    <x v="1"/>
    <s v="Sun Bicycles Biscayne Tandem 7 - 2017"/>
    <x v="1"/>
  </r>
  <r>
    <n v="639"/>
    <n v="4"/>
    <n v="61"/>
    <x v="1"/>
    <n v="4999.99"/>
    <x v="3"/>
    <x v="41"/>
    <x v="1"/>
    <s v="Trek Powerfly 8 FS Plus - 2017"/>
    <x v="1"/>
  </r>
  <r>
    <n v="640"/>
    <n v="1"/>
    <n v="106"/>
    <x v="1"/>
    <n v="449.99"/>
    <x v="2"/>
    <x v="37"/>
    <x v="1"/>
    <s v="Sun Bicycles Cruz 3 - 2017"/>
    <x v="1"/>
  </r>
  <r>
    <n v="640"/>
    <n v="2"/>
    <n v="32"/>
    <x v="0"/>
    <n v="469.99"/>
    <x v="1"/>
    <x v="20"/>
    <x v="1"/>
    <s v="Trek Farley Alloy Frameset - 2017"/>
    <x v="1"/>
  </r>
  <r>
    <n v="640"/>
    <n v="3"/>
    <n v="30"/>
    <x v="0"/>
    <n v="999.99"/>
    <x v="1"/>
    <x v="5"/>
    <x v="1"/>
    <s v="Surly Ice Cream Truck Frameset - 2017"/>
    <x v="1"/>
  </r>
  <r>
    <n v="640"/>
    <n v="4"/>
    <n v="76"/>
    <x v="1"/>
    <n v="299.99"/>
    <x v="1"/>
    <x v="22"/>
    <x v="1"/>
    <s v="Electra Girl's Hawaii 1 16&quot; - 2017"/>
    <x v="1"/>
  </r>
  <r>
    <n v="640"/>
    <n v="5"/>
    <n v="109"/>
    <x v="1"/>
    <n v="416.99"/>
    <x v="0"/>
    <x v="42"/>
    <x v="1"/>
    <s v="Sun Bicycles Cruz 7 - Women's - 2017"/>
    <x v="1"/>
  </r>
  <r>
    <n v="641"/>
    <n v="1"/>
    <n v="15"/>
    <x v="0"/>
    <n v="529.99"/>
    <x v="2"/>
    <x v="12"/>
    <x v="1"/>
    <s v="Electra Moto 1 - 2016"/>
    <x v="0"/>
  </r>
  <r>
    <n v="641"/>
    <n v="2"/>
    <n v="62"/>
    <x v="0"/>
    <n v="3499.99"/>
    <x v="0"/>
    <x v="43"/>
    <x v="1"/>
    <s v="Trek Boone 7 - 2017"/>
    <x v="0"/>
  </r>
  <r>
    <n v="641"/>
    <n v="3"/>
    <n v="64"/>
    <x v="0"/>
    <n v="489.99"/>
    <x v="0"/>
    <x v="44"/>
    <x v="1"/>
    <s v="Electra Townie Original 7D - 2017"/>
    <x v="0"/>
  </r>
  <r>
    <n v="642"/>
    <n v="1"/>
    <n v="68"/>
    <x v="1"/>
    <n v="449.99"/>
    <x v="1"/>
    <x v="37"/>
    <x v="1"/>
    <s v="Sun Bicycles Cruz 3 - 2017"/>
    <x v="1"/>
  </r>
  <r>
    <n v="643"/>
    <n v="1"/>
    <n v="53"/>
    <x v="0"/>
    <n v="749.99"/>
    <x v="2"/>
    <x v="30"/>
    <x v="1"/>
    <s v="Surly Ogre Frameset - 2017"/>
    <x v="0"/>
  </r>
  <r>
    <n v="644"/>
    <n v="1"/>
    <n v="9"/>
    <x v="0"/>
    <n v="2999.99"/>
    <x v="1"/>
    <x v="28"/>
    <x v="1"/>
    <s v="Trek Conduit+ - 2016"/>
    <x v="1"/>
  </r>
  <r>
    <n v="645"/>
    <n v="1"/>
    <n v="99"/>
    <x v="0"/>
    <n v="299.99"/>
    <x v="1"/>
    <x v="23"/>
    <x v="1"/>
    <s v="Electra Sugar Skulls 1 (20-inch) - Girl's - 2017"/>
    <x v="1"/>
  </r>
  <r>
    <n v="645"/>
    <n v="2"/>
    <n v="42"/>
    <x v="1"/>
    <n v="2299.9899999999998"/>
    <x v="2"/>
    <x v="45"/>
    <x v="1"/>
    <s v="Trek Fuel EX 5 27.5 Plus - 2017"/>
    <x v="1"/>
  </r>
  <r>
    <n v="645"/>
    <n v="3"/>
    <n v="6"/>
    <x v="0"/>
    <n v="469.99"/>
    <x v="2"/>
    <x v="20"/>
    <x v="1"/>
    <s v="Surly Ice Cream Truck Frameset - 2016"/>
    <x v="1"/>
  </r>
  <r>
    <n v="645"/>
    <n v="4"/>
    <n v="47"/>
    <x v="1"/>
    <n v="5299.99"/>
    <x v="1"/>
    <x v="46"/>
    <x v="1"/>
    <s v="Trek Remedy 9.8 - 2017"/>
    <x v="1"/>
  </r>
  <r>
    <n v="645"/>
    <n v="5"/>
    <n v="21"/>
    <x v="1"/>
    <n v="269.99"/>
    <x v="1"/>
    <x v="17"/>
    <x v="1"/>
    <s v="Electra Cruiser 1 (24-Inch) - 2016"/>
    <x v="1"/>
  </r>
  <r>
    <n v="646"/>
    <n v="1"/>
    <n v="15"/>
    <x v="1"/>
    <n v="529.99"/>
    <x v="0"/>
    <x v="29"/>
    <x v="1"/>
    <s v="Electra Moto 1 - 2016"/>
    <x v="0"/>
  </r>
  <r>
    <n v="646"/>
    <n v="2"/>
    <n v="4"/>
    <x v="0"/>
    <n v="2899.99"/>
    <x v="1"/>
    <x v="4"/>
    <x v="1"/>
    <s v="Trek Fuel EX 8 29 - 2016"/>
    <x v="0"/>
  </r>
  <r>
    <n v="646"/>
    <n v="3"/>
    <n v="95"/>
    <x v="0"/>
    <n v="299.99"/>
    <x v="2"/>
    <x v="23"/>
    <x v="1"/>
    <s v="Electra Girl's Hawaii 1 16&quot; - 2017"/>
    <x v="0"/>
  </r>
  <r>
    <n v="646"/>
    <n v="4"/>
    <n v="12"/>
    <x v="0"/>
    <n v="549.99"/>
    <x v="0"/>
    <x v="31"/>
    <x v="1"/>
    <s v="Electra Townie Original 21D - 2016"/>
    <x v="0"/>
  </r>
  <r>
    <n v="647"/>
    <n v="1"/>
    <n v="25"/>
    <x v="1"/>
    <n v="499.99"/>
    <x v="1"/>
    <x v="26"/>
    <x v="1"/>
    <s v="Electra Townie Original 7D - 2015/2016"/>
    <x v="1"/>
  </r>
  <r>
    <n v="647"/>
    <n v="2"/>
    <n v="13"/>
    <x v="0"/>
    <n v="269.99"/>
    <x v="3"/>
    <x v="14"/>
    <x v="1"/>
    <s v="Electra Cruiser 1 (24-Inch) - 2016"/>
    <x v="1"/>
  </r>
  <r>
    <n v="648"/>
    <n v="1"/>
    <n v="24"/>
    <x v="0"/>
    <n v="549.99"/>
    <x v="1"/>
    <x v="31"/>
    <x v="1"/>
    <s v="Electra Townie Original 21D - 2016"/>
    <x v="1"/>
  </r>
  <r>
    <n v="649"/>
    <n v="1"/>
    <n v="97"/>
    <x v="1"/>
    <n v="349.99"/>
    <x v="3"/>
    <x v="47"/>
    <x v="1"/>
    <s v="Electra Savannah 3i (20-inch) - Girl's - 2017"/>
    <x v="0"/>
  </r>
  <r>
    <n v="649"/>
    <n v="2"/>
    <n v="90"/>
    <x v="0"/>
    <n v="209.99"/>
    <x v="1"/>
    <x v="48"/>
    <x v="1"/>
    <s v="Trek Precaliber 16 Girls - 2017"/>
    <x v="0"/>
  </r>
  <r>
    <n v="649"/>
    <n v="3"/>
    <n v="11"/>
    <x v="1"/>
    <n v="1680.99"/>
    <x v="3"/>
    <x v="32"/>
    <x v="1"/>
    <s v="Surly Straggler 650b - 2016"/>
    <x v="0"/>
  </r>
  <r>
    <n v="649"/>
    <n v="4"/>
    <n v="78"/>
    <x v="0"/>
    <n v="647.99"/>
    <x v="2"/>
    <x v="49"/>
    <x v="1"/>
    <s v="Sun Bicycles Biscayne Tandem CB - 2017"/>
    <x v="0"/>
  </r>
  <r>
    <n v="650"/>
    <n v="1"/>
    <n v="3"/>
    <x v="0"/>
    <n v="999.99"/>
    <x v="0"/>
    <x v="5"/>
    <x v="1"/>
    <s v="Surly Wednesday Frameset - 2016"/>
    <x v="0"/>
  </r>
  <r>
    <n v="651"/>
    <n v="1"/>
    <n v="79"/>
    <x v="0"/>
    <n v="402.99"/>
    <x v="3"/>
    <x v="50"/>
    <x v="1"/>
    <s v="Sun Bicycles Boardwalk (24-inch Wheels) - 2017"/>
    <x v="1"/>
  </r>
  <r>
    <n v="651"/>
    <n v="2"/>
    <n v="85"/>
    <x v="0"/>
    <n v="329.99"/>
    <x v="2"/>
    <x v="51"/>
    <x v="1"/>
    <s v="Haro Downtown 16 - 2017"/>
    <x v="1"/>
  </r>
  <r>
    <n v="651"/>
    <n v="3"/>
    <n v="102"/>
    <x v="1"/>
    <n v="489.99"/>
    <x v="2"/>
    <x v="52"/>
    <x v="1"/>
    <s v="Electra Townie Original 7D - 2017"/>
    <x v="1"/>
  </r>
  <r>
    <n v="651"/>
    <n v="4"/>
    <n v="94"/>
    <x v="1"/>
    <n v="249.99"/>
    <x v="2"/>
    <x v="53"/>
    <x v="1"/>
    <s v="Haro Shredder Pro 20 - 2017"/>
    <x v="1"/>
  </r>
  <r>
    <n v="652"/>
    <n v="1"/>
    <n v="102"/>
    <x v="0"/>
    <n v="489.99"/>
    <x v="3"/>
    <x v="44"/>
    <x v="1"/>
    <s v="Electra Townie Original 7D - 2017"/>
    <x v="2"/>
  </r>
  <r>
    <n v="652"/>
    <n v="2"/>
    <n v="62"/>
    <x v="1"/>
    <n v="3499.99"/>
    <x v="0"/>
    <x v="54"/>
    <x v="1"/>
    <s v="Trek Boone 7 - 2017"/>
    <x v="2"/>
  </r>
  <r>
    <n v="652"/>
    <n v="3"/>
    <n v="67"/>
    <x v="1"/>
    <n v="250.99"/>
    <x v="0"/>
    <x v="55"/>
    <x v="1"/>
    <s v="Sun Bicycles Revolutions 24 - Girl's - 2017"/>
    <x v="2"/>
  </r>
  <r>
    <n v="652"/>
    <n v="4"/>
    <n v="23"/>
    <x v="0"/>
    <n v="299.99"/>
    <x v="3"/>
    <x v="23"/>
    <x v="1"/>
    <s v="Electra Girl's Hawaii 1 (20-inch) - 2015/2016"/>
    <x v="2"/>
  </r>
  <r>
    <n v="652"/>
    <n v="5"/>
    <n v="74"/>
    <x v="0"/>
    <n v="439.99"/>
    <x v="2"/>
    <x v="56"/>
    <x v="1"/>
    <s v="Electra Cruiser Lux 1 - 2017"/>
    <x v="2"/>
  </r>
  <r>
    <n v="653"/>
    <n v="1"/>
    <n v="6"/>
    <x v="0"/>
    <n v="469.99"/>
    <x v="1"/>
    <x v="20"/>
    <x v="1"/>
    <s v="Surly Ice Cream Truck Frameset - 2016"/>
    <x v="0"/>
  </r>
  <r>
    <n v="653"/>
    <n v="2"/>
    <n v="43"/>
    <x v="0"/>
    <n v="5299.99"/>
    <x v="3"/>
    <x v="57"/>
    <x v="1"/>
    <s v="Trek Fuel EX 9.8 27.5 Plus - 2017"/>
    <x v="0"/>
  </r>
  <r>
    <n v="653"/>
    <n v="3"/>
    <n v="2"/>
    <x v="1"/>
    <n v="749.99"/>
    <x v="3"/>
    <x v="6"/>
    <x v="1"/>
    <s v="Ritchey Timberwolf Frameset - 2016"/>
    <x v="0"/>
  </r>
  <r>
    <n v="653"/>
    <n v="4"/>
    <n v="80"/>
    <x v="0"/>
    <n v="761.99"/>
    <x v="0"/>
    <x v="58"/>
    <x v="1"/>
    <s v="Sun Bicycles Brickell Tandem CB - 2017"/>
    <x v="0"/>
  </r>
  <r>
    <n v="653"/>
    <n v="5"/>
    <n v="88"/>
    <x v="1"/>
    <n v="189.99"/>
    <x v="1"/>
    <x v="59"/>
    <x v="1"/>
    <s v="Trek Precaliber 12 Girls - 2017"/>
    <x v="0"/>
  </r>
  <r>
    <n v="654"/>
    <n v="1"/>
    <n v="9"/>
    <x v="0"/>
    <n v="2999.99"/>
    <x v="3"/>
    <x v="28"/>
    <x v="1"/>
    <s v="Trek Conduit+ - 2016"/>
    <x v="1"/>
  </r>
  <r>
    <n v="654"/>
    <n v="2"/>
    <n v="95"/>
    <x v="0"/>
    <n v="299.99"/>
    <x v="3"/>
    <x v="23"/>
    <x v="1"/>
    <s v="Electra Girl's Hawaii 1 16&quot; - 2017"/>
    <x v="1"/>
  </r>
  <r>
    <n v="654"/>
    <n v="3"/>
    <n v="110"/>
    <x v="1"/>
    <n v="470.99"/>
    <x v="1"/>
    <x v="60"/>
    <x v="1"/>
    <s v="Sun Bicycles Drifter 7 - 2017"/>
    <x v="1"/>
  </r>
  <r>
    <n v="654"/>
    <n v="4"/>
    <n v="97"/>
    <x v="1"/>
    <n v="349.99"/>
    <x v="1"/>
    <x v="47"/>
    <x v="1"/>
    <s v="Electra Savannah 3i (20-inch) - Girl's - 2017"/>
    <x v="1"/>
  </r>
  <r>
    <n v="655"/>
    <n v="1"/>
    <n v="67"/>
    <x v="0"/>
    <n v="250.99"/>
    <x v="3"/>
    <x v="61"/>
    <x v="1"/>
    <s v="Sun Bicycles Revolutions 24 - Girl's - 2017"/>
    <x v="0"/>
  </r>
  <r>
    <n v="656"/>
    <n v="1"/>
    <n v="83"/>
    <x v="0"/>
    <n v="149.99"/>
    <x v="3"/>
    <x v="62"/>
    <x v="1"/>
    <s v="Trek Boy's Kickster - 2015/2017"/>
    <x v="1"/>
  </r>
  <r>
    <n v="656"/>
    <n v="2"/>
    <n v="22"/>
    <x v="0"/>
    <n v="269.99"/>
    <x v="1"/>
    <x v="14"/>
    <x v="1"/>
    <s v="Electra Girl's Hawaii 1 (16-inch) - 2015/2016"/>
    <x v="1"/>
  </r>
  <r>
    <n v="656"/>
    <n v="3"/>
    <n v="33"/>
    <x v="1"/>
    <n v="469.99"/>
    <x v="2"/>
    <x v="35"/>
    <x v="1"/>
    <s v="Surly Wednesday Frameset - 2017"/>
    <x v="1"/>
  </r>
  <r>
    <n v="657"/>
    <n v="1"/>
    <n v="52"/>
    <x v="0"/>
    <n v="875.99"/>
    <x v="2"/>
    <x v="63"/>
    <x v="1"/>
    <s v="Surly Steamroller - 2017"/>
    <x v="0"/>
  </r>
  <r>
    <n v="657"/>
    <n v="2"/>
    <n v="54"/>
    <x v="1"/>
    <n v="3199.99"/>
    <x v="2"/>
    <x v="64"/>
    <x v="1"/>
    <s v="Trek Domane SL Disc Frameset - 2017"/>
    <x v="0"/>
  </r>
  <r>
    <n v="658"/>
    <n v="1"/>
    <n v="49"/>
    <x v="1"/>
    <n v="3499.99"/>
    <x v="0"/>
    <x v="54"/>
    <x v="1"/>
    <s v="Trek Domane SL 6 - 2017"/>
    <x v="1"/>
  </r>
  <r>
    <n v="658"/>
    <n v="2"/>
    <n v="29"/>
    <x v="0"/>
    <n v="999.99"/>
    <x v="2"/>
    <x v="5"/>
    <x v="1"/>
    <s v="Trek X-Caliber 8 - 2017"/>
    <x v="1"/>
  </r>
  <r>
    <n v="658"/>
    <n v="3"/>
    <n v="9"/>
    <x v="0"/>
    <n v="2999.99"/>
    <x v="2"/>
    <x v="28"/>
    <x v="1"/>
    <s v="Trek Conduit+ - 2016"/>
    <x v="1"/>
  </r>
  <r>
    <n v="659"/>
    <n v="1"/>
    <n v="42"/>
    <x v="1"/>
    <n v="2299.9899999999998"/>
    <x v="2"/>
    <x v="45"/>
    <x v="1"/>
    <s v="Trek Fuel EX 5 27.5 Plus - 2017"/>
    <x v="1"/>
  </r>
  <r>
    <n v="659"/>
    <n v="2"/>
    <n v="39"/>
    <x v="1"/>
    <n v="1499.99"/>
    <x v="1"/>
    <x v="65"/>
    <x v="1"/>
    <s v="Trek Stache 5 - 2017"/>
    <x v="1"/>
  </r>
  <r>
    <n v="659"/>
    <n v="3"/>
    <n v="70"/>
    <x v="0"/>
    <n v="659.99"/>
    <x v="2"/>
    <x v="66"/>
    <x v="1"/>
    <s v="Electra Amsterdam Original 3i - 2015/2017"/>
    <x v="1"/>
  </r>
  <r>
    <n v="659"/>
    <n v="4"/>
    <n v="61"/>
    <x v="1"/>
    <n v="4999.99"/>
    <x v="1"/>
    <x v="41"/>
    <x v="1"/>
    <s v="Trek Powerfly 8 FS Plus - 2017"/>
    <x v="1"/>
  </r>
  <r>
    <n v="660"/>
    <n v="1"/>
    <n v="30"/>
    <x v="0"/>
    <n v="999.99"/>
    <x v="0"/>
    <x v="5"/>
    <x v="1"/>
    <s v="Surly Ice Cream Truck Frameset - 2017"/>
    <x v="1"/>
  </r>
  <r>
    <n v="660"/>
    <n v="2"/>
    <n v="59"/>
    <x v="1"/>
    <n v="2599.9899999999998"/>
    <x v="1"/>
    <x v="67"/>
    <x v="1"/>
    <s v="Trek Domane S 5 Disc - 2017"/>
    <x v="1"/>
  </r>
  <r>
    <n v="660"/>
    <n v="3"/>
    <n v="47"/>
    <x v="1"/>
    <n v="5299.99"/>
    <x v="2"/>
    <x v="46"/>
    <x v="1"/>
    <s v="Trek Remedy 9.8 - 2017"/>
    <x v="1"/>
  </r>
  <r>
    <n v="660"/>
    <n v="4"/>
    <n v="29"/>
    <x v="1"/>
    <n v="999.99"/>
    <x v="0"/>
    <x v="10"/>
    <x v="1"/>
    <s v="Trek X-Caliber 8 - 2017"/>
    <x v="1"/>
  </r>
  <r>
    <n v="661"/>
    <n v="1"/>
    <n v="63"/>
    <x v="1"/>
    <n v="3499.99"/>
    <x v="1"/>
    <x v="54"/>
    <x v="1"/>
    <s v="Trek Boone Race Shop Limited - 2017"/>
    <x v="1"/>
  </r>
  <r>
    <n v="661"/>
    <n v="2"/>
    <n v="22"/>
    <x v="1"/>
    <n v="269.99"/>
    <x v="2"/>
    <x v="17"/>
    <x v="1"/>
    <s v="Electra Girl's Hawaii 1 (16-inch) - 2015/2016"/>
    <x v="1"/>
  </r>
  <r>
    <n v="662"/>
    <n v="1"/>
    <n v="55"/>
    <x v="1"/>
    <n v="2699.99"/>
    <x v="3"/>
    <x v="68"/>
    <x v="1"/>
    <s v="Trek Domane S 6 - 2017"/>
    <x v="0"/>
  </r>
  <r>
    <n v="662"/>
    <n v="2"/>
    <n v="95"/>
    <x v="1"/>
    <n v="299.99"/>
    <x v="0"/>
    <x v="22"/>
    <x v="1"/>
    <s v="Electra Girl's Hawaii 1 16&quot; - 2017"/>
    <x v="0"/>
  </r>
  <r>
    <n v="662"/>
    <n v="3"/>
    <n v="102"/>
    <x v="1"/>
    <n v="489.99"/>
    <x v="1"/>
    <x v="52"/>
    <x v="1"/>
    <s v="Electra Townie Original 7D - 2017"/>
    <x v="0"/>
  </r>
  <r>
    <n v="662"/>
    <n v="4"/>
    <n v="22"/>
    <x v="0"/>
    <n v="269.99"/>
    <x v="1"/>
    <x v="14"/>
    <x v="1"/>
    <s v="Electra Girl's Hawaii 1 (16-inch) - 2015/2016"/>
    <x v="0"/>
  </r>
  <r>
    <n v="662"/>
    <n v="5"/>
    <n v="106"/>
    <x v="1"/>
    <n v="449.99"/>
    <x v="1"/>
    <x v="37"/>
    <x v="1"/>
    <s v="Sun Bicycles Cruz 3 - 2017"/>
    <x v="0"/>
  </r>
  <r>
    <n v="663"/>
    <n v="1"/>
    <n v="41"/>
    <x v="1"/>
    <n v="1469.99"/>
    <x v="2"/>
    <x v="69"/>
    <x v="1"/>
    <s v="Haro Shift R3 - 2017"/>
    <x v="0"/>
  </r>
  <r>
    <n v="663"/>
    <n v="2"/>
    <n v="17"/>
    <x v="1"/>
    <n v="429"/>
    <x v="0"/>
    <x v="13"/>
    <x v="1"/>
    <s v="Pure Cycles Vine 8-Speed - 2016"/>
    <x v="0"/>
  </r>
  <r>
    <n v="663"/>
    <n v="3"/>
    <n v="94"/>
    <x v="0"/>
    <n v="249.99"/>
    <x v="2"/>
    <x v="70"/>
    <x v="1"/>
    <s v="Haro Shredder Pro 20 - 2017"/>
    <x v="0"/>
  </r>
  <r>
    <n v="663"/>
    <n v="4"/>
    <n v="71"/>
    <x v="0"/>
    <n v="416.99"/>
    <x v="1"/>
    <x v="71"/>
    <x v="1"/>
    <s v="Sun Bicycles Atlas X-Type - 2017"/>
    <x v="0"/>
  </r>
  <r>
    <n v="663"/>
    <n v="5"/>
    <n v="106"/>
    <x v="0"/>
    <n v="449.99"/>
    <x v="0"/>
    <x v="72"/>
    <x v="1"/>
    <s v="Sun Bicycles Cruz 3 - 2017"/>
    <x v="0"/>
  </r>
  <r>
    <n v="664"/>
    <n v="1"/>
    <n v="52"/>
    <x v="1"/>
    <n v="875.99"/>
    <x v="1"/>
    <x v="73"/>
    <x v="1"/>
    <s v="Surly Steamroller - 2017"/>
    <x v="1"/>
  </r>
  <r>
    <n v="664"/>
    <n v="2"/>
    <n v="5"/>
    <x v="0"/>
    <n v="1320.99"/>
    <x v="1"/>
    <x v="24"/>
    <x v="1"/>
    <s v="Heller Shagamaw Frame - 2016"/>
    <x v="1"/>
  </r>
  <r>
    <n v="664"/>
    <n v="3"/>
    <n v="50"/>
    <x v="0"/>
    <n v="5999.99"/>
    <x v="0"/>
    <x v="74"/>
    <x v="1"/>
    <s v="Trek Silque SLR 7 Women's - 2017"/>
    <x v="1"/>
  </r>
  <r>
    <n v="664"/>
    <n v="4"/>
    <n v="101"/>
    <x v="1"/>
    <n v="339.99"/>
    <x v="0"/>
    <x v="75"/>
    <x v="1"/>
    <s v="Electra Townie 7D (20-inch) - Boys' - 2017"/>
    <x v="1"/>
  </r>
  <r>
    <n v="664"/>
    <n v="5"/>
    <n v="47"/>
    <x v="0"/>
    <n v="5299.99"/>
    <x v="1"/>
    <x v="57"/>
    <x v="1"/>
    <s v="Trek Remedy 9.8 - 2017"/>
    <x v="1"/>
  </r>
  <r>
    <n v="665"/>
    <n v="1"/>
    <n v="58"/>
    <x v="0"/>
    <n v="4999.99"/>
    <x v="1"/>
    <x v="76"/>
    <x v="1"/>
    <s v="Trek Madone 9.2 - 2017"/>
    <x v="1"/>
  </r>
  <r>
    <n v="665"/>
    <n v="2"/>
    <n v="42"/>
    <x v="1"/>
    <n v="2299.9899999999998"/>
    <x v="0"/>
    <x v="45"/>
    <x v="1"/>
    <s v="Trek Fuel EX 5 27.5 Plus - 2017"/>
    <x v="1"/>
  </r>
  <r>
    <n v="665"/>
    <n v="3"/>
    <n v="25"/>
    <x v="1"/>
    <n v="499.99"/>
    <x v="2"/>
    <x v="26"/>
    <x v="1"/>
    <s v="Electra Townie Original 7D - 2015/2016"/>
    <x v="1"/>
  </r>
  <r>
    <n v="666"/>
    <n v="1"/>
    <n v="98"/>
    <x v="1"/>
    <n v="489.99"/>
    <x v="0"/>
    <x v="52"/>
    <x v="1"/>
    <s v="Electra Straight 8 3i (20-inch) - Boy's - 2017"/>
    <x v="1"/>
  </r>
  <r>
    <n v="666"/>
    <n v="2"/>
    <n v="39"/>
    <x v="0"/>
    <n v="1499.99"/>
    <x v="2"/>
    <x v="77"/>
    <x v="1"/>
    <s v="Trek Stache 5 - 2017"/>
    <x v="1"/>
  </r>
  <r>
    <n v="667"/>
    <n v="1"/>
    <n v="79"/>
    <x v="0"/>
    <n v="402.99"/>
    <x v="0"/>
    <x v="50"/>
    <x v="1"/>
    <s v="Sun Bicycles Boardwalk (24-inch Wheels) - 2017"/>
    <x v="1"/>
  </r>
  <r>
    <n v="667"/>
    <n v="2"/>
    <n v="84"/>
    <x v="0"/>
    <n v="109.99"/>
    <x v="3"/>
    <x v="78"/>
    <x v="1"/>
    <s v="Sun Bicycles Lil Kitt'n - 2017"/>
    <x v="1"/>
  </r>
  <r>
    <n v="667"/>
    <n v="3"/>
    <n v="3"/>
    <x v="0"/>
    <n v="999.99"/>
    <x v="0"/>
    <x v="5"/>
    <x v="1"/>
    <s v="Surly Wednesday Frameset - 2016"/>
    <x v="1"/>
  </r>
  <r>
    <n v="667"/>
    <n v="4"/>
    <n v="99"/>
    <x v="0"/>
    <n v="299.99"/>
    <x v="3"/>
    <x v="23"/>
    <x v="1"/>
    <s v="Electra Sugar Skulls 1 (20-inch) - Girl's - 2017"/>
    <x v="1"/>
  </r>
  <r>
    <n v="667"/>
    <n v="5"/>
    <n v="85"/>
    <x v="0"/>
    <n v="329.99"/>
    <x v="2"/>
    <x v="51"/>
    <x v="1"/>
    <s v="Haro Downtown 16 - 2017"/>
    <x v="1"/>
  </r>
  <r>
    <n v="668"/>
    <n v="1"/>
    <n v="48"/>
    <x v="1"/>
    <n v="1499.99"/>
    <x v="2"/>
    <x v="65"/>
    <x v="1"/>
    <s v="Trek Emonda S 4 - 2017"/>
    <x v="2"/>
  </r>
  <r>
    <n v="668"/>
    <n v="2"/>
    <n v="19"/>
    <x v="1"/>
    <n v="449"/>
    <x v="3"/>
    <x v="21"/>
    <x v="1"/>
    <s v="Pure Cycles William 3-Speed - 2016"/>
    <x v="2"/>
  </r>
  <r>
    <n v="669"/>
    <n v="1"/>
    <n v="16"/>
    <x v="1"/>
    <n v="599.99"/>
    <x v="1"/>
    <x v="3"/>
    <x v="1"/>
    <s v="Electra Townie Original 7D EQ - 2016"/>
    <x v="1"/>
  </r>
  <r>
    <n v="669"/>
    <n v="2"/>
    <n v="72"/>
    <x v="0"/>
    <n v="619.99"/>
    <x v="1"/>
    <x v="40"/>
    <x v="1"/>
    <s v="Sun Bicycles Biscayne Tandem 7 - 2017"/>
    <x v="1"/>
  </r>
  <r>
    <n v="670"/>
    <n v="1"/>
    <n v="108"/>
    <x v="0"/>
    <n v="449.99"/>
    <x v="3"/>
    <x v="72"/>
    <x v="1"/>
    <s v="Sun Bicycles Cruz 3 - Women's - 2017"/>
    <x v="1"/>
  </r>
  <r>
    <n v="670"/>
    <n v="2"/>
    <n v="28"/>
    <x v="0"/>
    <n v="2499.9899999999998"/>
    <x v="1"/>
    <x v="79"/>
    <x v="1"/>
    <s v="Surly Karate Monkey 27.5+ Frameset - 2017"/>
    <x v="1"/>
  </r>
  <r>
    <n v="670"/>
    <n v="3"/>
    <n v="104"/>
    <x v="1"/>
    <n v="481.99"/>
    <x v="0"/>
    <x v="80"/>
    <x v="1"/>
    <s v="Sun Bicycles Streamway - 2017"/>
    <x v="1"/>
  </r>
  <r>
    <n v="670"/>
    <n v="4"/>
    <n v="45"/>
    <x v="1"/>
    <n v="869.99"/>
    <x v="2"/>
    <x v="81"/>
    <x v="1"/>
    <s v="Haro SR 1.2 - 2017"/>
    <x v="1"/>
  </r>
  <r>
    <n v="671"/>
    <n v="1"/>
    <n v="30"/>
    <x v="0"/>
    <n v="999.99"/>
    <x v="2"/>
    <x v="5"/>
    <x v="1"/>
    <s v="Surly Ice Cream Truck Frameset - 2017"/>
    <x v="1"/>
  </r>
  <r>
    <n v="671"/>
    <n v="2"/>
    <n v="69"/>
    <x v="0"/>
    <n v="416.99"/>
    <x v="2"/>
    <x v="71"/>
    <x v="1"/>
    <s v="Sun Bicycles Cruz 7 - 2017"/>
    <x v="1"/>
  </r>
  <r>
    <n v="671"/>
    <n v="3"/>
    <n v="55"/>
    <x v="0"/>
    <n v="2699.99"/>
    <x v="0"/>
    <x v="82"/>
    <x v="1"/>
    <s v="Trek Domane S 6 - 2017"/>
    <x v="1"/>
  </r>
  <r>
    <n v="671"/>
    <n v="4"/>
    <n v="4"/>
    <x v="0"/>
    <n v="2899.99"/>
    <x v="1"/>
    <x v="4"/>
    <x v="1"/>
    <s v="Trek Fuel EX 8 29 - 2016"/>
    <x v="1"/>
  </r>
  <r>
    <n v="671"/>
    <n v="5"/>
    <n v="109"/>
    <x v="1"/>
    <n v="416.99"/>
    <x v="1"/>
    <x v="42"/>
    <x v="1"/>
    <s v="Sun Bicycles Cruz 7 - Women's - 2017"/>
    <x v="1"/>
  </r>
  <r>
    <n v="672"/>
    <n v="1"/>
    <n v="51"/>
    <x v="1"/>
    <n v="6499.99"/>
    <x v="1"/>
    <x v="83"/>
    <x v="1"/>
    <s v="Trek Silque SLR 8 Women's - 2017"/>
    <x v="1"/>
  </r>
  <r>
    <n v="672"/>
    <n v="2"/>
    <n v="96"/>
    <x v="1"/>
    <n v="349.99"/>
    <x v="0"/>
    <x v="47"/>
    <x v="1"/>
    <s v="Electra Moto 3i (20-inch) - Boy's - 2017"/>
    <x v="1"/>
  </r>
  <r>
    <n v="672"/>
    <n v="3"/>
    <n v="48"/>
    <x v="1"/>
    <n v="1499.99"/>
    <x v="1"/>
    <x v="65"/>
    <x v="1"/>
    <s v="Trek Emonda S 4 - 2017"/>
    <x v="1"/>
  </r>
  <r>
    <n v="673"/>
    <n v="1"/>
    <n v="66"/>
    <x v="0"/>
    <n v="250.99"/>
    <x v="0"/>
    <x v="61"/>
    <x v="1"/>
    <s v="Sun Bicycles Revolutions 24 - 2017"/>
    <x v="2"/>
  </r>
  <r>
    <n v="673"/>
    <n v="2"/>
    <n v="38"/>
    <x v="0"/>
    <n v="549.99"/>
    <x v="0"/>
    <x v="31"/>
    <x v="1"/>
    <s v="Haro Flightline Two 26 Plus - 2017"/>
    <x v="2"/>
  </r>
  <r>
    <n v="673"/>
    <n v="3"/>
    <n v="5"/>
    <x v="0"/>
    <n v="1320.99"/>
    <x v="1"/>
    <x v="24"/>
    <x v="1"/>
    <s v="Heller Shagamaw Frame - 2016"/>
    <x v="2"/>
  </r>
  <r>
    <n v="673"/>
    <n v="4"/>
    <n v="13"/>
    <x v="0"/>
    <n v="269.99"/>
    <x v="3"/>
    <x v="14"/>
    <x v="1"/>
    <s v="Electra Cruiser 1 (24-Inch) - 2016"/>
    <x v="2"/>
  </r>
  <r>
    <n v="674"/>
    <n v="1"/>
    <n v="26"/>
    <x v="1"/>
    <n v="599.99"/>
    <x v="0"/>
    <x v="3"/>
    <x v="1"/>
    <s v="Electra Townie Original 7D EQ - 2016"/>
    <x v="1"/>
  </r>
  <r>
    <n v="675"/>
    <n v="1"/>
    <n v="17"/>
    <x v="0"/>
    <n v="429"/>
    <x v="2"/>
    <x v="7"/>
    <x v="1"/>
    <s v="Pure Cycles Vine 8-Speed - 2016"/>
    <x v="1"/>
  </r>
  <r>
    <n v="675"/>
    <n v="2"/>
    <n v="89"/>
    <x v="1"/>
    <n v="209.99"/>
    <x v="2"/>
    <x v="84"/>
    <x v="1"/>
    <s v="Trek Precaliber 16 Boys - 2017"/>
    <x v="1"/>
  </r>
  <r>
    <n v="675"/>
    <n v="3"/>
    <n v="19"/>
    <x v="0"/>
    <n v="449"/>
    <x v="1"/>
    <x v="8"/>
    <x v="1"/>
    <s v="Pure Cycles William 3-Speed - 2016"/>
    <x v="1"/>
  </r>
  <r>
    <n v="675"/>
    <n v="4"/>
    <n v="32"/>
    <x v="0"/>
    <n v="469.99"/>
    <x v="0"/>
    <x v="20"/>
    <x v="1"/>
    <s v="Trek Farley Alloy Frameset - 2017"/>
    <x v="1"/>
  </r>
  <r>
    <n v="676"/>
    <n v="1"/>
    <n v="70"/>
    <x v="0"/>
    <n v="659.99"/>
    <x v="0"/>
    <x v="66"/>
    <x v="1"/>
    <s v="Electra Amsterdam Original 3i - 2015/2017"/>
    <x v="1"/>
  </r>
  <r>
    <n v="676"/>
    <n v="2"/>
    <n v="104"/>
    <x v="1"/>
    <n v="481.99"/>
    <x v="1"/>
    <x v="80"/>
    <x v="1"/>
    <s v="Sun Bicycles Streamway - 2017"/>
    <x v="1"/>
  </r>
  <r>
    <n v="676"/>
    <n v="3"/>
    <n v="24"/>
    <x v="0"/>
    <n v="549.99"/>
    <x v="3"/>
    <x v="31"/>
    <x v="1"/>
    <s v="Electra Townie Original 21D - 2016"/>
    <x v="1"/>
  </r>
  <r>
    <n v="676"/>
    <n v="4"/>
    <n v="29"/>
    <x v="0"/>
    <n v="999.99"/>
    <x v="0"/>
    <x v="5"/>
    <x v="1"/>
    <s v="Trek X-Caliber 8 - 2017"/>
    <x v="1"/>
  </r>
  <r>
    <n v="677"/>
    <n v="1"/>
    <n v="75"/>
    <x v="0"/>
    <n v="599.99"/>
    <x v="1"/>
    <x v="0"/>
    <x v="1"/>
    <s v="Electra Cruiser Lux Fat Tire 1 Ladies - 2017"/>
    <x v="1"/>
  </r>
  <r>
    <n v="677"/>
    <n v="2"/>
    <n v="7"/>
    <x v="1"/>
    <n v="3999.99"/>
    <x v="1"/>
    <x v="15"/>
    <x v="1"/>
    <s v="Trek Slash 8 27.5 - 2016"/>
    <x v="1"/>
  </r>
  <r>
    <n v="677"/>
    <n v="3"/>
    <n v="105"/>
    <x v="1"/>
    <n v="533.99"/>
    <x v="1"/>
    <x v="85"/>
    <x v="1"/>
    <s v="Sun Bicycles Streamway 7 - 2017"/>
    <x v="1"/>
  </r>
  <r>
    <n v="677"/>
    <n v="4"/>
    <n v="91"/>
    <x v="1"/>
    <n v="349.99"/>
    <x v="2"/>
    <x v="47"/>
    <x v="1"/>
    <s v="Trek Precaliber 24 (21-Speed) - Girls - 2017"/>
    <x v="1"/>
  </r>
  <r>
    <n v="677"/>
    <n v="5"/>
    <n v="54"/>
    <x v="1"/>
    <n v="3199.99"/>
    <x v="3"/>
    <x v="64"/>
    <x v="1"/>
    <s v="Trek Domane SL Disc Frameset - 2017"/>
    <x v="1"/>
  </r>
  <r>
    <n v="678"/>
    <n v="1"/>
    <n v="52"/>
    <x v="1"/>
    <n v="875.99"/>
    <x v="2"/>
    <x v="73"/>
    <x v="1"/>
    <s v="Surly Steamroller - 2017"/>
    <x v="2"/>
  </r>
  <r>
    <n v="678"/>
    <n v="2"/>
    <n v="37"/>
    <x v="1"/>
    <n v="379.99"/>
    <x v="1"/>
    <x v="86"/>
    <x v="1"/>
    <s v="Haro Flightline One ST - 2017"/>
    <x v="2"/>
  </r>
  <r>
    <n v="679"/>
    <n v="1"/>
    <n v="15"/>
    <x v="1"/>
    <n v="529.99"/>
    <x v="0"/>
    <x v="29"/>
    <x v="1"/>
    <s v="Electra Moto 1 - 2016"/>
    <x v="0"/>
  </r>
  <r>
    <n v="679"/>
    <n v="2"/>
    <n v="83"/>
    <x v="1"/>
    <n v="149.99"/>
    <x v="2"/>
    <x v="87"/>
    <x v="1"/>
    <s v="Trek Boy's Kickster - 2015/2017"/>
    <x v="0"/>
  </r>
  <r>
    <n v="680"/>
    <n v="1"/>
    <n v="81"/>
    <x v="1"/>
    <n v="1099.99"/>
    <x v="2"/>
    <x v="88"/>
    <x v="1"/>
    <s v="Electra Amsterdam Fashion 7i Ladies' - 2017"/>
    <x v="0"/>
  </r>
  <r>
    <n v="680"/>
    <n v="2"/>
    <n v="7"/>
    <x v="0"/>
    <n v="3999.99"/>
    <x v="0"/>
    <x v="25"/>
    <x v="1"/>
    <s v="Trek Slash 8 27.5 - 2016"/>
    <x v="0"/>
  </r>
  <r>
    <n v="680"/>
    <n v="3"/>
    <n v="50"/>
    <x v="0"/>
    <n v="5999.99"/>
    <x v="1"/>
    <x v="74"/>
    <x v="1"/>
    <s v="Trek Silque SLR 7 Women's - 2017"/>
    <x v="0"/>
  </r>
  <r>
    <n v="681"/>
    <n v="1"/>
    <n v="82"/>
    <x v="0"/>
    <n v="659.99"/>
    <x v="2"/>
    <x v="66"/>
    <x v="1"/>
    <s v="Electra Amsterdam Original 3i Ladies' - 2017"/>
    <x v="1"/>
  </r>
  <r>
    <n v="681"/>
    <n v="2"/>
    <n v="63"/>
    <x v="0"/>
    <n v="3499.99"/>
    <x v="1"/>
    <x v="43"/>
    <x v="1"/>
    <s v="Trek Boone Race Shop Limited - 2017"/>
    <x v="1"/>
  </r>
  <r>
    <n v="681"/>
    <n v="3"/>
    <n v="61"/>
    <x v="0"/>
    <n v="4999.99"/>
    <x v="0"/>
    <x v="76"/>
    <x v="1"/>
    <s v="Trek Powerfly 8 FS Plus - 2017"/>
    <x v="1"/>
  </r>
  <r>
    <n v="681"/>
    <n v="4"/>
    <n v="6"/>
    <x v="1"/>
    <n v="469.99"/>
    <x v="2"/>
    <x v="35"/>
    <x v="1"/>
    <s v="Surly Ice Cream Truck Frameset - 2016"/>
    <x v="1"/>
  </r>
  <r>
    <n v="681"/>
    <n v="5"/>
    <n v="30"/>
    <x v="0"/>
    <n v="999.99"/>
    <x v="1"/>
    <x v="5"/>
    <x v="1"/>
    <s v="Surly Ice Cream Truck Frameset - 2017"/>
    <x v="1"/>
  </r>
  <r>
    <n v="682"/>
    <n v="1"/>
    <n v="39"/>
    <x v="0"/>
    <n v="1499.99"/>
    <x v="0"/>
    <x v="77"/>
    <x v="1"/>
    <s v="Trek Stache 5 - 2017"/>
    <x v="1"/>
  </r>
  <r>
    <n v="682"/>
    <n v="2"/>
    <n v="60"/>
    <x v="1"/>
    <n v="1559.99"/>
    <x v="0"/>
    <x v="89"/>
    <x v="1"/>
    <s v="Sun Bicycles ElectroLite - 2017"/>
    <x v="1"/>
  </r>
  <r>
    <n v="682"/>
    <n v="3"/>
    <n v="99"/>
    <x v="0"/>
    <n v="299.99"/>
    <x v="0"/>
    <x v="23"/>
    <x v="1"/>
    <s v="Electra Sugar Skulls 1 (20-inch) - Girl's - 2017"/>
    <x v="1"/>
  </r>
  <r>
    <n v="683"/>
    <n v="1"/>
    <n v="2"/>
    <x v="1"/>
    <n v="749.99"/>
    <x v="3"/>
    <x v="6"/>
    <x v="1"/>
    <s v="Ritchey Timberwolf Frameset - 2016"/>
    <x v="1"/>
  </r>
  <r>
    <n v="684"/>
    <n v="1"/>
    <n v="56"/>
    <x v="0"/>
    <n v="5499.99"/>
    <x v="1"/>
    <x v="39"/>
    <x v="1"/>
    <s v="Trek Domane SLR 6 Disc - 2017"/>
    <x v="1"/>
  </r>
  <r>
    <n v="684"/>
    <n v="2"/>
    <n v="33"/>
    <x v="0"/>
    <n v="469.99"/>
    <x v="3"/>
    <x v="20"/>
    <x v="1"/>
    <s v="Surly Wednesday Frameset - 2017"/>
    <x v="1"/>
  </r>
  <r>
    <n v="685"/>
    <n v="1"/>
    <n v="59"/>
    <x v="0"/>
    <n v="2599.9899999999998"/>
    <x v="2"/>
    <x v="90"/>
    <x v="1"/>
    <s v="Trek Domane S 5 Disc - 2017"/>
    <x v="1"/>
  </r>
  <r>
    <n v="685"/>
    <n v="2"/>
    <n v="48"/>
    <x v="1"/>
    <n v="1499.99"/>
    <x v="2"/>
    <x v="65"/>
    <x v="1"/>
    <s v="Trek Emonda S 4 - 2017"/>
    <x v="1"/>
  </r>
  <r>
    <n v="685"/>
    <n v="3"/>
    <n v="107"/>
    <x v="0"/>
    <n v="416.99"/>
    <x v="2"/>
    <x v="71"/>
    <x v="1"/>
    <s v="Sun Bicycles Cruz 7 - 2017"/>
    <x v="1"/>
  </r>
  <r>
    <n v="685"/>
    <n v="4"/>
    <n v="98"/>
    <x v="1"/>
    <n v="489.99"/>
    <x v="0"/>
    <x v="52"/>
    <x v="1"/>
    <s v="Electra Straight 8 3i (20-inch) - Boy's - 2017"/>
    <x v="1"/>
  </r>
  <r>
    <n v="685"/>
    <n v="5"/>
    <n v="56"/>
    <x v="1"/>
    <n v="5499.99"/>
    <x v="2"/>
    <x v="91"/>
    <x v="1"/>
    <s v="Trek Domane SLR 6 Disc - 2017"/>
    <x v="1"/>
  </r>
  <r>
    <n v="686"/>
    <n v="1"/>
    <n v="16"/>
    <x v="0"/>
    <n v="599.99"/>
    <x v="0"/>
    <x v="0"/>
    <x v="1"/>
    <s v="Electra Townie Original 7D EQ - 2016"/>
    <x v="1"/>
  </r>
  <r>
    <n v="686"/>
    <n v="2"/>
    <n v="30"/>
    <x v="0"/>
    <n v="999.99"/>
    <x v="3"/>
    <x v="5"/>
    <x v="1"/>
    <s v="Surly Ice Cream Truck Frameset - 2017"/>
    <x v="1"/>
  </r>
  <r>
    <n v="686"/>
    <n v="3"/>
    <n v="88"/>
    <x v="1"/>
    <n v="189.99"/>
    <x v="0"/>
    <x v="59"/>
    <x v="1"/>
    <s v="Trek Precaliber 12 Girls - 2017"/>
    <x v="1"/>
  </r>
  <r>
    <n v="686"/>
    <n v="4"/>
    <n v="19"/>
    <x v="1"/>
    <n v="449"/>
    <x v="0"/>
    <x v="21"/>
    <x v="1"/>
    <s v="Pure Cycles William 3-Speed - 2016"/>
    <x v="1"/>
  </r>
  <r>
    <n v="686"/>
    <n v="5"/>
    <n v="104"/>
    <x v="0"/>
    <n v="481.99"/>
    <x v="0"/>
    <x v="92"/>
    <x v="1"/>
    <s v="Sun Bicycles Streamway - 2017"/>
    <x v="1"/>
  </r>
  <r>
    <n v="687"/>
    <n v="1"/>
    <n v="48"/>
    <x v="1"/>
    <n v="1499.99"/>
    <x v="2"/>
    <x v="65"/>
    <x v="1"/>
    <s v="Trek Emonda S 4 - 2017"/>
    <x v="0"/>
  </r>
  <r>
    <n v="687"/>
    <n v="2"/>
    <n v="95"/>
    <x v="0"/>
    <n v="299.99"/>
    <x v="1"/>
    <x v="23"/>
    <x v="1"/>
    <s v="Electra Girl's Hawaii 1 16&quot; - 2017"/>
    <x v="0"/>
  </r>
  <r>
    <n v="687"/>
    <n v="3"/>
    <n v="5"/>
    <x v="1"/>
    <n v="1320.99"/>
    <x v="0"/>
    <x v="34"/>
    <x v="1"/>
    <s v="Heller Shagamaw Frame - 2016"/>
    <x v="0"/>
  </r>
  <r>
    <n v="687"/>
    <n v="4"/>
    <n v="83"/>
    <x v="0"/>
    <n v="149.99"/>
    <x v="1"/>
    <x v="62"/>
    <x v="1"/>
    <s v="Trek Boy's Kickster - 2015/2017"/>
    <x v="0"/>
  </r>
  <r>
    <n v="688"/>
    <n v="1"/>
    <n v="8"/>
    <x v="0"/>
    <n v="1799.99"/>
    <x v="3"/>
    <x v="16"/>
    <x v="1"/>
    <s v="Trek Remedy 29 Carbon Frameset - 2016"/>
    <x v="1"/>
  </r>
  <r>
    <n v="688"/>
    <n v="2"/>
    <n v="88"/>
    <x v="0"/>
    <n v="189.99"/>
    <x v="2"/>
    <x v="93"/>
    <x v="1"/>
    <s v="Trek Precaliber 12 Girls - 2017"/>
    <x v="1"/>
  </r>
  <r>
    <n v="689"/>
    <n v="1"/>
    <n v="33"/>
    <x v="1"/>
    <n v="469.99"/>
    <x v="3"/>
    <x v="35"/>
    <x v="1"/>
    <s v="Surly Wednesday Frameset - 2017"/>
    <x v="1"/>
  </r>
  <r>
    <n v="690"/>
    <n v="1"/>
    <n v="84"/>
    <x v="0"/>
    <n v="109.99"/>
    <x v="0"/>
    <x v="78"/>
    <x v="1"/>
    <s v="Sun Bicycles Lil Kitt'n - 2017"/>
    <x v="0"/>
  </r>
  <r>
    <n v="690"/>
    <n v="2"/>
    <n v="11"/>
    <x v="1"/>
    <n v="1680.99"/>
    <x v="1"/>
    <x v="32"/>
    <x v="1"/>
    <s v="Surly Straggler 650b - 2016"/>
    <x v="0"/>
  </r>
  <r>
    <n v="690"/>
    <n v="3"/>
    <n v="85"/>
    <x v="0"/>
    <n v="329.99"/>
    <x v="2"/>
    <x v="51"/>
    <x v="1"/>
    <s v="Haro Downtown 16 - 2017"/>
    <x v="0"/>
  </r>
  <r>
    <n v="690"/>
    <n v="4"/>
    <n v="109"/>
    <x v="1"/>
    <n v="416.99"/>
    <x v="0"/>
    <x v="42"/>
    <x v="1"/>
    <s v="Sun Bicycles Cruz 7 - Women's - 2017"/>
    <x v="0"/>
  </r>
  <r>
    <n v="691"/>
    <n v="1"/>
    <n v="23"/>
    <x v="1"/>
    <n v="299.99"/>
    <x v="2"/>
    <x v="22"/>
    <x v="1"/>
    <s v="Electra Girl's Hawaii 1 (20-inch) - 2015/2016"/>
    <x v="1"/>
  </r>
  <r>
    <n v="691"/>
    <n v="2"/>
    <n v="5"/>
    <x v="1"/>
    <n v="1320.99"/>
    <x v="3"/>
    <x v="34"/>
    <x v="1"/>
    <s v="Heller Shagamaw Frame - 2016"/>
    <x v="1"/>
  </r>
  <r>
    <n v="691"/>
    <n v="3"/>
    <n v="55"/>
    <x v="1"/>
    <n v="2699.99"/>
    <x v="0"/>
    <x v="68"/>
    <x v="1"/>
    <s v="Trek Domane S 6 - 2017"/>
    <x v="1"/>
  </r>
  <r>
    <n v="691"/>
    <n v="4"/>
    <n v="20"/>
    <x v="0"/>
    <n v="599.99"/>
    <x v="0"/>
    <x v="0"/>
    <x v="1"/>
    <s v="Electra Townie Original 7D EQ - Women's - 2016"/>
    <x v="1"/>
  </r>
  <r>
    <n v="692"/>
    <n v="1"/>
    <n v="59"/>
    <x v="0"/>
    <n v="2599.9899999999998"/>
    <x v="0"/>
    <x v="90"/>
    <x v="1"/>
    <s v="Trek Domane S 5 Disc - 2017"/>
    <x v="0"/>
  </r>
  <r>
    <n v="692"/>
    <n v="2"/>
    <n v="75"/>
    <x v="0"/>
    <n v="599.99"/>
    <x v="1"/>
    <x v="0"/>
    <x v="1"/>
    <s v="Electra Cruiser Lux Fat Tire 1 Ladies - 2017"/>
    <x v="0"/>
  </r>
  <r>
    <n v="692"/>
    <n v="3"/>
    <n v="15"/>
    <x v="1"/>
    <n v="529.99"/>
    <x v="1"/>
    <x v="29"/>
    <x v="1"/>
    <s v="Electra Moto 1 - 2016"/>
    <x v="0"/>
  </r>
  <r>
    <n v="692"/>
    <n v="4"/>
    <n v="56"/>
    <x v="1"/>
    <n v="5499.99"/>
    <x v="3"/>
    <x v="91"/>
    <x v="1"/>
    <s v="Trek Domane SLR 6 Disc - 2017"/>
    <x v="0"/>
  </r>
  <r>
    <n v="693"/>
    <n v="1"/>
    <n v="104"/>
    <x v="1"/>
    <n v="481.99"/>
    <x v="0"/>
    <x v="80"/>
    <x v="1"/>
    <s v="Sun Bicycles Streamway - 2017"/>
    <x v="0"/>
  </r>
  <r>
    <n v="693"/>
    <n v="2"/>
    <n v="13"/>
    <x v="0"/>
    <n v="269.99"/>
    <x v="0"/>
    <x v="14"/>
    <x v="1"/>
    <s v="Electra Cruiser 1 (24-Inch) - 2016"/>
    <x v="0"/>
  </r>
  <r>
    <n v="693"/>
    <n v="3"/>
    <n v="5"/>
    <x v="1"/>
    <n v="1320.99"/>
    <x v="2"/>
    <x v="34"/>
    <x v="1"/>
    <s v="Heller Shagamaw Frame - 2016"/>
    <x v="0"/>
  </r>
  <r>
    <n v="693"/>
    <n v="4"/>
    <n v="31"/>
    <x v="0"/>
    <n v="1632.99"/>
    <x v="1"/>
    <x v="94"/>
    <x v="1"/>
    <s v="Surly Wednesday - 2017"/>
    <x v="0"/>
  </r>
  <r>
    <n v="694"/>
    <n v="1"/>
    <n v="48"/>
    <x v="0"/>
    <n v="1499.99"/>
    <x v="0"/>
    <x v="77"/>
    <x v="1"/>
    <s v="Trek Emonda S 4 - 2017"/>
    <x v="1"/>
  </r>
  <r>
    <n v="694"/>
    <n v="2"/>
    <n v="39"/>
    <x v="0"/>
    <n v="1499.99"/>
    <x v="2"/>
    <x v="77"/>
    <x v="1"/>
    <s v="Trek Stache 5 - 2017"/>
    <x v="1"/>
  </r>
  <r>
    <n v="694"/>
    <n v="3"/>
    <n v="55"/>
    <x v="1"/>
    <n v="2699.99"/>
    <x v="3"/>
    <x v="68"/>
    <x v="1"/>
    <s v="Trek Domane S 6 - 2017"/>
    <x v="1"/>
  </r>
  <r>
    <n v="694"/>
    <n v="4"/>
    <n v="103"/>
    <x v="1"/>
    <n v="551.99"/>
    <x v="0"/>
    <x v="95"/>
    <x v="1"/>
    <s v="Sun Bicycles Streamway 3 - 2017"/>
    <x v="1"/>
  </r>
  <r>
    <n v="694"/>
    <n v="5"/>
    <n v="45"/>
    <x v="1"/>
    <n v="869.99"/>
    <x v="3"/>
    <x v="81"/>
    <x v="1"/>
    <s v="Haro SR 1.2 - 2017"/>
    <x v="1"/>
  </r>
  <r>
    <n v="695"/>
    <n v="1"/>
    <n v="82"/>
    <x v="1"/>
    <n v="659.99"/>
    <x v="3"/>
    <x v="96"/>
    <x v="1"/>
    <s v="Electra Amsterdam Original 3i Ladies' - 2017"/>
    <x v="1"/>
  </r>
  <r>
    <n v="695"/>
    <n v="2"/>
    <n v="57"/>
    <x v="1"/>
    <n v="1999.99"/>
    <x v="0"/>
    <x v="97"/>
    <x v="1"/>
    <s v="Trek Emonda S 5 - 2017"/>
    <x v="1"/>
  </r>
  <r>
    <n v="696"/>
    <n v="1"/>
    <n v="88"/>
    <x v="1"/>
    <n v="189.99"/>
    <x v="1"/>
    <x v="59"/>
    <x v="1"/>
    <s v="Trek Precaliber 12 Girls - 2017"/>
    <x v="1"/>
  </r>
  <r>
    <n v="696"/>
    <n v="2"/>
    <n v="7"/>
    <x v="0"/>
    <n v="3999.99"/>
    <x v="3"/>
    <x v="25"/>
    <x v="1"/>
    <s v="Trek Slash 8 27.5 - 2016"/>
    <x v="1"/>
  </r>
  <r>
    <n v="696"/>
    <n v="3"/>
    <n v="45"/>
    <x v="0"/>
    <n v="869.99"/>
    <x v="1"/>
    <x v="98"/>
    <x v="1"/>
    <s v="Haro SR 1.2 - 2017"/>
    <x v="1"/>
  </r>
  <r>
    <n v="697"/>
    <n v="1"/>
    <n v="5"/>
    <x v="1"/>
    <n v="1320.99"/>
    <x v="2"/>
    <x v="34"/>
    <x v="1"/>
    <s v="Heller Shagamaw Frame - 2016"/>
    <x v="0"/>
  </r>
  <r>
    <n v="698"/>
    <n v="1"/>
    <n v="96"/>
    <x v="0"/>
    <n v="349.99"/>
    <x v="1"/>
    <x v="99"/>
    <x v="1"/>
    <s v="Electra Moto 3i (20-inch) - Boy's - 2017"/>
    <x v="2"/>
  </r>
  <r>
    <n v="698"/>
    <n v="2"/>
    <n v="12"/>
    <x v="0"/>
    <n v="549.99"/>
    <x v="1"/>
    <x v="31"/>
    <x v="1"/>
    <s v="Electra Townie Original 21D - 2016"/>
    <x v="2"/>
  </r>
  <r>
    <n v="698"/>
    <n v="3"/>
    <n v="40"/>
    <x v="1"/>
    <n v="4999.99"/>
    <x v="2"/>
    <x v="41"/>
    <x v="1"/>
    <s v="Trek Fuel EX 9.8 29 - 2017"/>
    <x v="2"/>
  </r>
  <r>
    <n v="699"/>
    <n v="1"/>
    <n v="106"/>
    <x v="1"/>
    <n v="449.99"/>
    <x v="3"/>
    <x v="37"/>
    <x v="1"/>
    <s v="Sun Bicycles Cruz 3 - 2017"/>
    <x v="2"/>
  </r>
  <r>
    <n v="699"/>
    <n v="2"/>
    <n v="48"/>
    <x v="0"/>
    <n v="1499.99"/>
    <x v="1"/>
    <x v="77"/>
    <x v="1"/>
    <s v="Trek Emonda S 4 - 2017"/>
    <x v="2"/>
  </r>
  <r>
    <n v="699"/>
    <n v="3"/>
    <n v="31"/>
    <x v="0"/>
    <n v="1632.99"/>
    <x v="0"/>
    <x v="94"/>
    <x v="1"/>
    <s v="Surly Wednesday - 2017"/>
    <x v="2"/>
  </r>
  <r>
    <n v="699"/>
    <n v="4"/>
    <n v="24"/>
    <x v="1"/>
    <n v="549.99"/>
    <x v="3"/>
    <x v="9"/>
    <x v="1"/>
    <s v="Electra Townie Original 21D - 2016"/>
    <x v="2"/>
  </r>
  <r>
    <n v="699"/>
    <n v="5"/>
    <n v="82"/>
    <x v="1"/>
    <n v="659.99"/>
    <x v="0"/>
    <x v="96"/>
    <x v="1"/>
    <s v="Electra Amsterdam Original 3i Ladies' - 2017"/>
    <x v="2"/>
  </r>
  <r>
    <n v="700"/>
    <n v="1"/>
    <n v="7"/>
    <x v="1"/>
    <n v="3999.99"/>
    <x v="2"/>
    <x v="15"/>
    <x v="1"/>
    <s v="Trek Slash 8 27.5 - 2016"/>
    <x v="1"/>
  </r>
  <r>
    <n v="700"/>
    <n v="2"/>
    <n v="63"/>
    <x v="0"/>
    <n v="3499.99"/>
    <x v="0"/>
    <x v="43"/>
    <x v="1"/>
    <s v="Trek Boone Race Shop Limited - 2017"/>
    <x v="1"/>
  </r>
  <r>
    <n v="701"/>
    <n v="1"/>
    <n v="84"/>
    <x v="0"/>
    <n v="109.99"/>
    <x v="2"/>
    <x v="78"/>
    <x v="1"/>
    <s v="Sun Bicycles Lil Kitt'n - 2017"/>
    <x v="2"/>
  </r>
  <r>
    <n v="702"/>
    <n v="1"/>
    <n v="25"/>
    <x v="1"/>
    <n v="499.99"/>
    <x v="2"/>
    <x v="26"/>
    <x v="1"/>
    <s v="Electra Townie Original 7D - 2015/2016"/>
    <x v="0"/>
  </r>
  <r>
    <n v="702"/>
    <n v="2"/>
    <n v="104"/>
    <x v="0"/>
    <n v="481.99"/>
    <x v="3"/>
    <x v="92"/>
    <x v="1"/>
    <s v="Sun Bicycles Streamway - 2017"/>
    <x v="0"/>
  </r>
  <r>
    <n v="702"/>
    <n v="3"/>
    <n v="3"/>
    <x v="1"/>
    <n v="999.99"/>
    <x v="1"/>
    <x v="10"/>
    <x v="1"/>
    <s v="Surly Wednesday Frameset - 2016"/>
    <x v="0"/>
  </r>
  <r>
    <n v="703"/>
    <n v="1"/>
    <n v="45"/>
    <x v="1"/>
    <n v="869.99"/>
    <x v="0"/>
    <x v="81"/>
    <x v="1"/>
    <s v="Haro SR 1.2 - 2017"/>
    <x v="1"/>
  </r>
  <r>
    <n v="703"/>
    <n v="2"/>
    <n v="66"/>
    <x v="1"/>
    <n v="250.99"/>
    <x v="2"/>
    <x v="55"/>
    <x v="1"/>
    <s v="Sun Bicycles Revolutions 24 - 2017"/>
    <x v="1"/>
  </r>
  <r>
    <n v="703"/>
    <n v="3"/>
    <n v="72"/>
    <x v="0"/>
    <n v="619.99"/>
    <x v="0"/>
    <x v="40"/>
    <x v="1"/>
    <s v="Sun Bicycles Biscayne Tandem 7 - 2017"/>
    <x v="1"/>
  </r>
  <r>
    <n v="703"/>
    <n v="4"/>
    <n v="4"/>
    <x v="1"/>
    <n v="2899.99"/>
    <x v="0"/>
    <x v="18"/>
    <x v="1"/>
    <s v="Trek Fuel EX 8 29 - 2016"/>
    <x v="1"/>
  </r>
  <r>
    <n v="704"/>
    <n v="1"/>
    <n v="10"/>
    <x v="1"/>
    <n v="1549"/>
    <x v="2"/>
    <x v="2"/>
    <x v="1"/>
    <s v="Surly Straggler - 2016"/>
    <x v="1"/>
  </r>
  <r>
    <n v="704"/>
    <n v="2"/>
    <n v="62"/>
    <x v="0"/>
    <n v="3499.99"/>
    <x v="0"/>
    <x v="43"/>
    <x v="1"/>
    <s v="Trek Boone 7 - 2017"/>
    <x v="1"/>
  </r>
  <r>
    <n v="704"/>
    <n v="3"/>
    <n v="100"/>
    <x v="1"/>
    <n v="489.99"/>
    <x v="1"/>
    <x v="52"/>
    <x v="1"/>
    <s v="Electra Townie 3i EQ (20-inch) - Boys' - 2017"/>
    <x v="1"/>
  </r>
  <r>
    <n v="705"/>
    <n v="1"/>
    <n v="61"/>
    <x v="0"/>
    <n v="4999.99"/>
    <x v="3"/>
    <x v="76"/>
    <x v="1"/>
    <s v="Trek Powerfly 8 FS Plus - 2017"/>
    <x v="1"/>
  </r>
  <r>
    <n v="706"/>
    <n v="1"/>
    <n v="27"/>
    <x v="0"/>
    <n v="999.99"/>
    <x v="3"/>
    <x v="5"/>
    <x v="1"/>
    <s v="Surly Big Dummy Frameset - 2017"/>
    <x v="0"/>
  </r>
  <r>
    <n v="706"/>
    <n v="2"/>
    <n v="23"/>
    <x v="1"/>
    <n v="299.99"/>
    <x v="2"/>
    <x v="22"/>
    <x v="1"/>
    <s v="Electra Girl's Hawaii 1 (20-inch) - 2015/2016"/>
    <x v="0"/>
  </r>
  <r>
    <n v="706"/>
    <n v="3"/>
    <n v="60"/>
    <x v="0"/>
    <n v="1559.99"/>
    <x v="0"/>
    <x v="100"/>
    <x v="1"/>
    <s v="Sun Bicycles ElectroLite - 2017"/>
    <x v="0"/>
  </r>
  <r>
    <n v="707"/>
    <n v="1"/>
    <n v="106"/>
    <x v="1"/>
    <n v="449.99"/>
    <x v="2"/>
    <x v="37"/>
    <x v="1"/>
    <s v="Sun Bicycles Cruz 3 - 2017"/>
    <x v="1"/>
  </r>
  <r>
    <n v="707"/>
    <n v="2"/>
    <n v="100"/>
    <x v="0"/>
    <n v="489.99"/>
    <x v="1"/>
    <x v="44"/>
    <x v="1"/>
    <s v="Electra Townie 3i EQ (20-inch) - Boys' - 2017"/>
    <x v="1"/>
  </r>
  <r>
    <n v="707"/>
    <n v="3"/>
    <n v="11"/>
    <x v="1"/>
    <n v="1680.99"/>
    <x v="3"/>
    <x v="32"/>
    <x v="1"/>
    <s v="Surly Straggler 650b - 2016"/>
    <x v="1"/>
  </r>
  <r>
    <n v="707"/>
    <n v="4"/>
    <n v="26"/>
    <x v="1"/>
    <n v="599.99"/>
    <x v="3"/>
    <x v="3"/>
    <x v="1"/>
    <s v="Electra Townie Original 7D EQ - 2016"/>
    <x v="1"/>
  </r>
  <r>
    <n v="708"/>
    <n v="1"/>
    <n v="6"/>
    <x v="0"/>
    <n v="469.99"/>
    <x v="1"/>
    <x v="20"/>
    <x v="1"/>
    <s v="Surly Ice Cream Truck Frameset - 2016"/>
    <x v="0"/>
  </r>
  <r>
    <n v="708"/>
    <n v="2"/>
    <n v="47"/>
    <x v="0"/>
    <n v="5299.99"/>
    <x v="3"/>
    <x v="57"/>
    <x v="1"/>
    <s v="Trek Remedy 9.8 - 2017"/>
    <x v="0"/>
  </r>
  <r>
    <n v="708"/>
    <n v="3"/>
    <n v="34"/>
    <x v="1"/>
    <n v="469.99"/>
    <x v="0"/>
    <x v="35"/>
    <x v="1"/>
    <s v="Trek Session DH 27.5 Carbon Frameset - 2017"/>
    <x v="0"/>
  </r>
  <r>
    <n v="709"/>
    <n v="1"/>
    <n v="55"/>
    <x v="1"/>
    <n v="2699.99"/>
    <x v="2"/>
    <x v="68"/>
    <x v="1"/>
    <s v="Trek Domane S 6 - 2017"/>
    <x v="1"/>
  </r>
  <r>
    <n v="709"/>
    <n v="2"/>
    <n v="101"/>
    <x v="1"/>
    <n v="339.99"/>
    <x v="1"/>
    <x v="75"/>
    <x v="1"/>
    <s v="Electra Townie 7D (20-inch) - Boys' - 2017"/>
    <x v="1"/>
  </r>
  <r>
    <n v="709"/>
    <n v="3"/>
    <n v="48"/>
    <x v="0"/>
    <n v="1499.99"/>
    <x v="1"/>
    <x v="77"/>
    <x v="1"/>
    <s v="Trek Emonda S 4 - 2017"/>
    <x v="1"/>
  </r>
  <r>
    <n v="710"/>
    <n v="1"/>
    <n v="42"/>
    <x v="0"/>
    <n v="2299.9899999999998"/>
    <x v="2"/>
    <x v="101"/>
    <x v="1"/>
    <s v="Trek Fuel EX 5 27.5 Plus - 2017"/>
    <x v="1"/>
  </r>
  <r>
    <n v="710"/>
    <n v="2"/>
    <n v="60"/>
    <x v="1"/>
    <n v="1559.99"/>
    <x v="0"/>
    <x v="89"/>
    <x v="1"/>
    <s v="Sun Bicycles ElectroLite - 2017"/>
    <x v="1"/>
  </r>
  <r>
    <n v="710"/>
    <n v="3"/>
    <n v="39"/>
    <x v="1"/>
    <n v="1499.99"/>
    <x v="0"/>
    <x v="65"/>
    <x v="1"/>
    <s v="Trek Stache 5 - 2017"/>
    <x v="1"/>
  </r>
  <r>
    <n v="710"/>
    <n v="4"/>
    <n v="57"/>
    <x v="0"/>
    <n v="1999.99"/>
    <x v="0"/>
    <x v="102"/>
    <x v="1"/>
    <s v="Trek Emonda S 5 - 2017"/>
    <x v="1"/>
  </r>
  <r>
    <n v="710"/>
    <n v="5"/>
    <n v="28"/>
    <x v="0"/>
    <n v="2499.9899999999998"/>
    <x v="2"/>
    <x v="79"/>
    <x v="1"/>
    <s v="Surly Karate Monkey 27.5+ Frameset - 2017"/>
    <x v="1"/>
  </r>
  <r>
    <n v="711"/>
    <n v="1"/>
    <n v="5"/>
    <x v="1"/>
    <n v="1320.99"/>
    <x v="2"/>
    <x v="34"/>
    <x v="1"/>
    <s v="Heller Shagamaw Frame - 2016"/>
    <x v="1"/>
  </r>
  <r>
    <n v="711"/>
    <n v="2"/>
    <n v="95"/>
    <x v="1"/>
    <n v="299.99"/>
    <x v="0"/>
    <x v="22"/>
    <x v="1"/>
    <s v="Electra Girl's Hawaii 1 16&quot; - 2017"/>
    <x v="1"/>
  </r>
  <r>
    <n v="711"/>
    <n v="3"/>
    <n v="72"/>
    <x v="1"/>
    <n v="619.99"/>
    <x v="2"/>
    <x v="103"/>
    <x v="1"/>
    <s v="Sun Bicycles Biscayne Tandem 7 - 2017"/>
    <x v="1"/>
  </r>
  <r>
    <n v="712"/>
    <n v="1"/>
    <n v="44"/>
    <x v="1"/>
    <n v="539.99"/>
    <x v="0"/>
    <x v="104"/>
    <x v="1"/>
    <s v="Haro SR 1.1 - 2017"/>
    <x v="2"/>
  </r>
  <r>
    <n v="712"/>
    <n v="2"/>
    <n v="74"/>
    <x v="1"/>
    <n v="439.99"/>
    <x v="3"/>
    <x v="105"/>
    <x v="1"/>
    <s v="Electra Cruiser Lux 1 - 2017"/>
    <x v="2"/>
  </r>
  <r>
    <n v="712"/>
    <n v="3"/>
    <n v="35"/>
    <x v="0"/>
    <n v="832.99"/>
    <x v="0"/>
    <x v="106"/>
    <x v="1"/>
    <s v="Sun Bicycles Spider 3i - 2017"/>
    <x v="2"/>
  </r>
  <r>
    <n v="712"/>
    <n v="4"/>
    <n v="76"/>
    <x v="0"/>
    <n v="299.99"/>
    <x v="0"/>
    <x v="23"/>
    <x v="1"/>
    <s v="Electra Girl's Hawaii 1 16&quot; - 2017"/>
    <x v="2"/>
  </r>
  <r>
    <n v="712"/>
    <n v="5"/>
    <n v="4"/>
    <x v="1"/>
    <n v="2899.99"/>
    <x v="2"/>
    <x v="18"/>
    <x v="1"/>
    <s v="Trek Fuel EX 8 29 - 2016"/>
    <x v="2"/>
  </r>
  <r>
    <n v="713"/>
    <n v="1"/>
    <n v="93"/>
    <x v="1"/>
    <n v="209.99"/>
    <x v="0"/>
    <x v="84"/>
    <x v="1"/>
    <s v="Haro Shredder 20 Girls - 2017"/>
    <x v="2"/>
  </r>
  <r>
    <n v="713"/>
    <n v="2"/>
    <n v="97"/>
    <x v="1"/>
    <n v="349.99"/>
    <x v="3"/>
    <x v="47"/>
    <x v="1"/>
    <s v="Electra Savannah 3i (20-inch) - Girl's - 2017"/>
    <x v="2"/>
  </r>
  <r>
    <n v="713"/>
    <n v="3"/>
    <n v="53"/>
    <x v="0"/>
    <n v="749.99"/>
    <x v="1"/>
    <x v="30"/>
    <x v="1"/>
    <s v="Surly Ogre Frameset - 2017"/>
    <x v="2"/>
  </r>
  <r>
    <n v="713"/>
    <n v="4"/>
    <n v="108"/>
    <x v="1"/>
    <n v="449.99"/>
    <x v="1"/>
    <x v="37"/>
    <x v="1"/>
    <s v="Sun Bicycles Cruz 3 - Women's - 2017"/>
    <x v="2"/>
  </r>
  <r>
    <n v="714"/>
    <n v="1"/>
    <n v="92"/>
    <x v="1"/>
    <n v="209.99"/>
    <x v="0"/>
    <x v="84"/>
    <x v="1"/>
    <s v="Haro Shredder 20 - 2017"/>
    <x v="1"/>
  </r>
  <r>
    <n v="715"/>
    <n v="1"/>
    <n v="61"/>
    <x v="1"/>
    <n v="4999.99"/>
    <x v="3"/>
    <x v="41"/>
    <x v="1"/>
    <s v="Trek Powerfly 8 FS Plus - 2017"/>
    <x v="1"/>
  </r>
  <r>
    <n v="715"/>
    <n v="2"/>
    <n v="50"/>
    <x v="0"/>
    <n v="5999.99"/>
    <x v="0"/>
    <x v="74"/>
    <x v="1"/>
    <s v="Trek Silque SLR 7 Women's - 2017"/>
    <x v="1"/>
  </r>
  <r>
    <n v="716"/>
    <n v="1"/>
    <n v="111"/>
    <x v="1"/>
    <n v="470.99"/>
    <x v="3"/>
    <x v="60"/>
    <x v="1"/>
    <s v="Sun Bicycles Drifter 7 - Women's - 2017"/>
    <x v="1"/>
  </r>
  <r>
    <n v="716"/>
    <n v="2"/>
    <n v="93"/>
    <x v="1"/>
    <n v="209.99"/>
    <x v="1"/>
    <x v="84"/>
    <x v="1"/>
    <s v="Haro Shredder 20 Girls - 2017"/>
    <x v="1"/>
  </r>
  <r>
    <n v="716"/>
    <n v="3"/>
    <n v="79"/>
    <x v="0"/>
    <n v="402.99"/>
    <x v="3"/>
    <x v="50"/>
    <x v="1"/>
    <s v="Sun Bicycles Boardwalk (24-inch Wheels) - 2017"/>
    <x v="1"/>
  </r>
  <r>
    <n v="716"/>
    <n v="4"/>
    <n v="4"/>
    <x v="1"/>
    <n v="2899.99"/>
    <x v="2"/>
    <x v="18"/>
    <x v="1"/>
    <s v="Trek Fuel EX 8 29 - 2016"/>
    <x v="1"/>
  </r>
  <r>
    <n v="717"/>
    <n v="1"/>
    <n v="56"/>
    <x v="1"/>
    <n v="5499.99"/>
    <x v="2"/>
    <x v="91"/>
    <x v="1"/>
    <s v="Trek Domane SLR 6 Disc - 2017"/>
    <x v="1"/>
  </r>
  <r>
    <n v="717"/>
    <n v="2"/>
    <n v="93"/>
    <x v="0"/>
    <n v="209.99"/>
    <x v="0"/>
    <x v="48"/>
    <x v="1"/>
    <s v="Haro Shredder 20 Girls - 2017"/>
    <x v="1"/>
  </r>
  <r>
    <n v="718"/>
    <n v="1"/>
    <n v="92"/>
    <x v="1"/>
    <n v="209.99"/>
    <x v="1"/>
    <x v="84"/>
    <x v="1"/>
    <s v="Haro Shredder 20 - 2017"/>
    <x v="1"/>
  </r>
  <r>
    <n v="718"/>
    <n v="2"/>
    <n v="40"/>
    <x v="1"/>
    <n v="4999.99"/>
    <x v="1"/>
    <x v="41"/>
    <x v="1"/>
    <s v="Trek Fuel EX 9.8 29 - 2017"/>
    <x v="1"/>
  </r>
  <r>
    <n v="718"/>
    <n v="3"/>
    <n v="64"/>
    <x v="1"/>
    <n v="489.99"/>
    <x v="3"/>
    <x v="52"/>
    <x v="1"/>
    <s v="Electra Townie Original 7D - 2017"/>
    <x v="1"/>
  </r>
  <r>
    <n v="719"/>
    <n v="1"/>
    <n v="100"/>
    <x v="0"/>
    <n v="489.99"/>
    <x v="0"/>
    <x v="44"/>
    <x v="1"/>
    <s v="Electra Townie 3i EQ (20-inch) - Boys' - 2017"/>
    <x v="1"/>
  </r>
  <r>
    <n v="720"/>
    <n v="1"/>
    <n v="111"/>
    <x v="0"/>
    <n v="470.99"/>
    <x v="1"/>
    <x v="107"/>
    <x v="1"/>
    <s v="Sun Bicycles Drifter 7 - Women's - 2017"/>
    <x v="1"/>
  </r>
  <r>
    <n v="720"/>
    <n v="2"/>
    <n v="6"/>
    <x v="0"/>
    <n v="469.99"/>
    <x v="3"/>
    <x v="20"/>
    <x v="1"/>
    <s v="Surly Ice Cream Truck Frameset - 2016"/>
    <x v="1"/>
  </r>
  <r>
    <n v="721"/>
    <n v="1"/>
    <n v="45"/>
    <x v="1"/>
    <n v="869.99"/>
    <x v="1"/>
    <x v="81"/>
    <x v="1"/>
    <s v="Haro SR 1.2 - 2017"/>
    <x v="1"/>
  </r>
  <r>
    <n v="721"/>
    <n v="2"/>
    <n v="102"/>
    <x v="0"/>
    <n v="489.99"/>
    <x v="3"/>
    <x v="44"/>
    <x v="1"/>
    <s v="Electra Townie Original 7D - 2017"/>
    <x v="1"/>
  </r>
  <r>
    <n v="721"/>
    <n v="3"/>
    <n v="73"/>
    <x v="1"/>
    <n v="749.99"/>
    <x v="2"/>
    <x v="6"/>
    <x v="1"/>
    <s v="Sun Bicycles Brickell Tandem 7 - 2017"/>
    <x v="1"/>
  </r>
  <r>
    <n v="721"/>
    <n v="4"/>
    <n v="33"/>
    <x v="0"/>
    <n v="469.99"/>
    <x v="0"/>
    <x v="20"/>
    <x v="1"/>
    <s v="Surly Wednesday Frameset - 2017"/>
    <x v="1"/>
  </r>
  <r>
    <n v="722"/>
    <n v="1"/>
    <n v="22"/>
    <x v="1"/>
    <n v="269.99"/>
    <x v="1"/>
    <x v="17"/>
    <x v="1"/>
    <s v="Electra Girl's Hawaii 1 (16-inch) - 2015/2016"/>
    <x v="1"/>
  </r>
  <r>
    <n v="722"/>
    <n v="2"/>
    <n v="3"/>
    <x v="0"/>
    <n v="999.99"/>
    <x v="2"/>
    <x v="5"/>
    <x v="1"/>
    <s v="Surly Wednesday Frameset - 2016"/>
    <x v="1"/>
  </r>
  <r>
    <n v="722"/>
    <n v="3"/>
    <n v="104"/>
    <x v="1"/>
    <n v="481.99"/>
    <x v="3"/>
    <x v="80"/>
    <x v="1"/>
    <s v="Sun Bicycles Streamway - 2017"/>
    <x v="1"/>
  </r>
  <r>
    <n v="723"/>
    <n v="1"/>
    <n v="24"/>
    <x v="1"/>
    <n v="549.99"/>
    <x v="1"/>
    <x v="9"/>
    <x v="1"/>
    <s v="Electra Townie Original 21D - 2016"/>
    <x v="1"/>
  </r>
  <r>
    <n v="723"/>
    <n v="2"/>
    <n v="16"/>
    <x v="0"/>
    <n v="599.99"/>
    <x v="2"/>
    <x v="0"/>
    <x v="1"/>
    <s v="Electra Townie Original 7D EQ - 2016"/>
    <x v="1"/>
  </r>
  <r>
    <n v="723"/>
    <n v="3"/>
    <n v="108"/>
    <x v="0"/>
    <n v="449.99"/>
    <x v="1"/>
    <x v="72"/>
    <x v="1"/>
    <s v="Sun Bicycles Cruz 3 - Women's - 2017"/>
    <x v="1"/>
  </r>
  <r>
    <n v="724"/>
    <n v="1"/>
    <n v="23"/>
    <x v="0"/>
    <n v="299.99"/>
    <x v="2"/>
    <x v="23"/>
    <x v="1"/>
    <s v="Electra Girl's Hawaii 1 (20-inch) - 2015/2016"/>
    <x v="1"/>
  </r>
  <r>
    <n v="724"/>
    <n v="2"/>
    <n v="75"/>
    <x v="0"/>
    <n v="599.99"/>
    <x v="0"/>
    <x v="0"/>
    <x v="1"/>
    <s v="Electra Cruiser Lux Fat Tire 1 Ladies - 2017"/>
    <x v="1"/>
  </r>
  <r>
    <n v="724"/>
    <n v="3"/>
    <n v="102"/>
    <x v="0"/>
    <n v="489.99"/>
    <x v="2"/>
    <x v="44"/>
    <x v="1"/>
    <s v="Electra Townie Original 7D - 2017"/>
    <x v="1"/>
  </r>
  <r>
    <n v="724"/>
    <n v="4"/>
    <n v="55"/>
    <x v="0"/>
    <n v="2699.99"/>
    <x v="0"/>
    <x v="82"/>
    <x v="1"/>
    <s v="Trek Domane S 6 - 2017"/>
    <x v="1"/>
  </r>
  <r>
    <n v="725"/>
    <n v="1"/>
    <n v="90"/>
    <x v="0"/>
    <n v="209.99"/>
    <x v="3"/>
    <x v="48"/>
    <x v="1"/>
    <s v="Trek Precaliber 16 Girls - 2017"/>
    <x v="1"/>
  </r>
  <r>
    <n v="725"/>
    <n v="2"/>
    <n v="91"/>
    <x v="0"/>
    <n v="349.99"/>
    <x v="2"/>
    <x v="99"/>
    <x v="1"/>
    <s v="Trek Precaliber 24 (21-Speed) - Girls - 2017"/>
    <x v="1"/>
  </r>
  <r>
    <n v="725"/>
    <n v="3"/>
    <n v="77"/>
    <x v="1"/>
    <n v="799.99"/>
    <x v="1"/>
    <x v="108"/>
    <x v="1"/>
    <s v="Electra Glam Punk 3i Ladies' - 2017"/>
    <x v="1"/>
  </r>
  <r>
    <n v="725"/>
    <n v="4"/>
    <n v="62"/>
    <x v="1"/>
    <n v="3499.99"/>
    <x v="3"/>
    <x v="54"/>
    <x v="1"/>
    <s v="Trek Boone 7 - 2017"/>
    <x v="1"/>
  </r>
  <r>
    <n v="726"/>
    <n v="1"/>
    <n v="64"/>
    <x v="0"/>
    <n v="489.99"/>
    <x v="0"/>
    <x v="44"/>
    <x v="1"/>
    <s v="Electra Townie Original 7D - 2017"/>
    <x v="1"/>
  </r>
  <r>
    <n v="727"/>
    <n v="1"/>
    <n v="78"/>
    <x v="0"/>
    <n v="647.99"/>
    <x v="1"/>
    <x v="49"/>
    <x v="1"/>
    <s v="Sun Bicycles Biscayne Tandem CB - 2017"/>
    <x v="2"/>
  </r>
  <r>
    <n v="727"/>
    <n v="2"/>
    <n v="82"/>
    <x v="1"/>
    <n v="659.99"/>
    <x v="2"/>
    <x v="96"/>
    <x v="1"/>
    <s v="Electra Amsterdam Original 3i Ladies' - 2017"/>
    <x v="2"/>
  </r>
  <r>
    <n v="728"/>
    <n v="1"/>
    <n v="70"/>
    <x v="0"/>
    <n v="659.99"/>
    <x v="2"/>
    <x v="66"/>
    <x v="1"/>
    <s v="Electra Amsterdam Original 3i - 2015/2017"/>
    <x v="0"/>
  </r>
  <r>
    <n v="728"/>
    <n v="2"/>
    <n v="56"/>
    <x v="0"/>
    <n v="5499.99"/>
    <x v="3"/>
    <x v="39"/>
    <x v="1"/>
    <s v="Trek Domane SLR 6 Disc - 2017"/>
    <x v="0"/>
  </r>
  <r>
    <n v="728"/>
    <n v="3"/>
    <n v="91"/>
    <x v="0"/>
    <n v="349.99"/>
    <x v="3"/>
    <x v="99"/>
    <x v="1"/>
    <s v="Trek Precaliber 24 (21-Speed) - Girls - 2017"/>
    <x v="0"/>
  </r>
  <r>
    <n v="728"/>
    <n v="4"/>
    <n v="58"/>
    <x v="0"/>
    <n v="4999.99"/>
    <x v="1"/>
    <x v="76"/>
    <x v="1"/>
    <s v="Trek Madone 9.2 - 2017"/>
    <x v="0"/>
  </r>
  <r>
    <n v="729"/>
    <n v="1"/>
    <n v="101"/>
    <x v="1"/>
    <n v="339.99"/>
    <x v="3"/>
    <x v="75"/>
    <x v="1"/>
    <s v="Electra Townie 7D (20-inch) - Boys' - 2017"/>
    <x v="1"/>
  </r>
  <r>
    <n v="730"/>
    <n v="1"/>
    <n v="59"/>
    <x v="1"/>
    <n v="2599.9899999999998"/>
    <x v="2"/>
    <x v="67"/>
    <x v="1"/>
    <s v="Trek Domane S 5 Disc - 2017"/>
    <x v="1"/>
  </r>
  <r>
    <n v="730"/>
    <n v="2"/>
    <n v="79"/>
    <x v="0"/>
    <n v="402.99"/>
    <x v="3"/>
    <x v="50"/>
    <x v="1"/>
    <s v="Sun Bicycles Boardwalk (24-inch Wheels) - 2017"/>
    <x v="1"/>
  </r>
  <r>
    <n v="730"/>
    <n v="3"/>
    <n v="96"/>
    <x v="1"/>
    <n v="349.99"/>
    <x v="1"/>
    <x v="47"/>
    <x v="1"/>
    <s v="Electra Moto 3i (20-inch) - Boy's - 2017"/>
    <x v="1"/>
  </r>
  <r>
    <n v="730"/>
    <n v="4"/>
    <n v="13"/>
    <x v="0"/>
    <n v="269.99"/>
    <x v="3"/>
    <x v="14"/>
    <x v="1"/>
    <s v="Electra Cruiser 1 (24-Inch) - 2016"/>
    <x v="1"/>
  </r>
  <r>
    <n v="731"/>
    <n v="1"/>
    <n v="91"/>
    <x v="0"/>
    <n v="349.99"/>
    <x v="2"/>
    <x v="99"/>
    <x v="1"/>
    <s v="Trek Precaliber 24 (21-Speed) - Girls - 2017"/>
    <x v="2"/>
  </r>
  <r>
    <n v="731"/>
    <n v="2"/>
    <n v="49"/>
    <x v="0"/>
    <n v="3499.99"/>
    <x v="0"/>
    <x v="43"/>
    <x v="1"/>
    <s v="Trek Domane SL 6 - 2017"/>
    <x v="2"/>
  </r>
  <r>
    <n v="731"/>
    <n v="3"/>
    <n v="67"/>
    <x v="1"/>
    <n v="250.99"/>
    <x v="0"/>
    <x v="55"/>
    <x v="1"/>
    <s v="Sun Bicycles Revolutions 24 - Girl's - 2017"/>
    <x v="2"/>
  </r>
  <r>
    <n v="731"/>
    <n v="4"/>
    <n v="29"/>
    <x v="0"/>
    <n v="999.99"/>
    <x v="0"/>
    <x v="5"/>
    <x v="1"/>
    <s v="Trek X-Caliber 8 - 2017"/>
    <x v="2"/>
  </r>
  <r>
    <n v="732"/>
    <n v="1"/>
    <n v="47"/>
    <x v="0"/>
    <n v="5299.99"/>
    <x v="1"/>
    <x v="57"/>
    <x v="1"/>
    <s v="Trek Remedy 9.8 - 2017"/>
    <x v="1"/>
  </r>
  <r>
    <n v="732"/>
    <n v="2"/>
    <n v="4"/>
    <x v="1"/>
    <n v="2899.99"/>
    <x v="1"/>
    <x v="18"/>
    <x v="1"/>
    <s v="Trek Fuel EX 8 29 - 2016"/>
    <x v="1"/>
  </r>
  <r>
    <n v="733"/>
    <n v="1"/>
    <n v="84"/>
    <x v="0"/>
    <n v="109.99"/>
    <x v="2"/>
    <x v="78"/>
    <x v="1"/>
    <s v="Sun Bicycles Lil Kitt'n - 2017"/>
    <x v="1"/>
  </r>
  <r>
    <n v="733"/>
    <n v="2"/>
    <n v="55"/>
    <x v="0"/>
    <n v="2699.99"/>
    <x v="0"/>
    <x v="82"/>
    <x v="1"/>
    <s v="Trek Domane S 6 - 2017"/>
    <x v="1"/>
  </r>
  <r>
    <n v="733"/>
    <n v="3"/>
    <n v="102"/>
    <x v="1"/>
    <n v="489.99"/>
    <x v="3"/>
    <x v="52"/>
    <x v="1"/>
    <s v="Electra Townie Original 7D - 2017"/>
    <x v="1"/>
  </r>
  <r>
    <n v="734"/>
    <n v="1"/>
    <n v="26"/>
    <x v="0"/>
    <n v="599.99"/>
    <x v="0"/>
    <x v="0"/>
    <x v="1"/>
    <s v="Electra Townie Original 7D EQ - 2016"/>
    <x v="2"/>
  </r>
  <r>
    <n v="734"/>
    <n v="2"/>
    <n v="3"/>
    <x v="0"/>
    <n v="999.99"/>
    <x v="2"/>
    <x v="5"/>
    <x v="1"/>
    <s v="Surly Wednesday Frameset - 2016"/>
    <x v="2"/>
  </r>
  <r>
    <n v="734"/>
    <n v="3"/>
    <n v="84"/>
    <x v="1"/>
    <n v="109.99"/>
    <x v="0"/>
    <x v="109"/>
    <x v="1"/>
    <s v="Sun Bicycles Lil Kitt'n - 2017"/>
    <x v="2"/>
  </r>
  <r>
    <n v="734"/>
    <n v="4"/>
    <n v="65"/>
    <x v="1"/>
    <n v="346.99"/>
    <x v="3"/>
    <x v="110"/>
    <x v="1"/>
    <s v="Sun Bicycles Lil Bolt Type-R - 2017"/>
    <x v="2"/>
  </r>
  <r>
    <n v="735"/>
    <n v="1"/>
    <n v="71"/>
    <x v="1"/>
    <n v="416.99"/>
    <x v="3"/>
    <x v="42"/>
    <x v="1"/>
    <s v="Sun Bicycles Atlas X-Type - 2017"/>
    <x v="2"/>
  </r>
  <r>
    <n v="735"/>
    <n v="2"/>
    <n v="10"/>
    <x v="1"/>
    <n v="1549"/>
    <x v="1"/>
    <x v="2"/>
    <x v="1"/>
    <s v="Surly Straggler - 2016"/>
    <x v="2"/>
  </r>
  <r>
    <n v="736"/>
    <n v="1"/>
    <n v="56"/>
    <x v="1"/>
    <n v="5499.99"/>
    <x v="2"/>
    <x v="91"/>
    <x v="1"/>
    <s v="Trek Domane SLR 6 Disc - 2017"/>
    <x v="1"/>
  </r>
  <r>
    <n v="736"/>
    <n v="2"/>
    <n v="17"/>
    <x v="0"/>
    <n v="429"/>
    <x v="3"/>
    <x v="7"/>
    <x v="1"/>
    <s v="Pure Cycles Vine 8-Speed - 2016"/>
    <x v="1"/>
  </r>
  <r>
    <n v="736"/>
    <n v="3"/>
    <n v="62"/>
    <x v="1"/>
    <n v="3499.99"/>
    <x v="0"/>
    <x v="54"/>
    <x v="1"/>
    <s v="Trek Boone 7 - 2017"/>
    <x v="1"/>
  </r>
  <r>
    <n v="737"/>
    <n v="1"/>
    <n v="52"/>
    <x v="0"/>
    <n v="875.99"/>
    <x v="2"/>
    <x v="63"/>
    <x v="1"/>
    <s v="Surly Steamroller - 2017"/>
    <x v="1"/>
  </r>
  <r>
    <n v="737"/>
    <n v="2"/>
    <n v="19"/>
    <x v="1"/>
    <n v="449"/>
    <x v="1"/>
    <x v="21"/>
    <x v="1"/>
    <s v="Pure Cycles William 3-Speed - 2016"/>
    <x v="1"/>
  </r>
  <r>
    <n v="737"/>
    <n v="3"/>
    <n v="77"/>
    <x v="1"/>
    <n v="799.99"/>
    <x v="1"/>
    <x v="108"/>
    <x v="1"/>
    <s v="Electra Glam Punk 3i Ladies' - 2017"/>
    <x v="1"/>
  </r>
  <r>
    <n v="737"/>
    <n v="4"/>
    <n v="34"/>
    <x v="0"/>
    <n v="469.99"/>
    <x v="0"/>
    <x v="20"/>
    <x v="1"/>
    <s v="Trek Session DH 27.5 Carbon Frameset - 2017"/>
    <x v="1"/>
  </r>
  <r>
    <n v="738"/>
    <n v="1"/>
    <n v="82"/>
    <x v="1"/>
    <n v="659.99"/>
    <x v="1"/>
    <x v="96"/>
    <x v="1"/>
    <s v="Electra Amsterdam Original 3i Ladies' - 2017"/>
    <x v="0"/>
  </r>
  <r>
    <n v="738"/>
    <n v="2"/>
    <n v="38"/>
    <x v="1"/>
    <n v="549.99"/>
    <x v="0"/>
    <x v="9"/>
    <x v="1"/>
    <s v="Haro Flightline Two 26 Plus - 2017"/>
    <x v="0"/>
  </r>
  <r>
    <n v="738"/>
    <n v="3"/>
    <n v="25"/>
    <x v="0"/>
    <n v="499.99"/>
    <x v="3"/>
    <x v="33"/>
    <x v="1"/>
    <s v="Electra Townie Original 7D - 2015/2016"/>
    <x v="0"/>
  </r>
  <r>
    <n v="738"/>
    <n v="4"/>
    <n v="63"/>
    <x v="0"/>
    <n v="3499.99"/>
    <x v="1"/>
    <x v="43"/>
    <x v="1"/>
    <s v="Trek Boone Race Shop Limited - 2017"/>
    <x v="0"/>
  </r>
  <r>
    <n v="739"/>
    <n v="1"/>
    <n v="3"/>
    <x v="0"/>
    <n v="999.99"/>
    <x v="0"/>
    <x v="5"/>
    <x v="1"/>
    <s v="Surly Wednesday Frameset - 2016"/>
    <x v="1"/>
  </r>
  <r>
    <n v="740"/>
    <n v="1"/>
    <n v="81"/>
    <x v="0"/>
    <n v="1099.99"/>
    <x v="2"/>
    <x v="111"/>
    <x v="1"/>
    <s v="Electra Amsterdam Fashion 7i Ladies' - 2017"/>
    <x v="1"/>
  </r>
  <r>
    <n v="740"/>
    <n v="2"/>
    <n v="94"/>
    <x v="1"/>
    <n v="249.99"/>
    <x v="0"/>
    <x v="53"/>
    <x v="1"/>
    <s v="Haro Shredder Pro 20 - 2017"/>
    <x v="1"/>
  </r>
  <r>
    <n v="740"/>
    <n v="3"/>
    <n v="11"/>
    <x v="0"/>
    <n v="1680.99"/>
    <x v="0"/>
    <x v="19"/>
    <x v="1"/>
    <s v="Surly Straggler 650b - 2016"/>
    <x v="1"/>
  </r>
  <r>
    <n v="740"/>
    <n v="4"/>
    <n v="19"/>
    <x v="0"/>
    <n v="449"/>
    <x v="0"/>
    <x v="8"/>
    <x v="1"/>
    <s v="Pure Cycles William 3-Speed - 2016"/>
    <x v="1"/>
  </r>
  <r>
    <n v="740"/>
    <n v="5"/>
    <n v="12"/>
    <x v="1"/>
    <n v="549.99"/>
    <x v="1"/>
    <x v="9"/>
    <x v="1"/>
    <s v="Electra Townie Original 21D - 2016"/>
    <x v="1"/>
  </r>
  <r>
    <n v="741"/>
    <n v="1"/>
    <n v="58"/>
    <x v="0"/>
    <n v="4999.99"/>
    <x v="2"/>
    <x v="76"/>
    <x v="1"/>
    <s v="Trek Madone 9.2 - 2017"/>
    <x v="2"/>
  </r>
  <r>
    <n v="741"/>
    <n v="2"/>
    <n v="76"/>
    <x v="0"/>
    <n v="299.99"/>
    <x v="1"/>
    <x v="23"/>
    <x v="1"/>
    <s v="Electra Girl's Hawaii 1 16&quot; - 2017"/>
    <x v="2"/>
  </r>
  <r>
    <n v="741"/>
    <n v="3"/>
    <n v="21"/>
    <x v="1"/>
    <n v="269.99"/>
    <x v="1"/>
    <x v="17"/>
    <x v="1"/>
    <s v="Electra Cruiser 1 (24-Inch) - 2016"/>
    <x v="2"/>
  </r>
  <r>
    <n v="741"/>
    <n v="4"/>
    <n v="56"/>
    <x v="1"/>
    <n v="5499.99"/>
    <x v="2"/>
    <x v="91"/>
    <x v="1"/>
    <s v="Trek Domane SLR 6 Disc - 2017"/>
    <x v="2"/>
  </r>
  <r>
    <n v="742"/>
    <n v="1"/>
    <n v="107"/>
    <x v="1"/>
    <n v="416.99"/>
    <x v="2"/>
    <x v="42"/>
    <x v="1"/>
    <s v="Sun Bicycles Cruz 7 - 2017"/>
    <x v="2"/>
  </r>
  <r>
    <n v="742"/>
    <n v="2"/>
    <n v="45"/>
    <x v="0"/>
    <n v="869.99"/>
    <x v="1"/>
    <x v="98"/>
    <x v="1"/>
    <s v="Haro SR 1.2 - 2017"/>
    <x v="2"/>
  </r>
  <r>
    <n v="743"/>
    <n v="1"/>
    <n v="80"/>
    <x v="0"/>
    <n v="761.99"/>
    <x v="2"/>
    <x v="58"/>
    <x v="1"/>
    <s v="Sun Bicycles Brickell Tandem CB - 2017"/>
    <x v="1"/>
  </r>
  <r>
    <n v="744"/>
    <n v="1"/>
    <n v="33"/>
    <x v="1"/>
    <n v="469.99"/>
    <x v="0"/>
    <x v="35"/>
    <x v="1"/>
    <s v="Surly Wednesday Frameset - 2017"/>
    <x v="1"/>
  </r>
  <r>
    <n v="745"/>
    <n v="1"/>
    <n v="95"/>
    <x v="1"/>
    <n v="299.99"/>
    <x v="2"/>
    <x v="22"/>
    <x v="1"/>
    <s v="Electra Girl's Hawaii 1 16&quot; - 2017"/>
    <x v="1"/>
  </r>
  <r>
    <n v="745"/>
    <n v="2"/>
    <n v="22"/>
    <x v="1"/>
    <n v="269.99"/>
    <x v="0"/>
    <x v="17"/>
    <x v="1"/>
    <s v="Electra Girl's Hawaii 1 (16-inch) - 2015/2016"/>
    <x v="1"/>
  </r>
  <r>
    <n v="745"/>
    <n v="3"/>
    <n v="78"/>
    <x v="0"/>
    <n v="647.99"/>
    <x v="3"/>
    <x v="49"/>
    <x v="1"/>
    <s v="Sun Bicycles Biscayne Tandem CB - 2017"/>
    <x v="1"/>
  </r>
  <r>
    <n v="746"/>
    <n v="1"/>
    <n v="99"/>
    <x v="0"/>
    <n v="299.99"/>
    <x v="3"/>
    <x v="23"/>
    <x v="1"/>
    <s v="Electra Sugar Skulls 1 (20-inch) - Girl's - 2017"/>
    <x v="0"/>
  </r>
  <r>
    <n v="747"/>
    <n v="1"/>
    <n v="110"/>
    <x v="0"/>
    <n v="470.99"/>
    <x v="1"/>
    <x v="107"/>
    <x v="1"/>
    <s v="Sun Bicycles Drifter 7 - 2017"/>
    <x v="0"/>
  </r>
  <r>
    <n v="747"/>
    <n v="2"/>
    <n v="86"/>
    <x v="0"/>
    <n v="149.99"/>
    <x v="0"/>
    <x v="62"/>
    <x v="1"/>
    <s v="Trek Girl's Kickster - 2017"/>
    <x v="0"/>
  </r>
  <r>
    <n v="747"/>
    <n v="3"/>
    <n v="33"/>
    <x v="1"/>
    <n v="469.99"/>
    <x v="3"/>
    <x v="35"/>
    <x v="1"/>
    <s v="Surly Wednesday Frameset - 2017"/>
    <x v="0"/>
  </r>
  <r>
    <n v="747"/>
    <n v="4"/>
    <n v="81"/>
    <x v="0"/>
    <n v="1099.99"/>
    <x v="1"/>
    <x v="111"/>
    <x v="1"/>
    <s v="Electra Amsterdam Fashion 7i Ladies' - 2017"/>
    <x v="0"/>
  </r>
  <r>
    <n v="748"/>
    <n v="1"/>
    <n v="16"/>
    <x v="1"/>
    <n v="599.99"/>
    <x v="3"/>
    <x v="3"/>
    <x v="1"/>
    <s v="Electra Townie Original 7D EQ - 2016"/>
    <x v="2"/>
  </r>
  <r>
    <n v="748"/>
    <n v="2"/>
    <n v="83"/>
    <x v="1"/>
    <n v="149.99"/>
    <x v="2"/>
    <x v="87"/>
    <x v="1"/>
    <s v="Trek Boy's Kickster - 2015/2017"/>
    <x v="2"/>
  </r>
  <r>
    <n v="748"/>
    <n v="3"/>
    <n v="41"/>
    <x v="0"/>
    <n v="1469.99"/>
    <x v="1"/>
    <x v="112"/>
    <x v="1"/>
    <s v="Haro Shift R3 - 2017"/>
    <x v="2"/>
  </r>
  <r>
    <n v="748"/>
    <n v="4"/>
    <n v="35"/>
    <x v="1"/>
    <n v="832.99"/>
    <x v="0"/>
    <x v="113"/>
    <x v="1"/>
    <s v="Sun Bicycles Spider 3i - 2017"/>
    <x v="2"/>
  </r>
  <r>
    <n v="749"/>
    <n v="1"/>
    <n v="9"/>
    <x v="0"/>
    <n v="2999.99"/>
    <x v="0"/>
    <x v="28"/>
    <x v="1"/>
    <s v="Trek Conduit+ - 2016"/>
    <x v="1"/>
  </r>
  <r>
    <n v="749"/>
    <n v="2"/>
    <n v="28"/>
    <x v="0"/>
    <n v="2499.9899999999998"/>
    <x v="2"/>
    <x v="79"/>
    <x v="1"/>
    <s v="Surly Karate Monkey 27.5+ Frameset - 2017"/>
    <x v="1"/>
  </r>
  <r>
    <n v="749"/>
    <n v="3"/>
    <n v="79"/>
    <x v="0"/>
    <n v="402.99"/>
    <x v="0"/>
    <x v="50"/>
    <x v="1"/>
    <s v="Sun Bicycles Boardwalk (24-inch Wheels) - 2017"/>
    <x v="1"/>
  </r>
  <r>
    <n v="749"/>
    <n v="4"/>
    <n v="24"/>
    <x v="0"/>
    <n v="549.99"/>
    <x v="2"/>
    <x v="31"/>
    <x v="1"/>
    <s v="Electra Townie Original 21D - 2016"/>
    <x v="1"/>
  </r>
  <r>
    <n v="749"/>
    <n v="5"/>
    <n v="40"/>
    <x v="0"/>
    <n v="4999.99"/>
    <x v="1"/>
    <x v="76"/>
    <x v="1"/>
    <s v="Trek Fuel EX 9.8 29 - 2017"/>
    <x v="1"/>
  </r>
  <r>
    <n v="750"/>
    <n v="1"/>
    <n v="72"/>
    <x v="0"/>
    <n v="619.99"/>
    <x v="2"/>
    <x v="40"/>
    <x v="1"/>
    <s v="Sun Bicycles Biscayne Tandem 7 - 2017"/>
    <x v="2"/>
  </r>
  <r>
    <n v="750"/>
    <n v="2"/>
    <n v="78"/>
    <x v="1"/>
    <n v="647.99"/>
    <x v="3"/>
    <x v="114"/>
    <x v="1"/>
    <s v="Sun Bicycles Biscayne Tandem CB - 2017"/>
    <x v="2"/>
  </r>
  <r>
    <n v="751"/>
    <n v="1"/>
    <n v="45"/>
    <x v="1"/>
    <n v="869.99"/>
    <x v="2"/>
    <x v="81"/>
    <x v="1"/>
    <s v="Haro SR 1.2 - 2017"/>
    <x v="0"/>
  </r>
  <r>
    <n v="752"/>
    <n v="1"/>
    <n v="12"/>
    <x v="1"/>
    <n v="549.99"/>
    <x v="2"/>
    <x v="9"/>
    <x v="1"/>
    <s v="Electra Townie Original 21D - 2016"/>
    <x v="1"/>
  </r>
  <r>
    <n v="752"/>
    <n v="2"/>
    <n v="31"/>
    <x v="1"/>
    <n v="1632.99"/>
    <x v="2"/>
    <x v="115"/>
    <x v="1"/>
    <s v="Surly Wednesday - 2017"/>
    <x v="1"/>
  </r>
  <r>
    <n v="753"/>
    <n v="1"/>
    <n v="105"/>
    <x v="1"/>
    <n v="533.99"/>
    <x v="1"/>
    <x v="85"/>
    <x v="1"/>
    <s v="Sun Bicycles Streamway 7 - 2017"/>
    <x v="1"/>
  </r>
  <r>
    <n v="753"/>
    <n v="2"/>
    <n v="7"/>
    <x v="1"/>
    <n v="3999.99"/>
    <x v="0"/>
    <x v="15"/>
    <x v="1"/>
    <s v="Trek Slash 8 27.5 - 2016"/>
    <x v="1"/>
  </r>
  <r>
    <n v="753"/>
    <n v="3"/>
    <n v="36"/>
    <x v="1"/>
    <n v="832.99"/>
    <x v="3"/>
    <x v="113"/>
    <x v="1"/>
    <s v="Surly Troll Frameset - 2017"/>
    <x v="1"/>
  </r>
  <r>
    <n v="753"/>
    <n v="4"/>
    <n v="95"/>
    <x v="0"/>
    <n v="299.99"/>
    <x v="1"/>
    <x v="23"/>
    <x v="1"/>
    <s v="Electra Girl's Hawaii 1 16&quot; - 2017"/>
    <x v="1"/>
  </r>
  <r>
    <n v="753"/>
    <n v="5"/>
    <n v="66"/>
    <x v="0"/>
    <n v="250.99"/>
    <x v="0"/>
    <x v="61"/>
    <x v="1"/>
    <s v="Sun Bicycles Revolutions 24 - 2017"/>
    <x v="1"/>
  </r>
  <r>
    <n v="754"/>
    <n v="1"/>
    <n v="74"/>
    <x v="1"/>
    <n v="439.99"/>
    <x v="1"/>
    <x v="105"/>
    <x v="1"/>
    <s v="Electra Cruiser Lux 1 - 2017"/>
    <x v="0"/>
  </r>
  <r>
    <n v="754"/>
    <n v="2"/>
    <n v="12"/>
    <x v="1"/>
    <n v="549.99"/>
    <x v="1"/>
    <x v="9"/>
    <x v="1"/>
    <s v="Electra Townie Original 21D - 2016"/>
    <x v="0"/>
  </r>
  <r>
    <n v="754"/>
    <n v="3"/>
    <n v="3"/>
    <x v="0"/>
    <n v="999.99"/>
    <x v="2"/>
    <x v="5"/>
    <x v="1"/>
    <s v="Surly Wednesday Frameset - 2016"/>
    <x v="0"/>
  </r>
  <r>
    <n v="754"/>
    <n v="4"/>
    <n v="67"/>
    <x v="1"/>
    <n v="250.99"/>
    <x v="2"/>
    <x v="55"/>
    <x v="1"/>
    <s v="Sun Bicycles Revolutions 24 - Girl's - 2017"/>
    <x v="0"/>
  </r>
  <r>
    <n v="754"/>
    <n v="5"/>
    <n v="7"/>
    <x v="0"/>
    <n v="3999.99"/>
    <x v="0"/>
    <x v="25"/>
    <x v="1"/>
    <s v="Trek Slash 8 27.5 - 2016"/>
    <x v="0"/>
  </r>
  <r>
    <n v="755"/>
    <n v="1"/>
    <n v="80"/>
    <x v="1"/>
    <n v="761.99"/>
    <x v="1"/>
    <x v="116"/>
    <x v="1"/>
    <s v="Sun Bicycles Brickell Tandem CB - 2017"/>
    <x v="1"/>
  </r>
  <r>
    <n v="755"/>
    <n v="2"/>
    <n v="43"/>
    <x v="1"/>
    <n v="5299.99"/>
    <x v="2"/>
    <x v="46"/>
    <x v="1"/>
    <s v="Trek Fuel EX 9.8 27.5 Plus - 2017"/>
    <x v="1"/>
  </r>
  <r>
    <n v="755"/>
    <n v="3"/>
    <n v="57"/>
    <x v="1"/>
    <n v="1999.99"/>
    <x v="3"/>
    <x v="97"/>
    <x v="1"/>
    <s v="Trek Emonda S 5 - 2017"/>
    <x v="1"/>
  </r>
  <r>
    <n v="756"/>
    <n v="1"/>
    <n v="64"/>
    <x v="0"/>
    <n v="489.99"/>
    <x v="3"/>
    <x v="44"/>
    <x v="1"/>
    <s v="Electra Townie Original 7D - 2017"/>
    <x v="1"/>
  </r>
  <r>
    <n v="756"/>
    <n v="2"/>
    <n v="17"/>
    <x v="1"/>
    <n v="429"/>
    <x v="2"/>
    <x v="13"/>
    <x v="1"/>
    <s v="Pure Cycles Vine 8-Speed - 2016"/>
    <x v="1"/>
  </r>
  <r>
    <n v="757"/>
    <n v="1"/>
    <n v="95"/>
    <x v="0"/>
    <n v="299.99"/>
    <x v="3"/>
    <x v="23"/>
    <x v="1"/>
    <s v="Electra Girl's Hawaii 1 16&quot; - 2017"/>
    <x v="1"/>
  </r>
  <r>
    <n v="758"/>
    <n v="1"/>
    <n v="22"/>
    <x v="1"/>
    <n v="269.99"/>
    <x v="1"/>
    <x v="17"/>
    <x v="1"/>
    <s v="Electra Girl's Hawaii 1 (16-inch) - 2015/2016"/>
    <x v="2"/>
  </r>
  <r>
    <n v="758"/>
    <n v="2"/>
    <n v="99"/>
    <x v="0"/>
    <n v="299.99"/>
    <x v="3"/>
    <x v="23"/>
    <x v="1"/>
    <s v="Electra Sugar Skulls 1 (20-inch) - Girl's - 2017"/>
    <x v="2"/>
  </r>
  <r>
    <n v="758"/>
    <n v="3"/>
    <n v="27"/>
    <x v="0"/>
    <n v="999.99"/>
    <x v="1"/>
    <x v="5"/>
    <x v="1"/>
    <s v="Surly Big Dummy Frameset - 2017"/>
    <x v="2"/>
  </r>
  <r>
    <n v="758"/>
    <n v="4"/>
    <n v="65"/>
    <x v="1"/>
    <n v="346.99"/>
    <x v="1"/>
    <x v="110"/>
    <x v="1"/>
    <s v="Sun Bicycles Lil Bolt Type-R - 2017"/>
    <x v="2"/>
  </r>
  <r>
    <n v="758"/>
    <n v="5"/>
    <n v="109"/>
    <x v="0"/>
    <n v="416.99"/>
    <x v="0"/>
    <x v="71"/>
    <x v="1"/>
    <s v="Sun Bicycles Cruz 7 - Women's - 2017"/>
    <x v="2"/>
  </r>
  <r>
    <n v="759"/>
    <n v="1"/>
    <n v="93"/>
    <x v="1"/>
    <n v="209.99"/>
    <x v="2"/>
    <x v="84"/>
    <x v="1"/>
    <s v="Haro Shredder 20 Girls - 2017"/>
    <x v="1"/>
  </r>
  <r>
    <n v="759"/>
    <n v="2"/>
    <n v="78"/>
    <x v="0"/>
    <n v="647.99"/>
    <x v="1"/>
    <x v="49"/>
    <x v="1"/>
    <s v="Sun Bicycles Biscayne Tandem CB - 2017"/>
    <x v="1"/>
  </r>
  <r>
    <n v="760"/>
    <n v="1"/>
    <n v="21"/>
    <x v="1"/>
    <n v="269.99"/>
    <x v="1"/>
    <x v="17"/>
    <x v="1"/>
    <s v="Electra Cruiser 1 (24-Inch) - 2016"/>
    <x v="1"/>
  </r>
  <r>
    <n v="760"/>
    <n v="2"/>
    <n v="29"/>
    <x v="1"/>
    <n v="999.99"/>
    <x v="1"/>
    <x v="10"/>
    <x v="1"/>
    <s v="Trek X-Caliber 8 - 2017"/>
    <x v="1"/>
  </r>
  <r>
    <n v="761"/>
    <n v="1"/>
    <n v="43"/>
    <x v="0"/>
    <n v="5299.99"/>
    <x v="1"/>
    <x v="57"/>
    <x v="1"/>
    <s v="Trek Fuel EX 9.8 27.5 Plus - 2017"/>
    <x v="1"/>
  </r>
  <r>
    <n v="761"/>
    <n v="2"/>
    <n v="52"/>
    <x v="1"/>
    <n v="875.99"/>
    <x v="0"/>
    <x v="73"/>
    <x v="1"/>
    <s v="Surly Steamroller - 2017"/>
    <x v="1"/>
  </r>
  <r>
    <n v="762"/>
    <n v="1"/>
    <n v="102"/>
    <x v="1"/>
    <n v="489.99"/>
    <x v="2"/>
    <x v="52"/>
    <x v="1"/>
    <s v="Electra Townie Original 7D - 2017"/>
    <x v="1"/>
  </r>
  <r>
    <n v="763"/>
    <n v="1"/>
    <n v="90"/>
    <x v="0"/>
    <n v="209.99"/>
    <x v="1"/>
    <x v="48"/>
    <x v="1"/>
    <s v="Trek Precaliber 16 Girls - 2017"/>
    <x v="2"/>
  </r>
  <r>
    <n v="763"/>
    <n v="2"/>
    <n v="103"/>
    <x v="0"/>
    <n v="551.99"/>
    <x v="3"/>
    <x v="38"/>
    <x v="1"/>
    <s v="Sun Bicycles Streamway 3 - 2017"/>
    <x v="2"/>
  </r>
  <r>
    <n v="764"/>
    <n v="1"/>
    <n v="55"/>
    <x v="0"/>
    <n v="2699.99"/>
    <x v="1"/>
    <x v="82"/>
    <x v="1"/>
    <s v="Trek Domane S 6 - 2017"/>
    <x v="0"/>
  </r>
  <r>
    <n v="764"/>
    <n v="2"/>
    <n v="95"/>
    <x v="1"/>
    <n v="299.99"/>
    <x v="2"/>
    <x v="22"/>
    <x v="1"/>
    <s v="Electra Girl's Hawaii 1 16&quot; - 2017"/>
    <x v="0"/>
  </r>
  <r>
    <n v="764"/>
    <n v="3"/>
    <n v="81"/>
    <x v="1"/>
    <n v="1099.99"/>
    <x v="1"/>
    <x v="88"/>
    <x v="1"/>
    <s v="Electra Amsterdam Fashion 7i Ladies' - 2017"/>
    <x v="0"/>
  </r>
  <r>
    <n v="765"/>
    <n v="1"/>
    <n v="28"/>
    <x v="1"/>
    <n v="2499.9899999999998"/>
    <x v="0"/>
    <x v="117"/>
    <x v="1"/>
    <s v="Surly Karate Monkey 27.5+ Frameset - 2017"/>
    <x v="0"/>
  </r>
  <r>
    <n v="765"/>
    <n v="2"/>
    <n v="12"/>
    <x v="0"/>
    <n v="549.99"/>
    <x v="1"/>
    <x v="31"/>
    <x v="1"/>
    <s v="Electra Townie Original 21D - 2016"/>
    <x v="0"/>
  </r>
  <r>
    <n v="765"/>
    <n v="3"/>
    <n v="25"/>
    <x v="0"/>
    <n v="499.99"/>
    <x v="0"/>
    <x v="33"/>
    <x v="1"/>
    <s v="Electra Townie Original 7D - 2015/2016"/>
    <x v="0"/>
  </r>
  <r>
    <n v="765"/>
    <n v="4"/>
    <n v="53"/>
    <x v="0"/>
    <n v="749.99"/>
    <x v="0"/>
    <x v="30"/>
    <x v="1"/>
    <s v="Surly Ogre Frameset - 2017"/>
    <x v="0"/>
  </r>
  <r>
    <n v="765"/>
    <n v="5"/>
    <n v="65"/>
    <x v="0"/>
    <n v="346.99"/>
    <x v="2"/>
    <x v="118"/>
    <x v="1"/>
    <s v="Sun Bicycles Lil Bolt Type-R - 2017"/>
    <x v="0"/>
  </r>
  <r>
    <n v="766"/>
    <n v="1"/>
    <n v="111"/>
    <x v="0"/>
    <n v="470.99"/>
    <x v="0"/>
    <x v="107"/>
    <x v="1"/>
    <s v="Sun Bicycles Drifter 7 - Women's - 2017"/>
    <x v="1"/>
  </r>
  <r>
    <n v="767"/>
    <n v="1"/>
    <n v="63"/>
    <x v="0"/>
    <n v="3499.99"/>
    <x v="3"/>
    <x v="43"/>
    <x v="1"/>
    <s v="Trek Boone Race Shop Limited - 2017"/>
    <x v="1"/>
  </r>
  <r>
    <n v="767"/>
    <n v="2"/>
    <n v="29"/>
    <x v="0"/>
    <n v="999.99"/>
    <x v="1"/>
    <x v="5"/>
    <x v="1"/>
    <s v="Trek X-Caliber 8 - 2017"/>
    <x v="1"/>
  </r>
  <r>
    <n v="767"/>
    <n v="3"/>
    <n v="41"/>
    <x v="1"/>
    <n v="1469.99"/>
    <x v="2"/>
    <x v="69"/>
    <x v="1"/>
    <s v="Haro Shift R3 - 2017"/>
    <x v="1"/>
  </r>
  <r>
    <n v="767"/>
    <n v="4"/>
    <n v="77"/>
    <x v="1"/>
    <n v="799.99"/>
    <x v="2"/>
    <x v="108"/>
    <x v="1"/>
    <s v="Electra Glam Punk 3i Ladies' - 2017"/>
    <x v="1"/>
  </r>
  <r>
    <n v="768"/>
    <n v="1"/>
    <n v="31"/>
    <x v="0"/>
    <n v="1632.99"/>
    <x v="0"/>
    <x v="94"/>
    <x v="1"/>
    <s v="Surly Wednesday - 2017"/>
    <x v="1"/>
  </r>
  <r>
    <n v="768"/>
    <n v="2"/>
    <n v="76"/>
    <x v="0"/>
    <n v="299.99"/>
    <x v="0"/>
    <x v="23"/>
    <x v="1"/>
    <s v="Electra Girl's Hawaii 1 16&quot; - 2017"/>
    <x v="1"/>
  </r>
  <r>
    <n v="769"/>
    <n v="1"/>
    <n v="8"/>
    <x v="0"/>
    <n v="1799.99"/>
    <x v="3"/>
    <x v="16"/>
    <x v="1"/>
    <s v="Trek Remedy 29 Carbon Frameset - 2016"/>
    <x v="1"/>
  </r>
  <r>
    <n v="769"/>
    <n v="2"/>
    <n v="6"/>
    <x v="1"/>
    <n v="469.99"/>
    <x v="2"/>
    <x v="35"/>
    <x v="1"/>
    <s v="Surly Ice Cream Truck Frameset - 2016"/>
    <x v="1"/>
  </r>
  <r>
    <n v="769"/>
    <n v="3"/>
    <n v="36"/>
    <x v="1"/>
    <n v="832.99"/>
    <x v="1"/>
    <x v="113"/>
    <x v="1"/>
    <s v="Surly Troll Frameset - 2017"/>
    <x v="1"/>
  </r>
  <r>
    <n v="770"/>
    <n v="1"/>
    <n v="110"/>
    <x v="0"/>
    <n v="470.99"/>
    <x v="2"/>
    <x v="107"/>
    <x v="1"/>
    <s v="Sun Bicycles Drifter 7 - 2017"/>
    <x v="2"/>
  </r>
  <r>
    <n v="770"/>
    <n v="2"/>
    <n v="42"/>
    <x v="0"/>
    <n v="2299.9899999999998"/>
    <x v="0"/>
    <x v="101"/>
    <x v="1"/>
    <s v="Trek Fuel EX 5 27.5 Plus - 2017"/>
    <x v="2"/>
  </r>
  <r>
    <n v="770"/>
    <n v="3"/>
    <n v="103"/>
    <x v="0"/>
    <n v="551.99"/>
    <x v="0"/>
    <x v="38"/>
    <x v="1"/>
    <s v="Sun Bicycles Streamway 3 - 2017"/>
    <x v="2"/>
  </r>
  <r>
    <n v="770"/>
    <n v="4"/>
    <n v="11"/>
    <x v="1"/>
    <n v="1680.99"/>
    <x v="2"/>
    <x v="32"/>
    <x v="1"/>
    <s v="Surly Straggler 650b - 2016"/>
    <x v="2"/>
  </r>
  <r>
    <n v="771"/>
    <n v="1"/>
    <n v="13"/>
    <x v="1"/>
    <n v="269.99"/>
    <x v="0"/>
    <x v="17"/>
    <x v="1"/>
    <s v="Electra Cruiser 1 (24-Inch) - 2016"/>
    <x v="0"/>
  </r>
  <r>
    <n v="771"/>
    <n v="2"/>
    <n v="88"/>
    <x v="0"/>
    <n v="189.99"/>
    <x v="0"/>
    <x v="93"/>
    <x v="1"/>
    <s v="Trek Precaliber 12 Girls - 2017"/>
    <x v="0"/>
  </r>
  <r>
    <n v="772"/>
    <n v="1"/>
    <n v="103"/>
    <x v="0"/>
    <n v="551.99"/>
    <x v="1"/>
    <x v="38"/>
    <x v="1"/>
    <s v="Sun Bicycles Streamway 3 - 2017"/>
    <x v="1"/>
  </r>
  <r>
    <n v="773"/>
    <n v="1"/>
    <n v="92"/>
    <x v="0"/>
    <n v="209.99"/>
    <x v="3"/>
    <x v="48"/>
    <x v="1"/>
    <s v="Haro Shredder 20 - 2017"/>
    <x v="1"/>
  </r>
  <r>
    <n v="773"/>
    <n v="2"/>
    <n v="14"/>
    <x v="0"/>
    <n v="269.99"/>
    <x v="2"/>
    <x v="14"/>
    <x v="1"/>
    <s v="Electra Girl's Hawaii 1 (16-inch) - 2015/2016"/>
    <x v="1"/>
  </r>
  <r>
    <n v="773"/>
    <n v="3"/>
    <n v="17"/>
    <x v="1"/>
    <n v="429"/>
    <x v="0"/>
    <x v="13"/>
    <x v="1"/>
    <s v="Pure Cycles Vine 8-Speed - 2016"/>
    <x v="1"/>
  </r>
  <r>
    <n v="773"/>
    <n v="4"/>
    <n v="33"/>
    <x v="1"/>
    <n v="469.99"/>
    <x v="1"/>
    <x v="35"/>
    <x v="1"/>
    <s v="Surly Wednesday Frameset - 2017"/>
    <x v="1"/>
  </r>
  <r>
    <n v="774"/>
    <n v="1"/>
    <n v="65"/>
    <x v="0"/>
    <n v="346.99"/>
    <x v="2"/>
    <x v="118"/>
    <x v="1"/>
    <s v="Sun Bicycles Lil Bolt Type-R - 2017"/>
    <x v="1"/>
  </r>
  <r>
    <n v="774"/>
    <n v="2"/>
    <n v="36"/>
    <x v="1"/>
    <n v="832.99"/>
    <x v="2"/>
    <x v="113"/>
    <x v="1"/>
    <s v="Surly Troll Frameset - 2017"/>
    <x v="1"/>
  </r>
  <r>
    <n v="774"/>
    <n v="3"/>
    <n v="20"/>
    <x v="0"/>
    <n v="599.99"/>
    <x v="0"/>
    <x v="0"/>
    <x v="1"/>
    <s v="Electra Townie Original 7D EQ - Women's - 2016"/>
    <x v="1"/>
  </r>
  <r>
    <n v="774"/>
    <n v="4"/>
    <n v="73"/>
    <x v="0"/>
    <n v="749.99"/>
    <x v="2"/>
    <x v="30"/>
    <x v="1"/>
    <s v="Sun Bicycles Brickell Tandem 7 - 2017"/>
    <x v="1"/>
  </r>
  <r>
    <n v="774"/>
    <n v="5"/>
    <n v="58"/>
    <x v="1"/>
    <n v="4999.99"/>
    <x v="3"/>
    <x v="41"/>
    <x v="1"/>
    <s v="Trek Madone 9.2 - 2017"/>
    <x v="1"/>
  </r>
  <r>
    <n v="775"/>
    <n v="1"/>
    <n v="39"/>
    <x v="0"/>
    <n v="1499.99"/>
    <x v="1"/>
    <x v="77"/>
    <x v="1"/>
    <s v="Trek Stache 5 - 2017"/>
    <x v="1"/>
  </r>
  <r>
    <n v="776"/>
    <n v="1"/>
    <n v="28"/>
    <x v="0"/>
    <n v="2499.9899999999998"/>
    <x v="0"/>
    <x v="79"/>
    <x v="1"/>
    <s v="Surly Karate Monkey 27.5+ Frameset - 2017"/>
    <x v="1"/>
  </r>
  <r>
    <n v="776"/>
    <n v="2"/>
    <n v="42"/>
    <x v="1"/>
    <n v="2299.9899999999998"/>
    <x v="0"/>
    <x v="45"/>
    <x v="1"/>
    <s v="Trek Fuel EX 5 27.5 Plus - 2017"/>
    <x v="1"/>
  </r>
  <r>
    <n v="776"/>
    <n v="3"/>
    <n v="71"/>
    <x v="0"/>
    <n v="416.99"/>
    <x v="3"/>
    <x v="71"/>
    <x v="1"/>
    <s v="Sun Bicycles Atlas X-Type - 2017"/>
    <x v="1"/>
  </r>
  <r>
    <n v="776"/>
    <n v="4"/>
    <n v="35"/>
    <x v="0"/>
    <n v="832.99"/>
    <x v="3"/>
    <x v="106"/>
    <x v="1"/>
    <s v="Sun Bicycles Spider 3i - 2017"/>
    <x v="1"/>
  </r>
  <r>
    <n v="777"/>
    <n v="1"/>
    <n v="5"/>
    <x v="0"/>
    <n v="1320.99"/>
    <x v="0"/>
    <x v="24"/>
    <x v="1"/>
    <s v="Heller Shagamaw Frame - 2016"/>
    <x v="1"/>
  </r>
  <r>
    <n v="777"/>
    <n v="2"/>
    <n v="7"/>
    <x v="1"/>
    <n v="3999.99"/>
    <x v="0"/>
    <x v="15"/>
    <x v="1"/>
    <s v="Trek Slash 8 27.5 - 2016"/>
    <x v="1"/>
  </r>
  <r>
    <n v="777"/>
    <n v="3"/>
    <n v="2"/>
    <x v="0"/>
    <n v="749.99"/>
    <x v="0"/>
    <x v="30"/>
    <x v="1"/>
    <s v="Ritchey Timberwolf Frameset - 2016"/>
    <x v="1"/>
  </r>
  <r>
    <n v="778"/>
    <n v="1"/>
    <n v="64"/>
    <x v="0"/>
    <n v="489.99"/>
    <x v="3"/>
    <x v="44"/>
    <x v="1"/>
    <s v="Electra Townie Original 7D - 2017"/>
    <x v="2"/>
  </r>
  <r>
    <n v="778"/>
    <n v="2"/>
    <n v="85"/>
    <x v="0"/>
    <n v="329.99"/>
    <x v="2"/>
    <x v="51"/>
    <x v="1"/>
    <s v="Haro Downtown 16 - 2017"/>
    <x v="2"/>
  </r>
  <r>
    <n v="779"/>
    <n v="1"/>
    <n v="101"/>
    <x v="0"/>
    <n v="339.99"/>
    <x v="2"/>
    <x v="119"/>
    <x v="1"/>
    <s v="Electra Townie 7D (20-inch) - Boys' - 2017"/>
    <x v="1"/>
  </r>
  <r>
    <n v="779"/>
    <n v="2"/>
    <n v="90"/>
    <x v="1"/>
    <n v="209.99"/>
    <x v="0"/>
    <x v="84"/>
    <x v="1"/>
    <s v="Trek Precaliber 16 Girls - 2017"/>
    <x v="1"/>
  </r>
  <r>
    <n v="779"/>
    <n v="3"/>
    <n v="47"/>
    <x v="0"/>
    <n v="5299.99"/>
    <x v="0"/>
    <x v="57"/>
    <x v="1"/>
    <s v="Trek Remedy 9.8 - 2017"/>
    <x v="1"/>
  </r>
  <r>
    <n v="779"/>
    <n v="4"/>
    <n v="8"/>
    <x v="0"/>
    <n v="1799.99"/>
    <x v="0"/>
    <x v="16"/>
    <x v="1"/>
    <s v="Trek Remedy 29 Carbon Frameset - 2016"/>
    <x v="1"/>
  </r>
  <r>
    <n v="779"/>
    <n v="5"/>
    <n v="85"/>
    <x v="0"/>
    <n v="329.99"/>
    <x v="0"/>
    <x v="51"/>
    <x v="1"/>
    <s v="Haro Downtown 16 - 2017"/>
    <x v="1"/>
  </r>
  <r>
    <n v="780"/>
    <n v="1"/>
    <n v="32"/>
    <x v="0"/>
    <n v="469.99"/>
    <x v="3"/>
    <x v="20"/>
    <x v="1"/>
    <s v="Trek Farley Alloy Frameset - 2017"/>
    <x v="1"/>
  </r>
  <r>
    <n v="781"/>
    <n v="1"/>
    <n v="109"/>
    <x v="1"/>
    <n v="416.99"/>
    <x v="2"/>
    <x v="42"/>
    <x v="1"/>
    <s v="Sun Bicycles Cruz 7 - Women's - 2017"/>
    <x v="1"/>
  </r>
  <r>
    <n v="781"/>
    <n v="2"/>
    <n v="7"/>
    <x v="1"/>
    <n v="3999.99"/>
    <x v="0"/>
    <x v="15"/>
    <x v="1"/>
    <s v="Trek Slash 8 27.5 - 2016"/>
    <x v="1"/>
  </r>
  <r>
    <n v="781"/>
    <n v="3"/>
    <n v="57"/>
    <x v="1"/>
    <n v="1999.99"/>
    <x v="3"/>
    <x v="97"/>
    <x v="1"/>
    <s v="Trek Emonda S 5 - 2017"/>
    <x v="1"/>
  </r>
  <r>
    <n v="782"/>
    <n v="1"/>
    <n v="20"/>
    <x v="1"/>
    <n v="599.99"/>
    <x v="1"/>
    <x v="3"/>
    <x v="1"/>
    <s v="Electra Townie Original 7D EQ - Women's - 2016"/>
    <x v="1"/>
  </r>
  <r>
    <n v="782"/>
    <n v="2"/>
    <n v="57"/>
    <x v="0"/>
    <n v="1999.99"/>
    <x v="1"/>
    <x v="102"/>
    <x v="1"/>
    <s v="Trek Emonda S 5 - 2017"/>
    <x v="1"/>
  </r>
  <r>
    <n v="782"/>
    <n v="3"/>
    <n v="99"/>
    <x v="0"/>
    <n v="299.99"/>
    <x v="1"/>
    <x v="23"/>
    <x v="1"/>
    <s v="Electra Sugar Skulls 1 (20-inch) - Girl's - 2017"/>
    <x v="1"/>
  </r>
  <r>
    <n v="782"/>
    <n v="4"/>
    <n v="16"/>
    <x v="1"/>
    <n v="599.99"/>
    <x v="0"/>
    <x v="3"/>
    <x v="1"/>
    <s v="Electra Townie Original 7D EQ - 2016"/>
    <x v="1"/>
  </r>
  <r>
    <n v="783"/>
    <n v="1"/>
    <n v="92"/>
    <x v="0"/>
    <n v="209.99"/>
    <x v="0"/>
    <x v="48"/>
    <x v="1"/>
    <s v="Haro Shredder 20 - 2017"/>
    <x v="0"/>
  </r>
  <r>
    <n v="783"/>
    <n v="2"/>
    <n v="22"/>
    <x v="1"/>
    <n v="269.99"/>
    <x v="2"/>
    <x v="17"/>
    <x v="1"/>
    <s v="Electra Girl's Hawaii 1 (16-inch) - 2015/2016"/>
    <x v="0"/>
  </r>
  <r>
    <n v="783"/>
    <n v="3"/>
    <n v="94"/>
    <x v="0"/>
    <n v="249.99"/>
    <x v="2"/>
    <x v="70"/>
    <x v="1"/>
    <s v="Haro Shredder Pro 20 - 2017"/>
    <x v="0"/>
  </r>
  <r>
    <n v="783"/>
    <n v="4"/>
    <n v="29"/>
    <x v="0"/>
    <n v="999.99"/>
    <x v="3"/>
    <x v="5"/>
    <x v="1"/>
    <s v="Trek X-Caliber 8 - 2017"/>
    <x v="0"/>
  </r>
  <r>
    <n v="784"/>
    <n v="1"/>
    <n v="22"/>
    <x v="0"/>
    <n v="269.99"/>
    <x v="1"/>
    <x v="14"/>
    <x v="1"/>
    <s v="Electra Girl's Hawaii 1 (16-inch) - 2015/2016"/>
    <x v="1"/>
  </r>
  <r>
    <n v="784"/>
    <n v="2"/>
    <n v="72"/>
    <x v="1"/>
    <n v="619.99"/>
    <x v="3"/>
    <x v="103"/>
    <x v="1"/>
    <s v="Sun Bicycles Biscayne Tandem 7 - 2017"/>
    <x v="1"/>
  </r>
  <r>
    <n v="784"/>
    <n v="3"/>
    <n v="16"/>
    <x v="0"/>
    <n v="599.99"/>
    <x v="0"/>
    <x v="0"/>
    <x v="1"/>
    <s v="Electra Townie Original 7D EQ - 2016"/>
    <x v="1"/>
  </r>
  <r>
    <n v="785"/>
    <n v="1"/>
    <n v="59"/>
    <x v="1"/>
    <n v="2599.9899999999998"/>
    <x v="0"/>
    <x v="67"/>
    <x v="1"/>
    <s v="Trek Domane S 5 Disc - 2017"/>
    <x v="0"/>
  </r>
  <r>
    <n v="785"/>
    <n v="2"/>
    <n v="40"/>
    <x v="0"/>
    <n v="4999.99"/>
    <x v="1"/>
    <x v="76"/>
    <x v="1"/>
    <s v="Trek Fuel EX 9.8 29 - 2017"/>
    <x v="0"/>
  </r>
  <r>
    <n v="785"/>
    <n v="3"/>
    <n v="25"/>
    <x v="0"/>
    <n v="499.99"/>
    <x v="1"/>
    <x v="33"/>
    <x v="1"/>
    <s v="Electra Townie Original 7D - 2015/2016"/>
    <x v="0"/>
  </r>
  <r>
    <n v="786"/>
    <n v="1"/>
    <n v="80"/>
    <x v="0"/>
    <n v="761.99"/>
    <x v="2"/>
    <x v="58"/>
    <x v="1"/>
    <s v="Sun Bicycles Brickell Tandem CB - 2017"/>
    <x v="1"/>
  </r>
  <r>
    <n v="787"/>
    <n v="1"/>
    <n v="51"/>
    <x v="1"/>
    <n v="6499.99"/>
    <x v="1"/>
    <x v="83"/>
    <x v="1"/>
    <s v="Trek Silque SLR 8 Women's - 2017"/>
    <x v="2"/>
  </r>
  <r>
    <n v="787"/>
    <n v="2"/>
    <n v="66"/>
    <x v="1"/>
    <n v="250.99"/>
    <x v="3"/>
    <x v="55"/>
    <x v="1"/>
    <s v="Sun Bicycles Revolutions 24 - 2017"/>
    <x v="2"/>
  </r>
  <r>
    <n v="788"/>
    <n v="1"/>
    <n v="48"/>
    <x v="0"/>
    <n v="1499.99"/>
    <x v="0"/>
    <x v="77"/>
    <x v="1"/>
    <s v="Trek Emonda S 4 - 2017"/>
    <x v="2"/>
  </r>
  <r>
    <n v="788"/>
    <n v="2"/>
    <n v="19"/>
    <x v="0"/>
    <n v="449"/>
    <x v="3"/>
    <x v="8"/>
    <x v="1"/>
    <s v="Pure Cycles William 3-Speed - 2016"/>
    <x v="2"/>
  </r>
  <r>
    <n v="788"/>
    <n v="3"/>
    <n v="13"/>
    <x v="0"/>
    <n v="269.99"/>
    <x v="2"/>
    <x v="14"/>
    <x v="1"/>
    <s v="Electra Cruiser 1 (24-Inch) - 2016"/>
    <x v="2"/>
  </r>
  <r>
    <n v="789"/>
    <n v="1"/>
    <n v="100"/>
    <x v="1"/>
    <n v="489.99"/>
    <x v="0"/>
    <x v="52"/>
    <x v="1"/>
    <s v="Electra Townie 3i EQ (20-inch) - Boys' - 2017"/>
    <x v="1"/>
  </r>
  <r>
    <n v="789"/>
    <n v="2"/>
    <n v="93"/>
    <x v="1"/>
    <n v="209.99"/>
    <x v="1"/>
    <x v="84"/>
    <x v="1"/>
    <s v="Haro Shredder 20 Girls - 2017"/>
    <x v="1"/>
  </r>
  <r>
    <n v="790"/>
    <n v="1"/>
    <n v="62"/>
    <x v="1"/>
    <n v="3499.99"/>
    <x v="1"/>
    <x v="54"/>
    <x v="1"/>
    <s v="Trek Boone 7 - 2017"/>
    <x v="1"/>
  </r>
  <r>
    <n v="790"/>
    <n v="2"/>
    <n v="91"/>
    <x v="0"/>
    <n v="349.99"/>
    <x v="3"/>
    <x v="99"/>
    <x v="1"/>
    <s v="Trek Precaliber 24 (21-Speed) - Girls - 2017"/>
    <x v="1"/>
  </r>
  <r>
    <n v="791"/>
    <n v="1"/>
    <n v="54"/>
    <x v="0"/>
    <n v="3199.99"/>
    <x v="0"/>
    <x v="120"/>
    <x v="1"/>
    <s v="Trek Domane SL Disc Frameset - 2017"/>
    <x v="1"/>
  </r>
  <r>
    <n v="791"/>
    <n v="2"/>
    <n v="25"/>
    <x v="1"/>
    <n v="499.99"/>
    <x v="1"/>
    <x v="26"/>
    <x v="1"/>
    <s v="Electra Townie Original 7D - 2015/2016"/>
    <x v="1"/>
  </r>
  <r>
    <n v="792"/>
    <n v="1"/>
    <n v="16"/>
    <x v="1"/>
    <n v="599.99"/>
    <x v="0"/>
    <x v="3"/>
    <x v="1"/>
    <s v="Electra Townie Original 7D EQ - 2016"/>
    <x v="1"/>
  </r>
  <r>
    <n v="792"/>
    <n v="2"/>
    <n v="39"/>
    <x v="0"/>
    <n v="1499.99"/>
    <x v="0"/>
    <x v="77"/>
    <x v="1"/>
    <s v="Trek Stache 5 - 2017"/>
    <x v="1"/>
  </r>
  <r>
    <n v="792"/>
    <n v="3"/>
    <n v="56"/>
    <x v="0"/>
    <n v="5499.99"/>
    <x v="0"/>
    <x v="39"/>
    <x v="1"/>
    <s v="Trek Domane SLR 6 Disc - 2017"/>
    <x v="1"/>
  </r>
  <r>
    <n v="792"/>
    <n v="4"/>
    <n v="30"/>
    <x v="0"/>
    <n v="999.99"/>
    <x v="2"/>
    <x v="5"/>
    <x v="1"/>
    <s v="Surly Ice Cream Truck Frameset - 2017"/>
    <x v="1"/>
  </r>
  <r>
    <n v="792"/>
    <n v="5"/>
    <n v="2"/>
    <x v="0"/>
    <n v="749.99"/>
    <x v="0"/>
    <x v="30"/>
    <x v="1"/>
    <s v="Ritchey Timberwolf Frameset - 2016"/>
    <x v="1"/>
  </r>
  <r>
    <n v="793"/>
    <n v="1"/>
    <n v="60"/>
    <x v="0"/>
    <n v="1559.99"/>
    <x v="2"/>
    <x v="100"/>
    <x v="1"/>
    <s v="Sun Bicycles ElectroLite - 2017"/>
    <x v="1"/>
  </r>
  <r>
    <n v="793"/>
    <n v="2"/>
    <n v="95"/>
    <x v="1"/>
    <n v="299.99"/>
    <x v="2"/>
    <x v="22"/>
    <x v="1"/>
    <s v="Electra Girl's Hawaii 1 16&quot; - 2017"/>
    <x v="1"/>
  </r>
  <r>
    <n v="793"/>
    <n v="3"/>
    <n v="75"/>
    <x v="1"/>
    <n v="599.99"/>
    <x v="2"/>
    <x v="3"/>
    <x v="1"/>
    <s v="Electra Cruiser Lux Fat Tire 1 Ladies - 2017"/>
    <x v="1"/>
  </r>
  <r>
    <n v="794"/>
    <n v="1"/>
    <n v="41"/>
    <x v="1"/>
    <n v="1469.99"/>
    <x v="2"/>
    <x v="69"/>
    <x v="1"/>
    <s v="Haro Shift R3 - 2017"/>
    <x v="1"/>
  </r>
  <r>
    <n v="794"/>
    <n v="2"/>
    <n v="68"/>
    <x v="0"/>
    <n v="449.99"/>
    <x v="0"/>
    <x v="72"/>
    <x v="1"/>
    <s v="Sun Bicycles Cruz 3 - 2017"/>
    <x v="1"/>
  </r>
  <r>
    <n v="794"/>
    <n v="3"/>
    <n v="17"/>
    <x v="0"/>
    <n v="429"/>
    <x v="1"/>
    <x v="7"/>
    <x v="1"/>
    <s v="Pure Cycles Vine 8-Speed - 2016"/>
    <x v="1"/>
  </r>
  <r>
    <n v="794"/>
    <n v="4"/>
    <n v="28"/>
    <x v="0"/>
    <n v="2499.9899999999998"/>
    <x v="3"/>
    <x v="79"/>
    <x v="1"/>
    <s v="Surly Karate Monkey 27.5+ Frameset - 2017"/>
    <x v="1"/>
  </r>
  <r>
    <n v="795"/>
    <n v="1"/>
    <n v="95"/>
    <x v="1"/>
    <n v="299.99"/>
    <x v="2"/>
    <x v="22"/>
    <x v="1"/>
    <s v="Electra Girl's Hawaii 1 16&quot; - 2017"/>
    <x v="1"/>
  </r>
  <r>
    <n v="795"/>
    <n v="2"/>
    <n v="99"/>
    <x v="1"/>
    <n v="299.99"/>
    <x v="2"/>
    <x v="22"/>
    <x v="1"/>
    <s v="Electra Sugar Skulls 1 (20-inch) - Girl's - 2017"/>
    <x v="1"/>
  </r>
  <r>
    <n v="796"/>
    <n v="1"/>
    <n v="6"/>
    <x v="1"/>
    <n v="469.99"/>
    <x v="0"/>
    <x v="35"/>
    <x v="1"/>
    <s v="Surly Ice Cream Truck Frameset - 2016"/>
    <x v="2"/>
  </r>
  <r>
    <n v="797"/>
    <n v="1"/>
    <n v="11"/>
    <x v="0"/>
    <n v="1680.99"/>
    <x v="1"/>
    <x v="19"/>
    <x v="1"/>
    <s v="Surly Straggler 650b - 2016"/>
    <x v="1"/>
  </r>
  <r>
    <n v="797"/>
    <n v="2"/>
    <n v="69"/>
    <x v="0"/>
    <n v="416.99"/>
    <x v="2"/>
    <x v="71"/>
    <x v="1"/>
    <s v="Sun Bicycles Cruz 7 - 2017"/>
    <x v="1"/>
  </r>
  <r>
    <n v="797"/>
    <n v="3"/>
    <n v="74"/>
    <x v="0"/>
    <n v="439.99"/>
    <x v="3"/>
    <x v="56"/>
    <x v="1"/>
    <s v="Electra Cruiser Lux 1 - 2017"/>
    <x v="1"/>
  </r>
  <r>
    <n v="797"/>
    <n v="4"/>
    <n v="54"/>
    <x v="1"/>
    <n v="3199.99"/>
    <x v="2"/>
    <x v="64"/>
    <x v="1"/>
    <s v="Trek Domane SL Disc Frameset - 2017"/>
    <x v="1"/>
  </r>
  <r>
    <n v="797"/>
    <n v="5"/>
    <n v="62"/>
    <x v="1"/>
    <n v="3499.99"/>
    <x v="3"/>
    <x v="54"/>
    <x v="1"/>
    <s v="Trek Boone 7 - 2017"/>
    <x v="1"/>
  </r>
  <r>
    <n v="798"/>
    <n v="1"/>
    <n v="23"/>
    <x v="0"/>
    <n v="299.99"/>
    <x v="3"/>
    <x v="23"/>
    <x v="1"/>
    <s v="Electra Girl's Hawaii 1 (20-inch) - 2015/2016"/>
    <x v="0"/>
  </r>
  <r>
    <n v="798"/>
    <n v="2"/>
    <n v="90"/>
    <x v="0"/>
    <n v="209.99"/>
    <x v="2"/>
    <x v="48"/>
    <x v="1"/>
    <s v="Trek Precaliber 16 Girls - 2017"/>
    <x v="0"/>
  </r>
  <r>
    <n v="798"/>
    <n v="3"/>
    <n v="91"/>
    <x v="1"/>
    <n v="349.99"/>
    <x v="1"/>
    <x v="47"/>
    <x v="1"/>
    <s v="Trek Precaliber 24 (21-Speed) - Girls - 2017"/>
    <x v="0"/>
  </r>
  <r>
    <n v="798"/>
    <n v="4"/>
    <n v="42"/>
    <x v="0"/>
    <n v="2299.9899999999998"/>
    <x v="0"/>
    <x v="101"/>
    <x v="1"/>
    <s v="Trek Fuel EX 5 27.5 Plus - 2017"/>
    <x v="0"/>
  </r>
  <r>
    <n v="798"/>
    <n v="5"/>
    <n v="26"/>
    <x v="1"/>
    <n v="599.99"/>
    <x v="2"/>
    <x v="3"/>
    <x v="1"/>
    <s v="Electra Townie Original 7D EQ - 2016"/>
    <x v="0"/>
  </r>
  <r>
    <n v="799"/>
    <n v="1"/>
    <n v="5"/>
    <x v="1"/>
    <n v="1320.99"/>
    <x v="3"/>
    <x v="34"/>
    <x v="1"/>
    <s v="Heller Shagamaw Frame - 2016"/>
    <x v="0"/>
  </r>
  <r>
    <n v="799"/>
    <n v="2"/>
    <n v="34"/>
    <x v="1"/>
    <n v="469.99"/>
    <x v="2"/>
    <x v="35"/>
    <x v="1"/>
    <s v="Trek Session DH 27.5 Carbon Frameset - 2017"/>
    <x v="0"/>
  </r>
  <r>
    <n v="799"/>
    <n v="3"/>
    <n v="29"/>
    <x v="1"/>
    <n v="999.99"/>
    <x v="1"/>
    <x v="10"/>
    <x v="1"/>
    <s v="Trek X-Caliber 8 - 2017"/>
    <x v="0"/>
  </r>
  <r>
    <n v="799"/>
    <n v="4"/>
    <n v="63"/>
    <x v="0"/>
    <n v="3499.99"/>
    <x v="3"/>
    <x v="43"/>
    <x v="1"/>
    <s v="Trek Boone Race Shop Limited - 2017"/>
    <x v="0"/>
  </r>
  <r>
    <n v="799"/>
    <n v="5"/>
    <n v="58"/>
    <x v="1"/>
    <n v="4999.99"/>
    <x v="1"/>
    <x v="41"/>
    <x v="1"/>
    <s v="Trek Madone 9.2 - 2017"/>
    <x v="0"/>
  </r>
  <r>
    <n v="800"/>
    <n v="1"/>
    <n v="65"/>
    <x v="1"/>
    <n v="346.99"/>
    <x v="3"/>
    <x v="110"/>
    <x v="1"/>
    <s v="Sun Bicycles Lil Bolt Type-R - 2017"/>
    <x v="1"/>
  </r>
  <r>
    <n v="800"/>
    <n v="2"/>
    <n v="54"/>
    <x v="0"/>
    <n v="3199.99"/>
    <x v="1"/>
    <x v="120"/>
    <x v="1"/>
    <s v="Trek Domane SL Disc Frameset - 2017"/>
    <x v="1"/>
  </r>
  <r>
    <n v="800"/>
    <n v="3"/>
    <n v="6"/>
    <x v="1"/>
    <n v="469.99"/>
    <x v="2"/>
    <x v="35"/>
    <x v="1"/>
    <s v="Surly Ice Cream Truck Frameset - 2016"/>
    <x v="1"/>
  </r>
  <r>
    <n v="800"/>
    <n v="4"/>
    <n v="52"/>
    <x v="0"/>
    <n v="875.99"/>
    <x v="3"/>
    <x v="63"/>
    <x v="1"/>
    <s v="Surly Steamroller - 2017"/>
    <x v="1"/>
  </r>
  <r>
    <n v="800"/>
    <n v="5"/>
    <n v="95"/>
    <x v="1"/>
    <n v="299.99"/>
    <x v="2"/>
    <x v="22"/>
    <x v="1"/>
    <s v="Electra Girl's Hawaii 1 16&quot; - 2017"/>
    <x v="1"/>
  </r>
  <r>
    <n v="801"/>
    <n v="1"/>
    <n v="101"/>
    <x v="0"/>
    <n v="339.99"/>
    <x v="1"/>
    <x v="119"/>
    <x v="1"/>
    <s v="Electra Townie 7D (20-inch) - Boys' - 2017"/>
    <x v="0"/>
  </r>
  <r>
    <n v="802"/>
    <n v="1"/>
    <n v="30"/>
    <x v="0"/>
    <n v="999.99"/>
    <x v="2"/>
    <x v="5"/>
    <x v="1"/>
    <s v="Surly Ice Cream Truck Frameset - 2017"/>
    <x v="1"/>
  </r>
  <r>
    <n v="802"/>
    <n v="2"/>
    <n v="36"/>
    <x v="1"/>
    <n v="832.99"/>
    <x v="0"/>
    <x v="113"/>
    <x v="1"/>
    <s v="Surly Troll Frameset - 2017"/>
    <x v="1"/>
  </r>
  <r>
    <n v="802"/>
    <n v="3"/>
    <n v="40"/>
    <x v="0"/>
    <n v="4999.99"/>
    <x v="3"/>
    <x v="76"/>
    <x v="1"/>
    <s v="Trek Fuel EX 9.8 29 - 2017"/>
    <x v="1"/>
  </r>
  <r>
    <n v="802"/>
    <n v="4"/>
    <n v="28"/>
    <x v="0"/>
    <n v="2499.9899999999998"/>
    <x v="2"/>
    <x v="79"/>
    <x v="1"/>
    <s v="Surly Karate Monkey 27.5+ Frameset - 2017"/>
    <x v="1"/>
  </r>
  <r>
    <n v="803"/>
    <n v="1"/>
    <n v="111"/>
    <x v="0"/>
    <n v="470.99"/>
    <x v="1"/>
    <x v="107"/>
    <x v="1"/>
    <s v="Sun Bicycles Drifter 7 - Women's - 2017"/>
    <x v="2"/>
  </r>
  <r>
    <n v="803"/>
    <n v="2"/>
    <n v="52"/>
    <x v="1"/>
    <n v="875.99"/>
    <x v="2"/>
    <x v="73"/>
    <x v="1"/>
    <s v="Surly Steamroller - 2017"/>
    <x v="2"/>
  </r>
  <r>
    <n v="803"/>
    <n v="3"/>
    <n v="102"/>
    <x v="0"/>
    <n v="489.99"/>
    <x v="1"/>
    <x v="44"/>
    <x v="1"/>
    <s v="Electra Townie Original 7D - 2017"/>
    <x v="2"/>
  </r>
  <r>
    <n v="803"/>
    <n v="4"/>
    <n v="83"/>
    <x v="1"/>
    <n v="149.99"/>
    <x v="2"/>
    <x v="87"/>
    <x v="1"/>
    <s v="Trek Boy's Kickster - 2015/2017"/>
    <x v="2"/>
  </r>
  <r>
    <n v="804"/>
    <n v="1"/>
    <n v="89"/>
    <x v="1"/>
    <n v="209.99"/>
    <x v="0"/>
    <x v="84"/>
    <x v="1"/>
    <s v="Trek Precaliber 16 Boys - 2017"/>
    <x v="1"/>
  </r>
  <r>
    <n v="804"/>
    <n v="2"/>
    <n v="53"/>
    <x v="0"/>
    <n v="749.99"/>
    <x v="1"/>
    <x v="30"/>
    <x v="1"/>
    <s v="Surly Ogre Frameset - 2017"/>
    <x v="1"/>
  </r>
  <r>
    <n v="804"/>
    <n v="3"/>
    <n v="50"/>
    <x v="1"/>
    <n v="5999.99"/>
    <x v="2"/>
    <x v="121"/>
    <x v="1"/>
    <s v="Trek Silque SLR 7 Women's - 2017"/>
    <x v="1"/>
  </r>
  <r>
    <n v="805"/>
    <n v="1"/>
    <n v="24"/>
    <x v="0"/>
    <n v="549.99"/>
    <x v="2"/>
    <x v="31"/>
    <x v="1"/>
    <s v="Electra Townie Original 21D - 2016"/>
    <x v="1"/>
  </r>
  <r>
    <n v="805"/>
    <n v="2"/>
    <n v="33"/>
    <x v="1"/>
    <n v="469.99"/>
    <x v="0"/>
    <x v="35"/>
    <x v="1"/>
    <s v="Surly Wednesday Frameset - 2017"/>
    <x v="1"/>
  </r>
  <r>
    <n v="805"/>
    <n v="3"/>
    <n v="62"/>
    <x v="1"/>
    <n v="3499.99"/>
    <x v="0"/>
    <x v="54"/>
    <x v="1"/>
    <s v="Trek Boone 7 - 2017"/>
    <x v="1"/>
  </r>
  <r>
    <n v="805"/>
    <n v="4"/>
    <n v="32"/>
    <x v="0"/>
    <n v="469.99"/>
    <x v="1"/>
    <x v="20"/>
    <x v="1"/>
    <s v="Trek Farley Alloy Frameset - 2017"/>
    <x v="1"/>
  </r>
  <r>
    <n v="805"/>
    <n v="5"/>
    <n v="6"/>
    <x v="1"/>
    <n v="469.99"/>
    <x v="2"/>
    <x v="35"/>
    <x v="1"/>
    <s v="Surly Ice Cream Truck Frameset - 2016"/>
    <x v="1"/>
  </r>
  <r>
    <n v="806"/>
    <n v="1"/>
    <n v="93"/>
    <x v="1"/>
    <n v="209.99"/>
    <x v="3"/>
    <x v="84"/>
    <x v="1"/>
    <s v="Haro Shredder 20 Girls - 2017"/>
    <x v="1"/>
  </r>
  <r>
    <n v="806"/>
    <n v="2"/>
    <n v="97"/>
    <x v="0"/>
    <n v="349.99"/>
    <x v="0"/>
    <x v="99"/>
    <x v="1"/>
    <s v="Electra Savannah 3i (20-inch) - Girl's - 2017"/>
    <x v="1"/>
  </r>
  <r>
    <n v="806"/>
    <n v="3"/>
    <n v="77"/>
    <x v="1"/>
    <n v="799.99"/>
    <x v="3"/>
    <x v="108"/>
    <x v="1"/>
    <s v="Electra Glam Punk 3i Ladies' - 2017"/>
    <x v="1"/>
  </r>
  <r>
    <n v="806"/>
    <n v="4"/>
    <n v="82"/>
    <x v="1"/>
    <n v="659.99"/>
    <x v="0"/>
    <x v="96"/>
    <x v="1"/>
    <s v="Electra Amsterdam Original 3i Ladies' - 2017"/>
    <x v="1"/>
  </r>
  <r>
    <n v="806"/>
    <n v="5"/>
    <n v="91"/>
    <x v="1"/>
    <n v="349.99"/>
    <x v="1"/>
    <x v="47"/>
    <x v="1"/>
    <s v="Trek Precaliber 24 (21-Speed) - Girls - 2017"/>
    <x v="1"/>
  </r>
  <r>
    <n v="807"/>
    <n v="1"/>
    <n v="21"/>
    <x v="1"/>
    <n v="269.99"/>
    <x v="0"/>
    <x v="17"/>
    <x v="1"/>
    <s v="Electra Cruiser 1 (24-Inch) - 2016"/>
    <x v="1"/>
  </r>
  <r>
    <n v="807"/>
    <n v="2"/>
    <n v="6"/>
    <x v="0"/>
    <n v="469.99"/>
    <x v="1"/>
    <x v="20"/>
    <x v="1"/>
    <s v="Surly Ice Cream Truck Frameset - 2016"/>
    <x v="1"/>
  </r>
  <r>
    <n v="807"/>
    <n v="3"/>
    <n v="3"/>
    <x v="1"/>
    <n v="999.99"/>
    <x v="1"/>
    <x v="10"/>
    <x v="1"/>
    <s v="Surly Wednesday Frameset - 2016"/>
    <x v="1"/>
  </r>
  <r>
    <n v="807"/>
    <n v="4"/>
    <n v="9"/>
    <x v="1"/>
    <n v="2999.99"/>
    <x v="0"/>
    <x v="11"/>
    <x v="1"/>
    <s v="Trek Conduit+ - 2016"/>
    <x v="1"/>
  </r>
  <r>
    <n v="807"/>
    <n v="5"/>
    <n v="16"/>
    <x v="0"/>
    <n v="599.99"/>
    <x v="0"/>
    <x v="0"/>
    <x v="1"/>
    <s v="Electra Townie Original 7D EQ - 2016"/>
    <x v="1"/>
  </r>
  <r>
    <n v="808"/>
    <n v="1"/>
    <n v="96"/>
    <x v="1"/>
    <n v="349.99"/>
    <x v="2"/>
    <x v="47"/>
    <x v="1"/>
    <s v="Electra Moto 3i (20-inch) - Boy's - 2017"/>
    <x v="1"/>
  </r>
  <r>
    <n v="808"/>
    <n v="2"/>
    <n v="18"/>
    <x v="0"/>
    <n v="449"/>
    <x v="2"/>
    <x v="8"/>
    <x v="1"/>
    <s v="Pure Cycles Western 3-Speed - Women's - 2015/2016"/>
    <x v="1"/>
  </r>
  <r>
    <n v="808"/>
    <n v="3"/>
    <n v="85"/>
    <x v="0"/>
    <n v="329.99"/>
    <x v="2"/>
    <x v="51"/>
    <x v="1"/>
    <s v="Haro Downtown 16 - 2017"/>
    <x v="1"/>
  </r>
  <r>
    <n v="808"/>
    <n v="4"/>
    <n v="19"/>
    <x v="1"/>
    <n v="449"/>
    <x v="2"/>
    <x v="21"/>
    <x v="1"/>
    <s v="Pure Cycles William 3-Speed - 2016"/>
    <x v="1"/>
  </r>
  <r>
    <n v="809"/>
    <n v="1"/>
    <n v="78"/>
    <x v="0"/>
    <n v="647.99"/>
    <x v="3"/>
    <x v="49"/>
    <x v="1"/>
    <s v="Sun Bicycles Biscayne Tandem CB - 2017"/>
    <x v="1"/>
  </r>
  <r>
    <n v="809"/>
    <n v="2"/>
    <n v="26"/>
    <x v="0"/>
    <n v="599.99"/>
    <x v="0"/>
    <x v="0"/>
    <x v="1"/>
    <s v="Electra Townie Original 7D EQ - 2016"/>
    <x v="1"/>
  </r>
  <r>
    <n v="809"/>
    <n v="3"/>
    <n v="92"/>
    <x v="1"/>
    <n v="209.99"/>
    <x v="3"/>
    <x v="84"/>
    <x v="1"/>
    <s v="Haro Shredder 20 - 2017"/>
    <x v="1"/>
  </r>
  <r>
    <n v="810"/>
    <n v="1"/>
    <n v="103"/>
    <x v="1"/>
    <n v="551.99"/>
    <x v="2"/>
    <x v="95"/>
    <x v="1"/>
    <s v="Sun Bicycles Streamway 3 - 2017"/>
    <x v="2"/>
  </r>
  <r>
    <n v="810"/>
    <n v="2"/>
    <n v="100"/>
    <x v="0"/>
    <n v="489.99"/>
    <x v="0"/>
    <x v="44"/>
    <x v="1"/>
    <s v="Electra Townie 3i EQ (20-inch) - Boys' - 2017"/>
    <x v="2"/>
  </r>
  <r>
    <n v="810"/>
    <n v="3"/>
    <n v="56"/>
    <x v="0"/>
    <n v="5499.99"/>
    <x v="2"/>
    <x v="39"/>
    <x v="1"/>
    <s v="Trek Domane SLR 6 Disc - 2017"/>
    <x v="2"/>
  </r>
  <r>
    <n v="810"/>
    <n v="4"/>
    <n v="22"/>
    <x v="0"/>
    <n v="269.99"/>
    <x v="0"/>
    <x v="14"/>
    <x v="1"/>
    <s v="Electra Girl's Hawaii 1 (16-inch) - 2015/2016"/>
    <x v="2"/>
  </r>
  <r>
    <n v="811"/>
    <n v="1"/>
    <n v="45"/>
    <x v="1"/>
    <n v="869.99"/>
    <x v="1"/>
    <x v="81"/>
    <x v="1"/>
    <s v="Haro SR 1.2 - 2017"/>
    <x v="1"/>
  </r>
  <r>
    <n v="811"/>
    <n v="2"/>
    <n v="54"/>
    <x v="0"/>
    <n v="3199.99"/>
    <x v="0"/>
    <x v="120"/>
    <x v="1"/>
    <s v="Trek Domane SL Disc Frameset - 2017"/>
    <x v="1"/>
  </r>
  <r>
    <n v="811"/>
    <n v="3"/>
    <n v="70"/>
    <x v="0"/>
    <n v="659.99"/>
    <x v="1"/>
    <x v="66"/>
    <x v="1"/>
    <s v="Electra Amsterdam Original 3i - 2015/2017"/>
    <x v="1"/>
  </r>
  <r>
    <n v="811"/>
    <n v="4"/>
    <n v="66"/>
    <x v="0"/>
    <n v="250.99"/>
    <x v="3"/>
    <x v="61"/>
    <x v="1"/>
    <s v="Sun Bicycles Revolutions 24 - 2017"/>
    <x v="1"/>
  </r>
  <r>
    <n v="812"/>
    <n v="1"/>
    <n v="76"/>
    <x v="1"/>
    <n v="299.99"/>
    <x v="3"/>
    <x v="22"/>
    <x v="1"/>
    <s v="Electra Girl's Hawaii 1 16&quot; - 2017"/>
    <x v="1"/>
  </r>
  <r>
    <n v="812"/>
    <n v="2"/>
    <n v="40"/>
    <x v="0"/>
    <n v="4999.99"/>
    <x v="0"/>
    <x v="76"/>
    <x v="1"/>
    <s v="Trek Fuel EX 9.8 29 - 2017"/>
    <x v="1"/>
  </r>
  <r>
    <n v="813"/>
    <n v="1"/>
    <n v="96"/>
    <x v="1"/>
    <n v="349.99"/>
    <x v="3"/>
    <x v="47"/>
    <x v="1"/>
    <s v="Electra Moto 3i (20-inch) - Boy's - 2017"/>
    <x v="2"/>
  </r>
  <r>
    <n v="813"/>
    <n v="2"/>
    <n v="85"/>
    <x v="1"/>
    <n v="329.99"/>
    <x v="0"/>
    <x v="36"/>
    <x v="1"/>
    <s v="Haro Downtown 16 - 2017"/>
    <x v="2"/>
  </r>
  <r>
    <n v="813"/>
    <n v="3"/>
    <n v="33"/>
    <x v="1"/>
    <n v="469.99"/>
    <x v="0"/>
    <x v="35"/>
    <x v="1"/>
    <s v="Surly Wednesday Frameset - 2017"/>
    <x v="2"/>
  </r>
  <r>
    <n v="813"/>
    <n v="4"/>
    <n v="26"/>
    <x v="1"/>
    <n v="599.99"/>
    <x v="1"/>
    <x v="3"/>
    <x v="1"/>
    <s v="Electra Townie Original 7D EQ - 2016"/>
    <x v="2"/>
  </r>
  <r>
    <n v="813"/>
    <n v="5"/>
    <n v="71"/>
    <x v="1"/>
    <n v="416.99"/>
    <x v="2"/>
    <x v="42"/>
    <x v="1"/>
    <s v="Sun Bicycles Atlas X-Type - 2017"/>
    <x v="2"/>
  </r>
  <r>
    <n v="814"/>
    <n v="1"/>
    <n v="69"/>
    <x v="1"/>
    <n v="416.99"/>
    <x v="3"/>
    <x v="42"/>
    <x v="1"/>
    <s v="Sun Bicycles Cruz 7 - 2017"/>
    <x v="1"/>
  </r>
  <r>
    <n v="814"/>
    <n v="2"/>
    <n v="100"/>
    <x v="0"/>
    <n v="489.99"/>
    <x v="3"/>
    <x v="44"/>
    <x v="1"/>
    <s v="Electra Townie 3i EQ (20-inch) - Boys' - 2017"/>
    <x v="1"/>
  </r>
  <r>
    <n v="814"/>
    <n v="3"/>
    <n v="65"/>
    <x v="0"/>
    <n v="346.99"/>
    <x v="0"/>
    <x v="118"/>
    <x v="1"/>
    <s v="Sun Bicycles Lil Bolt Type-R - 2017"/>
    <x v="1"/>
  </r>
  <r>
    <n v="814"/>
    <n v="4"/>
    <n v="83"/>
    <x v="1"/>
    <n v="149.99"/>
    <x v="2"/>
    <x v="87"/>
    <x v="1"/>
    <s v="Trek Boy's Kickster - 2015/2017"/>
    <x v="1"/>
  </r>
  <r>
    <n v="815"/>
    <n v="1"/>
    <n v="105"/>
    <x v="1"/>
    <n v="533.99"/>
    <x v="0"/>
    <x v="85"/>
    <x v="1"/>
    <s v="Sun Bicycles Streamway 7 - 2017"/>
    <x v="0"/>
  </r>
  <r>
    <n v="815"/>
    <n v="2"/>
    <n v="102"/>
    <x v="1"/>
    <n v="489.99"/>
    <x v="0"/>
    <x v="52"/>
    <x v="1"/>
    <s v="Electra Townie Original 7D - 2017"/>
    <x v="0"/>
  </r>
  <r>
    <n v="815"/>
    <n v="3"/>
    <n v="87"/>
    <x v="1"/>
    <n v="189.99"/>
    <x v="3"/>
    <x v="59"/>
    <x v="1"/>
    <s v="Trek Precaliber 12 Boys - 2017"/>
    <x v="0"/>
  </r>
  <r>
    <n v="815"/>
    <n v="4"/>
    <n v="23"/>
    <x v="0"/>
    <n v="299.99"/>
    <x v="1"/>
    <x v="23"/>
    <x v="1"/>
    <s v="Electra Girl's Hawaii 1 (20-inch) - 2015/2016"/>
    <x v="0"/>
  </r>
  <r>
    <n v="816"/>
    <n v="1"/>
    <n v="75"/>
    <x v="1"/>
    <n v="599.99"/>
    <x v="3"/>
    <x v="3"/>
    <x v="1"/>
    <s v="Electra Cruiser Lux Fat Tire 1 Ladies - 2017"/>
    <x v="1"/>
  </r>
  <r>
    <n v="816"/>
    <n v="2"/>
    <n v="64"/>
    <x v="1"/>
    <n v="489.99"/>
    <x v="0"/>
    <x v="52"/>
    <x v="1"/>
    <s v="Electra Townie Original 7D - 2017"/>
    <x v="1"/>
  </r>
  <r>
    <n v="817"/>
    <n v="1"/>
    <n v="85"/>
    <x v="0"/>
    <n v="329.99"/>
    <x v="2"/>
    <x v="51"/>
    <x v="1"/>
    <s v="Haro Downtown 16 - 2017"/>
    <x v="1"/>
  </r>
  <r>
    <n v="817"/>
    <n v="2"/>
    <n v="105"/>
    <x v="1"/>
    <n v="533.99"/>
    <x v="1"/>
    <x v="85"/>
    <x v="1"/>
    <s v="Sun Bicycles Streamway 7 - 2017"/>
    <x v="1"/>
  </r>
  <r>
    <n v="817"/>
    <n v="3"/>
    <n v="48"/>
    <x v="1"/>
    <n v="1499.99"/>
    <x v="2"/>
    <x v="65"/>
    <x v="1"/>
    <s v="Trek Emonda S 4 - 2017"/>
    <x v="1"/>
  </r>
  <r>
    <n v="818"/>
    <n v="1"/>
    <n v="103"/>
    <x v="0"/>
    <n v="551.99"/>
    <x v="2"/>
    <x v="38"/>
    <x v="1"/>
    <s v="Sun Bicycles Streamway 3 - 2017"/>
    <x v="1"/>
  </r>
  <r>
    <n v="818"/>
    <n v="2"/>
    <n v="44"/>
    <x v="1"/>
    <n v="539.99"/>
    <x v="1"/>
    <x v="104"/>
    <x v="1"/>
    <s v="Haro SR 1.1 - 2017"/>
    <x v="1"/>
  </r>
  <r>
    <n v="818"/>
    <n v="3"/>
    <n v="19"/>
    <x v="1"/>
    <n v="449"/>
    <x v="2"/>
    <x v="21"/>
    <x v="1"/>
    <s v="Pure Cycles William 3-Speed - 2016"/>
    <x v="1"/>
  </r>
  <r>
    <n v="818"/>
    <n v="4"/>
    <n v="48"/>
    <x v="1"/>
    <n v="1499.99"/>
    <x v="2"/>
    <x v="65"/>
    <x v="1"/>
    <s v="Trek Emonda S 4 - 2017"/>
    <x v="1"/>
  </r>
  <r>
    <n v="819"/>
    <n v="1"/>
    <n v="94"/>
    <x v="0"/>
    <n v="249.99"/>
    <x v="0"/>
    <x v="70"/>
    <x v="1"/>
    <s v="Haro Shredder Pro 20 - 2017"/>
    <x v="2"/>
  </r>
  <r>
    <n v="820"/>
    <n v="1"/>
    <n v="107"/>
    <x v="0"/>
    <n v="416.99"/>
    <x v="2"/>
    <x v="71"/>
    <x v="1"/>
    <s v="Sun Bicycles Cruz 7 - 2017"/>
    <x v="1"/>
  </r>
  <r>
    <n v="821"/>
    <n v="1"/>
    <n v="102"/>
    <x v="0"/>
    <n v="489.99"/>
    <x v="1"/>
    <x v="44"/>
    <x v="1"/>
    <s v="Electra Townie Original 7D - 2017"/>
    <x v="1"/>
  </r>
  <r>
    <n v="821"/>
    <n v="2"/>
    <n v="70"/>
    <x v="1"/>
    <n v="659.99"/>
    <x v="0"/>
    <x v="96"/>
    <x v="1"/>
    <s v="Electra Amsterdam Original 3i - 2015/2017"/>
    <x v="1"/>
  </r>
  <r>
    <n v="821"/>
    <n v="3"/>
    <n v="6"/>
    <x v="0"/>
    <n v="469.99"/>
    <x v="0"/>
    <x v="20"/>
    <x v="1"/>
    <s v="Surly Ice Cream Truck Frameset - 2016"/>
    <x v="1"/>
  </r>
  <r>
    <n v="821"/>
    <n v="4"/>
    <n v="107"/>
    <x v="0"/>
    <n v="416.99"/>
    <x v="2"/>
    <x v="71"/>
    <x v="1"/>
    <s v="Sun Bicycles Cruz 7 - 2017"/>
    <x v="1"/>
  </r>
  <r>
    <n v="822"/>
    <n v="1"/>
    <n v="53"/>
    <x v="0"/>
    <n v="749.99"/>
    <x v="2"/>
    <x v="30"/>
    <x v="1"/>
    <s v="Surly Ogre Frameset - 2017"/>
    <x v="1"/>
  </r>
  <r>
    <n v="822"/>
    <n v="2"/>
    <n v="72"/>
    <x v="0"/>
    <n v="619.99"/>
    <x v="0"/>
    <x v="40"/>
    <x v="1"/>
    <s v="Sun Bicycles Biscayne Tandem 7 - 2017"/>
    <x v="1"/>
  </r>
  <r>
    <n v="823"/>
    <n v="1"/>
    <n v="56"/>
    <x v="1"/>
    <n v="5499.99"/>
    <x v="1"/>
    <x v="91"/>
    <x v="1"/>
    <s v="Trek Domane SLR 6 Disc - 2017"/>
    <x v="2"/>
  </r>
  <r>
    <n v="823"/>
    <n v="2"/>
    <n v="86"/>
    <x v="1"/>
    <n v="149.99"/>
    <x v="0"/>
    <x v="87"/>
    <x v="1"/>
    <s v="Trek Girl's Kickster - 2017"/>
    <x v="2"/>
  </r>
  <r>
    <n v="823"/>
    <n v="3"/>
    <n v="81"/>
    <x v="0"/>
    <n v="1099.99"/>
    <x v="0"/>
    <x v="111"/>
    <x v="1"/>
    <s v="Electra Amsterdam Fashion 7i Ladies' - 2017"/>
    <x v="2"/>
  </r>
  <r>
    <n v="824"/>
    <n v="1"/>
    <n v="92"/>
    <x v="1"/>
    <n v="209.99"/>
    <x v="3"/>
    <x v="84"/>
    <x v="1"/>
    <s v="Haro Shredder 20 - 2017"/>
    <x v="0"/>
  </r>
  <r>
    <n v="825"/>
    <n v="1"/>
    <n v="19"/>
    <x v="0"/>
    <n v="449"/>
    <x v="3"/>
    <x v="8"/>
    <x v="1"/>
    <s v="Pure Cycles William 3-Speed - 2016"/>
    <x v="1"/>
  </r>
  <r>
    <n v="825"/>
    <n v="2"/>
    <n v="30"/>
    <x v="1"/>
    <n v="999.99"/>
    <x v="0"/>
    <x v="10"/>
    <x v="1"/>
    <s v="Surly Ice Cream Truck Frameset - 2017"/>
    <x v="1"/>
  </r>
  <r>
    <n v="826"/>
    <n v="1"/>
    <n v="45"/>
    <x v="1"/>
    <n v="869.99"/>
    <x v="0"/>
    <x v="81"/>
    <x v="1"/>
    <s v="Haro SR 1.2 - 2017"/>
    <x v="1"/>
  </r>
  <r>
    <n v="826"/>
    <n v="2"/>
    <n v="36"/>
    <x v="0"/>
    <n v="832.99"/>
    <x v="3"/>
    <x v="106"/>
    <x v="1"/>
    <s v="Surly Troll Frameset - 2017"/>
    <x v="1"/>
  </r>
  <r>
    <n v="827"/>
    <n v="1"/>
    <n v="43"/>
    <x v="0"/>
    <n v="5299.99"/>
    <x v="2"/>
    <x v="57"/>
    <x v="1"/>
    <s v="Trek Fuel EX 9.8 27.5 Plus - 2017"/>
    <x v="1"/>
  </r>
  <r>
    <n v="827"/>
    <n v="2"/>
    <n v="41"/>
    <x v="0"/>
    <n v="1469.99"/>
    <x v="0"/>
    <x v="112"/>
    <x v="1"/>
    <s v="Haro Shift R3 - 2017"/>
    <x v="1"/>
  </r>
  <r>
    <n v="827"/>
    <n v="3"/>
    <n v="28"/>
    <x v="0"/>
    <n v="2499.9899999999998"/>
    <x v="0"/>
    <x v="79"/>
    <x v="1"/>
    <s v="Surly Karate Monkey 27.5+ Frameset - 2017"/>
    <x v="1"/>
  </r>
  <r>
    <n v="827"/>
    <n v="4"/>
    <n v="108"/>
    <x v="0"/>
    <n v="449.99"/>
    <x v="0"/>
    <x v="72"/>
    <x v="1"/>
    <s v="Sun Bicycles Cruz 3 - Women's - 2017"/>
    <x v="1"/>
  </r>
  <r>
    <n v="828"/>
    <n v="1"/>
    <n v="25"/>
    <x v="1"/>
    <n v="499.99"/>
    <x v="0"/>
    <x v="26"/>
    <x v="1"/>
    <s v="Electra Townie Original 7D - 2015/2016"/>
    <x v="1"/>
  </r>
  <r>
    <n v="828"/>
    <n v="2"/>
    <n v="24"/>
    <x v="0"/>
    <n v="549.99"/>
    <x v="0"/>
    <x v="31"/>
    <x v="1"/>
    <s v="Electra Townie Original 21D - 2016"/>
    <x v="1"/>
  </r>
  <r>
    <n v="828"/>
    <n v="3"/>
    <n v="55"/>
    <x v="1"/>
    <n v="2699.99"/>
    <x v="1"/>
    <x v="68"/>
    <x v="1"/>
    <s v="Trek Domane S 6 - 2017"/>
    <x v="1"/>
  </r>
  <r>
    <n v="829"/>
    <n v="1"/>
    <n v="103"/>
    <x v="0"/>
    <n v="551.99"/>
    <x v="0"/>
    <x v="38"/>
    <x v="1"/>
    <s v="Sun Bicycles Streamway 3 - 2017"/>
    <x v="1"/>
  </r>
  <r>
    <n v="829"/>
    <n v="2"/>
    <n v="105"/>
    <x v="1"/>
    <n v="533.99"/>
    <x v="3"/>
    <x v="85"/>
    <x v="1"/>
    <s v="Sun Bicycles Streamway 7 - 2017"/>
    <x v="1"/>
  </r>
  <r>
    <n v="830"/>
    <n v="1"/>
    <n v="85"/>
    <x v="1"/>
    <n v="329.99"/>
    <x v="0"/>
    <x v="36"/>
    <x v="1"/>
    <s v="Haro Downtown 16 - 2017"/>
    <x v="1"/>
  </r>
  <r>
    <n v="830"/>
    <n v="2"/>
    <n v="100"/>
    <x v="1"/>
    <n v="489.99"/>
    <x v="1"/>
    <x v="52"/>
    <x v="1"/>
    <s v="Electra Townie 3i EQ (20-inch) - Boys' - 2017"/>
    <x v="1"/>
  </r>
  <r>
    <n v="830"/>
    <n v="3"/>
    <n v="96"/>
    <x v="1"/>
    <n v="349.99"/>
    <x v="0"/>
    <x v="47"/>
    <x v="1"/>
    <s v="Electra Moto 3i (20-inch) - Boy's - 2017"/>
    <x v="1"/>
  </r>
  <r>
    <n v="831"/>
    <n v="1"/>
    <n v="67"/>
    <x v="0"/>
    <n v="250.99"/>
    <x v="0"/>
    <x v="61"/>
    <x v="1"/>
    <s v="Sun Bicycles Revolutions 24 - Girl's - 2017"/>
    <x v="1"/>
  </r>
  <r>
    <n v="831"/>
    <n v="2"/>
    <n v="11"/>
    <x v="0"/>
    <n v="1680.99"/>
    <x v="0"/>
    <x v="19"/>
    <x v="1"/>
    <s v="Surly Straggler 650b - 2016"/>
    <x v="1"/>
  </r>
  <r>
    <n v="831"/>
    <n v="3"/>
    <n v="68"/>
    <x v="0"/>
    <n v="449.99"/>
    <x v="3"/>
    <x v="72"/>
    <x v="1"/>
    <s v="Sun Bicycles Cruz 3 - 2017"/>
    <x v="1"/>
  </r>
  <r>
    <n v="832"/>
    <n v="1"/>
    <n v="54"/>
    <x v="0"/>
    <n v="3199.99"/>
    <x v="2"/>
    <x v="120"/>
    <x v="1"/>
    <s v="Trek Domane SL Disc Frameset - 2017"/>
    <x v="1"/>
  </r>
  <r>
    <n v="832"/>
    <n v="2"/>
    <n v="45"/>
    <x v="0"/>
    <n v="869.99"/>
    <x v="0"/>
    <x v="98"/>
    <x v="1"/>
    <s v="Haro SR 1.2 - 2017"/>
    <x v="1"/>
  </r>
  <r>
    <n v="832"/>
    <n v="3"/>
    <n v="27"/>
    <x v="0"/>
    <n v="999.99"/>
    <x v="1"/>
    <x v="5"/>
    <x v="1"/>
    <s v="Surly Big Dummy Frameset - 2017"/>
    <x v="1"/>
  </r>
  <r>
    <n v="832"/>
    <n v="4"/>
    <n v="16"/>
    <x v="1"/>
    <n v="599.99"/>
    <x v="3"/>
    <x v="3"/>
    <x v="1"/>
    <s v="Electra Townie Original 7D EQ - 2016"/>
    <x v="1"/>
  </r>
  <r>
    <n v="833"/>
    <n v="1"/>
    <n v="20"/>
    <x v="1"/>
    <n v="599.99"/>
    <x v="2"/>
    <x v="3"/>
    <x v="1"/>
    <s v="Electra Townie Original 7D EQ - Women's - 2016"/>
    <x v="1"/>
  </r>
  <r>
    <n v="834"/>
    <n v="1"/>
    <n v="54"/>
    <x v="0"/>
    <n v="3199.99"/>
    <x v="1"/>
    <x v="120"/>
    <x v="1"/>
    <s v="Trek Domane SL Disc Frameset - 2017"/>
    <x v="1"/>
  </r>
  <r>
    <n v="834"/>
    <n v="2"/>
    <n v="21"/>
    <x v="0"/>
    <n v="269.99"/>
    <x v="2"/>
    <x v="14"/>
    <x v="1"/>
    <s v="Electra Cruiser 1 (24-Inch) - 2016"/>
    <x v="1"/>
  </r>
  <r>
    <n v="834"/>
    <n v="3"/>
    <n v="78"/>
    <x v="0"/>
    <n v="647.99"/>
    <x v="0"/>
    <x v="49"/>
    <x v="1"/>
    <s v="Sun Bicycles Biscayne Tandem CB - 2017"/>
    <x v="1"/>
  </r>
  <r>
    <n v="835"/>
    <n v="1"/>
    <n v="65"/>
    <x v="1"/>
    <n v="346.99"/>
    <x v="1"/>
    <x v="110"/>
    <x v="1"/>
    <s v="Sun Bicycles Lil Bolt Type-R - 2017"/>
    <x v="0"/>
  </r>
  <r>
    <n v="835"/>
    <n v="2"/>
    <n v="82"/>
    <x v="0"/>
    <n v="659.99"/>
    <x v="0"/>
    <x v="66"/>
    <x v="1"/>
    <s v="Electra Amsterdam Original 3i Ladies' - 2017"/>
    <x v="0"/>
  </r>
  <r>
    <n v="835"/>
    <n v="3"/>
    <n v="2"/>
    <x v="0"/>
    <n v="749.99"/>
    <x v="2"/>
    <x v="30"/>
    <x v="1"/>
    <s v="Ritchey Timberwolf Frameset - 2016"/>
    <x v="0"/>
  </r>
  <r>
    <n v="836"/>
    <n v="1"/>
    <n v="108"/>
    <x v="1"/>
    <n v="449.99"/>
    <x v="0"/>
    <x v="37"/>
    <x v="1"/>
    <s v="Sun Bicycles Cruz 3 - Women's - 2017"/>
    <x v="1"/>
  </r>
  <r>
    <n v="837"/>
    <n v="1"/>
    <n v="51"/>
    <x v="0"/>
    <n v="6499.99"/>
    <x v="2"/>
    <x v="122"/>
    <x v="1"/>
    <s v="Trek Silque SLR 8 Women's - 2017"/>
    <x v="1"/>
  </r>
  <r>
    <n v="837"/>
    <n v="2"/>
    <n v="97"/>
    <x v="0"/>
    <n v="349.99"/>
    <x v="3"/>
    <x v="99"/>
    <x v="1"/>
    <s v="Electra Savannah 3i (20-inch) - Girl's - 2017"/>
    <x v="1"/>
  </r>
  <r>
    <n v="837"/>
    <n v="3"/>
    <n v="87"/>
    <x v="1"/>
    <n v="189.99"/>
    <x v="0"/>
    <x v="59"/>
    <x v="1"/>
    <s v="Trek Precaliber 12 Boys - 2017"/>
    <x v="1"/>
  </r>
  <r>
    <n v="838"/>
    <n v="1"/>
    <n v="28"/>
    <x v="0"/>
    <n v="2499.9899999999998"/>
    <x v="3"/>
    <x v="79"/>
    <x v="1"/>
    <s v="Surly Karate Monkey 27.5+ Frameset - 2017"/>
    <x v="1"/>
  </r>
  <r>
    <n v="838"/>
    <n v="2"/>
    <n v="10"/>
    <x v="0"/>
    <n v="1549"/>
    <x v="3"/>
    <x v="27"/>
    <x v="1"/>
    <s v="Surly Straggler - 2016"/>
    <x v="1"/>
  </r>
  <r>
    <n v="838"/>
    <n v="3"/>
    <n v="100"/>
    <x v="1"/>
    <n v="489.99"/>
    <x v="2"/>
    <x v="52"/>
    <x v="1"/>
    <s v="Electra Townie 3i EQ (20-inch) - Boys' - 2017"/>
    <x v="1"/>
  </r>
  <r>
    <n v="838"/>
    <n v="4"/>
    <n v="65"/>
    <x v="1"/>
    <n v="346.99"/>
    <x v="1"/>
    <x v="110"/>
    <x v="1"/>
    <s v="Sun Bicycles Lil Bolt Type-R - 2017"/>
    <x v="1"/>
  </r>
  <r>
    <n v="839"/>
    <n v="1"/>
    <n v="55"/>
    <x v="0"/>
    <n v="2699.99"/>
    <x v="1"/>
    <x v="82"/>
    <x v="1"/>
    <s v="Trek Domane S 6 - 2017"/>
    <x v="0"/>
  </r>
  <r>
    <n v="839"/>
    <n v="2"/>
    <n v="85"/>
    <x v="0"/>
    <n v="329.99"/>
    <x v="3"/>
    <x v="51"/>
    <x v="1"/>
    <s v="Haro Downtown 16 - 2017"/>
    <x v="0"/>
  </r>
  <r>
    <n v="839"/>
    <n v="3"/>
    <n v="58"/>
    <x v="1"/>
    <n v="4999.99"/>
    <x v="2"/>
    <x v="41"/>
    <x v="1"/>
    <s v="Trek Madone 9.2 - 2017"/>
    <x v="0"/>
  </r>
  <r>
    <n v="840"/>
    <n v="1"/>
    <n v="27"/>
    <x v="0"/>
    <n v="999.99"/>
    <x v="1"/>
    <x v="5"/>
    <x v="1"/>
    <s v="Surly Big Dummy Frameset - 2017"/>
    <x v="1"/>
  </r>
  <r>
    <n v="840"/>
    <n v="2"/>
    <n v="43"/>
    <x v="0"/>
    <n v="5299.99"/>
    <x v="1"/>
    <x v="57"/>
    <x v="1"/>
    <s v="Trek Fuel EX 9.8 27.5 Plus - 2017"/>
    <x v="1"/>
  </r>
  <r>
    <n v="840"/>
    <n v="3"/>
    <n v="106"/>
    <x v="1"/>
    <n v="449.99"/>
    <x v="0"/>
    <x v="37"/>
    <x v="1"/>
    <s v="Sun Bicycles Cruz 3 - 2017"/>
    <x v="1"/>
  </r>
  <r>
    <n v="841"/>
    <n v="1"/>
    <n v="22"/>
    <x v="1"/>
    <n v="269.99"/>
    <x v="3"/>
    <x v="17"/>
    <x v="1"/>
    <s v="Electra Girl's Hawaii 1 (16-inch) - 2015/2016"/>
    <x v="1"/>
  </r>
  <r>
    <n v="841"/>
    <n v="2"/>
    <n v="9"/>
    <x v="0"/>
    <n v="2999.99"/>
    <x v="0"/>
    <x v="28"/>
    <x v="1"/>
    <s v="Trek Conduit+ - 2016"/>
    <x v="1"/>
  </r>
  <r>
    <n v="841"/>
    <n v="3"/>
    <n v="11"/>
    <x v="0"/>
    <n v="1680.99"/>
    <x v="0"/>
    <x v="19"/>
    <x v="1"/>
    <s v="Surly Straggler 650b - 2016"/>
    <x v="1"/>
  </r>
  <r>
    <n v="841"/>
    <n v="4"/>
    <n v="90"/>
    <x v="1"/>
    <n v="209.99"/>
    <x v="1"/>
    <x v="84"/>
    <x v="1"/>
    <s v="Trek Precaliber 16 Girls - 2017"/>
    <x v="1"/>
  </r>
  <r>
    <n v="841"/>
    <n v="5"/>
    <n v="100"/>
    <x v="0"/>
    <n v="489.99"/>
    <x v="3"/>
    <x v="44"/>
    <x v="1"/>
    <s v="Electra Townie 3i EQ (20-inch) - Boys' - 2017"/>
    <x v="1"/>
  </r>
  <r>
    <n v="842"/>
    <n v="1"/>
    <n v="81"/>
    <x v="1"/>
    <n v="1099.99"/>
    <x v="1"/>
    <x v="88"/>
    <x v="1"/>
    <s v="Electra Amsterdam Fashion 7i Ladies' - 2017"/>
    <x v="1"/>
  </r>
  <r>
    <n v="842"/>
    <n v="2"/>
    <n v="42"/>
    <x v="0"/>
    <n v="2299.9899999999998"/>
    <x v="3"/>
    <x v="101"/>
    <x v="1"/>
    <s v="Trek Fuel EX 5 27.5 Plus - 2017"/>
    <x v="1"/>
  </r>
  <r>
    <n v="843"/>
    <n v="1"/>
    <n v="72"/>
    <x v="0"/>
    <n v="619.99"/>
    <x v="3"/>
    <x v="40"/>
    <x v="1"/>
    <s v="Sun Bicycles Biscayne Tandem 7 - 2017"/>
    <x v="1"/>
  </r>
  <r>
    <n v="843"/>
    <n v="2"/>
    <n v="75"/>
    <x v="1"/>
    <n v="599.99"/>
    <x v="3"/>
    <x v="3"/>
    <x v="1"/>
    <s v="Electra Cruiser Lux Fat Tire 1 Ladies - 2017"/>
    <x v="1"/>
  </r>
  <r>
    <n v="843"/>
    <n v="3"/>
    <n v="81"/>
    <x v="0"/>
    <n v="1099.99"/>
    <x v="3"/>
    <x v="111"/>
    <x v="1"/>
    <s v="Electra Amsterdam Fashion 7i Ladies' - 2017"/>
    <x v="1"/>
  </r>
  <r>
    <n v="843"/>
    <n v="4"/>
    <n v="23"/>
    <x v="1"/>
    <n v="299.99"/>
    <x v="1"/>
    <x v="22"/>
    <x v="1"/>
    <s v="Electra Girl's Hawaii 1 (20-inch) - 2015/2016"/>
    <x v="1"/>
  </r>
  <r>
    <n v="844"/>
    <n v="1"/>
    <n v="79"/>
    <x v="1"/>
    <n v="402.99"/>
    <x v="1"/>
    <x v="123"/>
    <x v="1"/>
    <s v="Sun Bicycles Boardwalk (24-inch Wheels) - 2017"/>
    <x v="1"/>
  </r>
  <r>
    <n v="844"/>
    <n v="2"/>
    <n v="12"/>
    <x v="0"/>
    <n v="549.99"/>
    <x v="3"/>
    <x v="31"/>
    <x v="1"/>
    <s v="Electra Townie Original 21D - 2016"/>
    <x v="1"/>
  </r>
  <r>
    <n v="844"/>
    <n v="3"/>
    <n v="83"/>
    <x v="1"/>
    <n v="149.99"/>
    <x v="0"/>
    <x v="87"/>
    <x v="1"/>
    <s v="Trek Boy's Kickster - 2015/2017"/>
    <x v="1"/>
  </r>
  <r>
    <n v="844"/>
    <n v="4"/>
    <n v="48"/>
    <x v="0"/>
    <n v="1499.99"/>
    <x v="0"/>
    <x v="77"/>
    <x v="1"/>
    <s v="Trek Emonda S 4 - 2017"/>
    <x v="1"/>
  </r>
  <r>
    <n v="844"/>
    <n v="5"/>
    <n v="63"/>
    <x v="1"/>
    <n v="3499.99"/>
    <x v="2"/>
    <x v="54"/>
    <x v="1"/>
    <s v="Trek Boone Race Shop Limited - 2017"/>
    <x v="1"/>
  </r>
  <r>
    <n v="845"/>
    <n v="1"/>
    <n v="16"/>
    <x v="1"/>
    <n v="599.99"/>
    <x v="0"/>
    <x v="3"/>
    <x v="1"/>
    <s v="Electra Townie Original 7D EQ - 2016"/>
    <x v="1"/>
  </r>
  <r>
    <n v="845"/>
    <n v="2"/>
    <n v="75"/>
    <x v="0"/>
    <n v="599.99"/>
    <x v="0"/>
    <x v="0"/>
    <x v="1"/>
    <s v="Electra Cruiser Lux Fat Tire 1 Ladies - 2017"/>
    <x v="1"/>
  </r>
  <r>
    <n v="845"/>
    <n v="3"/>
    <n v="26"/>
    <x v="1"/>
    <n v="599.99"/>
    <x v="2"/>
    <x v="3"/>
    <x v="1"/>
    <s v="Electra Townie Original 7D EQ - 2016"/>
    <x v="1"/>
  </r>
  <r>
    <n v="845"/>
    <n v="4"/>
    <n v="73"/>
    <x v="1"/>
    <n v="749.99"/>
    <x v="0"/>
    <x v="6"/>
    <x v="1"/>
    <s v="Sun Bicycles Brickell Tandem 7 - 2017"/>
    <x v="1"/>
  </r>
  <r>
    <n v="845"/>
    <n v="5"/>
    <n v="88"/>
    <x v="0"/>
    <n v="189.99"/>
    <x v="2"/>
    <x v="93"/>
    <x v="1"/>
    <s v="Trek Precaliber 12 Girls - 2017"/>
    <x v="1"/>
  </r>
  <r>
    <n v="846"/>
    <n v="1"/>
    <n v="46"/>
    <x v="1"/>
    <n v="1409.99"/>
    <x v="2"/>
    <x v="124"/>
    <x v="1"/>
    <s v="Haro SR 1.3 - 2017"/>
    <x v="1"/>
  </r>
  <r>
    <n v="846"/>
    <n v="2"/>
    <n v="47"/>
    <x v="0"/>
    <n v="5299.99"/>
    <x v="1"/>
    <x v="57"/>
    <x v="1"/>
    <s v="Trek Remedy 9.8 - 2017"/>
    <x v="1"/>
  </r>
  <r>
    <n v="846"/>
    <n v="3"/>
    <n v="71"/>
    <x v="0"/>
    <n v="416.99"/>
    <x v="3"/>
    <x v="71"/>
    <x v="1"/>
    <s v="Sun Bicycles Atlas X-Type - 2017"/>
    <x v="1"/>
  </r>
  <r>
    <n v="846"/>
    <n v="4"/>
    <n v="72"/>
    <x v="1"/>
    <n v="619.99"/>
    <x v="2"/>
    <x v="103"/>
    <x v="1"/>
    <s v="Sun Bicycles Biscayne Tandem 7 - 2017"/>
    <x v="1"/>
  </r>
  <r>
    <n v="846"/>
    <n v="5"/>
    <n v="103"/>
    <x v="1"/>
    <n v="551.99"/>
    <x v="1"/>
    <x v="95"/>
    <x v="1"/>
    <s v="Sun Bicycles Streamway 3 - 2017"/>
    <x v="1"/>
  </r>
  <r>
    <n v="847"/>
    <n v="1"/>
    <n v="61"/>
    <x v="1"/>
    <n v="4999.99"/>
    <x v="2"/>
    <x v="41"/>
    <x v="1"/>
    <s v="Trek Powerfly 8 FS Plus - 2017"/>
    <x v="1"/>
  </r>
  <r>
    <n v="848"/>
    <n v="1"/>
    <n v="93"/>
    <x v="0"/>
    <n v="209.99"/>
    <x v="1"/>
    <x v="48"/>
    <x v="1"/>
    <s v="Haro Shredder 20 Girls - 2017"/>
    <x v="1"/>
  </r>
  <r>
    <n v="848"/>
    <n v="2"/>
    <n v="100"/>
    <x v="1"/>
    <n v="489.99"/>
    <x v="0"/>
    <x v="52"/>
    <x v="1"/>
    <s v="Electra Townie 3i EQ (20-inch) - Boys' - 2017"/>
    <x v="1"/>
  </r>
  <r>
    <n v="848"/>
    <n v="3"/>
    <n v="88"/>
    <x v="1"/>
    <n v="189.99"/>
    <x v="0"/>
    <x v="59"/>
    <x v="1"/>
    <s v="Trek Precaliber 12 Girls - 2017"/>
    <x v="1"/>
  </r>
  <r>
    <n v="848"/>
    <n v="4"/>
    <n v="41"/>
    <x v="1"/>
    <n v="1469.99"/>
    <x v="1"/>
    <x v="69"/>
    <x v="1"/>
    <s v="Haro Shift R3 - 2017"/>
    <x v="1"/>
  </r>
  <r>
    <n v="849"/>
    <n v="1"/>
    <n v="109"/>
    <x v="0"/>
    <n v="416.99"/>
    <x v="0"/>
    <x v="71"/>
    <x v="1"/>
    <s v="Sun Bicycles Cruz 7 - Women's - 2017"/>
    <x v="0"/>
  </r>
  <r>
    <n v="850"/>
    <n v="1"/>
    <n v="101"/>
    <x v="1"/>
    <n v="339.99"/>
    <x v="1"/>
    <x v="75"/>
    <x v="1"/>
    <s v="Electra Townie 7D (20-inch) - Boys' - 2017"/>
    <x v="0"/>
  </r>
  <r>
    <n v="850"/>
    <n v="2"/>
    <n v="5"/>
    <x v="1"/>
    <n v="1320.99"/>
    <x v="1"/>
    <x v="34"/>
    <x v="1"/>
    <s v="Heller Shagamaw Frame - 2016"/>
    <x v="0"/>
  </r>
  <r>
    <n v="850"/>
    <n v="3"/>
    <n v="37"/>
    <x v="0"/>
    <n v="379.99"/>
    <x v="1"/>
    <x v="125"/>
    <x v="1"/>
    <s v="Haro Flightline One ST - 2017"/>
    <x v="0"/>
  </r>
  <r>
    <n v="851"/>
    <n v="1"/>
    <n v="30"/>
    <x v="0"/>
    <n v="999.99"/>
    <x v="0"/>
    <x v="5"/>
    <x v="1"/>
    <s v="Surly Ice Cream Truck Frameset - 2017"/>
    <x v="1"/>
  </r>
  <r>
    <n v="851"/>
    <n v="2"/>
    <n v="93"/>
    <x v="0"/>
    <n v="209.99"/>
    <x v="2"/>
    <x v="48"/>
    <x v="1"/>
    <s v="Haro Shredder 20 Girls - 2017"/>
    <x v="1"/>
  </r>
  <r>
    <n v="852"/>
    <n v="1"/>
    <n v="46"/>
    <x v="1"/>
    <n v="1409.99"/>
    <x v="1"/>
    <x v="124"/>
    <x v="1"/>
    <s v="Haro SR 1.3 - 2017"/>
    <x v="2"/>
  </r>
  <r>
    <n v="853"/>
    <n v="1"/>
    <n v="99"/>
    <x v="0"/>
    <n v="299.99"/>
    <x v="2"/>
    <x v="23"/>
    <x v="1"/>
    <s v="Electra Sugar Skulls 1 (20-inch) - Girl's - 2017"/>
    <x v="2"/>
  </r>
  <r>
    <n v="853"/>
    <n v="2"/>
    <n v="58"/>
    <x v="1"/>
    <n v="4999.99"/>
    <x v="0"/>
    <x v="41"/>
    <x v="1"/>
    <s v="Trek Madone 9.2 - 2017"/>
    <x v="2"/>
  </r>
  <r>
    <n v="853"/>
    <n v="3"/>
    <n v="42"/>
    <x v="1"/>
    <n v="2299.9899999999998"/>
    <x v="0"/>
    <x v="45"/>
    <x v="1"/>
    <s v="Trek Fuel EX 5 27.5 Plus - 2017"/>
    <x v="2"/>
  </r>
  <r>
    <n v="853"/>
    <n v="4"/>
    <n v="45"/>
    <x v="0"/>
    <n v="869.99"/>
    <x v="0"/>
    <x v="98"/>
    <x v="1"/>
    <s v="Haro SR 1.2 - 2017"/>
    <x v="2"/>
  </r>
  <r>
    <n v="853"/>
    <n v="5"/>
    <n v="6"/>
    <x v="0"/>
    <n v="469.99"/>
    <x v="2"/>
    <x v="20"/>
    <x v="1"/>
    <s v="Surly Ice Cream Truck Frameset - 2016"/>
    <x v="2"/>
  </r>
  <r>
    <n v="854"/>
    <n v="1"/>
    <n v="87"/>
    <x v="0"/>
    <n v="189.99"/>
    <x v="3"/>
    <x v="93"/>
    <x v="1"/>
    <s v="Trek Precaliber 12 Boys - 2017"/>
    <x v="1"/>
  </r>
  <r>
    <n v="855"/>
    <n v="1"/>
    <n v="18"/>
    <x v="0"/>
    <n v="449"/>
    <x v="3"/>
    <x v="8"/>
    <x v="1"/>
    <s v="Pure Cycles Western 3-Speed - Women's - 2015/2016"/>
    <x v="1"/>
  </r>
  <r>
    <n v="855"/>
    <n v="2"/>
    <n v="93"/>
    <x v="1"/>
    <n v="209.99"/>
    <x v="0"/>
    <x v="84"/>
    <x v="1"/>
    <s v="Haro Shredder 20 Girls - 2017"/>
    <x v="1"/>
  </r>
  <r>
    <n v="855"/>
    <n v="3"/>
    <n v="89"/>
    <x v="0"/>
    <n v="209.99"/>
    <x v="0"/>
    <x v="48"/>
    <x v="1"/>
    <s v="Trek Precaliber 16 Boys - 2017"/>
    <x v="1"/>
  </r>
  <r>
    <n v="856"/>
    <n v="1"/>
    <n v="38"/>
    <x v="1"/>
    <n v="549.99"/>
    <x v="2"/>
    <x v="9"/>
    <x v="1"/>
    <s v="Haro Flightline Two 26 Plus - 2017"/>
    <x v="1"/>
  </r>
  <r>
    <n v="857"/>
    <n v="1"/>
    <n v="29"/>
    <x v="0"/>
    <n v="999.99"/>
    <x v="0"/>
    <x v="5"/>
    <x v="1"/>
    <s v="Trek X-Caliber 8 - 2017"/>
    <x v="1"/>
  </r>
  <r>
    <n v="858"/>
    <n v="1"/>
    <n v="45"/>
    <x v="1"/>
    <n v="869.99"/>
    <x v="0"/>
    <x v="81"/>
    <x v="1"/>
    <s v="Haro SR 1.2 - 2017"/>
    <x v="1"/>
  </r>
  <r>
    <n v="858"/>
    <n v="2"/>
    <n v="5"/>
    <x v="0"/>
    <n v="1320.99"/>
    <x v="0"/>
    <x v="24"/>
    <x v="1"/>
    <s v="Heller Shagamaw Frame - 2016"/>
    <x v="1"/>
  </r>
  <r>
    <n v="858"/>
    <n v="3"/>
    <n v="14"/>
    <x v="0"/>
    <n v="269.99"/>
    <x v="1"/>
    <x v="14"/>
    <x v="1"/>
    <s v="Electra Girl's Hawaii 1 (16-inch) - 2015/2016"/>
    <x v="1"/>
  </r>
  <r>
    <n v="858"/>
    <n v="4"/>
    <n v="73"/>
    <x v="1"/>
    <n v="749.99"/>
    <x v="1"/>
    <x v="6"/>
    <x v="1"/>
    <s v="Sun Bicycles Brickell Tandem 7 - 2017"/>
    <x v="1"/>
  </r>
  <r>
    <n v="859"/>
    <n v="1"/>
    <n v="38"/>
    <x v="1"/>
    <n v="549.99"/>
    <x v="1"/>
    <x v="9"/>
    <x v="1"/>
    <s v="Haro Flightline Two 26 Plus - 2017"/>
    <x v="1"/>
  </r>
  <r>
    <n v="859"/>
    <n v="2"/>
    <n v="13"/>
    <x v="0"/>
    <n v="269.99"/>
    <x v="3"/>
    <x v="14"/>
    <x v="1"/>
    <s v="Electra Cruiser 1 (24-Inch) - 2016"/>
    <x v="1"/>
  </r>
  <r>
    <n v="859"/>
    <n v="3"/>
    <n v="14"/>
    <x v="1"/>
    <n v="269.99"/>
    <x v="3"/>
    <x v="17"/>
    <x v="1"/>
    <s v="Electra Girl's Hawaii 1 (16-inch) - 2015/2016"/>
    <x v="1"/>
  </r>
  <r>
    <n v="859"/>
    <n v="4"/>
    <n v="71"/>
    <x v="1"/>
    <n v="416.99"/>
    <x v="3"/>
    <x v="42"/>
    <x v="1"/>
    <s v="Sun Bicycles Atlas X-Type - 2017"/>
    <x v="1"/>
  </r>
  <r>
    <n v="859"/>
    <n v="5"/>
    <n v="36"/>
    <x v="1"/>
    <n v="832.99"/>
    <x v="3"/>
    <x v="113"/>
    <x v="1"/>
    <s v="Surly Troll Frameset - 2017"/>
    <x v="1"/>
  </r>
  <r>
    <n v="860"/>
    <n v="1"/>
    <n v="6"/>
    <x v="0"/>
    <n v="469.99"/>
    <x v="2"/>
    <x v="20"/>
    <x v="1"/>
    <s v="Surly Ice Cream Truck Frameset - 2016"/>
    <x v="1"/>
  </r>
  <r>
    <n v="860"/>
    <n v="2"/>
    <n v="24"/>
    <x v="1"/>
    <n v="549.99"/>
    <x v="0"/>
    <x v="9"/>
    <x v="1"/>
    <s v="Electra Townie Original 21D - 2016"/>
    <x v="1"/>
  </r>
  <r>
    <n v="860"/>
    <n v="3"/>
    <n v="25"/>
    <x v="0"/>
    <n v="499.99"/>
    <x v="0"/>
    <x v="33"/>
    <x v="1"/>
    <s v="Electra Townie Original 7D - 2015/2016"/>
    <x v="1"/>
  </r>
  <r>
    <n v="860"/>
    <n v="4"/>
    <n v="58"/>
    <x v="1"/>
    <n v="4999.99"/>
    <x v="1"/>
    <x v="41"/>
    <x v="1"/>
    <s v="Trek Madone 9.2 - 2017"/>
    <x v="1"/>
  </r>
  <r>
    <n v="860"/>
    <n v="5"/>
    <n v="95"/>
    <x v="1"/>
    <n v="299.99"/>
    <x v="2"/>
    <x v="22"/>
    <x v="1"/>
    <s v="Electra Girl's Hawaii 1 16&quot; - 2017"/>
    <x v="1"/>
  </r>
  <r>
    <n v="861"/>
    <n v="1"/>
    <n v="14"/>
    <x v="1"/>
    <n v="269.99"/>
    <x v="1"/>
    <x v="17"/>
    <x v="1"/>
    <s v="Electra Girl's Hawaii 1 (16-inch) - 2015/2016"/>
    <x v="1"/>
  </r>
  <r>
    <n v="861"/>
    <n v="2"/>
    <n v="62"/>
    <x v="0"/>
    <n v="3499.99"/>
    <x v="0"/>
    <x v="43"/>
    <x v="1"/>
    <s v="Trek Boone 7 - 2017"/>
    <x v="1"/>
  </r>
  <r>
    <n v="862"/>
    <n v="1"/>
    <n v="85"/>
    <x v="0"/>
    <n v="329.99"/>
    <x v="2"/>
    <x v="51"/>
    <x v="1"/>
    <s v="Haro Downtown 16 - 2017"/>
    <x v="2"/>
  </r>
  <r>
    <n v="862"/>
    <n v="2"/>
    <n v="99"/>
    <x v="0"/>
    <n v="299.99"/>
    <x v="0"/>
    <x v="23"/>
    <x v="1"/>
    <s v="Electra Sugar Skulls 1 (20-inch) - Girl's - 2017"/>
    <x v="2"/>
  </r>
  <r>
    <n v="862"/>
    <n v="3"/>
    <n v="49"/>
    <x v="1"/>
    <n v="3499.99"/>
    <x v="1"/>
    <x v="54"/>
    <x v="1"/>
    <s v="Trek Domane SL 6 - 2017"/>
    <x v="2"/>
  </r>
  <r>
    <n v="863"/>
    <n v="1"/>
    <n v="93"/>
    <x v="1"/>
    <n v="209.99"/>
    <x v="3"/>
    <x v="84"/>
    <x v="1"/>
    <s v="Haro Shredder 20 Girls - 2017"/>
    <x v="1"/>
  </r>
  <r>
    <n v="864"/>
    <n v="1"/>
    <n v="37"/>
    <x v="0"/>
    <n v="379.99"/>
    <x v="3"/>
    <x v="125"/>
    <x v="1"/>
    <s v="Haro Flightline One ST - 2017"/>
    <x v="1"/>
  </r>
  <r>
    <n v="864"/>
    <n v="2"/>
    <n v="65"/>
    <x v="1"/>
    <n v="346.99"/>
    <x v="2"/>
    <x v="110"/>
    <x v="1"/>
    <s v="Sun Bicycles Lil Bolt Type-R - 2017"/>
    <x v="1"/>
  </r>
  <r>
    <n v="864"/>
    <n v="3"/>
    <n v="13"/>
    <x v="0"/>
    <n v="269.99"/>
    <x v="0"/>
    <x v="14"/>
    <x v="1"/>
    <s v="Electra Cruiser 1 (24-Inch) - 2016"/>
    <x v="1"/>
  </r>
  <r>
    <n v="865"/>
    <n v="1"/>
    <n v="109"/>
    <x v="1"/>
    <n v="416.99"/>
    <x v="3"/>
    <x v="42"/>
    <x v="1"/>
    <s v="Sun Bicycles Cruz 7 - Women's - 2017"/>
    <x v="1"/>
  </r>
  <r>
    <n v="865"/>
    <n v="2"/>
    <n v="34"/>
    <x v="0"/>
    <n v="469.99"/>
    <x v="2"/>
    <x v="20"/>
    <x v="1"/>
    <s v="Trek Session DH 27.5 Carbon Frameset - 2017"/>
    <x v="1"/>
  </r>
  <r>
    <n v="866"/>
    <n v="1"/>
    <n v="88"/>
    <x v="0"/>
    <n v="189.99"/>
    <x v="0"/>
    <x v="93"/>
    <x v="1"/>
    <s v="Trek Precaliber 12 Girls - 2017"/>
    <x v="1"/>
  </r>
  <r>
    <n v="866"/>
    <n v="2"/>
    <n v="67"/>
    <x v="1"/>
    <n v="250.99"/>
    <x v="1"/>
    <x v="55"/>
    <x v="1"/>
    <s v="Sun Bicycles Revolutions 24 - Girl's - 2017"/>
    <x v="1"/>
  </r>
  <r>
    <n v="866"/>
    <n v="3"/>
    <n v="80"/>
    <x v="0"/>
    <n v="761.99"/>
    <x v="1"/>
    <x v="58"/>
    <x v="1"/>
    <s v="Sun Bicycles Brickell Tandem CB - 2017"/>
    <x v="1"/>
  </r>
  <r>
    <n v="866"/>
    <n v="4"/>
    <n v="13"/>
    <x v="1"/>
    <n v="269.99"/>
    <x v="1"/>
    <x v="17"/>
    <x v="1"/>
    <s v="Electra Cruiser 1 (24-Inch) - 2016"/>
    <x v="1"/>
  </r>
  <r>
    <n v="867"/>
    <n v="1"/>
    <n v="101"/>
    <x v="0"/>
    <n v="339.99"/>
    <x v="2"/>
    <x v="119"/>
    <x v="1"/>
    <s v="Electra Townie 7D (20-inch) - Boys' - 2017"/>
    <x v="0"/>
  </r>
  <r>
    <n v="868"/>
    <n v="1"/>
    <n v="46"/>
    <x v="0"/>
    <n v="1409.99"/>
    <x v="1"/>
    <x v="126"/>
    <x v="1"/>
    <s v="Haro SR 1.3 - 2017"/>
    <x v="0"/>
  </r>
  <r>
    <n v="869"/>
    <n v="1"/>
    <n v="7"/>
    <x v="0"/>
    <n v="3999.99"/>
    <x v="0"/>
    <x v="25"/>
    <x v="1"/>
    <s v="Trek Slash 8 27.5 - 2016"/>
    <x v="1"/>
  </r>
  <r>
    <n v="869"/>
    <n v="2"/>
    <n v="106"/>
    <x v="1"/>
    <n v="449.99"/>
    <x v="2"/>
    <x v="37"/>
    <x v="1"/>
    <s v="Sun Bicycles Cruz 3 - 2017"/>
    <x v="1"/>
  </r>
  <r>
    <n v="869"/>
    <n v="3"/>
    <n v="33"/>
    <x v="0"/>
    <n v="469.99"/>
    <x v="2"/>
    <x v="20"/>
    <x v="1"/>
    <s v="Surly Wednesday Frameset - 2017"/>
    <x v="1"/>
  </r>
  <r>
    <n v="869"/>
    <n v="4"/>
    <n v="55"/>
    <x v="1"/>
    <n v="2699.99"/>
    <x v="2"/>
    <x v="68"/>
    <x v="1"/>
    <s v="Trek Domane S 6 - 2017"/>
    <x v="1"/>
  </r>
  <r>
    <n v="869"/>
    <n v="5"/>
    <n v="65"/>
    <x v="1"/>
    <n v="346.99"/>
    <x v="0"/>
    <x v="110"/>
    <x v="1"/>
    <s v="Sun Bicycles Lil Bolt Type-R - 2017"/>
    <x v="1"/>
  </r>
  <r>
    <n v="870"/>
    <n v="1"/>
    <n v="63"/>
    <x v="0"/>
    <n v="3499.99"/>
    <x v="1"/>
    <x v="43"/>
    <x v="1"/>
    <s v="Trek Boone Race Shop Limited - 2017"/>
    <x v="1"/>
  </r>
  <r>
    <n v="871"/>
    <n v="1"/>
    <n v="106"/>
    <x v="0"/>
    <n v="449.99"/>
    <x v="0"/>
    <x v="72"/>
    <x v="1"/>
    <s v="Sun Bicycles Cruz 3 - 2017"/>
    <x v="1"/>
  </r>
  <r>
    <n v="871"/>
    <n v="2"/>
    <n v="38"/>
    <x v="0"/>
    <n v="549.99"/>
    <x v="3"/>
    <x v="31"/>
    <x v="1"/>
    <s v="Haro Flightline Two 26 Plus - 2017"/>
    <x v="1"/>
  </r>
  <r>
    <n v="871"/>
    <n v="3"/>
    <n v="30"/>
    <x v="1"/>
    <n v="999.99"/>
    <x v="0"/>
    <x v="10"/>
    <x v="1"/>
    <s v="Surly Ice Cream Truck Frameset - 2017"/>
    <x v="1"/>
  </r>
  <r>
    <n v="871"/>
    <n v="4"/>
    <n v="107"/>
    <x v="1"/>
    <n v="416.99"/>
    <x v="2"/>
    <x v="42"/>
    <x v="1"/>
    <s v="Sun Bicycles Cruz 7 - 2017"/>
    <x v="1"/>
  </r>
  <r>
    <n v="872"/>
    <n v="1"/>
    <n v="62"/>
    <x v="1"/>
    <n v="3499.99"/>
    <x v="1"/>
    <x v="54"/>
    <x v="1"/>
    <s v="Trek Boone 7 - 2017"/>
    <x v="0"/>
  </r>
  <r>
    <n v="872"/>
    <n v="2"/>
    <n v="53"/>
    <x v="0"/>
    <n v="749.99"/>
    <x v="3"/>
    <x v="30"/>
    <x v="1"/>
    <s v="Surly Ogre Frameset - 2017"/>
    <x v="0"/>
  </r>
  <r>
    <n v="873"/>
    <n v="1"/>
    <n v="32"/>
    <x v="1"/>
    <n v="469.99"/>
    <x v="3"/>
    <x v="35"/>
    <x v="1"/>
    <s v="Trek Farley Alloy Frameset - 2017"/>
    <x v="1"/>
  </r>
  <r>
    <n v="874"/>
    <n v="1"/>
    <n v="56"/>
    <x v="0"/>
    <n v="5499.99"/>
    <x v="2"/>
    <x v="39"/>
    <x v="1"/>
    <s v="Trek Domane SLR 6 Disc - 2017"/>
    <x v="1"/>
  </r>
  <r>
    <n v="874"/>
    <n v="2"/>
    <n v="27"/>
    <x v="1"/>
    <n v="999.99"/>
    <x v="2"/>
    <x v="10"/>
    <x v="1"/>
    <s v="Surly Big Dummy Frameset - 2017"/>
    <x v="1"/>
  </r>
  <r>
    <n v="874"/>
    <n v="3"/>
    <n v="73"/>
    <x v="0"/>
    <n v="749.99"/>
    <x v="3"/>
    <x v="30"/>
    <x v="1"/>
    <s v="Sun Bicycles Brickell Tandem 7 - 2017"/>
    <x v="1"/>
  </r>
  <r>
    <n v="874"/>
    <n v="4"/>
    <n v="77"/>
    <x v="1"/>
    <n v="799.99"/>
    <x v="1"/>
    <x v="108"/>
    <x v="1"/>
    <s v="Electra Glam Punk 3i Ladies' - 2017"/>
    <x v="1"/>
  </r>
  <r>
    <n v="875"/>
    <n v="1"/>
    <n v="5"/>
    <x v="1"/>
    <n v="1320.99"/>
    <x v="3"/>
    <x v="34"/>
    <x v="1"/>
    <s v="Heller Shagamaw Frame - 2016"/>
    <x v="0"/>
  </r>
  <r>
    <n v="875"/>
    <n v="2"/>
    <n v="15"/>
    <x v="1"/>
    <n v="529.99"/>
    <x v="2"/>
    <x v="29"/>
    <x v="1"/>
    <s v="Electra Moto 1 - 2016"/>
    <x v="0"/>
  </r>
  <r>
    <n v="875"/>
    <n v="3"/>
    <n v="14"/>
    <x v="0"/>
    <n v="269.99"/>
    <x v="1"/>
    <x v="14"/>
    <x v="1"/>
    <s v="Electra Girl's Hawaii 1 (16-inch) - 2015/2016"/>
    <x v="0"/>
  </r>
  <r>
    <n v="875"/>
    <n v="4"/>
    <n v="111"/>
    <x v="0"/>
    <n v="470.99"/>
    <x v="0"/>
    <x v="107"/>
    <x v="1"/>
    <s v="Sun Bicycles Drifter 7 - Women's - 2017"/>
    <x v="0"/>
  </r>
  <r>
    <n v="876"/>
    <n v="1"/>
    <n v="17"/>
    <x v="1"/>
    <n v="429"/>
    <x v="0"/>
    <x v="13"/>
    <x v="1"/>
    <s v="Pure Cycles Vine 8-Speed - 2016"/>
    <x v="1"/>
  </r>
  <r>
    <n v="876"/>
    <n v="2"/>
    <n v="66"/>
    <x v="1"/>
    <n v="250.99"/>
    <x v="0"/>
    <x v="55"/>
    <x v="1"/>
    <s v="Sun Bicycles Revolutions 24 - 2017"/>
    <x v="1"/>
  </r>
  <r>
    <n v="876"/>
    <n v="3"/>
    <n v="96"/>
    <x v="0"/>
    <n v="349.99"/>
    <x v="1"/>
    <x v="99"/>
    <x v="1"/>
    <s v="Electra Moto 3i (20-inch) - Boy's - 2017"/>
    <x v="1"/>
  </r>
  <r>
    <n v="876"/>
    <n v="4"/>
    <n v="107"/>
    <x v="1"/>
    <n v="416.99"/>
    <x v="2"/>
    <x v="42"/>
    <x v="1"/>
    <s v="Sun Bicycles Cruz 7 - 2017"/>
    <x v="1"/>
  </r>
  <r>
    <n v="877"/>
    <n v="1"/>
    <n v="73"/>
    <x v="0"/>
    <n v="749.99"/>
    <x v="1"/>
    <x v="30"/>
    <x v="1"/>
    <s v="Sun Bicycles Brickell Tandem 7 - 2017"/>
    <x v="1"/>
  </r>
  <r>
    <n v="877"/>
    <n v="2"/>
    <n v="103"/>
    <x v="0"/>
    <n v="551.99"/>
    <x v="3"/>
    <x v="38"/>
    <x v="1"/>
    <s v="Sun Bicycles Streamway 3 - 2017"/>
    <x v="1"/>
  </r>
  <r>
    <n v="878"/>
    <n v="1"/>
    <n v="103"/>
    <x v="0"/>
    <n v="551.99"/>
    <x v="0"/>
    <x v="38"/>
    <x v="1"/>
    <s v="Sun Bicycles Streamway 3 - 2017"/>
    <x v="0"/>
  </r>
  <r>
    <n v="878"/>
    <n v="2"/>
    <n v="13"/>
    <x v="0"/>
    <n v="269.99"/>
    <x v="3"/>
    <x v="14"/>
    <x v="1"/>
    <s v="Electra Cruiser 1 (24-Inch) - 2016"/>
    <x v="0"/>
  </r>
  <r>
    <n v="878"/>
    <n v="3"/>
    <n v="6"/>
    <x v="1"/>
    <n v="469.99"/>
    <x v="0"/>
    <x v="35"/>
    <x v="1"/>
    <s v="Surly Ice Cream Truck Frameset - 2016"/>
    <x v="0"/>
  </r>
  <r>
    <n v="878"/>
    <n v="4"/>
    <n v="18"/>
    <x v="1"/>
    <n v="449"/>
    <x v="2"/>
    <x v="21"/>
    <x v="1"/>
    <s v="Pure Cycles Western 3-Speed - Women's - 2015/2016"/>
    <x v="0"/>
  </r>
  <r>
    <n v="879"/>
    <n v="1"/>
    <n v="100"/>
    <x v="1"/>
    <n v="489.99"/>
    <x v="0"/>
    <x v="52"/>
    <x v="1"/>
    <s v="Electra Townie 3i EQ (20-inch) - Boys' - 2017"/>
    <x v="1"/>
  </r>
  <r>
    <n v="879"/>
    <n v="2"/>
    <n v="2"/>
    <x v="1"/>
    <n v="749.99"/>
    <x v="1"/>
    <x v="6"/>
    <x v="1"/>
    <s v="Ritchey Timberwolf Frameset - 2016"/>
    <x v="1"/>
  </r>
  <r>
    <n v="879"/>
    <n v="3"/>
    <n v="83"/>
    <x v="1"/>
    <n v="149.99"/>
    <x v="0"/>
    <x v="87"/>
    <x v="1"/>
    <s v="Trek Boy's Kickster - 2015/2017"/>
    <x v="1"/>
  </r>
  <r>
    <n v="879"/>
    <n v="4"/>
    <n v="82"/>
    <x v="0"/>
    <n v="659.99"/>
    <x v="1"/>
    <x v="66"/>
    <x v="1"/>
    <s v="Electra Amsterdam Original 3i Ladies' - 2017"/>
    <x v="1"/>
  </r>
  <r>
    <n v="880"/>
    <n v="1"/>
    <n v="28"/>
    <x v="1"/>
    <n v="2499.9899999999998"/>
    <x v="0"/>
    <x v="117"/>
    <x v="1"/>
    <s v="Surly Karate Monkey 27.5+ Frameset - 2017"/>
    <x v="1"/>
  </r>
  <r>
    <n v="880"/>
    <n v="2"/>
    <n v="95"/>
    <x v="0"/>
    <n v="299.99"/>
    <x v="3"/>
    <x v="23"/>
    <x v="1"/>
    <s v="Electra Girl's Hawaii 1 16&quot; - 2017"/>
    <x v="1"/>
  </r>
  <r>
    <n v="880"/>
    <n v="3"/>
    <n v="5"/>
    <x v="0"/>
    <n v="1320.99"/>
    <x v="1"/>
    <x v="24"/>
    <x v="1"/>
    <s v="Heller Shagamaw Frame - 2016"/>
    <x v="1"/>
  </r>
  <r>
    <n v="880"/>
    <n v="4"/>
    <n v="26"/>
    <x v="0"/>
    <n v="599.99"/>
    <x v="3"/>
    <x v="0"/>
    <x v="1"/>
    <s v="Electra Townie Original 7D EQ - 2016"/>
    <x v="1"/>
  </r>
  <r>
    <n v="880"/>
    <n v="5"/>
    <n v="66"/>
    <x v="0"/>
    <n v="250.99"/>
    <x v="0"/>
    <x v="61"/>
    <x v="1"/>
    <s v="Sun Bicycles Revolutions 24 - 2017"/>
    <x v="1"/>
  </r>
  <r>
    <n v="881"/>
    <n v="1"/>
    <n v="98"/>
    <x v="0"/>
    <n v="489.99"/>
    <x v="1"/>
    <x v="44"/>
    <x v="1"/>
    <s v="Electra Straight 8 3i (20-inch) - Boy's - 2017"/>
    <x v="2"/>
  </r>
  <r>
    <n v="881"/>
    <n v="2"/>
    <n v="50"/>
    <x v="0"/>
    <n v="5999.99"/>
    <x v="0"/>
    <x v="74"/>
    <x v="1"/>
    <s v="Trek Silque SLR 7 Women's - 2017"/>
    <x v="2"/>
  </r>
  <r>
    <n v="881"/>
    <n v="3"/>
    <n v="64"/>
    <x v="1"/>
    <n v="489.99"/>
    <x v="2"/>
    <x v="52"/>
    <x v="1"/>
    <s v="Electra Townie Original 7D - 2017"/>
    <x v="2"/>
  </r>
  <r>
    <n v="881"/>
    <n v="4"/>
    <n v="67"/>
    <x v="0"/>
    <n v="250.99"/>
    <x v="3"/>
    <x v="61"/>
    <x v="1"/>
    <s v="Sun Bicycles Revolutions 24 - Girl's - 2017"/>
    <x v="2"/>
  </r>
  <r>
    <n v="882"/>
    <n v="1"/>
    <n v="63"/>
    <x v="1"/>
    <n v="3499.99"/>
    <x v="1"/>
    <x v="54"/>
    <x v="1"/>
    <s v="Trek Boone Race Shop Limited - 2017"/>
    <x v="1"/>
  </r>
  <r>
    <n v="882"/>
    <n v="2"/>
    <n v="108"/>
    <x v="1"/>
    <n v="449.99"/>
    <x v="0"/>
    <x v="37"/>
    <x v="1"/>
    <s v="Sun Bicycles Cruz 3 - Women's - 2017"/>
    <x v="1"/>
  </r>
  <r>
    <n v="882"/>
    <n v="3"/>
    <n v="57"/>
    <x v="1"/>
    <n v="1999.99"/>
    <x v="1"/>
    <x v="97"/>
    <x v="1"/>
    <s v="Trek Emonda S 5 - 2017"/>
    <x v="1"/>
  </r>
  <r>
    <n v="883"/>
    <n v="1"/>
    <n v="44"/>
    <x v="0"/>
    <n v="539.99"/>
    <x v="2"/>
    <x v="127"/>
    <x v="1"/>
    <s v="Haro SR 1.1 - 2017"/>
    <x v="1"/>
  </r>
  <r>
    <n v="883"/>
    <n v="2"/>
    <n v="5"/>
    <x v="1"/>
    <n v="1320.99"/>
    <x v="2"/>
    <x v="34"/>
    <x v="1"/>
    <s v="Heller Shagamaw Frame - 2016"/>
    <x v="1"/>
  </r>
  <r>
    <n v="884"/>
    <n v="1"/>
    <n v="49"/>
    <x v="1"/>
    <n v="3499.99"/>
    <x v="2"/>
    <x v="54"/>
    <x v="1"/>
    <s v="Trek Domane SL 6 - 2017"/>
    <x v="1"/>
  </r>
  <r>
    <n v="884"/>
    <n v="2"/>
    <n v="69"/>
    <x v="1"/>
    <n v="416.99"/>
    <x v="1"/>
    <x v="42"/>
    <x v="1"/>
    <s v="Sun Bicycles Cruz 7 - 2017"/>
    <x v="1"/>
  </r>
  <r>
    <n v="884"/>
    <n v="3"/>
    <n v="46"/>
    <x v="1"/>
    <n v="1409.99"/>
    <x v="0"/>
    <x v="124"/>
    <x v="1"/>
    <s v="Haro SR 1.3 - 2017"/>
    <x v="1"/>
  </r>
  <r>
    <n v="884"/>
    <n v="4"/>
    <n v="10"/>
    <x v="0"/>
    <n v="1549"/>
    <x v="3"/>
    <x v="27"/>
    <x v="1"/>
    <s v="Surly Straggler - 2016"/>
    <x v="1"/>
  </r>
  <r>
    <n v="884"/>
    <n v="5"/>
    <n v="21"/>
    <x v="1"/>
    <n v="269.99"/>
    <x v="2"/>
    <x v="17"/>
    <x v="1"/>
    <s v="Electra Cruiser 1 (24-Inch) - 2016"/>
    <x v="1"/>
  </r>
  <r>
    <n v="885"/>
    <n v="1"/>
    <n v="106"/>
    <x v="0"/>
    <n v="449.99"/>
    <x v="1"/>
    <x v="72"/>
    <x v="1"/>
    <s v="Sun Bicycles Cruz 3 - 2017"/>
    <x v="2"/>
  </r>
  <r>
    <n v="885"/>
    <n v="2"/>
    <n v="43"/>
    <x v="0"/>
    <n v="5299.99"/>
    <x v="3"/>
    <x v="57"/>
    <x v="1"/>
    <s v="Trek Fuel EX 9.8 27.5 Plus - 2017"/>
    <x v="2"/>
  </r>
  <r>
    <n v="886"/>
    <n v="1"/>
    <n v="47"/>
    <x v="0"/>
    <n v="5299.99"/>
    <x v="2"/>
    <x v="57"/>
    <x v="1"/>
    <s v="Trek Remedy 9.8 - 2017"/>
    <x v="0"/>
  </r>
  <r>
    <n v="886"/>
    <n v="2"/>
    <n v="30"/>
    <x v="0"/>
    <n v="999.99"/>
    <x v="2"/>
    <x v="5"/>
    <x v="1"/>
    <s v="Surly Ice Cream Truck Frameset - 2017"/>
    <x v="0"/>
  </r>
  <r>
    <n v="887"/>
    <n v="1"/>
    <n v="50"/>
    <x v="1"/>
    <n v="5999.99"/>
    <x v="2"/>
    <x v="121"/>
    <x v="1"/>
    <s v="Trek Silque SLR 7 Women's - 2017"/>
    <x v="1"/>
  </r>
  <r>
    <n v="887"/>
    <n v="2"/>
    <n v="70"/>
    <x v="0"/>
    <n v="659.99"/>
    <x v="3"/>
    <x v="66"/>
    <x v="1"/>
    <s v="Electra Amsterdam Original 3i - 2015/2017"/>
    <x v="1"/>
  </r>
  <r>
    <n v="888"/>
    <n v="1"/>
    <n v="33"/>
    <x v="1"/>
    <n v="469.99"/>
    <x v="3"/>
    <x v="35"/>
    <x v="1"/>
    <s v="Surly Wednesday Frameset - 2017"/>
    <x v="1"/>
  </r>
  <r>
    <n v="888"/>
    <n v="2"/>
    <n v="26"/>
    <x v="1"/>
    <n v="599.99"/>
    <x v="0"/>
    <x v="3"/>
    <x v="1"/>
    <s v="Electra Townie Original 7D EQ - 2016"/>
    <x v="1"/>
  </r>
  <r>
    <n v="889"/>
    <n v="1"/>
    <n v="12"/>
    <x v="1"/>
    <n v="549.99"/>
    <x v="3"/>
    <x v="9"/>
    <x v="1"/>
    <s v="Electra Townie Original 21D - 2016"/>
    <x v="2"/>
  </r>
  <r>
    <n v="890"/>
    <n v="1"/>
    <n v="16"/>
    <x v="1"/>
    <n v="599.99"/>
    <x v="3"/>
    <x v="3"/>
    <x v="1"/>
    <s v="Electra Townie Original 7D EQ - 2016"/>
    <x v="1"/>
  </r>
  <r>
    <n v="890"/>
    <n v="2"/>
    <n v="105"/>
    <x v="1"/>
    <n v="533.99"/>
    <x v="3"/>
    <x v="85"/>
    <x v="1"/>
    <s v="Sun Bicycles Streamway 7 - 2017"/>
    <x v="1"/>
  </r>
  <r>
    <n v="890"/>
    <n v="3"/>
    <n v="52"/>
    <x v="0"/>
    <n v="875.99"/>
    <x v="2"/>
    <x v="63"/>
    <x v="1"/>
    <s v="Surly Steamroller - 2017"/>
    <x v="1"/>
  </r>
  <r>
    <n v="890"/>
    <n v="4"/>
    <n v="67"/>
    <x v="0"/>
    <n v="250.99"/>
    <x v="3"/>
    <x v="61"/>
    <x v="1"/>
    <s v="Sun Bicycles Revolutions 24 - Girl's - 2017"/>
    <x v="1"/>
  </r>
  <r>
    <n v="890"/>
    <n v="5"/>
    <n v="65"/>
    <x v="1"/>
    <n v="346.99"/>
    <x v="3"/>
    <x v="110"/>
    <x v="1"/>
    <s v="Sun Bicycles Lil Bolt Type-R - 2017"/>
    <x v="1"/>
  </r>
  <r>
    <n v="891"/>
    <n v="1"/>
    <n v="107"/>
    <x v="1"/>
    <n v="416.99"/>
    <x v="3"/>
    <x v="42"/>
    <x v="1"/>
    <s v="Sun Bicycles Cruz 7 - 2017"/>
    <x v="1"/>
  </r>
  <r>
    <n v="891"/>
    <n v="2"/>
    <n v="32"/>
    <x v="0"/>
    <n v="469.99"/>
    <x v="2"/>
    <x v="20"/>
    <x v="1"/>
    <s v="Trek Farley Alloy Frameset - 2017"/>
    <x v="1"/>
  </r>
  <r>
    <n v="891"/>
    <n v="3"/>
    <n v="35"/>
    <x v="1"/>
    <n v="832.99"/>
    <x v="3"/>
    <x v="113"/>
    <x v="1"/>
    <s v="Sun Bicycles Spider 3i - 2017"/>
    <x v="1"/>
  </r>
  <r>
    <n v="891"/>
    <n v="4"/>
    <n v="50"/>
    <x v="0"/>
    <n v="5999.99"/>
    <x v="3"/>
    <x v="74"/>
    <x v="1"/>
    <s v="Trek Silque SLR 7 Women's - 2017"/>
    <x v="1"/>
  </r>
  <r>
    <n v="892"/>
    <n v="1"/>
    <n v="36"/>
    <x v="0"/>
    <n v="832.99"/>
    <x v="3"/>
    <x v="106"/>
    <x v="1"/>
    <s v="Surly Troll Frameset - 2017"/>
    <x v="1"/>
  </r>
  <r>
    <n v="892"/>
    <n v="2"/>
    <n v="9"/>
    <x v="1"/>
    <n v="2999.99"/>
    <x v="0"/>
    <x v="11"/>
    <x v="1"/>
    <s v="Trek Conduit+ - 2016"/>
    <x v="1"/>
  </r>
  <r>
    <n v="892"/>
    <n v="3"/>
    <n v="50"/>
    <x v="1"/>
    <n v="5999.99"/>
    <x v="1"/>
    <x v="121"/>
    <x v="1"/>
    <s v="Trek Silque SLR 7 Women's - 2017"/>
    <x v="1"/>
  </r>
  <r>
    <n v="892"/>
    <n v="4"/>
    <n v="88"/>
    <x v="0"/>
    <n v="189.99"/>
    <x v="2"/>
    <x v="93"/>
    <x v="1"/>
    <s v="Trek Precaliber 12 Girls - 2017"/>
    <x v="1"/>
  </r>
  <r>
    <n v="893"/>
    <n v="1"/>
    <n v="67"/>
    <x v="1"/>
    <n v="250.99"/>
    <x v="2"/>
    <x v="55"/>
    <x v="1"/>
    <s v="Sun Bicycles Revolutions 24 - Girl's - 2017"/>
    <x v="1"/>
  </r>
  <r>
    <n v="893"/>
    <n v="2"/>
    <n v="45"/>
    <x v="0"/>
    <n v="869.99"/>
    <x v="1"/>
    <x v="98"/>
    <x v="1"/>
    <s v="Haro SR 1.2 - 2017"/>
    <x v="1"/>
  </r>
  <r>
    <n v="894"/>
    <n v="1"/>
    <n v="101"/>
    <x v="1"/>
    <n v="339.99"/>
    <x v="0"/>
    <x v="75"/>
    <x v="1"/>
    <s v="Electra Townie 7D (20-inch) - Boys' - 2017"/>
    <x v="1"/>
  </r>
  <r>
    <n v="895"/>
    <n v="1"/>
    <n v="106"/>
    <x v="0"/>
    <n v="449.99"/>
    <x v="1"/>
    <x v="72"/>
    <x v="1"/>
    <s v="Sun Bicycles Cruz 3 - 2017"/>
    <x v="1"/>
  </r>
  <r>
    <n v="896"/>
    <n v="1"/>
    <n v="91"/>
    <x v="1"/>
    <n v="349.99"/>
    <x v="2"/>
    <x v="47"/>
    <x v="1"/>
    <s v="Trek Precaliber 24 (21-Speed) - Girls - 2017"/>
    <x v="2"/>
  </r>
  <r>
    <n v="896"/>
    <n v="2"/>
    <n v="10"/>
    <x v="0"/>
    <n v="1549"/>
    <x v="2"/>
    <x v="27"/>
    <x v="1"/>
    <s v="Surly Straggler - 2016"/>
    <x v="2"/>
  </r>
  <r>
    <n v="897"/>
    <n v="1"/>
    <n v="105"/>
    <x v="0"/>
    <n v="533.99"/>
    <x v="2"/>
    <x v="128"/>
    <x v="1"/>
    <s v="Sun Bicycles Streamway 7 - 2017"/>
    <x v="0"/>
  </r>
  <r>
    <n v="897"/>
    <n v="2"/>
    <n v="96"/>
    <x v="0"/>
    <n v="349.99"/>
    <x v="2"/>
    <x v="99"/>
    <x v="1"/>
    <s v="Electra Moto 3i (20-inch) - Boy's - 2017"/>
    <x v="0"/>
  </r>
  <r>
    <n v="898"/>
    <n v="1"/>
    <n v="45"/>
    <x v="1"/>
    <n v="869.99"/>
    <x v="0"/>
    <x v="81"/>
    <x v="1"/>
    <s v="Haro SR 1.2 - 2017"/>
    <x v="1"/>
  </r>
  <r>
    <n v="898"/>
    <n v="2"/>
    <n v="16"/>
    <x v="0"/>
    <n v="599.99"/>
    <x v="1"/>
    <x v="0"/>
    <x v="1"/>
    <s v="Electra Townie Original 7D EQ - 2016"/>
    <x v="1"/>
  </r>
  <r>
    <n v="898"/>
    <n v="3"/>
    <n v="57"/>
    <x v="1"/>
    <n v="1999.99"/>
    <x v="0"/>
    <x v="97"/>
    <x v="1"/>
    <s v="Trek Emonda S 5 - 2017"/>
    <x v="1"/>
  </r>
  <r>
    <n v="898"/>
    <n v="4"/>
    <n v="69"/>
    <x v="1"/>
    <n v="416.99"/>
    <x v="1"/>
    <x v="42"/>
    <x v="1"/>
    <s v="Sun Bicycles Cruz 7 - 2017"/>
    <x v="1"/>
  </r>
  <r>
    <n v="899"/>
    <n v="1"/>
    <n v="59"/>
    <x v="1"/>
    <n v="2599.9899999999998"/>
    <x v="3"/>
    <x v="67"/>
    <x v="1"/>
    <s v="Trek Domane S 5 Disc - 2017"/>
    <x v="1"/>
  </r>
  <r>
    <n v="899"/>
    <n v="2"/>
    <n v="17"/>
    <x v="0"/>
    <n v="429"/>
    <x v="3"/>
    <x v="7"/>
    <x v="1"/>
    <s v="Pure Cycles Vine 8-Speed - 2016"/>
    <x v="1"/>
  </r>
  <r>
    <n v="899"/>
    <n v="3"/>
    <n v="6"/>
    <x v="0"/>
    <n v="469.99"/>
    <x v="0"/>
    <x v="20"/>
    <x v="1"/>
    <s v="Surly Ice Cream Truck Frameset - 2016"/>
    <x v="1"/>
  </r>
  <r>
    <n v="900"/>
    <n v="1"/>
    <n v="26"/>
    <x v="1"/>
    <n v="599.99"/>
    <x v="2"/>
    <x v="3"/>
    <x v="1"/>
    <s v="Electra Townie Original 7D EQ - 2016"/>
    <x v="1"/>
  </r>
  <r>
    <n v="900"/>
    <n v="2"/>
    <n v="108"/>
    <x v="0"/>
    <n v="449.99"/>
    <x v="1"/>
    <x v="72"/>
    <x v="1"/>
    <s v="Sun Bicycles Cruz 3 - Women's - 2017"/>
    <x v="1"/>
  </r>
  <r>
    <n v="900"/>
    <n v="3"/>
    <n v="89"/>
    <x v="0"/>
    <n v="209.99"/>
    <x v="0"/>
    <x v="48"/>
    <x v="1"/>
    <s v="Trek Precaliber 16 Boys - 2017"/>
    <x v="1"/>
  </r>
  <r>
    <n v="900"/>
    <n v="4"/>
    <n v="61"/>
    <x v="1"/>
    <n v="4999.99"/>
    <x v="2"/>
    <x v="41"/>
    <x v="1"/>
    <s v="Trek Powerfly 8 FS Plus - 2017"/>
    <x v="1"/>
  </r>
  <r>
    <n v="900"/>
    <n v="5"/>
    <n v="28"/>
    <x v="1"/>
    <n v="2499.9899999999998"/>
    <x v="1"/>
    <x v="117"/>
    <x v="1"/>
    <s v="Surly Karate Monkey 27.5+ Frameset - 2017"/>
    <x v="1"/>
  </r>
  <r>
    <n v="901"/>
    <n v="1"/>
    <n v="50"/>
    <x v="0"/>
    <n v="5999.99"/>
    <x v="0"/>
    <x v="74"/>
    <x v="1"/>
    <s v="Trek Silque SLR 7 Women's - 2017"/>
    <x v="1"/>
  </r>
  <r>
    <n v="901"/>
    <n v="2"/>
    <n v="43"/>
    <x v="0"/>
    <n v="5299.99"/>
    <x v="1"/>
    <x v="57"/>
    <x v="1"/>
    <s v="Trek Fuel EX 9.8 27.5 Plus - 2017"/>
    <x v="1"/>
  </r>
  <r>
    <n v="902"/>
    <n v="1"/>
    <n v="38"/>
    <x v="1"/>
    <n v="549.99"/>
    <x v="1"/>
    <x v="9"/>
    <x v="1"/>
    <s v="Haro Flightline Two 26 Plus - 2017"/>
    <x v="1"/>
  </r>
  <r>
    <n v="902"/>
    <n v="2"/>
    <n v="92"/>
    <x v="0"/>
    <n v="209.99"/>
    <x v="1"/>
    <x v="48"/>
    <x v="1"/>
    <s v="Haro Shredder 20 - 2017"/>
    <x v="1"/>
  </r>
  <r>
    <n v="902"/>
    <n v="3"/>
    <n v="12"/>
    <x v="0"/>
    <n v="549.99"/>
    <x v="0"/>
    <x v="31"/>
    <x v="1"/>
    <s v="Electra Townie Original 21D - 2016"/>
    <x v="1"/>
  </r>
  <r>
    <n v="902"/>
    <n v="4"/>
    <n v="76"/>
    <x v="1"/>
    <n v="299.99"/>
    <x v="2"/>
    <x v="22"/>
    <x v="1"/>
    <s v="Electra Girl's Hawaii 1 16&quot; - 2017"/>
    <x v="1"/>
  </r>
  <r>
    <n v="903"/>
    <n v="1"/>
    <n v="31"/>
    <x v="1"/>
    <n v="1632.99"/>
    <x v="1"/>
    <x v="115"/>
    <x v="1"/>
    <s v="Surly Wednesday - 2017"/>
    <x v="1"/>
  </r>
  <r>
    <n v="903"/>
    <n v="2"/>
    <n v="48"/>
    <x v="1"/>
    <n v="1499.99"/>
    <x v="2"/>
    <x v="65"/>
    <x v="1"/>
    <s v="Trek Emonda S 4 - 2017"/>
    <x v="1"/>
  </r>
  <r>
    <n v="904"/>
    <n v="1"/>
    <n v="36"/>
    <x v="1"/>
    <n v="832.99"/>
    <x v="3"/>
    <x v="113"/>
    <x v="1"/>
    <s v="Surly Troll Frameset - 2017"/>
    <x v="0"/>
  </r>
  <r>
    <n v="904"/>
    <n v="2"/>
    <n v="51"/>
    <x v="1"/>
    <n v="6499.99"/>
    <x v="1"/>
    <x v="83"/>
    <x v="1"/>
    <s v="Trek Silque SLR 8 Women's - 2017"/>
    <x v="0"/>
  </r>
  <r>
    <n v="904"/>
    <n v="3"/>
    <n v="92"/>
    <x v="1"/>
    <n v="209.99"/>
    <x v="0"/>
    <x v="84"/>
    <x v="1"/>
    <s v="Haro Shredder 20 - 2017"/>
    <x v="0"/>
  </r>
  <r>
    <n v="904"/>
    <n v="4"/>
    <n v="13"/>
    <x v="0"/>
    <n v="269.99"/>
    <x v="0"/>
    <x v="14"/>
    <x v="1"/>
    <s v="Electra Cruiser 1 (24-Inch) - 2016"/>
    <x v="0"/>
  </r>
  <r>
    <n v="905"/>
    <n v="1"/>
    <n v="67"/>
    <x v="0"/>
    <n v="250.99"/>
    <x v="3"/>
    <x v="61"/>
    <x v="1"/>
    <s v="Sun Bicycles Revolutions 24 - Girl's - 2017"/>
    <x v="1"/>
  </r>
  <r>
    <n v="905"/>
    <n v="2"/>
    <n v="62"/>
    <x v="1"/>
    <n v="3499.99"/>
    <x v="2"/>
    <x v="54"/>
    <x v="1"/>
    <s v="Trek Boone 7 - 2017"/>
    <x v="1"/>
  </r>
  <r>
    <n v="905"/>
    <n v="3"/>
    <n v="42"/>
    <x v="1"/>
    <n v="2299.9899999999998"/>
    <x v="0"/>
    <x v="45"/>
    <x v="1"/>
    <s v="Trek Fuel EX 5 27.5 Plus - 2017"/>
    <x v="1"/>
  </r>
  <r>
    <n v="905"/>
    <n v="4"/>
    <n v="20"/>
    <x v="0"/>
    <n v="599.99"/>
    <x v="0"/>
    <x v="0"/>
    <x v="1"/>
    <s v="Electra Townie Original 7D EQ - Women's - 2016"/>
    <x v="1"/>
  </r>
  <r>
    <n v="906"/>
    <n v="1"/>
    <n v="23"/>
    <x v="1"/>
    <n v="299.99"/>
    <x v="0"/>
    <x v="22"/>
    <x v="1"/>
    <s v="Electra Girl's Hawaii 1 (20-inch) - 2015/2016"/>
    <x v="1"/>
  </r>
  <r>
    <n v="906"/>
    <n v="2"/>
    <n v="28"/>
    <x v="1"/>
    <n v="2499.9899999999998"/>
    <x v="1"/>
    <x v="117"/>
    <x v="1"/>
    <s v="Surly Karate Monkey 27.5+ Frameset - 2017"/>
    <x v="1"/>
  </r>
  <r>
    <n v="906"/>
    <n v="3"/>
    <n v="46"/>
    <x v="0"/>
    <n v="1409.99"/>
    <x v="2"/>
    <x v="126"/>
    <x v="1"/>
    <s v="Haro SR 1.3 - 2017"/>
    <x v="1"/>
  </r>
  <r>
    <n v="906"/>
    <n v="4"/>
    <n v="102"/>
    <x v="1"/>
    <n v="489.99"/>
    <x v="3"/>
    <x v="52"/>
    <x v="1"/>
    <s v="Electra Townie Original 7D - 2017"/>
    <x v="1"/>
  </r>
  <r>
    <n v="906"/>
    <n v="5"/>
    <n v="22"/>
    <x v="1"/>
    <n v="269.99"/>
    <x v="0"/>
    <x v="17"/>
    <x v="1"/>
    <s v="Electra Girl's Hawaii 1 (16-inch) - 2015/2016"/>
    <x v="1"/>
  </r>
  <r>
    <n v="907"/>
    <n v="1"/>
    <n v="84"/>
    <x v="1"/>
    <n v="109.99"/>
    <x v="1"/>
    <x v="109"/>
    <x v="1"/>
    <s v="Sun Bicycles Lil Kitt'n - 2017"/>
    <x v="0"/>
  </r>
  <r>
    <n v="907"/>
    <n v="2"/>
    <n v="65"/>
    <x v="0"/>
    <n v="346.99"/>
    <x v="1"/>
    <x v="118"/>
    <x v="1"/>
    <s v="Sun Bicycles Lil Bolt Type-R - 2017"/>
    <x v="0"/>
  </r>
  <r>
    <n v="908"/>
    <n v="1"/>
    <n v="41"/>
    <x v="0"/>
    <n v="1469.99"/>
    <x v="0"/>
    <x v="112"/>
    <x v="1"/>
    <s v="Haro Shift R3 - 2017"/>
    <x v="1"/>
  </r>
  <r>
    <n v="908"/>
    <n v="2"/>
    <n v="94"/>
    <x v="0"/>
    <n v="249.99"/>
    <x v="3"/>
    <x v="70"/>
    <x v="1"/>
    <s v="Haro Shredder Pro 20 - 2017"/>
    <x v="1"/>
  </r>
  <r>
    <n v="908"/>
    <n v="3"/>
    <n v="102"/>
    <x v="1"/>
    <n v="489.99"/>
    <x v="3"/>
    <x v="52"/>
    <x v="1"/>
    <s v="Electra Townie Original 7D - 2017"/>
    <x v="1"/>
  </r>
  <r>
    <n v="909"/>
    <n v="1"/>
    <n v="5"/>
    <x v="0"/>
    <n v="1320.99"/>
    <x v="0"/>
    <x v="24"/>
    <x v="1"/>
    <s v="Heller Shagamaw Frame - 2016"/>
    <x v="0"/>
  </r>
  <r>
    <n v="910"/>
    <n v="1"/>
    <n v="23"/>
    <x v="0"/>
    <n v="299.99"/>
    <x v="3"/>
    <x v="23"/>
    <x v="1"/>
    <s v="Electra Girl's Hawaii 1 (20-inch) - 2015/2016"/>
    <x v="1"/>
  </r>
  <r>
    <n v="911"/>
    <n v="1"/>
    <n v="66"/>
    <x v="1"/>
    <n v="250.99"/>
    <x v="2"/>
    <x v="55"/>
    <x v="1"/>
    <s v="Sun Bicycles Revolutions 24 - 2017"/>
    <x v="1"/>
  </r>
  <r>
    <n v="911"/>
    <n v="2"/>
    <n v="106"/>
    <x v="0"/>
    <n v="449.99"/>
    <x v="2"/>
    <x v="72"/>
    <x v="1"/>
    <s v="Sun Bicycles Cruz 3 - 2017"/>
    <x v="1"/>
  </r>
  <r>
    <n v="911"/>
    <n v="3"/>
    <n v="91"/>
    <x v="1"/>
    <n v="349.99"/>
    <x v="2"/>
    <x v="47"/>
    <x v="1"/>
    <s v="Trek Precaliber 24 (21-Speed) - Girls - 2017"/>
    <x v="1"/>
  </r>
  <r>
    <n v="911"/>
    <n v="4"/>
    <n v="49"/>
    <x v="0"/>
    <n v="3499.99"/>
    <x v="0"/>
    <x v="43"/>
    <x v="1"/>
    <s v="Trek Domane SL 6 - 2017"/>
    <x v="1"/>
  </r>
  <r>
    <n v="912"/>
    <n v="1"/>
    <n v="22"/>
    <x v="1"/>
    <n v="269.99"/>
    <x v="0"/>
    <x v="17"/>
    <x v="1"/>
    <s v="Electra Girl's Hawaii 1 (16-inch) - 2015/2016"/>
    <x v="0"/>
  </r>
  <r>
    <n v="912"/>
    <n v="2"/>
    <n v="71"/>
    <x v="1"/>
    <n v="416.99"/>
    <x v="2"/>
    <x v="42"/>
    <x v="1"/>
    <s v="Sun Bicycles Atlas X-Type - 2017"/>
    <x v="0"/>
  </r>
  <r>
    <n v="912"/>
    <n v="3"/>
    <n v="101"/>
    <x v="0"/>
    <n v="339.99"/>
    <x v="2"/>
    <x v="119"/>
    <x v="1"/>
    <s v="Electra Townie 7D (20-inch) - Boys' - 2017"/>
    <x v="0"/>
  </r>
  <r>
    <n v="912"/>
    <n v="4"/>
    <n v="2"/>
    <x v="1"/>
    <n v="749.99"/>
    <x v="0"/>
    <x v="6"/>
    <x v="1"/>
    <s v="Ritchey Timberwolf Frameset - 2016"/>
    <x v="0"/>
  </r>
  <r>
    <n v="913"/>
    <n v="1"/>
    <n v="90"/>
    <x v="1"/>
    <n v="209.99"/>
    <x v="3"/>
    <x v="84"/>
    <x v="1"/>
    <s v="Trek Precaliber 16 Girls - 2017"/>
    <x v="1"/>
  </r>
  <r>
    <n v="913"/>
    <n v="2"/>
    <n v="24"/>
    <x v="1"/>
    <n v="549.99"/>
    <x v="2"/>
    <x v="9"/>
    <x v="1"/>
    <s v="Electra Townie Original 21D - 2016"/>
    <x v="1"/>
  </r>
  <r>
    <n v="914"/>
    <n v="1"/>
    <n v="38"/>
    <x v="0"/>
    <n v="549.99"/>
    <x v="1"/>
    <x v="31"/>
    <x v="1"/>
    <s v="Haro Flightline Two 26 Plus - 2017"/>
    <x v="0"/>
  </r>
  <r>
    <n v="914"/>
    <n v="2"/>
    <n v="20"/>
    <x v="1"/>
    <n v="599.99"/>
    <x v="0"/>
    <x v="3"/>
    <x v="1"/>
    <s v="Electra Townie Original 7D EQ - Women's - 2016"/>
    <x v="0"/>
  </r>
  <r>
    <n v="914"/>
    <n v="3"/>
    <n v="106"/>
    <x v="0"/>
    <n v="449.99"/>
    <x v="2"/>
    <x v="72"/>
    <x v="1"/>
    <s v="Sun Bicycles Cruz 3 - 2017"/>
    <x v="0"/>
  </r>
  <r>
    <n v="914"/>
    <n v="4"/>
    <n v="46"/>
    <x v="0"/>
    <n v="1409.99"/>
    <x v="3"/>
    <x v="126"/>
    <x v="1"/>
    <s v="Haro SR 1.3 - 2017"/>
    <x v="0"/>
  </r>
  <r>
    <n v="915"/>
    <n v="1"/>
    <n v="64"/>
    <x v="0"/>
    <n v="489.99"/>
    <x v="2"/>
    <x v="44"/>
    <x v="1"/>
    <s v="Electra Townie Original 7D - 2017"/>
    <x v="1"/>
  </r>
  <r>
    <n v="915"/>
    <n v="2"/>
    <n v="48"/>
    <x v="0"/>
    <n v="1499.99"/>
    <x v="1"/>
    <x v="77"/>
    <x v="1"/>
    <s v="Trek Emonda S 4 - 2017"/>
    <x v="1"/>
  </r>
  <r>
    <n v="915"/>
    <n v="3"/>
    <n v="42"/>
    <x v="0"/>
    <n v="2299.9899999999998"/>
    <x v="0"/>
    <x v="101"/>
    <x v="1"/>
    <s v="Trek Fuel EX 5 27.5 Plus - 2017"/>
    <x v="1"/>
  </r>
  <r>
    <n v="915"/>
    <n v="4"/>
    <n v="2"/>
    <x v="0"/>
    <n v="749.99"/>
    <x v="1"/>
    <x v="30"/>
    <x v="1"/>
    <s v="Ritchey Timberwolf Frameset - 2016"/>
    <x v="1"/>
  </r>
  <r>
    <n v="916"/>
    <n v="1"/>
    <n v="92"/>
    <x v="0"/>
    <n v="209.99"/>
    <x v="0"/>
    <x v="48"/>
    <x v="1"/>
    <s v="Haro Shredder 20 - 2017"/>
    <x v="1"/>
  </r>
  <r>
    <n v="917"/>
    <n v="1"/>
    <n v="41"/>
    <x v="0"/>
    <n v="1469.99"/>
    <x v="1"/>
    <x v="112"/>
    <x v="1"/>
    <s v="Haro Shift R3 - 2017"/>
    <x v="0"/>
  </r>
  <r>
    <n v="918"/>
    <n v="1"/>
    <n v="91"/>
    <x v="0"/>
    <n v="349.99"/>
    <x v="0"/>
    <x v="99"/>
    <x v="1"/>
    <s v="Trek Precaliber 24 (21-Speed) - Girls - 2017"/>
    <x v="0"/>
  </r>
  <r>
    <n v="918"/>
    <n v="2"/>
    <n v="31"/>
    <x v="0"/>
    <n v="1632.99"/>
    <x v="3"/>
    <x v="94"/>
    <x v="1"/>
    <s v="Surly Wednesday - 2017"/>
    <x v="0"/>
  </r>
  <r>
    <n v="918"/>
    <n v="3"/>
    <n v="4"/>
    <x v="1"/>
    <n v="2899.99"/>
    <x v="1"/>
    <x v="18"/>
    <x v="1"/>
    <s v="Trek Fuel EX 8 29 - 2016"/>
    <x v="0"/>
  </r>
  <r>
    <n v="919"/>
    <n v="1"/>
    <n v="7"/>
    <x v="0"/>
    <n v="3999.99"/>
    <x v="1"/>
    <x v="25"/>
    <x v="1"/>
    <s v="Trek Slash 8 27.5 - 2016"/>
    <x v="1"/>
  </r>
  <r>
    <n v="919"/>
    <n v="2"/>
    <n v="44"/>
    <x v="0"/>
    <n v="539.99"/>
    <x v="3"/>
    <x v="127"/>
    <x v="1"/>
    <s v="Haro SR 1.1 - 2017"/>
    <x v="1"/>
  </r>
  <r>
    <n v="920"/>
    <n v="1"/>
    <n v="76"/>
    <x v="0"/>
    <n v="299.99"/>
    <x v="2"/>
    <x v="23"/>
    <x v="1"/>
    <s v="Electra Girl's Hawaii 1 16&quot; - 2017"/>
    <x v="1"/>
  </r>
  <r>
    <n v="920"/>
    <n v="2"/>
    <n v="39"/>
    <x v="1"/>
    <n v="1499.99"/>
    <x v="1"/>
    <x v="65"/>
    <x v="1"/>
    <s v="Trek Stache 5 - 2017"/>
    <x v="1"/>
  </r>
  <r>
    <n v="920"/>
    <n v="3"/>
    <n v="78"/>
    <x v="0"/>
    <n v="647.99"/>
    <x v="2"/>
    <x v="49"/>
    <x v="1"/>
    <s v="Sun Bicycles Biscayne Tandem CB - 2017"/>
    <x v="1"/>
  </r>
  <r>
    <n v="920"/>
    <n v="4"/>
    <n v="80"/>
    <x v="1"/>
    <n v="761.99"/>
    <x v="1"/>
    <x v="116"/>
    <x v="1"/>
    <s v="Sun Bicycles Brickell Tandem CB - 2017"/>
    <x v="1"/>
  </r>
  <r>
    <n v="921"/>
    <n v="1"/>
    <n v="77"/>
    <x v="0"/>
    <n v="799.99"/>
    <x v="0"/>
    <x v="129"/>
    <x v="1"/>
    <s v="Electra Glam Punk 3i Ladies' - 2017"/>
    <x v="1"/>
  </r>
  <r>
    <n v="921"/>
    <n v="2"/>
    <n v="75"/>
    <x v="1"/>
    <n v="599.99"/>
    <x v="1"/>
    <x v="3"/>
    <x v="1"/>
    <s v="Electra Cruiser Lux Fat Tire 1 Ladies - 2017"/>
    <x v="1"/>
  </r>
  <r>
    <n v="921"/>
    <n v="3"/>
    <n v="48"/>
    <x v="0"/>
    <n v="1499.99"/>
    <x v="3"/>
    <x v="77"/>
    <x v="1"/>
    <s v="Trek Emonda S 4 - 2017"/>
    <x v="1"/>
  </r>
  <r>
    <n v="922"/>
    <n v="1"/>
    <n v="68"/>
    <x v="0"/>
    <n v="449.99"/>
    <x v="0"/>
    <x v="72"/>
    <x v="1"/>
    <s v="Sun Bicycles Cruz 3 - 2017"/>
    <x v="1"/>
  </r>
  <r>
    <n v="922"/>
    <n v="2"/>
    <n v="73"/>
    <x v="0"/>
    <n v="749.99"/>
    <x v="0"/>
    <x v="30"/>
    <x v="1"/>
    <s v="Sun Bicycles Brickell Tandem 7 - 2017"/>
    <x v="1"/>
  </r>
  <r>
    <n v="922"/>
    <n v="3"/>
    <n v="86"/>
    <x v="0"/>
    <n v="149.99"/>
    <x v="3"/>
    <x v="62"/>
    <x v="1"/>
    <s v="Trek Girl's Kickster - 2017"/>
    <x v="1"/>
  </r>
  <r>
    <n v="923"/>
    <n v="1"/>
    <n v="74"/>
    <x v="1"/>
    <n v="439.99"/>
    <x v="2"/>
    <x v="105"/>
    <x v="1"/>
    <s v="Electra Cruiser Lux 1 - 2017"/>
    <x v="1"/>
  </r>
  <r>
    <n v="923"/>
    <n v="2"/>
    <n v="6"/>
    <x v="0"/>
    <n v="469.99"/>
    <x v="3"/>
    <x v="20"/>
    <x v="1"/>
    <s v="Surly Ice Cream Truck Frameset - 2016"/>
    <x v="1"/>
  </r>
  <r>
    <n v="924"/>
    <n v="1"/>
    <n v="97"/>
    <x v="1"/>
    <n v="349.99"/>
    <x v="0"/>
    <x v="47"/>
    <x v="1"/>
    <s v="Electra Savannah 3i (20-inch) - Girl's - 2017"/>
    <x v="2"/>
  </r>
  <r>
    <n v="924"/>
    <n v="2"/>
    <n v="36"/>
    <x v="0"/>
    <n v="832.99"/>
    <x v="0"/>
    <x v="106"/>
    <x v="1"/>
    <s v="Surly Troll Frameset - 2017"/>
    <x v="2"/>
  </r>
  <r>
    <n v="925"/>
    <n v="1"/>
    <n v="97"/>
    <x v="0"/>
    <n v="349.99"/>
    <x v="1"/>
    <x v="99"/>
    <x v="1"/>
    <s v="Electra Savannah 3i (20-inch) - Girl's - 2017"/>
    <x v="1"/>
  </r>
  <r>
    <n v="925"/>
    <n v="2"/>
    <n v="62"/>
    <x v="1"/>
    <n v="3499.99"/>
    <x v="0"/>
    <x v="54"/>
    <x v="1"/>
    <s v="Trek Boone 7 - 2017"/>
    <x v="1"/>
  </r>
  <r>
    <n v="926"/>
    <n v="1"/>
    <n v="37"/>
    <x v="1"/>
    <n v="379.99"/>
    <x v="0"/>
    <x v="86"/>
    <x v="1"/>
    <s v="Haro Flightline One ST - 2017"/>
    <x v="0"/>
  </r>
  <r>
    <n v="927"/>
    <n v="1"/>
    <n v="74"/>
    <x v="1"/>
    <n v="439.99"/>
    <x v="3"/>
    <x v="105"/>
    <x v="1"/>
    <s v="Electra Cruiser Lux 1 - 2017"/>
    <x v="0"/>
  </r>
  <r>
    <n v="927"/>
    <n v="2"/>
    <n v="16"/>
    <x v="1"/>
    <n v="599.99"/>
    <x v="0"/>
    <x v="3"/>
    <x v="1"/>
    <s v="Electra Townie Original 7D EQ - 2016"/>
    <x v="0"/>
  </r>
  <r>
    <n v="927"/>
    <n v="3"/>
    <n v="50"/>
    <x v="0"/>
    <n v="5999.99"/>
    <x v="3"/>
    <x v="74"/>
    <x v="1"/>
    <s v="Trek Silque SLR 7 Women's - 2017"/>
    <x v="0"/>
  </r>
  <r>
    <n v="927"/>
    <n v="4"/>
    <n v="3"/>
    <x v="0"/>
    <n v="999.99"/>
    <x v="3"/>
    <x v="5"/>
    <x v="1"/>
    <s v="Surly Wednesday Frameset - 2016"/>
    <x v="0"/>
  </r>
  <r>
    <n v="927"/>
    <n v="5"/>
    <n v="43"/>
    <x v="0"/>
    <n v="5299.99"/>
    <x v="1"/>
    <x v="57"/>
    <x v="1"/>
    <s v="Trek Fuel EX 9.8 27.5 Plus - 2017"/>
    <x v="0"/>
  </r>
  <r>
    <n v="928"/>
    <n v="1"/>
    <n v="71"/>
    <x v="1"/>
    <n v="416.99"/>
    <x v="2"/>
    <x v="42"/>
    <x v="1"/>
    <s v="Sun Bicycles Atlas X-Type - 2017"/>
    <x v="0"/>
  </r>
  <r>
    <n v="928"/>
    <n v="2"/>
    <n v="83"/>
    <x v="0"/>
    <n v="149.99"/>
    <x v="0"/>
    <x v="62"/>
    <x v="1"/>
    <s v="Trek Boy's Kickster - 2015/2017"/>
    <x v="0"/>
  </r>
  <r>
    <n v="929"/>
    <n v="1"/>
    <n v="82"/>
    <x v="0"/>
    <n v="659.99"/>
    <x v="0"/>
    <x v="66"/>
    <x v="1"/>
    <s v="Electra Amsterdam Original 3i Ladies' - 2017"/>
    <x v="1"/>
  </r>
  <r>
    <n v="929"/>
    <n v="2"/>
    <n v="63"/>
    <x v="1"/>
    <n v="3499.99"/>
    <x v="3"/>
    <x v="54"/>
    <x v="1"/>
    <s v="Trek Boone Race Shop Limited - 2017"/>
    <x v="1"/>
  </r>
  <r>
    <n v="929"/>
    <n v="3"/>
    <n v="24"/>
    <x v="0"/>
    <n v="549.99"/>
    <x v="2"/>
    <x v="31"/>
    <x v="1"/>
    <s v="Electra Townie Original 21D - 2016"/>
    <x v="1"/>
  </r>
  <r>
    <n v="930"/>
    <n v="1"/>
    <n v="56"/>
    <x v="1"/>
    <n v="5499.99"/>
    <x v="1"/>
    <x v="91"/>
    <x v="1"/>
    <s v="Trek Domane SLR 6 Disc - 2017"/>
    <x v="2"/>
  </r>
  <r>
    <n v="930"/>
    <n v="2"/>
    <n v="82"/>
    <x v="0"/>
    <n v="659.99"/>
    <x v="1"/>
    <x v="66"/>
    <x v="1"/>
    <s v="Electra Amsterdam Original 3i Ladies' - 2017"/>
    <x v="2"/>
  </r>
  <r>
    <n v="930"/>
    <n v="3"/>
    <n v="60"/>
    <x v="0"/>
    <n v="1559.99"/>
    <x v="3"/>
    <x v="100"/>
    <x v="1"/>
    <s v="Sun Bicycles ElectroLite - 2017"/>
    <x v="2"/>
  </r>
  <r>
    <n v="930"/>
    <n v="4"/>
    <n v="65"/>
    <x v="1"/>
    <n v="346.99"/>
    <x v="2"/>
    <x v="110"/>
    <x v="1"/>
    <s v="Sun Bicycles Lil Bolt Type-R - 2017"/>
    <x v="2"/>
  </r>
  <r>
    <n v="930"/>
    <n v="5"/>
    <n v="51"/>
    <x v="1"/>
    <n v="6499.99"/>
    <x v="3"/>
    <x v="83"/>
    <x v="1"/>
    <s v="Trek Silque SLR 8 Women's - 2017"/>
    <x v="2"/>
  </r>
  <r>
    <n v="931"/>
    <n v="1"/>
    <n v="49"/>
    <x v="1"/>
    <n v="3499.99"/>
    <x v="1"/>
    <x v="54"/>
    <x v="1"/>
    <s v="Trek Domane SL 6 - 2017"/>
    <x v="1"/>
  </r>
  <r>
    <n v="931"/>
    <n v="2"/>
    <n v="76"/>
    <x v="0"/>
    <n v="299.99"/>
    <x v="0"/>
    <x v="23"/>
    <x v="1"/>
    <s v="Electra Girl's Hawaii 1 16&quot; - 2017"/>
    <x v="1"/>
  </r>
  <r>
    <n v="932"/>
    <n v="1"/>
    <n v="74"/>
    <x v="0"/>
    <n v="439.99"/>
    <x v="2"/>
    <x v="56"/>
    <x v="1"/>
    <s v="Electra Cruiser Lux 1 - 2017"/>
    <x v="1"/>
  </r>
  <r>
    <n v="933"/>
    <n v="1"/>
    <n v="77"/>
    <x v="0"/>
    <n v="799.99"/>
    <x v="1"/>
    <x v="129"/>
    <x v="1"/>
    <s v="Electra Glam Punk 3i Ladies' - 2017"/>
    <x v="1"/>
  </r>
  <r>
    <n v="933"/>
    <n v="2"/>
    <n v="21"/>
    <x v="0"/>
    <n v="269.99"/>
    <x v="0"/>
    <x v="14"/>
    <x v="1"/>
    <s v="Electra Cruiser 1 (24-Inch) - 2016"/>
    <x v="1"/>
  </r>
  <r>
    <n v="933"/>
    <n v="3"/>
    <n v="75"/>
    <x v="1"/>
    <n v="599.99"/>
    <x v="2"/>
    <x v="3"/>
    <x v="1"/>
    <s v="Electra Cruiser Lux Fat Tire 1 Ladies - 2017"/>
    <x v="1"/>
  </r>
  <r>
    <n v="934"/>
    <n v="1"/>
    <n v="35"/>
    <x v="1"/>
    <n v="832.99"/>
    <x v="2"/>
    <x v="113"/>
    <x v="1"/>
    <s v="Sun Bicycles Spider 3i - 2017"/>
    <x v="1"/>
  </r>
  <r>
    <n v="934"/>
    <n v="2"/>
    <n v="48"/>
    <x v="0"/>
    <n v="1499.99"/>
    <x v="2"/>
    <x v="77"/>
    <x v="1"/>
    <s v="Trek Emonda S 4 - 2017"/>
    <x v="1"/>
  </r>
  <r>
    <n v="934"/>
    <n v="3"/>
    <n v="18"/>
    <x v="0"/>
    <n v="449"/>
    <x v="3"/>
    <x v="8"/>
    <x v="1"/>
    <s v="Pure Cycles Western 3-Speed - Women's - 2015/2016"/>
    <x v="1"/>
  </r>
  <r>
    <n v="934"/>
    <n v="4"/>
    <n v="61"/>
    <x v="0"/>
    <n v="4999.99"/>
    <x v="1"/>
    <x v="76"/>
    <x v="1"/>
    <s v="Trek Powerfly 8 FS Plus - 2017"/>
    <x v="1"/>
  </r>
  <r>
    <n v="934"/>
    <n v="5"/>
    <n v="56"/>
    <x v="1"/>
    <n v="5499.99"/>
    <x v="0"/>
    <x v="91"/>
    <x v="1"/>
    <s v="Trek Domane SLR 6 Disc - 2017"/>
    <x v="1"/>
  </r>
  <r>
    <n v="935"/>
    <n v="1"/>
    <n v="65"/>
    <x v="1"/>
    <n v="346.99"/>
    <x v="0"/>
    <x v="110"/>
    <x v="1"/>
    <s v="Sun Bicycles Lil Bolt Type-R - 2017"/>
    <x v="2"/>
  </r>
  <r>
    <n v="935"/>
    <n v="2"/>
    <n v="76"/>
    <x v="1"/>
    <n v="299.99"/>
    <x v="1"/>
    <x v="22"/>
    <x v="1"/>
    <s v="Electra Girl's Hawaii 1 16&quot; - 2017"/>
    <x v="2"/>
  </r>
  <r>
    <n v="935"/>
    <n v="3"/>
    <n v="6"/>
    <x v="0"/>
    <n v="469.99"/>
    <x v="1"/>
    <x v="20"/>
    <x v="1"/>
    <s v="Surly Ice Cream Truck Frameset - 2016"/>
    <x v="2"/>
  </r>
  <r>
    <n v="935"/>
    <n v="4"/>
    <n v="38"/>
    <x v="0"/>
    <n v="549.99"/>
    <x v="1"/>
    <x v="31"/>
    <x v="1"/>
    <s v="Haro Flightline Two 26 Plus - 2017"/>
    <x v="2"/>
  </r>
  <r>
    <n v="936"/>
    <n v="1"/>
    <n v="70"/>
    <x v="0"/>
    <n v="659.99"/>
    <x v="3"/>
    <x v="66"/>
    <x v="1"/>
    <s v="Electra Amsterdam Original 3i - 2015/2017"/>
    <x v="1"/>
  </r>
  <r>
    <n v="936"/>
    <n v="2"/>
    <n v="44"/>
    <x v="0"/>
    <n v="539.99"/>
    <x v="1"/>
    <x v="127"/>
    <x v="1"/>
    <s v="Haro SR 1.1 - 2017"/>
    <x v="1"/>
  </r>
  <r>
    <n v="937"/>
    <n v="1"/>
    <n v="108"/>
    <x v="1"/>
    <n v="449.99"/>
    <x v="3"/>
    <x v="37"/>
    <x v="1"/>
    <s v="Sun Bicycles Cruz 3 - Women's - 2017"/>
    <x v="1"/>
  </r>
  <r>
    <n v="937"/>
    <n v="2"/>
    <n v="51"/>
    <x v="1"/>
    <n v="6499.99"/>
    <x v="1"/>
    <x v="83"/>
    <x v="1"/>
    <s v="Trek Silque SLR 8 Women's - 2017"/>
    <x v="1"/>
  </r>
  <r>
    <n v="937"/>
    <n v="3"/>
    <n v="58"/>
    <x v="1"/>
    <n v="4999.99"/>
    <x v="1"/>
    <x v="41"/>
    <x v="1"/>
    <s v="Trek Madone 9.2 - 2017"/>
    <x v="1"/>
  </r>
  <r>
    <n v="937"/>
    <n v="4"/>
    <n v="28"/>
    <x v="1"/>
    <n v="2499.9899999999998"/>
    <x v="1"/>
    <x v="117"/>
    <x v="1"/>
    <s v="Surly Karate Monkey 27.5+ Frameset - 2017"/>
    <x v="1"/>
  </r>
  <r>
    <n v="937"/>
    <n v="5"/>
    <n v="66"/>
    <x v="0"/>
    <n v="250.99"/>
    <x v="0"/>
    <x v="61"/>
    <x v="1"/>
    <s v="Sun Bicycles Revolutions 24 - 2017"/>
    <x v="1"/>
  </r>
  <r>
    <n v="938"/>
    <n v="1"/>
    <n v="4"/>
    <x v="0"/>
    <n v="2899.99"/>
    <x v="2"/>
    <x v="4"/>
    <x v="1"/>
    <s v="Trek Fuel EX 8 29 - 2016"/>
    <x v="1"/>
  </r>
  <r>
    <n v="938"/>
    <n v="2"/>
    <n v="13"/>
    <x v="0"/>
    <n v="269.99"/>
    <x v="2"/>
    <x v="14"/>
    <x v="1"/>
    <s v="Electra Cruiser 1 (24-Inch) - 2016"/>
    <x v="1"/>
  </r>
  <r>
    <n v="939"/>
    <n v="1"/>
    <n v="5"/>
    <x v="0"/>
    <n v="1320.99"/>
    <x v="3"/>
    <x v="24"/>
    <x v="1"/>
    <s v="Heller Shagamaw Frame - 2016"/>
    <x v="1"/>
  </r>
  <r>
    <n v="939"/>
    <n v="2"/>
    <n v="107"/>
    <x v="1"/>
    <n v="416.99"/>
    <x v="0"/>
    <x v="42"/>
    <x v="1"/>
    <s v="Sun Bicycles Cruz 7 - 2017"/>
    <x v="1"/>
  </r>
  <r>
    <n v="940"/>
    <n v="1"/>
    <n v="75"/>
    <x v="1"/>
    <n v="599.99"/>
    <x v="0"/>
    <x v="3"/>
    <x v="1"/>
    <s v="Electra Cruiser Lux Fat Tire 1 Ladies - 2017"/>
    <x v="0"/>
  </r>
  <r>
    <n v="941"/>
    <n v="1"/>
    <n v="25"/>
    <x v="0"/>
    <n v="499.99"/>
    <x v="3"/>
    <x v="33"/>
    <x v="1"/>
    <s v="Electra Townie Original 7D - 2015/2016"/>
    <x v="0"/>
  </r>
  <r>
    <n v="941"/>
    <n v="2"/>
    <n v="102"/>
    <x v="1"/>
    <n v="489.99"/>
    <x v="2"/>
    <x v="52"/>
    <x v="1"/>
    <s v="Electra Townie Original 7D - 2017"/>
    <x v="0"/>
  </r>
  <r>
    <n v="941"/>
    <n v="3"/>
    <n v="11"/>
    <x v="1"/>
    <n v="1680.99"/>
    <x v="1"/>
    <x v="32"/>
    <x v="1"/>
    <s v="Surly Straggler 650b - 2016"/>
    <x v="0"/>
  </r>
  <r>
    <n v="942"/>
    <n v="1"/>
    <n v="98"/>
    <x v="1"/>
    <n v="489.99"/>
    <x v="2"/>
    <x v="52"/>
    <x v="1"/>
    <s v="Electra Straight 8 3i (20-inch) - Boy's - 2017"/>
    <x v="1"/>
  </r>
  <r>
    <n v="942"/>
    <n v="2"/>
    <n v="110"/>
    <x v="1"/>
    <n v="470.99"/>
    <x v="3"/>
    <x v="60"/>
    <x v="1"/>
    <s v="Sun Bicycles Drifter 7 - 2017"/>
    <x v="1"/>
  </r>
  <r>
    <n v="942"/>
    <n v="3"/>
    <n v="35"/>
    <x v="1"/>
    <n v="832.99"/>
    <x v="1"/>
    <x v="113"/>
    <x v="1"/>
    <s v="Sun Bicycles Spider 3i - 2017"/>
    <x v="1"/>
  </r>
  <r>
    <n v="942"/>
    <n v="4"/>
    <n v="103"/>
    <x v="0"/>
    <n v="551.99"/>
    <x v="2"/>
    <x v="38"/>
    <x v="1"/>
    <s v="Sun Bicycles Streamway 3 - 2017"/>
    <x v="1"/>
  </r>
  <r>
    <n v="942"/>
    <n v="5"/>
    <n v="100"/>
    <x v="0"/>
    <n v="489.99"/>
    <x v="2"/>
    <x v="44"/>
    <x v="1"/>
    <s v="Electra Townie 3i EQ (20-inch) - Boys' - 2017"/>
    <x v="1"/>
  </r>
  <r>
    <n v="943"/>
    <n v="1"/>
    <n v="25"/>
    <x v="0"/>
    <n v="499.99"/>
    <x v="0"/>
    <x v="33"/>
    <x v="1"/>
    <s v="Electra Townie Original 7D - 2015/2016"/>
    <x v="1"/>
  </r>
  <r>
    <n v="943"/>
    <n v="2"/>
    <n v="82"/>
    <x v="0"/>
    <n v="659.99"/>
    <x v="0"/>
    <x v="66"/>
    <x v="1"/>
    <s v="Electra Amsterdam Original 3i Ladies' - 2017"/>
    <x v="1"/>
  </r>
  <r>
    <n v="944"/>
    <n v="1"/>
    <n v="29"/>
    <x v="1"/>
    <n v="999.99"/>
    <x v="1"/>
    <x v="10"/>
    <x v="1"/>
    <s v="Trek X-Caliber 8 - 2017"/>
    <x v="0"/>
  </r>
  <r>
    <n v="944"/>
    <n v="2"/>
    <n v="16"/>
    <x v="1"/>
    <n v="599.99"/>
    <x v="3"/>
    <x v="3"/>
    <x v="1"/>
    <s v="Electra Townie Original 7D EQ - 2016"/>
    <x v="0"/>
  </r>
  <r>
    <n v="944"/>
    <n v="3"/>
    <n v="70"/>
    <x v="1"/>
    <n v="659.99"/>
    <x v="0"/>
    <x v="96"/>
    <x v="1"/>
    <s v="Electra Amsterdam Original 3i - 2015/2017"/>
    <x v="0"/>
  </r>
  <r>
    <n v="944"/>
    <n v="4"/>
    <n v="85"/>
    <x v="1"/>
    <n v="329.99"/>
    <x v="0"/>
    <x v="36"/>
    <x v="1"/>
    <s v="Haro Downtown 16 - 2017"/>
    <x v="0"/>
  </r>
  <r>
    <n v="944"/>
    <n v="5"/>
    <n v="69"/>
    <x v="1"/>
    <n v="416.99"/>
    <x v="1"/>
    <x v="42"/>
    <x v="1"/>
    <s v="Sun Bicycles Cruz 7 - 2017"/>
    <x v="0"/>
  </r>
  <r>
    <n v="945"/>
    <n v="1"/>
    <n v="105"/>
    <x v="0"/>
    <n v="533.99"/>
    <x v="2"/>
    <x v="128"/>
    <x v="1"/>
    <s v="Sun Bicycles Streamway 7 - 2017"/>
    <x v="1"/>
  </r>
  <r>
    <n v="945"/>
    <n v="2"/>
    <n v="94"/>
    <x v="1"/>
    <n v="249.99"/>
    <x v="0"/>
    <x v="53"/>
    <x v="1"/>
    <s v="Haro Shredder Pro 20 - 2017"/>
    <x v="1"/>
  </r>
  <r>
    <n v="945"/>
    <n v="3"/>
    <n v="34"/>
    <x v="1"/>
    <n v="469.99"/>
    <x v="2"/>
    <x v="35"/>
    <x v="1"/>
    <s v="Trek Session DH 27.5 Carbon Frameset - 2017"/>
    <x v="1"/>
  </r>
  <r>
    <n v="945"/>
    <n v="4"/>
    <n v="44"/>
    <x v="1"/>
    <n v="539.99"/>
    <x v="3"/>
    <x v="104"/>
    <x v="1"/>
    <s v="Haro SR 1.1 - 2017"/>
    <x v="1"/>
  </r>
  <r>
    <n v="945"/>
    <n v="5"/>
    <n v="50"/>
    <x v="1"/>
    <n v="5999.99"/>
    <x v="2"/>
    <x v="121"/>
    <x v="1"/>
    <s v="Trek Silque SLR 7 Women's - 2017"/>
    <x v="1"/>
  </r>
  <r>
    <n v="946"/>
    <n v="1"/>
    <n v="7"/>
    <x v="0"/>
    <n v="3999.99"/>
    <x v="3"/>
    <x v="25"/>
    <x v="1"/>
    <s v="Trek Slash 8 27.5 - 2016"/>
    <x v="1"/>
  </r>
  <r>
    <n v="946"/>
    <n v="2"/>
    <n v="85"/>
    <x v="1"/>
    <n v="329.99"/>
    <x v="0"/>
    <x v="36"/>
    <x v="1"/>
    <s v="Haro Downtown 16 - 2017"/>
    <x v="1"/>
  </r>
  <r>
    <n v="946"/>
    <n v="3"/>
    <n v="62"/>
    <x v="0"/>
    <n v="3499.99"/>
    <x v="2"/>
    <x v="43"/>
    <x v="1"/>
    <s v="Trek Boone 7 - 2017"/>
    <x v="1"/>
  </r>
  <r>
    <n v="946"/>
    <n v="4"/>
    <n v="22"/>
    <x v="1"/>
    <n v="269.99"/>
    <x v="0"/>
    <x v="17"/>
    <x v="1"/>
    <s v="Electra Girl's Hawaii 1 (16-inch) - 2015/2016"/>
    <x v="1"/>
  </r>
  <r>
    <n v="946"/>
    <n v="5"/>
    <n v="56"/>
    <x v="1"/>
    <n v="5499.99"/>
    <x v="1"/>
    <x v="91"/>
    <x v="1"/>
    <s v="Trek Domane SLR 6 Disc - 2017"/>
    <x v="1"/>
  </r>
  <r>
    <n v="947"/>
    <n v="1"/>
    <n v="32"/>
    <x v="0"/>
    <n v="469.99"/>
    <x v="2"/>
    <x v="20"/>
    <x v="1"/>
    <s v="Trek Farley Alloy Frameset - 2017"/>
    <x v="0"/>
  </r>
  <r>
    <n v="947"/>
    <n v="2"/>
    <n v="42"/>
    <x v="1"/>
    <n v="2299.9899999999998"/>
    <x v="1"/>
    <x v="45"/>
    <x v="1"/>
    <s v="Trek Fuel EX 5 27.5 Plus - 2017"/>
    <x v="0"/>
  </r>
  <r>
    <n v="947"/>
    <n v="3"/>
    <n v="44"/>
    <x v="0"/>
    <n v="539.99"/>
    <x v="1"/>
    <x v="127"/>
    <x v="1"/>
    <s v="Haro SR 1.1 - 2017"/>
    <x v="0"/>
  </r>
  <r>
    <n v="948"/>
    <n v="1"/>
    <n v="23"/>
    <x v="1"/>
    <n v="299.99"/>
    <x v="0"/>
    <x v="22"/>
    <x v="1"/>
    <s v="Electra Girl's Hawaii 1 (20-inch) - 2015/2016"/>
    <x v="1"/>
  </r>
  <r>
    <n v="948"/>
    <n v="2"/>
    <n v="20"/>
    <x v="1"/>
    <n v="599.99"/>
    <x v="3"/>
    <x v="3"/>
    <x v="1"/>
    <s v="Electra Townie Original 7D EQ - Women's - 2016"/>
    <x v="1"/>
  </r>
  <r>
    <n v="948"/>
    <n v="3"/>
    <n v="101"/>
    <x v="0"/>
    <n v="339.99"/>
    <x v="0"/>
    <x v="119"/>
    <x v="1"/>
    <s v="Electra Townie 7D (20-inch) - Boys' - 2017"/>
    <x v="1"/>
  </r>
  <r>
    <n v="948"/>
    <n v="4"/>
    <n v="92"/>
    <x v="1"/>
    <n v="209.99"/>
    <x v="0"/>
    <x v="84"/>
    <x v="1"/>
    <s v="Haro Shredder 20 - 2017"/>
    <x v="1"/>
  </r>
  <r>
    <n v="948"/>
    <n v="5"/>
    <n v="72"/>
    <x v="1"/>
    <n v="619.99"/>
    <x v="0"/>
    <x v="103"/>
    <x v="1"/>
    <s v="Sun Bicycles Biscayne Tandem 7 - 2017"/>
    <x v="1"/>
  </r>
  <r>
    <n v="949"/>
    <n v="1"/>
    <n v="9"/>
    <x v="1"/>
    <n v="2999.99"/>
    <x v="3"/>
    <x v="11"/>
    <x v="1"/>
    <s v="Trek Conduit+ - 2016"/>
    <x v="0"/>
  </r>
  <r>
    <n v="949"/>
    <n v="2"/>
    <n v="55"/>
    <x v="1"/>
    <n v="2699.99"/>
    <x v="2"/>
    <x v="68"/>
    <x v="1"/>
    <s v="Trek Domane S 6 - 2017"/>
    <x v="0"/>
  </r>
  <r>
    <n v="950"/>
    <n v="1"/>
    <n v="56"/>
    <x v="0"/>
    <n v="5499.99"/>
    <x v="2"/>
    <x v="39"/>
    <x v="1"/>
    <s v="Trek Domane SLR 6 Disc - 2017"/>
    <x v="1"/>
  </r>
  <r>
    <n v="951"/>
    <n v="1"/>
    <n v="59"/>
    <x v="0"/>
    <n v="2599.9899999999998"/>
    <x v="3"/>
    <x v="90"/>
    <x v="1"/>
    <s v="Trek Domane S 5 Disc - 2017"/>
    <x v="1"/>
  </r>
  <r>
    <n v="951"/>
    <n v="2"/>
    <n v="43"/>
    <x v="1"/>
    <n v="5299.99"/>
    <x v="3"/>
    <x v="46"/>
    <x v="1"/>
    <s v="Trek Fuel EX 9.8 27.5 Plus - 2017"/>
    <x v="1"/>
  </r>
  <r>
    <n v="951"/>
    <n v="3"/>
    <n v="62"/>
    <x v="1"/>
    <n v="3499.99"/>
    <x v="0"/>
    <x v="54"/>
    <x v="1"/>
    <s v="Trek Boone 7 - 2017"/>
    <x v="1"/>
  </r>
  <r>
    <n v="952"/>
    <n v="1"/>
    <n v="20"/>
    <x v="1"/>
    <n v="599.99"/>
    <x v="1"/>
    <x v="3"/>
    <x v="1"/>
    <s v="Electra Townie Original 7D EQ - Women's - 2016"/>
    <x v="1"/>
  </r>
  <r>
    <n v="952"/>
    <n v="2"/>
    <n v="57"/>
    <x v="0"/>
    <n v="1999.99"/>
    <x v="2"/>
    <x v="102"/>
    <x v="1"/>
    <s v="Trek Emonda S 5 - 2017"/>
    <x v="1"/>
  </r>
  <r>
    <n v="953"/>
    <n v="1"/>
    <n v="23"/>
    <x v="1"/>
    <n v="299.99"/>
    <x v="1"/>
    <x v="22"/>
    <x v="1"/>
    <s v="Electra Girl's Hawaii 1 (20-inch) - 2015/2016"/>
    <x v="1"/>
  </r>
  <r>
    <n v="954"/>
    <n v="1"/>
    <n v="4"/>
    <x v="1"/>
    <n v="2899.99"/>
    <x v="3"/>
    <x v="18"/>
    <x v="1"/>
    <s v="Trek Fuel EX 8 29 - 2016"/>
    <x v="1"/>
  </r>
  <r>
    <n v="955"/>
    <n v="1"/>
    <n v="43"/>
    <x v="0"/>
    <n v="5299.99"/>
    <x v="3"/>
    <x v="57"/>
    <x v="1"/>
    <s v="Trek Fuel EX 9.8 27.5 Plus - 2017"/>
    <x v="1"/>
  </r>
  <r>
    <n v="955"/>
    <n v="2"/>
    <n v="31"/>
    <x v="1"/>
    <n v="1632.99"/>
    <x v="1"/>
    <x v="115"/>
    <x v="1"/>
    <s v="Surly Wednesday - 2017"/>
    <x v="1"/>
  </r>
  <r>
    <n v="955"/>
    <n v="3"/>
    <n v="96"/>
    <x v="0"/>
    <n v="349.99"/>
    <x v="2"/>
    <x v="99"/>
    <x v="1"/>
    <s v="Electra Moto 3i (20-inch) - Boy's - 2017"/>
    <x v="1"/>
  </r>
  <r>
    <n v="955"/>
    <n v="4"/>
    <n v="63"/>
    <x v="0"/>
    <n v="3499.99"/>
    <x v="0"/>
    <x v="43"/>
    <x v="1"/>
    <s v="Trek Boone Race Shop Limited - 2017"/>
    <x v="1"/>
  </r>
  <r>
    <n v="955"/>
    <n v="5"/>
    <n v="88"/>
    <x v="0"/>
    <n v="189.99"/>
    <x v="2"/>
    <x v="93"/>
    <x v="1"/>
    <s v="Trek Precaliber 12 Girls - 2017"/>
    <x v="1"/>
  </r>
  <r>
    <n v="956"/>
    <n v="1"/>
    <n v="76"/>
    <x v="1"/>
    <n v="299.99"/>
    <x v="3"/>
    <x v="22"/>
    <x v="1"/>
    <s v="Electra Girl's Hawaii 1 16&quot; - 2017"/>
    <x v="1"/>
  </r>
  <r>
    <n v="956"/>
    <n v="2"/>
    <n v="23"/>
    <x v="0"/>
    <n v="299.99"/>
    <x v="0"/>
    <x v="23"/>
    <x v="1"/>
    <s v="Electra Girl's Hawaii 1 (20-inch) - 2015/2016"/>
    <x v="1"/>
  </r>
  <r>
    <n v="956"/>
    <n v="3"/>
    <n v="73"/>
    <x v="1"/>
    <n v="749.99"/>
    <x v="3"/>
    <x v="6"/>
    <x v="1"/>
    <s v="Sun Bicycles Brickell Tandem 7 - 2017"/>
    <x v="1"/>
  </r>
  <r>
    <n v="956"/>
    <n v="4"/>
    <n v="13"/>
    <x v="1"/>
    <n v="269.99"/>
    <x v="0"/>
    <x v="17"/>
    <x v="1"/>
    <s v="Electra Cruiser 1 (24-Inch) - 2016"/>
    <x v="1"/>
  </r>
  <r>
    <n v="956"/>
    <n v="5"/>
    <n v="79"/>
    <x v="1"/>
    <n v="402.99"/>
    <x v="3"/>
    <x v="123"/>
    <x v="1"/>
    <s v="Sun Bicycles Boardwalk (24-inch Wheels) - 2017"/>
    <x v="1"/>
  </r>
  <r>
    <n v="957"/>
    <n v="1"/>
    <n v="108"/>
    <x v="1"/>
    <n v="449.99"/>
    <x v="2"/>
    <x v="37"/>
    <x v="1"/>
    <s v="Sun Bicycles Cruz 3 - Women's - 2017"/>
    <x v="2"/>
  </r>
  <r>
    <n v="957"/>
    <n v="2"/>
    <n v="14"/>
    <x v="1"/>
    <n v="269.99"/>
    <x v="1"/>
    <x v="17"/>
    <x v="1"/>
    <s v="Electra Girl's Hawaii 1 (16-inch) - 2015/2016"/>
    <x v="2"/>
  </r>
  <r>
    <n v="957"/>
    <n v="3"/>
    <n v="70"/>
    <x v="1"/>
    <n v="659.99"/>
    <x v="2"/>
    <x v="96"/>
    <x v="1"/>
    <s v="Electra Amsterdam Original 3i - 2015/2017"/>
    <x v="2"/>
  </r>
  <r>
    <n v="957"/>
    <n v="4"/>
    <n v="66"/>
    <x v="0"/>
    <n v="250.99"/>
    <x v="1"/>
    <x v="61"/>
    <x v="1"/>
    <s v="Sun Bicycles Revolutions 24 - 2017"/>
    <x v="2"/>
  </r>
  <r>
    <n v="957"/>
    <n v="5"/>
    <n v="111"/>
    <x v="0"/>
    <n v="470.99"/>
    <x v="2"/>
    <x v="107"/>
    <x v="1"/>
    <s v="Sun Bicycles Drifter 7 - Women's - 2017"/>
    <x v="2"/>
  </r>
  <r>
    <n v="958"/>
    <n v="1"/>
    <n v="51"/>
    <x v="0"/>
    <n v="6499.99"/>
    <x v="3"/>
    <x v="122"/>
    <x v="1"/>
    <s v="Trek Silque SLR 8 Women's - 2017"/>
    <x v="0"/>
  </r>
  <r>
    <n v="958"/>
    <n v="2"/>
    <n v="76"/>
    <x v="0"/>
    <n v="299.99"/>
    <x v="0"/>
    <x v="23"/>
    <x v="1"/>
    <s v="Electra Girl's Hawaii 1 16&quot; - 2017"/>
    <x v="0"/>
  </r>
  <r>
    <n v="959"/>
    <n v="1"/>
    <n v="15"/>
    <x v="0"/>
    <n v="529.99"/>
    <x v="0"/>
    <x v="12"/>
    <x v="1"/>
    <s v="Electra Moto 1 - 2016"/>
    <x v="1"/>
  </r>
  <r>
    <n v="959"/>
    <n v="2"/>
    <n v="72"/>
    <x v="0"/>
    <n v="619.99"/>
    <x v="3"/>
    <x v="40"/>
    <x v="1"/>
    <s v="Sun Bicycles Biscayne Tandem 7 - 2017"/>
    <x v="1"/>
  </r>
  <r>
    <n v="959"/>
    <n v="3"/>
    <n v="41"/>
    <x v="0"/>
    <n v="1469.99"/>
    <x v="2"/>
    <x v="112"/>
    <x v="1"/>
    <s v="Haro Shift R3 - 2017"/>
    <x v="1"/>
  </r>
  <r>
    <n v="959"/>
    <n v="4"/>
    <n v="65"/>
    <x v="0"/>
    <n v="346.99"/>
    <x v="1"/>
    <x v="118"/>
    <x v="1"/>
    <s v="Sun Bicycles Lil Bolt Type-R - 2017"/>
    <x v="1"/>
  </r>
  <r>
    <n v="960"/>
    <n v="1"/>
    <n v="73"/>
    <x v="1"/>
    <n v="749.99"/>
    <x v="2"/>
    <x v="6"/>
    <x v="1"/>
    <s v="Sun Bicycles Brickell Tandem 7 - 2017"/>
    <x v="1"/>
  </r>
  <r>
    <n v="960"/>
    <n v="2"/>
    <n v="52"/>
    <x v="0"/>
    <n v="875.99"/>
    <x v="3"/>
    <x v="63"/>
    <x v="1"/>
    <s v="Surly Steamroller - 2017"/>
    <x v="1"/>
  </r>
  <r>
    <n v="960"/>
    <n v="3"/>
    <n v="48"/>
    <x v="1"/>
    <n v="1499.99"/>
    <x v="2"/>
    <x v="65"/>
    <x v="1"/>
    <s v="Trek Emonda S 4 - 2017"/>
    <x v="1"/>
  </r>
  <r>
    <n v="960"/>
    <n v="4"/>
    <n v="83"/>
    <x v="1"/>
    <n v="149.99"/>
    <x v="3"/>
    <x v="87"/>
    <x v="1"/>
    <s v="Trek Boy's Kickster - 2015/2017"/>
    <x v="1"/>
  </r>
  <r>
    <n v="961"/>
    <n v="1"/>
    <n v="105"/>
    <x v="0"/>
    <n v="533.99"/>
    <x v="3"/>
    <x v="128"/>
    <x v="1"/>
    <s v="Sun Bicycles Streamway 7 - 2017"/>
    <x v="0"/>
  </r>
  <r>
    <n v="961"/>
    <n v="2"/>
    <n v="47"/>
    <x v="1"/>
    <n v="5299.99"/>
    <x v="0"/>
    <x v="46"/>
    <x v="1"/>
    <s v="Trek Remedy 9.8 - 2017"/>
    <x v="0"/>
  </r>
  <r>
    <n v="961"/>
    <n v="3"/>
    <n v="65"/>
    <x v="1"/>
    <n v="346.99"/>
    <x v="1"/>
    <x v="110"/>
    <x v="1"/>
    <s v="Sun Bicycles Lil Bolt Type-R - 2017"/>
    <x v="0"/>
  </r>
  <r>
    <n v="962"/>
    <n v="1"/>
    <n v="65"/>
    <x v="1"/>
    <n v="346.99"/>
    <x v="1"/>
    <x v="110"/>
    <x v="1"/>
    <s v="Sun Bicycles Lil Bolt Type-R - 2017"/>
    <x v="1"/>
  </r>
  <r>
    <n v="962"/>
    <n v="2"/>
    <n v="64"/>
    <x v="1"/>
    <n v="489.99"/>
    <x v="1"/>
    <x v="52"/>
    <x v="1"/>
    <s v="Electra Townie Original 7D - 2017"/>
    <x v="1"/>
  </r>
  <r>
    <n v="963"/>
    <n v="1"/>
    <n v="4"/>
    <x v="0"/>
    <n v="2899.99"/>
    <x v="1"/>
    <x v="4"/>
    <x v="1"/>
    <s v="Trek Fuel EX 8 29 - 2016"/>
    <x v="1"/>
  </r>
  <r>
    <n v="964"/>
    <n v="1"/>
    <n v="90"/>
    <x v="0"/>
    <n v="209.99"/>
    <x v="0"/>
    <x v="48"/>
    <x v="1"/>
    <s v="Trek Precaliber 16 Girls - 2017"/>
    <x v="1"/>
  </r>
  <r>
    <n v="964"/>
    <n v="2"/>
    <n v="74"/>
    <x v="0"/>
    <n v="439.99"/>
    <x v="0"/>
    <x v="56"/>
    <x v="1"/>
    <s v="Electra Cruiser Lux 1 - 2017"/>
    <x v="1"/>
  </r>
  <r>
    <n v="965"/>
    <n v="1"/>
    <n v="90"/>
    <x v="1"/>
    <n v="209.99"/>
    <x v="3"/>
    <x v="84"/>
    <x v="1"/>
    <s v="Trek Precaliber 16 Girls - 2017"/>
    <x v="1"/>
  </r>
  <r>
    <n v="966"/>
    <n v="1"/>
    <n v="88"/>
    <x v="0"/>
    <n v="189.99"/>
    <x v="2"/>
    <x v="93"/>
    <x v="1"/>
    <s v="Trek Precaliber 12 Girls - 2017"/>
    <x v="2"/>
  </r>
  <r>
    <n v="966"/>
    <n v="2"/>
    <n v="73"/>
    <x v="0"/>
    <n v="749.99"/>
    <x v="1"/>
    <x v="30"/>
    <x v="1"/>
    <s v="Sun Bicycles Brickell Tandem 7 - 2017"/>
    <x v="2"/>
  </r>
  <r>
    <n v="967"/>
    <n v="1"/>
    <n v="66"/>
    <x v="0"/>
    <n v="250.99"/>
    <x v="0"/>
    <x v="61"/>
    <x v="1"/>
    <s v="Sun Bicycles Revolutions 24 - 2017"/>
    <x v="1"/>
  </r>
  <r>
    <n v="967"/>
    <n v="2"/>
    <n v="77"/>
    <x v="1"/>
    <n v="799.99"/>
    <x v="2"/>
    <x v="108"/>
    <x v="1"/>
    <s v="Electra Glam Punk 3i Ladies' - 2017"/>
    <x v="1"/>
  </r>
  <r>
    <n v="967"/>
    <n v="3"/>
    <n v="87"/>
    <x v="0"/>
    <n v="189.99"/>
    <x v="3"/>
    <x v="93"/>
    <x v="1"/>
    <s v="Trek Precaliber 12 Boys - 2017"/>
    <x v="1"/>
  </r>
  <r>
    <n v="967"/>
    <n v="4"/>
    <n v="103"/>
    <x v="0"/>
    <n v="551.99"/>
    <x v="0"/>
    <x v="38"/>
    <x v="1"/>
    <s v="Sun Bicycles Streamway 3 - 2017"/>
    <x v="1"/>
  </r>
  <r>
    <n v="968"/>
    <n v="1"/>
    <n v="87"/>
    <x v="0"/>
    <n v="189.99"/>
    <x v="0"/>
    <x v="93"/>
    <x v="1"/>
    <s v="Trek Precaliber 12 Boys - 2017"/>
    <x v="1"/>
  </r>
  <r>
    <n v="968"/>
    <n v="2"/>
    <n v="61"/>
    <x v="1"/>
    <n v="4999.99"/>
    <x v="2"/>
    <x v="41"/>
    <x v="1"/>
    <s v="Trek Powerfly 8 FS Plus - 2017"/>
    <x v="1"/>
  </r>
  <r>
    <n v="968"/>
    <n v="3"/>
    <n v="10"/>
    <x v="1"/>
    <n v="1549"/>
    <x v="2"/>
    <x v="2"/>
    <x v="1"/>
    <s v="Surly Straggler - 2016"/>
    <x v="1"/>
  </r>
  <r>
    <n v="969"/>
    <n v="1"/>
    <n v="74"/>
    <x v="0"/>
    <n v="439.99"/>
    <x v="0"/>
    <x v="56"/>
    <x v="1"/>
    <s v="Electra Cruiser Lux 1 - 2017"/>
    <x v="2"/>
  </r>
  <r>
    <n v="969"/>
    <n v="2"/>
    <n v="36"/>
    <x v="0"/>
    <n v="832.99"/>
    <x v="3"/>
    <x v="106"/>
    <x v="1"/>
    <s v="Surly Troll Frameset - 2017"/>
    <x v="2"/>
  </r>
  <r>
    <n v="970"/>
    <n v="1"/>
    <n v="85"/>
    <x v="0"/>
    <n v="329.99"/>
    <x v="3"/>
    <x v="51"/>
    <x v="1"/>
    <s v="Haro Downtown 16 - 2017"/>
    <x v="1"/>
  </r>
  <r>
    <n v="970"/>
    <n v="2"/>
    <n v="48"/>
    <x v="1"/>
    <n v="1499.99"/>
    <x v="3"/>
    <x v="65"/>
    <x v="1"/>
    <s v="Trek Emonda S 4 - 2017"/>
    <x v="1"/>
  </r>
  <r>
    <n v="970"/>
    <n v="3"/>
    <n v="54"/>
    <x v="1"/>
    <n v="3199.99"/>
    <x v="3"/>
    <x v="64"/>
    <x v="1"/>
    <s v="Trek Domane SL Disc Frameset - 2017"/>
    <x v="1"/>
  </r>
  <r>
    <n v="970"/>
    <n v="4"/>
    <n v="68"/>
    <x v="0"/>
    <n v="449.99"/>
    <x v="3"/>
    <x v="72"/>
    <x v="1"/>
    <s v="Sun Bicycles Cruz 3 - 2017"/>
    <x v="1"/>
  </r>
  <r>
    <n v="971"/>
    <n v="1"/>
    <n v="70"/>
    <x v="1"/>
    <n v="659.99"/>
    <x v="2"/>
    <x v="96"/>
    <x v="1"/>
    <s v="Electra Amsterdam Original 3i - 2015/2017"/>
    <x v="2"/>
  </r>
  <r>
    <n v="971"/>
    <n v="2"/>
    <n v="65"/>
    <x v="1"/>
    <n v="346.99"/>
    <x v="1"/>
    <x v="110"/>
    <x v="1"/>
    <s v="Sun Bicycles Lil Bolt Type-R - 2017"/>
    <x v="2"/>
  </r>
  <r>
    <n v="971"/>
    <n v="3"/>
    <n v="8"/>
    <x v="1"/>
    <n v="1799.99"/>
    <x v="2"/>
    <x v="1"/>
    <x v="1"/>
    <s v="Trek Remedy 29 Carbon Frameset - 2016"/>
    <x v="2"/>
  </r>
  <r>
    <n v="971"/>
    <n v="4"/>
    <n v="12"/>
    <x v="1"/>
    <n v="549.99"/>
    <x v="1"/>
    <x v="9"/>
    <x v="1"/>
    <s v="Electra Townie Original 21D - 2016"/>
    <x v="2"/>
  </r>
  <r>
    <n v="971"/>
    <n v="5"/>
    <n v="38"/>
    <x v="0"/>
    <n v="549.99"/>
    <x v="0"/>
    <x v="31"/>
    <x v="1"/>
    <s v="Haro Flightline Two 26 Plus - 2017"/>
    <x v="2"/>
  </r>
  <r>
    <n v="972"/>
    <n v="1"/>
    <n v="100"/>
    <x v="0"/>
    <n v="489.99"/>
    <x v="0"/>
    <x v="44"/>
    <x v="1"/>
    <s v="Electra Townie 3i EQ (20-inch) - Boys' - 2017"/>
    <x v="1"/>
  </r>
  <r>
    <n v="972"/>
    <n v="2"/>
    <n v="63"/>
    <x v="0"/>
    <n v="3499.99"/>
    <x v="1"/>
    <x v="43"/>
    <x v="1"/>
    <s v="Trek Boone Race Shop Limited - 2017"/>
    <x v="1"/>
  </r>
  <r>
    <n v="973"/>
    <n v="1"/>
    <n v="4"/>
    <x v="1"/>
    <n v="2899.99"/>
    <x v="3"/>
    <x v="18"/>
    <x v="1"/>
    <s v="Trek Fuel EX 8 29 - 2016"/>
    <x v="1"/>
  </r>
  <r>
    <n v="973"/>
    <n v="2"/>
    <n v="28"/>
    <x v="1"/>
    <n v="2499.9899999999998"/>
    <x v="3"/>
    <x v="117"/>
    <x v="1"/>
    <s v="Surly Karate Monkey 27.5+ Frameset - 2017"/>
    <x v="1"/>
  </r>
  <r>
    <n v="973"/>
    <n v="3"/>
    <n v="47"/>
    <x v="1"/>
    <n v="5299.99"/>
    <x v="2"/>
    <x v="46"/>
    <x v="1"/>
    <s v="Trek Remedy 9.8 - 2017"/>
    <x v="1"/>
  </r>
  <r>
    <n v="973"/>
    <n v="4"/>
    <n v="71"/>
    <x v="0"/>
    <n v="416.99"/>
    <x v="1"/>
    <x v="71"/>
    <x v="1"/>
    <s v="Sun Bicycles Atlas X-Type - 2017"/>
    <x v="1"/>
  </r>
  <r>
    <n v="974"/>
    <n v="1"/>
    <n v="33"/>
    <x v="1"/>
    <n v="469.99"/>
    <x v="3"/>
    <x v="35"/>
    <x v="1"/>
    <s v="Surly Wednesday Frameset - 2017"/>
    <x v="2"/>
  </r>
  <r>
    <n v="974"/>
    <n v="2"/>
    <n v="22"/>
    <x v="1"/>
    <n v="269.99"/>
    <x v="0"/>
    <x v="17"/>
    <x v="1"/>
    <s v="Electra Girl's Hawaii 1 (16-inch) - 2015/2016"/>
    <x v="2"/>
  </r>
  <r>
    <n v="975"/>
    <n v="1"/>
    <n v="110"/>
    <x v="1"/>
    <n v="470.99"/>
    <x v="0"/>
    <x v="60"/>
    <x v="1"/>
    <s v="Sun Bicycles Drifter 7 - 2017"/>
    <x v="1"/>
  </r>
  <r>
    <n v="976"/>
    <n v="1"/>
    <n v="26"/>
    <x v="1"/>
    <n v="599.99"/>
    <x v="3"/>
    <x v="3"/>
    <x v="1"/>
    <s v="Electra Townie Original 7D EQ - 2016"/>
    <x v="2"/>
  </r>
  <r>
    <n v="976"/>
    <n v="2"/>
    <n v="39"/>
    <x v="0"/>
    <n v="1499.99"/>
    <x v="1"/>
    <x v="77"/>
    <x v="1"/>
    <s v="Trek Stache 5 - 2017"/>
    <x v="2"/>
  </r>
  <r>
    <n v="977"/>
    <n v="1"/>
    <n v="52"/>
    <x v="1"/>
    <n v="875.99"/>
    <x v="3"/>
    <x v="73"/>
    <x v="1"/>
    <s v="Surly Steamroller - 2017"/>
    <x v="1"/>
  </r>
  <r>
    <n v="977"/>
    <n v="2"/>
    <n v="69"/>
    <x v="1"/>
    <n v="416.99"/>
    <x v="2"/>
    <x v="42"/>
    <x v="1"/>
    <s v="Sun Bicycles Cruz 7 - 2017"/>
    <x v="1"/>
  </r>
  <r>
    <n v="977"/>
    <n v="3"/>
    <n v="27"/>
    <x v="0"/>
    <n v="999.99"/>
    <x v="2"/>
    <x v="5"/>
    <x v="1"/>
    <s v="Surly Big Dummy Frameset - 2017"/>
    <x v="1"/>
  </r>
  <r>
    <n v="977"/>
    <n v="4"/>
    <n v="80"/>
    <x v="1"/>
    <n v="761.99"/>
    <x v="2"/>
    <x v="116"/>
    <x v="1"/>
    <s v="Sun Bicycles Brickell Tandem CB - 2017"/>
    <x v="1"/>
  </r>
  <r>
    <n v="978"/>
    <n v="1"/>
    <n v="106"/>
    <x v="1"/>
    <n v="449.99"/>
    <x v="2"/>
    <x v="37"/>
    <x v="1"/>
    <s v="Sun Bicycles Cruz 3 - 2017"/>
    <x v="1"/>
  </r>
  <r>
    <n v="978"/>
    <n v="2"/>
    <n v="25"/>
    <x v="1"/>
    <n v="499.99"/>
    <x v="0"/>
    <x v="26"/>
    <x v="1"/>
    <s v="Electra Townie Original 7D - 2015/2016"/>
    <x v="1"/>
  </r>
  <r>
    <n v="978"/>
    <n v="3"/>
    <n v="108"/>
    <x v="1"/>
    <n v="449.99"/>
    <x v="2"/>
    <x v="37"/>
    <x v="1"/>
    <s v="Sun Bicycles Cruz 3 - Women's - 2017"/>
    <x v="1"/>
  </r>
  <r>
    <n v="979"/>
    <n v="1"/>
    <n v="55"/>
    <x v="0"/>
    <n v="2699.99"/>
    <x v="2"/>
    <x v="82"/>
    <x v="1"/>
    <s v="Trek Domane S 6 - 2017"/>
    <x v="1"/>
  </r>
  <r>
    <n v="979"/>
    <n v="2"/>
    <n v="71"/>
    <x v="1"/>
    <n v="416.99"/>
    <x v="0"/>
    <x v="42"/>
    <x v="1"/>
    <s v="Sun Bicycles Atlas X-Type - 2017"/>
    <x v="1"/>
  </r>
  <r>
    <n v="979"/>
    <n v="3"/>
    <n v="12"/>
    <x v="1"/>
    <n v="549.99"/>
    <x v="3"/>
    <x v="9"/>
    <x v="1"/>
    <s v="Electra Townie Original 21D - 2016"/>
    <x v="1"/>
  </r>
  <r>
    <n v="979"/>
    <n v="4"/>
    <n v="52"/>
    <x v="0"/>
    <n v="875.99"/>
    <x v="0"/>
    <x v="63"/>
    <x v="1"/>
    <s v="Surly Steamroller - 2017"/>
    <x v="1"/>
  </r>
  <r>
    <n v="980"/>
    <n v="1"/>
    <n v="49"/>
    <x v="1"/>
    <n v="3499.99"/>
    <x v="0"/>
    <x v="54"/>
    <x v="1"/>
    <s v="Trek Domane SL 6 - 2017"/>
    <x v="2"/>
  </r>
  <r>
    <n v="980"/>
    <n v="2"/>
    <n v="9"/>
    <x v="0"/>
    <n v="2999.99"/>
    <x v="3"/>
    <x v="28"/>
    <x v="1"/>
    <s v="Trek Conduit+ - 2016"/>
    <x v="2"/>
  </r>
  <r>
    <n v="980"/>
    <n v="3"/>
    <n v="64"/>
    <x v="0"/>
    <n v="489.99"/>
    <x v="3"/>
    <x v="44"/>
    <x v="1"/>
    <s v="Electra Townie Original 7D - 2017"/>
    <x v="2"/>
  </r>
  <r>
    <n v="981"/>
    <n v="1"/>
    <n v="35"/>
    <x v="0"/>
    <n v="832.99"/>
    <x v="3"/>
    <x v="106"/>
    <x v="1"/>
    <s v="Sun Bicycles Spider 3i - 2017"/>
    <x v="2"/>
  </r>
  <r>
    <n v="981"/>
    <n v="2"/>
    <n v="95"/>
    <x v="1"/>
    <n v="299.99"/>
    <x v="2"/>
    <x v="22"/>
    <x v="1"/>
    <s v="Electra Girl's Hawaii 1 16&quot; - 2017"/>
    <x v="2"/>
  </r>
  <r>
    <n v="981"/>
    <n v="3"/>
    <n v="21"/>
    <x v="1"/>
    <n v="269.99"/>
    <x v="1"/>
    <x v="17"/>
    <x v="1"/>
    <s v="Electra Cruiser 1 (24-Inch) - 2016"/>
    <x v="2"/>
  </r>
  <r>
    <n v="981"/>
    <n v="4"/>
    <n v="36"/>
    <x v="1"/>
    <n v="832.99"/>
    <x v="3"/>
    <x v="113"/>
    <x v="1"/>
    <s v="Surly Troll Frameset - 2017"/>
    <x v="2"/>
  </r>
  <r>
    <n v="981"/>
    <n v="5"/>
    <n v="61"/>
    <x v="0"/>
    <n v="4999.99"/>
    <x v="1"/>
    <x v="76"/>
    <x v="1"/>
    <s v="Trek Powerfly 8 FS Plus - 2017"/>
    <x v="2"/>
  </r>
  <r>
    <n v="982"/>
    <n v="1"/>
    <n v="22"/>
    <x v="1"/>
    <n v="269.99"/>
    <x v="3"/>
    <x v="17"/>
    <x v="1"/>
    <s v="Electra Girl's Hawaii 1 (16-inch) - 2015/2016"/>
    <x v="2"/>
  </r>
  <r>
    <n v="982"/>
    <n v="2"/>
    <n v="110"/>
    <x v="0"/>
    <n v="470.99"/>
    <x v="1"/>
    <x v="107"/>
    <x v="1"/>
    <s v="Sun Bicycles Drifter 7 - 2017"/>
    <x v="2"/>
  </r>
  <r>
    <n v="982"/>
    <n v="3"/>
    <n v="52"/>
    <x v="0"/>
    <n v="875.99"/>
    <x v="1"/>
    <x v="63"/>
    <x v="1"/>
    <s v="Surly Steamroller - 2017"/>
    <x v="2"/>
  </r>
  <r>
    <n v="982"/>
    <n v="4"/>
    <n v="40"/>
    <x v="1"/>
    <n v="4999.99"/>
    <x v="2"/>
    <x v="41"/>
    <x v="1"/>
    <s v="Trek Fuel EX 9.8 29 - 2017"/>
    <x v="2"/>
  </r>
  <r>
    <n v="983"/>
    <n v="1"/>
    <n v="63"/>
    <x v="0"/>
    <n v="3499.99"/>
    <x v="3"/>
    <x v="43"/>
    <x v="1"/>
    <s v="Trek Boone Race Shop Limited - 2017"/>
    <x v="1"/>
  </r>
  <r>
    <n v="983"/>
    <n v="2"/>
    <n v="20"/>
    <x v="1"/>
    <n v="599.99"/>
    <x v="0"/>
    <x v="3"/>
    <x v="1"/>
    <s v="Electra Townie Original 7D EQ - Women's - 2016"/>
    <x v="1"/>
  </r>
  <r>
    <n v="983"/>
    <n v="3"/>
    <n v="68"/>
    <x v="0"/>
    <n v="449.99"/>
    <x v="1"/>
    <x v="72"/>
    <x v="1"/>
    <s v="Sun Bicycles Cruz 3 - 2017"/>
    <x v="1"/>
  </r>
  <r>
    <n v="983"/>
    <n v="4"/>
    <n v="81"/>
    <x v="1"/>
    <n v="1099.99"/>
    <x v="1"/>
    <x v="88"/>
    <x v="1"/>
    <s v="Electra Amsterdam Fashion 7i Ladies' - 2017"/>
    <x v="1"/>
  </r>
  <r>
    <n v="983"/>
    <n v="5"/>
    <n v="88"/>
    <x v="0"/>
    <n v="189.99"/>
    <x v="2"/>
    <x v="93"/>
    <x v="1"/>
    <s v="Trek Precaliber 12 Girls - 2017"/>
    <x v="1"/>
  </r>
  <r>
    <n v="984"/>
    <n v="1"/>
    <n v="68"/>
    <x v="0"/>
    <n v="449.99"/>
    <x v="0"/>
    <x v="72"/>
    <x v="1"/>
    <s v="Sun Bicycles Cruz 3 - 2017"/>
    <x v="1"/>
  </r>
  <r>
    <n v="984"/>
    <n v="2"/>
    <n v="81"/>
    <x v="1"/>
    <n v="1099.99"/>
    <x v="0"/>
    <x v="88"/>
    <x v="1"/>
    <s v="Electra Amsterdam Fashion 7i Ladies' - 2017"/>
    <x v="1"/>
  </r>
  <r>
    <n v="984"/>
    <n v="3"/>
    <n v="12"/>
    <x v="0"/>
    <n v="549.99"/>
    <x v="3"/>
    <x v="31"/>
    <x v="1"/>
    <s v="Electra Townie Original 21D - 2016"/>
    <x v="1"/>
  </r>
  <r>
    <n v="984"/>
    <n v="4"/>
    <n v="111"/>
    <x v="0"/>
    <n v="470.99"/>
    <x v="0"/>
    <x v="107"/>
    <x v="1"/>
    <s v="Sun Bicycles Drifter 7 - Women's - 2017"/>
    <x v="1"/>
  </r>
  <r>
    <n v="985"/>
    <n v="1"/>
    <n v="5"/>
    <x v="1"/>
    <n v="1320.99"/>
    <x v="1"/>
    <x v="34"/>
    <x v="1"/>
    <s v="Heller Shagamaw Frame - 2016"/>
    <x v="1"/>
  </r>
  <r>
    <n v="985"/>
    <n v="2"/>
    <n v="59"/>
    <x v="0"/>
    <n v="2599.9899999999998"/>
    <x v="0"/>
    <x v="90"/>
    <x v="1"/>
    <s v="Trek Domane S 5 Disc - 2017"/>
    <x v="1"/>
  </r>
  <r>
    <n v="985"/>
    <n v="3"/>
    <n v="78"/>
    <x v="1"/>
    <n v="647.99"/>
    <x v="2"/>
    <x v="114"/>
    <x v="1"/>
    <s v="Sun Bicycles Biscayne Tandem CB - 2017"/>
    <x v="1"/>
  </r>
  <r>
    <n v="986"/>
    <n v="1"/>
    <n v="87"/>
    <x v="0"/>
    <n v="189.99"/>
    <x v="3"/>
    <x v="93"/>
    <x v="1"/>
    <s v="Trek Precaliber 12 Boys - 2017"/>
    <x v="1"/>
  </r>
  <r>
    <n v="986"/>
    <n v="2"/>
    <n v="78"/>
    <x v="0"/>
    <n v="647.99"/>
    <x v="2"/>
    <x v="49"/>
    <x v="1"/>
    <s v="Sun Bicycles Biscayne Tandem CB - 2017"/>
    <x v="1"/>
  </r>
  <r>
    <n v="986"/>
    <n v="3"/>
    <n v="26"/>
    <x v="1"/>
    <n v="599.99"/>
    <x v="1"/>
    <x v="3"/>
    <x v="1"/>
    <s v="Electra Townie Original 7D EQ - 2016"/>
    <x v="1"/>
  </r>
  <r>
    <n v="987"/>
    <n v="1"/>
    <n v="51"/>
    <x v="1"/>
    <n v="6499.99"/>
    <x v="3"/>
    <x v="83"/>
    <x v="1"/>
    <s v="Trek Silque SLR 8 Women's - 2017"/>
    <x v="0"/>
  </r>
  <r>
    <n v="987"/>
    <n v="2"/>
    <n v="60"/>
    <x v="1"/>
    <n v="1559.99"/>
    <x v="0"/>
    <x v="89"/>
    <x v="1"/>
    <s v="Sun Bicycles ElectroLite - 2017"/>
    <x v="0"/>
  </r>
  <r>
    <n v="987"/>
    <n v="3"/>
    <n v="80"/>
    <x v="0"/>
    <n v="761.99"/>
    <x v="1"/>
    <x v="58"/>
    <x v="1"/>
    <s v="Sun Bicycles Brickell Tandem CB - 2017"/>
    <x v="0"/>
  </r>
  <r>
    <n v="988"/>
    <n v="1"/>
    <n v="35"/>
    <x v="0"/>
    <n v="832.99"/>
    <x v="0"/>
    <x v="106"/>
    <x v="1"/>
    <s v="Sun Bicycles Spider 3i - 2017"/>
    <x v="1"/>
  </r>
  <r>
    <n v="988"/>
    <n v="2"/>
    <n v="38"/>
    <x v="0"/>
    <n v="549.99"/>
    <x v="1"/>
    <x v="31"/>
    <x v="1"/>
    <s v="Haro Flightline Two 26 Plus - 2017"/>
    <x v="1"/>
  </r>
  <r>
    <n v="988"/>
    <n v="3"/>
    <n v="12"/>
    <x v="1"/>
    <n v="549.99"/>
    <x v="1"/>
    <x v="9"/>
    <x v="1"/>
    <s v="Electra Townie Original 21D - 2016"/>
    <x v="1"/>
  </r>
  <r>
    <n v="989"/>
    <n v="1"/>
    <n v="99"/>
    <x v="0"/>
    <n v="299.99"/>
    <x v="2"/>
    <x v="23"/>
    <x v="1"/>
    <s v="Electra Sugar Skulls 1 (20-inch) - Girl's - 2017"/>
    <x v="1"/>
  </r>
  <r>
    <n v="989"/>
    <n v="2"/>
    <n v="27"/>
    <x v="0"/>
    <n v="999.99"/>
    <x v="3"/>
    <x v="5"/>
    <x v="1"/>
    <s v="Surly Big Dummy Frameset - 2017"/>
    <x v="1"/>
  </r>
  <r>
    <n v="989"/>
    <n v="3"/>
    <n v="70"/>
    <x v="0"/>
    <n v="659.99"/>
    <x v="3"/>
    <x v="66"/>
    <x v="1"/>
    <s v="Electra Amsterdam Original 3i - 2015/2017"/>
    <x v="1"/>
  </r>
  <r>
    <n v="989"/>
    <n v="4"/>
    <n v="84"/>
    <x v="1"/>
    <n v="109.99"/>
    <x v="1"/>
    <x v="109"/>
    <x v="1"/>
    <s v="Sun Bicycles Lil Kitt'n - 2017"/>
    <x v="1"/>
  </r>
  <r>
    <n v="989"/>
    <n v="5"/>
    <n v="5"/>
    <x v="0"/>
    <n v="1320.99"/>
    <x v="3"/>
    <x v="24"/>
    <x v="1"/>
    <s v="Heller Shagamaw Frame - 2016"/>
    <x v="1"/>
  </r>
  <r>
    <n v="990"/>
    <n v="1"/>
    <n v="6"/>
    <x v="1"/>
    <n v="469.99"/>
    <x v="0"/>
    <x v="35"/>
    <x v="1"/>
    <s v="Surly Ice Cream Truck Frameset - 2016"/>
    <x v="1"/>
  </r>
  <r>
    <n v="990"/>
    <n v="2"/>
    <n v="29"/>
    <x v="0"/>
    <n v="999.99"/>
    <x v="3"/>
    <x v="5"/>
    <x v="1"/>
    <s v="Trek X-Caliber 8 - 2017"/>
    <x v="1"/>
  </r>
  <r>
    <n v="990"/>
    <n v="3"/>
    <n v="91"/>
    <x v="0"/>
    <n v="349.99"/>
    <x v="3"/>
    <x v="99"/>
    <x v="1"/>
    <s v="Trek Precaliber 24 (21-Speed) - Girls - 2017"/>
    <x v="1"/>
  </r>
  <r>
    <n v="990"/>
    <n v="4"/>
    <n v="14"/>
    <x v="1"/>
    <n v="269.99"/>
    <x v="3"/>
    <x v="17"/>
    <x v="1"/>
    <s v="Electra Girl's Hawaii 1 (16-inch) - 2015/2016"/>
    <x v="1"/>
  </r>
  <r>
    <n v="991"/>
    <n v="1"/>
    <n v="9"/>
    <x v="1"/>
    <n v="2999.99"/>
    <x v="0"/>
    <x v="11"/>
    <x v="1"/>
    <s v="Trek Conduit+ - 2016"/>
    <x v="0"/>
  </r>
  <r>
    <n v="991"/>
    <n v="2"/>
    <n v="79"/>
    <x v="0"/>
    <n v="402.99"/>
    <x v="0"/>
    <x v="50"/>
    <x v="1"/>
    <s v="Sun Bicycles Boardwalk (24-inch Wheels) - 2017"/>
    <x v="0"/>
  </r>
  <r>
    <n v="991"/>
    <n v="3"/>
    <n v="34"/>
    <x v="0"/>
    <n v="469.99"/>
    <x v="0"/>
    <x v="20"/>
    <x v="1"/>
    <s v="Trek Session DH 27.5 Carbon Frameset - 2017"/>
    <x v="0"/>
  </r>
  <r>
    <n v="992"/>
    <n v="1"/>
    <n v="45"/>
    <x v="0"/>
    <n v="869.99"/>
    <x v="1"/>
    <x v="98"/>
    <x v="1"/>
    <s v="Haro SR 1.2 - 2017"/>
    <x v="1"/>
  </r>
  <r>
    <n v="992"/>
    <n v="2"/>
    <n v="102"/>
    <x v="0"/>
    <n v="489.99"/>
    <x v="3"/>
    <x v="44"/>
    <x v="1"/>
    <s v="Electra Townie Original 7D - 2017"/>
    <x v="1"/>
  </r>
  <r>
    <n v="992"/>
    <n v="3"/>
    <n v="20"/>
    <x v="0"/>
    <n v="599.99"/>
    <x v="0"/>
    <x v="0"/>
    <x v="1"/>
    <s v="Electra Townie Original 7D EQ - Women's - 2016"/>
    <x v="1"/>
  </r>
  <r>
    <n v="992"/>
    <n v="4"/>
    <n v="101"/>
    <x v="1"/>
    <n v="339.99"/>
    <x v="0"/>
    <x v="75"/>
    <x v="1"/>
    <s v="Electra Townie 7D (20-inch) - Boys' - 2017"/>
    <x v="1"/>
  </r>
  <r>
    <n v="992"/>
    <n v="5"/>
    <n v="7"/>
    <x v="0"/>
    <n v="3999.99"/>
    <x v="2"/>
    <x v="25"/>
    <x v="1"/>
    <s v="Trek Slash 8 27.5 - 2016"/>
    <x v="1"/>
  </r>
  <r>
    <n v="993"/>
    <n v="1"/>
    <n v="58"/>
    <x v="0"/>
    <n v="4999.99"/>
    <x v="0"/>
    <x v="76"/>
    <x v="1"/>
    <s v="Trek Madone 9.2 - 2017"/>
    <x v="0"/>
  </r>
  <r>
    <n v="993"/>
    <n v="2"/>
    <n v="36"/>
    <x v="1"/>
    <n v="832.99"/>
    <x v="3"/>
    <x v="113"/>
    <x v="1"/>
    <s v="Surly Troll Frameset - 2017"/>
    <x v="0"/>
  </r>
  <r>
    <n v="993"/>
    <n v="3"/>
    <n v="10"/>
    <x v="1"/>
    <n v="1549"/>
    <x v="2"/>
    <x v="2"/>
    <x v="1"/>
    <s v="Surly Straggler - 2016"/>
    <x v="0"/>
  </r>
  <r>
    <n v="993"/>
    <n v="4"/>
    <n v="99"/>
    <x v="1"/>
    <n v="299.99"/>
    <x v="1"/>
    <x v="22"/>
    <x v="1"/>
    <s v="Electra Sugar Skulls 1 (20-inch) - Girl's - 2017"/>
    <x v="0"/>
  </r>
  <r>
    <n v="993"/>
    <n v="5"/>
    <n v="79"/>
    <x v="1"/>
    <n v="402.99"/>
    <x v="3"/>
    <x v="123"/>
    <x v="1"/>
    <s v="Sun Bicycles Boardwalk (24-inch Wheels) - 2017"/>
    <x v="0"/>
  </r>
  <r>
    <n v="994"/>
    <n v="1"/>
    <n v="37"/>
    <x v="1"/>
    <n v="379.99"/>
    <x v="3"/>
    <x v="86"/>
    <x v="1"/>
    <s v="Haro Flightline One ST - 2017"/>
    <x v="1"/>
  </r>
  <r>
    <n v="994"/>
    <n v="2"/>
    <n v="45"/>
    <x v="0"/>
    <n v="869.99"/>
    <x v="0"/>
    <x v="98"/>
    <x v="1"/>
    <s v="Haro SR 1.2 - 2017"/>
    <x v="1"/>
  </r>
  <r>
    <n v="994"/>
    <n v="3"/>
    <n v="66"/>
    <x v="0"/>
    <n v="250.99"/>
    <x v="1"/>
    <x v="61"/>
    <x v="1"/>
    <s v="Sun Bicycles Revolutions 24 - 2017"/>
    <x v="1"/>
  </r>
  <r>
    <n v="995"/>
    <n v="1"/>
    <n v="16"/>
    <x v="1"/>
    <n v="599.99"/>
    <x v="3"/>
    <x v="3"/>
    <x v="1"/>
    <s v="Electra Townie Original 7D EQ - 2016"/>
    <x v="0"/>
  </r>
  <r>
    <n v="995"/>
    <n v="2"/>
    <n v="90"/>
    <x v="0"/>
    <n v="209.99"/>
    <x v="0"/>
    <x v="48"/>
    <x v="1"/>
    <s v="Trek Precaliber 16 Girls - 2017"/>
    <x v="0"/>
  </r>
  <r>
    <n v="995"/>
    <n v="3"/>
    <n v="101"/>
    <x v="0"/>
    <n v="339.99"/>
    <x v="3"/>
    <x v="119"/>
    <x v="1"/>
    <s v="Electra Townie 7D (20-inch) - Boys' - 2017"/>
    <x v="0"/>
  </r>
  <r>
    <n v="996"/>
    <n v="1"/>
    <n v="68"/>
    <x v="1"/>
    <n v="449.99"/>
    <x v="2"/>
    <x v="37"/>
    <x v="1"/>
    <s v="Sun Bicycles Cruz 3 - 2017"/>
    <x v="0"/>
  </r>
  <r>
    <n v="996"/>
    <n v="2"/>
    <n v="32"/>
    <x v="0"/>
    <n v="469.99"/>
    <x v="2"/>
    <x v="20"/>
    <x v="1"/>
    <s v="Trek Farley Alloy Frameset - 2017"/>
    <x v="0"/>
  </r>
  <r>
    <n v="997"/>
    <n v="1"/>
    <n v="86"/>
    <x v="1"/>
    <n v="149.99"/>
    <x v="1"/>
    <x v="87"/>
    <x v="1"/>
    <s v="Trek Girl's Kickster - 2017"/>
    <x v="1"/>
  </r>
  <r>
    <n v="997"/>
    <n v="2"/>
    <n v="105"/>
    <x v="1"/>
    <n v="533.99"/>
    <x v="0"/>
    <x v="85"/>
    <x v="1"/>
    <s v="Sun Bicycles Streamway 7 - 2017"/>
    <x v="1"/>
  </r>
  <r>
    <n v="997"/>
    <n v="3"/>
    <n v="14"/>
    <x v="1"/>
    <n v="269.99"/>
    <x v="1"/>
    <x v="17"/>
    <x v="1"/>
    <s v="Electra Girl's Hawaii 1 (16-inch) - 2015/2016"/>
    <x v="1"/>
  </r>
  <r>
    <n v="998"/>
    <n v="1"/>
    <n v="26"/>
    <x v="1"/>
    <n v="599.99"/>
    <x v="2"/>
    <x v="3"/>
    <x v="1"/>
    <s v="Electra Townie Original 7D EQ - 2016"/>
    <x v="1"/>
  </r>
  <r>
    <n v="998"/>
    <n v="2"/>
    <n v="105"/>
    <x v="0"/>
    <n v="533.99"/>
    <x v="0"/>
    <x v="128"/>
    <x v="1"/>
    <s v="Sun Bicycles Streamway 7 - 2017"/>
    <x v="1"/>
  </r>
  <r>
    <n v="999"/>
    <n v="1"/>
    <n v="70"/>
    <x v="1"/>
    <n v="659.99"/>
    <x v="1"/>
    <x v="96"/>
    <x v="1"/>
    <s v="Electra Amsterdam Original 3i - 2015/2017"/>
    <x v="1"/>
  </r>
  <r>
    <n v="999"/>
    <n v="2"/>
    <n v="106"/>
    <x v="0"/>
    <n v="449.99"/>
    <x v="2"/>
    <x v="72"/>
    <x v="1"/>
    <s v="Sun Bicycles Cruz 3 - 2017"/>
    <x v="1"/>
  </r>
  <r>
    <n v="1000"/>
    <n v="1"/>
    <n v="65"/>
    <x v="1"/>
    <n v="346.99"/>
    <x v="2"/>
    <x v="110"/>
    <x v="1"/>
    <s v="Sun Bicycles Lil Bolt Type-R - 2017"/>
    <x v="1"/>
  </r>
  <r>
    <n v="1000"/>
    <n v="2"/>
    <n v="111"/>
    <x v="0"/>
    <n v="470.99"/>
    <x v="3"/>
    <x v="107"/>
    <x v="1"/>
    <s v="Sun Bicycles Drifter 7 - Women's - 2017"/>
    <x v="1"/>
  </r>
  <r>
    <n v="1000"/>
    <n v="3"/>
    <n v="19"/>
    <x v="1"/>
    <n v="449"/>
    <x v="1"/>
    <x v="21"/>
    <x v="1"/>
    <s v="Pure Cycles William 3-Speed - 2016"/>
    <x v="1"/>
  </r>
  <r>
    <n v="1000"/>
    <n v="4"/>
    <n v="29"/>
    <x v="1"/>
    <n v="999.99"/>
    <x v="2"/>
    <x v="10"/>
    <x v="1"/>
    <s v="Trek X-Caliber 8 - 2017"/>
    <x v="1"/>
  </r>
  <r>
    <n v="1001"/>
    <n v="1"/>
    <n v="72"/>
    <x v="0"/>
    <n v="619.99"/>
    <x v="2"/>
    <x v="40"/>
    <x v="1"/>
    <s v="Sun Bicycles Biscayne Tandem 7 - 2017"/>
    <x v="1"/>
  </r>
  <r>
    <n v="1001"/>
    <n v="2"/>
    <n v="45"/>
    <x v="1"/>
    <n v="869.99"/>
    <x v="2"/>
    <x v="81"/>
    <x v="1"/>
    <s v="Haro SR 1.2 - 2017"/>
    <x v="1"/>
  </r>
  <r>
    <n v="1001"/>
    <n v="3"/>
    <n v="58"/>
    <x v="0"/>
    <n v="4999.99"/>
    <x v="3"/>
    <x v="76"/>
    <x v="1"/>
    <s v="Trek Madone 9.2 - 2017"/>
    <x v="1"/>
  </r>
  <r>
    <n v="1001"/>
    <n v="4"/>
    <n v="111"/>
    <x v="0"/>
    <n v="470.99"/>
    <x v="1"/>
    <x v="107"/>
    <x v="1"/>
    <s v="Sun Bicycles Drifter 7 - Women's - 2017"/>
    <x v="1"/>
  </r>
  <r>
    <n v="1002"/>
    <n v="1"/>
    <n v="100"/>
    <x v="0"/>
    <n v="489.99"/>
    <x v="2"/>
    <x v="44"/>
    <x v="1"/>
    <s v="Electra Townie 3i EQ (20-inch) - Boys' - 2017"/>
    <x v="0"/>
  </r>
  <r>
    <n v="1002"/>
    <n v="2"/>
    <n v="83"/>
    <x v="0"/>
    <n v="149.99"/>
    <x v="3"/>
    <x v="62"/>
    <x v="1"/>
    <s v="Trek Boy's Kickster - 2015/2017"/>
    <x v="0"/>
  </r>
  <r>
    <n v="1002"/>
    <n v="3"/>
    <n v="8"/>
    <x v="1"/>
    <n v="1799.99"/>
    <x v="3"/>
    <x v="1"/>
    <x v="1"/>
    <s v="Trek Remedy 29 Carbon Frameset - 2016"/>
    <x v="0"/>
  </r>
  <r>
    <n v="1002"/>
    <n v="4"/>
    <n v="79"/>
    <x v="0"/>
    <n v="402.99"/>
    <x v="0"/>
    <x v="50"/>
    <x v="1"/>
    <s v="Sun Bicycles Boardwalk (24-inch Wheels) - 2017"/>
    <x v="0"/>
  </r>
  <r>
    <n v="1003"/>
    <n v="1"/>
    <n v="34"/>
    <x v="1"/>
    <n v="469.99"/>
    <x v="2"/>
    <x v="35"/>
    <x v="1"/>
    <s v="Trek Session DH 27.5 Carbon Frameset - 2017"/>
    <x v="1"/>
  </r>
  <r>
    <n v="1003"/>
    <n v="2"/>
    <n v="51"/>
    <x v="1"/>
    <n v="6499.99"/>
    <x v="2"/>
    <x v="83"/>
    <x v="1"/>
    <s v="Trek Silque SLR 8 Women's - 2017"/>
    <x v="1"/>
  </r>
  <r>
    <n v="1004"/>
    <n v="1"/>
    <n v="36"/>
    <x v="1"/>
    <n v="832.99"/>
    <x v="3"/>
    <x v="113"/>
    <x v="1"/>
    <s v="Surly Troll Frameset - 2017"/>
    <x v="1"/>
  </r>
  <r>
    <n v="1005"/>
    <n v="1"/>
    <n v="14"/>
    <x v="1"/>
    <n v="269.99"/>
    <x v="0"/>
    <x v="17"/>
    <x v="1"/>
    <s v="Electra Girl's Hawaii 1 (16-inch) - 2015/2016"/>
    <x v="1"/>
  </r>
  <r>
    <n v="1005"/>
    <n v="2"/>
    <n v="81"/>
    <x v="1"/>
    <n v="1099.99"/>
    <x v="3"/>
    <x v="88"/>
    <x v="1"/>
    <s v="Electra Amsterdam Fashion 7i Ladies' - 2017"/>
    <x v="1"/>
  </r>
  <r>
    <n v="1005"/>
    <n v="3"/>
    <n v="99"/>
    <x v="0"/>
    <n v="299.99"/>
    <x v="3"/>
    <x v="23"/>
    <x v="1"/>
    <s v="Electra Sugar Skulls 1 (20-inch) - Girl's - 2017"/>
    <x v="1"/>
  </r>
  <r>
    <n v="1006"/>
    <n v="1"/>
    <n v="20"/>
    <x v="0"/>
    <n v="599.99"/>
    <x v="1"/>
    <x v="0"/>
    <x v="1"/>
    <s v="Electra Townie Original 7D EQ - Women's - 2016"/>
    <x v="1"/>
  </r>
  <r>
    <n v="1006"/>
    <n v="2"/>
    <n v="68"/>
    <x v="0"/>
    <n v="449.99"/>
    <x v="3"/>
    <x v="72"/>
    <x v="1"/>
    <s v="Sun Bicycles Cruz 3 - 2017"/>
    <x v="1"/>
  </r>
  <r>
    <n v="1006"/>
    <n v="3"/>
    <n v="56"/>
    <x v="1"/>
    <n v="5499.99"/>
    <x v="1"/>
    <x v="91"/>
    <x v="1"/>
    <s v="Trek Domane SLR 6 Disc - 2017"/>
    <x v="1"/>
  </r>
  <r>
    <n v="1006"/>
    <n v="4"/>
    <n v="65"/>
    <x v="0"/>
    <n v="346.99"/>
    <x v="3"/>
    <x v="118"/>
    <x v="1"/>
    <s v="Sun Bicycles Lil Bolt Type-R - 2017"/>
    <x v="1"/>
  </r>
  <r>
    <n v="1006"/>
    <n v="5"/>
    <n v="46"/>
    <x v="0"/>
    <n v="1409.99"/>
    <x v="3"/>
    <x v="126"/>
    <x v="1"/>
    <s v="Haro SR 1.3 - 2017"/>
    <x v="1"/>
  </r>
  <r>
    <n v="1007"/>
    <n v="1"/>
    <n v="26"/>
    <x v="0"/>
    <n v="599.99"/>
    <x v="0"/>
    <x v="0"/>
    <x v="1"/>
    <s v="Electra Townie Original 7D EQ - 2016"/>
    <x v="1"/>
  </r>
  <r>
    <n v="1007"/>
    <n v="2"/>
    <n v="11"/>
    <x v="0"/>
    <n v="1680.99"/>
    <x v="2"/>
    <x v="19"/>
    <x v="1"/>
    <s v="Surly Straggler 650b - 2016"/>
    <x v="1"/>
  </r>
  <r>
    <n v="1007"/>
    <n v="3"/>
    <n v="85"/>
    <x v="1"/>
    <n v="329.99"/>
    <x v="3"/>
    <x v="36"/>
    <x v="1"/>
    <s v="Haro Downtown 16 - 2017"/>
    <x v="1"/>
  </r>
  <r>
    <n v="1007"/>
    <n v="4"/>
    <n v="76"/>
    <x v="0"/>
    <n v="299.99"/>
    <x v="0"/>
    <x v="23"/>
    <x v="1"/>
    <s v="Electra Girl's Hawaii 1 16&quot; - 2017"/>
    <x v="1"/>
  </r>
  <r>
    <n v="1007"/>
    <n v="5"/>
    <n v="106"/>
    <x v="1"/>
    <n v="449.99"/>
    <x v="3"/>
    <x v="37"/>
    <x v="1"/>
    <s v="Sun Bicycles Cruz 3 - 2017"/>
    <x v="1"/>
  </r>
  <r>
    <n v="1008"/>
    <n v="1"/>
    <n v="71"/>
    <x v="0"/>
    <n v="416.99"/>
    <x v="0"/>
    <x v="71"/>
    <x v="1"/>
    <s v="Sun Bicycles Atlas X-Type - 2017"/>
    <x v="1"/>
  </r>
  <r>
    <n v="1008"/>
    <n v="2"/>
    <n v="2"/>
    <x v="0"/>
    <n v="749.99"/>
    <x v="3"/>
    <x v="30"/>
    <x v="1"/>
    <s v="Ritchey Timberwolf Frameset - 2016"/>
    <x v="1"/>
  </r>
  <r>
    <n v="1008"/>
    <n v="3"/>
    <n v="95"/>
    <x v="0"/>
    <n v="299.99"/>
    <x v="1"/>
    <x v="23"/>
    <x v="1"/>
    <s v="Electra Girl's Hawaii 1 16&quot; - 2017"/>
    <x v="1"/>
  </r>
  <r>
    <n v="1009"/>
    <n v="1"/>
    <n v="95"/>
    <x v="1"/>
    <n v="299.99"/>
    <x v="1"/>
    <x v="22"/>
    <x v="1"/>
    <s v="Electra Girl's Hawaii 1 16&quot; - 2017"/>
    <x v="2"/>
  </r>
  <r>
    <n v="1009"/>
    <n v="2"/>
    <n v="44"/>
    <x v="0"/>
    <n v="539.99"/>
    <x v="1"/>
    <x v="127"/>
    <x v="1"/>
    <s v="Haro SR 1.1 - 2017"/>
    <x v="2"/>
  </r>
  <r>
    <n v="1010"/>
    <n v="1"/>
    <n v="109"/>
    <x v="1"/>
    <n v="416.99"/>
    <x v="3"/>
    <x v="42"/>
    <x v="1"/>
    <s v="Sun Bicycles Cruz 7 - Women's - 2017"/>
    <x v="1"/>
  </r>
  <r>
    <n v="1011"/>
    <n v="1"/>
    <n v="88"/>
    <x v="0"/>
    <n v="189.99"/>
    <x v="0"/>
    <x v="93"/>
    <x v="1"/>
    <s v="Trek Precaliber 12 Girls - 2017"/>
    <x v="0"/>
  </r>
  <r>
    <n v="1011"/>
    <n v="2"/>
    <n v="99"/>
    <x v="1"/>
    <n v="299.99"/>
    <x v="0"/>
    <x v="22"/>
    <x v="1"/>
    <s v="Electra Sugar Skulls 1 (20-inch) - Girl's - 2017"/>
    <x v="0"/>
  </r>
  <r>
    <n v="1011"/>
    <n v="3"/>
    <n v="16"/>
    <x v="1"/>
    <n v="599.99"/>
    <x v="0"/>
    <x v="3"/>
    <x v="1"/>
    <s v="Electra Townie Original 7D EQ - 2016"/>
    <x v="0"/>
  </r>
  <r>
    <n v="1011"/>
    <n v="4"/>
    <n v="68"/>
    <x v="1"/>
    <n v="449.99"/>
    <x v="2"/>
    <x v="37"/>
    <x v="1"/>
    <s v="Sun Bicycles Cruz 3 - 2017"/>
    <x v="0"/>
  </r>
  <r>
    <n v="1012"/>
    <n v="1"/>
    <n v="8"/>
    <x v="0"/>
    <n v="1799.99"/>
    <x v="1"/>
    <x v="16"/>
    <x v="1"/>
    <s v="Trek Remedy 29 Carbon Frameset - 2016"/>
    <x v="1"/>
  </r>
  <r>
    <n v="1012"/>
    <n v="2"/>
    <n v="64"/>
    <x v="0"/>
    <n v="489.99"/>
    <x v="0"/>
    <x v="44"/>
    <x v="1"/>
    <s v="Electra Townie Original 7D - 2017"/>
    <x v="1"/>
  </r>
  <r>
    <n v="1013"/>
    <n v="1"/>
    <n v="60"/>
    <x v="1"/>
    <n v="1559.99"/>
    <x v="2"/>
    <x v="89"/>
    <x v="1"/>
    <s v="Sun Bicycles ElectroLite - 2017"/>
    <x v="1"/>
  </r>
  <r>
    <n v="1014"/>
    <n v="1"/>
    <n v="97"/>
    <x v="0"/>
    <n v="349.99"/>
    <x v="0"/>
    <x v="99"/>
    <x v="1"/>
    <s v="Electra Savannah 3i (20-inch) - Girl's - 2017"/>
    <x v="1"/>
  </r>
  <r>
    <n v="1014"/>
    <n v="2"/>
    <n v="45"/>
    <x v="1"/>
    <n v="869.99"/>
    <x v="2"/>
    <x v="81"/>
    <x v="1"/>
    <s v="Haro SR 1.2 - 2017"/>
    <x v="1"/>
  </r>
  <r>
    <n v="1014"/>
    <n v="3"/>
    <n v="81"/>
    <x v="1"/>
    <n v="1099.99"/>
    <x v="3"/>
    <x v="88"/>
    <x v="1"/>
    <s v="Electra Amsterdam Fashion 7i Ladies' - 2017"/>
    <x v="1"/>
  </r>
  <r>
    <n v="1014"/>
    <n v="4"/>
    <n v="59"/>
    <x v="0"/>
    <n v="2599.9899999999998"/>
    <x v="2"/>
    <x v="90"/>
    <x v="1"/>
    <s v="Trek Domane S 5 Disc - 2017"/>
    <x v="1"/>
  </r>
  <r>
    <n v="1015"/>
    <n v="1"/>
    <n v="6"/>
    <x v="1"/>
    <n v="469.99"/>
    <x v="3"/>
    <x v="35"/>
    <x v="1"/>
    <s v="Surly Ice Cream Truck Frameset - 2016"/>
    <x v="1"/>
  </r>
  <r>
    <n v="1015"/>
    <n v="2"/>
    <n v="73"/>
    <x v="1"/>
    <n v="749.99"/>
    <x v="0"/>
    <x v="6"/>
    <x v="1"/>
    <s v="Sun Bicycles Brickell Tandem 7 - 2017"/>
    <x v="1"/>
  </r>
  <r>
    <n v="1015"/>
    <n v="3"/>
    <n v="101"/>
    <x v="1"/>
    <n v="339.99"/>
    <x v="3"/>
    <x v="75"/>
    <x v="1"/>
    <s v="Electra Townie 7D (20-inch) - Boys' - 2017"/>
    <x v="1"/>
  </r>
  <r>
    <n v="1015"/>
    <n v="4"/>
    <n v="13"/>
    <x v="0"/>
    <n v="269.99"/>
    <x v="0"/>
    <x v="14"/>
    <x v="1"/>
    <s v="Electra Cruiser 1 (24-Inch) - 2016"/>
    <x v="1"/>
  </r>
  <r>
    <n v="1016"/>
    <n v="1"/>
    <n v="76"/>
    <x v="1"/>
    <n v="299.99"/>
    <x v="1"/>
    <x v="22"/>
    <x v="1"/>
    <s v="Electra Girl's Hawaii 1 16&quot; - 2017"/>
    <x v="2"/>
  </r>
  <r>
    <n v="1017"/>
    <n v="1"/>
    <n v="89"/>
    <x v="0"/>
    <n v="209.99"/>
    <x v="1"/>
    <x v="48"/>
    <x v="1"/>
    <s v="Trek Precaliber 16 Boys - 2017"/>
    <x v="1"/>
  </r>
  <r>
    <n v="1017"/>
    <n v="2"/>
    <n v="82"/>
    <x v="1"/>
    <n v="659.99"/>
    <x v="0"/>
    <x v="96"/>
    <x v="1"/>
    <s v="Electra Amsterdam Original 3i Ladies' - 2017"/>
    <x v="1"/>
  </r>
  <r>
    <n v="1017"/>
    <n v="3"/>
    <n v="100"/>
    <x v="0"/>
    <n v="489.99"/>
    <x v="0"/>
    <x v="44"/>
    <x v="1"/>
    <s v="Electra Townie 3i EQ (20-inch) - Boys' - 2017"/>
    <x v="1"/>
  </r>
  <r>
    <n v="1017"/>
    <n v="4"/>
    <n v="18"/>
    <x v="1"/>
    <n v="449"/>
    <x v="0"/>
    <x v="21"/>
    <x v="1"/>
    <s v="Pure Cycles Western 3-Speed - Women's - 2015/2016"/>
    <x v="1"/>
  </r>
  <r>
    <n v="1017"/>
    <n v="5"/>
    <n v="77"/>
    <x v="1"/>
    <n v="799.99"/>
    <x v="3"/>
    <x v="108"/>
    <x v="1"/>
    <s v="Electra Glam Punk 3i Ladies' - 2017"/>
    <x v="1"/>
  </r>
  <r>
    <n v="1018"/>
    <n v="1"/>
    <n v="76"/>
    <x v="1"/>
    <n v="299.99"/>
    <x v="1"/>
    <x v="22"/>
    <x v="1"/>
    <s v="Electra Girl's Hawaii 1 16&quot; - 2017"/>
    <x v="1"/>
  </r>
  <r>
    <n v="1018"/>
    <n v="2"/>
    <n v="97"/>
    <x v="1"/>
    <n v="349.99"/>
    <x v="3"/>
    <x v="47"/>
    <x v="1"/>
    <s v="Electra Savannah 3i (20-inch) - Girl's - 2017"/>
    <x v="1"/>
  </r>
  <r>
    <n v="1018"/>
    <n v="3"/>
    <n v="91"/>
    <x v="0"/>
    <n v="349.99"/>
    <x v="0"/>
    <x v="99"/>
    <x v="1"/>
    <s v="Trek Precaliber 24 (21-Speed) - Girls - 2017"/>
    <x v="1"/>
  </r>
  <r>
    <n v="1019"/>
    <n v="1"/>
    <n v="30"/>
    <x v="0"/>
    <n v="999.99"/>
    <x v="3"/>
    <x v="5"/>
    <x v="1"/>
    <s v="Surly Ice Cream Truck Frameset - 2017"/>
    <x v="1"/>
  </r>
  <r>
    <n v="1019"/>
    <n v="2"/>
    <n v="52"/>
    <x v="0"/>
    <n v="875.99"/>
    <x v="0"/>
    <x v="63"/>
    <x v="1"/>
    <s v="Surly Steamroller - 2017"/>
    <x v="1"/>
  </r>
  <r>
    <n v="1019"/>
    <n v="3"/>
    <n v="37"/>
    <x v="0"/>
    <n v="379.99"/>
    <x v="2"/>
    <x v="125"/>
    <x v="1"/>
    <s v="Haro Flightline One ST - 2017"/>
    <x v="1"/>
  </r>
  <r>
    <n v="1019"/>
    <n v="4"/>
    <n v="93"/>
    <x v="1"/>
    <n v="209.99"/>
    <x v="0"/>
    <x v="84"/>
    <x v="1"/>
    <s v="Haro Shredder 20 Girls - 2017"/>
    <x v="1"/>
  </r>
  <r>
    <n v="1020"/>
    <n v="1"/>
    <n v="20"/>
    <x v="1"/>
    <n v="599.99"/>
    <x v="2"/>
    <x v="3"/>
    <x v="1"/>
    <s v="Electra Townie Original 7D EQ - Women's - 2016"/>
    <x v="1"/>
  </r>
  <r>
    <n v="1020"/>
    <n v="2"/>
    <n v="69"/>
    <x v="1"/>
    <n v="416.99"/>
    <x v="2"/>
    <x v="42"/>
    <x v="1"/>
    <s v="Sun Bicycles Cruz 7 - 2017"/>
    <x v="1"/>
  </r>
  <r>
    <n v="1020"/>
    <n v="3"/>
    <n v="15"/>
    <x v="0"/>
    <n v="529.99"/>
    <x v="1"/>
    <x v="12"/>
    <x v="1"/>
    <s v="Electra Moto 1 - 2016"/>
    <x v="1"/>
  </r>
  <r>
    <n v="1020"/>
    <n v="4"/>
    <n v="57"/>
    <x v="1"/>
    <n v="1999.99"/>
    <x v="3"/>
    <x v="97"/>
    <x v="1"/>
    <s v="Trek Emonda S 5 - 2017"/>
    <x v="1"/>
  </r>
  <r>
    <n v="1020"/>
    <n v="5"/>
    <n v="40"/>
    <x v="1"/>
    <n v="4999.99"/>
    <x v="2"/>
    <x v="41"/>
    <x v="1"/>
    <s v="Trek Fuel EX 9.8 29 - 2017"/>
    <x v="1"/>
  </r>
  <r>
    <n v="1021"/>
    <n v="1"/>
    <n v="49"/>
    <x v="1"/>
    <n v="3499.99"/>
    <x v="1"/>
    <x v="54"/>
    <x v="1"/>
    <s v="Trek Domane SL 6 - 2017"/>
    <x v="1"/>
  </r>
  <r>
    <n v="1021"/>
    <n v="2"/>
    <n v="23"/>
    <x v="1"/>
    <n v="299.99"/>
    <x v="1"/>
    <x v="22"/>
    <x v="1"/>
    <s v="Electra Girl's Hawaii 1 (20-inch) - 2015/2016"/>
    <x v="1"/>
  </r>
  <r>
    <n v="1022"/>
    <n v="1"/>
    <n v="33"/>
    <x v="0"/>
    <n v="469.99"/>
    <x v="0"/>
    <x v="20"/>
    <x v="1"/>
    <s v="Surly Wednesday Frameset - 2017"/>
    <x v="1"/>
  </r>
  <r>
    <n v="1022"/>
    <n v="2"/>
    <n v="46"/>
    <x v="0"/>
    <n v="1409.99"/>
    <x v="3"/>
    <x v="126"/>
    <x v="1"/>
    <s v="Haro SR 1.3 - 2017"/>
    <x v="1"/>
  </r>
  <r>
    <n v="1022"/>
    <n v="3"/>
    <n v="65"/>
    <x v="0"/>
    <n v="346.99"/>
    <x v="1"/>
    <x v="118"/>
    <x v="1"/>
    <s v="Sun Bicycles Lil Bolt Type-R - 2017"/>
    <x v="1"/>
  </r>
  <r>
    <n v="1022"/>
    <n v="4"/>
    <n v="5"/>
    <x v="0"/>
    <n v="1320.99"/>
    <x v="1"/>
    <x v="24"/>
    <x v="1"/>
    <s v="Heller Shagamaw Frame - 2016"/>
    <x v="1"/>
  </r>
  <r>
    <n v="1023"/>
    <n v="1"/>
    <n v="91"/>
    <x v="0"/>
    <n v="349.99"/>
    <x v="1"/>
    <x v="99"/>
    <x v="1"/>
    <s v="Trek Precaliber 24 (21-Speed) - Girls - 2017"/>
    <x v="1"/>
  </r>
  <r>
    <n v="1023"/>
    <n v="2"/>
    <n v="43"/>
    <x v="1"/>
    <n v="5299.99"/>
    <x v="3"/>
    <x v="46"/>
    <x v="1"/>
    <s v="Trek Fuel EX 9.8 27.5 Plus - 2017"/>
    <x v="1"/>
  </r>
  <r>
    <n v="1024"/>
    <n v="1"/>
    <n v="104"/>
    <x v="0"/>
    <n v="481.99"/>
    <x v="0"/>
    <x v="92"/>
    <x v="1"/>
    <s v="Sun Bicycles Streamway - 2017"/>
    <x v="1"/>
  </r>
  <r>
    <n v="1024"/>
    <n v="2"/>
    <n v="28"/>
    <x v="1"/>
    <n v="2499.9899999999998"/>
    <x v="2"/>
    <x v="117"/>
    <x v="1"/>
    <s v="Surly Karate Monkey 27.5+ Frameset - 2017"/>
    <x v="1"/>
  </r>
  <r>
    <n v="1024"/>
    <n v="3"/>
    <n v="98"/>
    <x v="1"/>
    <n v="489.99"/>
    <x v="0"/>
    <x v="52"/>
    <x v="1"/>
    <s v="Electra Straight 8 3i (20-inch) - Boy's - 2017"/>
    <x v="1"/>
  </r>
  <r>
    <n v="1024"/>
    <n v="4"/>
    <n v="96"/>
    <x v="1"/>
    <n v="349.99"/>
    <x v="3"/>
    <x v="47"/>
    <x v="1"/>
    <s v="Electra Moto 3i (20-inch) - Boy's - 2017"/>
    <x v="1"/>
  </r>
  <r>
    <n v="1024"/>
    <n v="5"/>
    <n v="91"/>
    <x v="0"/>
    <n v="349.99"/>
    <x v="0"/>
    <x v="99"/>
    <x v="1"/>
    <s v="Trek Precaliber 24 (21-Speed) - Girls - 2017"/>
    <x v="1"/>
  </r>
  <r>
    <n v="1025"/>
    <n v="1"/>
    <n v="89"/>
    <x v="0"/>
    <n v="209.99"/>
    <x v="1"/>
    <x v="48"/>
    <x v="1"/>
    <s v="Trek Precaliber 16 Boys - 2017"/>
    <x v="1"/>
  </r>
  <r>
    <n v="1025"/>
    <n v="2"/>
    <n v="102"/>
    <x v="0"/>
    <n v="489.99"/>
    <x v="3"/>
    <x v="44"/>
    <x v="1"/>
    <s v="Electra Townie Original 7D - 2017"/>
    <x v="1"/>
  </r>
  <r>
    <n v="1025"/>
    <n v="3"/>
    <n v="39"/>
    <x v="0"/>
    <n v="1499.99"/>
    <x v="3"/>
    <x v="77"/>
    <x v="1"/>
    <s v="Trek Stache 5 - 2017"/>
    <x v="1"/>
  </r>
  <r>
    <n v="1025"/>
    <n v="4"/>
    <n v="15"/>
    <x v="0"/>
    <n v="529.99"/>
    <x v="2"/>
    <x v="12"/>
    <x v="1"/>
    <s v="Electra Moto 1 - 2016"/>
    <x v="1"/>
  </r>
  <r>
    <n v="1025"/>
    <n v="5"/>
    <n v="66"/>
    <x v="1"/>
    <n v="250.99"/>
    <x v="2"/>
    <x v="55"/>
    <x v="1"/>
    <s v="Sun Bicycles Revolutions 24 - 2017"/>
    <x v="1"/>
  </r>
  <r>
    <n v="1026"/>
    <n v="1"/>
    <n v="7"/>
    <x v="1"/>
    <n v="3999.99"/>
    <x v="1"/>
    <x v="15"/>
    <x v="1"/>
    <s v="Trek Slash 8 27.5 - 2016"/>
    <x v="0"/>
  </r>
  <r>
    <n v="1027"/>
    <n v="1"/>
    <n v="95"/>
    <x v="1"/>
    <n v="299.99"/>
    <x v="3"/>
    <x v="22"/>
    <x v="1"/>
    <s v="Electra Girl's Hawaii 1 16&quot; - 2017"/>
    <x v="1"/>
  </r>
  <r>
    <n v="1027"/>
    <n v="2"/>
    <n v="14"/>
    <x v="1"/>
    <n v="269.99"/>
    <x v="2"/>
    <x v="17"/>
    <x v="1"/>
    <s v="Electra Girl's Hawaii 1 (16-inch) - 2015/2016"/>
    <x v="1"/>
  </r>
  <r>
    <n v="1028"/>
    <n v="1"/>
    <n v="111"/>
    <x v="1"/>
    <n v="470.99"/>
    <x v="3"/>
    <x v="60"/>
    <x v="1"/>
    <s v="Sun Bicycles Drifter 7 - Women's - 2017"/>
    <x v="1"/>
  </r>
  <r>
    <n v="1028"/>
    <n v="2"/>
    <n v="10"/>
    <x v="0"/>
    <n v="1549"/>
    <x v="0"/>
    <x v="27"/>
    <x v="1"/>
    <s v="Surly Straggler - 2016"/>
    <x v="1"/>
  </r>
  <r>
    <n v="1028"/>
    <n v="3"/>
    <n v="41"/>
    <x v="0"/>
    <n v="1469.99"/>
    <x v="0"/>
    <x v="112"/>
    <x v="1"/>
    <s v="Haro Shift R3 - 2017"/>
    <x v="1"/>
  </r>
  <r>
    <n v="1028"/>
    <n v="4"/>
    <n v="35"/>
    <x v="1"/>
    <n v="832.99"/>
    <x v="3"/>
    <x v="113"/>
    <x v="1"/>
    <s v="Sun Bicycles Spider 3i - 2017"/>
    <x v="1"/>
  </r>
  <r>
    <n v="1028"/>
    <n v="5"/>
    <n v="108"/>
    <x v="0"/>
    <n v="449.99"/>
    <x v="0"/>
    <x v="72"/>
    <x v="1"/>
    <s v="Sun Bicycles Cruz 3 - Women's - 2017"/>
    <x v="1"/>
  </r>
  <r>
    <n v="1029"/>
    <n v="1"/>
    <n v="20"/>
    <x v="0"/>
    <n v="599.99"/>
    <x v="0"/>
    <x v="0"/>
    <x v="1"/>
    <s v="Electra Townie Original 7D EQ - Women's - 2016"/>
    <x v="0"/>
  </r>
  <r>
    <n v="1029"/>
    <n v="2"/>
    <n v="55"/>
    <x v="0"/>
    <n v="2699.99"/>
    <x v="3"/>
    <x v="82"/>
    <x v="1"/>
    <s v="Trek Domane S 6 - 2017"/>
    <x v="0"/>
  </r>
  <r>
    <n v="1029"/>
    <n v="3"/>
    <n v="40"/>
    <x v="0"/>
    <n v="4999.99"/>
    <x v="0"/>
    <x v="76"/>
    <x v="1"/>
    <s v="Trek Fuel EX 9.8 29 - 2017"/>
    <x v="0"/>
  </r>
  <r>
    <n v="1029"/>
    <n v="4"/>
    <n v="68"/>
    <x v="1"/>
    <n v="449.99"/>
    <x v="3"/>
    <x v="37"/>
    <x v="1"/>
    <s v="Sun Bicycles Cruz 3 - 2017"/>
    <x v="0"/>
  </r>
  <r>
    <n v="1030"/>
    <n v="1"/>
    <n v="27"/>
    <x v="0"/>
    <n v="999.99"/>
    <x v="2"/>
    <x v="5"/>
    <x v="1"/>
    <s v="Surly Big Dummy Frameset - 2017"/>
    <x v="1"/>
  </r>
  <r>
    <n v="1030"/>
    <n v="2"/>
    <n v="10"/>
    <x v="1"/>
    <n v="1549"/>
    <x v="3"/>
    <x v="2"/>
    <x v="1"/>
    <s v="Surly Straggler - 2016"/>
    <x v="1"/>
  </r>
  <r>
    <n v="1030"/>
    <n v="3"/>
    <n v="72"/>
    <x v="0"/>
    <n v="619.99"/>
    <x v="3"/>
    <x v="40"/>
    <x v="1"/>
    <s v="Sun Bicycles Biscayne Tandem 7 - 2017"/>
    <x v="1"/>
  </r>
  <r>
    <n v="1031"/>
    <n v="1"/>
    <n v="27"/>
    <x v="1"/>
    <n v="999.99"/>
    <x v="0"/>
    <x v="10"/>
    <x v="1"/>
    <s v="Surly Big Dummy Frameset - 2017"/>
    <x v="0"/>
  </r>
  <r>
    <n v="1031"/>
    <n v="2"/>
    <n v="108"/>
    <x v="1"/>
    <n v="449.99"/>
    <x v="0"/>
    <x v="37"/>
    <x v="1"/>
    <s v="Sun Bicycles Cruz 3 - Women's - 2017"/>
    <x v="0"/>
  </r>
  <r>
    <n v="1032"/>
    <n v="1"/>
    <n v="60"/>
    <x v="1"/>
    <n v="1559.99"/>
    <x v="3"/>
    <x v="89"/>
    <x v="1"/>
    <s v="Sun Bicycles ElectroLite - 2017"/>
    <x v="1"/>
  </r>
  <r>
    <n v="1032"/>
    <n v="2"/>
    <n v="17"/>
    <x v="0"/>
    <n v="429"/>
    <x v="3"/>
    <x v="7"/>
    <x v="1"/>
    <s v="Pure Cycles Vine 8-Speed - 2016"/>
    <x v="1"/>
  </r>
  <r>
    <n v="1033"/>
    <n v="1"/>
    <n v="26"/>
    <x v="0"/>
    <n v="599.99"/>
    <x v="1"/>
    <x v="0"/>
    <x v="1"/>
    <s v="Electra Townie Original 7D EQ - 2016"/>
    <x v="1"/>
  </r>
  <r>
    <n v="1033"/>
    <n v="2"/>
    <n v="109"/>
    <x v="1"/>
    <n v="416.99"/>
    <x v="3"/>
    <x v="42"/>
    <x v="1"/>
    <s v="Sun Bicycles Cruz 7 - Women's - 2017"/>
    <x v="1"/>
  </r>
  <r>
    <n v="1033"/>
    <n v="3"/>
    <n v="27"/>
    <x v="1"/>
    <n v="999.99"/>
    <x v="1"/>
    <x v="10"/>
    <x v="1"/>
    <s v="Surly Big Dummy Frameset - 2017"/>
    <x v="1"/>
  </r>
  <r>
    <n v="1034"/>
    <n v="1"/>
    <n v="101"/>
    <x v="0"/>
    <n v="339.99"/>
    <x v="3"/>
    <x v="119"/>
    <x v="1"/>
    <s v="Electra Townie 7D (20-inch) - Boys' - 2017"/>
    <x v="1"/>
  </r>
  <r>
    <n v="1034"/>
    <n v="2"/>
    <n v="8"/>
    <x v="1"/>
    <n v="1799.99"/>
    <x v="3"/>
    <x v="1"/>
    <x v="1"/>
    <s v="Trek Remedy 29 Carbon Frameset - 2016"/>
    <x v="1"/>
  </r>
  <r>
    <n v="1034"/>
    <n v="3"/>
    <n v="11"/>
    <x v="1"/>
    <n v="1680.99"/>
    <x v="1"/>
    <x v="32"/>
    <x v="1"/>
    <s v="Surly Straggler 650b - 2016"/>
    <x v="1"/>
  </r>
  <r>
    <n v="1034"/>
    <n v="4"/>
    <n v="21"/>
    <x v="0"/>
    <n v="269.99"/>
    <x v="2"/>
    <x v="14"/>
    <x v="1"/>
    <s v="Electra Cruiser 1 (24-Inch) - 2016"/>
    <x v="1"/>
  </r>
  <r>
    <n v="1035"/>
    <n v="1"/>
    <n v="96"/>
    <x v="0"/>
    <n v="349.99"/>
    <x v="0"/>
    <x v="99"/>
    <x v="1"/>
    <s v="Electra Moto 3i (20-inch) - Boy's - 2017"/>
    <x v="1"/>
  </r>
  <r>
    <n v="1036"/>
    <n v="1"/>
    <n v="55"/>
    <x v="1"/>
    <n v="2699.99"/>
    <x v="3"/>
    <x v="68"/>
    <x v="1"/>
    <s v="Trek Domane S 6 - 2017"/>
    <x v="1"/>
  </r>
  <r>
    <n v="1036"/>
    <n v="2"/>
    <n v="76"/>
    <x v="0"/>
    <n v="299.99"/>
    <x v="1"/>
    <x v="23"/>
    <x v="1"/>
    <s v="Electra Girl's Hawaii 1 16&quot; - 2017"/>
    <x v="1"/>
  </r>
  <r>
    <n v="1036"/>
    <n v="3"/>
    <n v="18"/>
    <x v="1"/>
    <n v="449"/>
    <x v="2"/>
    <x v="21"/>
    <x v="1"/>
    <s v="Pure Cycles Western 3-Speed - Women's - 2015/2016"/>
    <x v="1"/>
  </r>
  <r>
    <n v="1036"/>
    <n v="4"/>
    <n v="65"/>
    <x v="1"/>
    <n v="346.99"/>
    <x v="0"/>
    <x v="110"/>
    <x v="1"/>
    <s v="Sun Bicycles Lil Bolt Type-R - 2017"/>
    <x v="1"/>
  </r>
  <r>
    <n v="1036"/>
    <n v="5"/>
    <n v="12"/>
    <x v="0"/>
    <n v="549.99"/>
    <x v="0"/>
    <x v="31"/>
    <x v="1"/>
    <s v="Electra Townie Original 21D - 2016"/>
    <x v="1"/>
  </r>
  <r>
    <n v="1037"/>
    <n v="1"/>
    <n v="74"/>
    <x v="1"/>
    <n v="439.99"/>
    <x v="1"/>
    <x v="105"/>
    <x v="1"/>
    <s v="Electra Cruiser Lux 1 - 2017"/>
    <x v="1"/>
  </r>
  <r>
    <n v="1037"/>
    <n v="2"/>
    <n v="3"/>
    <x v="0"/>
    <n v="999.99"/>
    <x v="1"/>
    <x v="5"/>
    <x v="1"/>
    <s v="Surly Wednesday Frameset - 2016"/>
    <x v="1"/>
  </r>
  <r>
    <n v="1037"/>
    <n v="3"/>
    <n v="65"/>
    <x v="1"/>
    <n v="346.99"/>
    <x v="0"/>
    <x v="110"/>
    <x v="1"/>
    <s v="Sun Bicycles Lil Bolt Type-R - 2017"/>
    <x v="1"/>
  </r>
  <r>
    <n v="1037"/>
    <n v="4"/>
    <n v="92"/>
    <x v="0"/>
    <n v="209.99"/>
    <x v="1"/>
    <x v="48"/>
    <x v="1"/>
    <s v="Haro Shredder 20 - 2017"/>
    <x v="1"/>
  </r>
  <r>
    <n v="1037"/>
    <n v="5"/>
    <n v="84"/>
    <x v="1"/>
    <n v="109.99"/>
    <x v="2"/>
    <x v="109"/>
    <x v="1"/>
    <s v="Sun Bicycles Lil Kitt'n - 2017"/>
    <x v="1"/>
  </r>
  <r>
    <n v="1038"/>
    <n v="1"/>
    <n v="83"/>
    <x v="0"/>
    <n v="149.99"/>
    <x v="2"/>
    <x v="62"/>
    <x v="1"/>
    <s v="Trek Boy's Kickster - 2015/2017"/>
    <x v="1"/>
  </r>
  <r>
    <n v="1038"/>
    <n v="2"/>
    <n v="9"/>
    <x v="0"/>
    <n v="2999.99"/>
    <x v="1"/>
    <x v="28"/>
    <x v="1"/>
    <s v="Trek Conduit+ - 2016"/>
    <x v="1"/>
  </r>
  <r>
    <n v="1039"/>
    <n v="1"/>
    <n v="18"/>
    <x v="1"/>
    <n v="449"/>
    <x v="0"/>
    <x v="21"/>
    <x v="1"/>
    <s v="Pure Cycles Western 3-Speed - Women's - 2015/2016"/>
    <x v="1"/>
  </r>
  <r>
    <n v="1040"/>
    <n v="1"/>
    <n v="97"/>
    <x v="0"/>
    <n v="349.99"/>
    <x v="3"/>
    <x v="99"/>
    <x v="1"/>
    <s v="Electra Savannah 3i (20-inch) - Girl's - 2017"/>
    <x v="0"/>
  </r>
  <r>
    <n v="1040"/>
    <n v="2"/>
    <n v="28"/>
    <x v="1"/>
    <n v="2499.9899999999998"/>
    <x v="0"/>
    <x v="117"/>
    <x v="1"/>
    <s v="Surly Karate Monkey 27.5+ Frameset - 2017"/>
    <x v="0"/>
  </r>
  <r>
    <n v="1040"/>
    <n v="3"/>
    <n v="64"/>
    <x v="0"/>
    <n v="489.99"/>
    <x v="1"/>
    <x v="44"/>
    <x v="1"/>
    <s v="Electra Townie Original 7D - 2017"/>
    <x v="0"/>
  </r>
  <r>
    <n v="1040"/>
    <n v="4"/>
    <n v="27"/>
    <x v="1"/>
    <n v="999.99"/>
    <x v="1"/>
    <x v="10"/>
    <x v="1"/>
    <s v="Surly Big Dummy Frameset - 2017"/>
    <x v="0"/>
  </r>
  <r>
    <n v="1040"/>
    <n v="5"/>
    <n v="8"/>
    <x v="1"/>
    <n v="1799.99"/>
    <x v="2"/>
    <x v="1"/>
    <x v="1"/>
    <s v="Trek Remedy 29 Carbon Frameset - 2016"/>
    <x v="0"/>
  </r>
  <r>
    <n v="1041"/>
    <n v="1"/>
    <n v="89"/>
    <x v="0"/>
    <n v="209.99"/>
    <x v="3"/>
    <x v="48"/>
    <x v="1"/>
    <s v="Trek Precaliber 16 Boys - 2017"/>
    <x v="1"/>
  </r>
  <r>
    <n v="1041"/>
    <n v="2"/>
    <n v="61"/>
    <x v="1"/>
    <n v="4999.99"/>
    <x v="1"/>
    <x v="41"/>
    <x v="1"/>
    <s v="Trek Powerfly 8 FS Plus - 2017"/>
    <x v="1"/>
  </r>
  <r>
    <n v="1041"/>
    <n v="3"/>
    <n v="94"/>
    <x v="1"/>
    <n v="249.99"/>
    <x v="3"/>
    <x v="53"/>
    <x v="1"/>
    <s v="Haro Shredder Pro 20 - 2017"/>
    <x v="1"/>
  </r>
  <r>
    <n v="1042"/>
    <n v="1"/>
    <n v="23"/>
    <x v="0"/>
    <n v="299.99"/>
    <x v="3"/>
    <x v="23"/>
    <x v="1"/>
    <s v="Electra Girl's Hawaii 1 (20-inch) - 2015/2016"/>
    <x v="1"/>
  </r>
  <r>
    <n v="1043"/>
    <n v="1"/>
    <n v="55"/>
    <x v="1"/>
    <n v="2699.99"/>
    <x v="3"/>
    <x v="68"/>
    <x v="1"/>
    <s v="Trek Domane S 6 - 2017"/>
    <x v="1"/>
  </r>
  <r>
    <n v="1043"/>
    <n v="2"/>
    <n v="20"/>
    <x v="0"/>
    <n v="599.99"/>
    <x v="1"/>
    <x v="0"/>
    <x v="1"/>
    <s v="Electra Townie Original 7D EQ - Women's - 2016"/>
    <x v="1"/>
  </r>
  <r>
    <n v="1044"/>
    <n v="1"/>
    <n v="97"/>
    <x v="1"/>
    <n v="349.99"/>
    <x v="3"/>
    <x v="47"/>
    <x v="1"/>
    <s v="Electra Savannah 3i (20-inch) - Girl's - 2017"/>
    <x v="1"/>
  </r>
  <r>
    <n v="1045"/>
    <n v="1"/>
    <n v="28"/>
    <x v="0"/>
    <n v="2499.9899999999998"/>
    <x v="2"/>
    <x v="79"/>
    <x v="1"/>
    <s v="Surly Karate Monkey 27.5+ Frameset - 2017"/>
    <x v="2"/>
  </r>
  <r>
    <n v="1045"/>
    <n v="2"/>
    <n v="104"/>
    <x v="1"/>
    <n v="481.99"/>
    <x v="2"/>
    <x v="80"/>
    <x v="1"/>
    <s v="Sun Bicycles Streamway - 2017"/>
    <x v="2"/>
  </r>
  <r>
    <n v="1046"/>
    <n v="1"/>
    <n v="60"/>
    <x v="0"/>
    <n v="1559.99"/>
    <x v="1"/>
    <x v="100"/>
    <x v="1"/>
    <s v="Sun Bicycles ElectroLite - 2017"/>
    <x v="2"/>
  </r>
  <r>
    <n v="1046"/>
    <n v="2"/>
    <n v="79"/>
    <x v="0"/>
    <n v="402.99"/>
    <x v="1"/>
    <x v="50"/>
    <x v="1"/>
    <s v="Sun Bicycles Boardwalk (24-inch Wheels) - 2017"/>
    <x v="2"/>
  </r>
  <r>
    <n v="1046"/>
    <n v="3"/>
    <n v="32"/>
    <x v="0"/>
    <n v="469.99"/>
    <x v="1"/>
    <x v="20"/>
    <x v="1"/>
    <s v="Trek Farley Alloy Frameset - 2017"/>
    <x v="2"/>
  </r>
  <r>
    <n v="1046"/>
    <n v="4"/>
    <n v="41"/>
    <x v="1"/>
    <n v="1469.99"/>
    <x v="3"/>
    <x v="69"/>
    <x v="1"/>
    <s v="Haro Shift R3 - 2017"/>
    <x v="2"/>
  </r>
  <r>
    <n v="1046"/>
    <n v="5"/>
    <n v="17"/>
    <x v="1"/>
    <n v="429"/>
    <x v="2"/>
    <x v="13"/>
    <x v="1"/>
    <s v="Pure Cycles Vine 8-Speed - 2016"/>
    <x v="2"/>
  </r>
  <r>
    <n v="1047"/>
    <n v="1"/>
    <n v="28"/>
    <x v="1"/>
    <n v="2499.9899999999998"/>
    <x v="3"/>
    <x v="117"/>
    <x v="1"/>
    <s v="Surly Karate Monkey 27.5+ Frameset - 2017"/>
    <x v="2"/>
  </r>
  <r>
    <n v="1047"/>
    <n v="2"/>
    <n v="78"/>
    <x v="0"/>
    <n v="647.99"/>
    <x v="0"/>
    <x v="49"/>
    <x v="1"/>
    <s v="Sun Bicycles Biscayne Tandem CB - 2017"/>
    <x v="2"/>
  </r>
  <r>
    <n v="1047"/>
    <n v="3"/>
    <n v="35"/>
    <x v="0"/>
    <n v="832.99"/>
    <x v="2"/>
    <x v="106"/>
    <x v="1"/>
    <s v="Sun Bicycles Spider 3i - 2017"/>
    <x v="2"/>
  </r>
  <r>
    <n v="1047"/>
    <n v="4"/>
    <n v="49"/>
    <x v="0"/>
    <n v="3499.99"/>
    <x v="2"/>
    <x v="43"/>
    <x v="1"/>
    <s v="Trek Domane SL 6 - 2017"/>
    <x v="2"/>
  </r>
  <r>
    <n v="1048"/>
    <n v="1"/>
    <n v="3"/>
    <x v="1"/>
    <n v="999.99"/>
    <x v="3"/>
    <x v="10"/>
    <x v="1"/>
    <s v="Surly Wednesday Frameset - 2016"/>
    <x v="1"/>
  </r>
  <r>
    <n v="1048"/>
    <n v="2"/>
    <n v="37"/>
    <x v="0"/>
    <n v="379.99"/>
    <x v="3"/>
    <x v="125"/>
    <x v="1"/>
    <s v="Haro Flightline One ST - 2017"/>
    <x v="1"/>
  </r>
  <r>
    <n v="1048"/>
    <n v="3"/>
    <n v="94"/>
    <x v="0"/>
    <n v="249.99"/>
    <x v="2"/>
    <x v="70"/>
    <x v="1"/>
    <s v="Haro Shredder Pro 20 - 2017"/>
    <x v="1"/>
  </r>
  <r>
    <n v="1049"/>
    <n v="1"/>
    <n v="9"/>
    <x v="0"/>
    <n v="2999.99"/>
    <x v="3"/>
    <x v="28"/>
    <x v="1"/>
    <s v="Trek Conduit+ - 2016"/>
    <x v="0"/>
  </r>
  <r>
    <n v="1049"/>
    <n v="2"/>
    <n v="36"/>
    <x v="1"/>
    <n v="832.99"/>
    <x v="2"/>
    <x v="113"/>
    <x v="1"/>
    <s v="Surly Troll Frameset - 2017"/>
    <x v="0"/>
  </r>
  <r>
    <n v="1049"/>
    <n v="3"/>
    <n v="3"/>
    <x v="0"/>
    <n v="999.99"/>
    <x v="3"/>
    <x v="5"/>
    <x v="1"/>
    <s v="Surly Wednesday Frameset - 2016"/>
    <x v="0"/>
  </r>
  <r>
    <n v="1049"/>
    <n v="4"/>
    <n v="26"/>
    <x v="0"/>
    <n v="599.99"/>
    <x v="1"/>
    <x v="0"/>
    <x v="1"/>
    <s v="Electra Townie Original 7D EQ - 2016"/>
    <x v="0"/>
  </r>
  <r>
    <n v="1049"/>
    <n v="5"/>
    <n v="10"/>
    <x v="1"/>
    <n v="1549"/>
    <x v="2"/>
    <x v="2"/>
    <x v="1"/>
    <s v="Surly Straggler - 2016"/>
    <x v="0"/>
  </r>
  <r>
    <n v="1050"/>
    <n v="1"/>
    <n v="96"/>
    <x v="1"/>
    <n v="349.99"/>
    <x v="1"/>
    <x v="47"/>
    <x v="1"/>
    <s v="Electra Moto 3i (20-inch) - Boy's - 2017"/>
    <x v="0"/>
  </r>
  <r>
    <n v="1050"/>
    <n v="2"/>
    <n v="99"/>
    <x v="1"/>
    <n v="299.99"/>
    <x v="3"/>
    <x v="22"/>
    <x v="1"/>
    <s v="Electra Sugar Skulls 1 (20-inch) - Girl's - 2017"/>
    <x v="0"/>
  </r>
  <r>
    <n v="1050"/>
    <n v="3"/>
    <n v="45"/>
    <x v="1"/>
    <n v="869.99"/>
    <x v="0"/>
    <x v="81"/>
    <x v="1"/>
    <s v="Haro SR 1.2 - 2017"/>
    <x v="0"/>
  </r>
  <r>
    <n v="1050"/>
    <n v="4"/>
    <n v="14"/>
    <x v="1"/>
    <n v="269.99"/>
    <x v="0"/>
    <x v="17"/>
    <x v="1"/>
    <s v="Electra Girl's Hawaii 1 (16-inch) - 2015/2016"/>
    <x v="0"/>
  </r>
  <r>
    <n v="1051"/>
    <n v="1"/>
    <n v="46"/>
    <x v="0"/>
    <n v="1409.99"/>
    <x v="0"/>
    <x v="126"/>
    <x v="1"/>
    <s v="Haro SR 1.3 - 2017"/>
    <x v="1"/>
  </r>
  <r>
    <n v="1052"/>
    <n v="1"/>
    <n v="7"/>
    <x v="0"/>
    <n v="3999.99"/>
    <x v="2"/>
    <x v="25"/>
    <x v="1"/>
    <s v="Trek Slash 8 27.5 - 2016"/>
    <x v="1"/>
  </r>
  <r>
    <n v="1052"/>
    <n v="2"/>
    <n v="103"/>
    <x v="0"/>
    <n v="551.99"/>
    <x v="2"/>
    <x v="38"/>
    <x v="1"/>
    <s v="Sun Bicycles Streamway 3 - 2017"/>
    <x v="1"/>
  </r>
  <r>
    <n v="1052"/>
    <n v="3"/>
    <n v="26"/>
    <x v="1"/>
    <n v="599.99"/>
    <x v="1"/>
    <x v="3"/>
    <x v="1"/>
    <s v="Electra Townie Original 7D EQ - 2016"/>
    <x v="1"/>
  </r>
  <r>
    <n v="1053"/>
    <n v="1"/>
    <n v="49"/>
    <x v="1"/>
    <n v="3499.99"/>
    <x v="2"/>
    <x v="54"/>
    <x v="1"/>
    <s v="Trek Domane SL 6 - 2017"/>
    <x v="1"/>
  </r>
  <r>
    <n v="1053"/>
    <n v="2"/>
    <n v="26"/>
    <x v="1"/>
    <n v="599.99"/>
    <x v="0"/>
    <x v="3"/>
    <x v="1"/>
    <s v="Electra Townie Original 7D EQ - 2016"/>
    <x v="1"/>
  </r>
  <r>
    <n v="1053"/>
    <n v="3"/>
    <n v="23"/>
    <x v="1"/>
    <n v="299.99"/>
    <x v="0"/>
    <x v="22"/>
    <x v="1"/>
    <s v="Electra Girl's Hawaii 1 (20-inch) - 2015/2016"/>
    <x v="1"/>
  </r>
  <r>
    <n v="1053"/>
    <n v="4"/>
    <n v="68"/>
    <x v="0"/>
    <n v="449.99"/>
    <x v="3"/>
    <x v="72"/>
    <x v="1"/>
    <s v="Sun Bicycles Cruz 3 - 2017"/>
    <x v="1"/>
  </r>
  <r>
    <n v="1053"/>
    <n v="5"/>
    <n v="73"/>
    <x v="1"/>
    <n v="749.99"/>
    <x v="2"/>
    <x v="6"/>
    <x v="1"/>
    <s v="Sun Bicycles Brickell Tandem 7 - 2017"/>
    <x v="1"/>
  </r>
  <r>
    <n v="1054"/>
    <n v="1"/>
    <n v="36"/>
    <x v="1"/>
    <n v="832.99"/>
    <x v="3"/>
    <x v="113"/>
    <x v="1"/>
    <s v="Surly Troll Frameset - 2017"/>
    <x v="1"/>
  </r>
  <r>
    <n v="1054"/>
    <n v="2"/>
    <n v="16"/>
    <x v="0"/>
    <n v="599.99"/>
    <x v="2"/>
    <x v="0"/>
    <x v="1"/>
    <s v="Electra Townie Original 7D EQ - 2016"/>
    <x v="1"/>
  </r>
  <r>
    <n v="1055"/>
    <n v="1"/>
    <n v="43"/>
    <x v="1"/>
    <n v="5299.99"/>
    <x v="1"/>
    <x v="46"/>
    <x v="1"/>
    <s v="Trek Fuel EX 9.8 27.5 Plus - 2017"/>
    <x v="1"/>
  </r>
  <r>
    <n v="1055"/>
    <n v="2"/>
    <n v="101"/>
    <x v="1"/>
    <n v="339.99"/>
    <x v="0"/>
    <x v="75"/>
    <x v="1"/>
    <s v="Electra Townie 7D (20-inch) - Boys' - 2017"/>
    <x v="1"/>
  </r>
  <r>
    <n v="1055"/>
    <n v="3"/>
    <n v="12"/>
    <x v="1"/>
    <n v="549.99"/>
    <x v="3"/>
    <x v="9"/>
    <x v="1"/>
    <s v="Electra Townie Original 21D - 2016"/>
    <x v="1"/>
  </r>
  <r>
    <n v="1055"/>
    <n v="4"/>
    <n v="83"/>
    <x v="1"/>
    <n v="149.99"/>
    <x v="3"/>
    <x v="87"/>
    <x v="1"/>
    <s v="Trek Boy's Kickster - 2015/2017"/>
    <x v="1"/>
  </r>
  <r>
    <n v="1055"/>
    <n v="5"/>
    <n v="60"/>
    <x v="0"/>
    <n v="1559.99"/>
    <x v="0"/>
    <x v="100"/>
    <x v="1"/>
    <s v="Sun Bicycles ElectroLite - 2017"/>
    <x v="1"/>
  </r>
  <r>
    <n v="1056"/>
    <n v="1"/>
    <n v="3"/>
    <x v="0"/>
    <n v="999.99"/>
    <x v="2"/>
    <x v="5"/>
    <x v="1"/>
    <s v="Surly Wednesday Frameset - 2016"/>
    <x v="1"/>
  </r>
  <r>
    <n v="1057"/>
    <n v="1"/>
    <n v="105"/>
    <x v="0"/>
    <n v="533.99"/>
    <x v="0"/>
    <x v="128"/>
    <x v="1"/>
    <s v="Sun Bicycles Streamway 7 - 2017"/>
    <x v="1"/>
  </r>
  <r>
    <n v="1057"/>
    <n v="2"/>
    <n v="97"/>
    <x v="0"/>
    <n v="349.99"/>
    <x v="2"/>
    <x v="99"/>
    <x v="1"/>
    <s v="Electra Savannah 3i (20-inch) - Girl's - 2017"/>
    <x v="1"/>
  </r>
  <r>
    <n v="1057"/>
    <n v="3"/>
    <n v="98"/>
    <x v="1"/>
    <n v="489.99"/>
    <x v="2"/>
    <x v="52"/>
    <x v="1"/>
    <s v="Electra Straight 8 3i (20-inch) - Boy's - 2017"/>
    <x v="1"/>
  </r>
  <r>
    <n v="1058"/>
    <n v="1"/>
    <n v="43"/>
    <x v="0"/>
    <n v="5299.99"/>
    <x v="3"/>
    <x v="57"/>
    <x v="1"/>
    <s v="Trek Fuel EX 9.8 27.5 Plus - 2017"/>
    <x v="1"/>
  </r>
  <r>
    <n v="1058"/>
    <n v="2"/>
    <n v="29"/>
    <x v="1"/>
    <n v="999.99"/>
    <x v="2"/>
    <x v="10"/>
    <x v="1"/>
    <s v="Trek X-Caliber 8 - 2017"/>
    <x v="1"/>
  </r>
  <r>
    <n v="1058"/>
    <n v="3"/>
    <n v="103"/>
    <x v="0"/>
    <n v="551.99"/>
    <x v="1"/>
    <x v="38"/>
    <x v="1"/>
    <s v="Sun Bicycles Streamway 3 - 2017"/>
    <x v="1"/>
  </r>
  <r>
    <n v="1059"/>
    <n v="1"/>
    <n v="46"/>
    <x v="1"/>
    <n v="1409.99"/>
    <x v="2"/>
    <x v="124"/>
    <x v="1"/>
    <s v="Haro SR 1.3 - 2017"/>
    <x v="1"/>
  </r>
  <r>
    <n v="1059"/>
    <n v="2"/>
    <n v="7"/>
    <x v="0"/>
    <n v="3999.99"/>
    <x v="3"/>
    <x v="25"/>
    <x v="1"/>
    <s v="Trek Slash 8 27.5 - 2016"/>
    <x v="1"/>
  </r>
  <r>
    <n v="1059"/>
    <n v="3"/>
    <n v="13"/>
    <x v="0"/>
    <n v="269.99"/>
    <x v="1"/>
    <x v="14"/>
    <x v="1"/>
    <s v="Electra Cruiser 1 (24-Inch) - 2016"/>
    <x v="1"/>
  </r>
  <r>
    <n v="1060"/>
    <n v="1"/>
    <n v="7"/>
    <x v="0"/>
    <n v="3999.99"/>
    <x v="1"/>
    <x v="25"/>
    <x v="1"/>
    <s v="Trek Slash 8 27.5 - 2016"/>
    <x v="1"/>
  </r>
  <r>
    <n v="1060"/>
    <n v="2"/>
    <n v="11"/>
    <x v="1"/>
    <n v="1680.99"/>
    <x v="1"/>
    <x v="32"/>
    <x v="1"/>
    <s v="Surly Straggler 650b - 2016"/>
    <x v="1"/>
  </r>
  <r>
    <n v="1060"/>
    <n v="3"/>
    <n v="61"/>
    <x v="1"/>
    <n v="4999.99"/>
    <x v="3"/>
    <x v="41"/>
    <x v="1"/>
    <s v="Trek Powerfly 8 FS Plus - 2017"/>
    <x v="1"/>
  </r>
  <r>
    <n v="1060"/>
    <n v="4"/>
    <n v="30"/>
    <x v="1"/>
    <n v="999.99"/>
    <x v="2"/>
    <x v="10"/>
    <x v="1"/>
    <s v="Surly Ice Cream Truck Frameset - 2017"/>
    <x v="1"/>
  </r>
  <r>
    <n v="1061"/>
    <n v="1"/>
    <n v="14"/>
    <x v="0"/>
    <n v="269.99"/>
    <x v="1"/>
    <x v="14"/>
    <x v="1"/>
    <s v="Electra Girl's Hawaii 1 (16-inch) - 2015/2016"/>
    <x v="1"/>
  </r>
  <r>
    <n v="1061"/>
    <n v="2"/>
    <n v="19"/>
    <x v="0"/>
    <n v="449"/>
    <x v="3"/>
    <x v="8"/>
    <x v="1"/>
    <s v="Pure Cycles William 3-Speed - 2016"/>
    <x v="1"/>
  </r>
  <r>
    <n v="1062"/>
    <n v="1"/>
    <n v="13"/>
    <x v="0"/>
    <n v="269.99"/>
    <x v="2"/>
    <x v="14"/>
    <x v="1"/>
    <s v="Electra Cruiser 1 (24-Inch) - 2016"/>
    <x v="1"/>
  </r>
  <r>
    <n v="1062"/>
    <n v="2"/>
    <n v="111"/>
    <x v="1"/>
    <n v="470.99"/>
    <x v="0"/>
    <x v="60"/>
    <x v="1"/>
    <s v="Sun Bicycles Drifter 7 - Women's - 2017"/>
    <x v="1"/>
  </r>
  <r>
    <n v="1062"/>
    <n v="3"/>
    <n v="5"/>
    <x v="0"/>
    <n v="1320.99"/>
    <x v="2"/>
    <x v="24"/>
    <x v="1"/>
    <s v="Heller Shagamaw Frame - 2016"/>
    <x v="1"/>
  </r>
  <r>
    <n v="1062"/>
    <n v="4"/>
    <n v="12"/>
    <x v="0"/>
    <n v="549.99"/>
    <x v="0"/>
    <x v="31"/>
    <x v="1"/>
    <s v="Electra Townie Original 21D - 2016"/>
    <x v="1"/>
  </r>
  <r>
    <n v="1063"/>
    <n v="1"/>
    <n v="33"/>
    <x v="1"/>
    <n v="469.99"/>
    <x v="3"/>
    <x v="35"/>
    <x v="1"/>
    <s v="Surly Wednesday Frameset - 2017"/>
    <x v="2"/>
  </r>
  <r>
    <n v="1063"/>
    <n v="2"/>
    <n v="100"/>
    <x v="1"/>
    <n v="489.99"/>
    <x v="1"/>
    <x v="52"/>
    <x v="1"/>
    <s v="Electra Townie 3i EQ (20-inch) - Boys' - 2017"/>
    <x v="2"/>
  </r>
  <r>
    <n v="1063"/>
    <n v="3"/>
    <n v="72"/>
    <x v="1"/>
    <n v="619.99"/>
    <x v="0"/>
    <x v="103"/>
    <x v="1"/>
    <s v="Sun Bicycles Biscayne Tandem 7 - 2017"/>
    <x v="2"/>
  </r>
  <r>
    <n v="1064"/>
    <n v="1"/>
    <n v="18"/>
    <x v="0"/>
    <n v="449"/>
    <x v="1"/>
    <x v="8"/>
    <x v="1"/>
    <s v="Pure Cycles Western 3-Speed - Women's - 2015/2016"/>
    <x v="2"/>
  </r>
  <r>
    <n v="1064"/>
    <n v="2"/>
    <n v="49"/>
    <x v="0"/>
    <n v="3499.99"/>
    <x v="3"/>
    <x v="43"/>
    <x v="1"/>
    <s v="Trek Domane SL 6 - 2017"/>
    <x v="2"/>
  </r>
  <r>
    <n v="1065"/>
    <n v="1"/>
    <n v="48"/>
    <x v="1"/>
    <n v="1499.99"/>
    <x v="1"/>
    <x v="65"/>
    <x v="1"/>
    <s v="Trek Emonda S 4 - 2017"/>
    <x v="1"/>
  </r>
  <r>
    <n v="1065"/>
    <n v="2"/>
    <n v="103"/>
    <x v="1"/>
    <n v="551.99"/>
    <x v="2"/>
    <x v="95"/>
    <x v="1"/>
    <s v="Sun Bicycles Streamway 3 - 2017"/>
    <x v="1"/>
  </r>
  <r>
    <n v="1065"/>
    <n v="3"/>
    <n v="63"/>
    <x v="0"/>
    <n v="3499.99"/>
    <x v="1"/>
    <x v="43"/>
    <x v="1"/>
    <s v="Trek Boone Race Shop Limited - 2017"/>
    <x v="1"/>
  </r>
  <r>
    <n v="1066"/>
    <n v="1"/>
    <n v="15"/>
    <x v="1"/>
    <n v="529.99"/>
    <x v="2"/>
    <x v="29"/>
    <x v="1"/>
    <s v="Electra Moto 1 - 2016"/>
    <x v="1"/>
  </r>
  <r>
    <n v="1066"/>
    <n v="2"/>
    <n v="46"/>
    <x v="0"/>
    <n v="1409.99"/>
    <x v="3"/>
    <x v="126"/>
    <x v="1"/>
    <s v="Haro SR 1.3 - 2017"/>
    <x v="1"/>
  </r>
  <r>
    <n v="1066"/>
    <n v="3"/>
    <n v="12"/>
    <x v="0"/>
    <n v="549.99"/>
    <x v="3"/>
    <x v="31"/>
    <x v="1"/>
    <s v="Electra Townie Original 21D - 2016"/>
    <x v="1"/>
  </r>
  <r>
    <n v="1067"/>
    <n v="1"/>
    <n v="74"/>
    <x v="1"/>
    <n v="439.99"/>
    <x v="1"/>
    <x v="105"/>
    <x v="1"/>
    <s v="Electra Cruiser Lux 1 - 2017"/>
    <x v="1"/>
  </r>
  <r>
    <n v="1067"/>
    <n v="2"/>
    <n v="9"/>
    <x v="1"/>
    <n v="2999.99"/>
    <x v="0"/>
    <x v="11"/>
    <x v="1"/>
    <s v="Trek Conduit+ - 2016"/>
    <x v="1"/>
  </r>
  <r>
    <n v="1067"/>
    <n v="3"/>
    <n v="72"/>
    <x v="1"/>
    <n v="619.99"/>
    <x v="3"/>
    <x v="103"/>
    <x v="1"/>
    <s v="Sun Bicycles Biscayne Tandem 7 - 2017"/>
    <x v="1"/>
  </r>
  <r>
    <n v="1067"/>
    <n v="4"/>
    <n v="6"/>
    <x v="1"/>
    <n v="469.99"/>
    <x v="0"/>
    <x v="35"/>
    <x v="1"/>
    <s v="Surly Ice Cream Truck Frameset - 2016"/>
    <x v="1"/>
  </r>
  <r>
    <n v="1068"/>
    <n v="1"/>
    <n v="87"/>
    <x v="1"/>
    <n v="189.99"/>
    <x v="0"/>
    <x v="59"/>
    <x v="1"/>
    <s v="Trek Precaliber 12 Boys - 2017"/>
    <x v="1"/>
  </r>
  <r>
    <n v="1068"/>
    <n v="2"/>
    <n v="82"/>
    <x v="0"/>
    <n v="659.99"/>
    <x v="0"/>
    <x v="66"/>
    <x v="1"/>
    <s v="Electra Amsterdam Original 3i Ladies' - 2017"/>
    <x v="1"/>
  </r>
  <r>
    <n v="1068"/>
    <n v="3"/>
    <n v="49"/>
    <x v="1"/>
    <n v="3499.99"/>
    <x v="0"/>
    <x v="54"/>
    <x v="1"/>
    <s v="Trek Domane SL 6 - 2017"/>
    <x v="1"/>
  </r>
  <r>
    <n v="1068"/>
    <n v="4"/>
    <n v="45"/>
    <x v="1"/>
    <n v="869.99"/>
    <x v="0"/>
    <x v="81"/>
    <x v="1"/>
    <s v="Haro SR 1.2 - 2017"/>
    <x v="1"/>
  </r>
  <r>
    <n v="1069"/>
    <n v="1"/>
    <n v="109"/>
    <x v="0"/>
    <n v="416.99"/>
    <x v="1"/>
    <x v="71"/>
    <x v="1"/>
    <s v="Sun Bicycles Cruz 7 - Women's - 2017"/>
    <x v="1"/>
  </r>
  <r>
    <n v="1069"/>
    <n v="2"/>
    <n v="93"/>
    <x v="0"/>
    <n v="209.99"/>
    <x v="3"/>
    <x v="48"/>
    <x v="1"/>
    <s v="Haro Shredder 20 Girls - 2017"/>
    <x v="1"/>
  </r>
  <r>
    <n v="1070"/>
    <n v="1"/>
    <n v="110"/>
    <x v="0"/>
    <n v="470.99"/>
    <x v="0"/>
    <x v="107"/>
    <x v="1"/>
    <s v="Sun Bicycles Drifter 7 - 2017"/>
    <x v="1"/>
  </r>
  <r>
    <n v="1070"/>
    <n v="2"/>
    <n v="18"/>
    <x v="1"/>
    <n v="449"/>
    <x v="3"/>
    <x v="21"/>
    <x v="1"/>
    <s v="Pure Cycles Western 3-Speed - Women's - 2015/2016"/>
    <x v="1"/>
  </r>
  <r>
    <n v="1070"/>
    <n v="3"/>
    <n v="94"/>
    <x v="0"/>
    <n v="249.99"/>
    <x v="2"/>
    <x v="70"/>
    <x v="1"/>
    <s v="Haro Shredder Pro 20 - 2017"/>
    <x v="1"/>
  </r>
  <r>
    <n v="1071"/>
    <n v="1"/>
    <n v="25"/>
    <x v="1"/>
    <n v="499.99"/>
    <x v="0"/>
    <x v="26"/>
    <x v="1"/>
    <s v="Electra Townie Original 7D - 2015/2016"/>
    <x v="2"/>
  </r>
  <r>
    <n v="1072"/>
    <n v="1"/>
    <n v="83"/>
    <x v="0"/>
    <n v="149.99"/>
    <x v="0"/>
    <x v="62"/>
    <x v="1"/>
    <s v="Trek Boy's Kickster - 2015/2017"/>
    <x v="0"/>
  </r>
  <r>
    <n v="1072"/>
    <n v="2"/>
    <n v="89"/>
    <x v="1"/>
    <n v="209.99"/>
    <x v="1"/>
    <x v="84"/>
    <x v="1"/>
    <s v="Trek Precaliber 16 Boys - 2017"/>
    <x v="0"/>
  </r>
  <r>
    <n v="1072"/>
    <n v="3"/>
    <n v="36"/>
    <x v="1"/>
    <n v="832.99"/>
    <x v="1"/>
    <x v="113"/>
    <x v="1"/>
    <s v="Surly Troll Frameset - 2017"/>
    <x v="0"/>
  </r>
  <r>
    <n v="1073"/>
    <n v="1"/>
    <n v="81"/>
    <x v="0"/>
    <n v="1099.99"/>
    <x v="0"/>
    <x v="111"/>
    <x v="1"/>
    <s v="Electra Amsterdam Fashion 7i Ladies' - 2017"/>
    <x v="1"/>
  </r>
  <r>
    <n v="1073"/>
    <n v="2"/>
    <n v="13"/>
    <x v="0"/>
    <n v="269.99"/>
    <x v="1"/>
    <x v="14"/>
    <x v="1"/>
    <s v="Electra Cruiser 1 (24-Inch) - 2016"/>
    <x v="1"/>
  </r>
  <r>
    <n v="1073"/>
    <n v="3"/>
    <n v="20"/>
    <x v="0"/>
    <n v="599.99"/>
    <x v="0"/>
    <x v="0"/>
    <x v="1"/>
    <s v="Electra Townie Original 7D EQ - Women's - 2016"/>
    <x v="1"/>
  </r>
  <r>
    <n v="1074"/>
    <n v="1"/>
    <n v="59"/>
    <x v="0"/>
    <n v="2599.9899999999998"/>
    <x v="3"/>
    <x v="90"/>
    <x v="1"/>
    <s v="Trek Domane S 5 Disc - 2017"/>
    <x v="1"/>
  </r>
  <r>
    <n v="1074"/>
    <n v="2"/>
    <n v="87"/>
    <x v="0"/>
    <n v="189.99"/>
    <x v="1"/>
    <x v="93"/>
    <x v="1"/>
    <s v="Trek Precaliber 12 Boys - 2017"/>
    <x v="1"/>
  </r>
  <r>
    <n v="1074"/>
    <n v="3"/>
    <n v="89"/>
    <x v="1"/>
    <n v="209.99"/>
    <x v="3"/>
    <x v="84"/>
    <x v="1"/>
    <s v="Trek Precaliber 16 Boys - 2017"/>
    <x v="1"/>
  </r>
  <r>
    <n v="1075"/>
    <n v="1"/>
    <n v="48"/>
    <x v="1"/>
    <n v="1499.99"/>
    <x v="3"/>
    <x v="65"/>
    <x v="1"/>
    <s v="Trek Emonda S 4 - 2017"/>
    <x v="0"/>
  </r>
  <r>
    <n v="1075"/>
    <n v="2"/>
    <n v="111"/>
    <x v="1"/>
    <n v="470.99"/>
    <x v="2"/>
    <x v="60"/>
    <x v="1"/>
    <s v="Sun Bicycles Drifter 7 - Women's - 2017"/>
    <x v="0"/>
  </r>
  <r>
    <n v="1076"/>
    <n v="1"/>
    <n v="95"/>
    <x v="0"/>
    <n v="299.99"/>
    <x v="3"/>
    <x v="23"/>
    <x v="1"/>
    <s v="Electra Girl's Hawaii 1 16&quot; - 2017"/>
    <x v="1"/>
  </r>
  <r>
    <n v="1076"/>
    <n v="2"/>
    <n v="102"/>
    <x v="0"/>
    <n v="489.99"/>
    <x v="1"/>
    <x v="44"/>
    <x v="1"/>
    <s v="Electra Townie Original 7D - 2017"/>
    <x v="1"/>
  </r>
  <r>
    <n v="1076"/>
    <n v="3"/>
    <n v="73"/>
    <x v="1"/>
    <n v="749.99"/>
    <x v="1"/>
    <x v="6"/>
    <x v="1"/>
    <s v="Sun Bicycles Brickell Tandem 7 - 2017"/>
    <x v="1"/>
  </r>
  <r>
    <n v="1077"/>
    <n v="1"/>
    <n v="60"/>
    <x v="1"/>
    <n v="1559.99"/>
    <x v="2"/>
    <x v="89"/>
    <x v="1"/>
    <s v="Sun Bicycles ElectroLite - 2017"/>
    <x v="1"/>
  </r>
  <r>
    <n v="1078"/>
    <n v="1"/>
    <n v="76"/>
    <x v="1"/>
    <n v="299.99"/>
    <x v="1"/>
    <x v="22"/>
    <x v="1"/>
    <s v="Electra Girl's Hawaii 1 16&quot; - 2017"/>
    <x v="1"/>
  </r>
  <r>
    <n v="1078"/>
    <n v="2"/>
    <n v="60"/>
    <x v="1"/>
    <n v="1559.99"/>
    <x v="0"/>
    <x v="89"/>
    <x v="1"/>
    <s v="Sun Bicycles ElectroLite - 2017"/>
    <x v="1"/>
  </r>
  <r>
    <n v="1078"/>
    <n v="3"/>
    <n v="15"/>
    <x v="0"/>
    <n v="529.99"/>
    <x v="1"/>
    <x v="12"/>
    <x v="1"/>
    <s v="Electra Moto 1 - 2016"/>
    <x v="1"/>
  </r>
  <r>
    <n v="1078"/>
    <n v="4"/>
    <n v="10"/>
    <x v="1"/>
    <n v="1549"/>
    <x v="3"/>
    <x v="2"/>
    <x v="1"/>
    <s v="Surly Straggler - 2016"/>
    <x v="1"/>
  </r>
  <r>
    <n v="1078"/>
    <n v="5"/>
    <n v="72"/>
    <x v="1"/>
    <n v="619.99"/>
    <x v="0"/>
    <x v="103"/>
    <x v="1"/>
    <s v="Sun Bicycles Biscayne Tandem 7 - 2017"/>
    <x v="1"/>
  </r>
  <r>
    <n v="1079"/>
    <n v="1"/>
    <n v="70"/>
    <x v="1"/>
    <n v="659.99"/>
    <x v="1"/>
    <x v="96"/>
    <x v="1"/>
    <s v="Electra Amsterdam Original 3i - 2015/2017"/>
    <x v="1"/>
  </r>
  <r>
    <n v="1080"/>
    <n v="1"/>
    <n v="31"/>
    <x v="0"/>
    <n v="1632.99"/>
    <x v="0"/>
    <x v="94"/>
    <x v="1"/>
    <s v="Surly Wednesday - 2017"/>
    <x v="1"/>
  </r>
  <r>
    <n v="1080"/>
    <n v="2"/>
    <n v="40"/>
    <x v="0"/>
    <n v="4999.99"/>
    <x v="3"/>
    <x v="76"/>
    <x v="1"/>
    <s v="Trek Fuel EX 9.8 29 - 2017"/>
    <x v="1"/>
  </r>
  <r>
    <n v="1080"/>
    <n v="3"/>
    <n v="50"/>
    <x v="0"/>
    <n v="5999.99"/>
    <x v="2"/>
    <x v="74"/>
    <x v="1"/>
    <s v="Trek Silque SLR 7 Women's - 2017"/>
    <x v="1"/>
  </r>
  <r>
    <n v="1080"/>
    <n v="4"/>
    <n v="32"/>
    <x v="1"/>
    <n v="469.99"/>
    <x v="0"/>
    <x v="35"/>
    <x v="1"/>
    <s v="Trek Farley Alloy Frameset - 2017"/>
    <x v="1"/>
  </r>
  <r>
    <n v="1080"/>
    <n v="5"/>
    <n v="86"/>
    <x v="0"/>
    <n v="149.99"/>
    <x v="2"/>
    <x v="62"/>
    <x v="1"/>
    <s v="Trek Girl's Kickster - 2017"/>
    <x v="1"/>
  </r>
  <r>
    <n v="1081"/>
    <n v="1"/>
    <n v="52"/>
    <x v="1"/>
    <n v="875.99"/>
    <x v="3"/>
    <x v="73"/>
    <x v="1"/>
    <s v="Surly Steamroller - 2017"/>
    <x v="1"/>
  </r>
  <r>
    <n v="1082"/>
    <n v="1"/>
    <n v="29"/>
    <x v="1"/>
    <n v="999.99"/>
    <x v="0"/>
    <x v="10"/>
    <x v="1"/>
    <s v="Trek X-Caliber 8 - 2017"/>
    <x v="1"/>
  </r>
  <r>
    <n v="1083"/>
    <n v="1"/>
    <n v="65"/>
    <x v="1"/>
    <n v="346.99"/>
    <x v="0"/>
    <x v="110"/>
    <x v="1"/>
    <s v="Sun Bicycles Lil Bolt Type-R - 2017"/>
    <x v="1"/>
  </r>
  <r>
    <n v="1083"/>
    <n v="2"/>
    <n v="77"/>
    <x v="1"/>
    <n v="799.99"/>
    <x v="3"/>
    <x v="108"/>
    <x v="1"/>
    <s v="Electra Glam Punk 3i Ladies' - 2017"/>
    <x v="1"/>
  </r>
  <r>
    <n v="1083"/>
    <n v="3"/>
    <n v="61"/>
    <x v="0"/>
    <n v="4999.99"/>
    <x v="1"/>
    <x v="76"/>
    <x v="1"/>
    <s v="Trek Powerfly 8 FS Plus - 2017"/>
    <x v="1"/>
  </r>
  <r>
    <n v="1083"/>
    <n v="4"/>
    <n v="33"/>
    <x v="0"/>
    <n v="469.99"/>
    <x v="0"/>
    <x v="20"/>
    <x v="1"/>
    <s v="Surly Wednesday Frameset - 2017"/>
    <x v="1"/>
  </r>
  <r>
    <n v="1084"/>
    <n v="1"/>
    <n v="30"/>
    <x v="0"/>
    <n v="999.99"/>
    <x v="2"/>
    <x v="5"/>
    <x v="1"/>
    <s v="Surly Ice Cream Truck Frameset - 2017"/>
    <x v="0"/>
  </r>
  <r>
    <n v="1084"/>
    <n v="2"/>
    <n v="70"/>
    <x v="0"/>
    <n v="659.99"/>
    <x v="2"/>
    <x v="66"/>
    <x v="1"/>
    <s v="Electra Amsterdam Original 3i - 2015/2017"/>
    <x v="0"/>
  </r>
  <r>
    <n v="1084"/>
    <n v="3"/>
    <n v="98"/>
    <x v="1"/>
    <n v="489.99"/>
    <x v="0"/>
    <x v="52"/>
    <x v="1"/>
    <s v="Electra Straight 8 3i (20-inch) - Boy's - 2017"/>
    <x v="0"/>
  </r>
  <r>
    <n v="1084"/>
    <n v="4"/>
    <n v="65"/>
    <x v="1"/>
    <n v="346.99"/>
    <x v="1"/>
    <x v="110"/>
    <x v="1"/>
    <s v="Sun Bicycles Lil Bolt Type-R - 2017"/>
    <x v="0"/>
  </r>
  <r>
    <n v="1084"/>
    <n v="5"/>
    <n v="60"/>
    <x v="0"/>
    <n v="1559.99"/>
    <x v="3"/>
    <x v="100"/>
    <x v="1"/>
    <s v="Sun Bicycles ElectroLite - 2017"/>
    <x v="0"/>
  </r>
  <r>
    <n v="1085"/>
    <n v="1"/>
    <n v="66"/>
    <x v="1"/>
    <n v="250.99"/>
    <x v="0"/>
    <x v="55"/>
    <x v="1"/>
    <s v="Sun Bicycles Revolutions 24 - 2017"/>
    <x v="0"/>
  </r>
  <r>
    <n v="1085"/>
    <n v="2"/>
    <n v="64"/>
    <x v="0"/>
    <n v="489.99"/>
    <x v="3"/>
    <x v="44"/>
    <x v="1"/>
    <s v="Electra Townie Original 7D - 2017"/>
    <x v="0"/>
  </r>
  <r>
    <n v="1085"/>
    <n v="3"/>
    <n v="74"/>
    <x v="0"/>
    <n v="439.99"/>
    <x v="3"/>
    <x v="56"/>
    <x v="1"/>
    <s v="Electra Cruiser Lux 1 - 2017"/>
    <x v="0"/>
  </r>
  <r>
    <n v="1086"/>
    <n v="1"/>
    <n v="108"/>
    <x v="0"/>
    <n v="449.99"/>
    <x v="1"/>
    <x v="72"/>
    <x v="1"/>
    <s v="Sun Bicycles Cruz 3 - Women's - 2017"/>
    <x v="1"/>
  </r>
  <r>
    <n v="1086"/>
    <n v="2"/>
    <n v="67"/>
    <x v="0"/>
    <n v="250.99"/>
    <x v="3"/>
    <x v="61"/>
    <x v="1"/>
    <s v="Sun Bicycles Revolutions 24 - Girl's - 2017"/>
    <x v="1"/>
  </r>
  <r>
    <n v="1086"/>
    <n v="3"/>
    <n v="81"/>
    <x v="1"/>
    <n v="1099.99"/>
    <x v="2"/>
    <x v="88"/>
    <x v="1"/>
    <s v="Electra Amsterdam Fashion 7i Ladies' - 2017"/>
    <x v="1"/>
  </r>
  <r>
    <n v="1086"/>
    <n v="4"/>
    <n v="10"/>
    <x v="1"/>
    <n v="1549"/>
    <x v="1"/>
    <x v="2"/>
    <x v="1"/>
    <s v="Surly Straggler - 2016"/>
    <x v="1"/>
  </r>
  <r>
    <n v="1086"/>
    <n v="5"/>
    <n v="5"/>
    <x v="0"/>
    <n v="1320.99"/>
    <x v="0"/>
    <x v="24"/>
    <x v="1"/>
    <s v="Heller Shagamaw Frame - 2016"/>
    <x v="1"/>
  </r>
  <r>
    <n v="1087"/>
    <n v="1"/>
    <n v="15"/>
    <x v="0"/>
    <n v="529.99"/>
    <x v="1"/>
    <x v="12"/>
    <x v="1"/>
    <s v="Electra Moto 1 - 2016"/>
    <x v="2"/>
  </r>
  <r>
    <n v="1087"/>
    <n v="2"/>
    <n v="102"/>
    <x v="1"/>
    <n v="489.99"/>
    <x v="1"/>
    <x v="52"/>
    <x v="1"/>
    <s v="Electra Townie Original 7D - 2017"/>
    <x v="2"/>
  </r>
  <r>
    <n v="1087"/>
    <n v="3"/>
    <n v="59"/>
    <x v="1"/>
    <n v="2599.9899999999998"/>
    <x v="3"/>
    <x v="67"/>
    <x v="1"/>
    <s v="Trek Domane S 5 Disc - 2017"/>
    <x v="2"/>
  </r>
  <r>
    <n v="1087"/>
    <n v="4"/>
    <n v="13"/>
    <x v="1"/>
    <n v="269.99"/>
    <x v="1"/>
    <x v="17"/>
    <x v="1"/>
    <s v="Electra Cruiser 1 (24-Inch) - 2016"/>
    <x v="2"/>
  </r>
  <r>
    <n v="1087"/>
    <n v="5"/>
    <n v="109"/>
    <x v="1"/>
    <n v="416.99"/>
    <x v="0"/>
    <x v="42"/>
    <x v="1"/>
    <s v="Sun Bicycles Cruz 7 - Women's - 2017"/>
    <x v="2"/>
  </r>
  <r>
    <n v="1088"/>
    <n v="1"/>
    <n v="64"/>
    <x v="0"/>
    <n v="489.99"/>
    <x v="3"/>
    <x v="44"/>
    <x v="1"/>
    <s v="Electra Townie Original 7D - 2017"/>
    <x v="2"/>
  </r>
  <r>
    <n v="1088"/>
    <n v="2"/>
    <n v="30"/>
    <x v="0"/>
    <n v="999.99"/>
    <x v="3"/>
    <x v="5"/>
    <x v="1"/>
    <s v="Surly Ice Cream Truck Frameset - 2017"/>
    <x v="2"/>
  </r>
  <r>
    <n v="1088"/>
    <n v="3"/>
    <n v="33"/>
    <x v="0"/>
    <n v="469.99"/>
    <x v="1"/>
    <x v="20"/>
    <x v="1"/>
    <s v="Surly Wednesday Frameset - 2017"/>
    <x v="2"/>
  </r>
  <r>
    <n v="1088"/>
    <n v="4"/>
    <n v="36"/>
    <x v="1"/>
    <n v="832.99"/>
    <x v="0"/>
    <x v="113"/>
    <x v="1"/>
    <s v="Surly Troll Frameset - 2017"/>
    <x v="2"/>
  </r>
  <r>
    <n v="1089"/>
    <n v="1"/>
    <n v="70"/>
    <x v="1"/>
    <n v="659.99"/>
    <x v="1"/>
    <x v="96"/>
    <x v="1"/>
    <s v="Electra Amsterdam Original 3i - 2015/2017"/>
    <x v="0"/>
  </r>
  <r>
    <n v="1089"/>
    <n v="2"/>
    <n v="30"/>
    <x v="1"/>
    <n v="999.99"/>
    <x v="2"/>
    <x v="10"/>
    <x v="1"/>
    <s v="Surly Ice Cream Truck Frameset - 2017"/>
    <x v="0"/>
  </r>
  <r>
    <n v="1090"/>
    <n v="1"/>
    <n v="74"/>
    <x v="0"/>
    <n v="439.99"/>
    <x v="0"/>
    <x v="56"/>
    <x v="1"/>
    <s v="Electra Cruiser Lux 1 - 2017"/>
    <x v="0"/>
  </r>
  <r>
    <n v="1091"/>
    <n v="1"/>
    <n v="97"/>
    <x v="0"/>
    <n v="349.99"/>
    <x v="2"/>
    <x v="99"/>
    <x v="1"/>
    <s v="Electra Savannah 3i (20-inch) - Girl's - 2017"/>
    <x v="1"/>
  </r>
  <r>
    <n v="1091"/>
    <n v="2"/>
    <n v="56"/>
    <x v="0"/>
    <n v="5499.99"/>
    <x v="3"/>
    <x v="39"/>
    <x v="1"/>
    <s v="Trek Domane SLR 6 Disc - 2017"/>
    <x v="1"/>
  </r>
  <r>
    <n v="1091"/>
    <n v="3"/>
    <n v="19"/>
    <x v="0"/>
    <n v="449"/>
    <x v="3"/>
    <x v="8"/>
    <x v="1"/>
    <s v="Pure Cycles William 3-Speed - 2016"/>
    <x v="1"/>
  </r>
  <r>
    <n v="1092"/>
    <n v="1"/>
    <n v="34"/>
    <x v="0"/>
    <n v="469.99"/>
    <x v="2"/>
    <x v="20"/>
    <x v="1"/>
    <s v="Trek Session DH 27.5 Carbon Frameset - 2017"/>
    <x v="0"/>
  </r>
  <r>
    <n v="1092"/>
    <n v="2"/>
    <n v="30"/>
    <x v="1"/>
    <n v="999.99"/>
    <x v="1"/>
    <x v="10"/>
    <x v="1"/>
    <s v="Surly Ice Cream Truck Frameset - 2017"/>
    <x v="0"/>
  </r>
  <r>
    <n v="1092"/>
    <n v="3"/>
    <n v="2"/>
    <x v="1"/>
    <n v="749.99"/>
    <x v="3"/>
    <x v="6"/>
    <x v="1"/>
    <s v="Ritchey Timberwolf Frameset - 2016"/>
    <x v="0"/>
  </r>
  <r>
    <n v="1092"/>
    <n v="4"/>
    <n v="18"/>
    <x v="0"/>
    <n v="449"/>
    <x v="0"/>
    <x v="8"/>
    <x v="1"/>
    <s v="Pure Cycles Western 3-Speed - Women's - 2015/2016"/>
    <x v="0"/>
  </r>
  <r>
    <n v="1093"/>
    <n v="1"/>
    <n v="45"/>
    <x v="1"/>
    <n v="869.99"/>
    <x v="1"/>
    <x v="81"/>
    <x v="1"/>
    <s v="Haro SR 1.2 - 2017"/>
    <x v="0"/>
  </r>
  <r>
    <n v="1093"/>
    <n v="2"/>
    <n v="17"/>
    <x v="1"/>
    <n v="429"/>
    <x v="3"/>
    <x v="13"/>
    <x v="1"/>
    <s v="Pure Cycles Vine 8-Speed - 2016"/>
    <x v="0"/>
  </r>
  <r>
    <n v="1093"/>
    <n v="3"/>
    <n v="90"/>
    <x v="1"/>
    <n v="209.99"/>
    <x v="3"/>
    <x v="84"/>
    <x v="1"/>
    <s v="Trek Precaliber 16 Girls - 2017"/>
    <x v="0"/>
  </r>
  <r>
    <n v="1094"/>
    <n v="1"/>
    <n v="71"/>
    <x v="0"/>
    <n v="416.99"/>
    <x v="3"/>
    <x v="71"/>
    <x v="1"/>
    <s v="Sun Bicycles Atlas X-Type - 2017"/>
    <x v="1"/>
  </r>
  <r>
    <n v="1094"/>
    <n v="2"/>
    <n v="11"/>
    <x v="0"/>
    <n v="1680.99"/>
    <x v="3"/>
    <x v="19"/>
    <x v="1"/>
    <s v="Surly Straggler 650b - 2016"/>
    <x v="1"/>
  </r>
  <r>
    <n v="1094"/>
    <n v="3"/>
    <n v="24"/>
    <x v="0"/>
    <n v="549.99"/>
    <x v="3"/>
    <x v="31"/>
    <x v="1"/>
    <s v="Electra Townie Original 21D - 2016"/>
    <x v="1"/>
  </r>
  <r>
    <n v="1094"/>
    <n v="4"/>
    <n v="107"/>
    <x v="0"/>
    <n v="416.99"/>
    <x v="0"/>
    <x v="71"/>
    <x v="1"/>
    <s v="Sun Bicycles Cruz 7 - 2017"/>
    <x v="1"/>
  </r>
  <r>
    <n v="1095"/>
    <n v="1"/>
    <n v="78"/>
    <x v="1"/>
    <n v="647.99"/>
    <x v="2"/>
    <x v="114"/>
    <x v="1"/>
    <s v="Sun Bicycles Biscayne Tandem CB - 2017"/>
    <x v="2"/>
  </r>
  <r>
    <n v="1095"/>
    <n v="2"/>
    <n v="3"/>
    <x v="1"/>
    <n v="999.99"/>
    <x v="0"/>
    <x v="10"/>
    <x v="1"/>
    <s v="Surly Wednesday Frameset - 2016"/>
    <x v="2"/>
  </r>
  <r>
    <n v="1095"/>
    <n v="3"/>
    <n v="15"/>
    <x v="1"/>
    <n v="529.99"/>
    <x v="3"/>
    <x v="29"/>
    <x v="1"/>
    <s v="Electra Moto 1 - 2016"/>
    <x v="2"/>
  </r>
  <r>
    <n v="1095"/>
    <n v="4"/>
    <n v="31"/>
    <x v="0"/>
    <n v="1632.99"/>
    <x v="0"/>
    <x v="94"/>
    <x v="1"/>
    <s v="Surly Wednesday - 2017"/>
    <x v="2"/>
  </r>
  <r>
    <n v="1095"/>
    <n v="5"/>
    <n v="50"/>
    <x v="1"/>
    <n v="5999.99"/>
    <x v="2"/>
    <x v="121"/>
    <x v="1"/>
    <s v="Trek Silque SLR 7 Women's - 2017"/>
    <x v="2"/>
  </r>
  <r>
    <n v="1096"/>
    <n v="1"/>
    <n v="11"/>
    <x v="0"/>
    <n v="1680.99"/>
    <x v="3"/>
    <x v="19"/>
    <x v="1"/>
    <s v="Surly Straggler 650b - 2016"/>
    <x v="0"/>
  </r>
  <r>
    <n v="1097"/>
    <n v="1"/>
    <n v="99"/>
    <x v="0"/>
    <n v="299.99"/>
    <x v="2"/>
    <x v="23"/>
    <x v="1"/>
    <s v="Electra Sugar Skulls 1 (20-inch) - Girl's - 2017"/>
    <x v="1"/>
  </r>
  <r>
    <n v="1097"/>
    <n v="2"/>
    <n v="106"/>
    <x v="1"/>
    <n v="449.99"/>
    <x v="1"/>
    <x v="37"/>
    <x v="1"/>
    <s v="Sun Bicycles Cruz 3 - 2017"/>
    <x v="1"/>
  </r>
  <r>
    <n v="1097"/>
    <n v="3"/>
    <n v="98"/>
    <x v="1"/>
    <n v="489.99"/>
    <x v="1"/>
    <x v="52"/>
    <x v="1"/>
    <s v="Electra Straight 8 3i (20-inch) - Boy's - 2017"/>
    <x v="1"/>
  </r>
  <r>
    <n v="1097"/>
    <n v="4"/>
    <n v="19"/>
    <x v="0"/>
    <n v="449"/>
    <x v="0"/>
    <x v="8"/>
    <x v="1"/>
    <s v="Pure Cycles William 3-Speed - 2016"/>
    <x v="1"/>
  </r>
  <r>
    <n v="1097"/>
    <n v="5"/>
    <n v="35"/>
    <x v="1"/>
    <n v="832.99"/>
    <x v="2"/>
    <x v="113"/>
    <x v="1"/>
    <s v="Sun Bicycles Spider 3i - 2017"/>
    <x v="1"/>
  </r>
  <r>
    <n v="1098"/>
    <n v="1"/>
    <n v="88"/>
    <x v="0"/>
    <n v="189.99"/>
    <x v="3"/>
    <x v="93"/>
    <x v="1"/>
    <s v="Trek Precaliber 12 Girls - 2017"/>
    <x v="0"/>
  </r>
  <r>
    <n v="1099"/>
    <n v="1"/>
    <n v="64"/>
    <x v="0"/>
    <n v="489.99"/>
    <x v="3"/>
    <x v="44"/>
    <x v="1"/>
    <s v="Electra Townie Original 7D - 2017"/>
    <x v="1"/>
  </r>
  <r>
    <n v="1099"/>
    <n v="2"/>
    <n v="13"/>
    <x v="1"/>
    <n v="269.99"/>
    <x v="2"/>
    <x v="17"/>
    <x v="1"/>
    <s v="Electra Cruiser 1 (24-Inch) - 2016"/>
    <x v="1"/>
  </r>
  <r>
    <n v="1099"/>
    <n v="3"/>
    <n v="46"/>
    <x v="0"/>
    <n v="1409.99"/>
    <x v="1"/>
    <x v="126"/>
    <x v="1"/>
    <s v="Haro SR 1.3 - 2017"/>
    <x v="1"/>
  </r>
  <r>
    <n v="1099"/>
    <n v="4"/>
    <n v="89"/>
    <x v="1"/>
    <n v="209.99"/>
    <x v="3"/>
    <x v="84"/>
    <x v="1"/>
    <s v="Trek Precaliber 16 Boys - 2017"/>
    <x v="1"/>
  </r>
  <r>
    <n v="1100"/>
    <n v="1"/>
    <n v="12"/>
    <x v="0"/>
    <n v="549.99"/>
    <x v="2"/>
    <x v="31"/>
    <x v="1"/>
    <s v="Electra Townie Original 21D - 2016"/>
    <x v="1"/>
  </r>
  <r>
    <n v="1100"/>
    <n v="2"/>
    <n v="9"/>
    <x v="1"/>
    <n v="2999.99"/>
    <x v="3"/>
    <x v="11"/>
    <x v="1"/>
    <s v="Trek Conduit+ - 2016"/>
    <x v="1"/>
  </r>
  <r>
    <n v="1101"/>
    <n v="1"/>
    <n v="105"/>
    <x v="0"/>
    <n v="533.99"/>
    <x v="1"/>
    <x v="128"/>
    <x v="1"/>
    <s v="Sun Bicycles Streamway 7 - 2017"/>
    <x v="1"/>
  </r>
  <r>
    <n v="1101"/>
    <n v="2"/>
    <n v="51"/>
    <x v="0"/>
    <n v="6499.99"/>
    <x v="2"/>
    <x v="122"/>
    <x v="1"/>
    <s v="Trek Silque SLR 8 Women's - 2017"/>
    <x v="1"/>
  </r>
  <r>
    <n v="1102"/>
    <n v="1"/>
    <n v="91"/>
    <x v="0"/>
    <n v="349.99"/>
    <x v="1"/>
    <x v="99"/>
    <x v="1"/>
    <s v="Trek Precaliber 24 (21-Speed) - Girls - 2017"/>
    <x v="1"/>
  </r>
  <r>
    <n v="1103"/>
    <n v="1"/>
    <n v="106"/>
    <x v="0"/>
    <n v="449.99"/>
    <x v="0"/>
    <x v="72"/>
    <x v="1"/>
    <s v="Sun Bicycles Cruz 3 - 2017"/>
    <x v="1"/>
  </r>
  <r>
    <n v="1103"/>
    <n v="2"/>
    <n v="46"/>
    <x v="1"/>
    <n v="1409.99"/>
    <x v="0"/>
    <x v="124"/>
    <x v="1"/>
    <s v="Haro SR 1.3 - 2017"/>
    <x v="1"/>
  </r>
  <r>
    <n v="1104"/>
    <n v="1"/>
    <n v="17"/>
    <x v="0"/>
    <n v="429"/>
    <x v="3"/>
    <x v="7"/>
    <x v="1"/>
    <s v="Pure Cycles Vine 8-Speed - 2016"/>
    <x v="1"/>
  </r>
  <r>
    <n v="1104"/>
    <n v="2"/>
    <n v="70"/>
    <x v="1"/>
    <n v="659.99"/>
    <x v="3"/>
    <x v="96"/>
    <x v="1"/>
    <s v="Electra Amsterdam Original 3i - 2015/2017"/>
    <x v="1"/>
  </r>
  <r>
    <n v="1104"/>
    <n v="3"/>
    <n v="43"/>
    <x v="0"/>
    <n v="5299.99"/>
    <x v="1"/>
    <x v="57"/>
    <x v="1"/>
    <s v="Trek Fuel EX 9.8 27.5 Plus - 2017"/>
    <x v="1"/>
  </r>
  <r>
    <n v="1104"/>
    <n v="4"/>
    <n v="80"/>
    <x v="0"/>
    <n v="761.99"/>
    <x v="1"/>
    <x v="58"/>
    <x v="1"/>
    <s v="Sun Bicycles Brickell Tandem CB - 2017"/>
    <x v="1"/>
  </r>
  <r>
    <n v="1105"/>
    <n v="1"/>
    <n v="60"/>
    <x v="0"/>
    <n v="1559.99"/>
    <x v="2"/>
    <x v="100"/>
    <x v="1"/>
    <s v="Sun Bicycles ElectroLite - 2017"/>
    <x v="2"/>
  </r>
  <r>
    <n v="1105"/>
    <n v="2"/>
    <n v="56"/>
    <x v="1"/>
    <n v="5499.99"/>
    <x v="0"/>
    <x v="91"/>
    <x v="1"/>
    <s v="Trek Domane SLR 6 Disc - 2017"/>
    <x v="2"/>
  </r>
  <r>
    <n v="1105"/>
    <n v="3"/>
    <n v="35"/>
    <x v="1"/>
    <n v="832.99"/>
    <x v="1"/>
    <x v="113"/>
    <x v="1"/>
    <s v="Sun Bicycles Spider 3i - 2017"/>
    <x v="2"/>
  </r>
  <r>
    <n v="1106"/>
    <n v="1"/>
    <n v="96"/>
    <x v="0"/>
    <n v="349.99"/>
    <x v="3"/>
    <x v="99"/>
    <x v="1"/>
    <s v="Electra Moto 3i (20-inch) - Boy's - 2017"/>
    <x v="1"/>
  </r>
  <r>
    <n v="1107"/>
    <n v="1"/>
    <n v="43"/>
    <x v="0"/>
    <n v="5299.99"/>
    <x v="0"/>
    <x v="57"/>
    <x v="1"/>
    <s v="Trek Fuel EX 9.8 27.5 Plus - 2017"/>
    <x v="1"/>
  </r>
  <r>
    <n v="1107"/>
    <n v="2"/>
    <n v="41"/>
    <x v="1"/>
    <n v="1469.99"/>
    <x v="0"/>
    <x v="69"/>
    <x v="1"/>
    <s v="Haro Shift R3 - 2017"/>
    <x v="1"/>
  </r>
  <r>
    <n v="1108"/>
    <n v="1"/>
    <n v="45"/>
    <x v="1"/>
    <n v="869.99"/>
    <x v="2"/>
    <x v="81"/>
    <x v="1"/>
    <s v="Haro SR 1.2 - 2017"/>
    <x v="0"/>
  </r>
  <r>
    <n v="1108"/>
    <n v="2"/>
    <n v="100"/>
    <x v="0"/>
    <n v="489.99"/>
    <x v="1"/>
    <x v="44"/>
    <x v="1"/>
    <s v="Electra Townie 3i EQ (20-inch) - Boys' - 2017"/>
    <x v="0"/>
  </r>
  <r>
    <n v="1108"/>
    <n v="3"/>
    <n v="105"/>
    <x v="0"/>
    <n v="533.99"/>
    <x v="1"/>
    <x v="128"/>
    <x v="1"/>
    <s v="Sun Bicycles Streamway 7 - 2017"/>
    <x v="0"/>
  </r>
  <r>
    <n v="1109"/>
    <n v="1"/>
    <n v="72"/>
    <x v="1"/>
    <n v="619.99"/>
    <x v="3"/>
    <x v="103"/>
    <x v="1"/>
    <s v="Sun Bicycles Biscayne Tandem 7 - 2017"/>
    <x v="1"/>
  </r>
  <r>
    <n v="1110"/>
    <n v="1"/>
    <n v="56"/>
    <x v="0"/>
    <n v="5499.99"/>
    <x v="3"/>
    <x v="39"/>
    <x v="1"/>
    <s v="Trek Domane SLR 6 Disc - 2017"/>
    <x v="1"/>
  </r>
  <r>
    <n v="1111"/>
    <n v="1"/>
    <n v="95"/>
    <x v="0"/>
    <n v="299.99"/>
    <x v="2"/>
    <x v="23"/>
    <x v="1"/>
    <s v="Electra Girl's Hawaii 1 16&quot; - 2017"/>
    <x v="1"/>
  </r>
  <r>
    <n v="1111"/>
    <n v="2"/>
    <n v="66"/>
    <x v="1"/>
    <n v="250.99"/>
    <x v="3"/>
    <x v="55"/>
    <x v="1"/>
    <s v="Sun Bicycles Revolutions 24 - 2017"/>
    <x v="1"/>
  </r>
  <r>
    <n v="1111"/>
    <n v="3"/>
    <n v="14"/>
    <x v="0"/>
    <n v="269.99"/>
    <x v="0"/>
    <x v="14"/>
    <x v="1"/>
    <s v="Electra Girl's Hawaii 1 (16-inch) - 2015/2016"/>
    <x v="1"/>
  </r>
  <r>
    <n v="1111"/>
    <n v="4"/>
    <n v="24"/>
    <x v="0"/>
    <n v="549.99"/>
    <x v="1"/>
    <x v="31"/>
    <x v="1"/>
    <s v="Electra Townie Original 21D - 2016"/>
    <x v="1"/>
  </r>
  <r>
    <n v="1112"/>
    <n v="1"/>
    <n v="71"/>
    <x v="1"/>
    <n v="416.99"/>
    <x v="2"/>
    <x v="42"/>
    <x v="1"/>
    <s v="Sun Bicycles Atlas X-Type - 2017"/>
    <x v="1"/>
  </r>
  <r>
    <n v="1112"/>
    <n v="2"/>
    <n v="42"/>
    <x v="0"/>
    <n v="2299.9899999999998"/>
    <x v="1"/>
    <x v="101"/>
    <x v="1"/>
    <s v="Trek Fuel EX 5 27.5 Plus - 2017"/>
    <x v="1"/>
  </r>
  <r>
    <n v="1112"/>
    <n v="3"/>
    <n v="5"/>
    <x v="1"/>
    <n v="1320.99"/>
    <x v="3"/>
    <x v="34"/>
    <x v="1"/>
    <s v="Heller Shagamaw Frame - 2016"/>
    <x v="1"/>
  </r>
  <r>
    <n v="1112"/>
    <n v="4"/>
    <n v="87"/>
    <x v="1"/>
    <n v="189.99"/>
    <x v="1"/>
    <x v="59"/>
    <x v="1"/>
    <s v="Trek Precaliber 12 Boys - 2017"/>
    <x v="1"/>
  </r>
  <r>
    <n v="1112"/>
    <n v="5"/>
    <n v="9"/>
    <x v="1"/>
    <n v="2999.99"/>
    <x v="3"/>
    <x v="11"/>
    <x v="1"/>
    <s v="Trek Conduit+ - 2016"/>
    <x v="1"/>
  </r>
  <r>
    <n v="1113"/>
    <n v="1"/>
    <n v="106"/>
    <x v="0"/>
    <n v="449.99"/>
    <x v="1"/>
    <x v="72"/>
    <x v="1"/>
    <s v="Sun Bicycles Cruz 3 - 2017"/>
    <x v="1"/>
  </r>
  <r>
    <n v="1114"/>
    <n v="1"/>
    <n v="52"/>
    <x v="0"/>
    <n v="875.99"/>
    <x v="0"/>
    <x v="63"/>
    <x v="1"/>
    <s v="Surly Steamroller - 2017"/>
    <x v="1"/>
  </r>
  <r>
    <n v="1115"/>
    <n v="1"/>
    <n v="97"/>
    <x v="1"/>
    <n v="349.99"/>
    <x v="0"/>
    <x v="47"/>
    <x v="1"/>
    <s v="Electra Savannah 3i (20-inch) - Girl's - 2017"/>
    <x v="1"/>
  </r>
  <r>
    <n v="1115"/>
    <n v="2"/>
    <n v="50"/>
    <x v="1"/>
    <n v="5999.99"/>
    <x v="1"/>
    <x v="121"/>
    <x v="1"/>
    <s v="Trek Silque SLR 7 Women's - 2017"/>
    <x v="1"/>
  </r>
  <r>
    <n v="1115"/>
    <n v="3"/>
    <n v="91"/>
    <x v="1"/>
    <n v="349.99"/>
    <x v="1"/>
    <x v="47"/>
    <x v="1"/>
    <s v="Trek Precaliber 24 (21-Speed) - Girls - 2017"/>
    <x v="1"/>
  </r>
  <r>
    <n v="1115"/>
    <n v="4"/>
    <n v="49"/>
    <x v="1"/>
    <n v="3499.99"/>
    <x v="3"/>
    <x v="54"/>
    <x v="1"/>
    <s v="Trek Domane SL 6 - 2017"/>
    <x v="1"/>
  </r>
  <r>
    <n v="1116"/>
    <n v="1"/>
    <n v="11"/>
    <x v="1"/>
    <n v="1680.99"/>
    <x v="1"/>
    <x v="32"/>
    <x v="1"/>
    <s v="Surly Straggler 650b - 2016"/>
    <x v="1"/>
  </r>
  <r>
    <n v="1117"/>
    <n v="1"/>
    <n v="37"/>
    <x v="1"/>
    <n v="379.99"/>
    <x v="3"/>
    <x v="86"/>
    <x v="1"/>
    <s v="Haro Flightline One ST - 2017"/>
    <x v="1"/>
  </r>
  <r>
    <n v="1117"/>
    <n v="2"/>
    <n v="91"/>
    <x v="0"/>
    <n v="349.99"/>
    <x v="0"/>
    <x v="99"/>
    <x v="1"/>
    <s v="Trek Precaliber 24 (21-Speed) - Girls - 2017"/>
    <x v="1"/>
  </r>
  <r>
    <n v="1117"/>
    <n v="3"/>
    <n v="51"/>
    <x v="1"/>
    <n v="6499.99"/>
    <x v="3"/>
    <x v="83"/>
    <x v="1"/>
    <s v="Trek Silque SLR 8 Women's - 2017"/>
    <x v="1"/>
  </r>
  <r>
    <n v="1118"/>
    <n v="1"/>
    <n v="55"/>
    <x v="1"/>
    <n v="2699.99"/>
    <x v="0"/>
    <x v="68"/>
    <x v="1"/>
    <s v="Trek Domane S 6 - 2017"/>
    <x v="1"/>
  </r>
  <r>
    <n v="1118"/>
    <n v="2"/>
    <n v="50"/>
    <x v="0"/>
    <n v="5999.99"/>
    <x v="1"/>
    <x v="74"/>
    <x v="1"/>
    <s v="Trek Silque SLR 7 Women's - 2017"/>
    <x v="1"/>
  </r>
  <r>
    <n v="1118"/>
    <n v="3"/>
    <n v="29"/>
    <x v="0"/>
    <n v="999.99"/>
    <x v="2"/>
    <x v="5"/>
    <x v="1"/>
    <s v="Trek X-Caliber 8 - 2017"/>
    <x v="1"/>
  </r>
  <r>
    <n v="1118"/>
    <n v="4"/>
    <n v="47"/>
    <x v="1"/>
    <n v="5299.99"/>
    <x v="0"/>
    <x v="46"/>
    <x v="1"/>
    <s v="Trek Remedy 9.8 - 2017"/>
    <x v="1"/>
  </r>
  <r>
    <n v="1119"/>
    <n v="1"/>
    <n v="93"/>
    <x v="1"/>
    <n v="209.99"/>
    <x v="3"/>
    <x v="84"/>
    <x v="1"/>
    <s v="Haro Shredder 20 Girls - 2017"/>
    <x v="0"/>
  </r>
  <r>
    <n v="1119"/>
    <n v="2"/>
    <n v="55"/>
    <x v="1"/>
    <n v="2699.99"/>
    <x v="2"/>
    <x v="68"/>
    <x v="1"/>
    <s v="Trek Domane S 6 - 2017"/>
    <x v="0"/>
  </r>
  <r>
    <n v="1119"/>
    <n v="3"/>
    <n v="104"/>
    <x v="0"/>
    <n v="481.99"/>
    <x v="0"/>
    <x v="92"/>
    <x v="1"/>
    <s v="Sun Bicycles Streamway - 2017"/>
    <x v="0"/>
  </r>
  <r>
    <n v="1120"/>
    <n v="1"/>
    <n v="92"/>
    <x v="1"/>
    <n v="209.99"/>
    <x v="1"/>
    <x v="84"/>
    <x v="1"/>
    <s v="Haro Shredder 20 - 2017"/>
    <x v="1"/>
  </r>
  <r>
    <n v="1120"/>
    <n v="2"/>
    <n v="31"/>
    <x v="0"/>
    <n v="1632.99"/>
    <x v="1"/>
    <x v="94"/>
    <x v="1"/>
    <s v="Surly Wednesday - 2017"/>
    <x v="1"/>
  </r>
  <r>
    <n v="1120"/>
    <n v="3"/>
    <n v="30"/>
    <x v="1"/>
    <n v="999.99"/>
    <x v="2"/>
    <x v="10"/>
    <x v="1"/>
    <s v="Surly Ice Cream Truck Frameset - 2017"/>
    <x v="1"/>
  </r>
  <r>
    <n v="1120"/>
    <n v="4"/>
    <n v="93"/>
    <x v="0"/>
    <n v="209.99"/>
    <x v="1"/>
    <x v="48"/>
    <x v="1"/>
    <s v="Haro Shredder 20 Girls - 2017"/>
    <x v="1"/>
  </r>
  <r>
    <n v="1120"/>
    <n v="5"/>
    <n v="94"/>
    <x v="0"/>
    <n v="249.99"/>
    <x v="0"/>
    <x v="70"/>
    <x v="1"/>
    <s v="Haro Shredder Pro 20 - 2017"/>
    <x v="1"/>
  </r>
  <r>
    <n v="1121"/>
    <n v="1"/>
    <n v="11"/>
    <x v="1"/>
    <n v="1680.99"/>
    <x v="3"/>
    <x v="32"/>
    <x v="1"/>
    <s v="Surly Straggler 650b - 2016"/>
    <x v="1"/>
  </r>
  <r>
    <n v="1121"/>
    <n v="2"/>
    <n v="110"/>
    <x v="1"/>
    <n v="470.99"/>
    <x v="2"/>
    <x v="60"/>
    <x v="1"/>
    <s v="Sun Bicycles Drifter 7 - 2017"/>
    <x v="1"/>
  </r>
  <r>
    <n v="1122"/>
    <n v="1"/>
    <n v="9"/>
    <x v="1"/>
    <n v="2999.99"/>
    <x v="1"/>
    <x v="11"/>
    <x v="1"/>
    <s v="Trek Conduit+ - 2016"/>
    <x v="1"/>
  </r>
  <r>
    <n v="1122"/>
    <n v="2"/>
    <n v="53"/>
    <x v="0"/>
    <n v="749.99"/>
    <x v="3"/>
    <x v="30"/>
    <x v="1"/>
    <s v="Surly Ogre Frameset - 2017"/>
    <x v="1"/>
  </r>
  <r>
    <n v="1122"/>
    <n v="3"/>
    <n v="49"/>
    <x v="1"/>
    <n v="3499.99"/>
    <x v="0"/>
    <x v="54"/>
    <x v="1"/>
    <s v="Trek Domane SL 6 - 2017"/>
    <x v="1"/>
  </r>
  <r>
    <n v="1122"/>
    <n v="4"/>
    <n v="41"/>
    <x v="1"/>
    <n v="1469.99"/>
    <x v="2"/>
    <x v="69"/>
    <x v="1"/>
    <s v="Haro Shift R3 - 2017"/>
    <x v="1"/>
  </r>
  <r>
    <n v="1122"/>
    <n v="5"/>
    <n v="72"/>
    <x v="0"/>
    <n v="619.99"/>
    <x v="3"/>
    <x v="40"/>
    <x v="1"/>
    <s v="Sun Bicycles Biscayne Tandem 7 - 2017"/>
    <x v="1"/>
  </r>
  <r>
    <n v="1123"/>
    <n v="1"/>
    <n v="65"/>
    <x v="1"/>
    <n v="346.99"/>
    <x v="1"/>
    <x v="110"/>
    <x v="1"/>
    <s v="Sun Bicycles Lil Bolt Type-R - 2017"/>
    <x v="1"/>
  </r>
  <r>
    <n v="1123"/>
    <n v="2"/>
    <n v="61"/>
    <x v="1"/>
    <n v="4999.99"/>
    <x v="3"/>
    <x v="41"/>
    <x v="1"/>
    <s v="Trek Powerfly 8 FS Plus - 2017"/>
    <x v="1"/>
  </r>
  <r>
    <n v="1124"/>
    <n v="1"/>
    <n v="7"/>
    <x v="1"/>
    <n v="3999.99"/>
    <x v="3"/>
    <x v="15"/>
    <x v="1"/>
    <s v="Trek Slash 8 27.5 - 2016"/>
    <x v="2"/>
  </r>
  <r>
    <n v="1124"/>
    <n v="2"/>
    <n v="6"/>
    <x v="0"/>
    <n v="469.99"/>
    <x v="3"/>
    <x v="20"/>
    <x v="1"/>
    <s v="Surly Ice Cream Truck Frameset - 2016"/>
    <x v="2"/>
  </r>
  <r>
    <n v="1124"/>
    <n v="3"/>
    <n v="109"/>
    <x v="1"/>
    <n v="416.99"/>
    <x v="1"/>
    <x v="42"/>
    <x v="1"/>
    <s v="Sun Bicycles Cruz 7 - Women's - 2017"/>
    <x v="2"/>
  </r>
  <r>
    <n v="1124"/>
    <n v="4"/>
    <n v="45"/>
    <x v="1"/>
    <n v="869.99"/>
    <x v="2"/>
    <x v="81"/>
    <x v="1"/>
    <s v="Haro SR 1.2 - 2017"/>
    <x v="2"/>
  </r>
  <r>
    <n v="1124"/>
    <n v="5"/>
    <n v="2"/>
    <x v="1"/>
    <n v="749.99"/>
    <x v="2"/>
    <x v="6"/>
    <x v="1"/>
    <s v="Ritchey Timberwolf Frameset - 2016"/>
    <x v="2"/>
  </r>
  <r>
    <n v="1125"/>
    <n v="1"/>
    <n v="16"/>
    <x v="1"/>
    <n v="599.99"/>
    <x v="2"/>
    <x v="3"/>
    <x v="1"/>
    <s v="Electra Townie Original 7D EQ - 2016"/>
    <x v="1"/>
  </r>
  <r>
    <n v="1125"/>
    <n v="2"/>
    <n v="21"/>
    <x v="0"/>
    <n v="269.99"/>
    <x v="3"/>
    <x v="14"/>
    <x v="1"/>
    <s v="Electra Cruiser 1 (24-Inch) - 2016"/>
    <x v="1"/>
  </r>
  <r>
    <n v="1125"/>
    <n v="3"/>
    <n v="81"/>
    <x v="1"/>
    <n v="1099.99"/>
    <x v="1"/>
    <x v="88"/>
    <x v="1"/>
    <s v="Electra Amsterdam Fashion 7i Ladies' - 2017"/>
    <x v="1"/>
  </r>
  <r>
    <n v="1125"/>
    <n v="4"/>
    <n v="24"/>
    <x v="0"/>
    <n v="549.99"/>
    <x v="1"/>
    <x v="31"/>
    <x v="1"/>
    <s v="Electra Townie Original 21D - 2016"/>
    <x v="1"/>
  </r>
  <r>
    <n v="1125"/>
    <n v="5"/>
    <n v="32"/>
    <x v="1"/>
    <n v="469.99"/>
    <x v="1"/>
    <x v="35"/>
    <x v="1"/>
    <s v="Trek Farley Alloy Frameset - 2017"/>
    <x v="1"/>
  </r>
  <r>
    <n v="1126"/>
    <n v="1"/>
    <n v="33"/>
    <x v="1"/>
    <n v="469.99"/>
    <x v="3"/>
    <x v="35"/>
    <x v="1"/>
    <s v="Surly Wednesday Frameset - 2017"/>
    <x v="2"/>
  </r>
  <r>
    <n v="1126"/>
    <n v="2"/>
    <n v="58"/>
    <x v="0"/>
    <n v="4999.99"/>
    <x v="0"/>
    <x v="76"/>
    <x v="1"/>
    <s v="Trek Madone 9.2 - 2017"/>
    <x v="2"/>
  </r>
  <r>
    <n v="1126"/>
    <n v="3"/>
    <n v="89"/>
    <x v="1"/>
    <n v="209.99"/>
    <x v="2"/>
    <x v="84"/>
    <x v="1"/>
    <s v="Trek Precaliber 16 Boys - 2017"/>
    <x v="2"/>
  </r>
  <r>
    <n v="1127"/>
    <n v="1"/>
    <n v="23"/>
    <x v="1"/>
    <n v="299.99"/>
    <x v="3"/>
    <x v="22"/>
    <x v="1"/>
    <s v="Electra Girl's Hawaii 1 (20-inch) - 2015/2016"/>
    <x v="1"/>
  </r>
  <r>
    <n v="1127"/>
    <n v="2"/>
    <n v="96"/>
    <x v="1"/>
    <n v="349.99"/>
    <x v="1"/>
    <x v="47"/>
    <x v="1"/>
    <s v="Electra Moto 3i (20-inch) - Boy's - 2017"/>
    <x v="1"/>
  </r>
  <r>
    <n v="1127"/>
    <n v="3"/>
    <n v="37"/>
    <x v="0"/>
    <n v="379.99"/>
    <x v="0"/>
    <x v="125"/>
    <x v="1"/>
    <s v="Haro Flightline One ST - 2017"/>
    <x v="1"/>
  </r>
  <r>
    <n v="1128"/>
    <n v="1"/>
    <n v="44"/>
    <x v="0"/>
    <n v="539.99"/>
    <x v="2"/>
    <x v="127"/>
    <x v="1"/>
    <s v="Haro SR 1.1 - 2017"/>
    <x v="1"/>
  </r>
  <r>
    <n v="1128"/>
    <n v="2"/>
    <n v="10"/>
    <x v="0"/>
    <n v="1549"/>
    <x v="0"/>
    <x v="27"/>
    <x v="1"/>
    <s v="Surly Straggler - 2016"/>
    <x v="1"/>
  </r>
  <r>
    <n v="1128"/>
    <n v="3"/>
    <n v="65"/>
    <x v="1"/>
    <n v="346.99"/>
    <x v="2"/>
    <x v="110"/>
    <x v="1"/>
    <s v="Sun Bicycles Lil Bolt Type-R - 2017"/>
    <x v="1"/>
  </r>
  <r>
    <n v="1129"/>
    <n v="1"/>
    <n v="71"/>
    <x v="1"/>
    <n v="416.99"/>
    <x v="0"/>
    <x v="42"/>
    <x v="1"/>
    <s v="Sun Bicycles Atlas X-Type - 2017"/>
    <x v="1"/>
  </r>
  <r>
    <n v="1129"/>
    <n v="2"/>
    <n v="56"/>
    <x v="0"/>
    <n v="5499.99"/>
    <x v="0"/>
    <x v="39"/>
    <x v="1"/>
    <s v="Trek Domane SLR 6 Disc - 2017"/>
    <x v="1"/>
  </r>
  <r>
    <n v="1129"/>
    <n v="3"/>
    <n v="61"/>
    <x v="1"/>
    <n v="4999.99"/>
    <x v="2"/>
    <x v="41"/>
    <x v="1"/>
    <s v="Trek Powerfly 8 FS Plus - 2017"/>
    <x v="1"/>
  </r>
  <r>
    <n v="1130"/>
    <n v="1"/>
    <n v="54"/>
    <x v="1"/>
    <n v="3199.99"/>
    <x v="0"/>
    <x v="64"/>
    <x v="1"/>
    <s v="Trek Domane SL Disc Frameset - 2017"/>
    <x v="0"/>
  </r>
  <r>
    <n v="1131"/>
    <n v="1"/>
    <n v="60"/>
    <x v="1"/>
    <n v="1559.99"/>
    <x v="1"/>
    <x v="89"/>
    <x v="1"/>
    <s v="Sun Bicycles ElectroLite - 2017"/>
    <x v="0"/>
  </r>
  <r>
    <n v="1131"/>
    <n v="2"/>
    <n v="103"/>
    <x v="1"/>
    <n v="551.99"/>
    <x v="2"/>
    <x v="95"/>
    <x v="1"/>
    <s v="Sun Bicycles Streamway 3 - 2017"/>
    <x v="0"/>
  </r>
  <r>
    <n v="1132"/>
    <n v="1"/>
    <n v="43"/>
    <x v="0"/>
    <n v="5299.99"/>
    <x v="2"/>
    <x v="57"/>
    <x v="1"/>
    <s v="Trek Fuel EX 9.8 27.5 Plus - 2017"/>
    <x v="1"/>
  </r>
  <r>
    <n v="1132"/>
    <n v="2"/>
    <n v="10"/>
    <x v="0"/>
    <n v="1549"/>
    <x v="3"/>
    <x v="27"/>
    <x v="1"/>
    <s v="Surly Straggler - 2016"/>
    <x v="1"/>
  </r>
  <r>
    <n v="1132"/>
    <n v="3"/>
    <n v="36"/>
    <x v="1"/>
    <n v="832.99"/>
    <x v="3"/>
    <x v="113"/>
    <x v="1"/>
    <s v="Surly Troll Frameset - 2017"/>
    <x v="1"/>
  </r>
  <r>
    <n v="1132"/>
    <n v="4"/>
    <n v="16"/>
    <x v="0"/>
    <n v="599.99"/>
    <x v="2"/>
    <x v="0"/>
    <x v="1"/>
    <s v="Electra Townie Original 7D EQ - 2016"/>
    <x v="1"/>
  </r>
  <r>
    <n v="1133"/>
    <n v="1"/>
    <n v="4"/>
    <x v="1"/>
    <n v="2899.99"/>
    <x v="2"/>
    <x v="18"/>
    <x v="1"/>
    <s v="Trek Fuel EX 8 29 - 2016"/>
    <x v="1"/>
  </r>
  <r>
    <n v="1133"/>
    <n v="2"/>
    <n v="17"/>
    <x v="0"/>
    <n v="429"/>
    <x v="1"/>
    <x v="7"/>
    <x v="1"/>
    <s v="Pure Cycles Vine 8-Speed - 2016"/>
    <x v="1"/>
  </r>
  <r>
    <n v="1133"/>
    <n v="3"/>
    <n v="90"/>
    <x v="1"/>
    <n v="209.99"/>
    <x v="0"/>
    <x v="84"/>
    <x v="1"/>
    <s v="Trek Precaliber 16 Girls - 2017"/>
    <x v="1"/>
  </r>
  <r>
    <n v="1133"/>
    <n v="4"/>
    <n v="62"/>
    <x v="0"/>
    <n v="3499.99"/>
    <x v="0"/>
    <x v="43"/>
    <x v="1"/>
    <s v="Trek Boone 7 - 2017"/>
    <x v="1"/>
  </r>
  <r>
    <n v="1134"/>
    <n v="1"/>
    <n v="97"/>
    <x v="0"/>
    <n v="349.99"/>
    <x v="3"/>
    <x v="99"/>
    <x v="1"/>
    <s v="Electra Savannah 3i (20-inch) - Girl's - 2017"/>
    <x v="1"/>
  </r>
  <r>
    <n v="1134"/>
    <n v="2"/>
    <n v="36"/>
    <x v="0"/>
    <n v="832.99"/>
    <x v="3"/>
    <x v="106"/>
    <x v="1"/>
    <s v="Surly Troll Frameset - 2017"/>
    <x v="1"/>
  </r>
  <r>
    <n v="1135"/>
    <n v="1"/>
    <n v="101"/>
    <x v="1"/>
    <n v="339.99"/>
    <x v="2"/>
    <x v="75"/>
    <x v="1"/>
    <s v="Electra Townie 7D (20-inch) - Boys' - 2017"/>
    <x v="1"/>
  </r>
  <r>
    <n v="1135"/>
    <n v="2"/>
    <n v="51"/>
    <x v="0"/>
    <n v="6499.99"/>
    <x v="3"/>
    <x v="122"/>
    <x v="1"/>
    <s v="Trek Silque SLR 8 Women's - 2017"/>
    <x v="1"/>
  </r>
  <r>
    <n v="1136"/>
    <n v="1"/>
    <n v="105"/>
    <x v="0"/>
    <n v="533.99"/>
    <x v="3"/>
    <x v="128"/>
    <x v="1"/>
    <s v="Sun Bicycles Streamway 7 - 2017"/>
    <x v="1"/>
  </r>
  <r>
    <n v="1137"/>
    <n v="1"/>
    <n v="28"/>
    <x v="0"/>
    <n v="2499.9899999999998"/>
    <x v="0"/>
    <x v="79"/>
    <x v="1"/>
    <s v="Surly Karate Monkey 27.5+ Frameset - 2017"/>
    <x v="2"/>
  </r>
  <r>
    <n v="1137"/>
    <n v="2"/>
    <n v="58"/>
    <x v="1"/>
    <n v="4999.99"/>
    <x v="0"/>
    <x v="41"/>
    <x v="1"/>
    <s v="Trek Madone 9.2 - 2017"/>
    <x v="2"/>
  </r>
  <r>
    <n v="1137"/>
    <n v="3"/>
    <n v="84"/>
    <x v="1"/>
    <n v="109.99"/>
    <x v="0"/>
    <x v="109"/>
    <x v="1"/>
    <s v="Sun Bicycles Lil Kitt'n - 2017"/>
    <x v="2"/>
  </r>
  <r>
    <n v="1137"/>
    <n v="4"/>
    <n v="69"/>
    <x v="1"/>
    <n v="416.99"/>
    <x v="1"/>
    <x v="42"/>
    <x v="1"/>
    <s v="Sun Bicycles Cruz 7 - 2017"/>
    <x v="2"/>
  </r>
  <r>
    <n v="1138"/>
    <n v="1"/>
    <n v="13"/>
    <x v="1"/>
    <n v="269.99"/>
    <x v="2"/>
    <x v="17"/>
    <x v="1"/>
    <s v="Electra Cruiser 1 (24-Inch) - 2016"/>
    <x v="0"/>
  </r>
  <r>
    <n v="1138"/>
    <n v="2"/>
    <n v="105"/>
    <x v="1"/>
    <n v="533.99"/>
    <x v="2"/>
    <x v="85"/>
    <x v="1"/>
    <s v="Sun Bicycles Streamway 7 - 2017"/>
    <x v="0"/>
  </r>
  <r>
    <n v="1138"/>
    <n v="3"/>
    <n v="93"/>
    <x v="0"/>
    <n v="209.99"/>
    <x v="3"/>
    <x v="48"/>
    <x v="1"/>
    <s v="Haro Shredder 20 Girls - 2017"/>
    <x v="0"/>
  </r>
  <r>
    <n v="1139"/>
    <n v="1"/>
    <n v="106"/>
    <x v="1"/>
    <n v="449.99"/>
    <x v="2"/>
    <x v="37"/>
    <x v="1"/>
    <s v="Sun Bicycles Cruz 3 - 2017"/>
    <x v="0"/>
  </r>
  <r>
    <n v="1139"/>
    <n v="2"/>
    <n v="44"/>
    <x v="1"/>
    <n v="539.99"/>
    <x v="3"/>
    <x v="104"/>
    <x v="1"/>
    <s v="Haro SR 1.1 - 2017"/>
    <x v="0"/>
  </r>
  <r>
    <n v="1139"/>
    <n v="3"/>
    <n v="69"/>
    <x v="0"/>
    <n v="416.99"/>
    <x v="2"/>
    <x v="71"/>
    <x v="1"/>
    <s v="Sun Bicycles Cruz 7 - 2017"/>
    <x v="0"/>
  </r>
  <r>
    <n v="1139"/>
    <n v="4"/>
    <n v="25"/>
    <x v="1"/>
    <n v="499.99"/>
    <x v="3"/>
    <x v="26"/>
    <x v="1"/>
    <s v="Electra Townie Original 7D - 2015/2016"/>
    <x v="0"/>
  </r>
  <r>
    <n v="1139"/>
    <n v="5"/>
    <n v="7"/>
    <x v="0"/>
    <n v="3999.99"/>
    <x v="3"/>
    <x v="25"/>
    <x v="1"/>
    <s v="Trek Slash 8 27.5 - 2016"/>
    <x v="0"/>
  </r>
  <r>
    <n v="1140"/>
    <n v="1"/>
    <n v="39"/>
    <x v="1"/>
    <n v="1499.99"/>
    <x v="3"/>
    <x v="65"/>
    <x v="1"/>
    <s v="Trek Stache 5 - 2017"/>
    <x v="2"/>
  </r>
  <r>
    <n v="1140"/>
    <n v="2"/>
    <n v="71"/>
    <x v="1"/>
    <n v="416.99"/>
    <x v="1"/>
    <x v="42"/>
    <x v="1"/>
    <s v="Sun Bicycles Atlas X-Type - 2017"/>
    <x v="2"/>
  </r>
  <r>
    <n v="1140"/>
    <n v="3"/>
    <n v="38"/>
    <x v="1"/>
    <n v="549.99"/>
    <x v="3"/>
    <x v="9"/>
    <x v="1"/>
    <s v="Haro Flightline Two 26 Plus - 2017"/>
    <x v="2"/>
  </r>
  <r>
    <n v="1140"/>
    <n v="4"/>
    <n v="40"/>
    <x v="1"/>
    <n v="4999.99"/>
    <x v="1"/>
    <x v="41"/>
    <x v="1"/>
    <s v="Trek Fuel EX 9.8 29 - 2017"/>
    <x v="2"/>
  </r>
  <r>
    <n v="1141"/>
    <n v="1"/>
    <n v="8"/>
    <x v="0"/>
    <n v="1799.99"/>
    <x v="3"/>
    <x v="16"/>
    <x v="1"/>
    <s v="Trek Remedy 29 Carbon Frameset - 2016"/>
    <x v="0"/>
  </r>
  <r>
    <n v="1142"/>
    <n v="1"/>
    <n v="20"/>
    <x v="1"/>
    <n v="599.99"/>
    <x v="1"/>
    <x v="3"/>
    <x v="1"/>
    <s v="Electra Townie Original 7D EQ - Women's - 2016"/>
    <x v="0"/>
  </r>
  <r>
    <n v="1142"/>
    <n v="2"/>
    <n v="30"/>
    <x v="0"/>
    <n v="999.99"/>
    <x v="3"/>
    <x v="5"/>
    <x v="1"/>
    <s v="Surly Ice Cream Truck Frameset - 2017"/>
    <x v="0"/>
  </r>
  <r>
    <n v="1142"/>
    <n v="3"/>
    <n v="109"/>
    <x v="1"/>
    <n v="416.99"/>
    <x v="2"/>
    <x v="42"/>
    <x v="1"/>
    <s v="Sun Bicycles Cruz 7 - Women's - 2017"/>
    <x v="0"/>
  </r>
  <r>
    <n v="1142"/>
    <n v="4"/>
    <n v="108"/>
    <x v="1"/>
    <n v="449.99"/>
    <x v="0"/>
    <x v="37"/>
    <x v="1"/>
    <s v="Sun Bicycles Cruz 3 - Women's - 2017"/>
    <x v="0"/>
  </r>
  <r>
    <n v="1142"/>
    <n v="5"/>
    <n v="100"/>
    <x v="1"/>
    <n v="489.99"/>
    <x v="2"/>
    <x v="52"/>
    <x v="1"/>
    <s v="Electra Townie 3i EQ (20-inch) - Boys' - 2017"/>
    <x v="0"/>
  </r>
  <r>
    <n v="1143"/>
    <n v="1"/>
    <n v="99"/>
    <x v="0"/>
    <n v="299.99"/>
    <x v="0"/>
    <x v="23"/>
    <x v="1"/>
    <s v="Electra Sugar Skulls 1 (20-inch) - Girl's - 2017"/>
    <x v="0"/>
  </r>
  <r>
    <n v="1143"/>
    <n v="2"/>
    <n v="48"/>
    <x v="0"/>
    <n v="1499.99"/>
    <x v="0"/>
    <x v="77"/>
    <x v="1"/>
    <s v="Trek Emonda S 4 - 2017"/>
    <x v="0"/>
  </r>
  <r>
    <n v="1143"/>
    <n v="3"/>
    <n v="69"/>
    <x v="1"/>
    <n v="416.99"/>
    <x v="3"/>
    <x v="42"/>
    <x v="1"/>
    <s v="Sun Bicycles Cruz 7 - 2017"/>
    <x v="0"/>
  </r>
  <r>
    <n v="1144"/>
    <n v="1"/>
    <n v="88"/>
    <x v="0"/>
    <n v="189.99"/>
    <x v="1"/>
    <x v="93"/>
    <x v="1"/>
    <s v="Trek Precaliber 12 Girls - 2017"/>
    <x v="1"/>
  </r>
  <r>
    <n v="1145"/>
    <n v="1"/>
    <n v="105"/>
    <x v="1"/>
    <n v="533.99"/>
    <x v="1"/>
    <x v="85"/>
    <x v="1"/>
    <s v="Sun Bicycles Streamway 7 - 2017"/>
    <x v="1"/>
  </r>
  <r>
    <n v="1146"/>
    <n v="1"/>
    <n v="36"/>
    <x v="0"/>
    <n v="832.99"/>
    <x v="1"/>
    <x v="106"/>
    <x v="1"/>
    <s v="Surly Troll Frameset - 2017"/>
    <x v="1"/>
  </r>
  <r>
    <n v="1146"/>
    <n v="2"/>
    <n v="64"/>
    <x v="0"/>
    <n v="489.99"/>
    <x v="0"/>
    <x v="44"/>
    <x v="1"/>
    <s v="Electra Townie Original 7D - 2017"/>
    <x v="1"/>
  </r>
  <r>
    <n v="1146"/>
    <n v="3"/>
    <n v="11"/>
    <x v="0"/>
    <n v="1680.99"/>
    <x v="0"/>
    <x v="19"/>
    <x v="1"/>
    <s v="Surly Straggler 650b - 2016"/>
    <x v="1"/>
  </r>
  <r>
    <n v="1147"/>
    <n v="1"/>
    <n v="82"/>
    <x v="0"/>
    <n v="659.99"/>
    <x v="0"/>
    <x v="66"/>
    <x v="1"/>
    <s v="Electra Amsterdam Original 3i Ladies' - 2017"/>
    <x v="1"/>
  </r>
  <r>
    <n v="1147"/>
    <n v="2"/>
    <n v="39"/>
    <x v="1"/>
    <n v="1499.99"/>
    <x v="2"/>
    <x v="65"/>
    <x v="1"/>
    <s v="Trek Stache 5 - 2017"/>
    <x v="1"/>
  </r>
  <r>
    <n v="1148"/>
    <n v="1"/>
    <n v="82"/>
    <x v="0"/>
    <n v="659.99"/>
    <x v="1"/>
    <x v="66"/>
    <x v="1"/>
    <s v="Electra Amsterdam Original 3i Ladies' - 2017"/>
    <x v="1"/>
  </r>
  <r>
    <n v="1148"/>
    <n v="2"/>
    <n v="22"/>
    <x v="0"/>
    <n v="269.99"/>
    <x v="1"/>
    <x v="14"/>
    <x v="1"/>
    <s v="Electra Girl's Hawaii 1 (16-inch) - 2015/2016"/>
    <x v="1"/>
  </r>
  <r>
    <n v="1148"/>
    <n v="3"/>
    <n v="77"/>
    <x v="1"/>
    <n v="799.99"/>
    <x v="2"/>
    <x v="108"/>
    <x v="1"/>
    <s v="Electra Glam Punk 3i Ladies' - 2017"/>
    <x v="1"/>
  </r>
  <r>
    <n v="1148"/>
    <n v="4"/>
    <n v="94"/>
    <x v="1"/>
    <n v="249.99"/>
    <x v="3"/>
    <x v="53"/>
    <x v="1"/>
    <s v="Haro Shredder Pro 20 - 2017"/>
    <x v="1"/>
  </r>
  <r>
    <n v="1149"/>
    <n v="1"/>
    <n v="98"/>
    <x v="1"/>
    <n v="489.99"/>
    <x v="1"/>
    <x v="52"/>
    <x v="1"/>
    <s v="Electra Straight 8 3i (20-inch) - Boy's - 2017"/>
    <x v="1"/>
  </r>
  <r>
    <n v="1149"/>
    <n v="2"/>
    <n v="48"/>
    <x v="0"/>
    <n v="1499.99"/>
    <x v="2"/>
    <x v="77"/>
    <x v="1"/>
    <s v="Trek Emonda S 4 - 2017"/>
    <x v="1"/>
  </r>
  <r>
    <n v="1149"/>
    <n v="3"/>
    <n v="58"/>
    <x v="0"/>
    <n v="4999.99"/>
    <x v="2"/>
    <x v="76"/>
    <x v="1"/>
    <s v="Trek Madone 9.2 - 2017"/>
    <x v="1"/>
  </r>
  <r>
    <n v="1149"/>
    <n v="4"/>
    <n v="85"/>
    <x v="0"/>
    <n v="329.99"/>
    <x v="0"/>
    <x v="51"/>
    <x v="1"/>
    <s v="Haro Downtown 16 - 2017"/>
    <x v="1"/>
  </r>
  <r>
    <n v="1149"/>
    <n v="5"/>
    <n v="94"/>
    <x v="0"/>
    <n v="249.99"/>
    <x v="3"/>
    <x v="70"/>
    <x v="1"/>
    <s v="Haro Shredder Pro 20 - 2017"/>
    <x v="1"/>
  </r>
  <r>
    <n v="1150"/>
    <n v="1"/>
    <n v="29"/>
    <x v="0"/>
    <n v="999.99"/>
    <x v="2"/>
    <x v="5"/>
    <x v="1"/>
    <s v="Trek X-Caliber 8 - 2017"/>
    <x v="1"/>
  </r>
  <r>
    <n v="1150"/>
    <n v="2"/>
    <n v="91"/>
    <x v="0"/>
    <n v="349.99"/>
    <x v="2"/>
    <x v="99"/>
    <x v="1"/>
    <s v="Trek Precaliber 24 (21-Speed) - Girls - 2017"/>
    <x v="1"/>
  </r>
  <r>
    <n v="1150"/>
    <n v="3"/>
    <n v="104"/>
    <x v="1"/>
    <n v="481.99"/>
    <x v="1"/>
    <x v="80"/>
    <x v="1"/>
    <s v="Sun Bicycles Streamway - 2017"/>
    <x v="1"/>
  </r>
  <r>
    <n v="1150"/>
    <n v="4"/>
    <n v="21"/>
    <x v="1"/>
    <n v="269.99"/>
    <x v="3"/>
    <x v="17"/>
    <x v="1"/>
    <s v="Electra Cruiser 1 (24-Inch) - 2016"/>
    <x v="1"/>
  </r>
  <r>
    <n v="1151"/>
    <n v="1"/>
    <n v="30"/>
    <x v="1"/>
    <n v="999.99"/>
    <x v="2"/>
    <x v="10"/>
    <x v="1"/>
    <s v="Surly Ice Cream Truck Frameset - 2017"/>
    <x v="0"/>
  </r>
  <r>
    <n v="1152"/>
    <n v="1"/>
    <n v="58"/>
    <x v="0"/>
    <n v="4999.99"/>
    <x v="1"/>
    <x v="76"/>
    <x v="1"/>
    <s v="Trek Madone 9.2 - 2017"/>
    <x v="1"/>
  </r>
  <r>
    <n v="1152"/>
    <n v="2"/>
    <n v="91"/>
    <x v="1"/>
    <n v="349.99"/>
    <x v="0"/>
    <x v="47"/>
    <x v="1"/>
    <s v="Trek Precaliber 24 (21-Speed) - Girls - 2017"/>
    <x v="1"/>
  </r>
  <r>
    <n v="1152"/>
    <n v="3"/>
    <n v="24"/>
    <x v="0"/>
    <n v="549.99"/>
    <x v="2"/>
    <x v="31"/>
    <x v="1"/>
    <s v="Electra Townie Original 21D - 2016"/>
    <x v="1"/>
  </r>
  <r>
    <n v="1153"/>
    <n v="1"/>
    <n v="103"/>
    <x v="0"/>
    <n v="551.99"/>
    <x v="3"/>
    <x v="38"/>
    <x v="1"/>
    <s v="Sun Bicycles Streamway 3 - 2017"/>
    <x v="1"/>
  </r>
  <r>
    <n v="1153"/>
    <n v="2"/>
    <n v="6"/>
    <x v="1"/>
    <n v="469.99"/>
    <x v="2"/>
    <x v="35"/>
    <x v="1"/>
    <s v="Surly Ice Cream Truck Frameset - 2016"/>
    <x v="1"/>
  </r>
  <r>
    <n v="1154"/>
    <n v="1"/>
    <n v="17"/>
    <x v="0"/>
    <n v="429"/>
    <x v="0"/>
    <x v="7"/>
    <x v="1"/>
    <s v="Pure Cycles Vine 8-Speed - 2016"/>
    <x v="1"/>
  </r>
  <r>
    <n v="1154"/>
    <n v="2"/>
    <n v="60"/>
    <x v="0"/>
    <n v="1559.99"/>
    <x v="1"/>
    <x v="100"/>
    <x v="1"/>
    <s v="Sun Bicycles ElectroLite - 2017"/>
    <x v="1"/>
  </r>
  <r>
    <n v="1154"/>
    <n v="3"/>
    <n v="67"/>
    <x v="1"/>
    <n v="250.99"/>
    <x v="0"/>
    <x v="55"/>
    <x v="1"/>
    <s v="Sun Bicycles Revolutions 24 - Girl's - 2017"/>
    <x v="1"/>
  </r>
  <r>
    <n v="1155"/>
    <n v="1"/>
    <n v="68"/>
    <x v="1"/>
    <n v="449.99"/>
    <x v="2"/>
    <x v="37"/>
    <x v="1"/>
    <s v="Sun Bicycles Cruz 3 - 2017"/>
    <x v="1"/>
  </r>
  <r>
    <n v="1155"/>
    <n v="2"/>
    <n v="6"/>
    <x v="1"/>
    <n v="469.99"/>
    <x v="3"/>
    <x v="35"/>
    <x v="1"/>
    <s v="Surly Ice Cream Truck Frameset - 2016"/>
    <x v="1"/>
  </r>
  <r>
    <n v="1155"/>
    <n v="3"/>
    <n v="35"/>
    <x v="0"/>
    <n v="832.99"/>
    <x v="1"/>
    <x v="106"/>
    <x v="1"/>
    <s v="Sun Bicycles Spider 3i - 2017"/>
    <x v="1"/>
  </r>
  <r>
    <n v="1155"/>
    <n v="4"/>
    <n v="77"/>
    <x v="1"/>
    <n v="799.99"/>
    <x v="2"/>
    <x v="108"/>
    <x v="1"/>
    <s v="Electra Glam Punk 3i Ladies' - 2017"/>
    <x v="1"/>
  </r>
  <r>
    <n v="1156"/>
    <n v="1"/>
    <n v="111"/>
    <x v="1"/>
    <n v="470.99"/>
    <x v="2"/>
    <x v="60"/>
    <x v="1"/>
    <s v="Sun Bicycles Drifter 7 - Women's - 2017"/>
    <x v="1"/>
  </r>
  <r>
    <n v="1156"/>
    <n v="2"/>
    <n v="86"/>
    <x v="0"/>
    <n v="149.99"/>
    <x v="2"/>
    <x v="62"/>
    <x v="1"/>
    <s v="Trek Girl's Kickster - 2017"/>
    <x v="1"/>
  </r>
  <r>
    <n v="1157"/>
    <n v="1"/>
    <n v="20"/>
    <x v="0"/>
    <n v="599.99"/>
    <x v="3"/>
    <x v="0"/>
    <x v="1"/>
    <s v="Electra Townie Original 7D EQ - Women's - 2016"/>
    <x v="0"/>
  </r>
  <r>
    <n v="1157"/>
    <n v="2"/>
    <n v="31"/>
    <x v="1"/>
    <n v="1632.99"/>
    <x v="3"/>
    <x v="115"/>
    <x v="1"/>
    <s v="Surly Wednesday - 2017"/>
    <x v="0"/>
  </r>
  <r>
    <n v="1157"/>
    <n v="3"/>
    <n v="37"/>
    <x v="1"/>
    <n v="379.99"/>
    <x v="0"/>
    <x v="86"/>
    <x v="1"/>
    <s v="Haro Flightline One ST - 2017"/>
    <x v="0"/>
  </r>
  <r>
    <n v="1157"/>
    <n v="4"/>
    <n v="41"/>
    <x v="0"/>
    <n v="1469.99"/>
    <x v="1"/>
    <x v="112"/>
    <x v="1"/>
    <s v="Haro Shift R3 - 2017"/>
    <x v="0"/>
  </r>
  <r>
    <n v="1158"/>
    <n v="1"/>
    <n v="95"/>
    <x v="1"/>
    <n v="299.99"/>
    <x v="3"/>
    <x v="22"/>
    <x v="1"/>
    <s v="Electra Girl's Hawaii 1 16&quot; - 2017"/>
    <x v="0"/>
  </r>
  <r>
    <n v="1158"/>
    <n v="2"/>
    <n v="74"/>
    <x v="0"/>
    <n v="439.99"/>
    <x v="1"/>
    <x v="56"/>
    <x v="1"/>
    <s v="Electra Cruiser Lux 1 - 2017"/>
    <x v="0"/>
  </r>
  <r>
    <n v="1159"/>
    <n v="1"/>
    <n v="12"/>
    <x v="1"/>
    <n v="549.99"/>
    <x v="3"/>
    <x v="9"/>
    <x v="1"/>
    <s v="Electra Townie Original 21D - 2016"/>
    <x v="0"/>
  </r>
  <r>
    <n v="1160"/>
    <n v="1"/>
    <n v="41"/>
    <x v="0"/>
    <n v="1469.99"/>
    <x v="3"/>
    <x v="112"/>
    <x v="1"/>
    <s v="Haro Shift R3 - 2017"/>
    <x v="0"/>
  </r>
  <r>
    <n v="1160"/>
    <n v="2"/>
    <n v="9"/>
    <x v="0"/>
    <n v="2999.99"/>
    <x v="0"/>
    <x v="28"/>
    <x v="1"/>
    <s v="Trek Conduit+ - 2016"/>
    <x v="0"/>
  </r>
  <r>
    <n v="1161"/>
    <n v="1"/>
    <n v="71"/>
    <x v="1"/>
    <n v="416.99"/>
    <x v="3"/>
    <x v="42"/>
    <x v="1"/>
    <s v="Sun Bicycles Atlas X-Type - 2017"/>
    <x v="1"/>
  </r>
  <r>
    <n v="1161"/>
    <n v="2"/>
    <n v="38"/>
    <x v="0"/>
    <n v="549.99"/>
    <x v="1"/>
    <x v="31"/>
    <x v="1"/>
    <s v="Haro Flightline Two 26 Plus - 2017"/>
    <x v="1"/>
  </r>
  <r>
    <n v="1161"/>
    <n v="3"/>
    <n v="22"/>
    <x v="0"/>
    <n v="269.99"/>
    <x v="0"/>
    <x v="14"/>
    <x v="1"/>
    <s v="Electra Girl's Hawaii 1 (16-inch) - 2015/2016"/>
    <x v="1"/>
  </r>
  <r>
    <n v="1161"/>
    <n v="4"/>
    <n v="29"/>
    <x v="1"/>
    <n v="999.99"/>
    <x v="3"/>
    <x v="10"/>
    <x v="1"/>
    <s v="Trek X-Caliber 8 - 2017"/>
    <x v="1"/>
  </r>
  <r>
    <n v="1162"/>
    <n v="1"/>
    <n v="88"/>
    <x v="0"/>
    <n v="189.99"/>
    <x v="0"/>
    <x v="93"/>
    <x v="1"/>
    <s v="Trek Precaliber 12 Girls - 2017"/>
    <x v="1"/>
  </r>
  <r>
    <n v="1162"/>
    <n v="2"/>
    <n v="40"/>
    <x v="1"/>
    <n v="4999.99"/>
    <x v="0"/>
    <x v="41"/>
    <x v="1"/>
    <s v="Trek Fuel EX 9.8 29 - 2017"/>
    <x v="1"/>
  </r>
  <r>
    <n v="1162"/>
    <n v="3"/>
    <n v="86"/>
    <x v="0"/>
    <n v="149.99"/>
    <x v="3"/>
    <x v="62"/>
    <x v="1"/>
    <s v="Trek Girl's Kickster - 2017"/>
    <x v="1"/>
  </r>
  <r>
    <n v="1162"/>
    <n v="4"/>
    <n v="41"/>
    <x v="0"/>
    <n v="1469.99"/>
    <x v="2"/>
    <x v="112"/>
    <x v="1"/>
    <s v="Haro Shift R3 - 2017"/>
    <x v="1"/>
  </r>
  <r>
    <n v="1162"/>
    <n v="5"/>
    <n v="12"/>
    <x v="1"/>
    <n v="549.99"/>
    <x v="2"/>
    <x v="9"/>
    <x v="1"/>
    <s v="Electra Townie Original 21D - 2016"/>
    <x v="1"/>
  </r>
  <r>
    <n v="1163"/>
    <n v="1"/>
    <n v="63"/>
    <x v="1"/>
    <n v="3499.99"/>
    <x v="2"/>
    <x v="54"/>
    <x v="1"/>
    <s v="Trek Boone Race Shop Limited - 2017"/>
    <x v="1"/>
  </r>
  <r>
    <n v="1163"/>
    <n v="2"/>
    <n v="53"/>
    <x v="1"/>
    <n v="749.99"/>
    <x v="3"/>
    <x v="6"/>
    <x v="1"/>
    <s v="Surly Ogre Frameset - 2017"/>
    <x v="1"/>
  </r>
  <r>
    <n v="1164"/>
    <n v="1"/>
    <n v="8"/>
    <x v="0"/>
    <n v="1799.99"/>
    <x v="0"/>
    <x v="16"/>
    <x v="1"/>
    <s v="Trek Remedy 29 Carbon Frameset - 2016"/>
    <x v="1"/>
  </r>
  <r>
    <n v="1164"/>
    <n v="2"/>
    <n v="78"/>
    <x v="0"/>
    <n v="647.99"/>
    <x v="2"/>
    <x v="49"/>
    <x v="1"/>
    <s v="Sun Bicycles Biscayne Tandem CB - 2017"/>
    <x v="1"/>
  </r>
  <r>
    <n v="1164"/>
    <n v="3"/>
    <n v="103"/>
    <x v="1"/>
    <n v="551.99"/>
    <x v="2"/>
    <x v="95"/>
    <x v="1"/>
    <s v="Sun Bicycles Streamway 3 - 2017"/>
    <x v="1"/>
  </r>
  <r>
    <n v="1164"/>
    <n v="4"/>
    <n v="44"/>
    <x v="1"/>
    <n v="539.99"/>
    <x v="2"/>
    <x v="104"/>
    <x v="1"/>
    <s v="Haro SR 1.1 - 2017"/>
    <x v="1"/>
  </r>
  <r>
    <n v="1165"/>
    <n v="1"/>
    <n v="65"/>
    <x v="1"/>
    <n v="346.99"/>
    <x v="1"/>
    <x v="110"/>
    <x v="1"/>
    <s v="Sun Bicycles Lil Bolt Type-R - 2017"/>
    <x v="1"/>
  </r>
  <r>
    <n v="1165"/>
    <n v="2"/>
    <n v="68"/>
    <x v="0"/>
    <n v="449.99"/>
    <x v="1"/>
    <x v="72"/>
    <x v="1"/>
    <s v="Sun Bicycles Cruz 3 - 2017"/>
    <x v="1"/>
  </r>
  <r>
    <n v="1166"/>
    <n v="1"/>
    <n v="103"/>
    <x v="1"/>
    <n v="551.99"/>
    <x v="1"/>
    <x v="95"/>
    <x v="1"/>
    <s v="Sun Bicycles Streamway 3 - 2017"/>
    <x v="1"/>
  </r>
  <r>
    <n v="1167"/>
    <n v="1"/>
    <n v="29"/>
    <x v="1"/>
    <n v="999.99"/>
    <x v="2"/>
    <x v="10"/>
    <x v="1"/>
    <s v="Trek X-Caliber 8 - 2017"/>
    <x v="0"/>
  </r>
  <r>
    <n v="1167"/>
    <n v="2"/>
    <n v="81"/>
    <x v="1"/>
    <n v="1099.99"/>
    <x v="3"/>
    <x v="88"/>
    <x v="1"/>
    <s v="Electra Amsterdam Fashion 7i Ladies' - 2017"/>
    <x v="0"/>
  </r>
  <r>
    <n v="1167"/>
    <n v="3"/>
    <n v="68"/>
    <x v="0"/>
    <n v="449.99"/>
    <x v="1"/>
    <x v="72"/>
    <x v="1"/>
    <s v="Sun Bicycles Cruz 3 - 2017"/>
    <x v="0"/>
  </r>
  <r>
    <n v="1168"/>
    <n v="1"/>
    <n v="23"/>
    <x v="1"/>
    <n v="299.99"/>
    <x v="3"/>
    <x v="22"/>
    <x v="1"/>
    <s v="Electra Girl's Hawaii 1 (20-inch) - 2015/2016"/>
    <x v="1"/>
  </r>
  <r>
    <n v="1168"/>
    <n v="2"/>
    <n v="82"/>
    <x v="0"/>
    <n v="659.99"/>
    <x v="0"/>
    <x v="66"/>
    <x v="1"/>
    <s v="Electra Amsterdam Original 3i Ladies' - 2017"/>
    <x v="1"/>
  </r>
  <r>
    <n v="1168"/>
    <n v="3"/>
    <n v="51"/>
    <x v="0"/>
    <n v="6499.99"/>
    <x v="1"/>
    <x v="122"/>
    <x v="1"/>
    <s v="Trek Silque SLR 8 Women's - 2017"/>
    <x v="1"/>
  </r>
  <r>
    <n v="1168"/>
    <n v="4"/>
    <n v="107"/>
    <x v="1"/>
    <n v="416.99"/>
    <x v="0"/>
    <x v="42"/>
    <x v="1"/>
    <s v="Sun Bicycles Cruz 7 - 2017"/>
    <x v="1"/>
  </r>
  <r>
    <n v="1168"/>
    <n v="5"/>
    <n v="15"/>
    <x v="1"/>
    <n v="529.99"/>
    <x v="2"/>
    <x v="29"/>
    <x v="1"/>
    <s v="Electra Moto 1 - 2016"/>
    <x v="1"/>
  </r>
  <r>
    <n v="1169"/>
    <n v="1"/>
    <n v="91"/>
    <x v="1"/>
    <n v="349.99"/>
    <x v="0"/>
    <x v="47"/>
    <x v="1"/>
    <s v="Trek Precaliber 24 (21-Speed) - Girls - 2017"/>
    <x v="1"/>
  </r>
  <r>
    <n v="1169"/>
    <n v="2"/>
    <n v="51"/>
    <x v="0"/>
    <n v="6499.99"/>
    <x v="2"/>
    <x v="122"/>
    <x v="1"/>
    <s v="Trek Silque SLR 8 Women's - 2017"/>
    <x v="1"/>
  </r>
  <r>
    <n v="1169"/>
    <n v="3"/>
    <n v="58"/>
    <x v="1"/>
    <n v="4999.99"/>
    <x v="3"/>
    <x v="41"/>
    <x v="1"/>
    <s v="Trek Madone 9.2 - 2017"/>
    <x v="1"/>
  </r>
  <r>
    <n v="1169"/>
    <n v="4"/>
    <n v="81"/>
    <x v="1"/>
    <n v="1099.99"/>
    <x v="0"/>
    <x v="88"/>
    <x v="1"/>
    <s v="Electra Amsterdam Fashion 7i Ladies' - 2017"/>
    <x v="1"/>
  </r>
  <r>
    <n v="1170"/>
    <n v="1"/>
    <n v="15"/>
    <x v="0"/>
    <n v="529.99"/>
    <x v="3"/>
    <x v="12"/>
    <x v="1"/>
    <s v="Electra Moto 1 - 2016"/>
    <x v="1"/>
  </r>
  <r>
    <n v="1170"/>
    <n v="2"/>
    <n v="47"/>
    <x v="1"/>
    <n v="5299.99"/>
    <x v="2"/>
    <x v="46"/>
    <x v="1"/>
    <s v="Trek Remedy 9.8 - 2017"/>
    <x v="1"/>
  </r>
  <r>
    <n v="1170"/>
    <n v="3"/>
    <n v="62"/>
    <x v="1"/>
    <n v="3499.99"/>
    <x v="3"/>
    <x v="54"/>
    <x v="1"/>
    <s v="Trek Boone 7 - 2017"/>
    <x v="1"/>
  </r>
  <r>
    <n v="1171"/>
    <n v="1"/>
    <n v="94"/>
    <x v="1"/>
    <n v="249.99"/>
    <x v="0"/>
    <x v="53"/>
    <x v="1"/>
    <s v="Haro Shredder Pro 20 - 2017"/>
    <x v="1"/>
  </r>
  <r>
    <n v="1171"/>
    <n v="2"/>
    <n v="92"/>
    <x v="1"/>
    <n v="209.99"/>
    <x v="1"/>
    <x v="84"/>
    <x v="1"/>
    <s v="Haro Shredder 20 - 2017"/>
    <x v="1"/>
  </r>
  <r>
    <n v="1171"/>
    <n v="3"/>
    <n v="10"/>
    <x v="1"/>
    <n v="1549"/>
    <x v="1"/>
    <x v="2"/>
    <x v="1"/>
    <s v="Surly Straggler - 2016"/>
    <x v="1"/>
  </r>
  <r>
    <n v="1172"/>
    <n v="1"/>
    <n v="78"/>
    <x v="1"/>
    <n v="647.99"/>
    <x v="1"/>
    <x v="114"/>
    <x v="1"/>
    <s v="Sun Bicycles Biscayne Tandem CB - 2017"/>
    <x v="1"/>
  </r>
  <r>
    <n v="1172"/>
    <n v="2"/>
    <n v="104"/>
    <x v="0"/>
    <n v="481.99"/>
    <x v="0"/>
    <x v="92"/>
    <x v="1"/>
    <s v="Sun Bicycles Streamway - 2017"/>
    <x v="1"/>
  </r>
  <r>
    <n v="1173"/>
    <n v="1"/>
    <n v="95"/>
    <x v="0"/>
    <n v="299.99"/>
    <x v="0"/>
    <x v="23"/>
    <x v="1"/>
    <s v="Electra Girl's Hawaii 1 16&quot; - 2017"/>
    <x v="1"/>
  </r>
  <r>
    <n v="1173"/>
    <n v="2"/>
    <n v="17"/>
    <x v="0"/>
    <n v="429"/>
    <x v="1"/>
    <x v="7"/>
    <x v="1"/>
    <s v="Pure Cycles Vine 8-Speed - 2016"/>
    <x v="1"/>
  </r>
  <r>
    <n v="1173"/>
    <n v="3"/>
    <n v="68"/>
    <x v="0"/>
    <n v="449.99"/>
    <x v="2"/>
    <x v="72"/>
    <x v="1"/>
    <s v="Sun Bicycles Cruz 3 - 2017"/>
    <x v="1"/>
  </r>
  <r>
    <n v="1173"/>
    <n v="4"/>
    <n v="103"/>
    <x v="1"/>
    <n v="551.99"/>
    <x v="0"/>
    <x v="95"/>
    <x v="1"/>
    <s v="Sun Bicycles Streamway 3 - 2017"/>
    <x v="1"/>
  </r>
  <r>
    <n v="1174"/>
    <n v="1"/>
    <n v="110"/>
    <x v="1"/>
    <n v="470.99"/>
    <x v="0"/>
    <x v="60"/>
    <x v="1"/>
    <s v="Sun Bicycles Drifter 7 - 2017"/>
    <x v="1"/>
  </r>
  <r>
    <n v="1174"/>
    <n v="2"/>
    <n v="6"/>
    <x v="0"/>
    <n v="469.99"/>
    <x v="1"/>
    <x v="20"/>
    <x v="1"/>
    <s v="Surly Ice Cream Truck Frameset - 2016"/>
    <x v="1"/>
  </r>
  <r>
    <n v="1174"/>
    <n v="3"/>
    <n v="106"/>
    <x v="0"/>
    <n v="449.99"/>
    <x v="3"/>
    <x v="72"/>
    <x v="1"/>
    <s v="Sun Bicycles Cruz 3 - 2017"/>
    <x v="1"/>
  </r>
  <r>
    <n v="1175"/>
    <n v="1"/>
    <n v="58"/>
    <x v="1"/>
    <n v="4999.99"/>
    <x v="1"/>
    <x v="41"/>
    <x v="1"/>
    <s v="Trek Madone 9.2 - 2017"/>
    <x v="1"/>
  </r>
  <r>
    <n v="1175"/>
    <n v="2"/>
    <n v="65"/>
    <x v="0"/>
    <n v="346.99"/>
    <x v="0"/>
    <x v="118"/>
    <x v="1"/>
    <s v="Sun Bicycles Lil Bolt Type-R - 2017"/>
    <x v="1"/>
  </r>
  <r>
    <n v="1175"/>
    <n v="3"/>
    <n v="20"/>
    <x v="0"/>
    <n v="599.99"/>
    <x v="2"/>
    <x v="0"/>
    <x v="1"/>
    <s v="Electra Townie Original 7D EQ - Women's - 2016"/>
    <x v="1"/>
  </r>
  <r>
    <n v="1175"/>
    <n v="4"/>
    <n v="3"/>
    <x v="0"/>
    <n v="999.99"/>
    <x v="2"/>
    <x v="5"/>
    <x v="1"/>
    <s v="Surly Wednesday Frameset - 2016"/>
    <x v="1"/>
  </r>
  <r>
    <n v="1175"/>
    <n v="5"/>
    <n v="9"/>
    <x v="0"/>
    <n v="2999.99"/>
    <x v="2"/>
    <x v="28"/>
    <x v="1"/>
    <s v="Trek Conduit+ - 2016"/>
    <x v="1"/>
  </r>
  <r>
    <n v="1176"/>
    <n v="1"/>
    <n v="87"/>
    <x v="0"/>
    <n v="189.99"/>
    <x v="3"/>
    <x v="93"/>
    <x v="1"/>
    <s v="Trek Precaliber 12 Boys - 2017"/>
    <x v="2"/>
  </r>
  <r>
    <n v="1177"/>
    <n v="1"/>
    <n v="62"/>
    <x v="1"/>
    <n v="3499.99"/>
    <x v="1"/>
    <x v="54"/>
    <x v="1"/>
    <s v="Trek Boone 7 - 2017"/>
    <x v="2"/>
  </r>
  <r>
    <n v="1177"/>
    <n v="2"/>
    <n v="74"/>
    <x v="0"/>
    <n v="439.99"/>
    <x v="3"/>
    <x v="56"/>
    <x v="1"/>
    <s v="Electra Cruiser Lux 1 - 2017"/>
    <x v="2"/>
  </r>
  <r>
    <n v="1178"/>
    <n v="1"/>
    <n v="46"/>
    <x v="0"/>
    <n v="1409.99"/>
    <x v="1"/>
    <x v="126"/>
    <x v="1"/>
    <s v="Haro SR 1.3 - 2017"/>
    <x v="1"/>
  </r>
  <r>
    <n v="1178"/>
    <n v="2"/>
    <n v="77"/>
    <x v="0"/>
    <n v="799.99"/>
    <x v="0"/>
    <x v="129"/>
    <x v="1"/>
    <s v="Electra Glam Punk 3i Ladies' - 2017"/>
    <x v="1"/>
  </r>
  <r>
    <n v="1178"/>
    <n v="3"/>
    <n v="108"/>
    <x v="0"/>
    <n v="449.99"/>
    <x v="2"/>
    <x v="72"/>
    <x v="1"/>
    <s v="Sun Bicycles Cruz 3 - Women's - 2017"/>
    <x v="1"/>
  </r>
  <r>
    <n v="1178"/>
    <n v="4"/>
    <n v="13"/>
    <x v="1"/>
    <n v="269.99"/>
    <x v="2"/>
    <x v="17"/>
    <x v="1"/>
    <s v="Electra Cruiser 1 (24-Inch) - 2016"/>
    <x v="1"/>
  </r>
  <r>
    <n v="1179"/>
    <n v="1"/>
    <n v="93"/>
    <x v="1"/>
    <n v="209.99"/>
    <x v="2"/>
    <x v="84"/>
    <x v="1"/>
    <s v="Haro Shredder 20 Girls - 2017"/>
    <x v="2"/>
  </r>
  <r>
    <n v="1179"/>
    <n v="2"/>
    <n v="88"/>
    <x v="1"/>
    <n v="189.99"/>
    <x v="2"/>
    <x v="59"/>
    <x v="1"/>
    <s v="Trek Precaliber 12 Girls - 2017"/>
    <x v="2"/>
  </r>
  <r>
    <n v="1179"/>
    <n v="3"/>
    <n v="33"/>
    <x v="1"/>
    <n v="469.99"/>
    <x v="0"/>
    <x v="35"/>
    <x v="1"/>
    <s v="Surly Wednesday Frameset - 2017"/>
    <x v="2"/>
  </r>
  <r>
    <n v="1179"/>
    <n v="4"/>
    <n v="50"/>
    <x v="0"/>
    <n v="5999.99"/>
    <x v="1"/>
    <x v="74"/>
    <x v="1"/>
    <s v="Trek Silque SLR 7 Women's - 2017"/>
    <x v="2"/>
  </r>
  <r>
    <n v="1180"/>
    <n v="1"/>
    <n v="66"/>
    <x v="1"/>
    <n v="250.99"/>
    <x v="1"/>
    <x v="55"/>
    <x v="1"/>
    <s v="Sun Bicycles Revolutions 24 - 2017"/>
    <x v="0"/>
  </r>
  <r>
    <n v="1181"/>
    <n v="1"/>
    <n v="98"/>
    <x v="0"/>
    <n v="489.99"/>
    <x v="3"/>
    <x v="44"/>
    <x v="1"/>
    <s v="Electra Straight 8 3i (20-inch) - Boy's - 2017"/>
    <x v="1"/>
  </r>
  <r>
    <n v="1182"/>
    <n v="1"/>
    <n v="35"/>
    <x v="0"/>
    <n v="832.99"/>
    <x v="3"/>
    <x v="106"/>
    <x v="1"/>
    <s v="Sun Bicycles Spider 3i - 2017"/>
    <x v="1"/>
  </r>
  <r>
    <n v="1182"/>
    <n v="2"/>
    <n v="49"/>
    <x v="1"/>
    <n v="3499.99"/>
    <x v="3"/>
    <x v="54"/>
    <x v="1"/>
    <s v="Trek Domane SL 6 - 2017"/>
    <x v="1"/>
  </r>
  <r>
    <n v="1183"/>
    <n v="1"/>
    <n v="63"/>
    <x v="0"/>
    <n v="3499.99"/>
    <x v="0"/>
    <x v="43"/>
    <x v="1"/>
    <s v="Trek Boone Race Shop Limited - 2017"/>
    <x v="1"/>
  </r>
  <r>
    <n v="1183"/>
    <n v="2"/>
    <n v="80"/>
    <x v="1"/>
    <n v="761.99"/>
    <x v="0"/>
    <x v="116"/>
    <x v="1"/>
    <s v="Sun Bicycles Brickell Tandem CB - 2017"/>
    <x v="1"/>
  </r>
  <r>
    <n v="1183"/>
    <n v="3"/>
    <n v="6"/>
    <x v="1"/>
    <n v="469.99"/>
    <x v="2"/>
    <x v="35"/>
    <x v="1"/>
    <s v="Surly Ice Cream Truck Frameset - 2016"/>
    <x v="1"/>
  </r>
  <r>
    <n v="1184"/>
    <n v="1"/>
    <n v="16"/>
    <x v="1"/>
    <n v="599.99"/>
    <x v="2"/>
    <x v="3"/>
    <x v="1"/>
    <s v="Electra Townie Original 7D EQ - 2016"/>
    <x v="1"/>
  </r>
  <r>
    <n v="1184"/>
    <n v="2"/>
    <n v="71"/>
    <x v="0"/>
    <n v="416.99"/>
    <x v="2"/>
    <x v="71"/>
    <x v="1"/>
    <s v="Sun Bicycles Atlas X-Type - 2017"/>
    <x v="1"/>
  </r>
  <r>
    <n v="1185"/>
    <n v="1"/>
    <n v="19"/>
    <x v="1"/>
    <n v="449"/>
    <x v="1"/>
    <x v="21"/>
    <x v="1"/>
    <s v="Pure Cycles William 3-Speed - 2016"/>
    <x v="1"/>
  </r>
  <r>
    <n v="1185"/>
    <n v="2"/>
    <n v="21"/>
    <x v="0"/>
    <n v="269.99"/>
    <x v="1"/>
    <x v="14"/>
    <x v="1"/>
    <s v="Electra Cruiser 1 (24-Inch) - 2016"/>
    <x v="1"/>
  </r>
  <r>
    <n v="1185"/>
    <n v="3"/>
    <n v="63"/>
    <x v="1"/>
    <n v="3499.99"/>
    <x v="3"/>
    <x v="54"/>
    <x v="1"/>
    <s v="Trek Boone Race Shop Limited - 2017"/>
    <x v="1"/>
  </r>
  <r>
    <n v="1185"/>
    <n v="4"/>
    <n v="80"/>
    <x v="0"/>
    <n v="761.99"/>
    <x v="0"/>
    <x v="58"/>
    <x v="1"/>
    <s v="Sun Bicycles Brickell Tandem CB - 2017"/>
    <x v="1"/>
  </r>
  <r>
    <n v="1186"/>
    <n v="1"/>
    <n v="48"/>
    <x v="1"/>
    <n v="1499.99"/>
    <x v="3"/>
    <x v="65"/>
    <x v="1"/>
    <s v="Trek Emonda S 4 - 2017"/>
    <x v="1"/>
  </r>
  <r>
    <n v="1186"/>
    <n v="2"/>
    <n v="49"/>
    <x v="0"/>
    <n v="3499.99"/>
    <x v="1"/>
    <x v="43"/>
    <x v="1"/>
    <s v="Trek Domane SL 6 - 2017"/>
    <x v="1"/>
  </r>
  <r>
    <n v="1186"/>
    <n v="3"/>
    <n v="106"/>
    <x v="0"/>
    <n v="449.99"/>
    <x v="3"/>
    <x v="72"/>
    <x v="1"/>
    <s v="Sun Bicycles Cruz 3 - 2017"/>
    <x v="1"/>
  </r>
  <r>
    <n v="1186"/>
    <n v="4"/>
    <n v="27"/>
    <x v="0"/>
    <n v="999.99"/>
    <x v="0"/>
    <x v="5"/>
    <x v="1"/>
    <s v="Surly Big Dummy Frameset - 2017"/>
    <x v="1"/>
  </r>
  <r>
    <n v="1187"/>
    <n v="1"/>
    <n v="36"/>
    <x v="1"/>
    <n v="832.99"/>
    <x v="3"/>
    <x v="113"/>
    <x v="1"/>
    <s v="Surly Troll Frameset - 2017"/>
    <x v="1"/>
  </r>
  <r>
    <n v="1187"/>
    <n v="2"/>
    <n v="79"/>
    <x v="0"/>
    <n v="402.99"/>
    <x v="1"/>
    <x v="50"/>
    <x v="1"/>
    <s v="Sun Bicycles Boardwalk (24-inch Wheels) - 2017"/>
    <x v="1"/>
  </r>
  <r>
    <n v="1187"/>
    <n v="3"/>
    <n v="4"/>
    <x v="0"/>
    <n v="2899.99"/>
    <x v="3"/>
    <x v="4"/>
    <x v="1"/>
    <s v="Trek Fuel EX 8 29 - 2016"/>
    <x v="1"/>
  </r>
  <r>
    <n v="1187"/>
    <n v="4"/>
    <n v="53"/>
    <x v="1"/>
    <n v="749.99"/>
    <x v="3"/>
    <x v="6"/>
    <x v="1"/>
    <s v="Surly Ogre Frameset - 2017"/>
    <x v="1"/>
  </r>
  <r>
    <n v="1188"/>
    <n v="1"/>
    <n v="66"/>
    <x v="1"/>
    <n v="250.99"/>
    <x v="3"/>
    <x v="55"/>
    <x v="1"/>
    <s v="Sun Bicycles Revolutions 24 - 2017"/>
    <x v="1"/>
  </r>
  <r>
    <n v="1188"/>
    <n v="2"/>
    <n v="91"/>
    <x v="1"/>
    <n v="349.99"/>
    <x v="0"/>
    <x v="47"/>
    <x v="1"/>
    <s v="Trek Precaliber 24 (21-Speed) - Girls - 2017"/>
    <x v="1"/>
  </r>
  <r>
    <n v="1188"/>
    <n v="3"/>
    <n v="87"/>
    <x v="1"/>
    <n v="189.99"/>
    <x v="3"/>
    <x v="59"/>
    <x v="1"/>
    <s v="Trek Precaliber 12 Boys - 2017"/>
    <x v="1"/>
  </r>
  <r>
    <n v="1189"/>
    <n v="1"/>
    <n v="55"/>
    <x v="0"/>
    <n v="2699.99"/>
    <x v="1"/>
    <x v="82"/>
    <x v="1"/>
    <s v="Trek Domane S 6 - 2017"/>
    <x v="1"/>
  </r>
  <r>
    <n v="1189"/>
    <n v="2"/>
    <n v="102"/>
    <x v="1"/>
    <n v="489.99"/>
    <x v="3"/>
    <x v="52"/>
    <x v="1"/>
    <s v="Electra Townie Original 7D - 2017"/>
    <x v="1"/>
  </r>
  <r>
    <n v="1189"/>
    <n v="3"/>
    <n v="40"/>
    <x v="1"/>
    <n v="4999.99"/>
    <x v="3"/>
    <x v="41"/>
    <x v="1"/>
    <s v="Trek Fuel EX 9.8 29 - 2017"/>
    <x v="1"/>
  </r>
  <r>
    <n v="1190"/>
    <n v="1"/>
    <n v="71"/>
    <x v="0"/>
    <n v="416.99"/>
    <x v="1"/>
    <x v="71"/>
    <x v="1"/>
    <s v="Sun Bicycles Atlas X-Type - 2017"/>
    <x v="1"/>
  </r>
  <r>
    <n v="1191"/>
    <n v="1"/>
    <n v="40"/>
    <x v="1"/>
    <n v="4999.99"/>
    <x v="3"/>
    <x v="41"/>
    <x v="1"/>
    <s v="Trek Fuel EX 9.8 29 - 2017"/>
    <x v="1"/>
  </r>
  <r>
    <n v="1191"/>
    <n v="2"/>
    <n v="89"/>
    <x v="1"/>
    <n v="209.99"/>
    <x v="3"/>
    <x v="84"/>
    <x v="1"/>
    <s v="Trek Precaliber 16 Boys - 2017"/>
    <x v="1"/>
  </r>
  <r>
    <n v="1191"/>
    <n v="3"/>
    <n v="100"/>
    <x v="0"/>
    <n v="489.99"/>
    <x v="1"/>
    <x v="44"/>
    <x v="1"/>
    <s v="Electra Townie 3i EQ (20-inch) - Boys' - 2017"/>
    <x v="1"/>
  </r>
  <r>
    <n v="1192"/>
    <n v="1"/>
    <n v="24"/>
    <x v="1"/>
    <n v="549.99"/>
    <x v="3"/>
    <x v="9"/>
    <x v="1"/>
    <s v="Electra Townie Original 21D - 2016"/>
    <x v="1"/>
  </r>
  <r>
    <n v="1192"/>
    <n v="2"/>
    <n v="88"/>
    <x v="1"/>
    <n v="189.99"/>
    <x v="1"/>
    <x v="59"/>
    <x v="1"/>
    <s v="Trek Precaliber 12 Girls - 2017"/>
    <x v="1"/>
  </r>
  <r>
    <n v="1192"/>
    <n v="3"/>
    <n v="37"/>
    <x v="1"/>
    <n v="379.99"/>
    <x v="0"/>
    <x v="86"/>
    <x v="1"/>
    <s v="Haro Flightline One ST - 2017"/>
    <x v="1"/>
  </r>
  <r>
    <n v="1193"/>
    <n v="1"/>
    <n v="83"/>
    <x v="1"/>
    <n v="149.99"/>
    <x v="2"/>
    <x v="87"/>
    <x v="1"/>
    <s v="Trek Boy's Kickster - 2015/2017"/>
    <x v="1"/>
  </r>
  <r>
    <n v="1193"/>
    <n v="2"/>
    <n v="27"/>
    <x v="0"/>
    <n v="999.99"/>
    <x v="2"/>
    <x v="5"/>
    <x v="1"/>
    <s v="Surly Big Dummy Frameset - 2017"/>
    <x v="1"/>
  </r>
  <r>
    <n v="1194"/>
    <n v="1"/>
    <n v="71"/>
    <x v="0"/>
    <n v="416.99"/>
    <x v="2"/>
    <x v="71"/>
    <x v="1"/>
    <s v="Sun Bicycles Atlas X-Type - 2017"/>
    <x v="0"/>
  </r>
  <r>
    <n v="1194"/>
    <n v="2"/>
    <n v="7"/>
    <x v="1"/>
    <n v="3999.99"/>
    <x v="1"/>
    <x v="15"/>
    <x v="1"/>
    <s v="Trek Slash 8 27.5 - 2016"/>
    <x v="0"/>
  </r>
  <r>
    <n v="1194"/>
    <n v="3"/>
    <n v="105"/>
    <x v="1"/>
    <n v="533.99"/>
    <x v="3"/>
    <x v="85"/>
    <x v="1"/>
    <s v="Sun Bicycles Streamway 7 - 2017"/>
    <x v="0"/>
  </r>
  <r>
    <n v="1194"/>
    <n v="4"/>
    <n v="84"/>
    <x v="0"/>
    <n v="109.99"/>
    <x v="2"/>
    <x v="78"/>
    <x v="1"/>
    <s v="Sun Bicycles Lil Kitt'n - 2017"/>
    <x v="0"/>
  </r>
  <r>
    <n v="1195"/>
    <n v="1"/>
    <n v="52"/>
    <x v="0"/>
    <n v="875.99"/>
    <x v="1"/>
    <x v="63"/>
    <x v="1"/>
    <s v="Surly Steamroller - 2017"/>
    <x v="1"/>
  </r>
  <r>
    <n v="1196"/>
    <n v="1"/>
    <n v="53"/>
    <x v="0"/>
    <n v="749.99"/>
    <x v="1"/>
    <x v="30"/>
    <x v="1"/>
    <s v="Surly Ogre Frameset - 2017"/>
    <x v="1"/>
  </r>
  <r>
    <n v="1197"/>
    <n v="1"/>
    <n v="13"/>
    <x v="0"/>
    <n v="269.99"/>
    <x v="1"/>
    <x v="14"/>
    <x v="1"/>
    <s v="Electra Cruiser 1 (24-Inch) - 2016"/>
    <x v="1"/>
  </r>
  <r>
    <n v="1197"/>
    <n v="2"/>
    <n v="108"/>
    <x v="1"/>
    <n v="449.99"/>
    <x v="2"/>
    <x v="37"/>
    <x v="1"/>
    <s v="Sun Bicycles Cruz 3 - Women's - 2017"/>
    <x v="1"/>
  </r>
  <r>
    <n v="1197"/>
    <n v="3"/>
    <n v="9"/>
    <x v="1"/>
    <n v="2999.99"/>
    <x v="2"/>
    <x v="11"/>
    <x v="1"/>
    <s v="Trek Conduit+ - 2016"/>
    <x v="1"/>
  </r>
  <r>
    <n v="1197"/>
    <n v="4"/>
    <n v="106"/>
    <x v="1"/>
    <n v="449.99"/>
    <x v="0"/>
    <x v="37"/>
    <x v="1"/>
    <s v="Sun Bicycles Cruz 3 - 2017"/>
    <x v="1"/>
  </r>
  <r>
    <n v="1198"/>
    <n v="1"/>
    <n v="105"/>
    <x v="0"/>
    <n v="533.99"/>
    <x v="2"/>
    <x v="128"/>
    <x v="1"/>
    <s v="Sun Bicycles Streamway 7 - 2017"/>
    <x v="1"/>
  </r>
  <r>
    <n v="1199"/>
    <n v="1"/>
    <n v="32"/>
    <x v="0"/>
    <n v="469.99"/>
    <x v="2"/>
    <x v="20"/>
    <x v="1"/>
    <s v="Trek Farley Alloy Frameset - 2017"/>
    <x v="0"/>
  </r>
  <r>
    <n v="1199"/>
    <n v="2"/>
    <n v="94"/>
    <x v="1"/>
    <n v="249.99"/>
    <x v="1"/>
    <x v="53"/>
    <x v="1"/>
    <s v="Haro Shredder Pro 20 - 2017"/>
    <x v="0"/>
  </r>
  <r>
    <n v="1199"/>
    <n v="3"/>
    <n v="109"/>
    <x v="1"/>
    <n v="416.99"/>
    <x v="3"/>
    <x v="42"/>
    <x v="1"/>
    <s v="Sun Bicycles Cruz 7 - Women's - 2017"/>
    <x v="0"/>
  </r>
  <r>
    <n v="1200"/>
    <n v="1"/>
    <n v="42"/>
    <x v="1"/>
    <n v="2299.9899999999998"/>
    <x v="0"/>
    <x v="45"/>
    <x v="1"/>
    <s v="Trek Fuel EX 5 27.5 Plus - 2017"/>
    <x v="1"/>
  </r>
  <r>
    <n v="1201"/>
    <n v="1"/>
    <n v="95"/>
    <x v="0"/>
    <n v="299.99"/>
    <x v="1"/>
    <x v="23"/>
    <x v="1"/>
    <s v="Electra Girl's Hawaii 1 16&quot; - 2017"/>
    <x v="1"/>
  </r>
  <r>
    <n v="1201"/>
    <n v="2"/>
    <n v="13"/>
    <x v="0"/>
    <n v="269.99"/>
    <x v="2"/>
    <x v="14"/>
    <x v="1"/>
    <s v="Electra Cruiser 1 (24-Inch) - 2016"/>
    <x v="1"/>
  </r>
  <r>
    <n v="1201"/>
    <n v="3"/>
    <n v="26"/>
    <x v="0"/>
    <n v="599.99"/>
    <x v="0"/>
    <x v="0"/>
    <x v="1"/>
    <s v="Electra Townie Original 7D EQ - 2016"/>
    <x v="1"/>
  </r>
  <r>
    <n v="1201"/>
    <n v="4"/>
    <n v="17"/>
    <x v="1"/>
    <n v="429"/>
    <x v="2"/>
    <x v="13"/>
    <x v="1"/>
    <s v="Pure Cycles Vine 8-Speed - 2016"/>
    <x v="1"/>
  </r>
  <r>
    <n v="1201"/>
    <n v="5"/>
    <n v="19"/>
    <x v="1"/>
    <n v="449"/>
    <x v="0"/>
    <x v="21"/>
    <x v="1"/>
    <s v="Pure Cycles William 3-Speed - 2016"/>
    <x v="1"/>
  </r>
  <r>
    <n v="1202"/>
    <n v="1"/>
    <n v="84"/>
    <x v="1"/>
    <n v="109.99"/>
    <x v="2"/>
    <x v="109"/>
    <x v="1"/>
    <s v="Sun Bicycles Lil Kitt'n - 2017"/>
    <x v="1"/>
  </r>
  <r>
    <n v="1203"/>
    <n v="1"/>
    <n v="6"/>
    <x v="1"/>
    <n v="469.99"/>
    <x v="1"/>
    <x v="35"/>
    <x v="1"/>
    <s v="Surly Ice Cream Truck Frameset - 2016"/>
    <x v="1"/>
  </r>
  <r>
    <n v="1203"/>
    <n v="2"/>
    <n v="55"/>
    <x v="0"/>
    <n v="2699.99"/>
    <x v="2"/>
    <x v="82"/>
    <x v="1"/>
    <s v="Trek Domane S 6 - 2017"/>
    <x v="1"/>
  </r>
  <r>
    <n v="1204"/>
    <n v="1"/>
    <n v="37"/>
    <x v="1"/>
    <n v="379.99"/>
    <x v="1"/>
    <x v="86"/>
    <x v="1"/>
    <s v="Haro Flightline One ST - 2017"/>
    <x v="1"/>
  </r>
  <r>
    <n v="1205"/>
    <n v="1"/>
    <n v="105"/>
    <x v="1"/>
    <n v="533.99"/>
    <x v="0"/>
    <x v="85"/>
    <x v="1"/>
    <s v="Sun Bicycles Streamway 7 - 2017"/>
    <x v="0"/>
  </r>
  <r>
    <n v="1205"/>
    <n v="2"/>
    <n v="46"/>
    <x v="1"/>
    <n v="1409.99"/>
    <x v="0"/>
    <x v="124"/>
    <x v="1"/>
    <s v="Haro SR 1.3 - 2017"/>
    <x v="0"/>
  </r>
  <r>
    <n v="1205"/>
    <n v="3"/>
    <n v="71"/>
    <x v="0"/>
    <n v="416.99"/>
    <x v="2"/>
    <x v="71"/>
    <x v="1"/>
    <s v="Sun Bicycles Atlas X-Type - 2017"/>
    <x v="0"/>
  </r>
  <r>
    <n v="1205"/>
    <n v="4"/>
    <n v="79"/>
    <x v="1"/>
    <n v="402.99"/>
    <x v="1"/>
    <x v="123"/>
    <x v="1"/>
    <s v="Sun Bicycles Boardwalk (24-inch Wheels) - 2017"/>
    <x v="0"/>
  </r>
  <r>
    <n v="1205"/>
    <n v="5"/>
    <n v="92"/>
    <x v="0"/>
    <n v="209.99"/>
    <x v="3"/>
    <x v="48"/>
    <x v="1"/>
    <s v="Haro Shredder 20 - 2017"/>
    <x v="0"/>
  </r>
  <r>
    <n v="1206"/>
    <n v="1"/>
    <n v="73"/>
    <x v="0"/>
    <n v="749.99"/>
    <x v="1"/>
    <x v="30"/>
    <x v="1"/>
    <s v="Sun Bicycles Brickell Tandem 7 - 2017"/>
    <x v="1"/>
  </r>
  <r>
    <n v="1206"/>
    <n v="2"/>
    <n v="29"/>
    <x v="0"/>
    <n v="999.99"/>
    <x v="0"/>
    <x v="5"/>
    <x v="1"/>
    <s v="Trek X-Caliber 8 - 2017"/>
    <x v="1"/>
  </r>
  <r>
    <n v="1207"/>
    <n v="1"/>
    <n v="104"/>
    <x v="0"/>
    <n v="481.99"/>
    <x v="2"/>
    <x v="92"/>
    <x v="1"/>
    <s v="Sun Bicycles Streamway - 2017"/>
    <x v="1"/>
  </r>
  <r>
    <n v="1207"/>
    <n v="2"/>
    <n v="103"/>
    <x v="0"/>
    <n v="551.99"/>
    <x v="3"/>
    <x v="38"/>
    <x v="1"/>
    <s v="Sun Bicycles Streamway 3 - 2017"/>
    <x v="1"/>
  </r>
  <r>
    <n v="1207"/>
    <n v="3"/>
    <n v="23"/>
    <x v="0"/>
    <n v="299.99"/>
    <x v="1"/>
    <x v="23"/>
    <x v="1"/>
    <s v="Electra Girl's Hawaii 1 (20-inch) - 2015/2016"/>
    <x v="1"/>
  </r>
  <r>
    <n v="1208"/>
    <n v="1"/>
    <n v="12"/>
    <x v="0"/>
    <n v="549.99"/>
    <x v="0"/>
    <x v="31"/>
    <x v="1"/>
    <s v="Electra Townie Original 21D - 2016"/>
    <x v="1"/>
  </r>
  <r>
    <n v="1208"/>
    <n v="2"/>
    <n v="65"/>
    <x v="1"/>
    <n v="346.99"/>
    <x v="1"/>
    <x v="110"/>
    <x v="1"/>
    <s v="Sun Bicycles Lil Bolt Type-R - 2017"/>
    <x v="1"/>
  </r>
  <r>
    <n v="1208"/>
    <n v="3"/>
    <n v="86"/>
    <x v="1"/>
    <n v="149.99"/>
    <x v="0"/>
    <x v="87"/>
    <x v="1"/>
    <s v="Trek Girl's Kickster - 2017"/>
    <x v="1"/>
  </r>
  <r>
    <n v="1208"/>
    <n v="4"/>
    <n v="13"/>
    <x v="1"/>
    <n v="269.99"/>
    <x v="3"/>
    <x v="17"/>
    <x v="1"/>
    <s v="Electra Cruiser 1 (24-Inch) - 2016"/>
    <x v="1"/>
  </r>
  <r>
    <n v="1208"/>
    <n v="5"/>
    <n v="87"/>
    <x v="0"/>
    <n v="189.99"/>
    <x v="1"/>
    <x v="93"/>
    <x v="1"/>
    <s v="Trek Precaliber 12 Boys - 2017"/>
    <x v="1"/>
  </r>
  <r>
    <n v="1209"/>
    <n v="1"/>
    <n v="89"/>
    <x v="0"/>
    <n v="209.99"/>
    <x v="1"/>
    <x v="48"/>
    <x v="1"/>
    <s v="Trek Precaliber 16 Boys - 2017"/>
    <x v="1"/>
  </r>
  <r>
    <n v="1209"/>
    <n v="2"/>
    <n v="97"/>
    <x v="0"/>
    <n v="349.99"/>
    <x v="2"/>
    <x v="99"/>
    <x v="1"/>
    <s v="Electra Savannah 3i (20-inch) - Girl's - 2017"/>
    <x v="1"/>
  </r>
  <r>
    <n v="1210"/>
    <n v="1"/>
    <n v="26"/>
    <x v="0"/>
    <n v="599.99"/>
    <x v="3"/>
    <x v="0"/>
    <x v="1"/>
    <s v="Electra Townie Original 7D EQ - 2016"/>
    <x v="2"/>
  </r>
  <r>
    <n v="1210"/>
    <n v="2"/>
    <n v="6"/>
    <x v="1"/>
    <n v="469.99"/>
    <x v="1"/>
    <x v="35"/>
    <x v="1"/>
    <s v="Surly Ice Cream Truck Frameset - 2016"/>
    <x v="2"/>
  </r>
  <r>
    <n v="1210"/>
    <n v="3"/>
    <n v="78"/>
    <x v="1"/>
    <n v="647.99"/>
    <x v="2"/>
    <x v="114"/>
    <x v="1"/>
    <s v="Sun Bicycles Biscayne Tandem CB - 2017"/>
    <x v="2"/>
  </r>
  <r>
    <n v="1210"/>
    <n v="4"/>
    <n v="84"/>
    <x v="0"/>
    <n v="109.99"/>
    <x v="3"/>
    <x v="78"/>
    <x v="1"/>
    <s v="Sun Bicycles Lil Kitt'n - 2017"/>
    <x v="2"/>
  </r>
  <r>
    <n v="1210"/>
    <n v="5"/>
    <n v="35"/>
    <x v="1"/>
    <n v="832.99"/>
    <x v="2"/>
    <x v="113"/>
    <x v="1"/>
    <s v="Sun Bicycles Spider 3i - 2017"/>
    <x v="2"/>
  </r>
  <r>
    <n v="1211"/>
    <n v="1"/>
    <n v="15"/>
    <x v="1"/>
    <n v="529.99"/>
    <x v="0"/>
    <x v="29"/>
    <x v="1"/>
    <s v="Electra Moto 1 - 2016"/>
    <x v="1"/>
  </r>
  <r>
    <n v="1211"/>
    <n v="2"/>
    <n v="59"/>
    <x v="0"/>
    <n v="2599.9899999999998"/>
    <x v="2"/>
    <x v="90"/>
    <x v="1"/>
    <s v="Trek Domane S 5 Disc - 2017"/>
    <x v="1"/>
  </r>
  <r>
    <n v="1211"/>
    <n v="3"/>
    <n v="92"/>
    <x v="0"/>
    <n v="209.99"/>
    <x v="0"/>
    <x v="48"/>
    <x v="1"/>
    <s v="Haro Shredder 20 - 2017"/>
    <x v="1"/>
  </r>
  <r>
    <n v="1211"/>
    <n v="4"/>
    <n v="93"/>
    <x v="0"/>
    <n v="209.99"/>
    <x v="3"/>
    <x v="48"/>
    <x v="1"/>
    <s v="Haro Shredder 20 Girls - 2017"/>
    <x v="1"/>
  </r>
  <r>
    <n v="1211"/>
    <n v="5"/>
    <n v="108"/>
    <x v="1"/>
    <n v="449.99"/>
    <x v="0"/>
    <x v="37"/>
    <x v="1"/>
    <s v="Sun Bicycles Cruz 3 - Women's - 2017"/>
    <x v="1"/>
  </r>
  <r>
    <n v="1212"/>
    <n v="1"/>
    <n v="74"/>
    <x v="0"/>
    <n v="439.99"/>
    <x v="3"/>
    <x v="56"/>
    <x v="1"/>
    <s v="Electra Cruiser Lux 1 - 2017"/>
    <x v="1"/>
  </r>
  <r>
    <n v="1212"/>
    <n v="2"/>
    <n v="37"/>
    <x v="1"/>
    <n v="379.99"/>
    <x v="1"/>
    <x v="86"/>
    <x v="1"/>
    <s v="Haro Flightline One ST - 2017"/>
    <x v="1"/>
  </r>
  <r>
    <n v="1212"/>
    <n v="3"/>
    <n v="39"/>
    <x v="1"/>
    <n v="1499.99"/>
    <x v="2"/>
    <x v="65"/>
    <x v="1"/>
    <s v="Trek Stache 5 - 2017"/>
    <x v="1"/>
  </r>
  <r>
    <n v="1212"/>
    <n v="4"/>
    <n v="68"/>
    <x v="1"/>
    <n v="449.99"/>
    <x v="1"/>
    <x v="37"/>
    <x v="1"/>
    <s v="Sun Bicycles Cruz 3 - 2017"/>
    <x v="1"/>
  </r>
  <r>
    <n v="1213"/>
    <n v="1"/>
    <n v="64"/>
    <x v="1"/>
    <n v="489.99"/>
    <x v="1"/>
    <x v="52"/>
    <x v="1"/>
    <s v="Electra Townie Original 7D - 2017"/>
    <x v="2"/>
  </r>
  <r>
    <n v="1213"/>
    <n v="2"/>
    <n v="78"/>
    <x v="0"/>
    <n v="647.99"/>
    <x v="1"/>
    <x v="49"/>
    <x v="1"/>
    <s v="Sun Bicycles Biscayne Tandem CB - 2017"/>
    <x v="2"/>
  </r>
  <r>
    <n v="1213"/>
    <n v="3"/>
    <n v="102"/>
    <x v="1"/>
    <n v="489.99"/>
    <x v="3"/>
    <x v="52"/>
    <x v="1"/>
    <s v="Electra Townie Original 7D - 2017"/>
    <x v="2"/>
  </r>
  <r>
    <n v="1213"/>
    <n v="4"/>
    <n v="15"/>
    <x v="0"/>
    <n v="529.99"/>
    <x v="2"/>
    <x v="12"/>
    <x v="1"/>
    <s v="Electra Moto 1 - 2016"/>
    <x v="2"/>
  </r>
  <r>
    <n v="1214"/>
    <n v="1"/>
    <n v="9"/>
    <x v="1"/>
    <n v="2999.99"/>
    <x v="2"/>
    <x v="11"/>
    <x v="1"/>
    <s v="Trek Conduit+ - 2016"/>
    <x v="1"/>
  </r>
  <r>
    <n v="1214"/>
    <n v="2"/>
    <n v="7"/>
    <x v="0"/>
    <n v="3999.99"/>
    <x v="0"/>
    <x v="25"/>
    <x v="1"/>
    <s v="Trek Slash 8 27.5 - 2016"/>
    <x v="1"/>
  </r>
  <r>
    <n v="1214"/>
    <n v="3"/>
    <n v="22"/>
    <x v="0"/>
    <n v="269.99"/>
    <x v="2"/>
    <x v="14"/>
    <x v="1"/>
    <s v="Electra Girl's Hawaii 1 (16-inch) - 2015/2016"/>
    <x v="1"/>
  </r>
  <r>
    <n v="1214"/>
    <n v="4"/>
    <n v="77"/>
    <x v="1"/>
    <n v="799.99"/>
    <x v="3"/>
    <x v="108"/>
    <x v="1"/>
    <s v="Electra Glam Punk 3i Ladies' - 2017"/>
    <x v="1"/>
  </r>
  <r>
    <n v="1214"/>
    <n v="5"/>
    <n v="67"/>
    <x v="1"/>
    <n v="250.99"/>
    <x v="0"/>
    <x v="55"/>
    <x v="1"/>
    <s v="Sun Bicycles Revolutions 24 - Girl's - 2017"/>
    <x v="1"/>
  </r>
  <r>
    <n v="1215"/>
    <n v="1"/>
    <n v="73"/>
    <x v="1"/>
    <n v="749.99"/>
    <x v="3"/>
    <x v="6"/>
    <x v="1"/>
    <s v="Sun Bicycles Brickell Tandem 7 - 2017"/>
    <x v="1"/>
  </r>
  <r>
    <n v="1215"/>
    <n v="2"/>
    <n v="10"/>
    <x v="1"/>
    <n v="1549"/>
    <x v="1"/>
    <x v="2"/>
    <x v="1"/>
    <s v="Surly Straggler - 2016"/>
    <x v="1"/>
  </r>
  <r>
    <n v="1216"/>
    <n v="1"/>
    <n v="64"/>
    <x v="1"/>
    <n v="489.99"/>
    <x v="3"/>
    <x v="52"/>
    <x v="1"/>
    <s v="Electra Townie Original 7D - 2017"/>
    <x v="1"/>
  </r>
  <r>
    <n v="1216"/>
    <n v="2"/>
    <n v="54"/>
    <x v="0"/>
    <n v="3199.99"/>
    <x v="2"/>
    <x v="120"/>
    <x v="1"/>
    <s v="Trek Domane SL Disc Frameset - 2017"/>
    <x v="1"/>
  </r>
  <r>
    <n v="1216"/>
    <n v="3"/>
    <n v="19"/>
    <x v="0"/>
    <n v="449"/>
    <x v="0"/>
    <x v="8"/>
    <x v="1"/>
    <s v="Pure Cycles William 3-Speed - 2016"/>
    <x v="1"/>
  </r>
  <r>
    <n v="1216"/>
    <n v="4"/>
    <n v="110"/>
    <x v="1"/>
    <n v="470.99"/>
    <x v="1"/>
    <x v="60"/>
    <x v="1"/>
    <s v="Sun Bicycles Drifter 7 - 2017"/>
    <x v="1"/>
  </r>
  <r>
    <n v="1216"/>
    <n v="5"/>
    <n v="43"/>
    <x v="0"/>
    <n v="5299.99"/>
    <x v="3"/>
    <x v="57"/>
    <x v="1"/>
    <s v="Trek Fuel EX 9.8 27.5 Plus - 2017"/>
    <x v="1"/>
  </r>
  <r>
    <n v="1217"/>
    <n v="1"/>
    <n v="73"/>
    <x v="0"/>
    <n v="749.99"/>
    <x v="2"/>
    <x v="30"/>
    <x v="1"/>
    <s v="Sun Bicycles Brickell Tandem 7 - 2017"/>
    <x v="1"/>
  </r>
  <r>
    <n v="1217"/>
    <n v="2"/>
    <n v="106"/>
    <x v="1"/>
    <n v="449.99"/>
    <x v="2"/>
    <x v="37"/>
    <x v="1"/>
    <s v="Sun Bicycles Cruz 3 - 2017"/>
    <x v="1"/>
  </r>
  <r>
    <n v="1218"/>
    <n v="1"/>
    <n v="32"/>
    <x v="0"/>
    <n v="469.99"/>
    <x v="1"/>
    <x v="20"/>
    <x v="1"/>
    <s v="Trek Farley Alloy Frameset - 2017"/>
    <x v="0"/>
  </r>
  <r>
    <n v="1218"/>
    <n v="2"/>
    <n v="102"/>
    <x v="1"/>
    <n v="489.99"/>
    <x v="2"/>
    <x v="52"/>
    <x v="1"/>
    <s v="Electra Townie Original 7D - 2017"/>
    <x v="0"/>
  </r>
  <r>
    <n v="1219"/>
    <n v="1"/>
    <n v="17"/>
    <x v="1"/>
    <n v="429"/>
    <x v="1"/>
    <x v="13"/>
    <x v="1"/>
    <s v="Pure Cycles Vine 8-Speed - 2016"/>
    <x v="1"/>
  </r>
  <r>
    <n v="1219"/>
    <n v="2"/>
    <n v="62"/>
    <x v="1"/>
    <n v="3499.99"/>
    <x v="3"/>
    <x v="54"/>
    <x v="1"/>
    <s v="Trek Boone 7 - 2017"/>
    <x v="1"/>
  </r>
  <r>
    <n v="1219"/>
    <n v="3"/>
    <n v="40"/>
    <x v="1"/>
    <n v="4999.99"/>
    <x v="0"/>
    <x v="41"/>
    <x v="1"/>
    <s v="Trek Fuel EX 9.8 29 - 2017"/>
    <x v="1"/>
  </r>
  <r>
    <n v="1220"/>
    <n v="1"/>
    <n v="47"/>
    <x v="1"/>
    <n v="5299.99"/>
    <x v="3"/>
    <x v="46"/>
    <x v="1"/>
    <s v="Trek Remedy 9.8 - 2017"/>
    <x v="1"/>
  </r>
  <r>
    <n v="1220"/>
    <n v="2"/>
    <n v="49"/>
    <x v="0"/>
    <n v="3499.99"/>
    <x v="0"/>
    <x v="43"/>
    <x v="1"/>
    <s v="Trek Domane SL 6 - 2017"/>
    <x v="1"/>
  </r>
  <r>
    <n v="1220"/>
    <n v="3"/>
    <n v="85"/>
    <x v="1"/>
    <n v="329.99"/>
    <x v="0"/>
    <x v="36"/>
    <x v="1"/>
    <s v="Haro Downtown 16 - 2017"/>
    <x v="1"/>
  </r>
  <r>
    <n v="1221"/>
    <n v="1"/>
    <n v="100"/>
    <x v="0"/>
    <n v="489.99"/>
    <x v="2"/>
    <x v="44"/>
    <x v="1"/>
    <s v="Electra Townie 3i EQ (20-inch) - Boys' - 2017"/>
    <x v="1"/>
  </r>
  <r>
    <n v="1221"/>
    <n v="2"/>
    <n v="81"/>
    <x v="1"/>
    <n v="1099.99"/>
    <x v="2"/>
    <x v="88"/>
    <x v="1"/>
    <s v="Electra Amsterdam Fashion 7i Ladies' - 2017"/>
    <x v="1"/>
  </r>
  <r>
    <n v="1221"/>
    <n v="3"/>
    <n v="42"/>
    <x v="1"/>
    <n v="2299.9899999999998"/>
    <x v="3"/>
    <x v="45"/>
    <x v="1"/>
    <s v="Trek Fuel EX 5 27.5 Plus - 2017"/>
    <x v="1"/>
  </r>
  <r>
    <n v="1221"/>
    <n v="4"/>
    <n v="38"/>
    <x v="1"/>
    <n v="549.99"/>
    <x v="3"/>
    <x v="9"/>
    <x v="1"/>
    <s v="Haro Flightline Two 26 Plus - 2017"/>
    <x v="1"/>
  </r>
  <r>
    <n v="1221"/>
    <n v="5"/>
    <n v="97"/>
    <x v="1"/>
    <n v="349.99"/>
    <x v="1"/>
    <x v="47"/>
    <x v="1"/>
    <s v="Electra Savannah 3i (20-inch) - Girl's - 2017"/>
    <x v="1"/>
  </r>
  <r>
    <n v="1222"/>
    <n v="1"/>
    <n v="97"/>
    <x v="0"/>
    <n v="349.99"/>
    <x v="0"/>
    <x v="99"/>
    <x v="1"/>
    <s v="Electra Savannah 3i (20-inch) - Girl's - 2017"/>
    <x v="2"/>
  </r>
  <r>
    <n v="1223"/>
    <n v="1"/>
    <n v="103"/>
    <x v="0"/>
    <n v="551.99"/>
    <x v="2"/>
    <x v="38"/>
    <x v="1"/>
    <s v="Sun Bicycles Streamway 3 - 2017"/>
    <x v="1"/>
  </r>
  <r>
    <n v="1224"/>
    <n v="1"/>
    <n v="62"/>
    <x v="0"/>
    <n v="3499.99"/>
    <x v="1"/>
    <x v="43"/>
    <x v="1"/>
    <s v="Trek Boone 7 - 2017"/>
    <x v="1"/>
  </r>
  <r>
    <n v="1224"/>
    <n v="2"/>
    <n v="51"/>
    <x v="0"/>
    <n v="6499.99"/>
    <x v="3"/>
    <x v="122"/>
    <x v="1"/>
    <s v="Trek Silque SLR 8 Women's - 2017"/>
    <x v="1"/>
  </r>
  <r>
    <n v="1224"/>
    <n v="3"/>
    <n v="108"/>
    <x v="0"/>
    <n v="449.99"/>
    <x v="2"/>
    <x v="72"/>
    <x v="1"/>
    <s v="Sun Bicycles Cruz 3 - Women's - 2017"/>
    <x v="1"/>
  </r>
  <r>
    <n v="1224"/>
    <n v="4"/>
    <n v="32"/>
    <x v="0"/>
    <n v="469.99"/>
    <x v="0"/>
    <x v="20"/>
    <x v="1"/>
    <s v="Trek Farley Alloy Frameset - 2017"/>
    <x v="1"/>
  </r>
  <r>
    <n v="1225"/>
    <n v="1"/>
    <n v="81"/>
    <x v="0"/>
    <n v="1099.99"/>
    <x v="3"/>
    <x v="111"/>
    <x v="1"/>
    <s v="Electra Amsterdam Fashion 7i Ladies' - 2017"/>
    <x v="0"/>
  </r>
  <r>
    <n v="1225"/>
    <n v="2"/>
    <n v="59"/>
    <x v="1"/>
    <n v="2599.9899999999998"/>
    <x v="3"/>
    <x v="67"/>
    <x v="1"/>
    <s v="Trek Domane S 5 Disc - 2017"/>
    <x v="0"/>
  </r>
  <r>
    <n v="1225"/>
    <n v="3"/>
    <n v="6"/>
    <x v="1"/>
    <n v="469.99"/>
    <x v="3"/>
    <x v="35"/>
    <x v="1"/>
    <s v="Surly Ice Cream Truck Frameset - 2016"/>
    <x v="0"/>
  </r>
  <r>
    <n v="1226"/>
    <n v="1"/>
    <n v="77"/>
    <x v="1"/>
    <n v="799.99"/>
    <x v="2"/>
    <x v="108"/>
    <x v="1"/>
    <s v="Electra Glam Punk 3i Ladies' - 2017"/>
    <x v="1"/>
  </r>
  <r>
    <n v="1226"/>
    <n v="2"/>
    <n v="101"/>
    <x v="0"/>
    <n v="339.99"/>
    <x v="0"/>
    <x v="119"/>
    <x v="1"/>
    <s v="Electra Townie 7D (20-inch) - Boys' - 2017"/>
    <x v="1"/>
  </r>
  <r>
    <n v="1226"/>
    <n v="3"/>
    <n v="11"/>
    <x v="1"/>
    <n v="1680.99"/>
    <x v="1"/>
    <x v="32"/>
    <x v="1"/>
    <s v="Surly Straggler 650b - 2016"/>
    <x v="1"/>
  </r>
  <r>
    <n v="1226"/>
    <n v="4"/>
    <n v="51"/>
    <x v="0"/>
    <n v="6499.99"/>
    <x v="1"/>
    <x v="122"/>
    <x v="1"/>
    <s v="Trek Silque SLR 8 Women's - 2017"/>
    <x v="1"/>
  </r>
  <r>
    <n v="1226"/>
    <n v="5"/>
    <n v="42"/>
    <x v="0"/>
    <n v="2299.9899999999998"/>
    <x v="3"/>
    <x v="101"/>
    <x v="1"/>
    <s v="Trek Fuel EX 5 27.5 Plus - 2017"/>
    <x v="1"/>
  </r>
  <r>
    <n v="1227"/>
    <n v="1"/>
    <n v="90"/>
    <x v="1"/>
    <n v="209.99"/>
    <x v="0"/>
    <x v="84"/>
    <x v="1"/>
    <s v="Trek Precaliber 16 Girls - 2017"/>
    <x v="1"/>
  </r>
  <r>
    <n v="1227"/>
    <n v="2"/>
    <n v="44"/>
    <x v="0"/>
    <n v="539.99"/>
    <x v="1"/>
    <x v="127"/>
    <x v="1"/>
    <s v="Haro SR 1.1 - 2017"/>
    <x v="1"/>
  </r>
  <r>
    <n v="1227"/>
    <n v="3"/>
    <n v="26"/>
    <x v="0"/>
    <n v="599.99"/>
    <x v="2"/>
    <x v="0"/>
    <x v="1"/>
    <s v="Electra Townie Original 7D EQ - 2016"/>
    <x v="1"/>
  </r>
  <r>
    <n v="1227"/>
    <n v="4"/>
    <n v="8"/>
    <x v="0"/>
    <n v="1799.99"/>
    <x v="1"/>
    <x v="16"/>
    <x v="1"/>
    <s v="Trek Remedy 29 Carbon Frameset - 2016"/>
    <x v="1"/>
  </r>
  <r>
    <n v="1227"/>
    <n v="5"/>
    <n v="42"/>
    <x v="1"/>
    <n v="2299.9899999999998"/>
    <x v="0"/>
    <x v="45"/>
    <x v="1"/>
    <s v="Trek Fuel EX 5 27.5 Plus - 2017"/>
    <x v="1"/>
  </r>
  <r>
    <n v="1228"/>
    <n v="1"/>
    <n v="92"/>
    <x v="0"/>
    <n v="209.99"/>
    <x v="0"/>
    <x v="48"/>
    <x v="1"/>
    <s v="Haro Shredder 20 - 2017"/>
    <x v="1"/>
  </r>
  <r>
    <n v="1228"/>
    <n v="2"/>
    <n v="55"/>
    <x v="1"/>
    <n v="2699.99"/>
    <x v="0"/>
    <x v="68"/>
    <x v="1"/>
    <s v="Trek Domane S 6 - 2017"/>
    <x v="1"/>
  </r>
  <r>
    <n v="1228"/>
    <n v="3"/>
    <n v="20"/>
    <x v="1"/>
    <n v="599.99"/>
    <x v="2"/>
    <x v="3"/>
    <x v="1"/>
    <s v="Electra Townie Original 7D EQ - Women's - 2016"/>
    <x v="1"/>
  </r>
  <r>
    <n v="1229"/>
    <n v="1"/>
    <n v="36"/>
    <x v="1"/>
    <n v="832.99"/>
    <x v="1"/>
    <x v="113"/>
    <x v="1"/>
    <s v="Surly Troll Frameset - 2017"/>
    <x v="0"/>
  </r>
  <r>
    <n v="1229"/>
    <n v="2"/>
    <n v="61"/>
    <x v="1"/>
    <n v="4999.99"/>
    <x v="3"/>
    <x v="41"/>
    <x v="1"/>
    <s v="Trek Powerfly 8 FS Plus - 2017"/>
    <x v="0"/>
  </r>
  <r>
    <n v="1230"/>
    <n v="1"/>
    <n v="32"/>
    <x v="1"/>
    <n v="469.99"/>
    <x v="3"/>
    <x v="35"/>
    <x v="1"/>
    <s v="Trek Farley Alloy Frameset - 2017"/>
    <x v="1"/>
  </r>
  <r>
    <n v="1230"/>
    <n v="2"/>
    <n v="38"/>
    <x v="1"/>
    <n v="549.99"/>
    <x v="1"/>
    <x v="9"/>
    <x v="1"/>
    <s v="Haro Flightline Two 26 Plus - 2017"/>
    <x v="1"/>
  </r>
  <r>
    <n v="1231"/>
    <n v="1"/>
    <n v="75"/>
    <x v="1"/>
    <n v="599.99"/>
    <x v="2"/>
    <x v="3"/>
    <x v="1"/>
    <s v="Electra Cruiser Lux Fat Tire 1 Ladies - 2017"/>
    <x v="1"/>
  </r>
  <r>
    <n v="1231"/>
    <n v="2"/>
    <n v="70"/>
    <x v="0"/>
    <n v="659.99"/>
    <x v="1"/>
    <x v="66"/>
    <x v="1"/>
    <s v="Electra Amsterdam Original 3i - 2015/2017"/>
    <x v="1"/>
  </r>
  <r>
    <n v="1232"/>
    <n v="1"/>
    <n v="4"/>
    <x v="1"/>
    <n v="2899.99"/>
    <x v="1"/>
    <x v="18"/>
    <x v="1"/>
    <s v="Trek Fuel EX 8 29 - 2016"/>
    <x v="0"/>
  </r>
  <r>
    <n v="1232"/>
    <n v="2"/>
    <n v="110"/>
    <x v="1"/>
    <n v="470.99"/>
    <x v="2"/>
    <x v="60"/>
    <x v="1"/>
    <s v="Sun Bicycles Drifter 7 - 2017"/>
    <x v="0"/>
  </r>
  <r>
    <n v="1232"/>
    <n v="3"/>
    <n v="6"/>
    <x v="1"/>
    <n v="469.99"/>
    <x v="0"/>
    <x v="35"/>
    <x v="1"/>
    <s v="Surly Ice Cream Truck Frameset - 2016"/>
    <x v="0"/>
  </r>
  <r>
    <n v="1233"/>
    <n v="1"/>
    <n v="87"/>
    <x v="1"/>
    <n v="189.99"/>
    <x v="0"/>
    <x v="59"/>
    <x v="1"/>
    <s v="Trek Precaliber 12 Boys - 2017"/>
    <x v="1"/>
  </r>
  <r>
    <n v="1233"/>
    <n v="2"/>
    <n v="61"/>
    <x v="1"/>
    <n v="4999.99"/>
    <x v="3"/>
    <x v="41"/>
    <x v="1"/>
    <s v="Trek Powerfly 8 FS Plus - 2017"/>
    <x v="1"/>
  </r>
  <r>
    <n v="1233"/>
    <n v="3"/>
    <n v="55"/>
    <x v="0"/>
    <n v="2699.99"/>
    <x v="0"/>
    <x v="82"/>
    <x v="1"/>
    <s v="Trek Domane S 6 - 2017"/>
    <x v="1"/>
  </r>
  <r>
    <n v="1234"/>
    <n v="1"/>
    <n v="56"/>
    <x v="1"/>
    <n v="5499.99"/>
    <x v="1"/>
    <x v="91"/>
    <x v="1"/>
    <s v="Trek Domane SLR 6 Disc - 2017"/>
    <x v="1"/>
  </r>
  <r>
    <n v="1234"/>
    <n v="2"/>
    <n v="71"/>
    <x v="1"/>
    <n v="416.99"/>
    <x v="1"/>
    <x v="42"/>
    <x v="1"/>
    <s v="Sun Bicycles Atlas X-Type - 2017"/>
    <x v="1"/>
  </r>
  <r>
    <n v="1235"/>
    <n v="1"/>
    <n v="7"/>
    <x v="0"/>
    <n v="3999.99"/>
    <x v="3"/>
    <x v="25"/>
    <x v="1"/>
    <s v="Trek Slash 8 27.5 - 2016"/>
    <x v="1"/>
  </r>
  <r>
    <n v="1236"/>
    <n v="1"/>
    <n v="60"/>
    <x v="0"/>
    <n v="1559.99"/>
    <x v="1"/>
    <x v="100"/>
    <x v="1"/>
    <s v="Sun Bicycles ElectroLite - 2017"/>
    <x v="1"/>
  </r>
  <r>
    <n v="1236"/>
    <n v="2"/>
    <n v="32"/>
    <x v="1"/>
    <n v="469.99"/>
    <x v="2"/>
    <x v="35"/>
    <x v="1"/>
    <s v="Trek Farley Alloy Frameset - 2017"/>
    <x v="1"/>
  </r>
  <r>
    <n v="1236"/>
    <n v="3"/>
    <n v="91"/>
    <x v="0"/>
    <n v="349.99"/>
    <x v="3"/>
    <x v="99"/>
    <x v="1"/>
    <s v="Trek Precaliber 24 (21-Speed) - Girls - 2017"/>
    <x v="1"/>
  </r>
  <r>
    <n v="1237"/>
    <n v="1"/>
    <n v="23"/>
    <x v="0"/>
    <n v="299.99"/>
    <x v="3"/>
    <x v="23"/>
    <x v="1"/>
    <s v="Electra Girl's Hawaii 1 (20-inch) - 2015/2016"/>
    <x v="0"/>
  </r>
  <r>
    <n v="1237"/>
    <n v="2"/>
    <n v="87"/>
    <x v="1"/>
    <n v="189.99"/>
    <x v="3"/>
    <x v="59"/>
    <x v="1"/>
    <s v="Trek Precaliber 12 Boys - 2017"/>
    <x v="0"/>
  </r>
  <r>
    <n v="1237"/>
    <n v="3"/>
    <n v="95"/>
    <x v="1"/>
    <n v="299.99"/>
    <x v="0"/>
    <x v="22"/>
    <x v="1"/>
    <s v="Electra Girl's Hawaii 1 16&quot; - 2017"/>
    <x v="0"/>
  </r>
  <r>
    <n v="1237"/>
    <n v="4"/>
    <n v="55"/>
    <x v="1"/>
    <n v="2699.99"/>
    <x v="1"/>
    <x v="68"/>
    <x v="1"/>
    <s v="Trek Domane S 6 - 2017"/>
    <x v="0"/>
  </r>
  <r>
    <n v="1237"/>
    <n v="5"/>
    <n v="25"/>
    <x v="0"/>
    <n v="499.99"/>
    <x v="1"/>
    <x v="33"/>
    <x v="1"/>
    <s v="Electra Townie Original 7D - 2015/2016"/>
    <x v="0"/>
  </r>
  <r>
    <n v="1238"/>
    <n v="1"/>
    <n v="40"/>
    <x v="0"/>
    <n v="4999.99"/>
    <x v="3"/>
    <x v="76"/>
    <x v="1"/>
    <s v="Trek Fuel EX 9.8 29 - 2017"/>
    <x v="1"/>
  </r>
  <r>
    <n v="1238"/>
    <n v="2"/>
    <n v="14"/>
    <x v="0"/>
    <n v="269.99"/>
    <x v="3"/>
    <x v="14"/>
    <x v="1"/>
    <s v="Electra Girl's Hawaii 1 (16-inch) - 2015/2016"/>
    <x v="1"/>
  </r>
  <r>
    <n v="1238"/>
    <n v="3"/>
    <n v="99"/>
    <x v="1"/>
    <n v="299.99"/>
    <x v="0"/>
    <x v="22"/>
    <x v="1"/>
    <s v="Electra Sugar Skulls 1 (20-inch) - Girl's - 2017"/>
    <x v="1"/>
  </r>
  <r>
    <n v="1238"/>
    <n v="4"/>
    <n v="101"/>
    <x v="0"/>
    <n v="339.99"/>
    <x v="3"/>
    <x v="119"/>
    <x v="1"/>
    <s v="Electra Townie 7D (20-inch) - Boys' - 2017"/>
    <x v="1"/>
  </r>
  <r>
    <n v="1239"/>
    <n v="1"/>
    <n v="15"/>
    <x v="1"/>
    <n v="529.99"/>
    <x v="0"/>
    <x v="29"/>
    <x v="1"/>
    <s v="Electra Moto 1 - 2016"/>
    <x v="1"/>
  </r>
  <r>
    <n v="1239"/>
    <n v="2"/>
    <n v="91"/>
    <x v="0"/>
    <n v="349.99"/>
    <x v="3"/>
    <x v="99"/>
    <x v="1"/>
    <s v="Trek Precaliber 24 (21-Speed) - Girls - 2017"/>
    <x v="1"/>
  </r>
  <r>
    <n v="1239"/>
    <n v="3"/>
    <n v="34"/>
    <x v="1"/>
    <n v="469.99"/>
    <x v="3"/>
    <x v="35"/>
    <x v="1"/>
    <s v="Trek Session DH 27.5 Carbon Frameset - 2017"/>
    <x v="1"/>
  </r>
  <r>
    <n v="1239"/>
    <n v="4"/>
    <n v="36"/>
    <x v="0"/>
    <n v="832.99"/>
    <x v="2"/>
    <x v="106"/>
    <x v="1"/>
    <s v="Surly Troll Frameset - 2017"/>
    <x v="1"/>
  </r>
  <r>
    <n v="1240"/>
    <n v="1"/>
    <n v="107"/>
    <x v="1"/>
    <n v="416.99"/>
    <x v="3"/>
    <x v="42"/>
    <x v="1"/>
    <s v="Sun Bicycles Cruz 7 - 2017"/>
    <x v="1"/>
  </r>
  <r>
    <n v="1240"/>
    <n v="2"/>
    <n v="23"/>
    <x v="1"/>
    <n v="299.99"/>
    <x v="2"/>
    <x v="22"/>
    <x v="1"/>
    <s v="Electra Girl's Hawaii 1 (20-inch) - 2015/2016"/>
    <x v="1"/>
  </r>
  <r>
    <n v="1240"/>
    <n v="3"/>
    <n v="15"/>
    <x v="1"/>
    <n v="529.99"/>
    <x v="0"/>
    <x v="29"/>
    <x v="1"/>
    <s v="Electra Moto 1 - 2016"/>
    <x v="1"/>
  </r>
  <r>
    <n v="1240"/>
    <n v="4"/>
    <n v="77"/>
    <x v="1"/>
    <n v="799.99"/>
    <x v="2"/>
    <x v="108"/>
    <x v="1"/>
    <s v="Electra Glam Punk 3i Ladies' - 2017"/>
    <x v="1"/>
  </r>
  <r>
    <n v="1240"/>
    <n v="5"/>
    <n v="57"/>
    <x v="0"/>
    <n v="1999.99"/>
    <x v="2"/>
    <x v="102"/>
    <x v="1"/>
    <s v="Trek Emonda S 5 - 2017"/>
    <x v="1"/>
  </r>
  <r>
    <n v="1241"/>
    <n v="1"/>
    <n v="74"/>
    <x v="0"/>
    <n v="439.99"/>
    <x v="2"/>
    <x v="56"/>
    <x v="1"/>
    <s v="Electra Cruiser Lux 1 - 2017"/>
    <x v="1"/>
  </r>
  <r>
    <n v="1241"/>
    <n v="2"/>
    <n v="71"/>
    <x v="1"/>
    <n v="416.99"/>
    <x v="2"/>
    <x v="42"/>
    <x v="1"/>
    <s v="Sun Bicycles Atlas X-Type - 2017"/>
    <x v="1"/>
  </r>
  <r>
    <n v="1242"/>
    <n v="1"/>
    <n v="94"/>
    <x v="0"/>
    <n v="249.99"/>
    <x v="2"/>
    <x v="70"/>
    <x v="1"/>
    <s v="Haro Shredder Pro 20 - 2017"/>
    <x v="1"/>
  </r>
  <r>
    <n v="1242"/>
    <n v="2"/>
    <n v="27"/>
    <x v="0"/>
    <n v="999.99"/>
    <x v="1"/>
    <x v="5"/>
    <x v="1"/>
    <s v="Surly Big Dummy Frameset - 2017"/>
    <x v="1"/>
  </r>
  <r>
    <n v="1242"/>
    <n v="3"/>
    <n v="10"/>
    <x v="0"/>
    <n v="1549"/>
    <x v="1"/>
    <x v="27"/>
    <x v="1"/>
    <s v="Surly Straggler - 2016"/>
    <x v="1"/>
  </r>
  <r>
    <n v="1242"/>
    <n v="4"/>
    <n v="70"/>
    <x v="0"/>
    <n v="659.99"/>
    <x v="0"/>
    <x v="66"/>
    <x v="1"/>
    <s v="Electra Amsterdam Original 3i - 2015/2017"/>
    <x v="1"/>
  </r>
  <r>
    <n v="1243"/>
    <n v="1"/>
    <n v="44"/>
    <x v="0"/>
    <n v="539.99"/>
    <x v="1"/>
    <x v="127"/>
    <x v="1"/>
    <s v="Haro SR 1.1 - 2017"/>
    <x v="1"/>
  </r>
  <r>
    <n v="1244"/>
    <n v="1"/>
    <n v="45"/>
    <x v="0"/>
    <n v="869.99"/>
    <x v="0"/>
    <x v="98"/>
    <x v="1"/>
    <s v="Haro SR 1.2 - 2017"/>
    <x v="1"/>
  </r>
  <r>
    <n v="1244"/>
    <n v="2"/>
    <n v="38"/>
    <x v="1"/>
    <n v="549.99"/>
    <x v="1"/>
    <x v="9"/>
    <x v="1"/>
    <s v="Haro Flightline Two 26 Plus - 2017"/>
    <x v="1"/>
  </r>
  <r>
    <n v="1244"/>
    <n v="3"/>
    <n v="33"/>
    <x v="0"/>
    <n v="469.99"/>
    <x v="1"/>
    <x v="20"/>
    <x v="1"/>
    <s v="Surly Wednesday Frameset - 2017"/>
    <x v="1"/>
  </r>
  <r>
    <n v="1244"/>
    <n v="4"/>
    <n v="37"/>
    <x v="1"/>
    <n v="379.99"/>
    <x v="3"/>
    <x v="86"/>
    <x v="1"/>
    <s v="Haro Flightline One ST - 2017"/>
    <x v="1"/>
  </r>
  <r>
    <n v="1245"/>
    <n v="1"/>
    <n v="13"/>
    <x v="0"/>
    <n v="269.99"/>
    <x v="3"/>
    <x v="14"/>
    <x v="1"/>
    <s v="Electra Cruiser 1 (24-Inch) - 2016"/>
    <x v="1"/>
  </r>
  <r>
    <n v="1246"/>
    <n v="1"/>
    <n v="78"/>
    <x v="1"/>
    <n v="647.99"/>
    <x v="0"/>
    <x v="114"/>
    <x v="1"/>
    <s v="Sun Bicycles Biscayne Tandem CB - 2017"/>
    <x v="1"/>
  </r>
  <r>
    <n v="1246"/>
    <n v="2"/>
    <n v="46"/>
    <x v="0"/>
    <n v="1409.99"/>
    <x v="2"/>
    <x v="126"/>
    <x v="1"/>
    <s v="Haro SR 1.3 - 2017"/>
    <x v="1"/>
  </r>
  <r>
    <n v="1246"/>
    <n v="3"/>
    <n v="45"/>
    <x v="1"/>
    <n v="869.99"/>
    <x v="1"/>
    <x v="81"/>
    <x v="1"/>
    <s v="Haro SR 1.2 - 2017"/>
    <x v="1"/>
  </r>
  <r>
    <n v="1247"/>
    <n v="1"/>
    <n v="15"/>
    <x v="1"/>
    <n v="529.99"/>
    <x v="3"/>
    <x v="29"/>
    <x v="1"/>
    <s v="Electra Moto 1 - 2016"/>
    <x v="0"/>
  </r>
  <r>
    <n v="1247"/>
    <n v="2"/>
    <n v="28"/>
    <x v="1"/>
    <n v="2499.9899999999998"/>
    <x v="3"/>
    <x v="117"/>
    <x v="1"/>
    <s v="Surly Karate Monkey 27.5+ Frameset - 2017"/>
    <x v="0"/>
  </r>
  <r>
    <n v="1247"/>
    <n v="3"/>
    <n v="26"/>
    <x v="0"/>
    <n v="599.99"/>
    <x v="2"/>
    <x v="0"/>
    <x v="1"/>
    <s v="Electra Townie Original 7D EQ - 2016"/>
    <x v="0"/>
  </r>
  <r>
    <n v="1248"/>
    <n v="1"/>
    <n v="94"/>
    <x v="1"/>
    <n v="249.99"/>
    <x v="2"/>
    <x v="53"/>
    <x v="1"/>
    <s v="Haro Shredder Pro 20 - 2017"/>
    <x v="0"/>
  </r>
  <r>
    <n v="1248"/>
    <n v="2"/>
    <n v="33"/>
    <x v="1"/>
    <n v="469.99"/>
    <x v="3"/>
    <x v="35"/>
    <x v="1"/>
    <s v="Surly Wednesday Frameset - 2017"/>
    <x v="0"/>
  </r>
  <r>
    <n v="1248"/>
    <n v="3"/>
    <n v="92"/>
    <x v="0"/>
    <n v="209.99"/>
    <x v="3"/>
    <x v="48"/>
    <x v="1"/>
    <s v="Haro Shredder 20 - 2017"/>
    <x v="0"/>
  </r>
  <r>
    <n v="1248"/>
    <n v="4"/>
    <n v="12"/>
    <x v="0"/>
    <n v="549.99"/>
    <x v="2"/>
    <x v="31"/>
    <x v="1"/>
    <s v="Electra Townie Original 21D - 2016"/>
    <x v="0"/>
  </r>
  <r>
    <n v="1249"/>
    <n v="1"/>
    <n v="62"/>
    <x v="0"/>
    <n v="3499.99"/>
    <x v="2"/>
    <x v="43"/>
    <x v="1"/>
    <s v="Trek Boone 7 - 2017"/>
    <x v="1"/>
  </r>
  <r>
    <n v="1249"/>
    <n v="2"/>
    <n v="104"/>
    <x v="0"/>
    <n v="481.99"/>
    <x v="2"/>
    <x v="92"/>
    <x v="1"/>
    <s v="Sun Bicycles Streamway - 2017"/>
    <x v="1"/>
  </r>
  <r>
    <n v="1249"/>
    <n v="3"/>
    <n v="61"/>
    <x v="0"/>
    <n v="4999.99"/>
    <x v="0"/>
    <x v="76"/>
    <x v="1"/>
    <s v="Trek Powerfly 8 FS Plus - 2017"/>
    <x v="1"/>
  </r>
  <r>
    <n v="1250"/>
    <n v="1"/>
    <n v="78"/>
    <x v="1"/>
    <n v="647.99"/>
    <x v="2"/>
    <x v="114"/>
    <x v="1"/>
    <s v="Sun Bicycles Biscayne Tandem CB - 2017"/>
    <x v="1"/>
  </r>
  <r>
    <n v="1250"/>
    <n v="2"/>
    <n v="66"/>
    <x v="1"/>
    <n v="250.99"/>
    <x v="3"/>
    <x v="55"/>
    <x v="1"/>
    <s v="Sun Bicycles Revolutions 24 - 2017"/>
    <x v="1"/>
  </r>
  <r>
    <n v="1250"/>
    <n v="3"/>
    <n v="20"/>
    <x v="1"/>
    <n v="599.99"/>
    <x v="2"/>
    <x v="3"/>
    <x v="1"/>
    <s v="Electra Townie Original 7D EQ - Women's - 2016"/>
    <x v="1"/>
  </r>
  <r>
    <n v="1250"/>
    <n v="4"/>
    <n v="6"/>
    <x v="1"/>
    <n v="469.99"/>
    <x v="3"/>
    <x v="35"/>
    <x v="1"/>
    <s v="Surly Ice Cream Truck Frameset - 2016"/>
    <x v="1"/>
  </r>
  <r>
    <n v="1251"/>
    <n v="1"/>
    <n v="40"/>
    <x v="1"/>
    <n v="4999.99"/>
    <x v="3"/>
    <x v="41"/>
    <x v="1"/>
    <s v="Trek Fuel EX 9.8 29 - 2017"/>
    <x v="2"/>
  </r>
  <r>
    <n v="1251"/>
    <n v="2"/>
    <n v="56"/>
    <x v="0"/>
    <n v="5499.99"/>
    <x v="1"/>
    <x v="39"/>
    <x v="1"/>
    <s v="Trek Domane SLR 6 Disc - 2017"/>
    <x v="2"/>
  </r>
  <r>
    <n v="1251"/>
    <n v="3"/>
    <n v="7"/>
    <x v="0"/>
    <n v="3999.99"/>
    <x v="1"/>
    <x v="25"/>
    <x v="1"/>
    <s v="Trek Slash 8 27.5 - 2016"/>
    <x v="2"/>
  </r>
  <r>
    <n v="1252"/>
    <n v="1"/>
    <n v="79"/>
    <x v="0"/>
    <n v="402.99"/>
    <x v="0"/>
    <x v="50"/>
    <x v="1"/>
    <s v="Sun Bicycles Boardwalk (24-inch Wheels) - 2017"/>
    <x v="0"/>
  </r>
  <r>
    <n v="1252"/>
    <n v="2"/>
    <n v="84"/>
    <x v="0"/>
    <n v="109.99"/>
    <x v="0"/>
    <x v="78"/>
    <x v="1"/>
    <s v="Sun Bicycles Lil Kitt'n - 2017"/>
    <x v="0"/>
  </r>
  <r>
    <n v="1252"/>
    <n v="3"/>
    <n v="57"/>
    <x v="1"/>
    <n v="1999.99"/>
    <x v="2"/>
    <x v="97"/>
    <x v="1"/>
    <s v="Trek Emonda S 5 - 2017"/>
    <x v="0"/>
  </r>
  <r>
    <n v="1253"/>
    <n v="1"/>
    <n v="25"/>
    <x v="1"/>
    <n v="499.99"/>
    <x v="3"/>
    <x v="26"/>
    <x v="1"/>
    <s v="Electra Townie Original 7D - 2015/2016"/>
    <x v="1"/>
  </r>
  <r>
    <n v="1253"/>
    <n v="2"/>
    <n v="21"/>
    <x v="0"/>
    <n v="269.99"/>
    <x v="1"/>
    <x v="14"/>
    <x v="1"/>
    <s v="Electra Cruiser 1 (24-Inch) - 2016"/>
    <x v="1"/>
  </r>
  <r>
    <n v="1253"/>
    <n v="3"/>
    <n v="88"/>
    <x v="0"/>
    <n v="189.99"/>
    <x v="0"/>
    <x v="93"/>
    <x v="1"/>
    <s v="Trek Precaliber 12 Girls - 2017"/>
    <x v="1"/>
  </r>
  <r>
    <n v="1254"/>
    <n v="1"/>
    <n v="80"/>
    <x v="0"/>
    <n v="761.99"/>
    <x v="0"/>
    <x v="58"/>
    <x v="1"/>
    <s v="Sun Bicycles Brickell Tandem CB - 2017"/>
    <x v="1"/>
  </r>
  <r>
    <n v="1254"/>
    <n v="2"/>
    <n v="91"/>
    <x v="0"/>
    <n v="349.99"/>
    <x v="0"/>
    <x v="99"/>
    <x v="1"/>
    <s v="Trek Precaliber 24 (21-Speed) - Girls - 2017"/>
    <x v="1"/>
  </r>
  <r>
    <n v="1255"/>
    <n v="1"/>
    <n v="43"/>
    <x v="1"/>
    <n v="5299.99"/>
    <x v="0"/>
    <x v="46"/>
    <x v="1"/>
    <s v="Trek Fuel EX 9.8 27.5 Plus - 2017"/>
    <x v="1"/>
  </r>
  <r>
    <n v="1255"/>
    <n v="2"/>
    <n v="53"/>
    <x v="0"/>
    <n v="749.99"/>
    <x v="2"/>
    <x v="30"/>
    <x v="1"/>
    <s v="Surly Ogre Frameset - 2017"/>
    <x v="1"/>
  </r>
  <r>
    <n v="1255"/>
    <n v="3"/>
    <n v="14"/>
    <x v="1"/>
    <n v="269.99"/>
    <x v="0"/>
    <x v="17"/>
    <x v="1"/>
    <s v="Electra Girl's Hawaii 1 (16-inch) - 2015/2016"/>
    <x v="1"/>
  </r>
  <r>
    <n v="1255"/>
    <n v="4"/>
    <n v="26"/>
    <x v="1"/>
    <n v="599.99"/>
    <x v="2"/>
    <x v="3"/>
    <x v="1"/>
    <s v="Electra Townie Original 7D EQ - 2016"/>
    <x v="1"/>
  </r>
  <r>
    <n v="1255"/>
    <n v="5"/>
    <n v="82"/>
    <x v="0"/>
    <n v="659.99"/>
    <x v="2"/>
    <x v="66"/>
    <x v="1"/>
    <s v="Electra Amsterdam Original 3i Ladies' - 2017"/>
    <x v="1"/>
  </r>
  <r>
    <n v="1256"/>
    <n v="1"/>
    <n v="44"/>
    <x v="1"/>
    <n v="539.99"/>
    <x v="0"/>
    <x v="104"/>
    <x v="1"/>
    <s v="Haro SR 1.1 - 2017"/>
    <x v="1"/>
  </r>
  <r>
    <n v="1256"/>
    <n v="2"/>
    <n v="100"/>
    <x v="0"/>
    <n v="489.99"/>
    <x v="3"/>
    <x v="44"/>
    <x v="1"/>
    <s v="Electra Townie 3i EQ (20-inch) - Boys' - 2017"/>
    <x v="1"/>
  </r>
  <r>
    <n v="1257"/>
    <n v="1"/>
    <n v="30"/>
    <x v="1"/>
    <n v="999.99"/>
    <x v="2"/>
    <x v="10"/>
    <x v="1"/>
    <s v="Surly Ice Cream Truck Frameset - 2017"/>
    <x v="1"/>
  </r>
  <r>
    <n v="1257"/>
    <n v="2"/>
    <n v="61"/>
    <x v="0"/>
    <n v="4999.99"/>
    <x v="2"/>
    <x v="76"/>
    <x v="1"/>
    <s v="Trek Powerfly 8 FS Plus - 2017"/>
    <x v="1"/>
  </r>
  <r>
    <n v="1257"/>
    <n v="3"/>
    <n v="17"/>
    <x v="1"/>
    <n v="429"/>
    <x v="3"/>
    <x v="13"/>
    <x v="1"/>
    <s v="Pure Cycles Vine 8-Speed - 2016"/>
    <x v="1"/>
  </r>
  <r>
    <n v="1257"/>
    <n v="4"/>
    <n v="41"/>
    <x v="0"/>
    <n v="1469.99"/>
    <x v="2"/>
    <x v="112"/>
    <x v="1"/>
    <s v="Haro Shift R3 - 2017"/>
    <x v="1"/>
  </r>
  <r>
    <n v="1257"/>
    <n v="5"/>
    <n v="4"/>
    <x v="0"/>
    <n v="2899.99"/>
    <x v="3"/>
    <x v="4"/>
    <x v="1"/>
    <s v="Trek Fuel EX 8 29 - 2016"/>
    <x v="1"/>
  </r>
  <r>
    <n v="1258"/>
    <n v="1"/>
    <n v="94"/>
    <x v="1"/>
    <n v="249.99"/>
    <x v="3"/>
    <x v="53"/>
    <x v="1"/>
    <s v="Haro Shredder Pro 20 - 2017"/>
    <x v="1"/>
  </r>
  <r>
    <n v="1258"/>
    <n v="2"/>
    <n v="99"/>
    <x v="1"/>
    <n v="299.99"/>
    <x v="2"/>
    <x v="22"/>
    <x v="1"/>
    <s v="Electra Sugar Skulls 1 (20-inch) - Girl's - 2017"/>
    <x v="1"/>
  </r>
  <r>
    <n v="1259"/>
    <n v="1"/>
    <n v="60"/>
    <x v="0"/>
    <n v="1559.99"/>
    <x v="3"/>
    <x v="100"/>
    <x v="1"/>
    <s v="Sun Bicycles ElectroLite - 2017"/>
    <x v="1"/>
  </r>
  <r>
    <n v="1259"/>
    <n v="2"/>
    <n v="19"/>
    <x v="0"/>
    <n v="449"/>
    <x v="0"/>
    <x v="8"/>
    <x v="1"/>
    <s v="Pure Cycles William 3-Speed - 2016"/>
    <x v="1"/>
  </r>
  <r>
    <n v="1260"/>
    <n v="1"/>
    <n v="8"/>
    <x v="0"/>
    <n v="1799.99"/>
    <x v="3"/>
    <x v="16"/>
    <x v="1"/>
    <s v="Trek Remedy 29 Carbon Frameset - 2016"/>
    <x v="1"/>
  </r>
  <r>
    <n v="1260"/>
    <n v="2"/>
    <n v="66"/>
    <x v="0"/>
    <n v="250.99"/>
    <x v="3"/>
    <x v="61"/>
    <x v="1"/>
    <s v="Sun Bicycles Revolutions 24 - 2017"/>
    <x v="1"/>
  </r>
  <r>
    <n v="1261"/>
    <n v="1"/>
    <n v="73"/>
    <x v="0"/>
    <n v="749.99"/>
    <x v="0"/>
    <x v="30"/>
    <x v="1"/>
    <s v="Sun Bicycles Brickell Tandem 7 - 2017"/>
    <x v="1"/>
  </r>
  <r>
    <n v="1261"/>
    <n v="2"/>
    <n v="88"/>
    <x v="1"/>
    <n v="189.99"/>
    <x v="0"/>
    <x v="59"/>
    <x v="1"/>
    <s v="Trek Precaliber 12 Girls - 2017"/>
    <x v="1"/>
  </r>
  <r>
    <n v="1261"/>
    <n v="3"/>
    <n v="100"/>
    <x v="0"/>
    <n v="489.99"/>
    <x v="2"/>
    <x v="44"/>
    <x v="1"/>
    <s v="Electra Townie 3i EQ (20-inch) - Boys' - 2017"/>
    <x v="1"/>
  </r>
  <r>
    <n v="1261"/>
    <n v="4"/>
    <n v="42"/>
    <x v="0"/>
    <n v="2299.9899999999998"/>
    <x v="3"/>
    <x v="101"/>
    <x v="1"/>
    <s v="Trek Fuel EX 5 27.5 Plus - 2017"/>
    <x v="1"/>
  </r>
  <r>
    <n v="1262"/>
    <n v="1"/>
    <n v="37"/>
    <x v="0"/>
    <n v="379.99"/>
    <x v="1"/>
    <x v="125"/>
    <x v="1"/>
    <s v="Haro Flightline One ST - 2017"/>
    <x v="1"/>
  </r>
  <r>
    <n v="1262"/>
    <n v="2"/>
    <n v="52"/>
    <x v="0"/>
    <n v="875.99"/>
    <x v="2"/>
    <x v="63"/>
    <x v="1"/>
    <s v="Surly Steamroller - 2017"/>
    <x v="1"/>
  </r>
  <r>
    <n v="1262"/>
    <n v="3"/>
    <n v="43"/>
    <x v="1"/>
    <n v="5299.99"/>
    <x v="1"/>
    <x v="46"/>
    <x v="1"/>
    <s v="Trek Fuel EX 9.8 27.5 Plus - 2017"/>
    <x v="1"/>
  </r>
  <r>
    <n v="1262"/>
    <n v="4"/>
    <n v="77"/>
    <x v="0"/>
    <n v="799.99"/>
    <x v="1"/>
    <x v="129"/>
    <x v="1"/>
    <s v="Electra Glam Punk 3i Ladies' - 2017"/>
    <x v="1"/>
  </r>
  <r>
    <n v="1263"/>
    <n v="1"/>
    <n v="45"/>
    <x v="0"/>
    <n v="869.99"/>
    <x v="0"/>
    <x v="98"/>
    <x v="1"/>
    <s v="Haro SR 1.2 - 2017"/>
    <x v="1"/>
  </r>
  <r>
    <n v="1263"/>
    <n v="2"/>
    <n v="62"/>
    <x v="0"/>
    <n v="3499.99"/>
    <x v="2"/>
    <x v="43"/>
    <x v="1"/>
    <s v="Trek Boone 7 - 2017"/>
    <x v="1"/>
  </r>
  <r>
    <n v="1263"/>
    <n v="3"/>
    <n v="19"/>
    <x v="1"/>
    <n v="449"/>
    <x v="3"/>
    <x v="21"/>
    <x v="1"/>
    <s v="Pure Cycles William 3-Speed - 2016"/>
    <x v="1"/>
  </r>
  <r>
    <n v="1264"/>
    <n v="1"/>
    <n v="101"/>
    <x v="0"/>
    <n v="339.99"/>
    <x v="1"/>
    <x v="119"/>
    <x v="1"/>
    <s v="Electra Townie 7D (20-inch) - Boys' - 2017"/>
    <x v="1"/>
  </r>
  <r>
    <n v="1264"/>
    <n v="2"/>
    <n v="77"/>
    <x v="1"/>
    <n v="799.99"/>
    <x v="1"/>
    <x v="108"/>
    <x v="1"/>
    <s v="Electra Glam Punk 3i Ladies' - 2017"/>
    <x v="1"/>
  </r>
  <r>
    <n v="1264"/>
    <n v="3"/>
    <n v="29"/>
    <x v="1"/>
    <n v="999.99"/>
    <x v="0"/>
    <x v="10"/>
    <x v="1"/>
    <s v="Trek X-Caliber 8 - 2017"/>
    <x v="1"/>
  </r>
  <r>
    <n v="1264"/>
    <n v="4"/>
    <n v="52"/>
    <x v="0"/>
    <n v="875.99"/>
    <x v="2"/>
    <x v="63"/>
    <x v="1"/>
    <s v="Surly Steamroller - 2017"/>
    <x v="1"/>
  </r>
  <r>
    <n v="1265"/>
    <n v="1"/>
    <n v="41"/>
    <x v="1"/>
    <n v="1469.99"/>
    <x v="3"/>
    <x v="69"/>
    <x v="1"/>
    <s v="Haro Shift R3 - 2017"/>
    <x v="1"/>
  </r>
  <r>
    <n v="1265"/>
    <n v="2"/>
    <n v="72"/>
    <x v="1"/>
    <n v="619.99"/>
    <x v="1"/>
    <x v="103"/>
    <x v="1"/>
    <s v="Sun Bicycles Biscayne Tandem 7 - 2017"/>
    <x v="1"/>
  </r>
  <r>
    <n v="1266"/>
    <n v="1"/>
    <n v="90"/>
    <x v="0"/>
    <n v="209.99"/>
    <x v="0"/>
    <x v="48"/>
    <x v="1"/>
    <s v="Trek Precaliber 16 Girls - 2017"/>
    <x v="1"/>
  </r>
  <r>
    <n v="1266"/>
    <n v="2"/>
    <n v="48"/>
    <x v="0"/>
    <n v="1499.99"/>
    <x v="0"/>
    <x v="77"/>
    <x v="1"/>
    <s v="Trek Emonda S 4 - 2017"/>
    <x v="1"/>
  </r>
  <r>
    <n v="1267"/>
    <n v="1"/>
    <n v="45"/>
    <x v="0"/>
    <n v="869.99"/>
    <x v="3"/>
    <x v="98"/>
    <x v="1"/>
    <s v="Haro SR 1.2 - 2017"/>
    <x v="1"/>
  </r>
  <r>
    <n v="1267"/>
    <n v="2"/>
    <n v="27"/>
    <x v="0"/>
    <n v="999.99"/>
    <x v="1"/>
    <x v="5"/>
    <x v="1"/>
    <s v="Surly Big Dummy Frameset - 2017"/>
    <x v="1"/>
  </r>
  <r>
    <n v="1267"/>
    <n v="3"/>
    <n v="108"/>
    <x v="0"/>
    <n v="449.99"/>
    <x v="0"/>
    <x v="72"/>
    <x v="1"/>
    <s v="Sun Bicycles Cruz 3 - Women's - 2017"/>
    <x v="1"/>
  </r>
  <r>
    <n v="1267"/>
    <n v="4"/>
    <n v="95"/>
    <x v="0"/>
    <n v="299.99"/>
    <x v="2"/>
    <x v="23"/>
    <x v="1"/>
    <s v="Electra Girl's Hawaii 1 16&quot; - 2017"/>
    <x v="1"/>
  </r>
  <r>
    <n v="1268"/>
    <n v="1"/>
    <n v="68"/>
    <x v="1"/>
    <n v="449.99"/>
    <x v="1"/>
    <x v="37"/>
    <x v="1"/>
    <s v="Sun Bicycles Cruz 3 - 2017"/>
    <x v="0"/>
  </r>
  <r>
    <n v="1268"/>
    <n v="2"/>
    <n v="87"/>
    <x v="1"/>
    <n v="189.99"/>
    <x v="1"/>
    <x v="59"/>
    <x v="1"/>
    <s v="Trek Precaliber 12 Boys - 2017"/>
    <x v="0"/>
  </r>
  <r>
    <n v="1268"/>
    <n v="3"/>
    <n v="59"/>
    <x v="1"/>
    <n v="2599.9899999999998"/>
    <x v="0"/>
    <x v="67"/>
    <x v="1"/>
    <s v="Trek Domane S 5 Disc - 2017"/>
    <x v="0"/>
  </r>
  <r>
    <n v="1268"/>
    <n v="4"/>
    <n v="100"/>
    <x v="0"/>
    <n v="489.99"/>
    <x v="1"/>
    <x v="44"/>
    <x v="1"/>
    <s v="Electra Townie 3i EQ (20-inch) - Boys' - 2017"/>
    <x v="0"/>
  </r>
  <r>
    <n v="1269"/>
    <n v="1"/>
    <n v="4"/>
    <x v="1"/>
    <n v="2899.99"/>
    <x v="0"/>
    <x v="18"/>
    <x v="1"/>
    <s v="Trek Fuel EX 8 29 - 2016"/>
    <x v="1"/>
  </r>
  <r>
    <n v="1269"/>
    <n v="2"/>
    <n v="7"/>
    <x v="0"/>
    <n v="3999.99"/>
    <x v="0"/>
    <x v="25"/>
    <x v="1"/>
    <s v="Trek Slash 8 27.5 - 2016"/>
    <x v="1"/>
  </r>
  <r>
    <n v="1269"/>
    <n v="3"/>
    <n v="111"/>
    <x v="0"/>
    <n v="470.99"/>
    <x v="3"/>
    <x v="107"/>
    <x v="1"/>
    <s v="Sun Bicycles Drifter 7 - Women's - 2017"/>
    <x v="1"/>
  </r>
  <r>
    <n v="1270"/>
    <n v="1"/>
    <n v="54"/>
    <x v="0"/>
    <n v="3199.99"/>
    <x v="0"/>
    <x v="120"/>
    <x v="1"/>
    <s v="Trek Domane SL Disc Frameset - 2017"/>
    <x v="1"/>
  </r>
  <r>
    <n v="1271"/>
    <n v="1"/>
    <n v="25"/>
    <x v="1"/>
    <n v="499.99"/>
    <x v="3"/>
    <x v="26"/>
    <x v="1"/>
    <s v="Electra Townie Original 7D - 2015/2016"/>
    <x v="1"/>
  </r>
  <r>
    <n v="1271"/>
    <n v="2"/>
    <n v="50"/>
    <x v="1"/>
    <n v="5999.99"/>
    <x v="1"/>
    <x v="121"/>
    <x v="1"/>
    <s v="Trek Silque SLR 7 Women's - 2017"/>
    <x v="1"/>
  </r>
  <r>
    <n v="1271"/>
    <n v="3"/>
    <n v="87"/>
    <x v="1"/>
    <n v="189.99"/>
    <x v="1"/>
    <x v="59"/>
    <x v="1"/>
    <s v="Trek Precaliber 12 Boys - 2017"/>
    <x v="1"/>
  </r>
  <r>
    <n v="1271"/>
    <n v="4"/>
    <n v="32"/>
    <x v="1"/>
    <n v="469.99"/>
    <x v="1"/>
    <x v="35"/>
    <x v="1"/>
    <s v="Trek Farley Alloy Frameset - 2017"/>
    <x v="1"/>
  </r>
  <r>
    <n v="1272"/>
    <n v="1"/>
    <n v="16"/>
    <x v="1"/>
    <n v="599.99"/>
    <x v="0"/>
    <x v="3"/>
    <x v="1"/>
    <s v="Electra Townie Original 7D EQ - 2016"/>
    <x v="1"/>
  </r>
  <r>
    <n v="1272"/>
    <n v="2"/>
    <n v="71"/>
    <x v="1"/>
    <n v="416.99"/>
    <x v="3"/>
    <x v="42"/>
    <x v="1"/>
    <s v="Sun Bicycles Atlas X-Type - 2017"/>
    <x v="1"/>
  </r>
  <r>
    <n v="1272"/>
    <n v="3"/>
    <n v="86"/>
    <x v="0"/>
    <n v="149.99"/>
    <x v="1"/>
    <x v="62"/>
    <x v="1"/>
    <s v="Trek Girl's Kickster - 2017"/>
    <x v="1"/>
  </r>
  <r>
    <n v="1273"/>
    <n v="1"/>
    <n v="95"/>
    <x v="1"/>
    <n v="299.99"/>
    <x v="1"/>
    <x v="22"/>
    <x v="1"/>
    <s v="Electra Girl's Hawaii 1 16&quot; - 2017"/>
    <x v="1"/>
  </r>
  <r>
    <n v="1273"/>
    <n v="2"/>
    <n v="20"/>
    <x v="0"/>
    <n v="599.99"/>
    <x v="1"/>
    <x v="0"/>
    <x v="1"/>
    <s v="Electra Townie Original 7D EQ - Women's - 2016"/>
    <x v="1"/>
  </r>
  <r>
    <n v="1273"/>
    <n v="3"/>
    <n v="58"/>
    <x v="0"/>
    <n v="4999.99"/>
    <x v="0"/>
    <x v="76"/>
    <x v="1"/>
    <s v="Trek Madone 9.2 - 2017"/>
    <x v="1"/>
  </r>
  <r>
    <n v="1274"/>
    <n v="1"/>
    <n v="81"/>
    <x v="0"/>
    <n v="1099.99"/>
    <x v="3"/>
    <x v="111"/>
    <x v="1"/>
    <s v="Electra Amsterdam Fashion 7i Ladies' - 2017"/>
    <x v="1"/>
  </r>
  <r>
    <n v="1275"/>
    <n v="1"/>
    <n v="58"/>
    <x v="0"/>
    <n v="4999.99"/>
    <x v="1"/>
    <x v="76"/>
    <x v="1"/>
    <s v="Trek Madone 9.2 - 2017"/>
    <x v="0"/>
  </r>
  <r>
    <n v="1275"/>
    <n v="2"/>
    <n v="30"/>
    <x v="0"/>
    <n v="999.99"/>
    <x v="3"/>
    <x v="5"/>
    <x v="1"/>
    <s v="Surly Ice Cream Truck Frameset - 2017"/>
    <x v="0"/>
  </r>
  <r>
    <n v="1276"/>
    <n v="1"/>
    <n v="18"/>
    <x v="1"/>
    <n v="449"/>
    <x v="0"/>
    <x v="21"/>
    <x v="1"/>
    <s v="Pure Cycles Western 3-Speed - Women's - 2015/2016"/>
    <x v="1"/>
  </r>
  <r>
    <n v="1276"/>
    <n v="2"/>
    <n v="58"/>
    <x v="0"/>
    <n v="4999.99"/>
    <x v="0"/>
    <x v="76"/>
    <x v="1"/>
    <s v="Trek Madone 9.2 - 2017"/>
    <x v="1"/>
  </r>
  <r>
    <n v="1276"/>
    <n v="3"/>
    <n v="42"/>
    <x v="0"/>
    <n v="2299.9899999999998"/>
    <x v="2"/>
    <x v="101"/>
    <x v="1"/>
    <s v="Trek Fuel EX 5 27.5 Plus - 2017"/>
    <x v="1"/>
  </r>
  <r>
    <n v="1276"/>
    <n v="4"/>
    <n v="24"/>
    <x v="1"/>
    <n v="549.99"/>
    <x v="0"/>
    <x v="9"/>
    <x v="1"/>
    <s v="Electra Townie Original 21D - 2016"/>
    <x v="1"/>
  </r>
  <r>
    <n v="1276"/>
    <n v="5"/>
    <n v="78"/>
    <x v="1"/>
    <n v="647.99"/>
    <x v="0"/>
    <x v="114"/>
    <x v="1"/>
    <s v="Sun Bicycles Biscayne Tandem CB - 2017"/>
    <x v="1"/>
  </r>
  <r>
    <n v="1277"/>
    <n v="1"/>
    <n v="56"/>
    <x v="1"/>
    <n v="5499.99"/>
    <x v="0"/>
    <x v="91"/>
    <x v="1"/>
    <s v="Trek Domane SLR 6 Disc - 2017"/>
    <x v="1"/>
  </r>
  <r>
    <n v="1277"/>
    <n v="2"/>
    <n v="93"/>
    <x v="1"/>
    <n v="209.99"/>
    <x v="2"/>
    <x v="84"/>
    <x v="1"/>
    <s v="Haro Shredder 20 Girls - 2017"/>
    <x v="1"/>
  </r>
  <r>
    <n v="1277"/>
    <n v="3"/>
    <n v="9"/>
    <x v="1"/>
    <n v="2999.99"/>
    <x v="3"/>
    <x v="11"/>
    <x v="1"/>
    <s v="Trek Conduit+ - 2016"/>
    <x v="1"/>
  </r>
  <r>
    <n v="1277"/>
    <n v="4"/>
    <n v="4"/>
    <x v="0"/>
    <n v="2899.99"/>
    <x v="3"/>
    <x v="4"/>
    <x v="1"/>
    <s v="Trek Fuel EX 8 29 - 2016"/>
    <x v="1"/>
  </r>
  <r>
    <n v="1277"/>
    <n v="5"/>
    <n v="11"/>
    <x v="0"/>
    <n v="1680.99"/>
    <x v="0"/>
    <x v="19"/>
    <x v="1"/>
    <s v="Surly Straggler 650b - 2016"/>
    <x v="1"/>
  </r>
  <r>
    <n v="1278"/>
    <n v="1"/>
    <n v="103"/>
    <x v="1"/>
    <n v="551.99"/>
    <x v="3"/>
    <x v="95"/>
    <x v="1"/>
    <s v="Sun Bicycles Streamway 3 - 2017"/>
    <x v="1"/>
  </r>
  <r>
    <n v="1278"/>
    <n v="2"/>
    <n v="32"/>
    <x v="0"/>
    <n v="469.99"/>
    <x v="3"/>
    <x v="20"/>
    <x v="1"/>
    <s v="Trek Farley Alloy Frameset - 2017"/>
    <x v="1"/>
  </r>
  <r>
    <n v="1279"/>
    <n v="1"/>
    <n v="9"/>
    <x v="1"/>
    <n v="2999.99"/>
    <x v="2"/>
    <x v="11"/>
    <x v="1"/>
    <s v="Trek Conduit+ - 2016"/>
    <x v="1"/>
  </r>
  <r>
    <n v="1280"/>
    <n v="1"/>
    <n v="72"/>
    <x v="1"/>
    <n v="619.99"/>
    <x v="1"/>
    <x v="103"/>
    <x v="1"/>
    <s v="Sun Bicycles Biscayne Tandem 7 - 2017"/>
    <x v="2"/>
  </r>
  <r>
    <n v="1280"/>
    <n v="2"/>
    <n v="74"/>
    <x v="0"/>
    <n v="439.99"/>
    <x v="2"/>
    <x v="56"/>
    <x v="1"/>
    <s v="Electra Cruiser Lux 1 - 2017"/>
    <x v="2"/>
  </r>
  <r>
    <n v="1280"/>
    <n v="3"/>
    <n v="52"/>
    <x v="0"/>
    <n v="875.99"/>
    <x v="1"/>
    <x v="63"/>
    <x v="1"/>
    <s v="Surly Steamroller - 2017"/>
    <x v="2"/>
  </r>
  <r>
    <n v="1280"/>
    <n v="4"/>
    <n v="63"/>
    <x v="0"/>
    <n v="3499.99"/>
    <x v="0"/>
    <x v="43"/>
    <x v="1"/>
    <s v="Trek Boone Race Shop Limited - 2017"/>
    <x v="2"/>
  </r>
  <r>
    <n v="1281"/>
    <n v="1"/>
    <n v="36"/>
    <x v="0"/>
    <n v="832.99"/>
    <x v="2"/>
    <x v="106"/>
    <x v="1"/>
    <s v="Surly Troll Frameset - 2017"/>
    <x v="1"/>
  </r>
  <r>
    <n v="1281"/>
    <n v="2"/>
    <n v="49"/>
    <x v="1"/>
    <n v="3499.99"/>
    <x v="2"/>
    <x v="54"/>
    <x v="1"/>
    <s v="Trek Domane SL 6 - 2017"/>
    <x v="1"/>
  </r>
  <r>
    <n v="1281"/>
    <n v="3"/>
    <n v="75"/>
    <x v="0"/>
    <n v="599.99"/>
    <x v="2"/>
    <x v="0"/>
    <x v="1"/>
    <s v="Electra Cruiser Lux Fat Tire 1 Ladies - 2017"/>
    <x v="1"/>
  </r>
  <r>
    <n v="1282"/>
    <n v="1"/>
    <n v="111"/>
    <x v="0"/>
    <n v="470.99"/>
    <x v="2"/>
    <x v="107"/>
    <x v="1"/>
    <s v="Sun Bicycles Drifter 7 - Women's - 2017"/>
    <x v="1"/>
  </r>
  <r>
    <n v="1282"/>
    <n v="2"/>
    <n v="50"/>
    <x v="1"/>
    <n v="5999.99"/>
    <x v="0"/>
    <x v="121"/>
    <x v="1"/>
    <s v="Trek Silque SLR 7 Women's - 2017"/>
    <x v="1"/>
  </r>
  <r>
    <n v="1283"/>
    <n v="1"/>
    <n v="61"/>
    <x v="1"/>
    <n v="4999.99"/>
    <x v="2"/>
    <x v="41"/>
    <x v="1"/>
    <s v="Trek Powerfly 8 FS Plus - 2017"/>
    <x v="1"/>
  </r>
  <r>
    <n v="1283"/>
    <n v="2"/>
    <n v="81"/>
    <x v="0"/>
    <n v="1099.99"/>
    <x v="0"/>
    <x v="111"/>
    <x v="1"/>
    <s v="Electra Amsterdam Fashion 7i Ladies' - 2017"/>
    <x v="1"/>
  </r>
  <r>
    <n v="1283"/>
    <n v="3"/>
    <n v="7"/>
    <x v="0"/>
    <n v="3999.99"/>
    <x v="3"/>
    <x v="25"/>
    <x v="1"/>
    <s v="Trek Slash 8 27.5 - 2016"/>
    <x v="1"/>
  </r>
  <r>
    <n v="1283"/>
    <n v="4"/>
    <n v="32"/>
    <x v="0"/>
    <n v="469.99"/>
    <x v="3"/>
    <x v="20"/>
    <x v="1"/>
    <s v="Trek Farley Alloy Frameset - 2017"/>
    <x v="1"/>
  </r>
  <r>
    <n v="1283"/>
    <n v="5"/>
    <n v="11"/>
    <x v="0"/>
    <n v="1680.99"/>
    <x v="0"/>
    <x v="19"/>
    <x v="1"/>
    <s v="Surly Straggler 650b - 2016"/>
    <x v="1"/>
  </r>
  <r>
    <n v="1284"/>
    <n v="1"/>
    <n v="101"/>
    <x v="0"/>
    <n v="339.99"/>
    <x v="1"/>
    <x v="119"/>
    <x v="1"/>
    <s v="Electra Townie 7D (20-inch) - Boys' - 2017"/>
    <x v="1"/>
  </r>
  <r>
    <n v="1284"/>
    <n v="2"/>
    <n v="8"/>
    <x v="0"/>
    <n v="1799.99"/>
    <x v="2"/>
    <x v="16"/>
    <x v="1"/>
    <s v="Trek Remedy 29 Carbon Frameset - 2016"/>
    <x v="1"/>
  </r>
  <r>
    <n v="1284"/>
    <n v="3"/>
    <n v="4"/>
    <x v="1"/>
    <n v="2899.99"/>
    <x v="2"/>
    <x v="18"/>
    <x v="1"/>
    <s v="Trek Fuel EX 8 29 - 2016"/>
    <x v="1"/>
  </r>
  <r>
    <n v="1285"/>
    <n v="1"/>
    <n v="78"/>
    <x v="1"/>
    <n v="647.99"/>
    <x v="1"/>
    <x v="114"/>
    <x v="1"/>
    <s v="Sun Bicycles Biscayne Tandem CB - 2017"/>
    <x v="1"/>
  </r>
  <r>
    <n v="1285"/>
    <n v="2"/>
    <n v="93"/>
    <x v="0"/>
    <n v="209.99"/>
    <x v="3"/>
    <x v="48"/>
    <x v="1"/>
    <s v="Haro Shredder 20 Girls - 2017"/>
    <x v="1"/>
  </r>
  <r>
    <n v="1285"/>
    <n v="3"/>
    <n v="69"/>
    <x v="1"/>
    <n v="416.99"/>
    <x v="0"/>
    <x v="42"/>
    <x v="1"/>
    <s v="Sun Bicycles Cruz 7 - 2017"/>
    <x v="1"/>
  </r>
  <r>
    <n v="1285"/>
    <n v="4"/>
    <n v="6"/>
    <x v="0"/>
    <n v="469.99"/>
    <x v="3"/>
    <x v="20"/>
    <x v="1"/>
    <s v="Surly Ice Cream Truck Frameset - 2016"/>
    <x v="1"/>
  </r>
  <r>
    <n v="1286"/>
    <n v="1"/>
    <n v="109"/>
    <x v="1"/>
    <n v="416.99"/>
    <x v="0"/>
    <x v="42"/>
    <x v="1"/>
    <s v="Sun Bicycles Cruz 7 - Women's - 2017"/>
    <x v="1"/>
  </r>
  <r>
    <n v="1286"/>
    <n v="2"/>
    <n v="81"/>
    <x v="1"/>
    <n v="1099.99"/>
    <x v="1"/>
    <x v="88"/>
    <x v="1"/>
    <s v="Electra Amsterdam Fashion 7i Ladies' - 2017"/>
    <x v="1"/>
  </r>
  <r>
    <n v="1286"/>
    <n v="3"/>
    <n v="87"/>
    <x v="0"/>
    <n v="189.99"/>
    <x v="1"/>
    <x v="93"/>
    <x v="1"/>
    <s v="Trek Precaliber 12 Boys - 2017"/>
    <x v="1"/>
  </r>
  <r>
    <n v="1287"/>
    <n v="1"/>
    <n v="27"/>
    <x v="1"/>
    <n v="999.99"/>
    <x v="0"/>
    <x v="10"/>
    <x v="1"/>
    <s v="Surly Big Dummy Frameset - 2017"/>
    <x v="0"/>
  </r>
  <r>
    <n v="1287"/>
    <n v="2"/>
    <n v="62"/>
    <x v="1"/>
    <n v="3499.99"/>
    <x v="3"/>
    <x v="54"/>
    <x v="1"/>
    <s v="Trek Boone 7 - 2017"/>
    <x v="0"/>
  </r>
  <r>
    <n v="1287"/>
    <n v="3"/>
    <n v="103"/>
    <x v="0"/>
    <n v="551.99"/>
    <x v="3"/>
    <x v="38"/>
    <x v="1"/>
    <s v="Sun Bicycles Streamway 3 - 2017"/>
    <x v="0"/>
  </r>
  <r>
    <n v="1287"/>
    <n v="4"/>
    <n v="100"/>
    <x v="1"/>
    <n v="489.99"/>
    <x v="2"/>
    <x v="52"/>
    <x v="1"/>
    <s v="Electra Townie 3i EQ (20-inch) - Boys' - 2017"/>
    <x v="0"/>
  </r>
  <r>
    <n v="1288"/>
    <n v="1"/>
    <n v="73"/>
    <x v="0"/>
    <n v="749.99"/>
    <x v="0"/>
    <x v="30"/>
    <x v="1"/>
    <s v="Sun Bicycles Brickell Tandem 7 - 2017"/>
    <x v="2"/>
  </r>
  <r>
    <n v="1288"/>
    <n v="2"/>
    <n v="64"/>
    <x v="1"/>
    <n v="489.99"/>
    <x v="0"/>
    <x v="52"/>
    <x v="1"/>
    <s v="Electra Townie Original 7D - 2017"/>
    <x v="2"/>
  </r>
  <r>
    <n v="1288"/>
    <n v="3"/>
    <n v="62"/>
    <x v="1"/>
    <n v="3499.99"/>
    <x v="3"/>
    <x v="54"/>
    <x v="1"/>
    <s v="Trek Boone 7 - 2017"/>
    <x v="2"/>
  </r>
  <r>
    <n v="1288"/>
    <n v="4"/>
    <n v="17"/>
    <x v="1"/>
    <n v="429"/>
    <x v="1"/>
    <x v="13"/>
    <x v="1"/>
    <s v="Pure Cycles Vine 8-Speed - 2016"/>
    <x v="2"/>
  </r>
  <r>
    <n v="1289"/>
    <n v="1"/>
    <n v="89"/>
    <x v="0"/>
    <n v="209.99"/>
    <x v="2"/>
    <x v="48"/>
    <x v="1"/>
    <s v="Trek Precaliber 16 Boys - 2017"/>
    <x v="0"/>
  </r>
  <r>
    <n v="1289"/>
    <n v="2"/>
    <n v="3"/>
    <x v="0"/>
    <n v="999.99"/>
    <x v="3"/>
    <x v="5"/>
    <x v="1"/>
    <s v="Surly Wednesday Frameset - 2016"/>
    <x v="0"/>
  </r>
  <r>
    <n v="1290"/>
    <n v="1"/>
    <n v="75"/>
    <x v="1"/>
    <n v="599.99"/>
    <x v="2"/>
    <x v="3"/>
    <x v="1"/>
    <s v="Electra Cruiser Lux Fat Tire 1 Ladies - 2017"/>
    <x v="1"/>
  </r>
  <r>
    <n v="1290"/>
    <n v="2"/>
    <n v="36"/>
    <x v="0"/>
    <n v="832.99"/>
    <x v="2"/>
    <x v="106"/>
    <x v="1"/>
    <s v="Surly Troll Frameset - 2017"/>
    <x v="1"/>
  </r>
  <r>
    <n v="1290"/>
    <n v="3"/>
    <n v="92"/>
    <x v="1"/>
    <n v="209.99"/>
    <x v="3"/>
    <x v="84"/>
    <x v="1"/>
    <s v="Haro Shredder 20 - 2017"/>
    <x v="1"/>
  </r>
  <r>
    <n v="1291"/>
    <n v="1"/>
    <n v="57"/>
    <x v="0"/>
    <n v="1999.99"/>
    <x v="3"/>
    <x v="102"/>
    <x v="1"/>
    <s v="Trek Emonda S 5 - 2017"/>
    <x v="1"/>
  </r>
  <r>
    <n v="1291"/>
    <n v="2"/>
    <n v="58"/>
    <x v="1"/>
    <n v="4999.99"/>
    <x v="2"/>
    <x v="41"/>
    <x v="1"/>
    <s v="Trek Madone 9.2 - 2017"/>
    <x v="1"/>
  </r>
  <r>
    <n v="1292"/>
    <n v="1"/>
    <n v="70"/>
    <x v="0"/>
    <n v="659.99"/>
    <x v="1"/>
    <x v="66"/>
    <x v="1"/>
    <s v="Electra Amsterdam Original 3i - 2015/2017"/>
    <x v="1"/>
  </r>
  <r>
    <n v="1293"/>
    <n v="1"/>
    <n v="88"/>
    <x v="1"/>
    <n v="189.99"/>
    <x v="3"/>
    <x v="59"/>
    <x v="1"/>
    <s v="Trek Precaliber 12 Girls - 2017"/>
    <x v="1"/>
  </r>
  <r>
    <n v="1293"/>
    <n v="2"/>
    <n v="74"/>
    <x v="1"/>
    <n v="439.99"/>
    <x v="2"/>
    <x v="105"/>
    <x v="1"/>
    <s v="Electra Cruiser Lux 1 - 2017"/>
    <x v="1"/>
  </r>
  <r>
    <n v="1293"/>
    <n v="3"/>
    <n v="38"/>
    <x v="1"/>
    <n v="549.99"/>
    <x v="1"/>
    <x v="9"/>
    <x v="1"/>
    <s v="Haro Flightline Two 26 Plus - 2017"/>
    <x v="1"/>
  </r>
  <r>
    <n v="1294"/>
    <n v="1"/>
    <n v="95"/>
    <x v="1"/>
    <n v="299.99"/>
    <x v="2"/>
    <x v="22"/>
    <x v="1"/>
    <s v="Electra Girl's Hawaii 1 16&quot; - 2017"/>
    <x v="0"/>
  </r>
  <r>
    <n v="1294"/>
    <n v="2"/>
    <n v="44"/>
    <x v="0"/>
    <n v="539.99"/>
    <x v="2"/>
    <x v="127"/>
    <x v="1"/>
    <s v="Haro SR 1.1 - 2017"/>
    <x v="0"/>
  </r>
  <r>
    <n v="1295"/>
    <n v="1"/>
    <n v="5"/>
    <x v="1"/>
    <n v="1320.99"/>
    <x v="0"/>
    <x v="34"/>
    <x v="1"/>
    <s v="Heller Shagamaw Frame - 2016"/>
    <x v="1"/>
  </r>
  <r>
    <n v="1295"/>
    <n v="2"/>
    <n v="61"/>
    <x v="0"/>
    <n v="4999.99"/>
    <x v="0"/>
    <x v="76"/>
    <x v="1"/>
    <s v="Trek Powerfly 8 FS Plus - 2017"/>
    <x v="1"/>
  </r>
  <r>
    <n v="1295"/>
    <n v="3"/>
    <n v="52"/>
    <x v="0"/>
    <n v="875.99"/>
    <x v="2"/>
    <x v="63"/>
    <x v="1"/>
    <s v="Surly Steamroller - 2017"/>
    <x v="1"/>
  </r>
  <r>
    <n v="1296"/>
    <n v="1"/>
    <n v="25"/>
    <x v="1"/>
    <n v="499.99"/>
    <x v="2"/>
    <x v="26"/>
    <x v="1"/>
    <s v="Electra Townie Original 7D - 2015/2016"/>
    <x v="0"/>
  </r>
  <r>
    <n v="1296"/>
    <n v="2"/>
    <n v="90"/>
    <x v="0"/>
    <n v="209.99"/>
    <x v="3"/>
    <x v="48"/>
    <x v="1"/>
    <s v="Trek Precaliber 16 Girls - 2017"/>
    <x v="0"/>
  </r>
  <r>
    <n v="1296"/>
    <n v="3"/>
    <n v="16"/>
    <x v="0"/>
    <n v="599.99"/>
    <x v="2"/>
    <x v="0"/>
    <x v="1"/>
    <s v="Electra Townie Original 7D EQ - 2016"/>
    <x v="0"/>
  </r>
  <r>
    <n v="1296"/>
    <n v="4"/>
    <n v="2"/>
    <x v="1"/>
    <n v="749.99"/>
    <x v="3"/>
    <x v="6"/>
    <x v="1"/>
    <s v="Ritchey Timberwolf Frameset - 2016"/>
    <x v="0"/>
  </r>
  <r>
    <n v="1297"/>
    <n v="1"/>
    <n v="104"/>
    <x v="1"/>
    <n v="481.99"/>
    <x v="1"/>
    <x v="80"/>
    <x v="1"/>
    <s v="Sun Bicycles Streamway - 2017"/>
    <x v="1"/>
  </r>
  <r>
    <n v="1297"/>
    <n v="2"/>
    <n v="43"/>
    <x v="0"/>
    <n v="5299.99"/>
    <x v="2"/>
    <x v="57"/>
    <x v="1"/>
    <s v="Trek Fuel EX 9.8 27.5 Plus - 2017"/>
    <x v="1"/>
  </r>
  <r>
    <n v="1297"/>
    <n v="3"/>
    <n v="51"/>
    <x v="1"/>
    <n v="6499.99"/>
    <x v="2"/>
    <x v="83"/>
    <x v="1"/>
    <s v="Trek Silque SLR 8 Women's - 2017"/>
    <x v="1"/>
  </r>
  <r>
    <n v="1298"/>
    <n v="1"/>
    <n v="59"/>
    <x v="0"/>
    <n v="2599.9899999999998"/>
    <x v="2"/>
    <x v="90"/>
    <x v="1"/>
    <s v="Trek Domane S 5 Disc - 2017"/>
    <x v="2"/>
  </r>
  <r>
    <n v="1298"/>
    <n v="2"/>
    <n v="110"/>
    <x v="1"/>
    <n v="470.99"/>
    <x v="1"/>
    <x v="60"/>
    <x v="1"/>
    <s v="Sun Bicycles Drifter 7 - 2017"/>
    <x v="2"/>
  </r>
  <r>
    <n v="1299"/>
    <n v="1"/>
    <n v="14"/>
    <x v="1"/>
    <n v="269.99"/>
    <x v="3"/>
    <x v="17"/>
    <x v="1"/>
    <s v="Electra Girl's Hawaii 1 (16-inch) - 2015/2016"/>
    <x v="0"/>
  </r>
  <r>
    <n v="1299"/>
    <n v="2"/>
    <n v="101"/>
    <x v="0"/>
    <n v="339.99"/>
    <x v="2"/>
    <x v="119"/>
    <x v="1"/>
    <s v="Electra Townie 7D (20-inch) - Boys' - 2017"/>
    <x v="0"/>
  </r>
  <r>
    <n v="1299"/>
    <n v="3"/>
    <n v="75"/>
    <x v="0"/>
    <n v="599.99"/>
    <x v="2"/>
    <x v="0"/>
    <x v="1"/>
    <s v="Electra Cruiser Lux Fat Tire 1 Ladies - 2017"/>
    <x v="0"/>
  </r>
  <r>
    <n v="1299"/>
    <n v="4"/>
    <n v="52"/>
    <x v="1"/>
    <n v="875.99"/>
    <x v="0"/>
    <x v="73"/>
    <x v="1"/>
    <s v="Surly Steamroller - 2017"/>
    <x v="0"/>
  </r>
  <r>
    <n v="1300"/>
    <n v="1"/>
    <n v="101"/>
    <x v="1"/>
    <n v="339.99"/>
    <x v="1"/>
    <x v="75"/>
    <x v="1"/>
    <s v="Electra Townie 7D (20-inch) - Boys' - 2017"/>
    <x v="1"/>
  </r>
  <r>
    <n v="1300"/>
    <n v="2"/>
    <n v="58"/>
    <x v="1"/>
    <n v="4999.99"/>
    <x v="2"/>
    <x v="41"/>
    <x v="1"/>
    <s v="Trek Madone 9.2 - 2017"/>
    <x v="1"/>
  </r>
  <r>
    <n v="1301"/>
    <n v="1"/>
    <n v="45"/>
    <x v="1"/>
    <n v="869.99"/>
    <x v="0"/>
    <x v="81"/>
    <x v="1"/>
    <s v="Haro SR 1.2 - 2017"/>
    <x v="0"/>
  </r>
  <r>
    <n v="1301"/>
    <n v="2"/>
    <n v="105"/>
    <x v="1"/>
    <n v="533.99"/>
    <x v="3"/>
    <x v="85"/>
    <x v="1"/>
    <s v="Sun Bicycles Streamway 7 - 2017"/>
    <x v="0"/>
  </r>
  <r>
    <n v="1301"/>
    <n v="3"/>
    <n v="8"/>
    <x v="0"/>
    <n v="1799.99"/>
    <x v="0"/>
    <x v="16"/>
    <x v="1"/>
    <s v="Trek Remedy 29 Carbon Frameset - 2016"/>
    <x v="0"/>
  </r>
  <r>
    <n v="1302"/>
    <n v="1"/>
    <n v="38"/>
    <x v="0"/>
    <n v="549.99"/>
    <x v="2"/>
    <x v="31"/>
    <x v="1"/>
    <s v="Haro Flightline Two 26 Plus - 2017"/>
    <x v="1"/>
  </r>
  <r>
    <n v="1302"/>
    <n v="2"/>
    <n v="20"/>
    <x v="1"/>
    <n v="599.99"/>
    <x v="3"/>
    <x v="3"/>
    <x v="1"/>
    <s v="Electra Townie Original 7D EQ - Women's - 2016"/>
    <x v="1"/>
  </r>
  <r>
    <n v="1302"/>
    <n v="3"/>
    <n v="56"/>
    <x v="1"/>
    <n v="5499.99"/>
    <x v="1"/>
    <x v="91"/>
    <x v="1"/>
    <s v="Trek Domane SLR 6 Disc - 2017"/>
    <x v="1"/>
  </r>
  <r>
    <n v="1303"/>
    <n v="1"/>
    <n v="96"/>
    <x v="0"/>
    <n v="349.99"/>
    <x v="3"/>
    <x v="99"/>
    <x v="1"/>
    <s v="Electra Moto 3i (20-inch) - Boy's - 2017"/>
    <x v="1"/>
  </r>
  <r>
    <n v="1303"/>
    <n v="2"/>
    <n v="63"/>
    <x v="1"/>
    <n v="3499.99"/>
    <x v="0"/>
    <x v="54"/>
    <x v="1"/>
    <s v="Trek Boone Race Shop Limited - 2017"/>
    <x v="1"/>
  </r>
  <r>
    <n v="1303"/>
    <n v="3"/>
    <n v="108"/>
    <x v="0"/>
    <n v="449.99"/>
    <x v="3"/>
    <x v="72"/>
    <x v="1"/>
    <s v="Sun Bicycles Cruz 3 - Women's - 2017"/>
    <x v="1"/>
  </r>
  <r>
    <n v="1303"/>
    <n v="4"/>
    <n v="73"/>
    <x v="0"/>
    <n v="749.99"/>
    <x v="3"/>
    <x v="30"/>
    <x v="1"/>
    <s v="Sun Bicycles Brickell Tandem 7 - 2017"/>
    <x v="1"/>
  </r>
  <r>
    <n v="1303"/>
    <n v="5"/>
    <n v="24"/>
    <x v="1"/>
    <n v="549.99"/>
    <x v="3"/>
    <x v="9"/>
    <x v="1"/>
    <s v="Electra Townie Original 21D - 2016"/>
    <x v="1"/>
  </r>
  <r>
    <n v="1304"/>
    <n v="1"/>
    <n v="80"/>
    <x v="0"/>
    <n v="761.99"/>
    <x v="2"/>
    <x v="58"/>
    <x v="1"/>
    <s v="Sun Bicycles Brickell Tandem CB - 2017"/>
    <x v="1"/>
  </r>
  <r>
    <n v="1304"/>
    <n v="2"/>
    <n v="99"/>
    <x v="1"/>
    <n v="299.99"/>
    <x v="2"/>
    <x v="22"/>
    <x v="1"/>
    <s v="Electra Sugar Skulls 1 (20-inch) - Girl's - 2017"/>
    <x v="1"/>
  </r>
  <r>
    <n v="1304"/>
    <n v="3"/>
    <n v="102"/>
    <x v="0"/>
    <n v="489.99"/>
    <x v="0"/>
    <x v="44"/>
    <x v="1"/>
    <s v="Electra Townie Original 7D - 2017"/>
    <x v="1"/>
  </r>
  <r>
    <n v="1304"/>
    <n v="4"/>
    <n v="17"/>
    <x v="0"/>
    <n v="429"/>
    <x v="2"/>
    <x v="7"/>
    <x v="1"/>
    <s v="Pure Cycles Vine 8-Speed - 2016"/>
    <x v="1"/>
  </r>
  <r>
    <n v="1305"/>
    <n v="1"/>
    <n v="85"/>
    <x v="0"/>
    <n v="329.99"/>
    <x v="0"/>
    <x v="51"/>
    <x v="1"/>
    <s v="Haro Downtown 16 - 2017"/>
    <x v="1"/>
  </r>
  <r>
    <n v="1305"/>
    <n v="2"/>
    <n v="9"/>
    <x v="0"/>
    <n v="2999.99"/>
    <x v="1"/>
    <x v="28"/>
    <x v="1"/>
    <s v="Trek Conduit+ - 2016"/>
    <x v="1"/>
  </r>
  <r>
    <n v="1305"/>
    <n v="3"/>
    <n v="11"/>
    <x v="0"/>
    <n v="1680.99"/>
    <x v="2"/>
    <x v="19"/>
    <x v="1"/>
    <s v="Surly Straggler 650b - 2016"/>
    <x v="1"/>
  </r>
  <r>
    <n v="1305"/>
    <n v="4"/>
    <n v="91"/>
    <x v="1"/>
    <n v="349.99"/>
    <x v="2"/>
    <x v="47"/>
    <x v="1"/>
    <s v="Trek Precaliber 24 (21-Speed) - Girls - 2017"/>
    <x v="1"/>
  </r>
  <r>
    <n v="1306"/>
    <n v="1"/>
    <n v="103"/>
    <x v="1"/>
    <n v="551.99"/>
    <x v="2"/>
    <x v="95"/>
    <x v="1"/>
    <s v="Sun Bicycles Streamway 3 - 2017"/>
    <x v="1"/>
  </r>
  <r>
    <n v="1306"/>
    <n v="2"/>
    <n v="81"/>
    <x v="1"/>
    <n v="1099.99"/>
    <x v="1"/>
    <x v="88"/>
    <x v="1"/>
    <s v="Electra Amsterdam Fashion 7i Ladies' - 2017"/>
    <x v="1"/>
  </r>
  <r>
    <n v="1306"/>
    <n v="3"/>
    <n v="45"/>
    <x v="0"/>
    <n v="869.99"/>
    <x v="0"/>
    <x v="98"/>
    <x v="1"/>
    <s v="Haro SR 1.2 - 2017"/>
    <x v="1"/>
  </r>
  <r>
    <n v="1306"/>
    <n v="4"/>
    <n v="42"/>
    <x v="0"/>
    <n v="2299.9899999999998"/>
    <x v="0"/>
    <x v="101"/>
    <x v="1"/>
    <s v="Trek Fuel EX 5 27.5 Plus - 2017"/>
    <x v="1"/>
  </r>
  <r>
    <n v="1306"/>
    <n v="5"/>
    <n v="9"/>
    <x v="1"/>
    <n v="2999.99"/>
    <x v="1"/>
    <x v="11"/>
    <x v="1"/>
    <s v="Trek Conduit+ - 2016"/>
    <x v="1"/>
  </r>
  <r>
    <n v="1307"/>
    <n v="1"/>
    <n v="96"/>
    <x v="1"/>
    <n v="349.99"/>
    <x v="1"/>
    <x v="47"/>
    <x v="1"/>
    <s v="Electra Moto 3i (20-inch) - Boy's - 2017"/>
    <x v="0"/>
  </r>
  <r>
    <n v="1307"/>
    <n v="2"/>
    <n v="53"/>
    <x v="1"/>
    <n v="749.99"/>
    <x v="0"/>
    <x v="6"/>
    <x v="1"/>
    <s v="Surly Ogre Frameset - 2017"/>
    <x v="0"/>
  </r>
  <r>
    <n v="1307"/>
    <n v="3"/>
    <n v="69"/>
    <x v="1"/>
    <n v="416.99"/>
    <x v="0"/>
    <x v="42"/>
    <x v="1"/>
    <s v="Sun Bicycles Cruz 7 - 2017"/>
    <x v="0"/>
  </r>
  <r>
    <n v="1308"/>
    <n v="1"/>
    <n v="54"/>
    <x v="0"/>
    <n v="3199.99"/>
    <x v="2"/>
    <x v="120"/>
    <x v="1"/>
    <s v="Trek Domane SL Disc Frameset - 2017"/>
    <x v="1"/>
  </r>
  <r>
    <n v="1308"/>
    <n v="2"/>
    <n v="69"/>
    <x v="0"/>
    <n v="416.99"/>
    <x v="0"/>
    <x v="71"/>
    <x v="1"/>
    <s v="Sun Bicycles Cruz 7 - 2017"/>
    <x v="1"/>
  </r>
  <r>
    <n v="1308"/>
    <n v="3"/>
    <n v="14"/>
    <x v="1"/>
    <n v="269.99"/>
    <x v="1"/>
    <x v="17"/>
    <x v="1"/>
    <s v="Electra Girl's Hawaii 1 (16-inch) - 2015/2016"/>
    <x v="1"/>
  </r>
  <r>
    <n v="1308"/>
    <n v="4"/>
    <n v="56"/>
    <x v="0"/>
    <n v="5499.99"/>
    <x v="0"/>
    <x v="39"/>
    <x v="1"/>
    <s v="Trek Domane SLR 6 Disc - 2017"/>
    <x v="1"/>
  </r>
  <r>
    <n v="1308"/>
    <n v="5"/>
    <n v="32"/>
    <x v="0"/>
    <n v="469.99"/>
    <x v="1"/>
    <x v="20"/>
    <x v="1"/>
    <s v="Trek Farley Alloy Frameset - 2017"/>
    <x v="1"/>
  </r>
  <r>
    <n v="1309"/>
    <n v="1"/>
    <n v="65"/>
    <x v="0"/>
    <n v="346.99"/>
    <x v="2"/>
    <x v="118"/>
    <x v="1"/>
    <s v="Sun Bicycles Lil Bolt Type-R - 2017"/>
    <x v="1"/>
  </r>
  <r>
    <n v="1309"/>
    <n v="2"/>
    <n v="87"/>
    <x v="1"/>
    <n v="189.99"/>
    <x v="0"/>
    <x v="59"/>
    <x v="1"/>
    <s v="Trek Precaliber 12 Boys - 2017"/>
    <x v="1"/>
  </r>
  <r>
    <n v="1310"/>
    <n v="1"/>
    <n v="59"/>
    <x v="0"/>
    <n v="2599.9899999999998"/>
    <x v="0"/>
    <x v="90"/>
    <x v="1"/>
    <s v="Trek Domane S 5 Disc - 2017"/>
    <x v="0"/>
  </r>
  <r>
    <n v="1310"/>
    <n v="2"/>
    <n v="77"/>
    <x v="1"/>
    <n v="799.99"/>
    <x v="0"/>
    <x v="108"/>
    <x v="1"/>
    <s v="Electra Glam Punk 3i Ladies' - 2017"/>
    <x v="0"/>
  </r>
  <r>
    <n v="1310"/>
    <n v="3"/>
    <n v="11"/>
    <x v="1"/>
    <n v="1680.99"/>
    <x v="3"/>
    <x v="32"/>
    <x v="1"/>
    <s v="Surly Straggler 650b - 2016"/>
    <x v="0"/>
  </r>
  <r>
    <n v="1310"/>
    <n v="4"/>
    <n v="54"/>
    <x v="0"/>
    <n v="3199.99"/>
    <x v="0"/>
    <x v="120"/>
    <x v="1"/>
    <s v="Trek Domane SL Disc Frameset - 2017"/>
    <x v="0"/>
  </r>
  <r>
    <n v="1311"/>
    <n v="1"/>
    <n v="69"/>
    <x v="0"/>
    <n v="416.99"/>
    <x v="3"/>
    <x v="71"/>
    <x v="1"/>
    <s v="Sun Bicycles Cruz 7 - 2017"/>
    <x v="1"/>
  </r>
  <r>
    <n v="1311"/>
    <n v="2"/>
    <n v="45"/>
    <x v="1"/>
    <n v="869.99"/>
    <x v="1"/>
    <x v="81"/>
    <x v="1"/>
    <s v="Haro SR 1.2 - 2017"/>
    <x v="1"/>
  </r>
  <r>
    <n v="1311"/>
    <n v="3"/>
    <n v="27"/>
    <x v="1"/>
    <n v="999.99"/>
    <x v="3"/>
    <x v="10"/>
    <x v="1"/>
    <s v="Surly Big Dummy Frameset - 2017"/>
    <x v="1"/>
  </r>
  <r>
    <n v="1311"/>
    <n v="4"/>
    <n v="42"/>
    <x v="0"/>
    <n v="2299.9899999999998"/>
    <x v="3"/>
    <x v="101"/>
    <x v="1"/>
    <s v="Trek Fuel EX 5 27.5 Plus - 2017"/>
    <x v="1"/>
  </r>
  <r>
    <n v="1312"/>
    <n v="1"/>
    <n v="67"/>
    <x v="1"/>
    <n v="250.99"/>
    <x v="2"/>
    <x v="55"/>
    <x v="1"/>
    <s v="Sun Bicycles Revolutions 24 - Girl's - 2017"/>
    <x v="0"/>
  </r>
  <r>
    <n v="1312"/>
    <n v="2"/>
    <n v="14"/>
    <x v="0"/>
    <n v="269.99"/>
    <x v="0"/>
    <x v="14"/>
    <x v="1"/>
    <s v="Electra Girl's Hawaii 1 (16-inch) - 2015/2016"/>
    <x v="0"/>
  </r>
  <r>
    <n v="1312"/>
    <n v="3"/>
    <n v="20"/>
    <x v="0"/>
    <n v="599.99"/>
    <x v="1"/>
    <x v="0"/>
    <x v="1"/>
    <s v="Electra Townie Original 7D EQ - Women's - 2016"/>
    <x v="0"/>
  </r>
  <r>
    <n v="1313"/>
    <n v="1"/>
    <n v="75"/>
    <x v="0"/>
    <n v="599.99"/>
    <x v="0"/>
    <x v="0"/>
    <x v="1"/>
    <s v="Electra Cruiser Lux Fat Tire 1 Ladies - 2017"/>
    <x v="0"/>
  </r>
  <r>
    <n v="1313"/>
    <n v="2"/>
    <n v="33"/>
    <x v="0"/>
    <n v="469.99"/>
    <x v="0"/>
    <x v="20"/>
    <x v="1"/>
    <s v="Surly Wednesday Frameset - 2017"/>
    <x v="0"/>
  </r>
  <r>
    <n v="1313"/>
    <n v="3"/>
    <n v="69"/>
    <x v="0"/>
    <n v="416.99"/>
    <x v="1"/>
    <x v="71"/>
    <x v="1"/>
    <s v="Sun Bicycles Cruz 7 - 2017"/>
    <x v="0"/>
  </r>
  <r>
    <n v="1314"/>
    <n v="1"/>
    <n v="52"/>
    <x v="0"/>
    <n v="875.99"/>
    <x v="1"/>
    <x v="63"/>
    <x v="1"/>
    <s v="Surly Steamroller - 2017"/>
    <x v="1"/>
  </r>
  <r>
    <n v="1314"/>
    <n v="2"/>
    <n v="72"/>
    <x v="1"/>
    <n v="619.99"/>
    <x v="2"/>
    <x v="103"/>
    <x v="1"/>
    <s v="Sun Bicycles Biscayne Tandem 7 - 2017"/>
    <x v="1"/>
  </r>
  <r>
    <n v="1314"/>
    <n v="3"/>
    <n v="94"/>
    <x v="0"/>
    <n v="249.99"/>
    <x v="3"/>
    <x v="70"/>
    <x v="1"/>
    <s v="Haro Shredder Pro 20 - 2017"/>
    <x v="1"/>
  </r>
  <r>
    <n v="1315"/>
    <n v="1"/>
    <n v="104"/>
    <x v="1"/>
    <n v="481.99"/>
    <x v="1"/>
    <x v="80"/>
    <x v="1"/>
    <s v="Sun Bicycles Streamway - 2017"/>
    <x v="2"/>
  </r>
  <r>
    <n v="1315"/>
    <n v="2"/>
    <n v="41"/>
    <x v="0"/>
    <n v="1469.99"/>
    <x v="2"/>
    <x v="112"/>
    <x v="1"/>
    <s v="Haro Shift R3 - 2017"/>
    <x v="2"/>
  </r>
  <r>
    <n v="1315"/>
    <n v="3"/>
    <n v="24"/>
    <x v="0"/>
    <n v="549.99"/>
    <x v="3"/>
    <x v="31"/>
    <x v="1"/>
    <s v="Electra Townie Original 21D - 2016"/>
    <x v="2"/>
  </r>
  <r>
    <n v="1315"/>
    <n v="4"/>
    <n v="26"/>
    <x v="0"/>
    <n v="599.99"/>
    <x v="1"/>
    <x v="0"/>
    <x v="1"/>
    <s v="Electra Townie Original 7D EQ - 2016"/>
    <x v="2"/>
  </r>
  <r>
    <n v="1315"/>
    <n v="5"/>
    <n v="16"/>
    <x v="1"/>
    <n v="599.99"/>
    <x v="0"/>
    <x v="3"/>
    <x v="1"/>
    <s v="Electra Townie Original 7D EQ - 2016"/>
    <x v="2"/>
  </r>
  <r>
    <n v="1316"/>
    <n v="1"/>
    <n v="76"/>
    <x v="1"/>
    <n v="299.99"/>
    <x v="3"/>
    <x v="22"/>
    <x v="1"/>
    <s v="Electra Girl's Hawaii 1 16&quot; - 2017"/>
    <x v="0"/>
  </r>
  <r>
    <n v="1316"/>
    <n v="2"/>
    <n v="90"/>
    <x v="0"/>
    <n v="209.99"/>
    <x v="3"/>
    <x v="48"/>
    <x v="1"/>
    <s v="Trek Precaliber 16 Girls - 2017"/>
    <x v="0"/>
  </r>
  <r>
    <n v="1317"/>
    <n v="1"/>
    <n v="82"/>
    <x v="0"/>
    <n v="659.99"/>
    <x v="3"/>
    <x v="66"/>
    <x v="1"/>
    <s v="Electra Amsterdam Original 3i Ladies' - 2017"/>
    <x v="0"/>
  </r>
  <r>
    <n v="1318"/>
    <n v="1"/>
    <n v="82"/>
    <x v="1"/>
    <n v="659.99"/>
    <x v="0"/>
    <x v="96"/>
    <x v="1"/>
    <s v="Electra Amsterdam Original 3i Ladies' - 2017"/>
    <x v="1"/>
  </r>
  <r>
    <n v="1318"/>
    <n v="2"/>
    <n v="62"/>
    <x v="1"/>
    <n v="3499.99"/>
    <x v="0"/>
    <x v="54"/>
    <x v="1"/>
    <s v="Trek Boone 7 - 2017"/>
    <x v="1"/>
  </r>
  <r>
    <n v="1318"/>
    <n v="3"/>
    <n v="111"/>
    <x v="0"/>
    <n v="470.99"/>
    <x v="0"/>
    <x v="107"/>
    <x v="1"/>
    <s v="Sun Bicycles Drifter 7 - Women's - 2017"/>
    <x v="1"/>
  </r>
  <r>
    <n v="1318"/>
    <n v="4"/>
    <n v="92"/>
    <x v="0"/>
    <n v="209.99"/>
    <x v="1"/>
    <x v="48"/>
    <x v="1"/>
    <s v="Haro Shredder 20 - 2017"/>
    <x v="1"/>
  </r>
  <r>
    <n v="1319"/>
    <n v="1"/>
    <n v="75"/>
    <x v="0"/>
    <n v="599.99"/>
    <x v="1"/>
    <x v="0"/>
    <x v="1"/>
    <s v="Electra Cruiser Lux Fat Tire 1 Ladies - 2017"/>
    <x v="1"/>
  </r>
  <r>
    <n v="1319"/>
    <n v="2"/>
    <n v="91"/>
    <x v="0"/>
    <n v="349.99"/>
    <x v="0"/>
    <x v="99"/>
    <x v="1"/>
    <s v="Trek Precaliber 24 (21-Speed) - Girls - 2017"/>
    <x v="1"/>
  </r>
  <r>
    <n v="1320"/>
    <n v="1"/>
    <n v="104"/>
    <x v="0"/>
    <n v="481.99"/>
    <x v="3"/>
    <x v="92"/>
    <x v="1"/>
    <s v="Sun Bicycles Streamway - 2017"/>
    <x v="0"/>
  </r>
  <r>
    <n v="1320"/>
    <n v="2"/>
    <n v="93"/>
    <x v="0"/>
    <n v="209.99"/>
    <x v="2"/>
    <x v="48"/>
    <x v="1"/>
    <s v="Haro Shredder 20 Girls - 2017"/>
    <x v="0"/>
  </r>
  <r>
    <n v="1320"/>
    <n v="3"/>
    <n v="99"/>
    <x v="1"/>
    <n v="299.99"/>
    <x v="0"/>
    <x v="22"/>
    <x v="1"/>
    <s v="Electra Sugar Skulls 1 (20-inch) - Girl's - 2017"/>
    <x v="0"/>
  </r>
  <r>
    <n v="1321"/>
    <n v="1"/>
    <n v="34"/>
    <x v="0"/>
    <n v="469.99"/>
    <x v="3"/>
    <x v="20"/>
    <x v="1"/>
    <s v="Trek Session DH 27.5 Carbon Frameset - 2017"/>
    <x v="0"/>
  </r>
  <r>
    <n v="1321"/>
    <n v="2"/>
    <n v="107"/>
    <x v="0"/>
    <n v="416.99"/>
    <x v="3"/>
    <x v="71"/>
    <x v="1"/>
    <s v="Sun Bicycles Cruz 7 - 2017"/>
    <x v="0"/>
  </r>
  <r>
    <n v="1321"/>
    <n v="3"/>
    <n v="11"/>
    <x v="1"/>
    <n v="1680.99"/>
    <x v="3"/>
    <x v="32"/>
    <x v="1"/>
    <s v="Surly Straggler 650b - 2016"/>
    <x v="0"/>
  </r>
  <r>
    <n v="1322"/>
    <n v="1"/>
    <n v="28"/>
    <x v="1"/>
    <n v="2499.9899999999998"/>
    <x v="2"/>
    <x v="117"/>
    <x v="1"/>
    <s v="Surly Karate Monkey 27.5+ Frameset - 2017"/>
    <x v="1"/>
  </r>
  <r>
    <n v="1322"/>
    <n v="2"/>
    <n v="104"/>
    <x v="1"/>
    <n v="481.99"/>
    <x v="2"/>
    <x v="80"/>
    <x v="1"/>
    <s v="Sun Bicycles Streamway - 2017"/>
    <x v="1"/>
  </r>
  <r>
    <n v="1323"/>
    <n v="1"/>
    <n v="27"/>
    <x v="1"/>
    <n v="999.99"/>
    <x v="1"/>
    <x v="10"/>
    <x v="1"/>
    <s v="Surly Big Dummy Frameset - 2017"/>
    <x v="1"/>
  </r>
  <r>
    <n v="1323"/>
    <n v="2"/>
    <n v="20"/>
    <x v="0"/>
    <n v="599.99"/>
    <x v="2"/>
    <x v="0"/>
    <x v="1"/>
    <s v="Electra Townie Original 7D EQ - Women's - 2016"/>
    <x v="1"/>
  </r>
  <r>
    <n v="1323"/>
    <n v="3"/>
    <n v="70"/>
    <x v="0"/>
    <n v="659.99"/>
    <x v="2"/>
    <x v="66"/>
    <x v="1"/>
    <s v="Electra Amsterdam Original 3i - 2015/2017"/>
    <x v="1"/>
  </r>
  <r>
    <n v="1324"/>
    <n v="1"/>
    <n v="66"/>
    <x v="0"/>
    <n v="250.99"/>
    <x v="3"/>
    <x v="61"/>
    <x v="1"/>
    <s v="Sun Bicycles Revolutions 24 - 2017"/>
    <x v="1"/>
  </r>
  <r>
    <n v="1324"/>
    <n v="2"/>
    <n v="120"/>
    <x v="1"/>
    <n v="2499.9899999999998"/>
    <x v="0"/>
    <x v="117"/>
    <x v="1"/>
    <s v="Trek Fuel EX 7 29 - 2018"/>
    <x v="1"/>
  </r>
  <r>
    <n v="1324"/>
    <n v="3"/>
    <n v="235"/>
    <x v="0"/>
    <n v="899.99"/>
    <x v="3"/>
    <x v="130"/>
    <x v="1"/>
    <s v="Electra Koa 3i Ladies' - 2018"/>
    <x v="1"/>
  </r>
  <r>
    <n v="1324"/>
    <n v="4"/>
    <n v="3"/>
    <x v="0"/>
    <n v="999.99"/>
    <x v="0"/>
    <x v="5"/>
    <x v="1"/>
    <s v="Surly Wednesday Frameset - 2016"/>
    <x v="1"/>
  </r>
  <r>
    <n v="1325"/>
    <n v="1"/>
    <n v="139"/>
    <x v="0"/>
    <n v="2999.99"/>
    <x v="2"/>
    <x v="28"/>
    <x v="1"/>
    <s v="Trek Remedy 7 27.5 - 2018"/>
    <x v="2"/>
  </r>
  <r>
    <n v="1325"/>
    <n v="2"/>
    <n v="257"/>
    <x v="0"/>
    <n v="899.99"/>
    <x v="2"/>
    <x v="130"/>
    <x v="1"/>
    <s v="Electra Amsterdam Fashion 3i Ladies' - 2017/2018"/>
    <x v="2"/>
  </r>
  <r>
    <n v="1325"/>
    <n v="3"/>
    <n v="209"/>
    <x v="0"/>
    <n v="2999.99"/>
    <x v="3"/>
    <x v="28"/>
    <x v="1"/>
    <s v="Trek Crockett 7 Disc - 2018"/>
    <x v="2"/>
  </r>
  <r>
    <n v="1325"/>
    <n v="4"/>
    <n v="28"/>
    <x v="0"/>
    <n v="2499.9899999999998"/>
    <x v="1"/>
    <x v="79"/>
    <x v="1"/>
    <s v="Surly Karate Monkey 27.5+ Frameset - 2017"/>
    <x v="2"/>
  </r>
  <r>
    <n v="1326"/>
    <n v="1"/>
    <n v="190"/>
    <x v="1"/>
    <n v="2799.99"/>
    <x v="1"/>
    <x v="131"/>
    <x v="1"/>
    <s v="Trek Dual Sport+ - 2018"/>
    <x v="2"/>
  </r>
  <r>
    <n v="1326"/>
    <n v="2"/>
    <n v="269"/>
    <x v="1"/>
    <n v="199.99"/>
    <x v="1"/>
    <x v="132"/>
    <x v="1"/>
    <s v="Trek Precaliber 12 Boy's - 2018"/>
    <x v="2"/>
  </r>
  <r>
    <n v="1327"/>
    <n v="1"/>
    <n v="151"/>
    <x v="1"/>
    <n v="1549.99"/>
    <x v="1"/>
    <x v="133"/>
    <x v="1"/>
    <s v="Trek Domane ALR 4 Disc Women's - 2018"/>
    <x v="1"/>
  </r>
  <r>
    <n v="1327"/>
    <n v="2"/>
    <n v="235"/>
    <x v="1"/>
    <n v="899.99"/>
    <x v="3"/>
    <x v="134"/>
    <x v="1"/>
    <s v="Electra Koa 3i Ladies' - 2018"/>
    <x v="1"/>
  </r>
  <r>
    <n v="1327"/>
    <n v="3"/>
    <n v="48"/>
    <x v="1"/>
    <n v="1499.99"/>
    <x v="3"/>
    <x v="65"/>
    <x v="1"/>
    <s v="Trek Emonda S 4 - 2017"/>
    <x v="1"/>
  </r>
  <r>
    <n v="1327"/>
    <n v="4"/>
    <n v="180"/>
    <x v="0"/>
    <n v="919.99"/>
    <x v="0"/>
    <x v="135"/>
    <x v="1"/>
    <s v="Trek Domane AL 3 Women's - 2018"/>
    <x v="1"/>
  </r>
  <r>
    <n v="1328"/>
    <n v="1"/>
    <n v="241"/>
    <x v="0"/>
    <n v="749.99"/>
    <x v="1"/>
    <x v="30"/>
    <x v="1"/>
    <s v="Electra Townie Commute 8D - 2018"/>
    <x v="1"/>
  </r>
  <r>
    <n v="1328"/>
    <n v="2"/>
    <n v="129"/>
    <x v="1"/>
    <n v="919.99"/>
    <x v="3"/>
    <x v="136"/>
    <x v="1"/>
    <s v="Trek X-Caliber 7 - 2018"/>
    <x v="1"/>
  </r>
  <r>
    <n v="1328"/>
    <n v="3"/>
    <n v="228"/>
    <x v="0"/>
    <n v="319.99"/>
    <x v="1"/>
    <x v="137"/>
    <x v="1"/>
    <s v="Electra Cruiser 7D Tall - 2016/2018"/>
    <x v="1"/>
  </r>
  <r>
    <n v="1328"/>
    <n v="4"/>
    <n v="311"/>
    <x v="0"/>
    <n v="749.99"/>
    <x v="3"/>
    <x v="30"/>
    <x v="1"/>
    <s v="Electra Townie Commute 8D - 2018"/>
    <x v="1"/>
  </r>
  <r>
    <n v="1328"/>
    <n v="5"/>
    <n v="247"/>
    <x v="0"/>
    <n v="599.99"/>
    <x v="3"/>
    <x v="0"/>
    <x v="1"/>
    <s v="Electra Townie Original 7D EQ - 2018"/>
    <x v="1"/>
  </r>
  <r>
    <n v="1329"/>
    <n v="1"/>
    <n v="143"/>
    <x v="0"/>
    <n v="1099.99"/>
    <x v="1"/>
    <x v="111"/>
    <x v="1"/>
    <s v="Trek Domane ALR 3 - 2018"/>
    <x v="0"/>
  </r>
  <r>
    <n v="1329"/>
    <n v="2"/>
    <n v="107"/>
    <x v="0"/>
    <n v="416.99"/>
    <x v="2"/>
    <x v="71"/>
    <x v="1"/>
    <s v="Sun Bicycles Cruz 7 - 2017"/>
    <x v="0"/>
  </r>
  <r>
    <n v="1329"/>
    <n v="3"/>
    <n v="55"/>
    <x v="0"/>
    <n v="2699.99"/>
    <x v="1"/>
    <x v="82"/>
    <x v="1"/>
    <s v="Trek Domane S 6 - 2017"/>
    <x v="0"/>
  </r>
  <r>
    <n v="1329"/>
    <n v="4"/>
    <n v="283"/>
    <x v="1"/>
    <n v="319.99"/>
    <x v="0"/>
    <x v="138"/>
    <x v="1"/>
    <s v="Electra Heartchya 1 (20-inch) - Girl's - 2018"/>
    <x v="0"/>
  </r>
  <r>
    <n v="1329"/>
    <n v="5"/>
    <n v="13"/>
    <x v="0"/>
    <n v="269.99"/>
    <x v="3"/>
    <x v="14"/>
    <x v="1"/>
    <s v="Electra Cruiser 1 (24-Inch) - 2016"/>
    <x v="0"/>
  </r>
  <r>
    <n v="1330"/>
    <n v="1"/>
    <n v="232"/>
    <x v="0"/>
    <n v="479.99"/>
    <x v="0"/>
    <x v="139"/>
    <x v="1"/>
    <s v="Electra Cruiser Lux 7D Ladies' - 2018"/>
    <x v="1"/>
  </r>
  <r>
    <n v="1330"/>
    <n v="2"/>
    <n v="243"/>
    <x v="1"/>
    <n v="679.99"/>
    <x v="2"/>
    <x v="140"/>
    <x v="1"/>
    <s v="Electra Townie Original 21D EQ Ladies' - 2018"/>
    <x v="1"/>
  </r>
  <r>
    <n v="1330"/>
    <n v="3"/>
    <n v="230"/>
    <x v="1"/>
    <n v="429.99"/>
    <x v="0"/>
    <x v="141"/>
    <x v="1"/>
    <s v="Electra Cruiser Lux 1 Ladies' - 2018"/>
    <x v="1"/>
  </r>
  <r>
    <n v="1330"/>
    <n v="4"/>
    <n v="102"/>
    <x v="1"/>
    <n v="489.99"/>
    <x v="2"/>
    <x v="52"/>
    <x v="1"/>
    <s v="Electra Townie Original 7D - 2017"/>
    <x v="1"/>
  </r>
  <r>
    <n v="1330"/>
    <n v="5"/>
    <n v="282"/>
    <x v="0"/>
    <n v="279.99"/>
    <x v="3"/>
    <x v="142"/>
    <x v="1"/>
    <s v="Electra Cyclosaurus 1 (16-inch) - Boy's - 2018"/>
    <x v="1"/>
  </r>
  <r>
    <n v="1331"/>
    <n v="1"/>
    <n v="253"/>
    <x v="0"/>
    <n v="2599.9899999999998"/>
    <x v="2"/>
    <x v="90"/>
    <x v="1"/>
    <s v="Electra Townie Go! 8i Ladies' - 2018"/>
    <x v="1"/>
  </r>
  <r>
    <n v="1331"/>
    <n v="2"/>
    <n v="290"/>
    <x v="0"/>
    <n v="369.99"/>
    <x v="2"/>
    <x v="143"/>
    <x v="1"/>
    <s v="Electra Superbolt 3i 20&quot; - 2018"/>
    <x v="1"/>
  </r>
  <r>
    <n v="1331"/>
    <n v="3"/>
    <n v="145"/>
    <x v="1"/>
    <n v="1799.99"/>
    <x v="3"/>
    <x v="1"/>
    <x v="1"/>
    <s v="Trek Domane ALR 5 Disc - 2018"/>
    <x v="1"/>
  </r>
  <r>
    <n v="1331"/>
    <n v="4"/>
    <n v="300"/>
    <x v="0"/>
    <n v="799.99"/>
    <x v="0"/>
    <x v="129"/>
    <x v="1"/>
    <s v="Electra Townie Balloon 3i EQ Ladies' - 2018"/>
    <x v="1"/>
  </r>
  <r>
    <n v="1332"/>
    <n v="1"/>
    <n v="296"/>
    <x v="0"/>
    <n v="369.99"/>
    <x v="0"/>
    <x v="143"/>
    <x v="1"/>
    <s v="Electra Treasure 3i 20&quot; - 2018"/>
    <x v="1"/>
  </r>
  <r>
    <n v="1332"/>
    <n v="2"/>
    <n v="93"/>
    <x v="1"/>
    <n v="209.99"/>
    <x v="2"/>
    <x v="84"/>
    <x v="1"/>
    <s v="Haro Shredder 20 Girls - 2017"/>
    <x v="1"/>
  </r>
  <r>
    <n v="1332"/>
    <n v="3"/>
    <n v="179"/>
    <x v="1"/>
    <n v="919.99"/>
    <x v="1"/>
    <x v="136"/>
    <x v="1"/>
    <s v="Trek Domane AL 3 - 2018"/>
    <x v="1"/>
  </r>
  <r>
    <n v="1332"/>
    <n v="4"/>
    <n v="298"/>
    <x v="0"/>
    <n v="279.99"/>
    <x v="3"/>
    <x v="142"/>
    <x v="1"/>
    <s v="Electra Water Lily 1 (16-inch) - Girl's - 2018"/>
    <x v="1"/>
  </r>
  <r>
    <n v="1333"/>
    <n v="1"/>
    <n v="205"/>
    <x v="1"/>
    <n v="4999.99"/>
    <x v="2"/>
    <x v="41"/>
    <x v="1"/>
    <s v="Trek Super Commuter+ 8S - 2018"/>
    <x v="2"/>
  </r>
  <r>
    <n v="1333"/>
    <n v="2"/>
    <n v="304"/>
    <x v="1"/>
    <n v="679.99"/>
    <x v="3"/>
    <x v="140"/>
    <x v="1"/>
    <s v="Electra Townie Original 21D EQ - 2017/2018"/>
    <x v="2"/>
  </r>
  <r>
    <n v="1333"/>
    <n v="3"/>
    <n v="99"/>
    <x v="1"/>
    <n v="299.99"/>
    <x v="3"/>
    <x v="22"/>
    <x v="1"/>
    <s v="Electra Sugar Skulls 1 (20-inch) - Girl's - 2017"/>
    <x v="2"/>
  </r>
  <r>
    <n v="1333"/>
    <n v="4"/>
    <n v="12"/>
    <x v="0"/>
    <n v="549.99"/>
    <x v="2"/>
    <x v="31"/>
    <x v="1"/>
    <s v="Electra Townie Original 21D - 2016"/>
    <x v="2"/>
  </r>
  <r>
    <n v="1333"/>
    <n v="5"/>
    <n v="78"/>
    <x v="0"/>
    <n v="647.99"/>
    <x v="3"/>
    <x v="49"/>
    <x v="1"/>
    <s v="Sun Bicycles Biscayne Tandem CB - 2017"/>
    <x v="2"/>
  </r>
  <r>
    <n v="1334"/>
    <n v="1"/>
    <n v="203"/>
    <x v="1"/>
    <n v="4999.99"/>
    <x v="2"/>
    <x v="41"/>
    <x v="1"/>
    <s v="Trek Powerfly 7 FS - 2018"/>
    <x v="1"/>
  </r>
  <r>
    <n v="1334"/>
    <n v="2"/>
    <n v="160"/>
    <x v="1"/>
    <n v="4499.99"/>
    <x v="1"/>
    <x v="144"/>
    <x v="1"/>
    <s v="Trek Emonda SLR 6 - 2018"/>
    <x v="1"/>
  </r>
  <r>
    <n v="1334"/>
    <n v="3"/>
    <n v="84"/>
    <x v="1"/>
    <n v="109.99"/>
    <x v="3"/>
    <x v="109"/>
    <x v="1"/>
    <s v="Sun Bicycles Lil Kitt'n - 2017"/>
    <x v="1"/>
  </r>
  <r>
    <n v="1334"/>
    <n v="4"/>
    <n v="13"/>
    <x v="0"/>
    <n v="269.99"/>
    <x v="2"/>
    <x v="14"/>
    <x v="1"/>
    <s v="Electra Cruiser 1 (24-Inch) - 2016"/>
    <x v="1"/>
  </r>
  <r>
    <n v="1334"/>
    <n v="5"/>
    <n v="42"/>
    <x v="0"/>
    <n v="2299.9899999999998"/>
    <x v="2"/>
    <x v="101"/>
    <x v="1"/>
    <s v="Trek Fuel EX 5 27.5 Plus - 2017"/>
    <x v="1"/>
  </r>
  <r>
    <n v="1335"/>
    <n v="1"/>
    <n v="138"/>
    <x v="1"/>
    <n v="2249.9899999999998"/>
    <x v="2"/>
    <x v="145"/>
    <x v="1"/>
    <s v="Trek Fuel EX 5 Plus - 2018"/>
    <x v="1"/>
  </r>
  <r>
    <n v="1336"/>
    <n v="1"/>
    <n v="29"/>
    <x v="1"/>
    <n v="999.99"/>
    <x v="0"/>
    <x v="10"/>
    <x v="1"/>
    <s v="Trek X-Caliber 8 - 2017"/>
    <x v="0"/>
  </r>
  <r>
    <n v="1336"/>
    <n v="2"/>
    <n v="157"/>
    <x v="0"/>
    <n v="6499.99"/>
    <x v="2"/>
    <x v="122"/>
    <x v="1"/>
    <s v="Trek Domane SL Frameset Women's - 2018"/>
    <x v="0"/>
  </r>
  <r>
    <n v="1336"/>
    <n v="3"/>
    <n v="21"/>
    <x v="1"/>
    <n v="269.99"/>
    <x v="1"/>
    <x v="17"/>
    <x v="1"/>
    <s v="Electra Cruiser 1 (24-Inch) - 2016"/>
    <x v="0"/>
  </r>
  <r>
    <n v="1336"/>
    <n v="4"/>
    <n v="207"/>
    <x v="0"/>
    <n v="3999.99"/>
    <x v="3"/>
    <x v="25"/>
    <x v="1"/>
    <s v="Trek Boone 7 Disc - 2018"/>
    <x v="0"/>
  </r>
  <r>
    <n v="1336"/>
    <n v="5"/>
    <n v="185"/>
    <x v="0"/>
    <n v="2799.99"/>
    <x v="3"/>
    <x v="146"/>
    <x v="1"/>
    <s v="Trek Conduit+ - 2018"/>
    <x v="0"/>
  </r>
  <r>
    <n v="1337"/>
    <n v="1"/>
    <n v="153"/>
    <x v="0"/>
    <n v="4999.99"/>
    <x v="3"/>
    <x v="76"/>
    <x v="1"/>
    <s v="Trek Domane SL 7 Women's - 2018"/>
    <x v="1"/>
  </r>
  <r>
    <n v="1338"/>
    <n v="1"/>
    <n v="169"/>
    <x v="1"/>
    <n v="6499.99"/>
    <x v="1"/>
    <x v="83"/>
    <x v="1"/>
    <s v="Trek Emonda SLR 8 - 2018"/>
    <x v="1"/>
  </r>
  <r>
    <n v="1339"/>
    <n v="1"/>
    <n v="175"/>
    <x v="0"/>
    <n v="3199.99"/>
    <x v="1"/>
    <x v="120"/>
    <x v="1"/>
    <s v="Trek Domane SLR Frameset - 2018"/>
    <x v="0"/>
  </r>
  <r>
    <n v="1340"/>
    <n v="1"/>
    <n v="253"/>
    <x v="0"/>
    <n v="2599.9899999999998"/>
    <x v="0"/>
    <x v="90"/>
    <x v="1"/>
    <s v="Electra Townie Go! 8i Ladies' - 2018"/>
    <x v="0"/>
  </r>
  <r>
    <n v="1340"/>
    <n v="2"/>
    <n v="92"/>
    <x v="1"/>
    <n v="209.99"/>
    <x v="0"/>
    <x v="84"/>
    <x v="1"/>
    <s v="Haro Shredder 20 - 2017"/>
    <x v="0"/>
  </r>
  <r>
    <n v="1340"/>
    <n v="3"/>
    <n v="237"/>
    <x v="1"/>
    <n v="849.99"/>
    <x v="2"/>
    <x v="147"/>
    <x v="1"/>
    <s v="Electra Relic 3i - 2018"/>
    <x v="0"/>
  </r>
  <r>
    <n v="1341"/>
    <n v="1"/>
    <n v="215"/>
    <x v="1"/>
    <n v="749.99"/>
    <x v="1"/>
    <x v="6"/>
    <x v="1"/>
    <s v="Electra Queen of Hearts 3i - 2018"/>
    <x v="1"/>
  </r>
  <r>
    <n v="1341"/>
    <n v="2"/>
    <n v="56"/>
    <x v="1"/>
    <n v="5499.99"/>
    <x v="0"/>
    <x v="91"/>
    <x v="1"/>
    <s v="Trek Domane SLR 6 Disc - 2017"/>
    <x v="1"/>
  </r>
  <r>
    <n v="1341"/>
    <n v="3"/>
    <n v="234"/>
    <x v="1"/>
    <n v="899.99"/>
    <x v="2"/>
    <x v="134"/>
    <x v="1"/>
    <s v="Electra Daydreamer 3i Ladies' - 2018"/>
    <x v="1"/>
  </r>
  <r>
    <n v="1341"/>
    <n v="4"/>
    <n v="66"/>
    <x v="1"/>
    <n v="250.99"/>
    <x v="2"/>
    <x v="55"/>
    <x v="1"/>
    <s v="Sun Bicycles Revolutions 24 - 2017"/>
    <x v="1"/>
  </r>
  <r>
    <n v="1342"/>
    <n v="1"/>
    <n v="60"/>
    <x v="0"/>
    <n v="1559.99"/>
    <x v="2"/>
    <x v="100"/>
    <x v="1"/>
    <s v="Sun Bicycles ElectroLite - 2017"/>
    <x v="1"/>
  </r>
  <r>
    <n v="1342"/>
    <n v="2"/>
    <n v="270"/>
    <x v="0"/>
    <n v="209.99"/>
    <x v="2"/>
    <x v="48"/>
    <x v="1"/>
    <s v="Trek Precaliber 16 Boy's - 2018"/>
    <x v="1"/>
  </r>
  <r>
    <n v="1343"/>
    <n v="1"/>
    <n v="244"/>
    <x v="0"/>
    <n v="559.99"/>
    <x v="2"/>
    <x v="148"/>
    <x v="1"/>
    <s v="Electra Townie Original 21D Ladies' - 2018"/>
    <x v="1"/>
  </r>
  <r>
    <n v="1343"/>
    <n v="2"/>
    <n v="99"/>
    <x v="0"/>
    <n v="299.99"/>
    <x v="2"/>
    <x v="23"/>
    <x v="1"/>
    <s v="Electra Sugar Skulls 1 (20-inch) - Girl's - 2017"/>
    <x v="1"/>
  </r>
  <r>
    <n v="1343"/>
    <n v="3"/>
    <n v="184"/>
    <x v="1"/>
    <n v="3499.99"/>
    <x v="0"/>
    <x v="54"/>
    <x v="1"/>
    <s v="Trek Domane SL 6 Disc - 2018"/>
    <x v="1"/>
  </r>
  <r>
    <n v="1343"/>
    <n v="4"/>
    <n v="65"/>
    <x v="1"/>
    <n v="346.99"/>
    <x v="0"/>
    <x v="110"/>
    <x v="1"/>
    <s v="Sun Bicycles Lil Bolt Type-R - 2017"/>
    <x v="1"/>
  </r>
  <r>
    <n v="1343"/>
    <n v="5"/>
    <n v="206"/>
    <x v="0"/>
    <n v="3299.99"/>
    <x v="3"/>
    <x v="149"/>
    <x v="1"/>
    <s v="Trek Boone 5 Disc - 2018"/>
    <x v="1"/>
  </r>
  <r>
    <n v="1344"/>
    <n v="1"/>
    <n v="77"/>
    <x v="1"/>
    <n v="799.99"/>
    <x v="1"/>
    <x v="108"/>
    <x v="1"/>
    <s v="Electra Glam Punk 3i Ladies' - 2017"/>
    <x v="1"/>
  </r>
  <r>
    <n v="1344"/>
    <n v="2"/>
    <n v="103"/>
    <x v="1"/>
    <n v="551.99"/>
    <x v="0"/>
    <x v="95"/>
    <x v="1"/>
    <s v="Sun Bicycles Streamway 3 - 2017"/>
    <x v="1"/>
  </r>
  <r>
    <n v="1344"/>
    <n v="3"/>
    <n v="3"/>
    <x v="0"/>
    <n v="999.99"/>
    <x v="1"/>
    <x v="5"/>
    <x v="1"/>
    <s v="Surly Wednesday Frameset - 2016"/>
    <x v="1"/>
  </r>
  <r>
    <n v="1344"/>
    <n v="4"/>
    <n v="61"/>
    <x v="0"/>
    <n v="4999.99"/>
    <x v="1"/>
    <x v="76"/>
    <x v="1"/>
    <s v="Trek Powerfly 8 FS Plus - 2017"/>
    <x v="1"/>
  </r>
  <r>
    <n v="1345"/>
    <n v="1"/>
    <n v="40"/>
    <x v="1"/>
    <n v="4999.99"/>
    <x v="0"/>
    <x v="41"/>
    <x v="1"/>
    <s v="Trek Fuel EX 9.8 29 - 2017"/>
    <x v="1"/>
  </r>
  <r>
    <n v="1345"/>
    <n v="2"/>
    <n v="172"/>
    <x v="1"/>
    <n v="3199.99"/>
    <x v="2"/>
    <x v="64"/>
    <x v="1"/>
    <s v="Trek Domane ALR Disc Frameset - 2018"/>
    <x v="1"/>
  </r>
  <r>
    <n v="1345"/>
    <n v="3"/>
    <n v="164"/>
    <x v="1"/>
    <n v="1549"/>
    <x v="0"/>
    <x v="2"/>
    <x v="1"/>
    <s v="Surly Straggler 650b - 2018"/>
    <x v="1"/>
  </r>
  <r>
    <n v="1345"/>
    <n v="4"/>
    <n v="2"/>
    <x v="1"/>
    <n v="749.99"/>
    <x v="0"/>
    <x v="6"/>
    <x v="1"/>
    <s v="Ritchey Timberwolf Frameset - 2016"/>
    <x v="1"/>
  </r>
  <r>
    <n v="1346"/>
    <n v="1"/>
    <n v="134"/>
    <x v="1"/>
    <n v="1499.99"/>
    <x v="2"/>
    <x v="65"/>
    <x v="1"/>
    <s v="Trek Remedy 27.5 C Frameset - 2018"/>
    <x v="2"/>
  </r>
  <r>
    <n v="1346"/>
    <n v="2"/>
    <n v="150"/>
    <x v="0"/>
    <n v="4499.99"/>
    <x v="2"/>
    <x v="150"/>
    <x v="1"/>
    <s v="Trek Emonda SL 7 - 2018"/>
    <x v="2"/>
  </r>
  <r>
    <n v="1346"/>
    <n v="3"/>
    <n v="18"/>
    <x v="1"/>
    <n v="449"/>
    <x v="2"/>
    <x v="21"/>
    <x v="1"/>
    <s v="Pure Cycles Western 3-Speed - Women's - 2015/2016"/>
    <x v="2"/>
  </r>
  <r>
    <n v="1346"/>
    <n v="4"/>
    <n v="249"/>
    <x v="0"/>
    <n v="749.99"/>
    <x v="3"/>
    <x v="30"/>
    <x v="1"/>
    <s v="Electra White Water 3i - 2018"/>
    <x v="2"/>
  </r>
  <r>
    <n v="1346"/>
    <n v="5"/>
    <n v="263"/>
    <x v="1"/>
    <n v="89.99"/>
    <x v="0"/>
    <x v="151"/>
    <x v="1"/>
    <s v="Strider Classic 12 Balance Bike - 2018"/>
    <x v="2"/>
  </r>
  <r>
    <n v="1347"/>
    <n v="1"/>
    <n v="43"/>
    <x v="1"/>
    <n v="5299.99"/>
    <x v="1"/>
    <x v="46"/>
    <x v="1"/>
    <s v="Trek Fuel EX 9.8 27.5 Plus - 2017"/>
    <x v="0"/>
  </r>
  <r>
    <n v="1347"/>
    <n v="2"/>
    <n v="53"/>
    <x v="0"/>
    <n v="749.99"/>
    <x v="2"/>
    <x v="30"/>
    <x v="1"/>
    <s v="Surly Ogre Frameset - 2017"/>
    <x v="0"/>
  </r>
  <r>
    <n v="1348"/>
    <n v="1"/>
    <n v="203"/>
    <x v="0"/>
    <n v="4999.99"/>
    <x v="2"/>
    <x v="76"/>
    <x v="1"/>
    <s v="Trek Powerfly 7 FS - 2018"/>
    <x v="0"/>
  </r>
  <r>
    <n v="1348"/>
    <n v="2"/>
    <n v="148"/>
    <x v="0"/>
    <n v="5499.99"/>
    <x v="2"/>
    <x v="39"/>
    <x v="1"/>
    <s v="Trek Domane SL 8 Disc - 2018"/>
    <x v="0"/>
  </r>
  <r>
    <n v="1348"/>
    <n v="3"/>
    <n v="58"/>
    <x v="1"/>
    <n v="4999.99"/>
    <x v="3"/>
    <x v="41"/>
    <x v="1"/>
    <s v="Trek Madone 9.2 - 2017"/>
    <x v="0"/>
  </r>
  <r>
    <n v="1348"/>
    <n v="4"/>
    <n v="147"/>
    <x v="0"/>
    <n v="1799.99"/>
    <x v="1"/>
    <x v="16"/>
    <x v="1"/>
    <s v="Trek Domane ALR 5 Gravel - 2018"/>
    <x v="0"/>
  </r>
  <r>
    <n v="1349"/>
    <n v="1"/>
    <n v="138"/>
    <x v="1"/>
    <n v="2249.9899999999998"/>
    <x v="2"/>
    <x v="145"/>
    <x v="1"/>
    <s v="Trek Fuel EX 5 Plus - 2018"/>
    <x v="1"/>
  </r>
  <r>
    <n v="1349"/>
    <n v="2"/>
    <n v="205"/>
    <x v="1"/>
    <n v="4999.99"/>
    <x v="1"/>
    <x v="41"/>
    <x v="1"/>
    <s v="Trek Super Commuter+ 8S - 2018"/>
    <x v="1"/>
  </r>
  <r>
    <n v="1349"/>
    <n v="3"/>
    <n v="168"/>
    <x v="1"/>
    <n v="1549"/>
    <x v="0"/>
    <x v="2"/>
    <x v="1"/>
    <s v="Surly Straggler - 2018"/>
    <x v="1"/>
  </r>
  <r>
    <n v="1349"/>
    <n v="4"/>
    <n v="184"/>
    <x v="0"/>
    <n v="3499.99"/>
    <x v="0"/>
    <x v="43"/>
    <x v="1"/>
    <s v="Trek Domane SL 6 Disc - 2018"/>
    <x v="1"/>
  </r>
  <r>
    <n v="1350"/>
    <n v="1"/>
    <n v="305"/>
    <x v="0"/>
    <n v="749.99"/>
    <x v="3"/>
    <x v="30"/>
    <x v="1"/>
    <s v="Electra Townie Balloon 3i EQ - 2017/2018"/>
    <x v="1"/>
  </r>
  <r>
    <n v="1350"/>
    <n v="2"/>
    <n v="250"/>
    <x v="0"/>
    <n v="2599.9899999999998"/>
    <x v="1"/>
    <x v="90"/>
    <x v="1"/>
    <s v="Electra Townie Go! 8i - 2017/2018"/>
    <x v="1"/>
  </r>
  <r>
    <n v="1350"/>
    <n v="3"/>
    <n v="253"/>
    <x v="0"/>
    <n v="2599.9899999999998"/>
    <x v="1"/>
    <x v="90"/>
    <x v="1"/>
    <s v="Electra Townie Go! 8i Ladies' - 2018"/>
    <x v="1"/>
  </r>
  <r>
    <n v="1350"/>
    <n v="4"/>
    <n v="159"/>
    <x v="0"/>
    <n v="2299.9899999999998"/>
    <x v="2"/>
    <x v="101"/>
    <x v="1"/>
    <s v="Trek Emonda ALR 6 - 2018"/>
    <x v="1"/>
  </r>
  <r>
    <n v="1350"/>
    <n v="5"/>
    <n v="13"/>
    <x v="1"/>
    <n v="269.99"/>
    <x v="0"/>
    <x v="17"/>
    <x v="1"/>
    <s v="Electra Cruiser 1 (24-Inch) - 2016"/>
    <x v="1"/>
  </r>
  <r>
    <n v="1351"/>
    <n v="1"/>
    <n v="297"/>
    <x v="1"/>
    <n v="279.99"/>
    <x v="0"/>
    <x v="152"/>
    <x v="1"/>
    <s v="Electra Under-The-Sea 1 16&quot; - 2018"/>
    <x v="1"/>
  </r>
  <r>
    <n v="1351"/>
    <n v="2"/>
    <n v="133"/>
    <x v="0"/>
    <n v="1499.99"/>
    <x v="3"/>
    <x v="77"/>
    <x v="1"/>
    <s v="Trek Procaliber Frameset - 2018"/>
    <x v="1"/>
  </r>
  <r>
    <n v="1352"/>
    <n v="1"/>
    <n v="136"/>
    <x v="0"/>
    <n v="1799.99"/>
    <x v="0"/>
    <x v="16"/>
    <x v="1"/>
    <s v="Trek Procaliber 6 - 2018"/>
    <x v="1"/>
  </r>
  <r>
    <n v="1352"/>
    <n v="2"/>
    <n v="52"/>
    <x v="1"/>
    <n v="875.99"/>
    <x v="3"/>
    <x v="73"/>
    <x v="1"/>
    <s v="Surly Steamroller - 2017"/>
    <x v="1"/>
  </r>
  <r>
    <n v="1352"/>
    <n v="3"/>
    <n v="282"/>
    <x v="1"/>
    <n v="279.99"/>
    <x v="3"/>
    <x v="152"/>
    <x v="1"/>
    <s v="Electra Cyclosaurus 1 (16-inch) - Boy's - 2018"/>
    <x v="1"/>
  </r>
  <r>
    <n v="1352"/>
    <n v="4"/>
    <n v="86"/>
    <x v="1"/>
    <n v="149.99"/>
    <x v="0"/>
    <x v="87"/>
    <x v="1"/>
    <s v="Trek Girl's Kickster - 2017"/>
    <x v="1"/>
  </r>
  <r>
    <n v="1352"/>
    <n v="5"/>
    <n v="100"/>
    <x v="0"/>
    <n v="489.99"/>
    <x v="2"/>
    <x v="44"/>
    <x v="1"/>
    <s v="Electra Townie 3i EQ (20-inch) - Boys' - 2017"/>
    <x v="1"/>
  </r>
  <r>
    <n v="1353"/>
    <n v="1"/>
    <n v="107"/>
    <x v="1"/>
    <n v="416.99"/>
    <x v="2"/>
    <x v="42"/>
    <x v="1"/>
    <s v="Sun Bicycles Cruz 7 - 2017"/>
    <x v="1"/>
  </r>
  <r>
    <n v="1353"/>
    <n v="2"/>
    <n v="233"/>
    <x v="0"/>
    <n v="639.99"/>
    <x v="1"/>
    <x v="153"/>
    <x v="1"/>
    <s v="Electra Cruiser Lux Fat Tire 7D - 2018"/>
    <x v="1"/>
  </r>
  <r>
    <n v="1353"/>
    <n v="3"/>
    <n v="300"/>
    <x v="0"/>
    <n v="799.99"/>
    <x v="0"/>
    <x v="129"/>
    <x v="1"/>
    <s v="Electra Townie Balloon 3i EQ Ladies' - 2018"/>
    <x v="1"/>
  </r>
  <r>
    <n v="1353"/>
    <n v="4"/>
    <n v="86"/>
    <x v="1"/>
    <n v="149.99"/>
    <x v="2"/>
    <x v="87"/>
    <x v="1"/>
    <s v="Trek Girl's Kickster - 2017"/>
    <x v="1"/>
  </r>
  <r>
    <n v="1354"/>
    <n v="1"/>
    <n v="166"/>
    <x v="1"/>
    <n v="749.99"/>
    <x v="1"/>
    <x v="6"/>
    <x v="1"/>
    <s v="Trek Domane AL 2 Women's - 2018"/>
    <x v="0"/>
  </r>
  <r>
    <n v="1355"/>
    <n v="1"/>
    <n v="297"/>
    <x v="0"/>
    <n v="279.99"/>
    <x v="3"/>
    <x v="142"/>
    <x v="1"/>
    <s v="Electra Under-The-Sea 1 16&quot; - 2018"/>
    <x v="1"/>
  </r>
  <r>
    <n v="1355"/>
    <n v="2"/>
    <n v="253"/>
    <x v="0"/>
    <n v="2599.9899999999998"/>
    <x v="1"/>
    <x v="90"/>
    <x v="1"/>
    <s v="Electra Townie Go! 8i Ladies' - 2018"/>
    <x v="1"/>
  </r>
  <r>
    <n v="1355"/>
    <n v="3"/>
    <n v="149"/>
    <x v="0"/>
    <n v="7499.99"/>
    <x v="0"/>
    <x v="154"/>
    <x v="1"/>
    <s v="Trek Domane SLR 8 Disc - 2018"/>
    <x v="1"/>
  </r>
  <r>
    <n v="1355"/>
    <n v="4"/>
    <n v="313"/>
    <x v="1"/>
    <n v="449.99"/>
    <x v="3"/>
    <x v="37"/>
    <x v="1"/>
    <s v="Electra Townie Original 1 Ladies' - 2018"/>
    <x v="1"/>
  </r>
  <r>
    <n v="1356"/>
    <n v="1"/>
    <n v="192"/>
    <x v="0"/>
    <n v="2599.9899999999998"/>
    <x v="2"/>
    <x v="90"/>
    <x v="1"/>
    <s v="Electra Townie Go! 8i - 2017/2018"/>
    <x v="1"/>
  </r>
  <r>
    <n v="1356"/>
    <n v="2"/>
    <n v="199"/>
    <x v="1"/>
    <n v="2999.99"/>
    <x v="3"/>
    <x v="11"/>
    <x v="1"/>
    <s v="Electra Townie Commute Go! Ladies' - 2018"/>
    <x v="1"/>
  </r>
  <r>
    <n v="1356"/>
    <n v="3"/>
    <n v="276"/>
    <x v="1"/>
    <n v="319.99"/>
    <x v="3"/>
    <x v="138"/>
    <x v="1"/>
    <s v="Trek Precaliber 24 (7-Speed) - Boys - 2018"/>
    <x v="1"/>
  </r>
  <r>
    <n v="1357"/>
    <n v="1"/>
    <n v="145"/>
    <x v="1"/>
    <n v="1799.99"/>
    <x v="0"/>
    <x v="1"/>
    <x v="1"/>
    <s v="Trek Domane ALR 5 Disc - 2018"/>
    <x v="1"/>
  </r>
  <r>
    <n v="1357"/>
    <n v="2"/>
    <n v="60"/>
    <x v="0"/>
    <n v="1559.99"/>
    <x v="0"/>
    <x v="100"/>
    <x v="1"/>
    <s v="Sun Bicycles ElectroLite - 2017"/>
    <x v="1"/>
  </r>
  <r>
    <n v="1357"/>
    <n v="3"/>
    <n v="130"/>
    <x v="0"/>
    <n v="919.99"/>
    <x v="0"/>
    <x v="135"/>
    <x v="1"/>
    <s v="Trek Stache Carbon Frameset - 2018"/>
    <x v="1"/>
  </r>
  <r>
    <n v="1358"/>
    <n v="1"/>
    <n v="257"/>
    <x v="1"/>
    <n v="899.99"/>
    <x v="0"/>
    <x v="134"/>
    <x v="1"/>
    <s v="Electra Amsterdam Fashion 3i Ladies' - 2017/2018"/>
    <x v="0"/>
  </r>
  <r>
    <n v="1359"/>
    <n v="1"/>
    <n v="282"/>
    <x v="0"/>
    <n v="279.99"/>
    <x v="2"/>
    <x v="142"/>
    <x v="1"/>
    <s v="Electra Cyclosaurus 1 (16-inch) - Boy's - 2018"/>
    <x v="2"/>
  </r>
  <r>
    <n v="1359"/>
    <n v="2"/>
    <n v="82"/>
    <x v="0"/>
    <n v="659.99"/>
    <x v="2"/>
    <x v="66"/>
    <x v="1"/>
    <s v="Electra Amsterdam Original 3i Ladies' - 2017"/>
    <x v="2"/>
  </r>
  <r>
    <n v="1360"/>
    <n v="1"/>
    <n v="31"/>
    <x v="0"/>
    <n v="1632.99"/>
    <x v="2"/>
    <x v="94"/>
    <x v="1"/>
    <s v="Surly Wednesday - 2017"/>
    <x v="1"/>
  </r>
  <r>
    <n v="1361"/>
    <n v="1"/>
    <n v="307"/>
    <x v="1"/>
    <n v="749.99"/>
    <x v="1"/>
    <x v="6"/>
    <x v="1"/>
    <s v="Electra Townie Balloon 8D EQ - 2016/2017/2018"/>
    <x v="1"/>
  </r>
  <r>
    <n v="1361"/>
    <n v="2"/>
    <n v="153"/>
    <x v="0"/>
    <n v="4999.99"/>
    <x v="2"/>
    <x v="76"/>
    <x v="1"/>
    <s v="Trek Domane SL 7 Women's - 2018"/>
    <x v="1"/>
  </r>
  <r>
    <n v="1361"/>
    <n v="3"/>
    <n v="163"/>
    <x v="1"/>
    <n v="1349"/>
    <x v="0"/>
    <x v="155"/>
    <x v="1"/>
    <s v="Surly Pack Rat - 2018"/>
    <x v="1"/>
  </r>
  <r>
    <n v="1362"/>
    <n v="1"/>
    <n v="27"/>
    <x v="1"/>
    <n v="999.99"/>
    <x v="0"/>
    <x v="10"/>
    <x v="1"/>
    <s v="Surly Big Dummy Frameset - 2017"/>
    <x v="1"/>
  </r>
  <r>
    <n v="1362"/>
    <n v="2"/>
    <n v="204"/>
    <x v="1"/>
    <n v="3599.99"/>
    <x v="1"/>
    <x v="156"/>
    <x v="1"/>
    <s v="Trek Super Commuter+ 7 - 2018"/>
    <x v="1"/>
  </r>
  <r>
    <n v="1362"/>
    <n v="3"/>
    <n v="4"/>
    <x v="1"/>
    <n v="2899.99"/>
    <x v="0"/>
    <x v="18"/>
    <x v="1"/>
    <s v="Trek Fuel EX 8 29 - 2016"/>
    <x v="1"/>
  </r>
  <r>
    <n v="1363"/>
    <n v="1"/>
    <n v="66"/>
    <x v="1"/>
    <n v="250.99"/>
    <x v="3"/>
    <x v="55"/>
    <x v="1"/>
    <s v="Sun Bicycles Revolutions 24 - 2017"/>
    <x v="1"/>
  </r>
  <r>
    <n v="1364"/>
    <n v="1"/>
    <n v="78"/>
    <x v="0"/>
    <n v="647.99"/>
    <x v="1"/>
    <x v="49"/>
    <x v="1"/>
    <s v="Sun Bicycles Biscayne Tandem CB - 2017"/>
    <x v="1"/>
  </r>
  <r>
    <n v="1364"/>
    <n v="2"/>
    <n v="155"/>
    <x v="1"/>
    <n v="11999.99"/>
    <x v="3"/>
    <x v="157"/>
    <x v="1"/>
    <s v="Trek Domane SLR 9 Disc - 2018"/>
    <x v="1"/>
  </r>
  <r>
    <n v="1364"/>
    <n v="3"/>
    <n v="152"/>
    <x v="0"/>
    <n v="2499.9899999999998"/>
    <x v="3"/>
    <x v="79"/>
    <x v="1"/>
    <s v="Trek Domane SL 5 Disc Women's - 2018"/>
    <x v="1"/>
  </r>
  <r>
    <n v="1364"/>
    <n v="4"/>
    <n v="110"/>
    <x v="0"/>
    <n v="470.99"/>
    <x v="1"/>
    <x v="107"/>
    <x v="1"/>
    <s v="Sun Bicycles Drifter 7 - 2017"/>
    <x v="1"/>
  </r>
  <r>
    <n v="1365"/>
    <n v="1"/>
    <n v="144"/>
    <x v="0"/>
    <n v="1549.99"/>
    <x v="1"/>
    <x v="158"/>
    <x v="1"/>
    <s v="Trek Domane ALR 4 Disc - 2018"/>
    <x v="1"/>
  </r>
  <r>
    <n v="1365"/>
    <n v="2"/>
    <n v="58"/>
    <x v="0"/>
    <n v="4999.99"/>
    <x v="1"/>
    <x v="76"/>
    <x v="1"/>
    <s v="Trek Madone 9.2 - 2017"/>
    <x v="1"/>
  </r>
  <r>
    <n v="1365"/>
    <n v="3"/>
    <n v="236"/>
    <x v="0"/>
    <n v="749.99"/>
    <x v="2"/>
    <x v="30"/>
    <x v="1"/>
    <s v="Electra Morningstar 3i Ladies' - 2018"/>
    <x v="1"/>
  </r>
  <r>
    <n v="1366"/>
    <n v="1"/>
    <n v="115"/>
    <x v="0"/>
    <n v="3199.99"/>
    <x v="3"/>
    <x v="120"/>
    <x v="1"/>
    <s v="Trek Fuel EX 8 29 - 2018"/>
    <x v="1"/>
  </r>
  <r>
    <n v="1366"/>
    <n v="2"/>
    <n v="128"/>
    <x v="1"/>
    <n v="1899"/>
    <x v="0"/>
    <x v="159"/>
    <x v="1"/>
    <s v="Surly ECR 27.5 - 2018"/>
    <x v="1"/>
  </r>
  <r>
    <n v="1366"/>
    <n v="3"/>
    <n v="200"/>
    <x v="0"/>
    <n v="3499.99"/>
    <x v="1"/>
    <x v="43"/>
    <x v="1"/>
    <s v="Trek Powerfly 5 - 2018"/>
    <x v="1"/>
  </r>
  <r>
    <n v="1367"/>
    <n v="1"/>
    <n v="132"/>
    <x v="0"/>
    <n v="1499.99"/>
    <x v="3"/>
    <x v="77"/>
    <x v="1"/>
    <s v="Trek Procal AL Frameset - 2018"/>
    <x v="0"/>
  </r>
  <r>
    <n v="1367"/>
    <n v="2"/>
    <n v="131"/>
    <x v="1"/>
    <n v="2599"/>
    <x v="0"/>
    <x v="160"/>
    <x v="1"/>
    <s v="Heller Bloodhound Trail - 2018"/>
    <x v="0"/>
  </r>
  <r>
    <n v="1367"/>
    <n v="3"/>
    <n v="124"/>
    <x v="0"/>
    <n v="1499"/>
    <x v="1"/>
    <x v="161"/>
    <x v="1"/>
    <s v="Surly Krampus - 2018"/>
    <x v="0"/>
  </r>
  <r>
    <n v="1367"/>
    <n v="4"/>
    <n v="24"/>
    <x v="1"/>
    <n v="549.99"/>
    <x v="2"/>
    <x v="9"/>
    <x v="1"/>
    <s v="Electra Townie Original 21D - 2016"/>
    <x v="0"/>
  </r>
  <r>
    <n v="1368"/>
    <n v="1"/>
    <n v="66"/>
    <x v="0"/>
    <n v="250.99"/>
    <x v="3"/>
    <x v="61"/>
    <x v="1"/>
    <s v="Sun Bicycles Revolutions 24 - 2017"/>
    <x v="1"/>
  </r>
  <r>
    <n v="1368"/>
    <n v="2"/>
    <n v="113"/>
    <x v="1"/>
    <n v="489.99"/>
    <x v="1"/>
    <x v="52"/>
    <x v="1"/>
    <s v="Trek Marlin 5 - 2018"/>
    <x v="1"/>
  </r>
  <r>
    <n v="1368"/>
    <n v="3"/>
    <n v="186"/>
    <x v="0"/>
    <n v="4499.99"/>
    <x v="0"/>
    <x v="150"/>
    <x v="1"/>
    <s v="Trek CrossRip+ - 2018"/>
    <x v="1"/>
  </r>
  <r>
    <n v="1369"/>
    <n v="1"/>
    <n v="213"/>
    <x v="1"/>
    <n v="269.99"/>
    <x v="2"/>
    <x v="17"/>
    <x v="1"/>
    <s v="Electra Cruiser 1 - 2016/2017/2018"/>
    <x v="1"/>
  </r>
  <r>
    <n v="1370"/>
    <n v="1"/>
    <n v="7"/>
    <x v="0"/>
    <n v="3999.99"/>
    <x v="1"/>
    <x v="25"/>
    <x v="1"/>
    <s v="Trek Slash 8 27.5 - 2016"/>
    <x v="1"/>
  </r>
  <r>
    <n v="1370"/>
    <n v="2"/>
    <n v="89"/>
    <x v="1"/>
    <n v="209.99"/>
    <x v="3"/>
    <x v="84"/>
    <x v="1"/>
    <s v="Trek Precaliber 16 Boys - 2017"/>
    <x v="1"/>
  </r>
  <r>
    <n v="1370"/>
    <n v="3"/>
    <n v="208"/>
    <x v="1"/>
    <n v="1799.99"/>
    <x v="0"/>
    <x v="1"/>
    <x v="1"/>
    <s v="Trek Crockett 5 Disc - 2018"/>
    <x v="1"/>
  </r>
  <r>
    <n v="1370"/>
    <n v="4"/>
    <n v="134"/>
    <x v="0"/>
    <n v="1499.99"/>
    <x v="3"/>
    <x v="77"/>
    <x v="1"/>
    <s v="Trek Remedy 27.5 C Frameset - 2018"/>
    <x v="1"/>
  </r>
  <r>
    <n v="1371"/>
    <n v="1"/>
    <n v="223"/>
    <x v="1"/>
    <n v="529.99"/>
    <x v="1"/>
    <x v="29"/>
    <x v="1"/>
    <s v="Electra Cruiser Lux 3i - 2018"/>
    <x v="1"/>
  </r>
  <r>
    <n v="1371"/>
    <n v="2"/>
    <n v="8"/>
    <x v="1"/>
    <n v="1799.99"/>
    <x v="0"/>
    <x v="1"/>
    <x v="1"/>
    <s v="Trek Remedy 29 Carbon Frameset - 2016"/>
    <x v="1"/>
  </r>
  <r>
    <n v="1372"/>
    <n v="1"/>
    <n v="307"/>
    <x v="0"/>
    <n v="749.99"/>
    <x v="1"/>
    <x v="30"/>
    <x v="1"/>
    <s v="Electra Townie Balloon 8D EQ - 2016/2017/2018"/>
    <x v="1"/>
  </r>
  <r>
    <n v="1372"/>
    <n v="2"/>
    <n v="283"/>
    <x v="1"/>
    <n v="319.99"/>
    <x v="0"/>
    <x v="138"/>
    <x v="1"/>
    <s v="Electra Heartchya 1 (20-inch) - Girl's - 2018"/>
    <x v="1"/>
  </r>
  <r>
    <n v="1373"/>
    <n v="1"/>
    <n v="63"/>
    <x v="0"/>
    <n v="3499.99"/>
    <x v="3"/>
    <x v="43"/>
    <x v="1"/>
    <s v="Trek Boone Race Shop Limited - 2017"/>
    <x v="2"/>
  </r>
  <r>
    <n v="1374"/>
    <n v="1"/>
    <n v="181"/>
    <x v="1"/>
    <n v="2199.9899999999998"/>
    <x v="2"/>
    <x v="162"/>
    <x v="1"/>
    <s v="Trek Domane SL 5 - 2018"/>
    <x v="0"/>
  </r>
  <r>
    <n v="1374"/>
    <n v="2"/>
    <n v="130"/>
    <x v="1"/>
    <n v="919.99"/>
    <x v="1"/>
    <x v="136"/>
    <x v="1"/>
    <s v="Trek Stache Carbon Frameset - 2018"/>
    <x v="0"/>
  </r>
  <r>
    <n v="1375"/>
    <n v="1"/>
    <n v="147"/>
    <x v="1"/>
    <n v="1799.99"/>
    <x v="2"/>
    <x v="1"/>
    <x v="1"/>
    <s v="Trek Domane ALR 5 Gravel - 2018"/>
    <x v="2"/>
  </r>
  <r>
    <n v="1375"/>
    <n v="2"/>
    <n v="182"/>
    <x v="0"/>
    <n v="2499.9899999999998"/>
    <x v="0"/>
    <x v="79"/>
    <x v="1"/>
    <s v="Trek Domane SL 5 Disc - 2018"/>
    <x v="2"/>
  </r>
  <r>
    <n v="1376"/>
    <n v="1"/>
    <n v="5"/>
    <x v="0"/>
    <n v="1320.99"/>
    <x v="1"/>
    <x v="24"/>
    <x v="1"/>
    <s v="Heller Shagamaw Frame - 2016"/>
    <x v="0"/>
  </r>
  <r>
    <n v="1377"/>
    <n v="1"/>
    <n v="153"/>
    <x v="1"/>
    <n v="4999.99"/>
    <x v="2"/>
    <x v="41"/>
    <x v="1"/>
    <s v="Trek Domane SL 7 Women's - 2018"/>
    <x v="1"/>
  </r>
  <r>
    <n v="1377"/>
    <n v="2"/>
    <n v="130"/>
    <x v="0"/>
    <n v="919.99"/>
    <x v="2"/>
    <x v="135"/>
    <x v="1"/>
    <s v="Trek Stache Carbon Frameset - 2018"/>
    <x v="1"/>
  </r>
  <r>
    <n v="1377"/>
    <n v="3"/>
    <n v="48"/>
    <x v="0"/>
    <n v="1499.99"/>
    <x v="1"/>
    <x v="77"/>
    <x v="1"/>
    <s v="Trek Emonda S 4 - 2017"/>
    <x v="1"/>
  </r>
  <r>
    <n v="1377"/>
    <n v="4"/>
    <n v="188"/>
    <x v="1"/>
    <n v="3499.99"/>
    <x v="1"/>
    <x v="54"/>
    <x v="1"/>
    <s v="Trek XM700+ Lowstep - 2018"/>
    <x v="1"/>
  </r>
  <r>
    <n v="1378"/>
    <n v="1"/>
    <n v="96"/>
    <x v="1"/>
    <n v="349.99"/>
    <x v="1"/>
    <x v="47"/>
    <x v="1"/>
    <s v="Electra Moto 3i (20-inch) - Boy's - 2017"/>
    <x v="0"/>
  </r>
  <r>
    <n v="1378"/>
    <n v="2"/>
    <n v="142"/>
    <x v="1"/>
    <n v="3199.99"/>
    <x v="1"/>
    <x v="64"/>
    <x v="1"/>
    <s v="Trek Fuel EX 8 29 XT - 2018"/>
    <x v="0"/>
  </r>
  <r>
    <n v="1378"/>
    <n v="3"/>
    <n v="2"/>
    <x v="1"/>
    <n v="749.99"/>
    <x v="0"/>
    <x v="6"/>
    <x v="1"/>
    <s v="Ritchey Timberwolf Frameset - 2016"/>
    <x v="0"/>
  </r>
  <r>
    <n v="1378"/>
    <n v="4"/>
    <n v="110"/>
    <x v="0"/>
    <n v="470.99"/>
    <x v="1"/>
    <x v="107"/>
    <x v="1"/>
    <s v="Sun Bicycles Drifter 7 - 2017"/>
    <x v="0"/>
  </r>
  <r>
    <n v="1378"/>
    <n v="5"/>
    <n v="129"/>
    <x v="1"/>
    <n v="919.99"/>
    <x v="0"/>
    <x v="136"/>
    <x v="1"/>
    <s v="Trek X-Caliber 7 - 2018"/>
    <x v="0"/>
  </r>
  <r>
    <n v="1379"/>
    <n v="1"/>
    <n v="15"/>
    <x v="0"/>
    <n v="529.99"/>
    <x v="3"/>
    <x v="12"/>
    <x v="1"/>
    <s v="Electra Moto 1 - 2016"/>
    <x v="1"/>
  </r>
  <r>
    <n v="1379"/>
    <n v="2"/>
    <n v="118"/>
    <x v="0"/>
    <n v="999.99"/>
    <x v="3"/>
    <x v="5"/>
    <x v="1"/>
    <s v="Trek X-Caliber 8 - 2018"/>
    <x v="1"/>
  </r>
  <r>
    <n v="1379"/>
    <n v="3"/>
    <n v="263"/>
    <x v="1"/>
    <n v="89.99"/>
    <x v="3"/>
    <x v="151"/>
    <x v="1"/>
    <s v="Strider Classic 12 Balance Bike - 2018"/>
    <x v="1"/>
  </r>
  <r>
    <n v="1380"/>
    <n v="1"/>
    <n v="255"/>
    <x v="1"/>
    <n v="899.99"/>
    <x v="3"/>
    <x v="134"/>
    <x v="1"/>
    <s v="Electra Townie Balloon 7i EQ Ladies' - 2017/2018"/>
    <x v="0"/>
  </r>
  <r>
    <n v="1380"/>
    <n v="2"/>
    <n v="229"/>
    <x v="1"/>
    <n v="429.99"/>
    <x v="1"/>
    <x v="141"/>
    <x v="1"/>
    <s v="Electra Cruiser Lux 1 - 2016/2018"/>
    <x v="0"/>
  </r>
  <r>
    <n v="1381"/>
    <n v="1"/>
    <n v="274"/>
    <x v="1"/>
    <n v="229.99"/>
    <x v="0"/>
    <x v="163"/>
    <x v="1"/>
    <s v="Trek Precaliber 20 Boy's - 2018"/>
    <x v="1"/>
  </r>
  <r>
    <n v="1381"/>
    <n v="2"/>
    <n v="214"/>
    <x v="1"/>
    <n v="899.99"/>
    <x v="3"/>
    <x v="134"/>
    <x v="1"/>
    <s v="Electra Tiger Shark 3i - 2018"/>
    <x v="1"/>
  </r>
  <r>
    <n v="1382"/>
    <n v="1"/>
    <n v="232"/>
    <x v="0"/>
    <n v="479.99"/>
    <x v="0"/>
    <x v="139"/>
    <x v="1"/>
    <s v="Electra Cruiser Lux 7D Ladies' - 2018"/>
    <x v="1"/>
  </r>
  <r>
    <n v="1382"/>
    <n v="2"/>
    <n v="81"/>
    <x v="1"/>
    <n v="1099.99"/>
    <x v="2"/>
    <x v="88"/>
    <x v="1"/>
    <s v="Electra Amsterdam Fashion 7i Ladies' - 2017"/>
    <x v="1"/>
  </r>
  <r>
    <n v="1382"/>
    <n v="3"/>
    <n v="225"/>
    <x v="0"/>
    <n v="959.99"/>
    <x v="3"/>
    <x v="164"/>
    <x v="1"/>
    <s v="Electra Delivery 3i - 2016/2017/2018"/>
    <x v="1"/>
  </r>
  <r>
    <n v="1382"/>
    <n v="4"/>
    <n v="135"/>
    <x v="0"/>
    <n v="1499.99"/>
    <x v="1"/>
    <x v="77"/>
    <x v="1"/>
    <s v="Trek X-Caliber Frameset - 2018"/>
    <x v="1"/>
  </r>
  <r>
    <n v="1382"/>
    <n v="5"/>
    <n v="238"/>
    <x v="0"/>
    <n v="749.99"/>
    <x v="0"/>
    <x v="30"/>
    <x v="1"/>
    <s v="Electra Townie Balloon 8D EQ - 2016/2017/2018"/>
    <x v="1"/>
  </r>
  <r>
    <n v="1383"/>
    <n v="1"/>
    <n v="188"/>
    <x v="1"/>
    <n v="3499.99"/>
    <x v="0"/>
    <x v="54"/>
    <x v="1"/>
    <s v="Trek XM700+ Lowstep - 2018"/>
    <x v="0"/>
  </r>
  <r>
    <n v="1383"/>
    <n v="2"/>
    <n v="65"/>
    <x v="1"/>
    <n v="346.99"/>
    <x v="2"/>
    <x v="110"/>
    <x v="1"/>
    <s v="Sun Bicycles Lil Bolt Type-R - 2017"/>
    <x v="0"/>
  </r>
  <r>
    <n v="1384"/>
    <n v="1"/>
    <n v="32"/>
    <x v="0"/>
    <n v="469.99"/>
    <x v="1"/>
    <x v="20"/>
    <x v="1"/>
    <s v="Trek Farley Alloy Frameset - 2017"/>
    <x v="1"/>
  </r>
  <r>
    <n v="1384"/>
    <n v="2"/>
    <n v="142"/>
    <x v="1"/>
    <n v="3199.99"/>
    <x v="3"/>
    <x v="64"/>
    <x v="1"/>
    <s v="Trek Fuel EX 8 29 XT - 2018"/>
    <x v="1"/>
  </r>
  <r>
    <n v="1384"/>
    <n v="3"/>
    <n v="89"/>
    <x v="0"/>
    <n v="209.99"/>
    <x v="3"/>
    <x v="48"/>
    <x v="1"/>
    <s v="Trek Precaliber 16 Boys - 2017"/>
    <x v="1"/>
  </r>
  <r>
    <n v="1384"/>
    <n v="4"/>
    <n v="97"/>
    <x v="0"/>
    <n v="349.99"/>
    <x v="2"/>
    <x v="99"/>
    <x v="1"/>
    <s v="Electra Savannah 3i (20-inch) - Girl's - 2017"/>
    <x v="1"/>
  </r>
  <r>
    <n v="1385"/>
    <n v="1"/>
    <n v="24"/>
    <x v="1"/>
    <n v="549.99"/>
    <x v="2"/>
    <x v="9"/>
    <x v="1"/>
    <s v="Electra Townie Original 21D - 2016"/>
    <x v="2"/>
  </r>
  <r>
    <n v="1385"/>
    <n v="2"/>
    <n v="145"/>
    <x v="0"/>
    <n v="1799.99"/>
    <x v="1"/>
    <x v="16"/>
    <x v="1"/>
    <s v="Trek Domane ALR 5 Disc - 2018"/>
    <x v="2"/>
  </r>
  <r>
    <n v="1385"/>
    <n v="3"/>
    <n v="39"/>
    <x v="1"/>
    <n v="1499.99"/>
    <x v="3"/>
    <x v="65"/>
    <x v="1"/>
    <s v="Trek Stache 5 - 2017"/>
    <x v="2"/>
  </r>
  <r>
    <n v="1385"/>
    <n v="4"/>
    <n v="135"/>
    <x v="0"/>
    <n v="1499.99"/>
    <x v="2"/>
    <x v="77"/>
    <x v="1"/>
    <s v="Trek X-Caliber Frameset - 2018"/>
    <x v="2"/>
  </r>
  <r>
    <n v="1386"/>
    <n v="1"/>
    <n v="292"/>
    <x v="0"/>
    <n v="369.99"/>
    <x v="0"/>
    <x v="143"/>
    <x v="1"/>
    <s v="Electra Sweet Ride 3i (20-inch) - Girls' - 2018"/>
    <x v="0"/>
  </r>
  <r>
    <n v="1386"/>
    <n v="2"/>
    <n v="262"/>
    <x v="0"/>
    <n v="249.99"/>
    <x v="3"/>
    <x v="70"/>
    <x v="1"/>
    <s v="Trek MT 201 - 2018"/>
    <x v="0"/>
  </r>
  <r>
    <n v="1386"/>
    <n v="3"/>
    <n v="306"/>
    <x v="0"/>
    <n v="899.99"/>
    <x v="3"/>
    <x v="130"/>
    <x v="1"/>
    <s v="Electra Townie Balloon 7i EQ Ladies' - 2017/2018"/>
    <x v="0"/>
  </r>
  <r>
    <n v="1386"/>
    <n v="4"/>
    <n v="150"/>
    <x v="0"/>
    <n v="4499.99"/>
    <x v="1"/>
    <x v="150"/>
    <x v="1"/>
    <s v="Trek Emonda SL 7 - 2018"/>
    <x v="0"/>
  </r>
  <r>
    <n v="1387"/>
    <n v="1"/>
    <n v="106"/>
    <x v="0"/>
    <n v="449.99"/>
    <x v="3"/>
    <x v="72"/>
    <x v="1"/>
    <s v="Sun Bicycles Cruz 3 - 2017"/>
    <x v="1"/>
  </r>
  <r>
    <n v="1388"/>
    <n v="1"/>
    <n v="251"/>
    <x v="0"/>
    <n v="2999.99"/>
    <x v="3"/>
    <x v="28"/>
    <x v="1"/>
    <s v="Electra Townie Commute Go! - 2018"/>
    <x v="1"/>
  </r>
  <r>
    <n v="1389"/>
    <n v="1"/>
    <n v="85"/>
    <x v="1"/>
    <n v="329.99"/>
    <x v="3"/>
    <x v="36"/>
    <x v="1"/>
    <s v="Haro Downtown 16 - 2017"/>
    <x v="1"/>
  </r>
  <r>
    <n v="1389"/>
    <n v="2"/>
    <n v="171"/>
    <x v="1"/>
    <n v="3199.99"/>
    <x v="2"/>
    <x v="64"/>
    <x v="1"/>
    <s v="Trek Domane SL 6 - 2018"/>
    <x v="1"/>
  </r>
  <r>
    <n v="1389"/>
    <n v="3"/>
    <n v="227"/>
    <x v="0"/>
    <n v="319.99"/>
    <x v="1"/>
    <x v="137"/>
    <x v="1"/>
    <s v="Electra Cruiser 7D (24-Inch) Ladies' - 2016/2018"/>
    <x v="1"/>
  </r>
  <r>
    <n v="1390"/>
    <n v="1"/>
    <n v="41"/>
    <x v="1"/>
    <n v="1469.99"/>
    <x v="2"/>
    <x v="69"/>
    <x v="1"/>
    <s v="Haro Shift R3 - 2017"/>
    <x v="1"/>
  </r>
  <r>
    <n v="1390"/>
    <n v="2"/>
    <n v="27"/>
    <x v="1"/>
    <n v="999.99"/>
    <x v="2"/>
    <x v="10"/>
    <x v="1"/>
    <s v="Surly Big Dummy Frameset - 2017"/>
    <x v="1"/>
  </r>
  <r>
    <n v="1390"/>
    <n v="3"/>
    <n v="306"/>
    <x v="0"/>
    <n v="899.99"/>
    <x v="3"/>
    <x v="130"/>
    <x v="1"/>
    <s v="Electra Townie Balloon 7i EQ Ladies' - 2017/2018"/>
    <x v="1"/>
  </r>
  <r>
    <n v="1390"/>
    <n v="4"/>
    <n v="104"/>
    <x v="0"/>
    <n v="481.99"/>
    <x v="2"/>
    <x v="92"/>
    <x v="1"/>
    <s v="Sun Bicycles Streamway - 2017"/>
    <x v="1"/>
  </r>
  <r>
    <n v="1390"/>
    <n v="5"/>
    <n v="147"/>
    <x v="1"/>
    <n v="1799.99"/>
    <x v="3"/>
    <x v="1"/>
    <x v="1"/>
    <s v="Trek Domane ALR 5 Gravel - 2018"/>
    <x v="1"/>
  </r>
  <r>
    <n v="1391"/>
    <n v="1"/>
    <n v="223"/>
    <x v="1"/>
    <n v="529.99"/>
    <x v="1"/>
    <x v="29"/>
    <x v="1"/>
    <s v="Electra Cruiser Lux 3i - 2018"/>
    <x v="1"/>
  </r>
  <r>
    <n v="1391"/>
    <n v="2"/>
    <n v="295"/>
    <x v="1"/>
    <n v="319.99"/>
    <x v="0"/>
    <x v="138"/>
    <x v="1"/>
    <s v="Electra Treasure 1 20&quot; - 2018"/>
    <x v="1"/>
  </r>
  <r>
    <n v="1391"/>
    <n v="3"/>
    <n v="277"/>
    <x v="0"/>
    <n v="369.99"/>
    <x v="0"/>
    <x v="143"/>
    <x v="1"/>
    <s v="Trek Precaliber 24 21-speed Boy's - 2018"/>
    <x v="1"/>
  </r>
  <r>
    <n v="1392"/>
    <n v="1"/>
    <n v="87"/>
    <x v="1"/>
    <n v="189.99"/>
    <x v="0"/>
    <x v="59"/>
    <x v="1"/>
    <s v="Trek Precaliber 12 Boys - 2017"/>
    <x v="1"/>
  </r>
  <r>
    <n v="1392"/>
    <n v="2"/>
    <n v="240"/>
    <x v="1"/>
    <n v="899.99"/>
    <x v="2"/>
    <x v="134"/>
    <x v="1"/>
    <s v="Electra Townie Commute 27D Ladies - 2018"/>
    <x v="1"/>
  </r>
  <r>
    <n v="1393"/>
    <n v="1"/>
    <n v="92"/>
    <x v="0"/>
    <n v="209.99"/>
    <x v="1"/>
    <x v="48"/>
    <x v="1"/>
    <s v="Haro Shredder 20 - 2017"/>
    <x v="1"/>
  </r>
  <r>
    <n v="1393"/>
    <n v="2"/>
    <n v="82"/>
    <x v="0"/>
    <n v="659.99"/>
    <x v="1"/>
    <x v="66"/>
    <x v="1"/>
    <s v="Electra Amsterdam Original 3i Ladies' - 2017"/>
    <x v="1"/>
  </r>
  <r>
    <n v="1393"/>
    <n v="3"/>
    <n v="47"/>
    <x v="1"/>
    <n v="5299.99"/>
    <x v="2"/>
    <x v="46"/>
    <x v="1"/>
    <s v="Trek Remedy 9.8 - 2017"/>
    <x v="1"/>
  </r>
  <r>
    <n v="1393"/>
    <n v="4"/>
    <n v="268"/>
    <x v="1"/>
    <n v="159.99"/>
    <x v="2"/>
    <x v="165"/>
    <x v="1"/>
    <s v="Trek Kickster - 2018"/>
    <x v="1"/>
  </r>
  <r>
    <n v="1394"/>
    <n v="1"/>
    <n v="165"/>
    <x v="1"/>
    <n v="2499.9899999999998"/>
    <x v="2"/>
    <x v="117"/>
    <x v="1"/>
    <s v="Trek 1120 - 2018"/>
    <x v="2"/>
  </r>
  <r>
    <n v="1395"/>
    <n v="1"/>
    <n v="204"/>
    <x v="0"/>
    <n v="3599.99"/>
    <x v="0"/>
    <x v="166"/>
    <x v="1"/>
    <s v="Trek Super Commuter+ 7 - 2018"/>
    <x v="0"/>
  </r>
  <r>
    <n v="1395"/>
    <n v="2"/>
    <n v="48"/>
    <x v="1"/>
    <n v="1499.99"/>
    <x v="3"/>
    <x v="65"/>
    <x v="1"/>
    <s v="Trek Emonda S 4 - 2017"/>
    <x v="0"/>
  </r>
  <r>
    <n v="1395"/>
    <n v="3"/>
    <n v="180"/>
    <x v="1"/>
    <n v="919.99"/>
    <x v="0"/>
    <x v="136"/>
    <x v="1"/>
    <s v="Trek Domane AL 3 Women's - 2018"/>
    <x v="0"/>
  </r>
  <r>
    <n v="1395"/>
    <n v="4"/>
    <n v="226"/>
    <x v="0"/>
    <n v="679.99"/>
    <x v="3"/>
    <x v="167"/>
    <x v="1"/>
    <s v="Electra Townie Original 21D EQ - 2017/2018"/>
    <x v="0"/>
  </r>
  <r>
    <n v="1396"/>
    <n v="1"/>
    <n v="57"/>
    <x v="0"/>
    <n v="1999.99"/>
    <x v="2"/>
    <x v="102"/>
    <x v="1"/>
    <s v="Trek Emonda S 5 - 2017"/>
    <x v="1"/>
  </r>
  <r>
    <n v="1396"/>
    <n v="2"/>
    <n v="181"/>
    <x v="0"/>
    <n v="2199.9899999999998"/>
    <x v="0"/>
    <x v="168"/>
    <x v="1"/>
    <s v="Trek Domane SL 5 - 2018"/>
    <x v="1"/>
  </r>
  <r>
    <n v="1397"/>
    <n v="1"/>
    <n v="127"/>
    <x v="1"/>
    <n v="469.99"/>
    <x v="3"/>
    <x v="35"/>
    <x v="1"/>
    <s v="Surly Pack Rat Frameset - 2018"/>
    <x v="1"/>
  </r>
  <r>
    <n v="1397"/>
    <n v="2"/>
    <n v="139"/>
    <x v="0"/>
    <n v="2999.99"/>
    <x v="1"/>
    <x v="28"/>
    <x v="1"/>
    <s v="Trek Remedy 7 27.5 - 2018"/>
    <x v="1"/>
  </r>
  <r>
    <n v="1397"/>
    <n v="3"/>
    <n v="7"/>
    <x v="0"/>
    <n v="3999.99"/>
    <x v="2"/>
    <x v="25"/>
    <x v="1"/>
    <s v="Trek Slash 8 27.5 - 2016"/>
    <x v="1"/>
  </r>
  <r>
    <n v="1397"/>
    <n v="4"/>
    <n v="249"/>
    <x v="0"/>
    <n v="749.99"/>
    <x v="2"/>
    <x v="30"/>
    <x v="1"/>
    <s v="Electra White Water 3i - 2018"/>
    <x v="1"/>
  </r>
  <r>
    <n v="1397"/>
    <n v="5"/>
    <n v="78"/>
    <x v="1"/>
    <n v="647.99"/>
    <x v="3"/>
    <x v="114"/>
    <x v="1"/>
    <s v="Sun Bicycles Biscayne Tandem CB - 2017"/>
    <x v="1"/>
  </r>
  <r>
    <n v="1398"/>
    <n v="1"/>
    <n v="69"/>
    <x v="1"/>
    <n v="416.99"/>
    <x v="2"/>
    <x v="42"/>
    <x v="1"/>
    <s v="Sun Bicycles Cruz 7 - 2017"/>
    <x v="0"/>
  </r>
  <r>
    <n v="1398"/>
    <n v="2"/>
    <n v="53"/>
    <x v="0"/>
    <n v="749.99"/>
    <x v="0"/>
    <x v="30"/>
    <x v="1"/>
    <s v="Surly Ogre Frameset - 2017"/>
    <x v="0"/>
  </r>
  <r>
    <n v="1399"/>
    <n v="1"/>
    <n v="210"/>
    <x v="1"/>
    <n v="1549"/>
    <x v="0"/>
    <x v="2"/>
    <x v="1"/>
    <s v="Surly Straggler - 2018"/>
    <x v="1"/>
  </r>
  <r>
    <n v="1399"/>
    <n v="2"/>
    <n v="224"/>
    <x v="0"/>
    <n v="479.99"/>
    <x v="2"/>
    <x v="139"/>
    <x v="1"/>
    <s v="Electra Cruiser Lux 7D - 2018"/>
    <x v="1"/>
  </r>
  <r>
    <n v="1399"/>
    <n v="3"/>
    <n v="127"/>
    <x v="1"/>
    <n v="469.99"/>
    <x v="1"/>
    <x v="35"/>
    <x v="1"/>
    <s v="Surly Pack Rat Frameset - 2018"/>
    <x v="1"/>
  </r>
  <r>
    <n v="1399"/>
    <n v="4"/>
    <n v="28"/>
    <x v="0"/>
    <n v="2499.9899999999998"/>
    <x v="2"/>
    <x v="79"/>
    <x v="1"/>
    <s v="Surly Karate Monkey 27.5+ Frameset - 2017"/>
    <x v="1"/>
  </r>
  <r>
    <n v="1400"/>
    <n v="1"/>
    <n v="24"/>
    <x v="1"/>
    <n v="549.99"/>
    <x v="0"/>
    <x v="9"/>
    <x v="1"/>
    <s v="Electra Townie Original 21D - 2016"/>
    <x v="1"/>
  </r>
  <r>
    <n v="1400"/>
    <n v="2"/>
    <n v="217"/>
    <x v="1"/>
    <n v="909.99"/>
    <x v="0"/>
    <x v="169"/>
    <x v="1"/>
    <s v="Electra Straight 8 3i - 2018"/>
    <x v="1"/>
  </r>
  <r>
    <n v="1400"/>
    <n v="3"/>
    <n v="275"/>
    <x v="0"/>
    <n v="229.99"/>
    <x v="3"/>
    <x v="170"/>
    <x v="1"/>
    <s v="Trek Precaliber 20 Girl's - 2018"/>
    <x v="1"/>
  </r>
  <r>
    <n v="1400"/>
    <n v="4"/>
    <n v="90"/>
    <x v="0"/>
    <n v="209.99"/>
    <x v="1"/>
    <x v="48"/>
    <x v="1"/>
    <s v="Trek Precaliber 16 Girls - 2017"/>
    <x v="1"/>
  </r>
  <r>
    <n v="1401"/>
    <n v="1"/>
    <n v="112"/>
    <x v="0"/>
    <n v="379.99"/>
    <x v="1"/>
    <x v="125"/>
    <x v="1"/>
    <s v="Trek 820 - 2018"/>
    <x v="1"/>
  </r>
  <r>
    <n v="1401"/>
    <n v="2"/>
    <n v="230"/>
    <x v="0"/>
    <n v="429.99"/>
    <x v="2"/>
    <x v="171"/>
    <x v="1"/>
    <s v="Electra Cruiser Lux 1 Ladies' - 2018"/>
    <x v="1"/>
  </r>
  <r>
    <n v="1401"/>
    <n v="3"/>
    <n v="254"/>
    <x v="1"/>
    <n v="749.99"/>
    <x v="0"/>
    <x v="6"/>
    <x v="1"/>
    <s v="Electra Townie Balloon 3i EQ - 2017/2018"/>
    <x v="1"/>
  </r>
  <r>
    <n v="1402"/>
    <n v="1"/>
    <n v="189"/>
    <x v="1"/>
    <n v="2799.99"/>
    <x v="0"/>
    <x v="131"/>
    <x v="1"/>
    <s v="Trek Lift+ Lowstep - 2018"/>
    <x v="1"/>
  </r>
  <r>
    <n v="1402"/>
    <n v="2"/>
    <n v="28"/>
    <x v="1"/>
    <n v="2499.9899999999998"/>
    <x v="2"/>
    <x v="117"/>
    <x v="1"/>
    <s v="Surly Karate Monkey 27.5+ Frameset - 2017"/>
    <x v="1"/>
  </r>
  <r>
    <n v="1402"/>
    <n v="3"/>
    <n v="203"/>
    <x v="0"/>
    <n v="4999.99"/>
    <x v="2"/>
    <x v="76"/>
    <x v="1"/>
    <s v="Trek Powerfly 7 FS - 2018"/>
    <x v="1"/>
  </r>
  <r>
    <n v="1402"/>
    <n v="4"/>
    <n v="273"/>
    <x v="0"/>
    <n v="289.99"/>
    <x v="1"/>
    <x v="172"/>
    <x v="1"/>
    <s v="Trek Precaliber 20 6-speed Girl's - 2018"/>
    <x v="1"/>
  </r>
  <r>
    <n v="1403"/>
    <n v="1"/>
    <n v="93"/>
    <x v="1"/>
    <n v="209.99"/>
    <x v="3"/>
    <x v="84"/>
    <x v="1"/>
    <s v="Haro Shredder 20 Girls - 2017"/>
    <x v="1"/>
  </r>
  <r>
    <n v="1404"/>
    <n v="1"/>
    <n v="112"/>
    <x v="1"/>
    <n v="379.99"/>
    <x v="2"/>
    <x v="86"/>
    <x v="1"/>
    <s v="Trek 820 - 2018"/>
    <x v="0"/>
  </r>
  <r>
    <n v="1404"/>
    <n v="2"/>
    <n v="220"/>
    <x v="0"/>
    <n v="269.99"/>
    <x v="3"/>
    <x v="14"/>
    <x v="1"/>
    <s v="Electra Cruiser 1 Ladies' - 2018"/>
    <x v="0"/>
  </r>
  <r>
    <n v="1404"/>
    <n v="3"/>
    <n v="193"/>
    <x v="1"/>
    <n v="2799.99"/>
    <x v="0"/>
    <x v="131"/>
    <x v="1"/>
    <s v="Trek Lift+ - 2018"/>
    <x v="0"/>
  </r>
  <r>
    <n v="1405"/>
    <n v="1"/>
    <n v="162"/>
    <x v="1"/>
    <n v="2999.99"/>
    <x v="3"/>
    <x v="11"/>
    <x v="1"/>
    <s v="Trek Emonda SL 6 Disc - 2018"/>
    <x v="1"/>
  </r>
  <r>
    <n v="1406"/>
    <n v="1"/>
    <n v="230"/>
    <x v="1"/>
    <n v="429.99"/>
    <x v="2"/>
    <x v="141"/>
    <x v="1"/>
    <s v="Electra Cruiser Lux 1 Ladies' - 2018"/>
    <x v="1"/>
  </r>
  <r>
    <n v="1406"/>
    <n v="2"/>
    <n v="113"/>
    <x v="0"/>
    <n v="489.99"/>
    <x v="3"/>
    <x v="44"/>
    <x v="1"/>
    <s v="Trek Marlin 5 - 2018"/>
    <x v="1"/>
  </r>
  <r>
    <n v="1407"/>
    <n v="1"/>
    <n v="300"/>
    <x v="0"/>
    <n v="799.99"/>
    <x v="2"/>
    <x v="129"/>
    <x v="1"/>
    <s v="Electra Townie Balloon 3i EQ Ladies' - 2018"/>
    <x v="1"/>
  </r>
  <r>
    <n v="1407"/>
    <n v="2"/>
    <n v="36"/>
    <x v="1"/>
    <n v="832.99"/>
    <x v="3"/>
    <x v="113"/>
    <x v="1"/>
    <s v="Surly Troll Frameset - 2017"/>
    <x v="1"/>
  </r>
  <r>
    <n v="1407"/>
    <n v="3"/>
    <n v="266"/>
    <x v="0"/>
    <n v="399.99"/>
    <x v="3"/>
    <x v="173"/>
    <x v="1"/>
    <s v="Trek Superfly 20 - 2018"/>
    <x v="1"/>
  </r>
  <r>
    <n v="1407"/>
    <n v="4"/>
    <n v="35"/>
    <x v="0"/>
    <n v="832.99"/>
    <x v="0"/>
    <x v="106"/>
    <x v="1"/>
    <s v="Sun Bicycles Spider 3i - 2017"/>
    <x v="1"/>
  </r>
  <r>
    <n v="1408"/>
    <n v="1"/>
    <n v="23"/>
    <x v="1"/>
    <n v="299.99"/>
    <x v="0"/>
    <x v="22"/>
    <x v="1"/>
    <s v="Electra Girl's Hawaii 1 (20-inch) - 2015/2016"/>
    <x v="1"/>
  </r>
  <r>
    <n v="1408"/>
    <n v="2"/>
    <n v="166"/>
    <x v="0"/>
    <n v="749.99"/>
    <x v="0"/>
    <x v="30"/>
    <x v="1"/>
    <s v="Trek Domane AL 2 Women's - 2018"/>
    <x v="1"/>
  </r>
  <r>
    <n v="1408"/>
    <n v="3"/>
    <n v="114"/>
    <x v="0"/>
    <n v="579.99"/>
    <x v="1"/>
    <x v="174"/>
    <x v="1"/>
    <s v="Trek Marlin 6 - 2018"/>
    <x v="1"/>
  </r>
  <r>
    <n v="1408"/>
    <n v="4"/>
    <n v="137"/>
    <x v="1"/>
    <n v="2599"/>
    <x v="0"/>
    <x v="160"/>
    <x v="1"/>
    <s v="Heller Shagamaw GX1 - 2018"/>
    <x v="1"/>
  </r>
  <r>
    <n v="1409"/>
    <n v="1"/>
    <n v="301"/>
    <x v="1"/>
    <n v="899.99"/>
    <x v="1"/>
    <x v="134"/>
    <x v="1"/>
    <s v="Electra Townie Balloon 7i EQ - 2018"/>
    <x v="2"/>
  </r>
  <r>
    <n v="1409"/>
    <n v="2"/>
    <n v="170"/>
    <x v="0"/>
    <n v="1299.99"/>
    <x v="1"/>
    <x v="175"/>
    <x v="1"/>
    <s v="Trek CrossRip 2 - 2018"/>
    <x v="2"/>
  </r>
  <r>
    <n v="1409"/>
    <n v="3"/>
    <n v="171"/>
    <x v="1"/>
    <n v="3199.99"/>
    <x v="2"/>
    <x v="64"/>
    <x v="1"/>
    <s v="Trek Domane SL 6 - 2018"/>
    <x v="2"/>
  </r>
  <r>
    <n v="1409"/>
    <n v="4"/>
    <n v="265"/>
    <x v="0"/>
    <n v="289.99"/>
    <x v="2"/>
    <x v="172"/>
    <x v="1"/>
    <s v="Strider Strider 20 Sport - 2018"/>
    <x v="2"/>
  </r>
  <r>
    <n v="1409"/>
    <n v="5"/>
    <n v="222"/>
    <x v="0"/>
    <n v="269.99"/>
    <x v="3"/>
    <x v="14"/>
    <x v="1"/>
    <s v="Electra Cruiser 1 Tall - 2016/2018"/>
    <x v="2"/>
  </r>
  <r>
    <n v="1410"/>
    <n v="1"/>
    <n v="205"/>
    <x v="1"/>
    <n v="4999.99"/>
    <x v="3"/>
    <x v="41"/>
    <x v="1"/>
    <s v="Trek Super Commuter+ 8S - 2018"/>
    <x v="1"/>
  </r>
  <r>
    <n v="1410"/>
    <n v="2"/>
    <n v="203"/>
    <x v="1"/>
    <n v="4999.99"/>
    <x v="0"/>
    <x v="41"/>
    <x v="1"/>
    <s v="Trek Powerfly 7 FS - 2018"/>
    <x v="1"/>
  </r>
  <r>
    <n v="1410"/>
    <n v="3"/>
    <n v="304"/>
    <x v="0"/>
    <n v="679.99"/>
    <x v="3"/>
    <x v="167"/>
    <x v="1"/>
    <s v="Electra Townie Original 21D EQ - 2017/2018"/>
    <x v="1"/>
  </r>
  <r>
    <n v="1411"/>
    <n v="1"/>
    <n v="9"/>
    <x v="0"/>
    <n v="2999.99"/>
    <x v="3"/>
    <x v="28"/>
    <x v="1"/>
    <s v="Trek Conduit+ - 2016"/>
    <x v="0"/>
  </r>
  <r>
    <n v="1411"/>
    <n v="2"/>
    <n v="308"/>
    <x v="1"/>
    <n v="749.99"/>
    <x v="0"/>
    <x v="6"/>
    <x v="1"/>
    <s v="Electra Townie Balloon 8D EQ Ladies' - 2016/2017/2018"/>
    <x v="0"/>
  </r>
  <r>
    <n v="1412"/>
    <n v="1"/>
    <n v="180"/>
    <x v="1"/>
    <n v="919.99"/>
    <x v="1"/>
    <x v="136"/>
    <x v="1"/>
    <s v="Trek Domane AL 3 Women's - 2018"/>
    <x v="1"/>
  </r>
  <r>
    <n v="1412"/>
    <n v="2"/>
    <n v="43"/>
    <x v="0"/>
    <n v="5299.99"/>
    <x v="3"/>
    <x v="57"/>
    <x v="1"/>
    <s v="Trek Fuel EX 9.8 27.5 Plus - 2017"/>
    <x v="1"/>
  </r>
  <r>
    <n v="1412"/>
    <n v="3"/>
    <n v="109"/>
    <x v="1"/>
    <n v="416.99"/>
    <x v="1"/>
    <x v="42"/>
    <x v="1"/>
    <s v="Sun Bicycles Cruz 7 - Women's - 2017"/>
    <x v="1"/>
  </r>
  <r>
    <n v="1413"/>
    <n v="1"/>
    <n v="297"/>
    <x v="1"/>
    <n v="279.99"/>
    <x v="2"/>
    <x v="152"/>
    <x v="1"/>
    <s v="Electra Under-The-Sea 1 16&quot; - 2018"/>
    <x v="2"/>
  </r>
  <r>
    <n v="1414"/>
    <n v="1"/>
    <n v="162"/>
    <x v="1"/>
    <n v="2999.99"/>
    <x v="3"/>
    <x v="11"/>
    <x v="1"/>
    <s v="Trek Emonda SL 6 Disc - 2018"/>
    <x v="1"/>
  </r>
  <r>
    <n v="1414"/>
    <n v="2"/>
    <n v="292"/>
    <x v="1"/>
    <n v="369.99"/>
    <x v="2"/>
    <x v="176"/>
    <x v="1"/>
    <s v="Electra Sweet Ride 3i (20-inch) - Girls' - 2018"/>
    <x v="1"/>
  </r>
  <r>
    <n v="1415"/>
    <n v="1"/>
    <n v="31"/>
    <x v="1"/>
    <n v="1632.99"/>
    <x v="1"/>
    <x v="115"/>
    <x v="1"/>
    <s v="Surly Wednesday - 2017"/>
    <x v="1"/>
  </r>
  <r>
    <n v="1415"/>
    <n v="2"/>
    <n v="17"/>
    <x v="0"/>
    <n v="429"/>
    <x v="2"/>
    <x v="7"/>
    <x v="1"/>
    <s v="Pure Cycles Vine 8-Speed - 2016"/>
    <x v="1"/>
  </r>
  <r>
    <n v="1415"/>
    <n v="3"/>
    <n v="264"/>
    <x v="1"/>
    <n v="249.99"/>
    <x v="3"/>
    <x v="53"/>
    <x v="1"/>
    <s v="Strider Sport 16 - 2018"/>
    <x v="1"/>
  </r>
  <r>
    <n v="1415"/>
    <n v="4"/>
    <n v="245"/>
    <x v="0"/>
    <n v="659.99"/>
    <x v="2"/>
    <x v="66"/>
    <x v="1"/>
    <s v="Electra Townie Original 3i EQ - 2017/2018"/>
    <x v="1"/>
  </r>
  <r>
    <n v="1416"/>
    <n v="1"/>
    <n v="194"/>
    <x v="0"/>
    <n v="3499.99"/>
    <x v="0"/>
    <x v="43"/>
    <x v="1"/>
    <s v="Trek XM700+ - 2018"/>
    <x v="2"/>
  </r>
  <r>
    <n v="1416"/>
    <n v="2"/>
    <n v="242"/>
    <x v="1"/>
    <n v="699.99"/>
    <x v="3"/>
    <x v="177"/>
    <x v="1"/>
    <s v="Electra Townie Commute 8D Ladies' - 2018"/>
    <x v="2"/>
  </r>
  <r>
    <n v="1416"/>
    <n v="3"/>
    <n v="92"/>
    <x v="1"/>
    <n v="209.99"/>
    <x v="2"/>
    <x v="84"/>
    <x v="1"/>
    <s v="Haro Shredder 20 - 2017"/>
    <x v="2"/>
  </r>
  <r>
    <n v="1417"/>
    <n v="1"/>
    <n v="219"/>
    <x v="1"/>
    <n v="639.99"/>
    <x v="0"/>
    <x v="178"/>
    <x v="1"/>
    <s v="Electra Moto 3i - 2018"/>
    <x v="0"/>
  </r>
  <r>
    <n v="1418"/>
    <n v="1"/>
    <n v="120"/>
    <x v="1"/>
    <n v="2499.9899999999998"/>
    <x v="0"/>
    <x v="117"/>
    <x v="1"/>
    <s v="Trek Fuel EX 7 29 - 2018"/>
    <x v="1"/>
  </r>
  <r>
    <n v="1418"/>
    <n v="2"/>
    <n v="243"/>
    <x v="1"/>
    <n v="679.99"/>
    <x v="2"/>
    <x v="140"/>
    <x v="1"/>
    <s v="Electra Townie Original 21D EQ Ladies' - 2018"/>
    <x v="1"/>
  </r>
  <r>
    <n v="1419"/>
    <n v="1"/>
    <n v="124"/>
    <x v="0"/>
    <n v="1499"/>
    <x v="1"/>
    <x v="161"/>
    <x v="1"/>
    <s v="Surly Krampus - 2018"/>
    <x v="1"/>
  </r>
  <r>
    <n v="1419"/>
    <n v="2"/>
    <n v="235"/>
    <x v="1"/>
    <n v="899.99"/>
    <x v="0"/>
    <x v="134"/>
    <x v="1"/>
    <s v="Electra Koa 3i Ladies' - 2018"/>
    <x v="1"/>
  </r>
  <r>
    <n v="1419"/>
    <n v="3"/>
    <n v="234"/>
    <x v="0"/>
    <n v="899.99"/>
    <x v="3"/>
    <x v="130"/>
    <x v="1"/>
    <s v="Electra Daydreamer 3i Ladies' - 2018"/>
    <x v="1"/>
  </r>
  <r>
    <n v="1420"/>
    <n v="1"/>
    <n v="197"/>
    <x v="0"/>
    <n v="2299.9899999999998"/>
    <x v="0"/>
    <x v="101"/>
    <x v="1"/>
    <s v="Trek Verve+ Lowstep - 2018"/>
    <x v="1"/>
  </r>
  <r>
    <n v="1420"/>
    <n v="2"/>
    <n v="194"/>
    <x v="1"/>
    <n v="3499.99"/>
    <x v="3"/>
    <x v="54"/>
    <x v="1"/>
    <s v="Trek XM700+ - 2018"/>
    <x v="1"/>
  </r>
  <r>
    <n v="1420"/>
    <n v="3"/>
    <n v="128"/>
    <x v="0"/>
    <n v="1899"/>
    <x v="3"/>
    <x v="179"/>
    <x v="1"/>
    <s v="Surly ECR 27.5 - 2018"/>
    <x v="1"/>
  </r>
  <r>
    <n v="1421"/>
    <n v="1"/>
    <n v="298"/>
    <x v="1"/>
    <n v="279.99"/>
    <x v="2"/>
    <x v="152"/>
    <x v="1"/>
    <s v="Electra Water Lily 1 (16-inch) - Girl's - 2018"/>
    <x v="1"/>
  </r>
  <r>
    <n v="1422"/>
    <n v="1"/>
    <n v="80"/>
    <x v="1"/>
    <n v="761.99"/>
    <x v="1"/>
    <x v="116"/>
    <x v="1"/>
    <s v="Sun Bicycles Brickell Tandem CB - 2017"/>
    <x v="2"/>
  </r>
  <r>
    <n v="1422"/>
    <n v="2"/>
    <n v="180"/>
    <x v="1"/>
    <n v="919.99"/>
    <x v="0"/>
    <x v="136"/>
    <x v="1"/>
    <s v="Trek Domane AL 3 Women's - 2018"/>
    <x v="2"/>
  </r>
  <r>
    <n v="1422"/>
    <n v="3"/>
    <n v="243"/>
    <x v="0"/>
    <n v="679.99"/>
    <x v="2"/>
    <x v="167"/>
    <x v="1"/>
    <s v="Electra Townie Original 21D EQ Ladies' - 2018"/>
    <x v="2"/>
  </r>
  <r>
    <n v="1423"/>
    <n v="1"/>
    <n v="249"/>
    <x v="0"/>
    <n v="749.99"/>
    <x v="0"/>
    <x v="30"/>
    <x v="1"/>
    <s v="Electra White Water 3i - 2018"/>
    <x v="0"/>
  </r>
  <r>
    <n v="1423"/>
    <n v="2"/>
    <n v="71"/>
    <x v="0"/>
    <n v="416.99"/>
    <x v="3"/>
    <x v="71"/>
    <x v="1"/>
    <s v="Sun Bicycles Atlas X-Type - 2017"/>
    <x v="0"/>
  </r>
  <r>
    <n v="1423"/>
    <n v="3"/>
    <n v="302"/>
    <x v="0"/>
    <n v="449.99"/>
    <x v="0"/>
    <x v="72"/>
    <x v="1"/>
    <s v="Electra Townie Original 1 - 2018"/>
    <x v="0"/>
  </r>
  <r>
    <n v="1423"/>
    <n v="4"/>
    <n v="113"/>
    <x v="1"/>
    <n v="489.99"/>
    <x v="0"/>
    <x v="52"/>
    <x v="1"/>
    <s v="Trek Marlin 5 - 2018"/>
    <x v="0"/>
  </r>
  <r>
    <n v="1424"/>
    <n v="1"/>
    <n v="140"/>
    <x v="1"/>
    <n v="4999.99"/>
    <x v="0"/>
    <x v="41"/>
    <x v="1"/>
    <s v="Trek Remedy 9.8 27.5 - 2018"/>
    <x v="0"/>
  </r>
  <r>
    <n v="1425"/>
    <n v="1"/>
    <n v="227"/>
    <x v="1"/>
    <n v="319.99"/>
    <x v="2"/>
    <x v="138"/>
    <x v="1"/>
    <s v="Electra Cruiser 7D (24-Inch) Ladies' - 2016/2018"/>
    <x v="1"/>
  </r>
  <r>
    <n v="1425"/>
    <n v="2"/>
    <n v="263"/>
    <x v="0"/>
    <n v="89.99"/>
    <x v="1"/>
    <x v="180"/>
    <x v="1"/>
    <s v="Strider Classic 12 Balance Bike - 2018"/>
    <x v="1"/>
  </r>
  <r>
    <n v="1425"/>
    <n v="3"/>
    <n v="93"/>
    <x v="0"/>
    <n v="209.99"/>
    <x v="1"/>
    <x v="48"/>
    <x v="1"/>
    <s v="Haro Shredder 20 Girls - 2017"/>
    <x v="1"/>
  </r>
  <r>
    <n v="1425"/>
    <n v="4"/>
    <n v="54"/>
    <x v="1"/>
    <n v="3199.99"/>
    <x v="2"/>
    <x v="64"/>
    <x v="1"/>
    <s v="Trek Domane SL Disc Frameset - 2017"/>
    <x v="1"/>
  </r>
  <r>
    <n v="1425"/>
    <n v="5"/>
    <n v="145"/>
    <x v="1"/>
    <n v="1799.99"/>
    <x v="1"/>
    <x v="1"/>
    <x v="1"/>
    <s v="Trek Domane ALR 5 Disc - 2018"/>
    <x v="1"/>
  </r>
  <r>
    <n v="1426"/>
    <n v="1"/>
    <n v="215"/>
    <x v="0"/>
    <n v="749.99"/>
    <x v="1"/>
    <x v="30"/>
    <x v="1"/>
    <s v="Electra Queen of Hearts 3i - 2018"/>
    <x v="1"/>
  </r>
  <r>
    <n v="1426"/>
    <n v="2"/>
    <n v="20"/>
    <x v="1"/>
    <n v="599.99"/>
    <x v="2"/>
    <x v="3"/>
    <x v="1"/>
    <s v="Electra Townie Original 7D EQ - Women's - 2016"/>
    <x v="1"/>
  </r>
  <r>
    <n v="1426"/>
    <n v="3"/>
    <n v="281"/>
    <x v="0"/>
    <n v="319.99"/>
    <x v="1"/>
    <x v="137"/>
    <x v="1"/>
    <s v="Electra Cruiser 7D (24-Inch) Ladies' - 2016/2018"/>
    <x v="1"/>
  </r>
  <r>
    <n v="1427"/>
    <n v="1"/>
    <n v="230"/>
    <x v="1"/>
    <n v="429.99"/>
    <x v="1"/>
    <x v="141"/>
    <x v="1"/>
    <s v="Electra Cruiser Lux 1 Ladies' - 2018"/>
    <x v="1"/>
  </r>
  <r>
    <n v="1427"/>
    <n v="2"/>
    <n v="139"/>
    <x v="0"/>
    <n v="2999.99"/>
    <x v="2"/>
    <x v="28"/>
    <x v="1"/>
    <s v="Trek Remedy 7 27.5 - 2018"/>
    <x v="1"/>
  </r>
  <r>
    <n v="1427"/>
    <n v="3"/>
    <n v="164"/>
    <x v="1"/>
    <n v="1549"/>
    <x v="1"/>
    <x v="2"/>
    <x v="1"/>
    <s v="Surly Straggler 650b - 2018"/>
    <x v="1"/>
  </r>
  <r>
    <n v="1428"/>
    <n v="1"/>
    <n v="216"/>
    <x v="1"/>
    <n v="899.99"/>
    <x v="0"/>
    <x v="134"/>
    <x v="1"/>
    <s v="Electra Super Moto 8i - 2018"/>
    <x v="1"/>
  </r>
  <r>
    <n v="1428"/>
    <n v="2"/>
    <n v="126"/>
    <x v="0"/>
    <n v="469.99"/>
    <x v="1"/>
    <x v="20"/>
    <x v="1"/>
    <s v="Surly Big Fat Dummy Frameset - 2018"/>
    <x v="1"/>
  </r>
  <r>
    <n v="1428"/>
    <n v="3"/>
    <n v="187"/>
    <x v="1"/>
    <n v="2799.99"/>
    <x v="1"/>
    <x v="131"/>
    <x v="1"/>
    <s v="Trek Neko+ - 2018"/>
    <x v="1"/>
  </r>
  <r>
    <n v="1428"/>
    <n v="4"/>
    <n v="28"/>
    <x v="0"/>
    <n v="2499.9899999999998"/>
    <x v="3"/>
    <x v="79"/>
    <x v="1"/>
    <s v="Surly Karate Monkey 27.5+ Frameset - 2017"/>
    <x v="1"/>
  </r>
  <r>
    <n v="1428"/>
    <n v="5"/>
    <n v="194"/>
    <x v="1"/>
    <n v="3499.99"/>
    <x v="0"/>
    <x v="54"/>
    <x v="1"/>
    <s v="Trek XM700+ - 2018"/>
    <x v="1"/>
  </r>
  <r>
    <n v="1429"/>
    <n v="1"/>
    <n v="70"/>
    <x v="1"/>
    <n v="659.99"/>
    <x v="0"/>
    <x v="96"/>
    <x v="1"/>
    <s v="Electra Amsterdam Original 3i - 2015/2017"/>
    <x v="1"/>
  </r>
  <r>
    <n v="1430"/>
    <n v="1"/>
    <n v="221"/>
    <x v="0"/>
    <n v="319.99"/>
    <x v="2"/>
    <x v="137"/>
    <x v="1"/>
    <s v="Electra Cruiser 7D Ladies' - 2016/2018"/>
    <x v="1"/>
  </r>
  <r>
    <n v="1430"/>
    <n v="2"/>
    <n v="281"/>
    <x v="0"/>
    <n v="319.99"/>
    <x v="1"/>
    <x v="137"/>
    <x v="1"/>
    <s v="Electra Cruiser 7D (24-Inch) Ladies' - 2016/2018"/>
    <x v="1"/>
  </r>
  <r>
    <n v="1431"/>
    <n v="1"/>
    <n v="207"/>
    <x v="0"/>
    <n v="3999.99"/>
    <x v="3"/>
    <x v="25"/>
    <x v="1"/>
    <s v="Trek Boone 7 Disc - 2018"/>
    <x v="1"/>
  </r>
  <r>
    <n v="1431"/>
    <n v="2"/>
    <n v="53"/>
    <x v="0"/>
    <n v="749.99"/>
    <x v="1"/>
    <x v="30"/>
    <x v="1"/>
    <s v="Surly Ogre Frameset - 2017"/>
    <x v="1"/>
  </r>
  <r>
    <n v="1431"/>
    <n v="3"/>
    <n v="252"/>
    <x v="0"/>
    <n v="2999.99"/>
    <x v="0"/>
    <x v="28"/>
    <x v="1"/>
    <s v="Electra Townie Commute Go! Ladies' - 2018"/>
    <x v="1"/>
  </r>
  <r>
    <n v="1431"/>
    <n v="4"/>
    <n v="254"/>
    <x v="0"/>
    <n v="749.99"/>
    <x v="1"/>
    <x v="30"/>
    <x v="1"/>
    <s v="Electra Townie Balloon 3i EQ - 2017/2018"/>
    <x v="1"/>
  </r>
  <r>
    <n v="1432"/>
    <n v="1"/>
    <n v="161"/>
    <x v="0"/>
    <n v="1899"/>
    <x v="0"/>
    <x v="179"/>
    <x v="1"/>
    <s v="Surly ECR - 2018"/>
    <x v="1"/>
  </r>
  <r>
    <n v="1433"/>
    <n v="1"/>
    <n v="264"/>
    <x v="0"/>
    <n v="249.99"/>
    <x v="1"/>
    <x v="70"/>
    <x v="1"/>
    <s v="Strider Sport 16 - 2018"/>
    <x v="1"/>
  </r>
  <r>
    <n v="1434"/>
    <n v="1"/>
    <n v="229"/>
    <x v="1"/>
    <n v="429.99"/>
    <x v="0"/>
    <x v="141"/>
    <x v="1"/>
    <s v="Electra Cruiser Lux 1 - 2016/2018"/>
    <x v="1"/>
  </r>
  <r>
    <n v="1434"/>
    <n v="2"/>
    <n v="198"/>
    <x v="0"/>
    <n v="2999.99"/>
    <x v="3"/>
    <x v="28"/>
    <x v="1"/>
    <s v="Electra Townie Commute Go! - 2018"/>
    <x v="1"/>
  </r>
  <r>
    <n v="1434"/>
    <n v="3"/>
    <n v="286"/>
    <x v="1"/>
    <n v="279.99"/>
    <x v="3"/>
    <x v="152"/>
    <x v="1"/>
    <s v="Electra Starship 1 16&quot; - 2018"/>
    <x v="1"/>
  </r>
  <r>
    <n v="1434"/>
    <n v="4"/>
    <n v="61"/>
    <x v="1"/>
    <n v="4999.99"/>
    <x v="1"/>
    <x v="41"/>
    <x v="1"/>
    <s v="Trek Powerfly 8 FS Plus - 2017"/>
    <x v="1"/>
  </r>
  <r>
    <n v="1435"/>
    <n v="1"/>
    <n v="141"/>
    <x v="1"/>
    <n v="1599.99"/>
    <x v="1"/>
    <x v="181"/>
    <x v="1"/>
    <s v="Trek Stache 5 - 2018"/>
    <x v="1"/>
  </r>
  <r>
    <n v="1435"/>
    <n v="2"/>
    <n v="29"/>
    <x v="0"/>
    <n v="999.99"/>
    <x v="0"/>
    <x v="5"/>
    <x v="1"/>
    <s v="Trek X-Caliber 8 - 2017"/>
    <x v="1"/>
  </r>
  <r>
    <n v="1435"/>
    <n v="3"/>
    <n v="60"/>
    <x v="0"/>
    <n v="1559.99"/>
    <x v="3"/>
    <x v="100"/>
    <x v="1"/>
    <s v="Sun Bicycles ElectroLite - 2017"/>
    <x v="1"/>
  </r>
  <r>
    <n v="1435"/>
    <n v="4"/>
    <n v="260"/>
    <x v="0"/>
    <n v="799.99"/>
    <x v="1"/>
    <x v="129"/>
    <x v="1"/>
    <s v="Electra Townie Balloon 3i EQ Ladies' - 2018"/>
    <x v="1"/>
  </r>
  <r>
    <n v="1436"/>
    <n v="1"/>
    <n v="244"/>
    <x v="1"/>
    <n v="559.99"/>
    <x v="1"/>
    <x v="182"/>
    <x v="1"/>
    <s v="Electra Townie Original 21D Ladies' - 2018"/>
    <x v="1"/>
  </r>
  <r>
    <n v="1437"/>
    <n v="1"/>
    <n v="141"/>
    <x v="1"/>
    <n v="1599.99"/>
    <x v="2"/>
    <x v="181"/>
    <x v="1"/>
    <s v="Trek Stache 5 - 2018"/>
    <x v="0"/>
  </r>
  <r>
    <n v="1438"/>
    <n v="1"/>
    <n v="225"/>
    <x v="0"/>
    <n v="959.99"/>
    <x v="0"/>
    <x v="164"/>
    <x v="1"/>
    <s v="Electra Delivery 3i - 2016/2017/2018"/>
    <x v="1"/>
  </r>
  <r>
    <n v="1438"/>
    <n v="2"/>
    <n v="140"/>
    <x v="0"/>
    <n v="4999.99"/>
    <x v="0"/>
    <x v="76"/>
    <x v="1"/>
    <s v="Trek Remedy 9.8 27.5 - 2018"/>
    <x v="1"/>
  </r>
  <r>
    <n v="1438"/>
    <n v="3"/>
    <n v="81"/>
    <x v="1"/>
    <n v="1099.99"/>
    <x v="2"/>
    <x v="88"/>
    <x v="1"/>
    <s v="Electra Amsterdam Fashion 7i Ladies' - 2017"/>
    <x v="1"/>
  </r>
  <r>
    <n v="1438"/>
    <n v="4"/>
    <n v="137"/>
    <x v="0"/>
    <n v="2599"/>
    <x v="3"/>
    <x v="183"/>
    <x v="1"/>
    <s v="Heller Shagamaw GX1 - 2018"/>
    <x v="1"/>
  </r>
  <r>
    <n v="1438"/>
    <n v="5"/>
    <n v="190"/>
    <x v="1"/>
    <n v="2799.99"/>
    <x v="1"/>
    <x v="131"/>
    <x v="1"/>
    <s v="Trek Dual Sport+ - 2018"/>
    <x v="1"/>
  </r>
  <r>
    <n v="1439"/>
    <n v="1"/>
    <n v="42"/>
    <x v="0"/>
    <n v="2299.9899999999998"/>
    <x v="1"/>
    <x v="101"/>
    <x v="1"/>
    <s v="Trek Fuel EX 5 27.5 Plus - 2017"/>
    <x v="1"/>
  </r>
  <r>
    <n v="1439"/>
    <n v="2"/>
    <n v="263"/>
    <x v="0"/>
    <n v="89.99"/>
    <x v="0"/>
    <x v="180"/>
    <x v="1"/>
    <s v="Strider Classic 12 Balance Bike - 2018"/>
    <x v="1"/>
  </r>
  <r>
    <n v="1439"/>
    <n v="3"/>
    <n v="102"/>
    <x v="1"/>
    <n v="489.99"/>
    <x v="2"/>
    <x v="52"/>
    <x v="1"/>
    <s v="Electra Townie Original 7D - 2017"/>
    <x v="1"/>
  </r>
  <r>
    <n v="1439"/>
    <n v="4"/>
    <n v="149"/>
    <x v="0"/>
    <n v="7499.99"/>
    <x v="2"/>
    <x v="154"/>
    <x v="1"/>
    <s v="Trek Domane SLR 8 Disc - 2018"/>
    <x v="1"/>
  </r>
  <r>
    <n v="1440"/>
    <n v="1"/>
    <n v="116"/>
    <x v="1"/>
    <n v="749.99"/>
    <x v="1"/>
    <x v="6"/>
    <x v="1"/>
    <s v="Trek Marlin 7 - 2017/2018"/>
    <x v="2"/>
  </r>
  <r>
    <n v="1440"/>
    <n v="2"/>
    <n v="109"/>
    <x v="0"/>
    <n v="416.99"/>
    <x v="1"/>
    <x v="71"/>
    <x v="1"/>
    <s v="Sun Bicycles Cruz 7 - Women's - 2017"/>
    <x v="2"/>
  </r>
  <r>
    <n v="1440"/>
    <n v="3"/>
    <n v="186"/>
    <x v="0"/>
    <n v="4499.99"/>
    <x v="3"/>
    <x v="150"/>
    <x v="1"/>
    <s v="Trek CrossRip+ - 2018"/>
    <x v="2"/>
  </r>
  <r>
    <n v="1440"/>
    <n v="4"/>
    <n v="178"/>
    <x v="1"/>
    <n v="749.99"/>
    <x v="2"/>
    <x v="6"/>
    <x v="1"/>
    <s v="Trek Domane AL 2 - 2018"/>
    <x v="2"/>
  </r>
  <r>
    <n v="1440"/>
    <n v="5"/>
    <n v="67"/>
    <x v="1"/>
    <n v="250.99"/>
    <x v="0"/>
    <x v="55"/>
    <x v="1"/>
    <s v="Sun Bicycles Revolutions 24 - Girl's - 2017"/>
    <x v="2"/>
  </r>
  <r>
    <n v="1441"/>
    <n v="1"/>
    <n v="6"/>
    <x v="0"/>
    <n v="469.99"/>
    <x v="2"/>
    <x v="20"/>
    <x v="1"/>
    <s v="Surly Ice Cream Truck Frameset - 2016"/>
    <x v="2"/>
  </r>
  <r>
    <n v="1441"/>
    <n v="2"/>
    <n v="242"/>
    <x v="1"/>
    <n v="699.99"/>
    <x v="0"/>
    <x v="177"/>
    <x v="1"/>
    <s v="Electra Townie Commute 8D Ladies' - 2018"/>
    <x v="2"/>
  </r>
  <r>
    <n v="1441"/>
    <n v="3"/>
    <n v="46"/>
    <x v="0"/>
    <n v="1409.99"/>
    <x v="1"/>
    <x v="126"/>
    <x v="1"/>
    <s v="Haro SR 1.3 - 2017"/>
    <x v="2"/>
  </r>
  <r>
    <n v="1442"/>
    <n v="1"/>
    <n v="160"/>
    <x v="0"/>
    <n v="4499.99"/>
    <x v="3"/>
    <x v="150"/>
    <x v="1"/>
    <s v="Trek Emonda SLR 6 - 2018"/>
    <x v="1"/>
  </r>
  <r>
    <n v="1442"/>
    <n v="2"/>
    <n v="220"/>
    <x v="0"/>
    <n v="269.99"/>
    <x v="1"/>
    <x v="14"/>
    <x v="1"/>
    <s v="Electra Cruiser 1 Ladies' - 2018"/>
    <x v="1"/>
  </r>
  <r>
    <n v="1442"/>
    <n v="3"/>
    <n v="271"/>
    <x v="1"/>
    <n v="209.99"/>
    <x v="2"/>
    <x v="84"/>
    <x v="1"/>
    <s v="Trek Precaliber 16 Girl's - 2018"/>
    <x v="1"/>
  </r>
  <r>
    <n v="1443"/>
    <n v="1"/>
    <n v="160"/>
    <x v="0"/>
    <n v="4499.99"/>
    <x v="1"/>
    <x v="150"/>
    <x v="1"/>
    <s v="Trek Emonda SLR 6 - 2018"/>
    <x v="1"/>
  </r>
  <r>
    <n v="1443"/>
    <n v="2"/>
    <n v="57"/>
    <x v="0"/>
    <n v="1999.99"/>
    <x v="0"/>
    <x v="102"/>
    <x v="1"/>
    <s v="Trek Emonda S 5 - 2017"/>
    <x v="1"/>
  </r>
  <r>
    <n v="1443"/>
    <n v="3"/>
    <n v="101"/>
    <x v="1"/>
    <n v="339.99"/>
    <x v="3"/>
    <x v="75"/>
    <x v="1"/>
    <s v="Electra Townie 7D (20-inch) - Boys' - 2017"/>
    <x v="1"/>
  </r>
  <r>
    <n v="1444"/>
    <n v="1"/>
    <n v="90"/>
    <x v="0"/>
    <n v="209.99"/>
    <x v="3"/>
    <x v="48"/>
    <x v="1"/>
    <s v="Trek Precaliber 16 Girls - 2017"/>
    <x v="1"/>
  </r>
  <r>
    <n v="1444"/>
    <n v="2"/>
    <n v="128"/>
    <x v="1"/>
    <n v="1899"/>
    <x v="0"/>
    <x v="159"/>
    <x v="1"/>
    <s v="Surly ECR 27.5 - 2018"/>
    <x v="1"/>
  </r>
  <r>
    <n v="1445"/>
    <n v="1"/>
    <n v="219"/>
    <x v="1"/>
    <n v="639.99"/>
    <x v="3"/>
    <x v="178"/>
    <x v="1"/>
    <s v="Electra Moto 3i - 2018"/>
    <x v="1"/>
  </r>
  <r>
    <n v="1445"/>
    <n v="2"/>
    <n v="52"/>
    <x v="0"/>
    <n v="875.99"/>
    <x v="1"/>
    <x v="63"/>
    <x v="1"/>
    <s v="Surly Steamroller - 2017"/>
    <x v="1"/>
  </r>
  <r>
    <n v="1445"/>
    <n v="3"/>
    <n v="123"/>
    <x v="1"/>
    <n v="999.99"/>
    <x v="3"/>
    <x v="10"/>
    <x v="1"/>
    <s v="Trek Farley Carbon Frameset - 2018"/>
    <x v="1"/>
  </r>
  <r>
    <n v="1446"/>
    <n v="1"/>
    <n v="227"/>
    <x v="0"/>
    <n v="319.99"/>
    <x v="2"/>
    <x v="137"/>
    <x v="1"/>
    <s v="Electra Cruiser 7D (24-Inch) Ladies' - 2016/2018"/>
    <x v="1"/>
  </r>
  <r>
    <n v="1446"/>
    <n v="2"/>
    <n v="233"/>
    <x v="1"/>
    <n v="639.99"/>
    <x v="2"/>
    <x v="178"/>
    <x v="1"/>
    <s v="Electra Cruiser Lux Fat Tire 7D - 2018"/>
    <x v="1"/>
  </r>
  <r>
    <n v="1446"/>
    <n v="3"/>
    <n v="234"/>
    <x v="1"/>
    <n v="899.99"/>
    <x v="2"/>
    <x v="134"/>
    <x v="1"/>
    <s v="Electra Daydreamer 3i Ladies' - 2018"/>
    <x v="1"/>
  </r>
  <r>
    <n v="1447"/>
    <n v="1"/>
    <n v="148"/>
    <x v="0"/>
    <n v="5499.99"/>
    <x v="0"/>
    <x v="39"/>
    <x v="1"/>
    <s v="Trek Domane SL 8 Disc - 2018"/>
    <x v="0"/>
  </r>
  <r>
    <n v="1448"/>
    <n v="1"/>
    <n v="239"/>
    <x v="0"/>
    <n v="749.99"/>
    <x v="3"/>
    <x v="30"/>
    <x v="1"/>
    <s v="Electra Townie Balloon 8D EQ Ladies' - 2016/2017/2018"/>
    <x v="1"/>
  </r>
  <r>
    <n v="1449"/>
    <n v="1"/>
    <n v="159"/>
    <x v="0"/>
    <n v="2299.9899999999998"/>
    <x v="1"/>
    <x v="101"/>
    <x v="1"/>
    <s v="Trek Emonda ALR 6 - 2018"/>
    <x v="1"/>
  </r>
  <r>
    <n v="1449"/>
    <n v="2"/>
    <n v="55"/>
    <x v="0"/>
    <n v="2699.99"/>
    <x v="0"/>
    <x v="82"/>
    <x v="1"/>
    <s v="Trek Domane S 6 - 2017"/>
    <x v="1"/>
  </r>
  <r>
    <n v="1449"/>
    <n v="3"/>
    <n v="260"/>
    <x v="1"/>
    <n v="799.99"/>
    <x v="1"/>
    <x v="108"/>
    <x v="1"/>
    <s v="Electra Townie Balloon 3i EQ Ladies' - 2018"/>
    <x v="1"/>
  </r>
  <r>
    <n v="1449"/>
    <n v="4"/>
    <n v="252"/>
    <x v="1"/>
    <n v="2999.99"/>
    <x v="2"/>
    <x v="11"/>
    <x v="1"/>
    <s v="Electra Townie Commute Go! Ladies' - 2018"/>
    <x v="1"/>
  </r>
  <r>
    <n v="1449"/>
    <n v="5"/>
    <n v="14"/>
    <x v="1"/>
    <n v="269.99"/>
    <x v="3"/>
    <x v="17"/>
    <x v="1"/>
    <s v="Electra Girl's Hawaii 1 (16-inch) - 2015/2016"/>
    <x v="1"/>
  </r>
  <r>
    <n v="1450"/>
    <n v="1"/>
    <n v="98"/>
    <x v="0"/>
    <n v="489.99"/>
    <x v="1"/>
    <x v="44"/>
    <x v="1"/>
    <s v="Electra Straight 8 3i (20-inch) - Boy's - 2017"/>
    <x v="1"/>
  </r>
  <r>
    <n v="1450"/>
    <n v="2"/>
    <n v="173"/>
    <x v="1"/>
    <n v="3199.99"/>
    <x v="3"/>
    <x v="64"/>
    <x v="1"/>
    <s v="Trek Domane ALR Frameset - 2018"/>
    <x v="1"/>
  </r>
  <r>
    <n v="1450"/>
    <n v="3"/>
    <n v="299"/>
    <x v="0"/>
    <n v="559.99"/>
    <x v="0"/>
    <x v="148"/>
    <x v="1"/>
    <s v="Electra Townie Original 21D - 2018"/>
    <x v="1"/>
  </r>
  <r>
    <n v="1450"/>
    <n v="4"/>
    <n v="209"/>
    <x v="1"/>
    <n v="2999.99"/>
    <x v="3"/>
    <x v="11"/>
    <x v="1"/>
    <s v="Trek Crockett 7 Disc - 2018"/>
    <x v="1"/>
  </r>
  <r>
    <n v="1450"/>
    <n v="5"/>
    <n v="235"/>
    <x v="1"/>
    <n v="899.99"/>
    <x v="2"/>
    <x v="134"/>
    <x v="1"/>
    <s v="Electra Koa 3i Ladies' - 2018"/>
    <x v="1"/>
  </r>
  <r>
    <n v="1451"/>
    <n v="1"/>
    <n v="117"/>
    <x v="0"/>
    <n v="1469.99"/>
    <x v="2"/>
    <x v="112"/>
    <x v="1"/>
    <s v="Trek Ticket S Frame - 2018"/>
    <x v="1"/>
  </r>
  <r>
    <n v="1452"/>
    <n v="1"/>
    <n v="99"/>
    <x v="1"/>
    <n v="299.99"/>
    <x v="3"/>
    <x v="22"/>
    <x v="1"/>
    <s v="Electra Sugar Skulls 1 (20-inch) - Girl's - 2017"/>
    <x v="0"/>
  </r>
  <r>
    <n v="1452"/>
    <n v="2"/>
    <n v="234"/>
    <x v="0"/>
    <n v="899.99"/>
    <x v="0"/>
    <x v="130"/>
    <x v="1"/>
    <s v="Electra Daydreamer 3i Ladies' - 2018"/>
    <x v="0"/>
  </r>
  <r>
    <n v="1452"/>
    <n v="3"/>
    <n v="86"/>
    <x v="1"/>
    <n v="149.99"/>
    <x v="2"/>
    <x v="87"/>
    <x v="1"/>
    <s v="Trek Girl's Kickster - 2017"/>
    <x v="0"/>
  </r>
  <r>
    <n v="1452"/>
    <n v="4"/>
    <n v="109"/>
    <x v="1"/>
    <n v="416.99"/>
    <x v="1"/>
    <x v="42"/>
    <x v="1"/>
    <s v="Sun Bicycles Cruz 7 - Women's - 2017"/>
    <x v="0"/>
  </r>
  <r>
    <n v="1453"/>
    <n v="1"/>
    <n v="89"/>
    <x v="1"/>
    <n v="209.99"/>
    <x v="3"/>
    <x v="84"/>
    <x v="1"/>
    <s v="Trek Precaliber 16 Boys - 2017"/>
    <x v="0"/>
  </r>
  <r>
    <n v="1454"/>
    <n v="1"/>
    <n v="283"/>
    <x v="0"/>
    <n v="319.99"/>
    <x v="1"/>
    <x v="137"/>
    <x v="1"/>
    <s v="Electra Heartchya 1 (20-inch) - Girl's - 2018"/>
    <x v="1"/>
  </r>
  <r>
    <n v="1454"/>
    <n v="2"/>
    <n v="35"/>
    <x v="1"/>
    <n v="832.99"/>
    <x v="3"/>
    <x v="113"/>
    <x v="1"/>
    <s v="Sun Bicycles Spider 3i - 2017"/>
    <x v="1"/>
  </r>
  <r>
    <n v="1454"/>
    <n v="3"/>
    <n v="124"/>
    <x v="0"/>
    <n v="1499"/>
    <x v="0"/>
    <x v="161"/>
    <x v="1"/>
    <s v="Surly Krampus - 2018"/>
    <x v="1"/>
  </r>
  <r>
    <n v="1454"/>
    <n v="4"/>
    <n v="38"/>
    <x v="1"/>
    <n v="549.99"/>
    <x v="2"/>
    <x v="9"/>
    <x v="1"/>
    <s v="Haro Flightline Two 26 Plus - 2017"/>
    <x v="1"/>
  </r>
  <r>
    <n v="1455"/>
    <n v="1"/>
    <n v="101"/>
    <x v="1"/>
    <n v="339.99"/>
    <x v="2"/>
    <x v="75"/>
    <x v="1"/>
    <s v="Electra Townie 7D (20-inch) - Boys' - 2017"/>
    <x v="1"/>
  </r>
  <r>
    <n v="1455"/>
    <n v="2"/>
    <n v="254"/>
    <x v="0"/>
    <n v="749.99"/>
    <x v="0"/>
    <x v="30"/>
    <x v="1"/>
    <s v="Electra Townie Balloon 3i EQ - 2017/2018"/>
    <x v="1"/>
  </r>
  <r>
    <n v="1456"/>
    <n v="1"/>
    <n v="193"/>
    <x v="1"/>
    <n v="2799.99"/>
    <x v="2"/>
    <x v="131"/>
    <x v="1"/>
    <s v="Trek Lift+ - 2018"/>
    <x v="1"/>
  </r>
  <r>
    <n v="1456"/>
    <n v="2"/>
    <n v="246"/>
    <x v="0"/>
    <n v="639.99"/>
    <x v="1"/>
    <x v="153"/>
    <x v="1"/>
    <s v="Electra Townie Original 3i EQ Ladies' - 2018"/>
    <x v="1"/>
  </r>
  <r>
    <n v="1456"/>
    <n v="3"/>
    <n v="268"/>
    <x v="1"/>
    <n v="159.99"/>
    <x v="3"/>
    <x v="165"/>
    <x v="1"/>
    <s v="Trek Kickster - 2018"/>
    <x v="1"/>
  </r>
  <r>
    <n v="1456"/>
    <n v="4"/>
    <n v="272"/>
    <x v="0"/>
    <n v="289.99"/>
    <x v="3"/>
    <x v="172"/>
    <x v="1"/>
    <s v="Trek Precaliber 20 6-speed Boy's - 2018"/>
    <x v="1"/>
  </r>
  <r>
    <n v="1456"/>
    <n v="5"/>
    <n v="126"/>
    <x v="0"/>
    <n v="469.99"/>
    <x v="3"/>
    <x v="20"/>
    <x v="1"/>
    <s v="Surly Big Fat Dummy Frameset - 2018"/>
    <x v="1"/>
  </r>
  <r>
    <n v="1457"/>
    <n v="1"/>
    <n v="113"/>
    <x v="0"/>
    <n v="489.99"/>
    <x v="1"/>
    <x v="44"/>
    <x v="1"/>
    <s v="Trek Marlin 5 - 2018"/>
    <x v="1"/>
  </r>
  <r>
    <n v="1457"/>
    <n v="2"/>
    <n v="111"/>
    <x v="0"/>
    <n v="470.99"/>
    <x v="0"/>
    <x v="107"/>
    <x v="1"/>
    <s v="Sun Bicycles Drifter 7 - Women's - 2017"/>
    <x v="1"/>
  </r>
  <r>
    <n v="1457"/>
    <n v="3"/>
    <n v="268"/>
    <x v="0"/>
    <n v="159.99"/>
    <x v="0"/>
    <x v="184"/>
    <x v="1"/>
    <s v="Trek Kickster - 2018"/>
    <x v="1"/>
  </r>
  <r>
    <n v="1457"/>
    <n v="4"/>
    <n v="152"/>
    <x v="1"/>
    <n v="2499.9899999999998"/>
    <x v="0"/>
    <x v="117"/>
    <x v="1"/>
    <s v="Trek Domane SL 5 Disc Women's - 2018"/>
    <x v="1"/>
  </r>
  <r>
    <n v="1458"/>
    <n v="1"/>
    <n v="295"/>
    <x v="1"/>
    <n v="319.99"/>
    <x v="2"/>
    <x v="138"/>
    <x v="1"/>
    <s v="Electra Treasure 1 20&quot; - 2018"/>
    <x v="2"/>
  </r>
  <r>
    <n v="1458"/>
    <n v="2"/>
    <n v="105"/>
    <x v="0"/>
    <n v="533.99"/>
    <x v="2"/>
    <x v="128"/>
    <x v="1"/>
    <s v="Sun Bicycles Streamway 7 - 2017"/>
    <x v="2"/>
  </r>
  <r>
    <n v="1458"/>
    <n v="3"/>
    <n v="12"/>
    <x v="0"/>
    <n v="549.99"/>
    <x v="2"/>
    <x v="31"/>
    <x v="1"/>
    <s v="Electra Townie Original 21D - 2016"/>
    <x v="2"/>
  </r>
  <r>
    <n v="1458"/>
    <n v="4"/>
    <n v="78"/>
    <x v="1"/>
    <n v="647.99"/>
    <x v="3"/>
    <x v="114"/>
    <x v="1"/>
    <s v="Sun Bicycles Biscayne Tandem CB - 2017"/>
    <x v="2"/>
  </r>
  <r>
    <n v="1459"/>
    <n v="1"/>
    <n v="258"/>
    <x v="0"/>
    <n v="1259.9000000000001"/>
    <x v="3"/>
    <x v="185"/>
    <x v="1"/>
    <s v="Electra Amsterdam Royal 8i - 2017/2018"/>
    <x v="1"/>
  </r>
  <r>
    <n v="1460"/>
    <n v="1"/>
    <n v="201"/>
    <x v="0"/>
    <n v="4499.99"/>
    <x v="2"/>
    <x v="150"/>
    <x v="1"/>
    <s v="Trek Powerfly 5 FS - 2018"/>
    <x v="1"/>
  </r>
  <r>
    <n v="1460"/>
    <n v="2"/>
    <n v="76"/>
    <x v="0"/>
    <n v="299.99"/>
    <x v="1"/>
    <x v="23"/>
    <x v="1"/>
    <s v="Electra Girl's Hawaii 1 16&quot; - 2017"/>
    <x v="1"/>
  </r>
  <r>
    <n v="1460"/>
    <n v="3"/>
    <n v="167"/>
    <x v="0"/>
    <n v="749.99"/>
    <x v="2"/>
    <x v="30"/>
    <x v="1"/>
    <s v="Surly ECR Frameset - 2018"/>
    <x v="1"/>
  </r>
  <r>
    <n v="1460"/>
    <n v="4"/>
    <n v="7"/>
    <x v="1"/>
    <n v="3999.99"/>
    <x v="1"/>
    <x v="15"/>
    <x v="1"/>
    <s v="Trek Slash 8 27.5 - 2016"/>
    <x v="1"/>
  </r>
  <r>
    <n v="1460"/>
    <n v="5"/>
    <n v="123"/>
    <x v="1"/>
    <n v="999.99"/>
    <x v="1"/>
    <x v="10"/>
    <x v="1"/>
    <s v="Trek Farley Carbon Frameset - 2018"/>
    <x v="1"/>
  </r>
  <r>
    <n v="1461"/>
    <n v="1"/>
    <n v="48"/>
    <x v="0"/>
    <n v="1499.99"/>
    <x v="0"/>
    <x v="77"/>
    <x v="1"/>
    <s v="Trek Emonda S 4 - 2017"/>
    <x v="1"/>
  </r>
  <r>
    <n v="1461"/>
    <n v="2"/>
    <n v="242"/>
    <x v="1"/>
    <n v="699.99"/>
    <x v="0"/>
    <x v="177"/>
    <x v="1"/>
    <s v="Electra Townie Commute 8D Ladies' - 2018"/>
    <x v="1"/>
  </r>
  <r>
    <n v="1462"/>
    <n v="1"/>
    <n v="263"/>
    <x v="0"/>
    <n v="89.99"/>
    <x v="0"/>
    <x v="180"/>
    <x v="1"/>
    <s v="Strider Classic 12 Balance Bike - 2018"/>
    <x v="1"/>
  </r>
  <r>
    <n v="1462"/>
    <n v="2"/>
    <n v="25"/>
    <x v="0"/>
    <n v="499.99"/>
    <x v="1"/>
    <x v="33"/>
    <x v="1"/>
    <s v="Electra Townie Original 7D - 2015/2016"/>
    <x v="1"/>
  </r>
  <r>
    <n v="1462"/>
    <n v="3"/>
    <n v="223"/>
    <x v="0"/>
    <n v="529.99"/>
    <x v="3"/>
    <x v="12"/>
    <x v="1"/>
    <s v="Electra Cruiser Lux 3i - 2018"/>
    <x v="1"/>
  </r>
  <r>
    <n v="1462"/>
    <n v="4"/>
    <n v="294"/>
    <x v="0"/>
    <n v="369.99"/>
    <x v="3"/>
    <x v="143"/>
    <x v="1"/>
    <s v="Electra Tiger Shark 3i (20-inch) - Boys' - 2018"/>
    <x v="1"/>
  </r>
  <r>
    <n v="1462"/>
    <n v="5"/>
    <n v="251"/>
    <x v="0"/>
    <n v="2999.99"/>
    <x v="2"/>
    <x v="28"/>
    <x v="1"/>
    <s v="Electra Townie Commute Go! - 2018"/>
    <x v="1"/>
  </r>
  <r>
    <n v="1463"/>
    <n v="1"/>
    <n v="51"/>
    <x v="1"/>
    <n v="6499.99"/>
    <x v="2"/>
    <x v="83"/>
    <x v="1"/>
    <s v="Trek Silque SLR 8 Women's - 2017"/>
    <x v="1"/>
  </r>
  <r>
    <n v="1463"/>
    <n v="2"/>
    <n v="168"/>
    <x v="0"/>
    <n v="1549"/>
    <x v="2"/>
    <x v="27"/>
    <x v="1"/>
    <s v="Surly Straggler - 2018"/>
    <x v="1"/>
  </r>
  <r>
    <n v="1464"/>
    <n v="1"/>
    <n v="109"/>
    <x v="1"/>
    <n v="416.99"/>
    <x v="2"/>
    <x v="42"/>
    <x v="1"/>
    <s v="Sun Bicycles Cruz 7 - Women's - 2017"/>
    <x v="1"/>
  </r>
  <r>
    <n v="1464"/>
    <n v="2"/>
    <n v="124"/>
    <x v="0"/>
    <n v="1499"/>
    <x v="0"/>
    <x v="161"/>
    <x v="1"/>
    <s v="Surly Krampus - 2018"/>
    <x v="1"/>
  </r>
  <r>
    <n v="1464"/>
    <n v="3"/>
    <n v="165"/>
    <x v="1"/>
    <n v="2499.9899999999998"/>
    <x v="0"/>
    <x v="117"/>
    <x v="1"/>
    <s v="Trek 1120 - 2018"/>
    <x v="1"/>
  </r>
  <r>
    <n v="1464"/>
    <n v="4"/>
    <n v="151"/>
    <x v="1"/>
    <n v="1549.99"/>
    <x v="2"/>
    <x v="133"/>
    <x v="1"/>
    <s v="Trek Domane ALR 4 Disc Women's - 2018"/>
    <x v="1"/>
  </r>
  <r>
    <n v="1465"/>
    <n v="1"/>
    <n v="70"/>
    <x v="1"/>
    <n v="659.99"/>
    <x v="2"/>
    <x v="96"/>
    <x v="1"/>
    <s v="Electra Amsterdam Original 3i - 2015/2017"/>
    <x v="1"/>
  </r>
  <r>
    <n v="1466"/>
    <n v="1"/>
    <n v="310"/>
    <x v="1"/>
    <n v="899.99"/>
    <x v="1"/>
    <x v="134"/>
    <x v="1"/>
    <s v="Electra Townie Commute 27D Ladies - 2018"/>
    <x v="0"/>
  </r>
  <r>
    <n v="1466"/>
    <n v="2"/>
    <n v="251"/>
    <x v="0"/>
    <n v="2999.99"/>
    <x v="2"/>
    <x v="28"/>
    <x v="1"/>
    <s v="Electra Townie Commute Go! - 2018"/>
    <x v="0"/>
  </r>
  <r>
    <n v="1466"/>
    <n v="3"/>
    <n v="163"/>
    <x v="1"/>
    <n v="1349"/>
    <x v="0"/>
    <x v="155"/>
    <x v="1"/>
    <s v="Surly Pack Rat - 2018"/>
    <x v="0"/>
  </r>
  <r>
    <n v="1466"/>
    <n v="4"/>
    <n v="39"/>
    <x v="1"/>
    <n v="1499.99"/>
    <x v="2"/>
    <x v="65"/>
    <x v="1"/>
    <s v="Trek Stache 5 - 2017"/>
    <x v="0"/>
  </r>
  <r>
    <n v="1467"/>
    <n v="1"/>
    <n v="18"/>
    <x v="0"/>
    <n v="449"/>
    <x v="1"/>
    <x v="8"/>
    <x v="1"/>
    <s v="Pure Cycles Western 3-Speed - Women's - 2015/2016"/>
    <x v="1"/>
  </r>
  <r>
    <n v="1467"/>
    <n v="2"/>
    <n v="115"/>
    <x v="0"/>
    <n v="3199.99"/>
    <x v="0"/>
    <x v="120"/>
    <x v="1"/>
    <s v="Trek Fuel EX 8 29 - 2018"/>
    <x v="1"/>
  </r>
  <r>
    <n v="1467"/>
    <n v="3"/>
    <n v="278"/>
    <x v="1"/>
    <n v="369.99"/>
    <x v="3"/>
    <x v="176"/>
    <x v="1"/>
    <s v="Trek Precaliber 24 21-speed Girl's - 2018"/>
    <x v="1"/>
  </r>
  <r>
    <n v="1468"/>
    <n v="1"/>
    <n v="269"/>
    <x v="0"/>
    <n v="199.99"/>
    <x v="2"/>
    <x v="186"/>
    <x v="1"/>
    <s v="Trek Precaliber 12 Boy's - 2018"/>
    <x v="0"/>
  </r>
  <r>
    <n v="1468"/>
    <n v="2"/>
    <n v="58"/>
    <x v="0"/>
    <n v="4999.99"/>
    <x v="1"/>
    <x v="76"/>
    <x v="1"/>
    <s v="Trek Madone 9.2 - 2017"/>
    <x v="0"/>
  </r>
  <r>
    <n v="1468"/>
    <n v="3"/>
    <n v="50"/>
    <x v="1"/>
    <n v="5999.99"/>
    <x v="1"/>
    <x v="121"/>
    <x v="1"/>
    <s v="Trek Silque SLR 7 Women's - 2017"/>
    <x v="0"/>
  </r>
  <r>
    <n v="1469"/>
    <n v="1"/>
    <n v="77"/>
    <x v="1"/>
    <n v="799.99"/>
    <x v="0"/>
    <x v="108"/>
    <x v="1"/>
    <s v="Electra Glam Punk 3i Ladies' - 2017"/>
    <x v="2"/>
  </r>
  <r>
    <n v="1469"/>
    <n v="2"/>
    <n v="237"/>
    <x v="1"/>
    <n v="849.99"/>
    <x v="2"/>
    <x v="147"/>
    <x v="1"/>
    <s v="Electra Relic 3i - 2018"/>
    <x v="2"/>
  </r>
  <r>
    <n v="1469"/>
    <n v="3"/>
    <n v="182"/>
    <x v="0"/>
    <n v="2499.9899999999998"/>
    <x v="1"/>
    <x v="79"/>
    <x v="1"/>
    <s v="Trek Domane SL 5 Disc - 2018"/>
    <x v="2"/>
  </r>
  <r>
    <n v="1469"/>
    <n v="4"/>
    <n v="100"/>
    <x v="1"/>
    <n v="489.99"/>
    <x v="2"/>
    <x v="52"/>
    <x v="1"/>
    <s v="Electra Townie 3i EQ (20-inch) - Boys' - 2017"/>
    <x v="2"/>
  </r>
  <r>
    <n v="1470"/>
    <n v="1"/>
    <n v="110"/>
    <x v="1"/>
    <n v="470.99"/>
    <x v="3"/>
    <x v="60"/>
    <x v="1"/>
    <s v="Sun Bicycles Drifter 7 - 2017"/>
    <x v="1"/>
  </r>
  <r>
    <n v="1470"/>
    <n v="2"/>
    <n v="287"/>
    <x v="0"/>
    <n v="279.99"/>
    <x v="2"/>
    <x v="142"/>
    <x v="1"/>
    <s v="Electra Straight 8 1 (16-inch) - Boy's - 2018"/>
    <x v="1"/>
  </r>
  <r>
    <n v="1470"/>
    <n v="3"/>
    <n v="252"/>
    <x v="1"/>
    <n v="2999.99"/>
    <x v="2"/>
    <x v="11"/>
    <x v="1"/>
    <s v="Electra Townie Commute Go! Ladies' - 2018"/>
    <x v="1"/>
  </r>
  <r>
    <n v="1471"/>
    <n v="1"/>
    <n v="59"/>
    <x v="1"/>
    <n v="2599.9899999999998"/>
    <x v="0"/>
    <x v="67"/>
    <x v="1"/>
    <s v="Trek Domane S 5 Disc - 2017"/>
    <x v="1"/>
  </r>
  <r>
    <n v="1471"/>
    <n v="2"/>
    <n v="136"/>
    <x v="0"/>
    <n v="1799.99"/>
    <x v="1"/>
    <x v="16"/>
    <x v="1"/>
    <s v="Trek Procaliber 6 - 2018"/>
    <x v="1"/>
  </r>
  <r>
    <n v="1472"/>
    <n v="1"/>
    <n v="84"/>
    <x v="0"/>
    <n v="109.99"/>
    <x v="0"/>
    <x v="78"/>
    <x v="1"/>
    <s v="Sun Bicycles Lil Kitt'n - 2017"/>
    <x v="1"/>
  </r>
  <r>
    <n v="1472"/>
    <n v="2"/>
    <n v="300"/>
    <x v="0"/>
    <n v="799.99"/>
    <x v="0"/>
    <x v="129"/>
    <x v="1"/>
    <s v="Electra Townie Balloon 3i EQ Ladies' - 2018"/>
    <x v="1"/>
  </r>
  <r>
    <n v="1473"/>
    <n v="1"/>
    <n v="84"/>
    <x v="1"/>
    <n v="109.99"/>
    <x v="0"/>
    <x v="109"/>
    <x v="1"/>
    <s v="Sun Bicycles Lil Kitt'n - 2017"/>
    <x v="0"/>
  </r>
  <r>
    <n v="1473"/>
    <n v="2"/>
    <n v="102"/>
    <x v="0"/>
    <n v="489.99"/>
    <x v="1"/>
    <x v="44"/>
    <x v="1"/>
    <s v="Electra Townie Original 7D - 2017"/>
    <x v="0"/>
  </r>
  <r>
    <n v="1474"/>
    <n v="1"/>
    <n v="301"/>
    <x v="0"/>
    <n v="899.99"/>
    <x v="0"/>
    <x v="130"/>
    <x v="1"/>
    <s v="Electra Townie Balloon 7i EQ - 2018"/>
    <x v="0"/>
  </r>
  <r>
    <n v="1474"/>
    <n v="2"/>
    <n v="123"/>
    <x v="0"/>
    <n v="999.99"/>
    <x v="2"/>
    <x v="5"/>
    <x v="1"/>
    <s v="Trek Farley Carbon Frameset - 2018"/>
    <x v="0"/>
  </r>
  <r>
    <n v="1475"/>
    <n v="1"/>
    <n v="306"/>
    <x v="1"/>
    <n v="899.99"/>
    <x v="2"/>
    <x v="134"/>
    <x v="1"/>
    <s v="Electra Townie Balloon 7i EQ Ladies' - 2017/2018"/>
    <x v="1"/>
  </r>
  <r>
    <n v="1475"/>
    <n v="2"/>
    <n v="261"/>
    <x v="1"/>
    <n v="899.99"/>
    <x v="1"/>
    <x v="134"/>
    <x v="1"/>
    <s v="Electra Townie Balloon 7i EQ - 2018"/>
    <x v="1"/>
  </r>
  <r>
    <n v="1475"/>
    <n v="3"/>
    <n v="161"/>
    <x v="1"/>
    <n v="1899"/>
    <x v="2"/>
    <x v="159"/>
    <x v="1"/>
    <s v="Surly ECR - 2018"/>
    <x v="1"/>
  </r>
  <r>
    <n v="1475"/>
    <n v="4"/>
    <n v="248"/>
    <x v="1"/>
    <n v="599.99"/>
    <x v="0"/>
    <x v="3"/>
    <x v="1"/>
    <s v="Electra Townie Original 7D EQ Ladies' - 2017/2018"/>
    <x v="1"/>
  </r>
  <r>
    <n v="1476"/>
    <n v="1"/>
    <n v="142"/>
    <x v="1"/>
    <n v="3199.99"/>
    <x v="1"/>
    <x v="64"/>
    <x v="1"/>
    <s v="Trek Fuel EX 8 29 XT - 2018"/>
    <x v="1"/>
  </r>
  <r>
    <n v="1476"/>
    <n v="2"/>
    <n v="91"/>
    <x v="1"/>
    <n v="349.99"/>
    <x v="1"/>
    <x v="47"/>
    <x v="1"/>
    <s v="Trek Precaliber 24 (21-Speed) - Girls - 2017"/>
    <x v="1"/>
  </r>
  <r>
    <n v="1476"/>
    <n v="3"/>
    <n v="43"/>
    <x v="0"/>
    <n v="5299.99"/>
    <x v="1"/>
    <x v="57"/>
    <x v="1"/>
    <s v="Trek Fuel EX 9.8 27.5 Plus - 2017"/>
    <x v="1"/>
  </r>
  <r>
    <n v="1476"/>
    <n v="4"/>
    <n v="191"/>
    <x v="0"/>
    <n v="2799.99"/>
    <x v="3"/>
    <x v="146"/>
    <x v="1"/>
    <s v="Electra Loft Go! 8i - 2018"/>
    <x v="1"/>
  </r>
  <r>
    <n v="1476"/>
    <n v="5"/>
    <n v="265"/>
    <x v="1"/>
    <n v="289.99"/>
    <x v="3"/>
    <x v="187"/>
    <x v="1"/>
    <s v="Strider Strider 20 Sport - 2018"/>
    <x v="1"/>
  </r>
  <r>
    <n v="1477"/>
    <n v="1"/>
    <n v="210"/>
    <x v="1"/>
    <n v="1549"/>
    <x v="0"/>
    <x v="2"/>
    <x v="1"/>
    <s v="Surly Straggler - 2018"/>
    <x v="1"/>
  </r>
  <r>
    <n v="1478"/>
    <n v="1"/>
    <n v="100"/>
    <x v="1"/>
    <n v="489.99"/>
    <x v="3"/>
    <x v="52"/>
    <x v="1"/>
    <s v="Electra Townie 3i EQ (20-inch) - Boys' - 2017"/>
    <x v="1"/>
  </r>
  <r>
    <n v="1478"/>
    <n v="2"/>
    <n v="123"/>
    <x v="0"/>
    <n v="999.99"/>
    <x v="0"/>
    <x v="5"/>
    <x v="1"/>
    <s v="Trek Farley Carbon Frameset - 2018"/>
    <x v="1"/>
  </r>
  <r>
    <n v="1479"/>
    <n v="1"/>
    <n v="252"/>
    <x v="0"/>
    <n v="2999.99"/>
    <x v="2"/>
    <x v="28"/>
    <x v="1"/>
    <s v="Electra Townie Commute Go! Ladies' - 2018"/>
    <x v="1"/>
  </r>
  <r>
    <n v="1479"/>
    <n v="2"/>
    <n v="256"/>
    <x v="0"/>
    <n v="899.99"/>
    <x v="3"/>
    <x v="130"/>
    <x v="1"/>
    <s v="Electra Townie Commute 27D - 2018"/>
    <x v="1"/>
  </r>
  <r>
    <n v="1480"/>
    <n v="1"/>
    <n v="308"/>
    <x v="1"/>
    <n v="749.99"/>
    <x v="3"/>
    <x v="6"/>
    <x v="1"/>
    <s v="Electra Townie Balloon 8D EQ Ladies' - 2016/2017/2018"/>
    <x v="1"/>
  </r>
  <r>
    <n v="1480"/>
    <n v="2"/>
    <n v="82"/>
    <x v="1"/>
    <n v="659.99"/>
    <x v="3"/>
    <x v="96"/>
    <x v="1"/>
    <s v="Electra Amsterdam Original 3i Ladies' - 2017"/>
    <x v="1"/>
  </r>
  <r>
    <n v="1480"/>
    <n v="3"/>
    <n v="92"/>
    <x v="1"/>
    <n v="209.99"/>
    <x v="1"/>
    <x v="84"/>
    <x v="1"/>
    <s v="Haro Shredder 20 - 2017"/>
    <x v="1"/>
  </r>
  <r>
    <n v="1480"/>
    <n v="4"/>
    <n v="225"/>
    <x v="1"/>
    <n v="959.99"/>
    <x v="1"/>
    <x v="188"/>
    <x v="1"/>
    <s v="Electra Delivery 3i - 2016/2017/2018"/>
    <x v="1"/>
  </r>
  <r>
    <n v="1481"/>
    <n v="1"/>
    <n v="53"/>
    <x v="1"/>
    <n v="749.99"/>
    <x v="1"/>
    <x v="6"/>
    <x v="1"/>
    <s v="Surly Ogre Frameset - 2017"/>
    <x v="1"/>
  </r>
  <r>
    <n v="1481"/>
    <n v="2"/>
    <n v="130"/>
    <x v="0"/>
    <n v="919.99"/>
    <x v="3"/>
    <x v="135"/>
    <x v="1"/>
    <s v="Trek Stache Carbon Frameset - 2018"/>
    <x v="1"/>
  </r>
  <r>
    <n v="1482"/>
    <n v="1"/>
    <n v="48"/>
    <x v="0"/>
    <n v="1499.99"/>
    <x v="3"/>
    <x v="77"/>
    <x v="1"/>
    <s v="Trek Emonda S 4 - 2017"/>
    <x v="1"/>
  </r>
  <r>
    <n v="1482"/>
    <n v="2"/>
    <n v="113"/>
    <x v="0"/>
    <n v="489.99"/>
    <x v="2"/>
    <x v="44"/>
    <x v="1"/>
    <s v="Trek Marlin 5 - 2018"/>
    <x v="1"/>
  </r>
  <r>
    <n v="1482"/>
    <n v="3"/>
    <n v="58"/>
    <x v="1"/>
    <n v="4999.99"/>
    <x v="1"/>
    <x v="41"/>
    <x v="1"/>
    <s v="Trek Madone 9.2 - 2017"/>
    <x v="1"/>
  </r>
  <r>
    <n v="1482"/>
    <n v="4"/>
    <n v="40"/>
    <x v="0"/>
    <n v="4999.99"/>
    <x v="2"/>
    <x v="76"/>
    <x v="1"/>
    <s v="Trek Fuel EX 9.8 29 - 2017"/>
    <x v="1"/>
  </r>
  <r>
    <n v="1482"/>
    <n v="5"/>
    <n v="205"/>
    <x v="1"/>
    <n v="4999.99"/>
    <x v="2"/>
    <x v="41"/>
    <x v="1"/>
    <s v="Trek Super Commuter+ 8S - 2018"/>
    <x v="1"/>
  </r>
  <r>
    <n v="1483"/>
    <n v="1"/>
    <n v="280"/>
    <x v="0"/>
    <n v="489.99"/>
    <x v="2"/>
    <x v="44"/>
    <x v="1"/>
    <s v="Trek Superfly 24 - 2017/2018"/>
    <x v="1"/>
  </r>
  <r>
    <n v="1483"/>
    <n v="2"/>
    <n v="226"/>
    <x v="1"/>
    <n v="679.99"/>
    <x v="1"/>
    <x v="140"/>
    <x v="1"/>
    <s v="Electra Townie Original 21D EQ - 2017/2018"/>
    <x v="1"/>
  </r>
  <r>
    <n v="1484"/>
    <n v="1"/>
    <n v="295"/>
    <x v="1"/>
    <n v="319.99"/>
    <x v="1"/>
    <x v="138"/>
    <x v="1"/>
    <s v="Electra Treasure 1 20&quot; - 2018"/>
    <x v="1"/>
  </r>
  <r>
    <n v="1484"/>
    <n v="2"/>
    <n v="49"/>
    <x v="1"/>
    <n v="3499.99"/>
    <x v="0"/>
    <x v="54"/>
    <x v="1"/>
    <s v="Trek Domane SL 6 - 2017"/>
    <x v="1"/>
  </r>
  <r>
    <n v="1484"/>
    <n v="3"/>
    <n v="304"/>
    <x v="1"/>
    <n v="679.99"/>
    <x v="2"/>
    <x v="140"/>
    <x v="1"/>
    <s v="Electra Townie Original 21D EQ - 2017/2018"/>
    <x v="1"/>
  </r>
  <r>
    <n v="1485"/>
    <n v="1"/>
    <n v="122"/>
    <x v="1"/>
    <n v="2499.9899999999998"/>
    <x v="0"/>
    <x v="117"/>
    <x v="1"/>
    <s v="Surly Troll Frameset - 2018"/>
    <x v="1"/>
  </r>
  <r>
    <n v="1485"/>
    <n v="2"/>
    <n v="276"/>
    <x v="0"/>
    <n v="319.99"/>
    <x v="0"/>
    <x v="137"/>
    <x v="1"/>
    <s v="Trek Precaliber 24 (7-Speed) - Boys - 2018"/>
    <x v="1"/>
  </r>
  <r>
    <n v="1486"/>
    <n v="1"/>
    <n v="60"/>
    <x v="1"/>
    <n v="1559.99"/>
    <x v="2"/>
    <x v="89"/>
    <x v="1"/>
    <s v="Sun Bicycles ElectroLite - 2017"/>
    <x v="1"/>
  </r>
  <r>
    <n v="1486"/>
    <n v="2"/>
    <n v="98"/>
    <x v="0"/>
    <n v="489.99"/>
    <x v="2"/>
    <x v="44"/>
    <x v="1"/>
    <s v="Electra Straight 8 3i (20-inch) - Boy's - 2017"/>
    <x v="1"/>
  </r>
  <r>
    <n v="1486"/>
    <n v="3"/>
    <n v="113"/>
    <x v="0"/>
    <n v="489.99"/>
    <x v="3"/>
    <x v="44"/>
    <x v="1"/>
    <s v="Trek Marlin 5 - 2018"/>
    <x v="1"/>
  </r>
  <r>
    <n v="1486"/>
    <n v="4"/>
    <n v="269"/>
    <x v="0"/>
    <n v="199.99"/>
    <x v="3"/>
    <x v="186"/>
    <x v="1"/>
    <s v="Trek Precaliber 12 Boy's - 2018"/>
    <x v="1"/>
  </r>
  <r>
    <n v="1487"/>
    <n v="1"/>
    <n v="160"/>
    <x v="0"/>
    <n v="4499.99"/>
    <x v="1"/>
    <x v="150"/>
    <x v="1"/>
    <s v="Trek Emonda SLR 6 - 2018"/>
    <x v="0"/>
  </r>
  <r>
    <n v="1487"/>
    <n v="2"/>
    <n v="151"/>
    <x v="1"/>
    <n v="1549.99"/>
    <x v="0"/>
    <x v="133"/>
    <x v="1"/>
    <s v="Trek Domane ALR 4 Disc Women's - 2018"/>
    <x v="0"/>
  </r>
  <r>
    <n v="1487"/>
    <n v="3"/>
    <n v="198"/>
    <x v="0"/>
    <n v="2999.99"/>
    <x v="2"/>
    <x v="28"/>
    <x v="1"/>
    <s v="Electra Townie Commute Go! - 2018"/>
    <x v="0"/>
  </r>
  <r>
    <n v="1487"/>
    <n v="4"/>
    <n v="196"/>
    <x v="0"/>
    <n v="2299.9899999999998"/>
    <x v="2"/>
    <x v="101"/>
    <x v="1"/>
    <s v="Trek Verve+ - 2018"/>
    <x v="0"/>
  </r>
  <r>
    <n v="1487"/>
    <n v="5"/>
    <n v="96"/>
    <x v="1"/>
    <n v="349.99"/>
    <x v="0"/>
    <x v="47"/>
    <x v="1"/>
    <s v="Electra Moto 3i (20-inch) - Boy's - 2017"/>
    <x v="0"/>
  </r>
  <r>
    <n v="1488"/>
    <n v="1"/>
    <n v="42"/>
    <x v="0"/>
    <n v="2299.9899999999998"/>
    <x v="1"/>
    <x v="101"/>
    <x v="1"/>
    <s v="Trek Fuel EX 5 27.5 Plus - 2017"/>
    <x v="0"/>
  </r>
  <r>
    <n v="1488"/>
    <n v="2"/>
    <n v="122"/>
    <x v="0"/>
    <n v="2499.9899999999998"/>
    <x v="1"/>
    <x v="79"/>
    <x v="1"/>
    <s v="Surly Troll Frameset - 2018"/>
    <x v="0"/>
  </r>
  <r>
    <n v="1489"/>
    <n v="1"/>
    <n v="198"/>
    <x v="0"/>
    <n v="2999.99"/>
    <x v="0"/>
    <x v="28"/>
    <x v="1"/>
    <s v="Electra Townie Commute Go! - 2018"/>
    <x v="0"/>
  </r>
  <r>
    <n v="1489"/>
    <n v="2"/>
    <n v="282"/>
    <x v="1"/>
    <n v="279.99"/>
    <x v="0"/>
    <x v="152"/>
    <x v="1"/>
    <s v="Electra Cyclosaurus 1 (16-inch) - Boy's - 2018"/>
    <x v="0"/>
  </r>
  <r>
    <n v="1489"/>
    <n v="3"/>
    <n v="52"/>
    <x v="0"/>
    <n v="875.99"/>
    <x v="3"/>
    <x v="63"/>
    <x v="1"/>
    <s v="Surly Steamroller - 2017"/>
    <x v="0"/>
  </r>
  <r>
    <n v="1490"/>
    <n v="1"/>
    <n v="99"/>
    <x v="0"/>
    <n v="299.99"/>
    <x v="3"/>
    <x v="23"/>
    <x v="1"/>
    <s v="Electra Sugar Skulls 1 (20-inch) - Girl's - 2017"/>
    <x v="0"/>
  </r>
  <r>
    <n v="1490"/>
    <n v="2"/>
    <n v="254"/>
    <x v="0"/>
    <n v="749.99"/>
    <x v="3"/>
    <x v="30"/>
    <x v="1"/>
    <s v="Electra Townie Balloon 3i EQ - 2017/2018"/>
    <x v="0"/>
  </r>
  <r>
    <n v="1490"/>
    <n v="3"/>
    <n v="218"/>
    <x v="0"/>
    <n v="319.99"/>
    <x v="2"/>
    <x v="137"/>
    <x v="1"/>
    <s v="Electra Cruiser 7D - 2016/2017/2018"/>
    <x v="0"/>
  </r>
  <r>
    <n v="1491"/>
    <n v="1"/>
    <n v="95"/>
    <x v="1"/>
    <n v="299.99"/>
    <x v="0"/>
    <x v="22"/>
    <x v="1"/>
    <s v="Electra Girl's Hawaii 1 16&quot; - 2017"/>
    <x v="0"/>
  </r>
  <r>
    <n v="1491"/>
    <n v="2"/>
    <n v="302"/>
    <x v="0"/>
    <n v="449.99"/>
    <x v="2"/>
    <x v="72"/>
    <x v="1"/>
    <s v="Electra Townie Original 1 - 2018"/>
    <x v="0"/>
  </r>
  <r>
    <n v="1491"/>
    <n v="3"/>
    <n v="60"/>
    <x v="1"/>
    <n v="1559.99"/>
    <x v="1"/>
    <x v="89"/>
    <x v="1"/>
    <s v="Sun Bicycles ElectroLite - 2017"/>
    <x v="0"/>
  </r>
  <r>
    <n v="1491"/>
    <n v="4"/>
    <n v="139"/>
    <x v="1"/>
    <n v="2999.99"/>
    <x v="1"/>
    <x v="11"/>
    <x v="1"/>
    <s v="Trek Remedy 7 27.5 - 2018"/>
    <x v="0"/>
  </r>
  <r>
    <n v="1492"/>
    <n v="1"/>
    <n v="37"/>
    <x v="1"/>
    <n v="379.99"/>
    <x v="3"/>
    <x v="86"/>
    <x v="1"/>
    <s v="Haro Flightline One ST - 2017"/>
    <x v="1"/>
  </r>
  <r>
    <n v="1493"/>
    <n v="1"/>
    <n v="230"/>
    <x v="0"/>
    <n v="429.99"/>
    <x v="3"/>
    <x v="171"/>
    <x v="1"/>
    <s v="Electra Cruiser Lux 1 Ladies' - 2018"/>
    <x v="2"/>
  </r>
  <r>
    <n v="1494"/>
    <n v="1"/>
    <n v="230"/>
    <x v="1"/>
    <n v="429.99"/>
    <x v="3"/>
    <x v="141"/>
    <x v="1"/>
    <s v="Electra Cruiser Lux 1 Ladies' - 2018"/>
    <x v="0"/>
  </r>
  <r>
    <n v="1494"/>
    <n v="2"/>
    <n v="178"/>
    <x v="1"/>
    <n v="749.99"/>
    <x v="0"/>
    <x v="6"/>
    <x v="1"/>
    <s v="Trek Domane AL 2 - 2018"/>
    <x v="0"/>
  </r>
  <r>
    <n v="1494"/>
    <n v="3"/>
    <n v="264"/>
    <x v="1"/>
    <n v="249.99"/>
    <x v="2"/>
    <x v="53"/>
    <x v="1"/>
    <s v="Strider Sport 16 - 2018"/>
    <x v="0"/>
  </r>
  <r>
    <n v="1495"/>
    <n v="1"/>
    <n v="292"/>
    <x v="1"/>
    <n v="369.99"/>
    <x v="2"/>
    <x v="176"/>
    <x v="1"/>
    <s v="Electra Sweet Ride 3i (20-inch) - Girls' - 2018"/>
    <x v="1"/>
  </r>
  <r>
    <n v="1495"/>
    <n v="2"/>
    <n v="308"/>
    <x v="1"/>
    <n v="749.99"/>
    <x v="0"/>
    <x v="6"/>
    <x v="1"/>
    <s v="Electra Townie Balloon 8D EQ Ladies' - 2016/2017/2018"/>
    <x v="1"/>
  </r>
  <r>
    <n v="1495"/>
    <n v="3"/>
    <n v="137"/>
    <x v="0"/>
    <n v="2599"/>
    <x v="3"/>
    <x v="183"/>
    <x v="1"/>
    <s v="Heller Shagamaw GX1 - 2018"/>
    <x v="1"/>
  </r>
  <r>
    <n v="1496"/>
    <n v="1"/>
    <n v="248"/>
    <x v="0"/>
    <n v="599.99"/>
    <x v="1"/>
    <x v="0"/>
    <x v="1"/>
    <s v="Electra Townie Original 7D EQ Ladies' - 2017/2018"/>
    <x v="0"/>
  </r>
  <r>
    <n v="1496"/>
    <n v="2"/>
    <n v="214"/>
    <x v="0"/>
    <n v="899.99"/>
    <x v="1"/>
    <x v="130"/>
    <x v="1"/>
    <s v="Electra Tiger Shark 3i - 2018"/>
    <x v="0"/>
  </r>
  <r>
    <n v="1496"/>
    <n v="3"/>
    <n v="224"/>
    <x v="1"/>
    <n v="479.99"/>
    <x v="2"/>
    <x v="189"/>
    <x v="1"/>
    <s v="Electra Cruiser Lux 7D - 2018"/>
    <x v="0"/>
  </r>
  <r>
    <n v="1496"/>
    <n v="4"/>
    <n v="302"/>
    <x v="0"/>
    <n v="449.99"/>
    <x v="2"/>
    <x v="72"/>
    <x v="1"/>
    <s v="Electra Townie Original 1 - 2018"/>
    <x v="0"/>
  </r>
  <r>
    <n v="1496"/>
    <n v="5"/>
    <n v="225"/>
    <x v="1"/>
    <n v="959.99"/>
    <x v="0"/>
    <x v="188"/>
    <x v="1"/>
    <s v="Electra Delivery 3i - 2016/2017/2018"/>
    <x v="0"/>
  </r>
  <r>
    <n v="1497"/>
    <n v="1"/>
    <n v="141"/>
    <x v="1"/>
    <n v="1599.99"/>
    <x v="0"/>
    <x v="181"/>
    <x v="1"/>
    <s v="Trek Stache 5 - 2018"/>
    <x v="0"/>
  </r>
  <r>
    <n v="1497"/>
    <n v="2"/>
    <n v="198"/>
    <x v="1"/>
    <n v="2999.99"/>
    <x v="3"/>
    <x v="11"/>
    <x v="1"/>
    <s v="Electra Townie Commute Go! - 2018"/>
    <x v="0"/>
  </r>
  <r>
    <n v="1497"/>
    <n v="3"/>
    <n v="204"/>
    <x v="1"/>
    <n v="3599.99"/>
    <x v="1"/>
    <x v="156"/>
    <x v="1"/>
    <s v="Trek Super Commuter+ 7 - 2018"/>
    <x v="0"/>
  </r>
  <r>
    <n v="1498"/>
    <n v="1"/>
    <n v="172"/>
    <x v="0"/>
    <n v="3199.99"/>
    <x v="2"/>
    <x v="120"/>
    <x v="1"/>
    <s v="Trek Domane ALR Disc Frameset - 2018"/>
    <x v="0"/>
  </r>
  <r>
    <n v="1498"/>
    <n v="2"/>
    <n v="260"/>
    <x v="1"/>
    <n v="799.99"/>
    <x v="1"/>
    <x v="108"/>
    <x v="1"/>
    <s v="Electra Townie Balloon 3i EQ Ladies' - 2018"/>
    <x v="0"/>
  </r>
  <r>
    <n v="1499"/>
    <n v="1"/>
    <n v="110"/>
    <x v="0"/>
    <n v="470.99"/>
    <x v="2"/>
    <x v="107"/>
    <x v="1"/>
    <s v="Sun Bicycles Drifter 7 - 2017"/>
    <x v="0"/>
  </r>
  <r>
    <n v="1499"/>
    <n v="2"/>
    <n v="208"/>
    <x v="0"/>
    <n v="1799.99"/>
    <x v="1"/>
    <x v="16"/>
    <x v="1"/>
    <s v="Trek Crockett 5 Disc - 2018"/>
    <x v="0"/>
  </r>
  <r>
    <n v="1499"/>
    <n v="3"/>
    <n v="268"/>
    <x v="1"/>
    <n v="159.99"/>
    <x v="2"/>
    <x v="165"/>
    <x v="1"/>
    <s v="Trek Kickster - 2018"/>
    <x v="0"/>
  </r>
  <r>
    <n v="1499"/>
    <n v="4"/>
    <n v="2"/>
    <x v="0"/>
    <n v="749.99"/>
    <x v="2"/>
    <x v="30"/>
    <x v="1"/>
    <s v="Ritchey Timberwolf Frameset - 2016"/>
    <x v="0"/>
  </r>
  <r>
    <n v="1499"/>
    <n v="5"/>
    <n v="171"/>
    <x v="1"/>
    <n v="3199.99"/>
    <x v="3"/>
    <x v="64"/>
    <x v="1"/>
    <s v="Trek Domane SL 6 - 2018"/>
    <x v="0"/>
  </r>
  <r>
    <n v="1500"/>
    <n v="1"/>
    <n v="41"/>
    <x v="1"/>
    <n v="1469.99"/>
    <x v="1"/>
    <x v="69"/>
    <x v="1"/>
    <s v="Haro Shift R3 - 2017"/>
    <x v="0"/>
  </r>
  <r>
    <n v="1500"/>
    <n v="2"/>
    <n v="293"/>
    <x v="0"/>
    <n v="319.99"/>
    <x v="1"/>
    <x v="137"/>
    <x v="1"/>
    <s v="Electra Tiger Shark 1 (20-inch) - Boys' - 2018"/>
    <x v="0"/>
  </r>
  <r>
    <n v="1501"/>
    <n v="1"/>
    <n v="248"/>
    <x v="0"/>
    <n v="599.99"/>
    <x v="2"/>
    <x v="0"/>
    <x v="1"/>
    <s v="Electra Townie Original 7D EQ Ladies' - 2017/2018"/>
    <x v="1"/>
  </r>
  <r>
    <n v="1501"/>
    <n v="2"/>
    <n v="219"/>
    <x v="0"/>
    <n v="639.99"/>
    <x v="1"/>
    <x v="153"/>
    <x v="1"/>
    <s v="Electra Moto 3i - 2018"/>
    <x v="1"/>
  </r>
  <r>
    <n v="1501"/>
    <n v="3"/>
    <n v="15"/>
    <x v="0"/>
    <n v="529.99"/>
    <x v="2"/>
    <x v="12"/>
    <x v="1"/>
    <s v="Electra Moto 1 - 2016"/>
    <x v="1"/>
  </r>
  <r>
    <n v="1501"/>
    <n v="4"/>
    <n v="67"/>
    <x v="0"/>
    <n v="250.99"/>
    <x v="0"/>
    <x v="61"/>
    <x v="1"/>
    <s v="Sun Bicycles Revolutions 24 - Girl's - 2017"/>
    <x v="1"/>
  </r>
  <r>
    <n v="1501"/>
    <n v="5"/>
    <n v="210"/>
    <x v="0"/>
    <n v="1549"/>
    <x v="2"/>
    <x v="27"/>
    <x v="1"/>
    <s v="Surly Straggler - 2018"/>
    <x v="1"/>
  </r>
  <r>
    <n v="1502"/>
    <n v="1"/>
    <n v="231"/>
    <x v="1"/>
    <n v="529.99"/>
    <x v="0"/>
    <x v="29"/>
    <x v="1"/>
    <s v="Electra Cruiser Lux 3i Ladies' - 2018"/>
    <x v="1"/>
  </r>
  <r>
    <n v="1502"/>
    <n v="2"/>
    <n v="19"/>
    <x v="1"/>
    <n v="449"/>
    <x v="1"/>
    <x v="21"/>
    <x v="1"/>
    <s v="Pure Cycles William 3-Speed - 2016"/>
    <x v="1"/>
  </r>
  <r>
    <n v="1502"/>
    <n v="3"/>
    <n v="26"/>
    <x v="1"/>
    <n v="599.99"/>
    <x v="1"/>
    <x v="3"/>
    <x v="1"/>
    <s v="Electra Townie Original 7D EQ - 2016"/>
    <x v="1"/>
  </r>
  <r>
    <n v="1502"/>
    <n v="4"/>
    <n v="268"/>
    <x v="0"/>
    <n v="159.99"/>
    <x v="0"/>
    <x v="184"/>
    <x v="1"/>
    <s v="Trek Kickster - 2018"/>
    <x v="1"/>
  </r>
  <r>
    <n v="1502"/>
    <n v="5"/>
    <n v="255"/>
    <x v="0"/>
    <n v="899.99"/>
    <x v="1"/>
    <x v="130"/>
    <x v="1"/>
    <s v="Electra Townie Balloon 7i EQ Ladies' - 2017/2018"/>
    <x v="1"/>
  </r>
  <r>
    <n v="1503"/>
    <n v="1"/>
    <n v="217"/>
    <x v="0"/>
    <n v="909.99"/>
    <x v="3"/>
    <x v="190"/>
    <x v="1"/>
    <s v="Electra Straight 8 3i - 2018"/>
    <x v="0"/>
  </r>
  <r>
    <n v="1503"/>
    <n v="2"/>
    <n v="302"/>
    <x v="1"/>
    <n v="449.99"/>
    <x v="2"/>
    <x v="37"/>
    <x v="1"/>
    <s v="Electra Townie Original 1 - 2018"/>
    <x v="0"/>
  </r>
  <r>
    <n v="1504"/>
    <n v="1"/>
    <n v="276"/>
    <x v="0"/>
    <n v="319.99"/>
    <x v="1"/>
    <x v="137"/>
    <x v="1"/>
    <s v="Trek Precaliber 24 (7-Speed) - Boys - 2018"/>
    <x v="0"/>
  </r>
  <r>
    <n v="1505"/>
    <n v="1"/>
    <n v="223"/>
    <x v="1"/>
    <n v="529.99"/>
    <x v="2"/>
    <x v="29"/>
    <x v="1"/>
    <s v="Electra Cruiser Lux 3i - 2018"/>
    <x v="1"/>
  </r>
  <r>
    <n v="1505"/>
    <n v="2"/>
    <n v="24"/>
    <x v="1"/>
    <n v="549.99"/>
    <x v="1"/>
    <x v="9"/>
    <x v="1"/>
    <s v="Electra Townie Original 21D - 2016"/>
    <x v="1"/>
  </r>
  <r>
    <n v="1505"/>
    <n v="3"/>
    <n v="43"/>
    <x v="1"/>
    <n v="5299.99"/>
    <x v="2"/>
    <x v="46"/>
    <x v="1"/>
    <s v="Trek Fuel EX 9.8 27.5 Plus - 2017"/>
    <x v="1"/>
  </r>
  <r>
    <n v="1506"/>
    <n v="1"/>
    <n v="184"/>
    <x v="0"/>
    <n v="3499.99"/>
    <x v="2"/>
    <x v="43"/>
    <x v="1"/>
    <s v="Trek Domane SL 6 Disc - 2018"/>
    <x v="1"/>
  </r>
  <r>
    <n v="1506"/>
    <n v="2"/>
    <n v="153"/>
    <x v="1"/>
    <n v="4999.99"/>
    <x v="0"/>
    <x v="41"/>
    <x v="1"/>
    <s v="Trek Domane SL 7 Women's - 2018"/>
    <x v="1"/>
  </r>
  <r>
    <n v="1506"/>
    <n v="3"/>
    <n v="149"/>
    <x v="1"/>
    <n v="7499.99"/>
    <x v="2"/>
    <x v="191"/>
    <x v="1"/>
    <s v="Trek Domane SLR 8 Disc - 2018"/>
    <x v="1"/>
  </r>
  <r>
    <n v="1507"/>
    <n v="1"/>
    <n v="39"/>
    <x v="1"/>
    <n v="1499.99"/>
    <x v="0"/>
    <x v="65"/>
    <x v="1"/>
    <s v="Trek Stache 5 - 2017"/>
    <x v="1"/>
  </r>
  <r>
    <n v="1507"/>
    <n v="2"/>
    <n v="11"/>
    <x v="1"/>
    <n v="1680.99"/>
    <x v="3"/>
    <x v="32"/>
    <x v="1"/>
    <s v="Surly Straggler 650b - 2016"/>
    <x v="1"/>
  </r>
  <r>
    <n v="1507"/>
    <n v="3"/>
    <n v="259"/>
    <x v="0"/>
    <n v="1199.99"/>
    <x v="1"/>
    <x v="192"/>
    <x v="1"/>
    <s v="Electra Amsterdam Royal 8i Ladies - 2018"/>
    <x v="1"/>
  </r>
  <r>
    <n v="1507"/>
    <n v="4"/>
    <n v="281"/>
    <x v="0"/>
    <n v="319.99"/>
    <x v="1"/>
    <x v="137"/>
    <x v="1"/>
    <s v="Electra Cruiser 7D (24-Inch) Ladies' - 2016/2018"/>
    <x v="1"/>
  </r>
  <r>
    <n v="1507"/>
    <n v="5"/>
    <n v="293"/>
    <x v="1"/>
    <n v="319.99"/>
    <x v="2"/>
    <x v="138"/>
    <x v="1"/>
    <s v="Electra Tiger Shark 1 (20-inch) - Boys' - 2018"/>
    <x v="1"/>
  </r>
  <r>
    <n v="1508"/>
    <n v="1"/>
    <n v="37"/>
    <x v="0"/>
    <n v="379.99"/>
    <x v="0"/>
    <x v="125"/>
    <x v="1"/>
    <s v="Haro Flightline One ST - 2017"/>
    <x v="1"/>
  </r>
  <r>
    <n v="1508"/>
    <n v="2"/>
    <n v="109"/>
    <x v="0"/>
    <n v="416.99"/>
    <x v="3"/>
    <x v="71"/>
    <x v="1"/>
    <s v="Sun Bicycles Cruz 7 - Women's - 2017"/>
    <x v="1"/>
  </r>
  <r>
    <n v="1508"/>
    <n v="3"/>
    <n v="52"/>
    <x v="1"/>
    <n v="875.99"/>
    <x v="2"/>
    <x v="73"/>
    <x v="1"/>
    <s v="Surly Steamroller - 2017"/>
    <x v="1"/>
  </r>
  <r>
    <n v="1508"/>
    <n v="4"/>
    <n v="88"/>
    <x v="0"/>
    <n v="189.99"/>
    <x v="2"/>
    <x v="93"/>
    <x v="1"/>
    <s v="Trek Precaliber 12 Girls - 2017"/>
    <x v="1"/>
  </r>
  <r>
    <n v="1509"/>
    <n v="1"/>
    <n v="215"/>
    <x v="1"/>
    <n v="749.99"/>
    <x v="1"/>
    <x v="6"/>
    <x v="1"/>
    <s v="Electra Queen of Hearts 3i - 2018"/>
    <x v="0"/>
  </r>
  <r>
    <n v="1510"/>
    <n v="1"/>
    <n v="142"/>
    <x v="1"/>
    <n v="3199.99"/>
    <x v="2"/>
    <x v="64"/>
    <x v="1"/>
    <s v="Trek Fuel EX 8 29 XT - 2018"/>
    <x v="1"/>
  </r>
  <r>
    <n v="1510"/>
    <n v="2"/>
    <n v="68"/>
    <x v="0"/>
    <n v="449.99"/>
    <x v="3"/>
    <x v="72"/>
    <x v="1"/>
    <s v="Sun Bicycles Cruz 3 - 2017"/>
    <x v="1"/>
  </r>
  <r>
    <n v="1510"/>
    <n v="3"/>
    <n v="251"/>
    <x v="1"/>
    <n v="2999.99"/>
    <x v="3"/>
    <x v="11"/>
    <x v="1"/>
    <s v="Electra Townie Commute Go! - 2018"/>
    <x v="1"/>
  </r>
  <r>
    <n v="1510"/>
    <n v="4"/>
    <n v="220"/>
    <x v="1"/>
    <n v="269.99"/>
    <x v="3"/>
    <x v="17"/>
    <x v="1"/>
    <s v="Electra Cruiser 1 Ladies' - 2018"/>
    <x v="1"/>
  </r>
  <r>
    <n v="1510"/>
    <n v="5"/>
    <n v="137"/>
    <x v="0"/>
    <n v="2599"/>
    <x v="2"/>
    <x v="183"/>
    <x v="1"/>
    <s v="Heller Shagamaw GX1 - 2018"/>
    <x v="1"/>
  </r>
  <r>
    <n v="1511"/>
    <n v="1"/>
    <n v="144"/>
    <x v="1"/>
    <n v="1549.99"/>
    <x v="0"/>
    <x v="133"/>
    <x v="1"/>
    <s v="Trek Domane ALR 4 Disc - 2018"/>
    <x v="1"/>
  </r>
  <r>
    <n v="1511"/>
    <n v="2"/>
    <n v="288"/>
    <x v="0"/>
    <n v="389.99"/>
    <x v="1"/>
    <x v="193"/>
    <x v="1"/>
    <s v="Electra Straight 8 1 (20-inch) - Boy's - 2018"/>
    <x v="1"/>
  </r>
  <r>
    <n v="1511"/>
    <n v="3"/>
    <n v="17"/>
    <x v="1"/>
    <n v="429"/>
    <x v="1"/>
    <x v="13"/>
    <x v="1"/>
    <s v="Pure Cycles Vine 8-Speed - 2016"/>
    <x v="1"/>
  </r>
  <r>
    <n v="1511"/>
    <n v="4"/>
    <n v="41"/>
    <x v="0"/>
    <n v="1469.99"/>
    <x v="2"/>
    <x v="112"/>
    <x v="1"/>
    <s v="Haro Shift R3 - 2017"/>
    <x v="1"/>
  </r>
  <r>
    <n v="1511"/>
    <n v="5"/>
    <n v="124"/>
    <x v="1"/>
    <n v="1499"/>
    <x v="0"/>
    <x v="194"/>
    <x v="1"/>
    <s v="Surly Krampus - 2018"/>
    <x v="1"/>
  </r>
  <r>
    <n v="1512"/>
    <n v="1"/>
    <n v="217"/>
    <x v="0"/>
    <n v="909.99"/>
    <x v="1"/>
    <x v="190"/>
    <x v="1"/>
    <s v="Electra Straight 8 3i - 2018"/>
    <x v="2"/>
  </r>
  <r>
    <n v="1513"/>
    <n v="1"/>
    <n v="166"/>
    <x v="0"/>
    <n v="749.99"/>
    <x v="3"/>
    <x v="30"/>
    <x v="1"/>
    <s v="Trek Domane AL 2 Women's - 2018"/>
    <x v="0"/>
  </r>
  <r>
    <n v="1513"/>
    <n v="2"/>
    <n v="61"/>
    <x v="1"/>
    <n v="4999.99"/>
    <x v="2"/>
    <x v="41"/>
    <x v="1"/>
    <s v="Trek Powerfly 8 FS Plus - 2017"/>
    <x v="0"/>
  </r>
  <r>
    <n v="1513"/>
    <n v="3"/>
    <n v="159"/>
    <x v="1"/>
    <n v="2299.9899999999998"/>
    <x v="2"/>
    <x v="45"/>
    <x v="1"/>
    <s v="Trek Emonda ALR 6 - 2018"/>
    <x v="0"/>
  </r>
  <r>
    <n v="1514"/>
    <n v="1"/>
    <n v="240"/>
    <x v="1"/>
    <n v="899.99"/>
    <x v="3"/>
    <x v="134"/>
    <x v="1"/>
    <s v="Electra Townie Commute 27D Ladies - 2018"/>
    <x v="0"/>
  </r>
  <r>
    <n v="1514"/>
    <n v="2"/>
    <n v="203"/>
    <x v="1"/>
    <n v="4999.99"/>
    <x v="2"/>
    <x v="41"/>
    <x v="1"/>
    <s v="Trek Powerfly 7 FS - 2018"/>
    <x v="0"/>
  </r>
  <r>
    <n v="1515"/>
    <n v="1"/>
    <n v="27"/>
    <x v="1"/>
    <n v="999.99"/>
    <x v="0"/>
    <x v="10"/>
    <x v="1"/>
    <s v="Surly Big Dummy Frameset - 2017"/>
    <x v="2"/>
  </r>
  <r>
    <n v="1515"/>
    <n v="2"/>
    <n v="202"/>
    <x v="1"/>
    <n v="3499.99"/>
    <x v="3"/>
    <x v="54"/>
    <x v="1"/>
    <s v="Trek Powerfly 5 Women's - 2018"/>
    <x v="2"/>
  </r>
  <r>
    <n v="1515"/>
    <n v="3"/>
    <n v="310"/>
    <x v="1"/>
    <n v="899.99"/>
    <x v="2"/>
    <x v="134"/>
    <x v="1"/>
    <s v="Electra Townie Commute 27D Ladies - 2018"/>
    <x v="2"/>
  </r>
  <r>
    <n v="1515"/>
    <n v="4"/>
    <n v="40"/>
    <x v="0"/>
    <n v="4999.99"/>
    <x v="3"/>
    <x v="76"/>
    <x v="1"/>
    <s v="Trek Fuel EX 9.8 29 - 2017"/>
    <x v="2"/>
  </r>
  <r>
    <n v="1515"/>
    <n v="5"/>
    <n v="158"/>
    <x v="1"/>
    <n v="959.99"/>
    <x v="0"/>
    <x v="188"/>
    <x v="1"/>
    <s v="Trek CrossRip 1 - 2018"/>
    <x v="2"/>
  </r>
  <r>
    <n v="1516"/>
    <n v="1"/>
    <n v="172"/>
    <x v="1"/>
    <n v="3199.99"/>
    <x v="3"/>
    <x v="64"/>
    <x v="1"/>
    <s v="Trek Domane ALR Disc Frameset - 2018"/>
    <x v="0"/>
  </r>
  <r>
    <n v="1516"/>
    <n v="2"/>
    <n v="253"/>
    <x v="0"/>
    <n v="2599.9899999999998"/>
    <x v="3"/>
    <x v="90"/>
    <x v="1"/>
    <s v="Electra Townie Go! 8i Ladies' - 2018"/>
    <x v="0"/>
  </r>
  <r>
    <n v="1516"/>
    <n v="3"/>
    <n v="196"/>
    <x v="1"/>
    <n v="2299.9899999999998"/>
    <x v="0"/>
    <x v="45"/>
    <x v="1"/>
    <s v="Trek Verve+ - 2018"/>
    <x v="0"/>
  </r>
  <r>
    <n v="1516"/>
    <n v="4"/>
    <n v="259"/>
    <x v="1"/>
    <n v="1199.99"/>
    <x v="0"/>
    <x v="195"/>
    <x v="1"/>
    <s v="Electra Amsterdam Royal 8i Ladies - 2018"/>
    <x v="0"/>
  </r>
  <r>
    <n v="1516"/>
    <n v="5"/>
    <n v="271"/>
    <x v="1"/>
    <n v="209.99"/>
    <x v="0"/>
    <x v="84"/>
    <x v="1"/>
    <s v="Trek Precaliber 16 Girl's - 2018"/>
    <x v="0"/>
  </r>
  <r>
    <n v="1517"/>
    <n v="1"/>
    <n v="303"/>
    <x v="1"/>
    <n v="2599.9899999999998"/>
    <x v="1"/>
    <x v="67"/>
    <x v="1"/>
    <s v="Electra Townie Go! 8i - 2017/2018"/>
    <x v="0"/>
  </r>
  <r>
    <n v="1517"/>
    <n v="2"/>
    <n v="226"/>
    <x v="1"/>
    <n v="679.99"/>
    <x v="2"/>
    <x v="140"/>
    <x v="1"/>
    <s v="Electra Townie Original 21D EQ - 2017/2018"/>
    <x v="0"/>
  </r>
  <r>
    <n v="1518"/>
    <n v="1"/>
    <n v="304"/>
    <x v="1"/>
    <n v="679.99"/>
    <x v="3"/>
    <x v="140"/>
    <x v="1"/>
    <s v="Electra Townie Original 21D EQ - 2017/2018"/>
    <x v="0"/>
  </r>
  <r>
    <n v="1518"/>
    <n v="2"/>
    <n v="182"/>
    <x v="1"/>
    <n v="2499.9899999999998"/>
    <x v="2"/>
    <x v="117"/>
    <x v="1"/>
    <s v="Trek Domane SL 5 Disc - 2018"/>
    <x v="0"/>
  </r>
  <r>
    <n v="1518"/>
    <n v="3"/>
    <n v="252"/>
    <x v="1"/>
    <n v="2999.99"/>
    <x v="2"/>
    <x v="11"/>
    <x v="1"/>
    <s v="Electra Townie Commute Go! Ladies' - 2018"/>
    <x v="0"/>
  </r>
  <r>
    <n v="1519"/>
    <n v="1"/>
    <n v="150"/>
    <x v="0"/>
    <n v="4499.99"/>
    <x v="0"/>
    <x v="150"/>
    <x v="1"/>
    <s v="Trek Emonda SL 7 - 2018"/>
    <x v="1"/>
  </r>
  <r>
    <n v="1519"/>
    <n v="2"/>
    <n v="85"/>
    <x v="1"/>
    <n v="329.99"/>
    <x v="0"/>
    <x v="36"/>
    <x v="1"/>
    <s v="Haro Downtown 16 - 2017"/>
    <x v="1"/>
  </r>
  <r>
    <n v="1519"/>
    <n v="3"/>
    <n v="124"/>
    <x v="1"/>
    <n v="1499"/>
    <x v="1"/>
    <x v="194"/>
    <x v="1"/>
    <s v="Surly Krampus - 2018"/>
    <x v="1"/>
  </r>
  <r>
    <n v="1519"/>
    <n v="4"/>
    <n v="65"/>
    <x v="0"/>
    <n v="346.99"/>
    <x v="0"/>
    <x v="118"/>
    <x v="1"/>
    <s v="Sun Bicycles Lil Bolt Type-R - 2017"/>
    <x v="1"/>
  </r>
  <r>
    <n v="1519"/>
    <n v="5"/>
    <n v="265"/>
    <x v="1"/>
    <n v="289.99"/>
    <x v="2"/>
    <x v="187"/>
    <x v="1"/>
    <s v="Strider Strider 20 Sport - 2018"/>
    <x v="1"/>
  </r>
  <r>
    <n v="1520"/>
    <n v="1"/>
    <n v="186"/>
    <x v="0"/>
    <n v="4499.99"/>
    <x v="2"/>
    <x v="150"/>
    <x v="1"/>
    <s v="Trek CrossRip+ - 2018"/>
    <x v="2"/>
  </r>
  <r>
    <n v="1520"/>
    <n v="2"/>
    <n v="188"/>
    <x v="1"/>
    <n v="3499.99"/>
    <x v="0"/>
    <x v="54"/>
    <x v="1"/>
    <s v="Trek XM700+ Lowstep - 2018"/>
    <x v="2"/>
  </r>
  <r>
    <n v="1520"/>
    <n v="3"/>
    <n v="310"/>
    <x v="1"/>
    <n v="899.99"/>
    <x v="1"/>
    <x v="134"/>
    <x v="1"/>
    <s v="Electra Townie Commute 27D Ladies - 2018"/>
    <x v="2"/>
  </r>
  <r>
    <n v="1520"/>
    <n v="4"/>
    <n v="263"/>
    <x v="1"/>
    <n v="89.99"/>
    <x v="3"/>
    <x v="151"/>
    <x v="1"/>
    <s v="Strider Classic 12 Balance Bike - 2018"/>
    <x v="2"/>
  </r>
  <r>
    <n v="1521"/>
    <n v="1"/>
    <n v="100"/>
    <x v="0"/>
    <n v="489.99"/>
    <x v="0"/>
    <x v="44"/>
    <x v="1"/>
    <s v="Electra Townie 3i EQ (20-inch) - Boys' - 2017"/>
    <x v="0"/>
  </r>
  <r>
    <n v="1521"/>
    <n v="2"/>
    <n v="314"/>
    <x v="1"/>
    <n v="679.99"/>
    <x v="0"/>
    <x v="140"/>
    <x v="1"/>
    <s v="Electra Townie Original 21D EQ Ladies' - 2018"/>
    <x v="0"/>
  </r>
  <r>
    <n v="1521"/>
    <n v="3"/>
    <n v="123"/>
    <x v="0"/>
    <n v="999.99"/>
    <x v="3"/>
    <x v="5"/>
    <x v="1"/>
    <s v="Trek Farley Carbon Frameset - 2018"/>
    <x v="0"/>
  </r>
  <r>
    <n v="1521"/>
    <n v="4"/>
    <n v="135"/>
    <x v="1"/>
    <n v="1499.99"/>
    <x v="0"/>
    <x v="65"/>
    <x v="1"/>
    <s v="Trek X-Caliber Frameset - 2018"/>
    <x v="0"/>
  </r>
  <r>
    <n v="1522"/>
    <n v="1"/>
    <n v="95"/>
    <x v="0"/>
    <n v="299.99"/>
    <x v="3"/>
    <x v="23"/>
    <x v="1"/>
    <s v="Electra Girl's Hawaii 1 16&quot; - 2017"/>
    <x v="0"/>
  </r>
  <r>
    <n v="1522"/>
    <n v="2"/>
    <n v="141"/>
    <x v="0"/>
    <n v="1599.99"/>
    <x v="1"/>
    <x v="196"/>
    <x v="1"/>
    <s v="Trek Stache 5 - 2018"/>
    <x v="0"/>
  </r>
  <r>
    <n v="1522"/>
    <n v="3"/>
    <n v="117"/>
    <x v="0"/>
    <n v="1469.99"/>
    <x v="1"/>
    <x v="112"/>
    <x v="1"/>
    <s v="Trek Ticket S Frame - 2018"/>
    <x v="0"/>
  </r>
  <r>
    <n v="1523"/>
    <n v="1"/>
    <n v="311"/>
    <x v="1"/>
    <n v="749.99"/>
    <x v="0"/>
    <x v="6"/>
    <x v="1"/>
    <s v="Electra Townie Commute 8D - 2018"/>
    <x v="1"/>
  </r>
  <r>
    <n v="1524"/>
    <n v="1"/>
    <n v="168"/>
    <x v="0"/>
    <n v="1549"/>
    <x v="3"/>
    <x v="27"/>
    <x v="1"/>
    <s v="Surly Straggler - 2018"/>
    <x v="1"/>
  </r>
  <r>
    <n v="1524"/>
    <n v="2"/>
    <n v="295"/>
    <x v="1"/>
    <n v="319.99"/>
    <x v="0"/>
    <x v="138"/>
    <x v="1"/>
    <s v="Electra Treasure 1 20&quot; - 2018"/>
    <x v="1"/>
  </r>
  <r>
    <n v="1524"/>
    <n v="3"/>
    <n v="313"/>
    <x v="0"/>
    <n v="449.99"/>
    <x v="0"/>
    <x v="72"/>
    <x v="1"/>
    <s v="Electra Townie Original 1 Ladies' - 2018"/>
    <x v="1"/>
  </r>
  <r>
    <n v="1524"/>
    <n v="4"/>
    <n v="252"/>
    <x v="1"/>
    <n v="2999.99"/>
    <x v="0"/>
    <x v="11"/>
    <x v="1"/>
    <s v="Electra Townie Commute Go! Ladies' - 2018"/>
    <x v="1"/>
  </r>
  <r>
    <n v="1525"/>
    <n v="1"/>
    <n v="156"/>
    <x v="0"/>
    <n v="6499.99"/>
    <x v="3"/>
    <x v="122"/>
    <x v="1"/>
    <s v="Trek Domane SL Frameset - 2018"/>
    <x v="1"/>
  </r>
  <r>
    <n v="1525"/>
    <n v="2"/>
    <n v="163"/>
    <x v="1"/>
    <n v="1349"/>
    <x v="1"/>
    <x v="155"/>
    <x v="1"/>
    <s v="Surly Pack Rat - 2018"/>
    <x v="1"/>
  </r>
  <r>
    <n v="1525"/>
    <n v="3"/>
    <n v="193"/>
    <x v="0"/>
    <n v="2799.99"/>
    <x v="1"/>
    <x v="146"/>
    <x v="1"/>
    <s v="Trek Lift+ - 2018"/>
    <x v="1"/>
  </r>
  <r>
    <n v="1526"/>
    <n v="1"/>
    <n v="151"/>
    <x v="0"/>
    <n v="1549.99"/>
    <x v="1"/>
    <x v="158"/>
    <x v="1"/>
    <s v="Trek Domane ALR 4 Disc Women's - 2018"/>
    <x v="1"/>
  </r>
  <r>
    <n v="1526"/>
    <n v="2"/>
    <n v="56"/>
    <x v="0"/>
    <n v="5499.99"/>
    <x v="3"/>
    <x v="39"/>
    <x v="1"/>
    <s v="Trek Domane SLR 6 Disc - 2017"/>
    <x v="1"/>
  </r>
  <r>
    <n v="1526"/>
    <n v="3"/>
    <n v="238"/>
    <x v="0"/>
    <n v="749.99"/>
    <x v="3"/>
    <x v="30"/>
    <x v="1"/>
    <s v="Electra Townie Balloon 8D EQ - 2016/2017/2018"/>
    <x v="1"/>
  </r>
  <r>
    <n v="1526"/>
    <n v="4"/>
    <n v="243"/>
    <x v="0"/>
    <n v="679.99"/>
    <x v="2"/>
    <x v="167"/>
    <x v="1"/>
    <s v="Electra Townie Original 21D EQ Ladies' - 2018"/>
    <x v="1"/>
  </r>
  <r>
    <n v="1527"/>
    <n v="1"/>
    <n v="33"/>
    <x v="0"/>
    <n v="469.99"/>
    <x v="3"/>
    <x v="20"/>
    <x v="1"/>
    <s v="Surly Wednesday Frameset - 2017"/>
    <x v="2"/>
  </r>
  <r>
    <n v="1527"/>
    <n v="2"/>
    <n v="103"/>
    <x v="0"/>
    <n v="551.99"/>
    <x v="2"/>
    <x v="38"/>
    <x v="1"/>
    <s v="Sun Bicycles Streamway 3 - 2017"/>
    <x v="2"/>
  </r>
  <r>
    <n v="1527"/>
    <n v="3"/>
    <n v="57"/>
    <x v="1"/>
    <n v="1999.99"/>
    <x v="2"/>
    <x v="97"/>
    <x v="1"/>
    <s v="Trek Emonda S 5 - 2017"/>
    <x v="2"/>
  </r>
  <r>
    <n v="1528"/>
    <n v="1"/>
    <n v="229"/>
    <x v="1"/>
    <n v="429.99"/>
    <x v="0"/>
    <x v="141"/>
    <x v="1"/>
    <s v="Electra Cruiser Lux 1 - 2016/2018"/>
    <x v="2"/>
  </r>
  <r>
    <n v="1529"/>
    <n v="1"/>
    <n v="23"/>
    <x v="0"/>
    <n v="299.99"/>
    <x v="2"/>
    <x v="23"/>
    <x v="1"/>
    <s v="Electra Girl's Hawaii 1 (20-inch) - 2015/2016"/>
    <x v="2"/>
  </r>
  <r>
    <n v="1529"/>
    <n v="2"/>
    <n v="50"/>
    <x v="1"/>
    <n v="5999.99"/>
    <x v="3"/>
    <x v="121"/>
    <x v="1"/>
    <s v="Trek Silque SLR 7 Women's - 2017"/>
    <x v="2"/>
  </r>
  <r>
    <n v="1530"/>
    <n v="1"/>
    <n v="213"/>
    <x v="1"/>
    <n v="269.99"/>
    <x v="3"/>
    <x v="17"/>
    <x v="1"/>
    <s v="Electra Cruiser 1 - 2016/2017/2018"/>
    <x v="0"/>
  </r>
  <r>
    <n v="1530"/>
    <n v="2"/>
    <n v="116"/>
    <x v="0"/>
    <n v="749.99"/>
    <x v="3"/>
    <x v="30"/>
    <x v="1"/>
    <s v="Trek Marlin 7 - 2017/2018"/>
    <x v="0"/>
  </r>
  <r>
    <n v="1531"/>
    <n v="1"/>
    <n v="128"/>
    <x v="0"/>
    <n v="1899"/>
    <x v="3"/>
    <x v="179"/>
    <x v="1"/>
    <s v="Surly ECR 27.5 - 2018"/>
    <x v="0"/>
  </r>
  <r>
    <n v="1532"/>
    <n v="1"/>
    <n v="209"/>
    <x v="1"/>
    <n v="2999.99"/>
    <x v="1"/>
    <x v="11"/>
    <x v="1"/>
    <s v="Trek Crockett 7 Disc - 2018"/>
    <x v="1"/>
  </r>
  <r>
    <n v="1533"/>
    <n v="1"/>
    <n v="274"/>
    <x v="1"/>
    <n v="229.99"/>
    <x v="3"/>
    <x v="163"/>
    <x v="1"/>
    <s v="Trek Precaliber 20 Boy's - 2018"/>
    <x v="1"/>
  </r>
  <r>
    <n v="1533"/>
    <n v="2"/>
    <n v="78"/>
    <x v="0"/>
    <n v="647.99"/>
    <x v="3"/>
    <x v="49"/>
    <x v="1"/>
    <s v="Sun Bicycles Biscayne Tandem CB - 2017"/>
    <x v="1"/>
  </r>
  <r>
    <n v="1533"/>
    <n v="3"/>
    <n v="96"/>
    <x v="0"/>
    <n v="349.99"/>
    <x v="3"/>
    <x v="99"/>
    <x v="1"/>
    <s v="Electra Moto 3i (20-inch) - Boy's - 2017"/>
    <x v="1"/>
  </r>
  <r>
    <n v="1533"/>
    <n v="4"/>
    <n v="235"/>
    <x v="1"/>
    <n v="899.99"/>
    <x v="3"/>
    <x v="134"/>
    <x v="1"/>
    <s v="Electra Koa 3i Ladies' - 2018"/>
    <x v="1"/>
  </r>
  <r>
    <n v="1533"/>
    <n v="5"/>
    <n v="51"/>
    <x v="0"/>
    <n v="6499.99"/>
    <x v="3"/>
    <x v="122"/>
    <x v="1"/>
    <s v="Trek Silque SLR 8 Women's - 2017"/>
    <x v="1"/>
  </r>
  <r>
    <n v="1534"/>
    <n v="1"/>
    <n v="194"/>
    <x v="0"/>
    <n v="3499.99"/>
    <x v="3"/>
    <x v="43"/>
    <x v="1"/>
    <s v="Trek XM700+ - 2018"/>
    <x v="1"/>
  </r>
  <r>
    <n v="1534"/>
    <n v="2"/>
    <n v="117"/>
    <x v="0"/>
    <n v="1469.99"/>
    <x v="2"/>
    <x v="112"/>
    <x v="1"/>
    <s v="Trek Ticket S Frame - 2018"/>
    <x v="1"/>
  </r>
  <r>
    <n v="1534"/>
    <n v="3"/>
    <n v="269"/>
    <x v="1"/>
    <n v="199.99"/>
    <x v="0"/>
    <x v="132"/>
    <x v="1"/>
    <s v="Trek Precaliber 12 Boy's - 2018"/>
    <x v="1"/>
  </r>
  <r>
    <n v="1534"/>
    <n v="4"/>
    <n v="172"/>
    <x v="1"/>
    <n v="3199.99"/>
    <x v="0"/>
    <x v="64"/>
    <x v="1"/>
    <s v="Trek Domane ALR Disc Frameset - 2018"/>
    <x v="1"/>
  </r>
  <r>
    <n v="1535"/>
    <n v="1"/>
    <n v="92"/>
    <x v="0"/>
    <n v="209.99"/>
    <x v="2"/>
    <x v="48"/>
    <x v="1"/>
    <s v="Haro Shredder 20 - 2017"/>
    <x v="1"/>
  </r>
  <r>
    <n v="1535"/>
    <n v="2"/>
    <n v="75"/>
    <x v="1"/>
    <n v="599.99"/>
    <x v="2"/>
    <x v="3"/>
    <x v="1"/>
    <s v="Electra Cruiser Lux Fat Tire 1 Ladies - 2017"/>
    <x v="1"/>
  </r>
  <r>
    <n v="1536"/>
    <n v="1"/>
    <n v="183"/>
    <x v="0"/>
    <n v="2199.9899999999998"/>
    <x v="0"/>
    <x v="168"/>
    <x v="1"/>
    <s v="Trek Domane SL 5 Women's - 2018"/>
    <x v="1"/>
  </r>
  <r>
    <n v="1536"/>
    <n v="2"/>
    <n v="185"/>
    <x v="1"/>
    <n v="2799.99"/>
    <x v="1"/>
    <x v="131"/>
    <x v="1"/>
    <s v="Trek Conduit+ - 2018"/>
    <x v="1"/>
  </r>
  <r>
    <n v="1536"/>
    <n v="3"/>
    <n v="196"/>
    <x v="1"/>
    <n v="2299.9899999999998"/>
    <x v="0"/>
    <x v="45"/>
    <x v="1"/>
    <s v="Trek Verve+ - 2018"/>
    <x v="1"/>
  </r>
  <r>
    <n v="1537"/>
    <n v="1"/>
    <n v="237"/>
    <x v="1"/>
    <n v="849.99"/>
    <x v="2"/>
    <x v="147"/>
    <x v="1"/>
    <s v="Electra Relic 3i - 2018"/>
    <x v="1"/>
  </r>
  <r>
    <n v="1538"/>
    <n v="1"/>
    <n v="206"/>
    <x v="0"/>
    <n v="3299.99"/>
    <x v="1"/>
    <x v="149"/>
    <x v="1"/>
    <s v="Trek Boone 5 Disc - 2018"/>
    <x v="1"/>
  </r>
  <r>
    <n v="1538"/>
    <n v="2"/>
    <n v="46"/>
    <x v="1"/>
    <n v="1409.99"/>
    <x v="1"/>
    <x v="124"/>
    <x v="1"/>
    <s v="Haro SR 1.3 - 2017"/>
    <x v="1"/>
  </r>
  <r>
    <n v="1538"/>
    <n v="3"/>
    <n v="117"/>
    <x v="0"/>
    <n v="1469.99"/>
    <x v="1"/>
    <x v="112"/>
    <x v="1"/>
    <s v="Trek Ticket S Frame - 2018"/>
    <x v="1"/>
  </r>
  <r>
    <n v="1538"/>
    <n v="4"/>
    <n v="197"/>
    <x v="0"/>
    <n v="2299.9899999999998"/>
    <x v="0"/>
    <x v="101"/>
    <x v="1"/>
    <s v="Trek Verve+ Lowstep - 2018"/>
    <x v="1"/>
  </r>
  <r>
    <n v="1538"/>
    <n v="5"/>
    <n v="306"/>
    <x v="1"/>
    <n v="899.99"/>
    <x v="2"/>
    <x v="134"/>
    <x v="1"/>
    <s v="Electra Townie Balloon 7i EQ Ladies' - 2017/2018"/>
    <x v="1"/>
  </r>
  <r>
    <n v="1539"/>
    <n v="1"/>
    <n v="6"/>
    <x v="1"/>
    <n v="469.99"/>
    <x v="2"/>
    <x v="35"/>
    <x v="1"/>
    <s v="Surly Ice Cream Truck Frameset - 2016"/>
    <x v="2"/>
  </r>
  <r>
    <n v="1539"/>
    <n v="2"/>
    <n v="12"/>
    <x v="1"/>
    <n v="549.99"/>
    <x v="2"/>
    <x v="9"/>
    <x v="1"/>
    <s v="Electra Townie Original 21D - 2016"/>
    <x v="2"/>
  </r>
  <r>
    <n v="1540"/>
    <n v="1"/>
    <n v="71"/>
    <x v="1"/>
    <n v="416.99"/>
    <x v="2"/>
    <x v="42"/>
    <x v="1"/>
    <s v="Sun Bicycles Atlas X-Type - 2017"/>
    <x v="0"/>
  </r>
  <r>
    <n v="1540"/>
    <n v="2"/>
    <n v="236"/>
    <x v="0"/>
    <n v="749.99"/>
    <x v="1"/>
    <x v="30"/>
    <x v="1"/>
    <s v="Electra Morningstar 3i Ladies' - 2018"/>
    <x v="0"/>
  </r>
  <r>
    <n v="1540"/>
    <n v="3"/>
    <n v="224"/>
    <x v="0"/>
    <n v="479.99"/>
    <x v="2"/>
    <x v="139"/>
    <x v="1"/>
    <s v="Electra Cruiser Lux 7D - 2018"/>
    <x v="0"/>
  </r>
  <r>
    <n v="1540"/>
    <n v="4"/>
    <n v="177"/>
    <x v="1"/>
    <n v="5499.99"/>
    <x v="2"/>
    <x v="91"/>
    <x v="1"/>
    <s v="Trek Domane SLR 6 Disc - 2018"/>
    <x v="0"/>
  </r>
  <r>
    <n v="1540"/>
    <n v="5"/>
    <n v="78"/>
    <x v="0"/>
    <n v="647.99"/>
    <x v="0"/>
    <x v="49"/>
    <x v="1"/>
    <s v="Sun Bicycles Biscayne Tandem CB - 2017"/>
    <x v="0"/>
  </r>
  <r>
    <n v="1541"/>
    <n v="1"/>
    <n v="155"/>
    <x v="1"/>
    <n v="11999.99"/>
    <x v="3"/>
    <x v="157"/>
    <x v="1"/>
    <s v="Trek Domane SLR 9 Disc - 2018"/>
    <x v="1"/>
  </r>
  <r>
    <n v="1541"/>
    <n v="2"/>
    <n v="248"/>
    <x v="1"/>
    <n v="599.99"/>
    <x v="1"/>
    <x v="3"/>
    <x v="1"/>
    <s v="Electra Townie Original 7D EQ Ladies' - 2017/2018"/>
    <x v="1"/>
  </r>
  <r>
    <n v="1541"/>
    <n v="3"/>
    <n v="142"/>
    <x v="1"/>
    <n v="3199.99"/>
    <x v="3"/>
    <x v="64"/>
    <x v="1"/>
    <s v="Trek Fuel EX 8 29 XT - 2018"/>
    <x v="1"/>
  </r>
  <r>
    <n v="1541"/>
    <n v="4"/>
    <n v="17"/>
    <x v="0"/>
    <n v="429"/>
    <x v="3"/>
    <x v="7"/>
    <x v="1"/>
    <s v="Pure Cycles Vine 8-Speed - 2016"/>
    <x v="1"/>
  </r>
  <r>
    <n v="1541"/>
    <n v="5"/>
    <n v="86"/>
    <x v="1"/>
    <n v="149.99"/>
    <x v="2"/>
    <x v="87"/>
    <x v="1"/>
    <s v="Trek Girl's Kickster - 2017"/>
    <x v="1"/>
  </r>
  <r>
    <n v="1542"/>
    <n v="1"/>
    <n v="79"/>
    <x v="0"/>
    <n v="402.99"/>
    <x v="0"/>
    <x v="50"/>
    <x v="1"/>
    <s v="Sun Bicycles Boardwalk (24-inch Wheels) - 2017"/>
    <x v="1"/>
  </r>
  <r>
    <n v="1542"/>
    <n v="2"/>
    <n v="122"/>
    <x v="1"/>
    <n v="2499.9899999999998"/>
    <x v="2"/>
    <x v="117"/>
    <x v="1"/>
    <s v="Surly Troll Frameset - 2018"/>
    <x v="1"/>
  </r>
  <r>
    <n v="1542"/>
    <n v="3"/>
    <n v="184"/>
    <x v="1"/>
    <n v="3499.99"/>
    <x v="0"/>
    <x v="54"/>
    <x v="1"/>
    <s v="Trek Domane SL 6 Disc - 2018"/>
    <x v="1"/>
  </r>
  <r>
    <n v="1542"/>
    <n v="4"/>
    <n v="37"/>
    <x v="1"/>
    <n v="379.99"/>
    <x v="3"/>
    <x v="86"/>
    <x v="1"/>
    <s v="Haro Flightline One ST - 2017"/>
    <x v="1"/>
  </r>
  <r>
    <n v="1542"/>
    <n v="5"/>
    <n v="297"/>
    <x v="0"/>
    <n v="279.99"/>
    <x v="0"/>
    <x v="142"/>
    <x v="1"/>
    <s v="Electra Under-The-Sea 1 16&quot; - 2018"/>
    <x v="1"/>
  </r>
  <r>
    <n v="1543"/>
    <n v="1"/>
    <n v="108"/>
    <x v="1"/>
    <n v="449.99"/>
    <x v="3"/>
    <x v="37"/>
    <x v="1"/>
    <s v="Sun Bicycles Cruz 3 - Women's - 2017"/>
    <x v="1"/>
  </r>
  <r>
    <n v="1543"/>
    <n v="2"/>
    <n v="93"/>
    <x v="0"/>
    <n v="209.99"/>
    <x v="0"/>
    <x v="48"/>
    <x v="1"/>
    <s v="Haro Shredder 20 Girls - 2017"/>
    <x v="1"/>
  </r>
  <r>
    <n v="1543"/>
    <n v="3"/>
    <n v="158"/>
    <x v="1"/>
    <n v="959.99"/>
    <x v="1"/>
    <x v="188"/>
    <x v="1"/>
    <s v="Trek CrossRip 1 - 2018"/>
    <x v="1"/>
  </r>
  <r>
    <n v="1543"/>
    <n v="4"/>
    <n v="97"/>
    <x v="1"/>
    <n v="349.99"/>
    <x v="2"/>
    <x v="47"/>
    <x v="1"/>
    <s v="Electra Savannah 3i (20-inch) - Girl's - 2017"/>
    <x v="1"/>
  </r>
  <r>
    <n v="1543"/>
    <n v="5"/>
    <n v="136"/>
    <x v="0"/>
    <n v="1799.99"/>
    <x v="0"/>
    <x v="16"/>
    <x v="1"/>
    <s v="Trek Procaliber 6 - 2018"/>
    <x v="1"/>
  </r>
  <r>
    <n v="1544"/>
    <n v="1"/>
    <n v="194"/>
    <x v="1"/>
    <n v="3499.99"/>
    <x v="3"/>
    <x v="54"/>
    <x v="1"/>
    <s v="Trek XM700+ - 2018"/>
    <x v="0"/>
  </r>
  <r>
    <n v="1544"/>
    <n v="2"/>
    <n v="107"/>
    <x v="1"/>
    <n v="416.99"/>
    <x v="0"/>
    <x v="42"/>
    <x v="1"/>
    <s v="Sun Bicycles Cruz 7 - 2017"/>
    <x v="0"/>
  </r>
  <r>
    <n v="1545"/>
    <n v="1"/>
    <n v="45"/>
    <x v="0"/>
    <n v="869.99"/>
    <x v="3"/>
    <x v="98"/>
    <x v="1"/>
    <s v="Haro SR 1.2 - 2017"/>
    <x v="0"/>
  </r>
  <r>
    <n v="1546"/>
    <n v="1"/>
    <n v="156"/>
    <x v="0"/>
    <n v="6499.99"/>
    <x v="3"/>
    <x v="122"/>
    <x v="1"/>
    <s v="Trek Domane SL Frameset - 2018"/>
    <x v="0"/>
  </r>
  <r>
    <n v="1546"/>
    <n v="2"/>
    <n v="185"/>
    <x v="1"/>
    <n v="2799.99"/>
    <x v="3"/>
    <x v="131"/>
    <x v="1"/>
    <s v="Trek Conduit+ - 2018"/>
    <x v="0"/>
  </r>
  <r>
    <n v="1546"/>
    <n v="3"/>
    <n v="215"/>
    <x v="0"/>
    <n v="749.99"/>
    <x v="3"/>
    <x v="30"/>
    <x v="1"/>
    <s v="Electra Queen of Hearts 3i - 2018"/>
    <x v="0"/>
  </r>
  <r>
    <n v="1546"/>
    <n v="4"/>
    <n v="25"/>
    <x v="0"/>
    <n v="499.99"/>
    <x v="2"/>
    <x v="33"/>
    <x v="1"/>
    <s v="Electra Townie Original 7D - 2015/2016"/>
    <x v="0"/>
  </r>
  <r>
    <n v="1547"/>
    <n v="1"/>
    <n v="106"/>
    <x v="1"/>
    <n v="449.99"/>
    <x v="0"/>
    <x v="37"/>
    <x v="1"/>
    <s v="Sun Bicycles Cruz 3 - 2017"/>
    <x v="0"/>
  </r>
  <r>
    <n v="1547"/>
    <n v="2"/>
    <n v="204"/>
    <x v="0"/>
    <n v="3599.99"/>
    <x v="0"/>
    <x v="166"/>
    <x v="1"/>
    <s v="Trek Super Commuter+ 7 - 2018"/>
    <x v="0"/>
  </r>
  <r>
    <n v="1548"/>
    <n v="1"/>
    <n v="32"/>
    <x v="0"/>
    <n v="469.99"/>
    <x v="3"/>
    <x v="20"/>
    <x v="1"/>
    <s v="Trek Farley Alloy Frameset - 2017"/>
    <x v="0"/>
  </r>
  <r>
    <n v="1548"/>
    <n v="2"/>
    <n v="202"/>
    <x v="0"/>
    <n v="3499.99"/>
    <x v="1"/>
    <x v="43"/>
    <x v="1"/>
    <s v="Trek Powerfly 5 Women's - 2018"/>
    <x v="0"/>
  </r>
  <r>
    <n v="1548"/>
    <n v="3"/>
    <n v="62"/>
    <x v="1"/>
    <n v="3499.99"/>
    <x v="0"/>
    <x v="54"/>
    <x v="1"/>
    <s v="Trek Boone 7 - 2017"/>
    <x v="0"/>
  </r>
  <r>
    <n v="1549"/>
    <n v="1"/>
    <n v="158"/>
    <x v="0"/>
    <n v="959.99"/>
    <x v="0"/>
    <x v="164"/>
    <x v="1"/>
    <s v="Trek CrossRip 1 - 2018"/>
    <x v="1"/>
  </r>
  <r>
    <n v="1549"/>
    <n v="2"/>
    <n v="119"/>
    <x v="0"/>
    <n v="469.99"/>
    <x v="2"/>
    <x v="20"/>
    <x v="1"/>
    <s v="Trek Kids' Neko - 2018"/>
    <x v="1"/>
  </r>
  <r>
    <n v="1549"/>
    <n v="3"/>
    <n v="249"/>
    <x v="1"/>
    <n v="749.99"/>
    <x v="2"/>
    <x v="6"/>
    <x v="1"/>
    <s v="Electra White Water 3i - 2018"/>
    <x v="1"/>
  </r>
  <r>
    <n v="1549"/>
    <n v="4"/>
    <n v="242"/>
    <x v="1"/>
    <n v="699.99"/>
    <x v="3"/>
    <x v="177"/>
    <x v="1"/>
    <s v="Electra Townie Commute 8D Ladies' - 2018"/>
    <x v="1"/>
  </r>
  <r>
    <n v="1550"/>
    <n v="1"/>
    <n v="315"/>
    <x v="1"/>
    <n v="559.99"/>
    <x v="2"/>
    <x v="182"/>
    <x v="1"/>
    <s v="Electra Townie Original 21D Ladies' - 2018"/>
    <x v="1"/>
  </r>
  <r>
    <n v="1550"/>
    <n v="2"/>
    <n v="245"/>
    <x v="0"/>
    <n v="659.99"/>
    <x v="1"/>
    <x v="66"/>
    <x v="1"/>
    <s v="Electra Townie Original 3i EQ - 2017/2018"/>
    <x v="1"/>
  </r>
  <r>
    <n v="1550"/>
    <n v="3"/>
    <n v="185"/>
    <x v="1"/>
    <n v="2799.99"/>
    <x v="3"/>
    <x v="131"/>
    <x v="1"/>
    <s v="Trek Conduit+ - 2018"/>
    <x v="1"/>
  </r>
  <r>
    <n v="1550"/>
    <n v="4"/>
    <n v="148"/>
    <x v="0"/>
    <n v="5499.99"/>
    <x v="1"/>
    <x v="39"/>
    <x v="1"/>
    <s v="Trek Domane SL 8 Disc - 2018"/>
    <x v="1"/>
  </r>
  <r>
    <n v="1550"/>
    <n v="5"/>
    <n v="86"/>
    <x v="1"/>
    <n v="149.99"/>
    <x v="2"/>
    <x v="87"/>
    <x v="1"/>
    <s v="Trek Girl's Kickster - 2017"/>
    <x v="1"/>
  </r>
  <r>
    <n v="1551"/>
    <n v="1"/>
    <n v="207"/>
    <x v="1"/>
    <n v="3999.99"/>
    <x v="0"/>
    <x v="15"/>
    <x v="1"/>
    <s v="Trek Boone 7 Disc - 2018"/>
    <x v="1"/>
  </r>
  <r>
    <n v="1552"/>
    <n v="1"/>
    <n v="197"/>
    <x v="0"/>
    <n v="2299.9899999999998"/>
    <x v="3"/>
    <x v="101"/>
    <x v="1"/>
    <s v="Trek Verve+ Lowstep - 2018"/>
    <x v="1"/>
  </r>
  <r>
    <n v="1552"/>
    <n v="2"/>
    <n v="41"/>
    <x v="1"/>
    <n v="1469.99"/>
    <x v="2"/>
    <x v="69"/>
    <x v="1"/>
    <s v="Haro Shift R3 - 2017"/>
    <x v="1"/>
  </r>
  <r>
    <n v="1553"/>
    <n v="1"/>
    <n v="102"/>
    <x v="0"/>
    <n v="489.99"/>
    <x v="1"/>
    <x v="44"/>
    <x v="1"/>
    <s v="Electra Townie Original 7D - 2017"/>
    <x v="0"/>
  </r>
  <r>
    <n v="1553"/>
    <n v="2"/>
    <n v="12"/>
    <x v="0"/>
    <n v="549.99"/>
    <x v="3"/>
    <x v="31"/>
    <x v="1"/>
    <s v="Electra Townie Original 21D - 2016"/>
    <x v="0"/>
  </r>
  <r>
    <n v="1553"/>
    <n v="3"/>
    <n v="251"/>
    <x v="0"/>
    <n v="2999.99"/>
    <x v="2"/>
    <x v="28"/>
    <x v="1"/>
    <s v="Electra Townie Commute Go! - 2018"/>
    <x v="0"/>
  </r>
  <r>
    <n v="1553"/>
    <n v="4"/>
    <n v="89"/>
    <x v="0"/>
    <n v="209.99"/>
    <x v="2"/>
    <x v="48"/>
    <x v="1"/>
    <s v="Trek Precaliber 16 Boys - 2017"/>
    <x v="0"/>
  </r>
  <r>
    <n v="1554"/>
    <n v="1"/>
    <n v="166"/>
    <x v="0"/>
    <n v="749.99"/>
    <x v="2"/>
    <x v="30"/>
    <x v="1"/>
    <s v="Trek Domane AL 2 Women's - 2018"/>
    <x v="0"/>
  </r>
  <r>
    <n v="1554"/>
    <n v="2"/>
    <n v="285"/>
    <x v="0"/>
    <n v="279.99"/>
    <x v="0"/>
    <x v="142"/>
    <x v="1"/>
    <s v="Electra Soft Serve 1 (16-inch) - Girl's - 2018"/>
    <x v="0"/>
  </r>
  <r>
    <n v="1555"/>
    <n v="1"/>
    <n v="24"/>
    <x v="1"/>
    <n v="549.99"/>
    <x v="3"/>
    <x v="9"/>
    <x v="1"/>
    <s v="Electra Townie Original 21D - 2016"/>
    <x v="1"/>
  </r>
  <r>
    <n v="1555"/>
    <n v="2"/>
    <n v="156"/>
    <x v="0"/>
    <n v="6499.99"/>
    <x v="3"/>
    <x v="122"/>
    <x v="1"/>
    <s v="Trek Domane SL Frameset - 2018"/>
    <x v="1"/>
  </r>
  <r>
    <n v="1555"/>
    <n v="3"/>
    <n v="126"/>
    <x v="0"/>
    <n v="469.99"/>
    <x v="3"/>
    <x v="20"/>
    <x v="1"/>
    <s v="Surly Big Fat Dummy Frameset - 2018"/>
    <x v="1"/>
  </r>
  <r>
    <n v="1555"/>
    <n v="4"/>
    <n v="128"/>
    <x v="1"/>
    <n v="1899"/>
    <x v="2"/>
    <x v="159"/>
    <x v="1"/>
    <s v="Surly ECR 27.5 - 2018"/>
    <x v="1"/>
  </r>
  <r>
    <n v="1555"/>
    <n v="5"/>
    <n v="174"/>
    <x v="0"/>
    <n v="3199.99"/>
    <x v="0"/>
    <x v="120"/>
    <x v="1"/>
    <s v="Trek Domane SLR Disc Frameset - 2018"/>
    <x v="1"/>
  </r>
  <r>
    <n v="1556"/>
    <n v="1"/>
    <n v="49"/>
    <x v="1"/>
    <n v="3499.99"/>
    <x v="0"/>
    <x v="54"/>
    <x v="1"/>
    <s v="Trek Domane SL 6 - 2017"/>
    <x v="1"/>
  </r>
  <r>
    <n v="1556"/>
    <n v="2"/>
    <n v="82"/>
    <x v="0"/>
    <n v="659.99"/>
    <x v="1"/>
    <x v="66"/>
    <x v="1"/>
    <s v="Electra Amsterdam Original 3i Ladies' - 2017"/>
    <x v="1"/>
  </r>
  <r>
    <n v="1556"/>
    <n v="3"/>
    <n v="265"/>
    <x v="0"/>
    <n v="289.99"/>
    <x v="3"/>
    <x v="172"/>
    <x v="1"/>
    <s v="Strider Strider 20 Sport - 2018"/>
    <x v="1"/>
  </r>
  <r>
    <n v="1556"/>
    <n v="4"/>
    <n v="119"/>
    <x v="1"/>
    <n v="469.99"/>
    <x v="2"/>
    <x v="35"/>
    <x v="1"/>
    <s v="Trek Kids' Neko - 2018"/>
    <x v="1"/>
  </r>
  <r>
    <n v="1556"/>
    <n v="5"/>
    <n v="235"/>
    <x v="1"/>
    <n v="899.99"/>
    <x v="3"/>
    <x v="134"/>
    <x v="1"/>
    <s v="Electra Koa 3i Ladies' - 2018"/>
    <x v="1"/>
  </r>
  <r>
    <n v="1557"/>
    <n v="1"/>
    <n v="163"/>
    <x v="1"/>
    <n v="1349"/>
    <x v="1"/>
    <x v="155"/>
    <x v="1"/>
    <s v="Surly Pack Rat - 2018"/>
    <x v="0"/>
  </r>
  <r>
    <n v="1558"/>
    <n v="1"/>
    <n v="46"/>
    <x v="1"/>
    <n v="1409.99"/>
    <x v="1"/>
    <x v="124"/>
    <x v="1"/>
    <s v="Haro SR 1.3 - 2017"/>
    <x v="1"/>
  </r>
  <r>
    <n v="1558"/>
    <n v="2"/>
    <n v="123"/>
    <x v="0"/>
    <n v="999.99"/>
    <x v="1"/>
    <x v="5"/>
    <x v="1"/>
    <s v="Trek Farley Carbon Frameset - 2018"/>
    <x v="1"/>
  </r>
  <r>
    <n v="1558"/>
    <n v="3"/>
    <n v="4"/>
    <x v="0"/>
    <n v="2899.99"/>
    <x v="2"/>
    <x v="4"/>
    <x v="1"/>
    <s v="Trek Fuel EX 8 29 - 2016"/>
    <x v="1"/>
  </r>
  <r>
    <n v="1558"/>
    <n v="4"/>
    <n v="55"/>
    <x v="0"/>
    <n v="2699.99"/>
    <x v="0"/>
    <x v="82"/>
    <x v="1"/>
    <s v="Trek Domane S 6 - 2017"/>
    <x v="1"/>
  </r>
  <r>
    <n v="1558"/>
    <n v="5"/>
    <n v="253"/>
    <x v="0"/>
    <n v="2599.9899999999998"/>
    <x v="1"/>
    <x v="90"/>
    <x v="1"/>
    <s v="Electra Townie Go! 8i Ladies' - 2018"/>
    <x v="1"/>
  </r>
  <r>
    <n v="1559"/>
    <n v="1"/>
    <n v="101"/>
    <x v="1"/>
    <n v="339.99"/>
    <x v="1"/>
    <x v="75"/>
    <x v="1"/>
    <s v="Electra Townie 7D (20-inch) - Boys' - 2017"/>
    <x v="1"/>
  </r>
  <r>
    <n v="1559"/>
    <n v="2"/>
    <n v="18"/>
    <x v="0"/>
    <n v="449"/>
    <x v="3"/>
    <x v="8"/>
    <x v="1"/>
    <s v="Pure Cycles Western 3-Speed - Women's - 2015/2016"/>
    <x v="1"/>
  </r>
  <r>
    <n v="1559"/>
    <n v="3"/>
    <n v="54"/>
    <x v="1"/>
    <n v="3199.99"/>
    <x v="3"/>
    <x v="64"/>
    <x v="1"/>
    <s v="Trek Domane SL Disc Frameset - 2017"/>
    <x v="1"/>
  </r>
  <r>
    <n v="1559"/>
    <n v="4"/>
    <n v="221"/>
    <x v="0"/>
    <n v="319.99"/>
    <x v="3"/>
    <x v="137"/>
    <x v="1"/>
    <s v="Electra Cruiser 7D Ladies' - 2016/2018"/>
    <x v="1"/>
  </r>
  <r>
    <n v="1560"/>
    <n v="1"/>
    <n v="118"/>
    <x v="1"/>
    <n v="999.99"/>
    <x v="0"/>
    <x v="10"/>
    <x v="1"/>
    <s v="Trek X-Caliber 8 - 2018"/>
    <x v="1"/>
  </r>
  <r>
    <n v="1560"/>
    <n v="2"/>
    <n v="41"/>
    <x v="0"/>
    <n v="1469.99"/>
    <x v="0"/>
    <x v="112"/>
    <x v="1"/>
    <s v="Haro Shift R3 - 2017"/>
    <x v="1"/>
  </r>
  <r>
    <n v="1561"/>
    <n v="1"/>
    <n v="181"/>
    <x v="1"/>
    <n v="2199.9899999999998"/>
    <x v="1"/>
    <x v="162"/>
    <x v="1"/>
    <s v="Trek Domane SL 5 - 2018"/>
    <x v="1"/>
  </r>
  <r>
    <n v="1561"/>
    <n v="2"/>
    <n v="297"/>
    <x v="1"/>
    <n v="279.99"/>
    <x v="2"/>
    <x v="152"/>
    <x v="1"/>
    <s v="Electra Under-The-Sea 1 16&quot; - 2018"/>
    <x v="1"/>
  </r>
  <r>
    <n v="1562"/>
    <n v="1"/>
    <n v="54"/>
    <x v="0"/>
    <n v="3199.99"/>
    <x v="0"/>
    <x v="120"/>
    <x v="1"/>
    <s v="Trek Domane SL Disc Frameset - 2017"/>
    <x v="1"/>
  </r>
  <r>
    <n v="1562"/>
    <n v="2"/>
    <n v="66"/>
    <x v="0"/>
    <n v="250.99"/>
    <x v="0"/>
    <x v="61"/>
    <x v="1"/>
    <s v="Sun Bicycles Revolutions 24 - 2017"/>
    <x v="1"/>
  </r>
  <r>
    <n v="1562"/>
    <n v="3"/>
    <n v="115"/>
    <x v="1"/>
    <n v="3199.99"/>
    <x v="1"/>
    <x v="64"/>
    <x v="1"/>
    <s v="Trek Fuel EX 8 29 - 2018"/>
    <x v="1"/>
  </r>
  <r>
    <n v="1563"/>
    <n v="1"/>
    <n v="188"/>
    <x v="0"/>
    <n v="3499.99"/>
    <x v="1"/>
    <x v="43"/>
    <x v="1"/>
    <s v="Trek XM700+ Lowstep - 2018"/>
    <x v="2"/>
  </r>
  <r>
    <n v="1564"/>
    <n v="1"/>
    <n v="309"/>
    <x v="0"/>
    <n v="899.99"/>
    <x v="1"/>
    <x v="130"/>
    <x v="1"/>
    <s v="Electra Townie Commute 27D - 2018"/>
    <x v="0"/>
  </r>
  <r>
    <n v="1564"/>
    <n v="2"/>
    <n v="14"/>
    <x v="0"/>
    <n v="269.99"/>
    <x v="3"/>
    <x v="14"/>
    <x v="1"/>
    <s v="Electra Girl's Hawaii 1 (16-inch) - 2015/2016"/>
    <x v="0"/>
  </r>
  <r>
    <n v="1565"/>
    <n v="1"/>
    <n v="37"/>
    <x v="0"/>
    <n v="379.99"/>
    <x v="1"/>
    <x v="125"/>
    <x v="1"/>
    <s v="Haro Flightline One ST - 2017"/>
    <x v="0"/>
  </r>
  <r>
    <n v="1565"/>
    <n v="2"/>
    <n v="92"/>
    <x v="0"/>
    <n v="209.99"/>
    <x v="3"/>
    <x v="48"/>
    <x v="1"/>
    <s v="Haro Shredder 20 - 2017"/>
    <x v="0"/>
  </r>
  <r>
    <n v="1565"/>
    <n v="3"/>
    <n v="261"/>
    <x v="0"/>
    <n v="899.99"/>
    <x v="3"/>
    <x v="130"/>
    <x v="1"/>
    <s v="Electra Townie Balloon 7i EQ - 2018"/>
    <x v="0"/>
  </r>
  <r>
    <n v="1565"/>
    <n v="4"/>
    <n v="95"/>
    <x v="0"/>
    <n v="299.99"/>
    <x v="1"/>
    <x v="23"/>
    <x v="1"/>
    <s v="Electra Girl's Hawaii 1 16&quot; - 2017"/>
    <x v="0"/>
  </r>
  <r>
    <n v="1565"/>
    <n v="5"/>
    <n v="226"/>
    <x v="1"/>
    <n v="679.99"/>
    <x v="0"/>
    <x v="140"/>
    <x v="1"/>
    <s v="Electra Townie Original 21D EQ - 2017/2018"/>
    <x v="0"/>
  </r>
  <r>
    <n v="1566"/>
    <n v="1"/>
    <n v="179"/>
    <x v="0"/>
    <n v="919.99"/>
    <x v="2"/>
    <x v="135"/>
    <x v="1"/>
    <s v="Trek Domane AL 3 - 2018"/>
    <x v="0"/>
  </r>
  <r>
    <n v="1566"/>
    <n v="2"/>
    <n v="61"/>
    <x v="1"/>
    <n v="4999.99"/>
    <x v="2"/>
    <x v="41"/>
    <x v="1"/>
    <s v="Trek Powerfly 8 FS Plus - 2017"/>
    <x v="0"/>
  </r>
  <r>
    <n v="1567"/>
    <n v="1"/>
    <n v="279"/>
    <x v="0"/>
    <n v="319.99"/>
    <x v="0"/>
    <x v="137"/>
    <x v="1"/>
    <s v="Trek Precaliber 24 7-speed Girl's - 2018"/>
    <x v="0"/>
  </r>
  <r>
    <n v="1568"/>
    <n v="1"/>
    <n v="146"/>
    <x v="0"/>
    <n v="4999.99"/>
    <x v="0"/>
    <x v="76"/>
    <x v="1"/>
    <s v="Trek Domane SLR 6 - 2018"/>
    <x v="0"/>
  </r>
  <r>
    <n v="1568"/>
    <n v="2"/>
    <n v="105"/>
    <x v="0"/>
    <n v="533.99"/>
    <x v="1"/>
    <x v="128"/>
    <x v="1"/>
    <s v="Sun Bicycles Streamway 7 - 2017"/>
    <x v="0"/>
  </r>
  <r>
    <n v="1568"/>
    <n v="3"/>
    <n v="301"/>
    <x v="0"/>
    <n v="899.99"/>
    <x v="3"/>
    <x v="130"/>
    <x v="1"/>
    <s v="Electra Townie Balloon 7i EQ - 2018"/>
    <x v="0"/>
  </r>
  <r>
    <n v="1569"/>
    <n v="1"/>
    <n v="252"/>
    <x v="0"/>
    <n v="2999.99"/>
    <x v="3"/>
    <x v="28"/>
    <x v="1"/>
    <s v="Electra Townie Commute Go! Ladies' - 2018"/>
    <x v="1"/>
  </r>
  <r>
    <n v="1570"/>
    <n v="1"/>
    <n v="155"/>
    <x v="0"/>
    <n v="11999.99"/>
    <x v="1"/>
    <x v="197"/>
    <x v="1"/>
    <s v="Trek Domane SLR 9 Disc - 2018"/>
    <x v="1"/>
  </r>
  <r>
    <n v="1571"/>
    <n v="1"/>
    <n v="312"/>
    <x v="1"/>
    <n v="699.99"/>
    <x v="3"/>
    <x v="177"/>
    <x v="1"/>
    <s v="Electra Townie Commute 8D Ladies' - 2018"/>
    <x v="1"/>
  </r>
  <r>
    <n v="1571"/>
    <n v="2"/>
    <n v="212"/>
    <x v="0"/>
    <n v="559.99"/>
    <x v="1"/>
    <x v="148"/>
    <x v="1"/>
    <s v="Electra Townie Original 21D - 2018"/>
    <x v="1"/>
  </r>
  <r>
    <n v="1571"/>
    <n v="3"/>
    <n v="20"/>
    <x v="1"/>
    <n v="599.99"/>
    <x v="0"/>
    <x v="3"/>
    <x v="1"/>
    <s v="Electra Townie Original 7D EQ - Women's - 2016"/>
    <x v="1"/>
  </r>
  <r>
    <n v="1572"/>
    <n v="1"/>
    <n v="216"/>
    <x v="1"/>
    <n v="899.99"/>
    <x v="2"/>
    <x v="134"/>
    <x v="1"/>
    <s v="Electra Super Moto 8i - 2018"/>
    <x v="2"/>
  </r>
  <r>
    <n v="1572"/>
    <n v="2"/>
    <n v="198"/>
    <x v="0"/>
    <n v="2999.99"/>
    <x v="0"/>
    <x v="28"/>
    <x v="1"/>
    <s v="Electra Townie Commute Go! - 2018"/>
    <x v="2"/>
  </r>
  <r>
    <n v="1572"/>
    <n v="3"/>
    <n v="115"/>
    <x v="0"/>
    <n v="3199.99"/>
    <x v="2"/>
    <x v="120"/>
    <x v="1"/>
    <s v="Trek Fuel EX 8 29 - 2018"/>
    <x v="2"/>
  </r>
  <r>
    <n v="1572"/>
    <n v="4"/>
    <n v="304"/>
    <x v="1"/>
    <n v="679.99"/>
    <x v="0"/>
    <x v="140"/>
    <x v="1"/>
    <s v="Electra Townie Original 21D EQ - 2017/2018"/>
    <x v="2"/>
  </r>
  <r>
    <n v="1573"/>
    <n v="1"/>
    <n v="9"/>
    <x v="0"/>
    <n v="2999.99"/>
    <x v="2"/>
    <x v="28"/>
    <x v="1"/>
    <s v="Trek Conduit+ - 2016"/>
    <x v="0"/>
  </r>
  <r>
    <n v="1573"/>
    <n v="2"/>
    <n v="129"/>
    <x v="0"/>
    <n v="919.99"/>
    <x v="1"/>
    <x v="135"/>
    <x v="1"/>
    <s v="Trek X-Caliber 7 - 2018"/>
    <x v="0"/>
  </r>
  <r>
    <n v="1573"/>
    <n v="3"/>
    <n v="15"/>
    <x v="1"/>
    <n v="529.99"/>
    <x v="3"/>
    <x v="29"/>
    <x v="1"/>
    <s v="Electra Moto 1 - 2016"/>
    <x v="0"/>
  </r>
  <r>
    <n v="1573"/>
    <n v="4"/>
    <n v="216"/>
    <x v="1"/>
    <n v="899.99"/>
    <x v="1"/>
    <x v="134"/>
    <x v="1"/>
    <s v="Electra Super Moto 8i - 2018"/>
    <x v="0"/>
  </r>
  <r>
    <n v="1573"/>
    <n v="5"/>
    <n v="263"/>
    <x v="1"/>
    <n v="89.99"/>
    <x v="3"/>
    <x v="151"/>
    <x v="1"/>
    <s v="Strider Classic 12 Balance Bike - 2018"/>
    <x v="0"/>
  </r>
  <r>
    <n v="1574"/>
    <n v="1"/>
    <n v="127"/>
    <x v="0"/>
    <n v="469.99"/>
    <x v="3"/>
    <x v="20"/>
    <x v="1"/>
    <s v="Surly Pack Rat Frameset - 2018"/>
    <x v="0"/>
  </r>
  <r>
    <n v="1575"/>
    <n v="1"/>
    <n v="44"/>
    <x v="0"/>
    <n v="539.99"/>
    <x v="1"/>
    <x v="127"/>
    <x v="1"/>
    <s v="Haro SR 1.1 - 2017"/>
    <x v="0"/>
  </r>
  <r>
    <n v="1575"/>
    <n v="2"/>
    <n v="207"/>
    <x v="1"/>
    <n v="3999.99"/>
    <x v="3"/>
    <x v="15"/>
    <x v="1"/>
    <s v="Trek Boone 7 Disc - 2018"/>
    <x v="0"/>
  </r>
  <r>
    <n v="1575"/>
    <n v="3"/>
    <n v="213"/>
    <x v="0"/>
    <n v="269.99"/>
    <x v="1"/>
    <x v="14"/>
    <x v="1"/>
    <s v="Electra Cruiser 1 - 2016/2017/2018"/>
    <x v="0"/>
  </r>
  <r>
    <n v="1575"/>
    <n v="4"/>
    <n v="126"/>
    <x v="1"/>
    <n v="469.99"/>
    <x v="2"/>
    <x v="35"/>
    <x v="1"/>
    <s v="Surly Big Fat Dummy Frameset - 2018"/>
    <x v="0"/>
  </r>
  <r>
    <n v="1575"/>
    <n v="5"/>
    <n v="92"/>
    <x v="1"/>
    <n v="209.99"/>
    <x v="0"/>
    <x v="84"/>
    <x v="1"/>
    <s v="Haro Shredder 20 - 2017"/>
    <x v="0"/>
  </r>
  <r>
    <n v="1576"/>
    <n v="1"/>
    <n v="69"/>
    <x v="0"/>
    <n v="416.99"/>
    <x v="2"/>
    <x v="71"/>
    <x v="1"/>
    <s v="Sun Bicycles Cruz 7 - 2017"/>
    <x v="1"/>
  </r>
  <r>
    <n v="1576"/>
    <n v="2"/>
    <n v="293"/>
    <x v="0"/>
    <n v="319.99"/>
    <x v="2"/>
    <x v="137"/>
    <x v="1"/>
    <s v="Electra Tiger Shark 1 (20-inch) - Boys' - 2018"/>
    <x v="1"/>
  </r>
  <r>
    <n v="1576"/>
    <n v="3"/>
    <n v="202"/>
    <x v="1"/>
    <n v="3499.99"/>
    <x v="2"/>
    <x v="54"/>
    <x v="1"/>
    <s v="Trek Powerfly 5 Women's - 2018"/>
    <x v="1"/>
  </r>
  <r>
    <n v="1577"/>
    <n v="1"/>
    <n v="298"/>
    <x v="1"/>
    <n v="279.99"/>
    <x v="2"/>
    <x v="152"/>
    <x v="1"/>
    <s v="Electra Water Lily 1 (16-inch) - Girl's - 2018"/>
    <x v="1"/>
  </r>
  <r>
    <n v="1577"/>
    <n v="2"/>
    <n v="111"/>
    <x v="1"/>
    <n v="470.99"/>
    <x v="3"/>
    <x v="60"/>
    <x v="1"/>
    <s v="Sun Bicycles Drifter 7 - Women's - 2017"/>
    <x v="1"/>
  </r>
  <r>
    <n v="1577"/>
    <n v="3"/>
    <n v="300"/>
    <x v="1"/>
    <n v="799.99"/>
    <x v="0"/>
    <x v="108"/>
    <x v="1"/>
    <s v="Electra Townie Balloon 3i EQ Ladies' - 2018"/>
    <x v="1"/>
  </r>
  <r>
    <n v="1577"/>
    <n v="4"/>
    <n v="131"/>
    <x v="1"/>
    <n v="2599"/>
    <x v="1"/>
    <x v="160"/>
    <x v="1"/>
    <s v="Heller Bloodhound Trail - 2018"/>
    <x v="1"/>
  </r>
  <r>
    <n v="1577"/>
    <n v="5"/>
    <n v="282"/>
    <x v="1"/>
    <n v="279.99"/>
    <x v="2"/>
    <x v="152"/>
    <x v="1"/>
    <s v="Electra Cyclosaurus 1 (16-inch) - Boy's - 2018"/>
    <x v="1"/>
  </r>
  <r>
    <n v="1578"/>
    <n v="1"/>
    <n v="204"/>
    <x v="1"/>
    <n v="3599.99"/>
    <x v="1"/>
    <x v="156"/>
    <x v="1"/>
    <s v="Trek Super Commuter+ 7 - 2018"/>
    <x v="1"/>
  </r>
  <r>
    <n v="1578"/>
    <n v="2"/>
    <n v="310"/>
    <x v="0"/>
    <n v="899.99"/>
    <x v="2"/>
    <x v="130"/>
    <x v="1"/>
    <s v="Electra Townie Commute 27D Ladies - 2018"/>
    <x v="1"/>
  </r>
  <r>
    <n v="1578"/>
    <n v="3"/>
    <n v="241"/>
    <x v="1"/>
    <n v="749.99"/>
    <x v="0"/>
    <x v="6"/>
    <x v="1"/>
    <s v="Electra Townie Commute 8D - 2018"/>
    <x v="1"/>
  </r>
  <r>
    <n v="1579"/>
    <n v="1"/>
    <n v="49"/>
    <x v="0"/>
    <n v="3499.99"/>
    <x v="2"/>
    <x v="43"/>
    <x v="1"/>
    <s v="Trek Domane SL 6 - 2017"/>
    <x v="0"/>
  </r>
  <r>
    <n v="1579"/>
    <n v="2"/>
    <n v="214"/>
    <x v="0"/>
    <n v="899.99"/>
    <x v="3"/>
    <x v="130"/>
    <x v="1"/>
    <s v="Electra Tiger Shark 3i - 2018"/>
    <x v="0"/>
  </r>
  <r>
    <n v="1579"/>
    <n v="3"/>
    <n v="286"/>
    <x v="0"/>
    <n v="279.99"/>
    <x v="1"/>
    <x v="142"/>
    <x v="1"/>
    <s v="Electra Starship 1 16&quot; - 2018"/>
    <x v="0"/>
  </r>
  <r>
    <n v="1579"/>
    <n v="4"/>
    <n v="65"/>
    <x v="1"/>
    <n v="346.99"/>
    <x v="3"/>
    <x v="110"/>
    <x v="1"/>
    <s v="Sun Bicycles Lil Bolt Type-R - 2017"/>
    <x v="0"/>
  </r>
  <r>
    <n v="1580"/>
    <n v="1"/>
    <n v="119"/>
    <x v="1"/>
    <n v="469.99"/>
    <x v="1"/>
    <x v="35"/>
    <x v="1"/>
    <s v="Trek Kids' Neko - 2018"/>
    <x v="0"/>
  </r>
  <r>
    <n v="1580"/>
    <n v="2"/>
    <n v="86"/>
    <x v="1"/>
    <n v="149.99"/>
    <x v="0"/>
    <x v="87"/>
    <x v="1"/>
    <s v="Trek Girl's Kickster - 2017"/>
    <x v="0"/>
  </r>
  <r>
    <n v="1581"/>
    <n v="1"/>
    <n v="64"/>
    <x v="0"/>
    <n v="489.99"/>
    <x v="3"/>
    <x v="44"/>
    <x v="1"/>
    <s v="Electra Townie Original 7D - 2017"/>
    <x v="0"/>
  </r>
  <r>
    <n v="1581"/>
    <n v="2"/>
    <n v="272"/>
    <x v="0"/>
    <n v="289.99"/>
    <x v="0"/>
    <x v="172"/>
    <x v="1"/>
    <s v="Trek Precaliber 20 6-speed Boy's - 2018"/>
    <x v="0"/>
  </r>
  <r>
    <n v="1582"/>
    <n v="1"/>
    <n v="75"/>
    <x v="0"/>
    <n v="599.99"/>
    <x v="1"/>
    <x v="0"/>
    <x v="1"/>
    <s v="Electra Cruiser Lux Fat Tire 1 Ladies - 2017"/>
    <x v="0"/>
  </r>
  <r>
    <n v="1582"/>
    <n v="2"/>
    <n v="133"/>
    <x v="1"/>
    <n v="1499.99"/>
    <x v="1"/>
    <x v="65"/>
    <x v="1"/>
    <s v="Trek Procaliber Frameset - 2018"/>
    <x v="0"/>
  </r>
  <r>
    <n v="1583"/>
    <n v="1"/>
    <n v="15"/>
    <x v="0"/>
    <n v="529.99"/>
    <x v="2"/>
    <x v="12"/>
    <x v="1"/>
    <s v="Electra Moto 1 - 2016"/>
    <x v="1"/>
  </r>
  <r>
    <n v="1583"/>
    <n v="2"/>
    <n v="265"/>
    <x v="1"/>
    <n v="289.99"/>
    <x v="0"/>
    <x v="187"/>
    <x v="1"/>
    <s v="Strider Strider 20 Sport - 2018"/>
    <x v="1"/>
  </r>
  <r>
    <n v="1584"/>
    <n v="1"/>
    <n v="45"/>
    <x v="1"/>
    <n v="869.99"/>
    <x v="3"/>
    <x v="81"/>
    <x v="1"/>
    <s v="Haro SR 1.2 - 2017"/>
    <x v="0"/>
  </r>
  <r>
    <n v="1584"/>
    <n v="2"/>
    <n v="216"/>
    <x v="1"/>
    <n v="899.99"/>
    <x v="3"/>
    <x v="134"/>
    <x v="1"/>
    <s v="Electra Super Moto 8i - 2018"/>
    <x v="0"/>
  </r>
  <r>
    <n v="1584"/>
    <n v="3"/>
    <n v="43"/>
    <x v="0"/>
    <n v="5299.99"/>
    <x v="0"/>
    <x v="57"/>
    <x v="1"/>
    <s v="Trek Fuel EX 9.8 27.5 Plus - 2017"/>
    <x v="0"/>
  </r>
  <r>
    <n v="1584"/>
    <n v="4"/>
    <n v="187"/>
    <x v="0"/>
    <n v="2799.99"/>
    <x v="3"/>
    <x v="146"/>
    <x v="1"/>
    <s v="Trek Neko+ - 2018"/>
    <x v="0"/>
  </r>
  <r>
    <n v="1584"/>
    <n v="5"/>
    <n v="147"/>
    <x v="1"/>
    <n v="1799.99"/>
    <x v="1"/>
    <x v="1"/>
    <x v="1"/>
    <s v="Trek Domane ALR 5 Gravel - 2018"/>
    <x v="0"/>
  </r>
  <r>
    <n v="1585"/>
    <n v="1"/>
    <n v="313"/>
    <x v="0"/>
    <n v="449.99"/>
    <x v="3"/>
    <x v="72"/>
    <x v="1"/>
    <s v="Electra Townie Original 1 Ladies' - 2018"/>
    <x v="0"/>
  </r>
  <r>
    <n v="1585"/>
    <n v="2"/>
    <n v="106"/>
    <x v="1"/>
    <n v="449.99"/>
    <x v="3"/>
    <x v="37"/>
    <x v="1"/>
    <s v="Sun Bicycles Cruz 3 - 2017"/>
    <x v="0"/>
  </r>
  <r>
    <n v="1585"/>
    <n v="3"/>
    <n v="207"/>
    <x v="1"/>
    <n v="3999.99"/>
    <x v="1"/>
    <x v="15"/>
    <x v="1"/>
    <s v="Trek Boone 7 Disc - 2018"/>
    <x v="0"/>
  </r>
  <r>
    <n v="1585"/>
    <n v="4"/>
    <n v="95"/>
    <x v="0"/>
    <n v="299.99"/>
    <x v="3"/>
    <x v="23"/>
    <x v="1"/>
    <s v="Electra Girl's Hawaii 1 16&quot; - 2017"/>
    <x v="0"/>
  </r>
  <r>
    <n v="1585"/>
    <n v="5"/>
    <n v="191"/>
    <x v="0"/>
    <n v="2799.99"/>
    <x v="3"/>
    <x v="146"/>
    <x v="1"/>
    <s v="Electra Loft Go! 8i - 2018"/>
    <x v="0"/>
  </r>
  <r>
    <n v="1586"/>
    <n v="1"/>
    <n v="22"/>
    <x v="1"/>
    <n v="269.99"/>
    <x v="3"/>
    <x v="17"/>
    <x v="1"/>
    <s v="Electra Girl's Hawaii 1 (16-inch) - 2015/2016"/>
    <x v="0"/>
  </r>
  <r>
    <n v="1586"/>
    <n v="2"/>
    <n v="277"/>
    <x v="0"/>
    <n v="369.99"/>
    <x v="1"/>
    <x v="143"/>
    <x v="1"/>
    <s v="Trek Precaliber 24 21-speed Boy's - 2018"/>
    <x v="0"/>
  </r>
  <r>
    <n v="1586"/>
    <n v="3"/>
    <n v="295"/>
    <x v="0"/>
    <n v="319.99"/>
    <x v="2"/>
    <x v="137"/>
    <x v="1"/>
    <s v="Electra Treasure 1 20&quot; - 2018"/>
    <x v="0"/>
  </r>
  <r>
    <n v="1586"/>
    <n v="4"/>
    <n v="173"/>
    <x v="0"/>
    <n v="3199.99"/>
    <x v="0"/>
    <x v="120"/>
    <x v="1"/>
    <s v="Trek Domane ALR Frameset - 2018"/>
    <x v="0"/>
  </r>
  <r>
    <n v="1586"/>
    <n v="5"/>
    <n v="36"/>
    <x v="0"/>
    <n v="832.99"/>
    <x v="3"/>
    <x v="106"/>
    <x v="1"/>
    <s v="Surly Troll Frameset - 2017"/>
    <x v="0"/>
  </r>
  <r>
    <n v="1587"/>
    <n v="1"/>
    <n v="104"/>
    <x v="0"/>
    <n v="481.99"/>
    <x v="3"/>
    <x v="92"/>
    <x v="1"/>
    <s v="Sun Bicycles Streamway - 2017"/>
    <x v="0"/>
  </r>
  <r>
    <n v="1587"/>
    <n v="2"/>
    <n v="63"/>
    <x v="1"/>
    <n v="3499.99"/>
    <x v="2"/>
    <x v="54"/>
    <x v="1"/>
    <s v="Trek Boone Race Shop Limited - 2017"/>
    <x v="0"/>
  </r>
  <r>
    <n v="1587"/>
    <n v="3"/>
    <n v="78"/>
    <x v="1"/>
    <n v="647.99"/>
    <x v="2"/>
    <x v="114"/>
    <x v="1"/>
    <s v="Sun Bicycles Biscayne Tandem CB - 2017"/>
    <x v="0"/>
  </r>
  <r>
    <n v="1587"/>
    <n v="4"/>
    <n v="300"/>
    <x v="1"/>
    <n v="799.99"/>
    <x v="1"/>
    <x v="108"/>
    <x v="1"/>
    <s v="Electra Townie Balloon 3i EQ Ladies' - 2018"/>
    <x v="0"/>
  </r>
  <r>
    <n v="1588"/>
    <n v="1"/>
    <n v="93"/>
    <x v="1"/>
    <n v="209.99"/>
    <x v="1"/>
    <x v="84"/>
    <x v="1"/>
    <s v="Haro Shredder 20 Girls - 2017"/>
    <x v="1"/>
  </r>
  <r>
    <n v="1589"/>
    <n v="1"/>
    <n v="246"/>
    <x v="1"/>
    <n v="639.99"/>
    <x v="2"/>
    <x v="178"/>
    <x v="1"/>
    <s v="Electra Townie Original 3i EQ Ladies' - 2018"/>
    <x v="0"/>
  </r>
  <r>
    <n v="1589"/>
    <n v="2"/>
    <n v="260"/>
    <x v="0"/>
    <n v="799.99"/>
    <x v="0"/>
    <x v="129"/>
    <x v="1"/>
    <s v="Electra Townie Balloon 3i EQ Ladies' - 2018"/>
    <x v="0"/>
  </r>
  <r>
    <n v="1589"/>
    <n v="3"/>
    <n v="28"/>
    <x v="1"/>
    <n v="2499.9899999999998"/>
    <x v="3"/>
    <x v="117"/>
    <x v="1"/>
    <s v="Surly Karate Monkey 27.5+ Frameset - 2017"/>
    <x v="0"/>
  </r>
  <r>
    <n v="1590"/>
    <n v="1"/>
    <n v="175"/>
    <x v="1"/>
    <n v="3199.99"/>
    <x v="1"/>
    <x v="64"/>
    <x v="1"/>
    <s v="Trek Domane SLR Frameset - 2018"/>
    <x v="0"/>
  </r>
  <r>
    <n v="1590"/>
    <n v="2"/>
    <n v="248"/>
    <x v="0"/>
    <n v="599.99"/>
    <x v="0"/>
    <x v="0"/>
    <x v="1"/>
    <s v="Electra Townie Original 7D EQ Ladies' - 2017/2018"/>
    <x v="0"/>
  </r>
  <r>
    <n v="1590"/>
    <n v="3"/>
    <n v="23"/>
    <x v="0"/>
    <n v="299.99"/>
    <x v="1"/>
    <x v="23"/>
    <x v="1"/>
    <s v="Electra Girl's Hawaii 1 (20-inch) - 2015/2016"/>
    <x v="0"/>
  </r>
  <r>
    <n v="1591"/>
    <n v="1"/>
    <n v="286"/>
    <x v="1"/>
    <n v="279.99"/>
    <x v="0"/>
    <x v="152"/>
    <x v="1"/>
    <s v="Electra Starship 1 16&quot; - 2018"/>
    <x v="0"/>
  </r>
  <r>
    <n v="1591"/>
    <n v="2"/>
    <n v="126"/>
    <x v="1"/>
    <n v="469.99"/>
    <x v="0"/>
    <x v="35"/>
    <x v="1"/>
    <s v="Surly Big Fat Dummy Frameset - 2018"/>
    <x v="0"/>
  </r>
  <r>
    <n v="1591"/>
    <n v="3"/>
    <n v="97"/>
    <x v="1"/>
    <n v="349.99"/>
    <x v="1"/>
    <x v="47"/>
    <x v="1"/>
    <s v="Electra Savannah 3i (20-inch) - Girl's - 2017"/>
    <x v="0"/>
  </r>
  <r>
    <n v="1591"/>
    <n v="4"/>
    <n v="138"/>
    <x v="1"/>
    <n v="2249.9899999999998"/>
    <x v="2"/>
    <x v="145"/>
    <x v="1"/>
    <s v="Trek Fuel EX 5 Plus - 2018"/>
    <x v="0"/>
  </r>
  <r>
    <n v="1591"/>
    <n v="5"/>
    <n v="265"/>
    <x v="0"/>
    <n v="289.99"/>
    <x v="0"/>
    <x v="172"/>
    <x v="1"/>
    <s v="Strider Strider 20 Sport - 2018"/>
    <x v="0"/>
  </r>
  <r>
    <n v="1592"/>
    <n v="1"/>
    <n v="211"/>
    <x v="1"/>
    <n v="1549"/>
    <x v="2"/>
    <x v="2"/>
    <x v="1"/>
    <s v="Surly Straggler 650b - 2018"/>
    <x v="1"/>
  </r>
  <r>
    <n v="1592"/>
    <n v="2"/>
    <n v="159"/>
    <x v="0"/>
    <n v="2299.9899999999998"/>
    <x v="1"/>
    <x v="101"/>
    <x v="1"/>
    <s v="Trek Emonda ALR 6 - 2018"/>
    <x v="1"/>
  </r>
  <r>
    <n v="1592"/>
    <n v="3"/>
    <n v="40"/>
    <x v="1"/>
    <n v="4999.99"/>
    <x v="1"/>
    <x v="41"/>
    <x v="1"/>
    <s v="Trek Fuel EX 9.8 29 - 2017"/>
    <x v="1"/>
  </r>
  <r>
    <n v="1592"/>
    <n v="4"/>
    <n v="9"/>
    <x v="0"/>
    <n v="2999.99"/>
    <x v="0"/>
    <x v="28"/>
    <x v="1"/>
    <s v="Trek Conduit+ - 2016"/>
    <x v="1"/>
  </r>
  <r>
    <n v="1592"/>
    <n v="5"/>
    <n v="271"/>
    <x v="1"/>
    <n v="209.99"/>
    <x v="2"/>
    <x v="84"/>
    <x v="1"/>
    <s v="Trek Precaliber 16 Girl's - 2018"/>
    <x v="1"/>
  </r>
  <r>
    <n v="1593"/>
    <n v="1"/>
    <n v="97"/>
    <x v="1"/>
    <n v="349.99"/>
    <x v="0"/>
    <x v="47"/>
    <x v="1"/>
    <s v="Electra Savannah 3i (20-inch) - Girl's - 2017"/>
    <x v="1"/>
  </r>
  <r>
    <n v="1593"/>
    <n v="2"/>
    <n v="34"/>
    <x v="0"/>
    <n v="469.99"/>
    <x v="1"/>
    <x v="20"/>
    <x v="1"/>
    <s v="Trek Session DH 27.5 Carbon Frameset - 2017"/>
    <x v="1"/>
  </r>
  <r>
    <n v="1593"/>
    <n v="3"/>
    <n v="190"/>
    <x v="1"/>
    <n v="2799.99"/>
    <x v="3"/>
    <x v="131"/>
    <x v="1"/>
    <s v="Trek Dual Sport+ - 2018"/>
    <x v="1"/>
  </r>
  <r>
    <n v="1593"/>
    <n v="4"/>
    <n v="107"/>
    <x v="0"/>
    <n v="416.99"/>
    <x v="2"/>
    <x v="71"/>
    <x v="1"/>
    <s v="Sun Bicycles Cruz 7 - 2017"/>
    <x v="1"/>
  </r>
  <r>
    <n v="1593"/>
    <n v="5"/>
    <n v="169"/>
    <x v="1"/>
    <n v="6499.99"/>
    <x v="1"/>
    <x v="83"/>
    <x v="1"/>
    <s v="Trek Emonda SLR 8 - 2018"/>
    <x v="1"/>
  </r>
  <r>
    <n v="1594"/>
    <n v="1"/>
    <n v="79"/>
    <x v="1"/>
    <n v="402.99"/>
    <x v="3"/>
    <x v="123"/>
    <x v="1"/>
    <s v="Sun Bicycles Boardwalk (24-inch Wheels) - 2017"/>
    <x v="1"/>
  </r>
  <r>
    <n v="1594"/>
    <n v="2"/>
    <n v="105"/>
    <x v="0"/>
    <n v="533.99"/>
    <x v="3"/>
    <x v="128"/>
    <x v="1"/>
    <s v="Sun Bicycles Streamway 7 - 2017"/>
    <x v="1"/>
  </r>
  <r>
    <n v="1595"/>
    <n v="1"/>
    <n v="112"/>
    <x v="0"/>
    <n v="379.99"/>
    <x v="0"/>
    <x v="125"/>
    <x v="1"/>
    <s v="Trek 820 - 2018"/>
    <x v="1"/>
  </r>
  <r>
    <n v="1596"/>
    <n v="1"/>
    <n v="91"/>
    <x v="0"/>
    <n v="349.99"/>
    <x v="2"/>
    <x v="99"/>
    <x v="1"/>
    <s v="Trek Precaliber 24 (21-Speed) - Girls - 2017"/>
    <x v="2"/>
  </r>
  <r>
    <n v="1596"/>
    <n v="2"/>
    <n v="18"/>
    <x v="0"/>
    <n v="449"/>
    <x v="3"/>
    <x v="8"/>
    <x v="1"/>
    <s v="Pure Cycles Western 3-Speed - Women's - 2015/2016"/>
    <x v="2"/>
  </r>
  <r>
    <n v="1597"/>
    <n v="1"/>
    <n v="176"/>
    <x v="0"/>
    <n v="3199.99"/>
    <x v="1"/>
    <x v="120"/>
    <x v="1"/>
    <s v="Trek Madone 9 Frameset - 2018"/>
    <x v="2"/>
  </r>
  <r>
    <n v="1597"/>
    <n v="2"/>
    <n v="59"/>
    <x v="0"/>
    <n v="2599.9899999999998"/>
    <x v="1"/>
    <x v="90"/>
    <x v="1"/>
    <s v="Trek Domane S 5 Disc - 2017"/>
    <x v="2"/>
  </r>
  <r>
    <n v="1598"/>
    <n v="1"/>
    <n v="247"/>
    <x v="0"/>
    <n v="599.99"/>
    <x v="0"/>
    <x v="0"/>
    <x v="1"/>
    <s v="Electra Townie Original 7D EQ - 2018"/>
    <x v="0"/>
  </r>
  <r>
    <n v="1598"/>
    <n v="2"/>
    <n v="49"/>
    <x v="1"/>
    <n v="3499.99"/>
    <x v="1"/>
    <x v="54"/>
    <x v="1"/>
    <s v="Trek Domane SL 6 - 2017"/>
    <x v="0"/>
  </r>
  <r>
    <n v="1598"/>
    <n v="3"/>
    <n v="88"/>
    <x v="0"/>
    <n v="189.99"/>
    <x v="0"/>
    <x v="93"/>
    <x v="1"/>
    <s v="Trek Precaliber 12 Girls - 2017"/>
    <x v="0"/>
  </r>
  <r>
    <n v="1599"/>
    <n v="1"/>
    <n v="104"/>
    <x v="1"/>
    <n v="481.99"/>
    <x v="0"/>
    <x v="80"/>
    <x v="1"/>
    <s v="Sun Bicycles Streamway - 2017"/>
    <x v="1"/>
  </r>
  <r>
    <n v="1600"/>
    <n v="1"/>
    <n v="146"/>
    <x v="0"/>
    <n v="4999.99"/>
    <x v="3"/>
    <x v="76"/>
    <x v="1"/>
    <s v="Trek Domane SLR 6 - 2018"/>
    <x v="1"/>
  </r>
  <r>
    <n v="1600"/>
    <n v="2"/>
    <n v="295"/>
    <x v="0"/>
    <n v="319.99"/>
    <x v="2"/>
    <x v="137"/>
    <x v="1"/>
    <s v="Electra Treasure 1 20&quot; - 2018"/>
    <x v="1"/>
  </r>
  <r>
    <n v="1600"/>
    <n v="3"/>
    <n v="36"/>
    <x v="0"/>
    <n v="832.99"/>
    <x v="0"/>
    <x v="106"/>
    <x v="1"/>
    <s v="Surly Troll Frameset - 2017"/>
    <x v="1"/>
  </r>
  <r>
    <n v="1601"/>
    <n v="1"/>
    <n v="114"/>
    <x v="1"/>
    <n v="579.99"/>
    <x v="0"/>
    <x v="198"/>
    <x v="1"/>
    <s v="Trek Marlin 6 - 2018"/>
    <x v="2"/>
  </r>
  <r>
    <n v="1601"/>
    <n v="2"/>
    <n v="10"/>
    <x v="0"/>
    <n v="1549"/>
    <x v="0"/>
    <x v="27"/>
    <x v="1"/>
    <s v="Surly Straggler - 2016"/>
    <x v="2"/>
  </r>
  <r>
    <n v="1601"/>
    <n v="3"/>
    <n v="220"/>
    <x v="1"/>
    <n v="269.99"/>
    <x v="1"/>
    <x v="17"/>
    <x v="1"/>
    <s v="Electra Cruiser 1 Ladies' - 2018"/>
    <x v="2"/>
  </r>
  <r>
    <n v="1601"/>
    <n v="4"/>
    <n v="7"/>
    <x v="1"/>
    <n v="3999.99"/>
    <x v="1"/>
    <x v="15"/>
    <x v="1"/>
    <s v="Trek Slash 8 27.5 - 2016"/>
    <x v="2"/>
  </r>
  <r>
    <n v="1601"/>
    <n v="5"/>
    <n v="180"/>
    <x v="0"/>
    <n v="919.99"/>
    <x v="3"/>
    <x v="135"/>
    <x v="1"/>
    <s v="Trek Domane AL 3 Women's - 2018"/>
    <x v="2"/>
  </r>
  <r>
    <n v="1602"/>
    <n v="1"/>
    <n v="71"/>
    <x v="1"/>
    <n v="416.99"/>
    <x v="2"/>
    <x v="42"/>
    <x v="1"/>
    <s v="Sun Bicycles Atlas X-Type - 2017"/>
    <x v="1"/>
  </r>
  <r>
    <n v="1602"/>
    <n v="2"/>
    <n v="37"/>
    <x v="0"/>
    <n v="379.99"/>
    <x v="1"/>
    <x v="125"/>
    <x v="1"/>
    <s v="Haro Flightline One ST - 2017"/>
    <x v="1"/>
  </r>
  <r>
    <n v="1602"/>
    <n v="3"/>
    <n v="275"/>
    <x v="1"/>
    <n v="229.99"/>
    <x v="0"/>
    <x v="163"/>
    <x v="1"/>
    <s v="Trek Precaliber 20 Girl's - 2018"/>
    <x v="1"/>
  </r>
  <r>
    <n v="1602"/>
    <n v="4"/>
    <n v="257"/>
    <x v="1"/>
    <n v="899.99"/>
    <x v="2"/>
    <x v="134"/>
    <x v="1"/>
    <s v="Electra Amsterdam Fashion 3i Ladies' - 2017/2018"/>
    <x v="1"/>
  </r>
  <r>
    <n v="1603"/>
    <n v="1"/>
    <n v="275"/>
    <x v="1"/>
    <n v="229.99"/>
    <x v="2"/>
    <x v="163"/>
    <x v="1"/>
    <s v="Trek Precaliber 20 Girl's - 2018"/>
    <x v="1"/>
  </r>
  <r>
    <n v="1604"/>
    <n v="1"/>
    <n v="271"/>
    <x v="0"/>
    <n v="209.99"/>
    <x v="3"/>
    <x v="48"/>
    <x v="1"/>
    <s v="Trek Precaliber 16 Girl's - 2018"/>
    <x v="1"/>
  </r>
  <r>
    <n v="1605"/>
    <n v="1"/>
    <n v="72"/>
    <x v="0"/>
    <n v="619.99"/>
    <x v="3"/>
    <x v="40"/>
    <x v="1"/>
    <s v="Sun Bicycles Biscayne Tandem 7 - 2017"/>
    <x v="2"/>
  </r>
  <r>
    <n v="1605"/>
    <n v="2"/>
    <n v="186"/>
    <x v="0"/>
    <n v="4499.99"/>
    <x v="0"/>
    <x v="150"/>
    <x v="1"/>
    <s v="Trek CrossRip+ - 2018"/>
    <x v="2"/>
  </r>
  <r>
    <n v="1605"/>
    <n v="3"/>
    <n v="132"/>
    <x v="1"/>
    <n v="1499.99"/>
    <x v="3"/>
    <x v="65"/>
    <x v="1"/>
    <s v="Trek Procal AL Frameset - 2018"/>
    <x v="2"/>
  </r>
  <r>
    <n v="1605"/>
    <n v="4"/>
    <n v="301"/>
    <x v="0"/>
    <n v="899.99"/>
    <x v="3"/>
    <x v="130"/>
    <x v="1"/>
    <s v="Electra Townie Balloon 7i EQ - 2018"/>
    <x v="2"/>
  </r>
  <r>
    <n v="1605"/>
    <n v="5"/>
    <n v="29"/>
    <x v="0"/>
    <n v="999.99"/>
    <x v="1"/>
    <x v="5"/>
    <x v="1"/>
    <s v="Trek X-Caliber 8 - 2017"/>
    <x v="2"/>
  </r>
  <r>
    <n v="1606"/>
    <n v="1"/>
    <n v="245"/>
    <x v="0"/>
    <n v="659.99"/>
    <x v="3"/>
    <x v="66"/>
    <x v="1"/>
    <s v="Electra Townie Original 3i EQ - 2017/2018"/>
    <x v="2"/>
  </r>
  <r>
    <n v="1606"/>
    <n v="2"/>
    <n v="271"/>
    <x v="0"/>
    <n v="209.99"/>
    <x v="3"/>
    <x v="48"/>
    <x v="1"/>
    <s v="Trek Precaliber 16 Girl's - 2018"/>
    <x v="2"/>
  </r>
  <r>
    <n v="1607"/>
    <n v="1"/>
    <n v="29"/>
    <x v="0"/>
    <n v="999.99"/>
    <x v="2"/>
    <x v="5"/>
    <x v="1"/>
    <s v="Trek X-Caliber 8 - 2017"/>
    <x v="0"/>
  </r>
  <r>
    <n v="1608"/>
    <n v="1"/>
    <n v="231"/>
    <x v="1"/>
    <n v="529.99"/>
    <x v="2"/>
    <x v="29"/>
    <x v="1"/>
    <s v="Electra Cruiser Lux 3i Ladies' - 2018"/>
    <x v="0"/>
  </r>
  <r>
    <n v="1609"/>
    <n v="1"/>
    <n v="96"/>
    <x v="0"/>
    <n v="349.99"/>
    <x v="0"/>
    <x v="99"/>
    <x v="1"/>
    <s v="Electra Moto 3i (20-inch) - Boy's - 2017"/>
    <x v="1"/>
  </r>
  <r>
    <n v="1609"/>
    <n v="2"/>
    <n v="238"/>
    <x v="1"/>
    <n v="749.99"/>
    <x v="0"/>
    <x v="6"/>
    <x v="1"/>
    <s v="Electra Townie Balloon 8D EQ - 2016/2017/2018"/>
    <x v="1"/>
  </r>
  <r>
    <n v="1609"/>
    <n v="3"/>
    <n v="228"/>
    <x v="1"/>
    <n v="319.99"/>
    <x v="3"/>
    <x v="138"/>
    <x v="1"/>
    <s v="Electra Cruiser 7D Tall - 2016/2018"/>
    <x v="1"/>
  </r>
  <r>
    <n v="1609"/>
    <n v="4"/>
    <n v="105"/>
    <x v="0"/>
    <n v="533.99"/>
    <x v="0"/>
    <x v="128"/>
    <x v="1"/>
    <s v="Sun Bicycles Streamway 7 - 2017"/>
    <x v="1"/>
  </r>
  <r>
    <n v="1610"/>
    <n v="1"/>
    <n v="36"/>
    <x v="0"/>
    <n v="832.99"/>
    <x v="1"/>
    <x v="106"/>
    <x v="1"/>
    <s v="Surly Troll Frameset - 2017"/>
    <x v="1"/>
  </r>
  <r>
    <n v="1610"/>
    <n v="2"/>
    <n v="173"/>
    <x v="1"/>
    <n v="3199.99"/>
    <x v="0"/>
    <x v="64"/>
    <x v="1"/>
    <s v="Trek Domane ALR Frameset - 2018"/>
    <x v="1"/>
  </r>
  <r>
    <n v="1611"/>
    <n v="1"/>
    <n v="191"/>
    <x v="0"/>
    <n v="2799.99"/>
    <x v="1"/>
    <x v="146"/>
    <x v="1"/>
    <s v="Electra Loft Go! 8i - 2018"/>
    <x v="1"/>
  </r>
  <r>
    <n v="1611"/>
    <n v="2"/>
    <n v="171"/>
    <x v="1"/>
    <n v="3199.99"/>
    <x v="3"/>
    <x v="64"/>
    <x v="1"/>
    <s v="Trek Domane SL 6 - 2018"/>
    <x v="1"/>
  </r>
  <r>
    <n v="1611"/>
    <n v="3"/>
    <n v="236"/>
    <x v="0"/>
    <n v="749.99"/>
    <x v="0"/>
    <x v="30"/>
    <x v="1"/>
    <s v="Electra Morningstar 3i Ladies' - 2018"/>
    <x v="1"/>
  </r>
  <r>
    <n v="1612"/>
    <n v="1"/>
    <n v="242"/>
    <x v="0"/>
    <n v="699.99"/>
    <x v="3"/>
    <x v="199"/>
    <x v="1"/>
    <s v="Electra Townie Commute 8D Ladies' - 2018"/>
    <x v="0"/>
  </r>
  <r>
    <n v="1612"/>
    <n v="2"/>
    <n v="289"/>
    <x v="1"/>
    <n v="319.99"/>
    <x v="2"/>
    <x v="138"/>
    <x v="1"/>
    <s v="Electra Superbolt 1 20&quot; - 2018"/>
    <x v="0"/>
  </r>
  <r>
    <n v="1612"/>
    <n v="3"/>
    <n v="101"/>
    <x v="1"/>
    <n v="339.99"/>
    <x v="0"/>
    <x v="75"/>
    <x v="1"/>
    <s v="Electra Townie 7D (20-inch) - Boys' - 2017"/>
    <x v="0"/>
  </r>
  <r>
    <n v="1612"/>
    <n v="4"/>
    <n v="293"/>
    <x v="1"/>
    <n v="319.99"/>
    <x v="1"/>
    <x v="138"/>
    <x v="1"/>
    <s v="Electra Tiger Shark 1 (20-inch) - Boys' - 2018"/>
    <x v="0"/>
  </r>
  <r>
    <n v="1612"/>
    <n v="5"/>
    <n v="60"/>
    <x v="0"/>
    <n v="1559.99"/>
    <x v="3"/>
    <x v="100"/>
    <x v="1"/>
    <s v="Sun Bicycles ElectroLite - 2017"/>
    <x v="0"/>
  </r>
  <r>
    <n v="1613"/>
    <n v="1"/>
    <n v="153"/>
    <x v="0"/>
    <n v="4999.99"/>
    <x v="1"/>
    <x v="76"/>
    <x v="1"/>
    <s v="Trek Domane SL 7 Women's - 2018"/>
    <x v="1"/>
  </r>
  <r>
    <n v="1613"/>
    <n v="2"/>
    <n v="283"/>
    <x v="1"/>
    <n v="319.99"/>
    <x v="2"/>
    <x v="138"/>
    <x v="1"/>
    <s v="Electra Heartchya 1 (20-inch) - Girl's - 2018"/>
    <x v="1"/>
  </r>
  <r>
    <n v="1614"/>
    <n v="1"/>
    <n v="124"/>
    <x v="0"/>
    <n v="1499"/>
    <x v="1"/>
    <x v="161"/>
    <x v="1"/>
    <s v="Surly Krampus - 2018"/>
    <x v="2"/>
  </r>
  <r>
    <n v="1614"/>
    <n v="2"/>
    <n v="159"/>
    <x v="1"/>
    <n v="2299.9899999999998"/>
    <x v="1"/>
    <x v="45"/>
    <x v="1"/>
    <s v="Trek Emonda ALR 6 - 2018"/>
    <x v="2"/>
  </r>
  <r>
    <n v="1614"/>
    <n v="3"/>
    <n v="213"/>
    <x v="1"/>
    <n v="269.99"/>
    <x v="0"/>
    <x v="17"/>
    <x v="1"/>
    <s v="Electra Cruiser 1 - 2016/2017/2018"/>
    <x v="2"/>
  </r>
  <r>
    <n v="1615"/>
    <n v="1"/>
    <n v="197"/>
    <x v="1"/>
    <n v="2299.9899999999998"/>
    <x v="0"/>
    <x v="45"/>
    <x v="1"/>
    <s v="Trek Verve+ Lowstep - 2018"/>
    <x v="2"/>
  </r>
  <r>
    <n v="1615"/>
    <n v="2"/>
    <n v="214"/>
    <x v="0"/>
    <n v="899.99"/>
    <x v="1"/>
    <x v="130"/>
    <x v="1"/>
    <s v="Electra Tiger Shark 3i - 2018"/>
    <x v="2"/>
  </r>
  <r>
    <n v="1615"/>
    <n v="3"/>
    <n v="182"/>
    <x v="0"/>
    <n v="2499.9899999999998"/>
    <x v="0"/>
    <x v="79"/>
    <x v="1"/>
    <s v="Trek Domane SL 5 Disc - 2018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C1686E-540E-4A7A-84C3-68606D353A5E}" name="PivotTable1" cacheId="0" dataOnRows="1" applyNumberFormats="0" applyBorderFormats="0" applyFontFormats="0" applyPatternFormats="0" applyAlignmentFormats="0" applyWidthHeightFormats="1" dataCaption="Data" updatedVersion="8" showMemberPropertyTips="0" useAutoFormatting="1" itemPrintTitles="1" createdVersion="1" indent="0" compact="0" compactData="0" gridDropZones="1">
  <location ref="A3:D7927" firstHeaderRow="2" firstDataRow="2" firstDataCol="3"/>
  <pivotFields count="10">
    <pivotField axis="axisRow" compact="0" outline="0" showAll="0" includeNewItemsInFilter="1">
      <items count="16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t="default"/>
      </items>
    </pivotField>
    <pivotField compact="0" outline="0" showAll="0" includeNewItemsInFilter="1">
      <items count="7">
        <item x="0"/>
        <item x="1"/>
        <item x="2"/>
        <item x="3"/>
        <item x="4"/>
        <item x="5"/>
        <item t="default"/>
      </items>
    </pivotField>
    <pivotField compact="0" outline="0" showAll="0" includeNewItemsInFilter="1">
      <items count="309">
        <item x="6"/>
        <item x="5"/>
        <item x="4"/>
        <item x="21"/>
        <item x="18"/>
        <item x="14"/>
        <item x="1"/>
        <item x="11"/>
        <item x="2"/>
        <item x="16"/>
        <item x="10"/>
        <item x="17"/>
        <item x="15"/>
        <item x="12"/>
        <item x="3"/>
        <item x="7"/>
        <item x="9"/>
        <item x="23"/>
        <item x="0"/>
        <item x="20"/>
        <item x="13"/>
        <item x="19"/>
        <item x="24"/>
        <item x="22"/>
        <item x="8"/>
        <item x="97"/>
        <item x="76"/>
        <item x="61"/>
        <item x="34"/>
        <item x="93"/>
        <item x="33"/>
        <item x="57"/>
        <item x="98"/>
        <item x="100"/>
        <item x="107"/>
        <item x="88"/>
        <item x="83"/>
        <item x="62"/>
        <item x="95"/>
        <item x="67"/>
        <item x="41"/>
        <item x="52"/>
        <item x="99"/>
        <item x="78"/>
        <item x="109"/>
        <item x="42"/>
        <item x="74"/>
        <item x="60"/>
        <item x="69"/>
        <item x="80"/>
        <item x="58"/>
        <item x="29"/>
        <item x="59"/>
        <item x="66"/>
        <item x="28"/>
        <item x="94"/>
        <item x="71"/>
        <item x="64"/>
        <item x="91"/>
        <item x="32"/>
        <item x="37"/>
        <item x="65"/>
        <item x="38"/>
        <item x="105"/>
        <item x="82"/>
        <item x="50"/>
        <item x="39"/>
        <item x="79"/>
        <item x="63"/>
        <item x="68"/>
        <item x="31"/>
        <item x="30"/>
        <item x="51"/>
        <item x="85"/>
        <item x="35"/>
        <item x="104"/>
        <item x="46"/>
        <item x="47"/>
        <item x="53"/>
        <item x="89"/>
        <item x="90"/>
        <item x="56"/>
        <item x="73"/>
        <item x="25"/>
        <item x="106"/>
        <item x="108"/>
        <item x="54"/>
        <item x="84"/>
        <item x="45"/>
        <item x="87"/>
        <item x="102"/>
        <item x="101"/>
        <item x="49"/>
        <item x="43"/>
        <item x="81"/>
        <item x="44"/>
        <item x="72"/>
        <item x="40"/>
        <item x="96"/>
        <item x="70"/>
        <item x="48"/>
        <item x="27"/>
        <item x="77"/>
        <item x="86"/>
        <item x="26"/>
        <item x="92"/>
        <item x="75"/>
        <item x="36"/>
        <item x="55"/>
        <item x="103"/>
        <item x="225"/>
        <item x="191"/>
        <item x="233"/>
        <item x="185"/>
        <item x="259"/>
        <item x="266"/>
        <item x="200"/>
        <item x="295"/>
        <item x="110"/>
        <item x="281"/>
        <item x="262"/>
        <item x="190"/>
        <item x="250"/>
        <item x="220"/>
        <item x="186"/>
        <item x="120"/>
        <item x="177"/>
        <item x="189"/>
        <item x="188"/>
        <item x="168"/>
        <item x="157"/>
        <item x="206"/>
        <item x="169"/>
        <item x="234"/>
        <item x="141"/>
        <item x="112"/>
        <item x="247"/>
        <item x="257"/>
        <item x="199"/>
        <item x="124"/>
        <item x="183"/>
        <item x="132"/>
        <item x="301"/>
        <item x="162"/>
        <item x="161"/>
        <item x="172"/>
        <item x="158"/>
        <item x="117"/>
        <item x="182"/>
        <item x="145"/>
        <item x="181"/>
        <item x="292"/>
        <item x="142"/>
        <item x="289"/>
        <item x="166"/>
        <item x="140"/>
        <item x="254"/>
        <item x="231"/>
        <item x="179"/>
        <item x="156"/>
        <item x="218"/>
        <item x="171"/>
        <item x="271"/>
        <item x="163"/>
        <item x="146"/>
        <item x="236"/>
        <item x="212"/>
        <item x="155"/>
        <item x="264"/>
        <item x="298"/>
        <item x="147"/>
        <item x="305"/>
        <item x="294"/>
        <item x="260"/>
        <item x="135"/>
        <item x="118"/>
        <item x="196"/>
        <item x="197"/>
        <item x="293"/>
        <item x="153"/>
        <item x="144"/>
        <item x="192"/>
        <item x="251"/>
        <item x="198"/>
        <item x="227"/>
        <item x="115"/>
        <item x="278"/>
        <item x="174"/>
        <item x="230"/>
        <item x="242"/>
        <item x="282"/>
        <item x="245"/>
        <item x="255"/>
        <item x="175"/>
        <item x="187"/>
        <item x="270"/>
        <item x="288"/>
        <item x="139"/>
        <item x="180"/>
        <item x="137"/>
        <item x="154"/>
        <item x="143"/>
        <item x="194"/>
        <item x="114"/>
        <item x="221"/>
        <item x="304"/>
        <item x="303"/>
        <item x="193"/>
        <item x="204"/>
        <item x="149"/>
        <item x="249"/>
        <item x="223"/>
        <item x="283"/>
        <item x="244"/>
        <item x="229"/>
        <item x="252"/>
        <item x="238"/>
        <item x="195"/>
        <item x="222"/>
        <item x="205"/>
        <item x="219"/>
        <item x="213"/>
        <item x="121"/>
        <item x="202"/>
        <item x="128"/>
        <item x="285"/>
        <item x="126"/>
        <item x="170"/>
        <item x="150"/>
        <item x="111"/>
        <item x="184"/>
        <item x="148"/>
        <item x="207"/>
        <item x="263"/>
        <item x="216"/>
        <item x="119"/>
        <item x="243"/>
        <item x="127"/>
        <item x="152"/>
        <item x="241"/>
        <item x="267"/>
        <item x="123"/>
        <item x="277"/>
        <item x="159"/>
        <item x="165"/>
        <item x="211"/>
        <item x="253"/>
        <item x="130"/>
        <item x="226"/>
        <item x="201"/>
        <item x="279"/>
        <item x="113"/>
        <item x="269"/>
        <item x="286"/>
        <item x="258"/>
        <item x="276"/>
        <item x="209"/>
        <item x="160"/>
        <item x="240"/>
        <item x="237"/>
        <item x="232"/>
        <item x="217"/>
        <item x="116"/>
        <item x="151"/>
        <item x="261"/>
        <item x="268"/>
        <item x="228"/>
        <item x="203"/>
        <item x="224"/>
        <item x="176"/>
        <item x="215"/>
        <item x="274"/>
        <item x="300"/>
        <item x="280"/>
        <item x="248"/>
        <item x="129"/>
        <item x="125"/>
        <item x="297"/>
        <item x="256"/>
        <item x="275"/>
        <item x="287"/>
        <item x="306"/>
        <item x="131"/>
        <item x="208"/>
        <item x="284"/>
        <item x="272"/>
        <item x="214"/>
        <item x="134"/>
        <item x="167"/>
        <item x="136"/>
        <item x="265"/>
        <item x="133"/>
        <item x="235"/>
        <item x="246"/>
        <item x="290"/>
        <item x="138"/>
        <item x="164"/>
        <item x="210"/>
        <item x="178"/>
        <item x="239"/>
        <item x="299"/>
        <item x="273"/>
        <item x="122"/>
        <item x="302"/>
        <item x="173"/>
        <item x="291"/>
        <item x="296"/>
        <item x="307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  <pivotField dataField="1" compact="0" outline="0" showAll="0" includeNewItemsInFilter="1"/>
    <pivotField compact="0" outline="0" showAll="0" includeNewItemsInFilter="1"/>
    <pivotField axis="axisRow" compact="0" outline="0" showAll="0" includeNewItemsInFilter="1">
      <items count="280">
        <item x="105"/>
        <item x="82"/>
        <item x="56"/>
        <item x="83"/>
        <item x="249"/>
        <item x="264"/>
        <item x="183"/>
        <item x="15"/>
        <item x="214"/>
        <item x="223"/>
        <item x="261"/>
        <item x="201"/>
        <item x="236"/>
        <item x="113"/>
        <item x="192"/>
        <item x="44"/>
        <item x="119"/>
        <item x="185"/>
        <item x="263"/>
        <item x="208"/>
        <item x="117"/>
        <item x="78"/>
        <item x="161"/>
        <item x="120"/>
        <item x="141"/>
        <item x="195"/>
        <item x="12"/>
        <item x="17"/>
        <item x="31"/>
        <item x="96"/>
        <item x="116"/>
        <item x="103"/>
        <item x="256"/>
        <item x="174"/>
        <item x="11"/>
        <item x="229"/>
        <item x="74"/>
        <item x="140"/>
        <item x="139"/>
        <item x="38"/>
        <item x="272"/>
        <item x="238"/>
        <item x="254"/>
        <item x="265"/>
        <item x="209"/>
        <item x="65"/>
        <item x="35"/>
        <item x="233"/>
        <item x="277"/>
        <item x="122"/>
        <item x="197"/>
        <item x="262"/>
        <item x="194"/>
        <item x="252"/>
        <item x="88"/>
        <item x="63"/>
        <item x="155"/>
        <item x="124"/>
        <item x="220"/>
        <item x="191"/>
        <item x="168"/>
        <item x="224"/>
        <item x="257"/>
        <item x="204"/>
        <item x="111"/>
        <item x="228"/>
        <item x="199"/>
        <item x="165"/>
        <item x="156"/>
        <item x="121"/>
        <item x="231"/>
        <item x="164"/>
        <item x="9"/>
        <item x="245"/>
        <item x="129"/>
        <item x="118"/>
        <item x="143"/>
        <item x="226"/>
        <item x="247"/>
        <item x="19"/>
        <item x="34"/>
        <item x="3"/>
        <item x="114"/>
        <item x="0"/>
        <item x="255"/>
        <item x="202"/>
        <item x="125"/>
        <item x="158"/>
        <item x="127"/>
        <item x="150"/>
        <item x="21"/>
        <item x="81"/>
        <item x="76"/>
        <item x="60"/>
        <item x="94"/>
        <item x="93"/>
        <item x="42"/>
        <item x="91"/>
        <item x="71"/>
        <item x="101"/>
        <item x="179"/>
        <item x="18"/>
        <item x="219"/>
        <item x="7"/>
        <item x="8"/>
        <item x="20"/>
        <item x="6"/>
        <item x="151"/>
        <item x="225"/>
        <item x="222"/>
        <item x="61"/>
        <item x="27"/>
        <item x="40"/>
        <item x="41"/>
        <item x="26"/>
        <item x="46"/>
        <item x="22"/>
        <item x="68"/>
        <item x="72"/>
        <item x="32"/>
        <item x="48"/>
        <item x="95"/>
        <item x="84"/>
        <item x="97"/>
        <item x="66"/>
        <item x="75"/>
        <item x="43"/>
        <item x="92"/>
        <item x="70"/>
        <item x="23"/>
        <item x="79"/>
        <item x="89"/>
        <item x="234"/>
        <item x="237"/>
        <item x="176"/>
        <item x="251"/>
        <item x="16"/>
        <item x="30"/>
        <item x="69"/>
        <item x="180"/>
        <item x="25"/>
        <item x="169"/>
        <item x="207"/>
        <item x="51"/>
        <item x="2"/>
        <item x="154"/>
        <item x="14"/>
        <item x="147"/>
        <item x="99"/>
        <item x="259"/>
        <item x="85"/>
        <item x="5"/>
        <item x="50"/>
        <item x="206"/>
        <item x="211"/>
        <item x="145"/>
        <item x="33"/>
        <item x="134"/>
        <item x="58"/>
        <item x="49"/>
        <item x="10"/>
        <item x="135"/>
        <item x="184"/>
        <item x="106"/>
        <item x="267"/>
        <item x="221"/>
        <item x="182"/>
        <item x="241"/>
        <item x="162"/>
        <item x="126"/>
        <item x="110"/>
        <item x="115"/>
        <item x="173"/>
        <item x="109"/>
        <item x="123"/>
        <item x="153"/>
        <item x="146"/>
        <item x="244"/>
        <item x="57"/>
        <item x="59"/>
        <item x="186"/>
        <item x="187"/>
        <item x="172"/>
        <item x="269"/>
        <item x="53"/>
        <item x="200"/>
        <item x="144"/>
        <item x="136"/>
        <item x="152"/>
        <item x="52"/>
        <item x="268"/>
        <item x="133"/>
        <item x="275"/>
        <item x="24"/>
        <item x="270"/>
        <item x="163"/>
        <item x="171"/>
        <item x="273"/>
        <item x="138"/>
        <item x="107"/>
        <item x="157"/>
        <item x="67"/>
        <item x="86"/>
        <item x="216"/>
        <item x="149"/>
        <item x="131"/>
        <item x="137"/>
        <item x="29"/>
        <item x="243"/>
        <item x="36"/>
        <item x="132"/>
        <item x="102"/>
        <item x="4"/>
        <item x="175"/>
        <item x="189"/>
        <item x="45"/>
        <item x="87"/>
        <item x="98"/>
        <item x="205"/>
        <item x="271"/>
        <item x="215"/>
        <item x="212"/>
        <item x="276"/>
        <item x="64"/>
        <item x="181"/>
        <item x="218"/>
        <item x="240"/>
        <item x="198"/>
        <item x="235"/>
        <item x="177"/>
        <item x="250"/>
        <item x="266"/>
        <item x="130"/>
        <item x="28"/>
        <item x="100"/>
        <item x="108"/>
        <item x="47"/>
        <item x="77"/>
        <item x="142"/>
        <item x="39"/>
        <item x="242"/>
        <item x="248"/>
        <item x="213"/>
        <item x="193"/>
        <item x="210"/>
        <item x="80"/>
        <item x="166"/>
        <item x="203"/>
        <item x="253"/>
        <item x="274"/>
        <item x="178"/>
        <item x="160"/>
        <item x="159"/>
        <item x="148"/>
        <item x="1"/>
        <item x="104"/>
        <item x="37"/>
        <item x="232"/>
        <item x="90"/>
        <item x="62"/>
        <item x="73"/>
        <item x="13"/>
        <item x="55"/>
        <item x="239"/>
        <item x="167"/>
        <item x="170"/>
        <item x="128"/>
        <item x="217"/>
        <item x="258"/>
        <item x="246"/>
        <item x="260"/>
        <item x="230"/>
        <item x="112"/>
        <item x="54"/>
        <item x="190"/>
        <item x="196"/>
        <item x="227"/>
        <item x="188"/>
        <item x="278"/>
        <item t="default"/>
      </items>
    </pivotField>
    <pivotField axis="axisRow" compact="0" outline="0" showAll="0" includeNewItemsInFilter="1">
      <items count="5">
        <item x="1"/>
        <item x="2"/>
        <item x="0"/>
        <item x="3"/>
        <item t="default"/>
      </items>
    </pivotField>
  </pivotFields>
  <rowFields count="3">
    <field x="0"/>
    <field x="9"/>
    <field x="8"/>
  </rowFields>
  <rowItems count="7923">
    <i>
      <x/>
      <x v="2"/>
      <x v="81"/>
    </i>
    <i r="2">
      <x v="83"/>
    </i>
    <i r="2">
      <x v="144"/>
    </i>
    <i r="2">
      <x v="212"/>
    </i>
    <i r="2">
      <x v="254"/>
    </i>
    <i t="default" r="1">
      <x v="2"/>
    </i>
    <i t="default">
      <x/>
    </i>
    <i>
      <x v="1"/>
      <x/>
      <x v="81"/>
    </i>
    <i r="2">
      <x v="83"/>
    </i>
    <i t="default" r="1">
      <x/>
    </i>
    <i t="default">
      <x v="1"/>
    </i>
    <i>
      <x v="2"/>
      <x/>
      <x v="83"/>
    </i>
    <i r="2">
      <x v="151"/>
    </i>
    <i t="default" r="1">
      <x/>
    </i>
    <i t="default">
      <x v="2"/>
    </i>
    <i>
      <x v="3"/>
      <x v="2"/>
      <x v="106"/>
    </i>
    <i t="default" r="1">
      <x v="2"/>
    </i>
    <i t="default">
      <x v="3"/>
    </i>
    <i>
      <x v="4"/>
      <x/>
      <x v="81"/>
    </i>
    <i r="2">
      <x v="103"/>
    </i>
    <i r="2">
      <x v="144"/>
    </i>
    <i t="default" r="1">
      <x/>
    </i>
    <i t="default">
      <x v="4"/>
    </i>
    <i>
      <x v="5"/>
      <x/>
      <x v="72"/>
    </i>
    <i r="2">
      <x v="83"/>
    </i>
    <i r="2">
      <x v="104"/>
    </i>
    <i r="2">
      <x v="151"/>
    </i>
    <i r="2">
      <x v="160"/>
    </i>
    <i t="default" r="1">
      <x/>
    </i>
    <i t="default">
      <x v="5"/>
    </i>
    <i>
      <x v="6"/>
      <x/>
      <x v="34"/>
    </i>
    <i r="2">
      <x v="103"/>
    </i>
    <i r="2">
      <x v="151"/>
    </i>
    <i t="default" r="1">
      <x/>
    </i>
    <i t="default">
      <x v="6"/>
    </i>
    <i>
      <x v="7"/>
      <x/>
      <x v="26"/>
    </i>
    <i r="2">
      <x v="83"/>
    </i>
    <i t="default" r="1">
      <x/>
    </i>
    <i t="default">
      <x v="7"/>
    </i>
    <i>
      <x v="8"/>
      <x v="2"/>
      <x v="261"/>
    </i>
    <i t="default" r="1">
      <x v="2"/>
    </i>
    <i t="default">
      <x v="8"/>
    </i>
    <i>
      <x v="9"/>
      <x/>
      <x v="26"/>
    </i>
    <i t="default" r="1">
      <x/>
    </i>
    <i t="default">
      <x v="9"/>
    </i>
    <i>
      <x v="10"/>
      <x/>
      <x v="26"/>
    </i>
    <i r="2">
      <x v="81"/>
    </i>
    <i r="2">
      <x v="254"/>
    </i>
    <i t="default" r="1">
      <x/>
    </i>
    <i t="default">
      <x v="10"/>
    </i>
    <i>
      <x v="11"/>
      <x v="2"/>
      <x v="146"/>
    </i>
    <i r="2">
      <x v="212"/>
    </i>
    <i t="default" r="1">
      <x v="2"/>
    </i>
    <i t="default">
      <x v="11"/>
    </i>
    <i>
      <x v="12"/>
      <x/>
      <x v="7"/>
    </i>
    <i r="2">
      <x v="81"/>
    </i>
    <i r="2">
      <x v="83"/>
    </i>
    <i r="2">
      <x v="103"/>
    </i>
    <i t="default" r="1">
      <x/>
    </i>
    <i t="default">
      <x v="12"/>
    </i>
    <i>
      <x v="13"/>
      <x v="2"/>
      <x v="136"/>
    </i>
    <i t="default" r="1">
      <x v="2"/>
    </i>
    <i t="default">
      <x v="13"/>
    </i>
    <i>
      <x v="14"/>
      <x/>
      <x v="27"/>
    </i>
    <i r="2">
      <x v="72"/>
    </i>
    <i r="2">
      <x v="104"/>
    </i>
    <i r="2">
      <x v="254"/>
    </i>
    <i t="default" r="1">
      <x/>
    </i>
    <i t="default">
      <x v="14"/>
    </i>
    <i>
      <x v="15"/>
      <x v="2"/>
      <x v="7"/>
    </i>
    <i r="2">
      <x v="26"/>
    </i>
    <i r="2">
      <x v="254"/>
    </i>
    <i t="default" r="1">
      <x v="2"/>
    </i>
    <i t="default">
      <x v="15"/>
    </i>
    <i>
      <x v="16"/>
      <x v="2"/>
      <x v="27"/>
    </i>
    <i r="2">
      <x v="83"/>
    </i>
    <i r="2">
      <x v="101"/>
    </i>
    <i r="2">
      <x v="254"/>
    </i>
    <i t="default" r="1">
      <x v="2"/>
    </i>
    <i t="default">
      <x v="16"/>
    </i>
    <i>
      <x v="17"/>
      <x v="2"/>
      <x v="26"/>
    </i>
    <i r="2">
      <x v="79"/>
    </i>
    <i r="2">
      <x v="106"/>
    </i>
    <i r="2">
      <x v="160"/>
    </i>
    <i r="2">
      <x v="261"/>
    </i>
    <i t="default" r="1">
      <x v="2"/>
    </i>
    <i t="default">
      <x v="17"/>
    </i>
    <i>
      <x v="18"/>
      <x v="2"/>
      <x v="144"/>
    </i>
    <i r="2">
      <x v="160"/>
    </i>
    <i t="default" r="1">
      <x v="2"/>
    </i>
    <i t="default">
      <x v="18"/>
    </i>
    <i>
      <x v="19"/>
      <x v="2"/>
      <x v="144"/>
    </i>
    <i r="2">
      <x v="160"/>
    </i>
    <i t="default" r="1">
      <x v="2"/>
    </i>
    <i t="default">
      <x v="19"/>
    </i>
    <i>
      <x v="20"/>
      <x/>
      <x v="26"/>
    </i>
    <i r="2">
      <x v="103"/>
    </i>
    <i r="2">
      <x v="144"/>
    </i>
    <i t="default" r="1">
      <x/>
    </i>
    <i t="default">
      <x v="20"/>
    </i>
    <i>
      <x v="21"/>
      <x v="2"/>
      <x v="26"/>
    </i>
    <i r="2">
      <x v="34"/>
    </i>
    <i t="default" r="1">
      <x v="2"/>
    </i>
    <i t="default">
      <x v="21"/>
    </i>
    <i>
      <x v="22"/>
      <x v="2"/>
      <x v="7"/>
    </i>
    <i r="2">
      <x v="27"/>
    </i>
    <i r="2">
      <x v="212"/>
    </i>
    <i t="default" r="1">
      <x v="2"/>
    </i>
    <i t="default">
      <x v="22"/>
    </i>
    <i>
      <x v="23"/>
      <x/>
      <x v="104"/>
    </i>
    <i r="2">
      <x v="151"/>
    </i>
    <i t="default" r="1">
      <x/>
    </i>
    <i t="default">
      <x v="23"/>
    </i>
    <i>
      <x v="24"/>
      <x/>
      <x v="7"/>
    </i>
    <i r="2">
      <x v="26"/>
    </i>
    <i r="2">
      <x v="27"/>
    </i>
    <i r="2">
      <x v="144"/>
    </i>
    <i t="default" r="1">
      <x/>
    </i>
    <i t="default">
      <x v="24"/>
    </i>
    <i>
      <x v="25"/>
      <x/>
      <x v="7"/>
    </i>
    <i r="2">
      <x v="72"/>
    </i>
    <i r="2">
      <x v="106"/>
    </i>
    <i r="2">
      <x v="261"/>
    </i>
    <i t="default" r="1">
      <x/>
    </i>
    <i t="default">
      <x v="25"/>
    </i>
    <i>
      <x v="26"/>
      <x/>
      <x v="81"/>
    </i>
    <i r="2">
      <x v="101"/>
    </i>
    <i r="2">
      <x v="105"/>
    </i>
    <i r="2">
      <x v="254"/>
    </i>
    <i t="default" r="1">
      <x/>
    </i>
    <i t="default">
      <x v="26"/>
    </i>
    <i>
      <x v="27"/>
      <x/>
      <x v="26"/>
    </i>
    <i r="2">
      <x v="101"/>
    </i>
    <i r="2">
      <x v="136"/>
    </i>
    <i r="2">
      <x v="261"/>
    </i>
    <i t="default" r="1">
      <x/>
    </i>
    <i t="default">
      <x v="27"/>
    </i>
    <i>
      <x v="28"/>
      <x/>
      <x v="7"/>
    </i>
    <i r="2">
      <x v="26"/>
    </i>
    <i r="2">
      <x v="72"/>
    </i>
    <i r="2">
      <x v="136"/>
    </i>
    <i r="2">
      <x v="254"/>
    </i>
    <i t="default" r="1">
      <x/>
    </i>
    <i t="default">
      <x v="28"/>
    </i>
    <i>
      <x v="29"/>
      <x/>
      <x v="81"/>
    </i>
    <i r="2">
      <x v="103"/>
    </i>
    <i r="2">
      <x v="105"/>
    </i>
    <i r="2">
      <x v="212"/>
    </i>
    <i r="2">
      <x v="261"/>
    </i>
    <i t="default" r="1">
      <x/>
    </i>
    <i t="default">
      <x v="29"/>
    </i>
    <i>
      <x v="30"/>
      <x v="1"/>
      <x v="146"/>
    </i>
    <i r="2">
      <x v="160"/>
    </i>
    <i t="default" r="1">
      <x v="1"/>
    </i>
    <i t="default">
      <x v="30"/>
    </i>
    <i>
      <x v="31"/>
      <x v="2"/>
      <x v="72"/>
    </i>
    <i r="2">
      <x v="79"/>
    </i>
    <i r="2">
      <x v="254"/>
    </i>
    <i t="default" r="1">
      <x v="2"/>
    </i>
    <i t="default">
      <x v="31"/>
    </i>
    <i>
      <x v="32"/>
      <x/>
      <x v="27"/>
    </i>
    <i r="2">
      <x v="261"/>
    </i>
    <i t="default" r="1">
      <x/>
    </i>
    <i t="default">
      <x v="32"/>
    </i>
    <i>
      <x v="33"/>
      <x/>
      <x v="103"/>
    </i>
    <i r="2">
      <x v="144"/>
    </i>
    <i r="2">
      <x v="254"/>
    </i>
    <i t="default" r="1">
      <x/>
    </i>
    <i t="default">
      <x v="33"/>
    </i>
    <i>
      <x v="34"/>
      <x/>
      <x v="7"/>
    </i>
    <i r="2">
      <x v="26"/>
    </i>
    <i r="2">
      <x v="83"/>
    </i>
    <i r="2">
      <x v="101"/>
    </i>
    <i r="2">
      <x v="104"/>
    </i>
    <i t="default" r="1">
      <x/>
    </i>
    <i t="default">
      <x v="34"/>
    </i>
    <i>
      <x v="35"/>
      <x/>
      <x v="101"/>
    </i>
    <i r="2">
      <x v="151"/>
    </i>
    <i r="2">
      <x v="160"/>
    </i>
    <i t="default" r="1">
      <x/>
    </i>
    <i t="default">
      <x v="35"/>
    </i>
    <i>
      <x v="36"/>
      <x/>
      <x v="81"/>
    </i>
    <i t="default" r="1">
      <x/>
    </i>
    <i t="default">
      <x v="36"/>
    </i>
    <i>
      <x v="37"/>
      <x/>
      <x v="27"/>
    </i>
    <i r="2">
      <x v="72"/>
    </i>
    <i r="2">
      <x v="79"/>
    </i>
    <i r="2">
      <x v="144"/>
    </i>
    <i r="2">
      <x v="261"/>
    </i>
    <i t="default" r="1">
      <x/>
    </i>
    <i t="default">
      <x v="37"/>
    </i>
    <i>
      <x v="38"/>
      <x/>
      <x v="26"/>
    </i>
    <i r="2">
      <x v="34"/>
    </i>
    <i r="2">
      <x v="81"/>
    </i>
    <i r="2">
      <x v="151"/>
    </i>
    <i t="default" r="1">
      <x/>
    </i>
    <i t="default">
      <x v="38"/>
    </i>
    <i>
      <x v="39"/>
      <x v="2"/>
      <x v="103"/>
    </i>
    <i r="2">
      <x v="254"/>
    </i>
    <i t="default" r="1">
      <x v="2"/>
    </i>
    <i t="default">
      <x v="39"/>
    </i>
    <i>
      <x v="40"/>
      <x/>
      <x v="81"/>
    </i>
    <i r="2">
      <x v="101"/>
    </i>
    <i r="2">
      <x v="105"/>
    </i>
    <i t="default" r="1">
      <x/>
    </i>
    <i t="default">
      <x v="40"/>
    </i>
    <i>
      <x v="41"/>
      <x/>
      <x v="105"/>
    </i>
    <i t="default" r="1">
      <x/>
    </i>
    <i t="default">
      <x v="41"/>
    </i>
    <i>
      <x v="42"/>
      <x/>
      <x v="7"/>
    </i>
    <i r="2">
      <x v="72"/>
    </i>
    <i t="default" r="1">
      <x/>
    </i>
    <i t="default">
      <x v="42"/>
    </i>
    <i>
      <x v="43"/>
      <x/>
      <x v="81"/>
    </i>
    <i r="2">
      <x v="261"/>
    </i>
    <i t="default" r="1">
      <x/>
    </i>
    <i t="default">
      <x v="43"/>
    </i>
    <i>
      <x v="44"/>
      <x/>
      <x v="7"/>
    </i>
    <i r="2">
      <x v="26"/>
    </i>
    <i r="2">
      <x v="212"/>
    </i>
    <i t="default" r="1">
      <x/>
    </i>
    <i t="default">
      <x v="44"/>
    </i>
    <i>
      <x v="45"/>
      <x/>
      <x v="103"/>
    </i>
    <i t="default" r="1">
      <x/>
    </i>
    <i t="default">
      <x v="45"/>
    </i>
    <i>
      <x v="46"/>
      <x/>
      <x v="7"/>
    </i>
    <i r="2">
      <x v="34"/>
    </i>
    <i r="2">
      <x v="79"/>
    </i>
    <i r="2">
      <x v="136"/>
    </i>
    <i t="default" r="1">
      <x/>
    </i>
    <i t="default">
      <x v="46"/>
    </i>
    <i>
      <x v="47"/>
      <x/>
      <x v="26"/>
    </i>
    <i r="2">
      <x v="101"/>
    </i>
    <i r="2">
      <x v="146"/>
    </i>
    <i r="2">
      <x v="212"/>
    </i>
    <i t="default" r="1">
      <x/>
    </i>
    <i t="default">
      <x v="47"/>
    </i>
    <i>
      <x v="48"/>
      <x/>
      <x v="7"/>
    </i>
    <i t="default" r="1">
      <x/>
    </i>
    <i t="default">
      <x v="48"/>
    </i>
    <i>
      <x v="49"/>
      <x v="1"/>
      <x v="7"/>
    </i>
    <i r="2">
      <x v="81"/>
    </i>
    <i r="2">
      <x v="151"/>
    </i>
    <i t="default" r="1">
      <x v="1"/>
    </i>
    <i t="default">
      <x v="49"/>
    </i>
    <i>
      <x v="50"/>
      <x/>
      <x v="7"/>
    </i>
    <i r="2">
      <x v="81"/>
    </i>
    <i r="2">
      <x v="83"/>
    </i>
    <i t="default" r="1">
      <x/>
    </i>
    <i t="default">
      <x v="50"/>
    </i>
    <i>
      <x v="51"/>
      <x v="2"/>
      <x v="79"/>
    </i>
    <i t="default" r="1">
      <x v="2"/>
    </i>
    <i t="default">
      <x v="51"/>
    </i>
    <i>
      <x v="52"/>
      <x/>
      <x v="26"/>
    </i>
    <i r="2">
      <x v="27"/>
    </i>
    <i r="2">
      <x v="79"/>
    </i>
    <i r="2">
      <x v="254"/>
    </i>
    <i t="default" r="1">
      <x/>
    </i>
    <i t="default">
      <x v="52"/>
    </i>
    <i>
      <x v="53"/>
      <x/>
      <x v="81"/>
    </i>
    <i r="2">
      <x v="151"/>
    </i>
    <i t="default" r="1">
      <x/>
    </i>
    <i t="default">
      <x v="53"/>
    </i>
    <i>
      <x v="54"/>
      <x/>
      <x v="7"/>
    </i>
    <i r="2">
      <x v="34"/>
    </i>
    <i r="2">
      <x v="79"/>
    </i>
    <i t="default" r="1">
      <x/>
    </i>
    <i t="default">
      <x v="54"/>
    </i>
    <i>
      <x v="55"/>
      <x/>
      <x v="83"/>
    </i>
    <i t="default" r="1">
      <x/>
    </i>
    <i t="default">
      <x v="55"/>
    </i>
    <i>
      <x v="56"/>
      <x/>
      <x v="7"/>
    </i>
    <i r="2">
      <x v="27"/>
    </i>
    <i r="2">
      <x v="105"/>
    </i>
    <i t="default" r="1">
      <x/>
    </i>
    <i t="default">
      <x v="56"/>
    </i>
    <i>
      <x v="57"/>
      <x/>
      <x v="26"/>
    </i>
    <i r="2">
      <x v="27"/>
    </i>
    <i r="2">
      <x v="104"/>
    </i>
    <i t="default" r="1">
      <x/>
    </i>
    <i t="default">
      <x v="57"/>
    </i>
    <i>
      <x v="58"/>
      <x/>
      <x v="7"/>
    </i>
    <i r="2">
      <x v="103"/>
    </i>
    <i r="2">
      <x v="106"/>
    </i>
    <i t="default" r="1">
      <x/>
    </i>
    <i t="default">
      <x v="58"/>
    </i>
    <i>
      <x v="59"/>
      <x v="2"/>
      <x v="26"/>
    </i>
    <i r="2">
      <x v="34"/>
    </i>
    <i r="2">
      <x v="212"/>
    </i>
    <i t="default" r="1">
      <x v="2"/>
    </i>
    <i t="default">
      <x v="59"/>
    </i>
    <i>
      <x v="60"/>
      <x/>
      <x v="34"/>
    </i>
    <i r="2">
      <x v="79"/>
    </i>
    <i r="2">
      <x v="101"/>
    </i>
    <i t="default" r="1">
      <x/>
    </i>
    <i t="default">
      <x v="60"/>
    </i>
    <i>
      <x v="61"/>
      <x v="2"/>
      <x v="26"/>
    </i>
    <i r="2">
      <x v="254"/>
    </i>
    <i t="default" r="1">
      <x v="2"/>
    </i>
    <i t="default">
      <x v="61"/>
    </i>
    <i>
      <x v="62"/>
      <x/>
      <x v="79"/>
    </i>
    <i r="2">
      <x v="105"/>
    </i>
    <i r="2">
      <x v="151"/>
    </i>
    <i t="default" r="1">
      <x/>
    </i>
    <i t="default">
      <x v="62"/>
    </i>
    <i>
      <x v="63"/>
      <x/>
      <x v="26"/>
    </i>
    <i r="2">
      <x v="27"/>
    </i>
    <i r="2">
      <x v="72"/>
    </i>
    <i r="2">
      <x v="79"/>
    </i>
    <i t="default" r="1">
      <x/>
    </i>
    <i t="default">
      <x v="63"/>
    </i>
    <i>
      <x v="64"/>
      <x/>
      <x v="72"/>
    </i>
    <i t="default" r="1">
      <x/>
    </i>
    <i t="default">
      <x v="64"/>
    </i>
    <i>
      <x v="65"/>
      <x/>
      <x v="27"/>
    </i>
    <i r="2">
      <x v="72"/>
    </i>
    <i r="2">
      <x v="106"/>
    </i>
    <i t="default" r="1">
      <x/>
    </i>
    <i t="default">
      <x v="65"/>
    </i>
    <i>
      <x v="66"/>
      <x v="1"/>
      <x v="7"/>
    </i>
    <i r="2">
      <x v="27"/>
    </i>
    <i r="2">
      <x v="72"/>
    </i>
    <i r="2">
      <x v="101"/>
    </i>
    <i r="2">
      <x v="105"/>
    </i>
    <i t="default" r="1">
      <x v="1"/>
    </i>
    <i t="default">
      <x v="66"/>
    </i>
    <i>
      <x v="67"/>
      <x/>
      <x v="7"/>
    </i>
    <i r="2">
      <x v="103"/>
    </i>
    <i t="default" r="1">
      <x/>
    </i>
    <i t="default">
      <x v="67"/>
    </i>
    <i>
      <x v="68"/>
      <x/>
      <x v="26"/>
    </i>
    <i r="2">
      <x v="101"/>
    </i>
    <i r="2">
      <x v="144"/>
    </i>
    <i t="default" r="1">
      <x/>
    </i>
    <i t="default">
      <x v="68"/>
    </i>
    <i>
      <x v="69"/>
      <x v="1"/>
      <x v="83"/>
    </i>
    <i r="2">
      <x v="104"/>
    </i>
    <i r="2">
      <x v="151"/>
    </i>
    <i t="default" r="1">
      <x v="1"/>
    </i>
    <i t="default">
      <x v="69"/>
    </i>
    <i>
      <x v="70"/>
      <x/>
      <x v="72"/>
    </i>
    <i r="2">
      <x v="81"/>
    </i>
    <i r="2">
      <x v="104"/>
    </i>
    <i t="default" r="1">
      <x/>
    </i>
    <i t="default">
      <x v="70"/>
    </i>
    <i>
      <x v="71"/>
      <x v="2"/>
      <x v="7"/>
    </i>
    <i r="2">
      <x v="72"/>
    </i>
    <i r="2">
      <x v="103"/>
    </i>
    <i t="default" r="1">
      <x v="2"/>
    </i>
    <i t="default">
      <x v="71"/>
    </i>
    <i>
      <x v="72"/>
      <x/>
      <x v="26"/>
    </i>
    <i r="2">
      <x v="27"/>
    </i>
    <i r="2">
      <x v="79"/>
    </i>
    <i r="2">
      <x v="81"/>
    </i>
    <i r="2">
      <x v="151"/>
    </i>
    <i t="default" r="1">
      <x/>
    </i>
    <i t="default">
      <x v="72"/>
    </i>
    <i>
      <x v="73"/>
      <x/>
      <x v="81"/>
    </i>
    <i r="2">
      <x v="136"/>
    </i>
    <i t="default" r="1">
      <x/>
    </i>
    <i t="default">
      <x v="73"/>
    </i>
    <i>
      <x v="74"/>
      <x/>
      <x v="34"/>
    </i>
    <i r="2">
      <x v="151"/>
    </i>
    <i r="2">
      <x v="261"/>
    </i>
    <i t="default" r="1">
      <x/>
    </i>
    <i t="default">
      <x v="74"/>
    </i>
    <i>
      <x v="75"/>
      <x/>
      <x v="72"/>
    </i>
    <i r="2">
      <x v="101"/>
    </i>
    <i r="2">
      <x v="146"/>
    </i>
    <i t="default" r="1">
      <x/>
    </i>
    <i t="default">
      <x v="75"/>
    </i>
    <i>
      <x v="76"/>
      <x v="2"/>
      <x v="72"/>
    </i>
    <i r="2">
      <x v="79"/>
    </i>
    <i r="2">
      <x v="81"/>
    </i>
    <i r="2">
      <x v="83"/>
    </i>
    <i t="default" r="1">
      <x v="2"/>
    </i>
    <i t="default">
      <x v="76"/>
    </i>
    <i>
      <x v="77"/>
      <x/>
      <x v="26"/>
    </i>
    <i r="2">
      <x v="103"/>
    </i>
    <i r="2">
      <x v="104"/>
    </i>
    <i r="2">
      <x v="105"/>
    </i>
    <i t="default" r="1">
      <x/>
    </i>
    <i t="default">
      <x v="77"/>
    </i>
    <i>
      <x v="78"/>
      <x v="2"/>
      <x v="79"/>
    </i>
    <i r="2">
      <x v="103"/>
    </i>
    <i r="2">
      <x v="136"/>
    </i>
    <i r="2">
      <x v="160"/>
    </i>
    <i t="default" r="1">
      <x v="2"/>
    </i>
    <i t="default">
      <x v="78"/>
    </i>
    <i>
      <x v="79"/>
      <x/>
      <x v="72"/>
    </i>
    <i r="2">
      <x v="81"/>
    </i>
    <i r="2">
      <x v="103"/>
    </i>
    <i t="default" r="1">
      <x/>
    </i>
    <i t="default">
      <x v="79"/>
    </i>
    <i>
      <x v="80"/>
      <x/>
      <x v="27"/>
    </i>
    <i r="2">
      <x v="79"/>
    </i>
    <i r="2">
      <x v="144"/>
    </i>
    <i t="default" r="1">
      <x/>
    </i>
    <i t="default">
      <x v="80"/>
    </i>
    <i>
      <x v="81"/>
      <x/>
      <x v="79"/>
    </i>
    <i r="2">
      <x v="146"/>
    </i>
    <i t="default" r="1">
      <x/>
    </i>
    <i t="default">
      <x v="81"/>
    </i>
    <i>
      <x v="82"/>
      <x v="2"/>
      <x v="83"/>
    </i>
    <i r="2">
      <x v="151"/>
    </i>
    <i t="default" r="1">
      <x v="2"/>
    </i>
    <i t="default">
      <x v="82"/>
    </i>
    <i>
      <x v="83"/>
      <x/>
      <x v="27"/>
    </i>
    <i r="2">
      <x v="34"/>
    </i>
    <i t="default" r="1">
      <x/>
    </i>
    <i t="default">
      <x v="83"/>
    </i>
    <i>
      <x v="84"/>
      <x/>
      <x v="104"/>
    </i>
    <i r="2">
      <x v="212"/>
    </i>
    <i t="default" r="1">
      <x/>
    </i>
    <i t="default">
      <x v="84"/>
    </i>
    <i>
      <x v="85"/>
      <x/>
      <x v="7"/>
    </i>
    <i r="2">
      <x v="27"/>
    </i>
    <i r="2">
      <x v="34"/>
    </i>
    <i r="2">
      <x v="160"/>
    </i>
    <i t="default" r="1">
      <x/>
    </i>
    <i t="default">
      <x v="85"/>
    </i>
    <i>
      <x v="86"/>
      <x/>
      <x v="27"/>
    </i>
    <i r="2">
      <x v="83"/>
    </i>
    <i t="default" r="1">
      <x/>
    </i>
    <i t="default">
      <x v="86"/>
    </i>
    <i>
      <x v="87"/>
      <x/>
      <x v="144"/>
    </i>
    <i r="2">
      <x v="254"/>
    </i>
    <i r="2">
      <x v="261"/>
    </i>
    <i t="default" r="1">
      <x/>
    </i>
    <i t="default">
      <x v="87"/>
    </i>
    <i>
      <x v="88"/>
      <x v="1"/>
      <x v="101"/>
    </i>
    <i r="2">
      <x v="136"/>
    </i>
    <i t="default" r="1">
      <x v="1"/>
    </i>
    <i t="default">
      <x v="88"/>
    </i>
    <i>
      <x v="89"/>
      <x/>
      <x v="136"/>
    </i>
    <i r="2">
      <x v="151"/>
    </i>
    <i t="default" r="1">
      <x/>
    </i>
    <i t="default">
      <x v="89"/>
    </i>
    <i>
      <x v="90"/>
      <x v="2"/>
      <x v="7"/>
    </i>
    <i r="2">
      <x v="34"/>
    </i>
    <i r="2">
      <x v="79"/>
    </i>
    <i r="2">
      <x v="146"/>
    </i>
    <i t="default" r="1">
      <x v="2"/>
    </i>
    <i t="default">
      <x v="90"/>
    </i>
    <i>
      <x v="91"/>
      <x/>
      <x v="254"/>
    </i>
    <i t="default" r="1">
      <x/>
    </i>
    <i t="default">
      <x v="91"/>
    </i>
    <i>
      <x v="92"/>
      <x v="2"/>
      <x v="7"/>
    </i>
    <i r="2">
      <x v="26"/>
    </i>
    <i r="2">
      <x v="103"/>
    </i>
    <i r="2">
      <x v="106"/>
    </i>
    <i r="2">
      <x v="144"/>
    </i>
    <i t="default" r="1">
      <x v="2"/>
    </i>
    <i t="default">
      <x v="92"/>
    </i>
    <i>
      <x v="93"/>
      <x v="2"/>
      <x v="7"/>
    </i>
    <i r="2">
      <x v="72"/>
    </i>
    <i r="2">
      <x v="146"/>
    </i>
    <i r="2">
      <x v="212"/>
    </i>
    <i t="default" r="1">
      <x v="2"/>
    </i>
    <i t="default">
      <x v="93"/>
    </i>
    <i>
      <x v="94"/>
      <x/>
      <x v="83"/>
    </i>
    <i r="2">
      <x v="105"/>
    </i>
    <i r="2">
      <x v="144"/>
    </i>
    <i r="2">
      <x v="254"/>
    </i>
    <i t="default" r="1">
      <x/>
    </i>
    <i t="default">
      <x v="94"/>
    </i>
    <i>
      <x v="95"/>
      <x/>
      <x v="27"/>
    </i>
    <i r="2">
      <x v="81"/>
    </i>
    <i t="default" r="1">
      <x/>
    </i>
    <i t="default">
      <x v="95"/>
    </i>
    <i>
      <x v="96"/>
      <x/>
      <x v="83"/>
    </i>
    <i r="2">
      <x v="105"/>
    </i>
    <i r="2">
      <x v="106"/>
    </i>
    <i r="2">
      <x v="136"/>
    </i>
    <i t="default" r="1">
      <x/>
    </i>
    <i t="default">
      <x v="96"/>
    </i>
    <i>
      <x v="97"/>
      <x/>
      <x v="7"/>
    </i>
    <i r="2">
      <x v="26"/>
    </i>
    <i r="2">
      <x v="105"/>
    </i>
    <i r="2">
      <x v="106"/>
    </i>
    <i t="default" r="1">
      <x/>
    </i>
    <i t="default">
      <x v="97"/>
    </i>
    <i>
      <x v="98"/>
      <x v="1"/>
      <x v="7"/>
    </i>
    <i r="2">
      <x v="27"/>
    </i>
    <i r="2">
      <x v="79"/>
    </i>
    <i r="2">
      <x v="261"/>
    </i>
    <i t="default" r="1">
      <x v="1"/>
    </i>
    <i t="default">
      <x v="98"/>
    </i>
    <i>
      <x v="99"/>
      <x/>
      <x v="72"/>
    </i>
    <i r="2">
      <x v="81"/>
    </i>
    <i r="2">
      <x v="146"/>
    </i>
    <i r="2">
      <x v="261"/>
    </i>
    <i t="default" r="1">
      <x/>
    </i>
    <i t="default">
      <x v="99"/>
    </i>
    <i>
      <x v="100"/>
      <x v="1"/>
      <x v="72"/>
    </i>
    <i t="default" r="1">
      <x v="1"/>
    </i>
    <i t="default">
      <x v="100"/>
    </i>
    <i>
      <x v="101"/>
      <x/>
      <x v="26"/>
    </i>
    <i r="2">
      <x v="34"/>
    </i>
    <i t="default" r="1">
      <x/>
    </i>
    <i t="default">
      <x v="101"/>
    </i>
    <i>
      <x v="102"/>
      <x v="2"/>
      <x v="34"/>
    </i>
    <i r="2">
      <x v="103"/>
    </i>
    <i r="2">
      <x v="104"/>
    </i>
    <i r="2">
      <x v="151"/>
    </i>
    <i r="2">
      <x v="160"/>
    </i>
    <i t="default" r="1">
      <x v="2"/>
    </i>
    <i t="default">
      <x v="102"/>
    </i>
    <i>
      <x v="103"/>
      <x/>
      <x v="81"/>
    </i>
    <i r="2">
      <x v="105"/>
    </i>
    <i t="default" r="1">
      <x/>
    </i>
    <i t="default">
      <x v="103"/>
    </i>
    <i>
      <x v="104"/>
      <x/>
      <x v="146"/>
    </i>
    <i r="2">
      <x v="151"/>
    </i>
    <i r="2">
      <x v="160"/>
    </i>
    <i t="default" r="1">
      <x/>
    </i>
    <i t="default">
      <x v="104"/>
    </i>
    <i>
      <x v="105"/>
      <x v="1"/>
      <x v="7"/>
    </i>
    <i r="2">
      <x v="103"/>
    </i>
    <i t="default" r="1">
      <x v="1"/>
    </i>
    <i t="default">
      <x v="105"/>
    </i>
    <i>
      <x v="106"/>
      <x v="2"/>
      <x v="7"/>
    </i>
    <i r="2">
      <x v="105"/>
    </i>
    <i t="default" r="1">
      <x v="2"/>
    </i>
    <i t="default">
      <x v="106"/>
    </i>
    <i>
      <x v="107"/>
      <x/>
      <x v="26"/>
    </i>
    <i r="2">
      <x v="81"/>
    </i>
    <i r="2">
      <x v="146"/>
    </i>
    <i t="default" r="1">
      <x/>
    </i>
    <i t="default">
      <x v="107"/>
    </i>
    <i>
      <x v="108"/>
      <x/>
      <x v="26"/>
    </i>
    <i r="2">
      <x v="136"/>
    </i>
    <i t="default" r="1">
      <x/>
    </i>
    <i t="default">
      <x v="108"/>
    </i>
    <i>
      <x v="109"/>
      <x v="1"/>
      <x v="26"/>
    </i>
    <i t="default" r="1">
      <x v="1"/>
    </i>
    <i t="default">
      <x v="109"/>
    </i>
    <i>
      <x v="110"/>
      <x/>
      <x v="26"/>
    </i>
    <i r="2">
      <x v="72"/>
    </i>
    <i t="default" r="1">
      <x/>
    </i>
    <i t="default">
      <x v="110"/>
    </i>
    <i>
      <x v="111"/>
      <x/>
      <x v="27"/>
    </i>
    <i r="2">
      <x v="72"/>
    </i>
    <i r="2">
      <x v="79"/>
    </i>
    <i r="2">
      <x v="101"/>
    </i>
    <i t="default" r="1">
      <x/>
    </i>
    <i t="default">
      <x v="111"/>
    </i>
    <i>
      <x v="112"/>
      <x/>
      <x v="27"/>
    </i>
    <i r="2">
      <x v="72"/>
    </i>
    <i r="2">
      <x v="101"/>
    </i>
    <i r="2">
      <x v="136"/>
    </i>
    <i t="default" r="1">
      <x/>
    </i>
    <i t="default">
      <x v="112"/>
    </i>
    <i>
      <x v="113"/>
      <x/>
      <x v="7"/>
    </i>
    <i r="2">
      <x v="72"/>
    </i>
    <i r="2">
      <x v="106"/>
    </i>
    <i t="default" r="1">
      <x/>
    </i>
    <i t="default">
      <x v="113"/>
    </i>
    <i>
      <x v="114"/>
      <x/>
      <x v="26"/>
    </i>
    <i r="2">
      <x v="105"/>
    </i>
    <i t="default" r="1">
      <x/>
    </i>
    <i t="default">
      <x v="114"/>
    </i>
    <i>
      <x v="115"/>
      <x/>
      <x v="81"/>
    </i>
    <i t="default" r="1">
      <x/>
    </i>
    <i t="default">
      <x v="115"/>
    </i>
    <i>
      <x v="116"/>
      <x/>
      <x v="26"/>
    </i>
    <i r="2">
      <x v="81"/>
    </i>
    <i r="2">
      <x v="105"/>
    </i>
    <i t="default" r="1">
      <x/>
    </i>
    <i t="default">
      <x v="116"/>
    </i>
    <i>
      <x v="117"/>
      <x v="2"/>
      <x v="27"/>
    </i>
    <i r="2">
      <x v="104"/>
    </i>
    <i r="2">
      <x v="136"/>
    </i>
    <i r="2">
      <x v="151"/>
    </i>
    <i r="2">
      <x v="212"/>
    </i>
    <i t="default" r="1">
      <x v="2"/>
    </i>
    <i t="default">
      <x v="117"/>
    </i>
    <i>
      <x v="118"/>
      <x/>
      <x v="79"/>
    </i>
    <i t="default" r="1">
      <x/>
    </i>
    <i t="default">
      <x v="118"/>
    </i>
    <i>
      <x v="119"/>
      <x/>
      <x v="7"/>
    </i>
    <i r="2">
      <x v="81"/>
    </i>
    <i r="2">
      <x v="103"/>
    </i>
    <i r="2">
      <x v="136"/>
    </i>
    <i r="2">
      <x v="144"/>
    </i>
    <i t="default" r="1">
      <x/>
    </i>
    <i t="default">
      <x v="119"/>
    </i>
    <i>
      <x v="120"/>
      <x/>
      <x v="26"/>
    </i>
    <i r="2">
      <x v="72"/>
    </i>
    <i r="2">
      <x v="101"/>
    </i>
    <i r="2">
      <x v="106"/>
    </i>
    <i r="2">
      <x v="212"/>
    </i>
    <i t="default" r="1">
      <x/>
    </i>
    <i t="default">
      <x v="120"/>
    </i>
    <i>
      <x v="121"/>
      <x/>
      <x v="81"/>
    </i>
    <i t="default" r="1">
      <x/>
    </i>
    <i t="default">
      <x v="121"/>
    </i>
    <i>
      <x v="122"/>
      <x/>
      <x v="72"/>
    </i>
    <i t="default" r="1">
      <x/>
    </i>
    <i t="default">
      <x v="122"/>
    </i>
    <i>
      <x v="123"/>
      <x v="2"/>
      <x v="81"/>
    </i>
    <i r="2">
      <x v="212"/>
    </i>
    <i r="2">
      <x v="261"/>
    </i>
    <i t="default" r="1">
      <x v="2"/>
    </i>
    <i t="default">
      <x v="123"/>
    </i>
    <i>
      <x v="124"/>
      <x/>
      <x v="103"/>
    </i>
    <i t="default" r="1">
      <x/>
    </i>
    <i t="default">
      <x v="124"/>
    </i>
    <i>
      <x v="125"/>
      <x/>
      <x v="160"/>
    </i>
    <i t="default" r="1">
      <x/>
    </i>
    <i t="default">
      <x v="125"/>
    </i>
    <i>
      <x v="126"/>
      <x v="1"/>
      <x v="83"/>
    </i>
    <i r="2">
      <x v="103"/>
    </i>
    <i r="2">
      <x v="212"/>
    </i>
    <i t="default" r="1">
      <x v="1"/>
    </i>
    <i t="default">
      <x v="126"/>
    </i>
    <i>
      <x v="127"/>
      <x/>
      <x v="72"/>
    </i>
    <i r="2">
      <x v="81"/>
    </i>
    <i r="2">
      <x v="151"/>
    </i>
    <i r="2">
      <x v="212"/>
    </i>
    <i t="default" r="1">
      <x/>
    </i>
    <i t="default">
      <x v="127"/>
    </i>
    <i>
      <x v="128"/>
      <x/>
      <x v="104"/>
    </i>
    <i r="2">
      <x v="160"/>
    </i>
    <i t="default" r="1">
      <x/>
    </i>
    <i t="default">
      <x v="128"/>
    </i>
    <i>
      <x v="129"/>
      <x/>
      <x v="81"/>
    </i>
    <i r="2">
      <x v="101"/>
    </i>
    <i t="default" r="1">
      <x/>
    </i>
    <i t="default">
      <x v="129"/>
    </i>
    <i>
      <x v="130"/>
      <x v="1"/>
      <x v="26"/>
    </i>
    <i r="2">
      <x v="72"/>
    </i>
    <i r="2">
      <x v="212"/>
    </i>
    <i t="default" r="1">
      <x v="1"/>
    </i>
    <i t="default">
      <x v="130"/>
    </i>
    <i>
      <x v="131"/>
      <x v="2"/>
      <x v="83"/>
    </i>
    <i r="2">
      <x v="106"/>
    </i>
    <i r="2">
      <x v="160"/>
    </i>
    <i t="default" r="1">
      <x v="2"/>
    </i>
    <i t="default">
      <x v="131"/>
    </i>
    <i>
      <x v="132"/>
      <x/>
      <x v="7"/>
    </i>
    <i r="2">
      <x v="26"/>
    </i>
    <i t="default" r="1">
      <x/>
    </i>
    <i t="default">
      <x v="132"/>
    </i>
    <i>
      <x v="133"/>
      <x/>
      <x v="104"/>
    </i>
    <i r="2">
      <x v="105"/>
    </i>
    <i r="2">
      <x v="106"/>
    </i>
    <i t="default" r="1">
      <x/>
    </i>
    <i t="default">
      <x v="133"/>
    </i>
    <i>
      <x v="134"/>
      <x/>
      <x v="79"/>
    </i>
    <i r="2">
      <x v="101"/>
    </i>
    <i r="2">
      <x v="104"/>
    </i>
    <i r="2">
      <x v="106"/>
    </i>
    <i t="default" r="1">
      <x/>
    </i>
    <i t="default">
      <x v="134"/>
    </i>
    <i>
      <x v="135"/>
      <x v="1"/>
      <x v="151"/>
    </i>
    <i r="2">
      <x v="261"/>
    </i>
    <i t="default" r="1">
      <x v="1"/>
    </i>
    <i t="default">
      <x v="135"/>
    </i>
    <i>
      <x v="136"/>
      <x/>
      <x v="26"/>
    </i>
    <i r="2">
      <x v="27"/>
    </i>
    <i t="default" r="1">
      <x/>
    </i>
    <i t="default">
      <x v="136"/>
    </i>
    <i>
      <x v="137"/>
      <x/>
      <x v="81"/>
    </i>
    <i r="2">
      <x v="136"/>
    </i>
    <i t="default" r="1">
      <x/>
    </i>
    <i t="default">
      <x v="137"/>
    </i>
    <i>
      <x v="138"/>
      <x/>
      <x v="105"/>
    </i>
    <i r="2">
      <x v="151"/>
    </i>
    <i t="default" r="1">
      <x/>
    </i>
    <i t="default">
      <x v="138"/>
    </i>
    <i>
      <x v="139"/>
      <x/>
      <x v="7"/>
    </i>
    <i r="2">
      <x v="34"/>
    </i>
    <i r="2">
      <x v="72"/>
    </i>
    <i r="2">
      <x v="151"/>
    </i>
    <i t="default" r="1">
      <x/>
    </i>
    <i t="default">
      <x v="139"/>
    </i>
    <i>
      <x v="140"/>
      <x/>
      <x v="104"/>
    </i>
    <i t="default" r="1">
      <x/>
    </i>
    <i t="default">
      <x v="140"/>
    </i>
    <i>
      <x v="141"/>
      <x v="2"/>
      <x v="81"/>
    </i>
    <i r="2">
      <x v="105"/>
    </i>
    <i r="2">
      <x v="146"/>
    </i>
    <i t="default" r="1">
      <x v="2"/>
    </i>
    <i t="default">
      <x v="141"/>
    </i>
    <i>
      <x v="142"/>
      <x/>
      <x v="136"/>
    </i>
    <i t="default" r="1">
      <x/>
    </i>
    <i t="default">
      <x v="142"/>
    </i>
    <i>
      <x v="143"/>
      <x/>
      <x v="254"/>
    </i>
    <i t="default" r="1">
      <x/>
    </i>
    <i t="default">
      <x v="143"/>
    </i>
    <i>
      <x v="144"/>
      <x/>
      <x v="146"/>
    </i>
    <i r="2">
      <x v="160"/>
    </i>
    <i t="default" r="1">
      <x/>
    </i>
    <i t="default">
      <x v="144"/>
    </i>
    <i>
      <x v="145"/>
      <x v="2"/>
      <x v="72"/>
    </i>
    <i r="2">
      <x v="83"/>
    </i>
    <i r="2">
      <x v="106"/>
    </i>
    <i r="2">
      <x v="136"/>
    </i>
    <i r="2">
      <x v="151"/>
    </i>
    <i t="default" r="1">
      <x v="2"/>
    </i>
    <i t="default">
      <x v="145"/>
    </i>
    <i>
      <x v="146"/>
      <x/>
      <x v="81"/>
    </i>
    <i t="default" r="1">
      <x/>
    </i>
    <i t="default">
      <x v="146"/>
    </i>
    <i>
      <x v="147"/>
      <x/>
      <x v="26"/>
    </i>
    <i t="default" r="1">
      <x/>
    </i>
    <i t="default">
      <x v="147"/>
    </i>
    <i>
      <x v="148"/>
      <x/>
      <x v="7"/>
    </i>
    <i r="2">
      <x v="72"/>
    </i>
    <i t="default" r="1">
      <x/>
    </i>
    <i t="default">
      <x v="148"/>
    </i>
    <i>
      <x v="149"/>
      <x v="2"/>
      <x v="79"/>
    </i>
    <i r="2">
      <x v="103"/>
    </i>
    <i r="2">
      <x v="151"/>
    </i>
    <i r="2">
      <x v="261"/>
    </i>
    <i t="default" r="1">
      <x v="2"/>
    </i>
    <i t="default">
      <x v="149"/>
    </i>
    <i>
      <x v="150"/>
      <x v="2"/>
      <x v="81"/>
    </i>
    <i r="2">
      <x v="103"/>
    </i>
    <i t="default" r="1">
      <x v="2"/>
    </i>
    <i t="default">
      <x v="150"/>
    </i>
    <i>
      <x v="151"/>
      <x/>
      <x v="26"/>
    </i>
    <i r="2">
      <x v="81"/>
    </i>
    <i r="2">
      <x v="136"/>
    </i>
    <i t="default" r="1">
      <x/>
    </i>
    <i t="default">
      <x v="151"/>
    </i>
    <i>
      <x v="152"/>
      <x/>
      <x v="34"/>
    </i>
    <i r="2">
      <x v="81"/>
    </i>
    <i r="2">
      <x v="254"/>
    </i>
    <i t="default" r="1">
      <x/>
    </i>
    <i t="default">
      <x v="152"/>
    </i>
    <i>
      <x v="153"/>
      <x v="2"/>
      <x v="72"/>
    </i>
    <i t="default" r="1">
      <x v="2"/>
    </i>
    <i t="default">
      <x v="153"/>
    </i>
    <i>
      <x v="154"/>
      <x/>
      <x v="254"/>
    </i>
    <i t="default" r="1">
      <x/>
    </i>
    <i t="default">
      <x v="154"/>
    </i>
    <i>
      <x v="155"/>
      <x v="2"/>
      <x v="103"/>
    </i>
    <i r="2">
      <x v="104"/>
    </i>
    <i r="2">
      <x v="136"/>
    </i>
    <i t="default" r="1">
      <x v="2"/>
    </i>
    <i t="default">
      <x v="155"/>
    </i>
    <i>
      <x v="156"/>
      <x v="1"/>
      <x v="212"/>
    </i>
    <i r="2">
      <x v="261"/>
    </i>
    <i t="default" r="1">
      <x v="1"/>
    </i>
    <i t="default">
      <x v="156"/>
    </i>
    <i>
      <x v="157"/>
      <x v="1"/>
      <x v="72"/>
    </i>
    <i t="default" r="1">
      <x v="1"/>
    </i>
    <i t="default">
      <x v="157"/>
    </i>
    <i>
      <x v="158"/>
      <x v="2"/>
      <x v="7"/>
    </i>
    <i t="default" r="1">
      <x v="2"/>
    </i>
    <i t="default">
      <x v="158"/>
    </i>
    <i>
      <x v="159"/>
      <x/>
      <x v="7"/>
    </i>
    <i r="2">
      <x v="34"/>
    </i>
    <i r="2">
      <x v="104"/>
    </i>
    <i r="2">
      <x v="146"/>
    </i>
    <i t="default" r="1">
      <x/>
    </i>
    <i t="default">
      <x v="159"/>
    </i>
    <i>
      <x v="160"/>
      <x/>
      <x v="26"/>
    </i>
    <i r="2">
      <x v="72"/>
    </i>
    <i r="2">
      <x v="261"/>
    </i>
    <i t="default" r="1">
      <x/>
    </i>
    <i t="default">
      <x v="160"/>
    </i>
    <i>
      <x v="161"/>
      <x v="2"/>
      <x v="7"/>
    </i>
    <i r="2">
      <x v="104"/>
    </i>
    <i r="2">
      <x v="151"/>
    </i>
    <i t="default" r="1">
      <x v="2"/>
    </i>
    <i t="default">
      <x v="161"/>
    </i>
    <i>
      <x v="162"/>
      <x/>
      <x v="72"/>
    </i>
    <i r="2">
      <x v="104"/>
    </i>
    <i t="default" r="1">
      <x/>
    </i>
    <i t="default">
      <x v="162"/>
    </i>
    <i>
      <x v="163"/>
      <x/>
      <x v="26"/>
    </i>
    <i r="2">
      <x v="144"/>
    </i>
    <i r="2">
      <x v="212"/>
    </i>
    <i t="default" r="1">
      <x/>
    </i>
    <i t="default">
      <x v="163"/>
    </i>
    <i>
      <x v="164"/>
      <x v="2"/>
      <x v="27"/>
    </i>
    <i r="2">
      <x v="106"/>
    </i>
    <i r="2">
      <x v="212"/>
    </i>
    <i t="default" r="1">
      <x v="2"/>
    </i>
    <i t="default">
      <x v="164"/>
    </i>
    <i>
      <x v="165"/>
      <x/>
      <x v="144"/>
    </i>
    <i r="2">
      <x v="146"/>
    </i>
    <i t="default" r="1">
      <x/>
    </i>
    <i t="default">
      <x v="165"/>
    </i>
    <i>
      <x v="166"/>
      <x/>
      <x v="7"/>
    </i>
    <i r="2">
      <x v="72"/>
    </i>
    <i r="2">
      <x v="144"/>
    </i>
    <i r="2">
      <x v="261"/>
    </i>
    <i t="default" r="1">
      <x/>
    </i>
    <i t="default">
      <x v="166"/>
    </i>
    <i>
      <x v="167"/>
      <x v="2"/>
      <x v="26"/>
    </i>
    <i r="2">
      <x v="72"/>
    </i>
    <i r="2">
      <x v="136"/>
    </i>
    <i r="2">
      <x v="146"/>
    </i>
    <i t="default" r="1">
      <x v="2"/>
    </i>
    <i t="default">
      <x v="167"/>
    </i>
    <i>
      <x v="168"/>
      <x/>
      <x v="26"/>
    </i>
    <i r="2">
      <x v="83"/>
    </i>
    <i r="2">
      <x v="101"/>
    </i>
    <i r="2">
      <x v="144"/>
    </i>
    <i r="2">
      <x v="146"/>
    </i>
    <i t="default" r="1">
      <x/>
    </i>
    <i t="default">
      <x v="168"/>
    </i>
    <i>
      <x v="169"/>
      <x/>
      <x v="72"/>
    </i>
    <i r="2">
      <x v="104"/>
    </i>
    <i r="2">
      <x v="261"/>
    </i>
    <i t="default" r="1">
      <x/>
    </i>
    <i t="default">
      <x v="169"/>
    </i>
    <i>
      <x v="170"/>
      <x v="2"/>
      <x v="254"/>
    </i>
    <i t="default" r="1">
      <x v="2"/>
    </i>
    <i t="default">
      <x v="170"/>
    </i>
    <i>
      <x v="171"/>
      <x/>
      <x v="27"/>
    </i>
    <i r="2">
      <x v="81"/>
    </i>
    <i t="default" r="1">
      <x/>
    </i>
    <i t="default">
      <x v="171"/>
    </i>
    <i>
      <x v="172"/>
      <x v="1"/>
      <x v="26"/>
    </i>
    <i r="2">
      <x v="81"/>
    </i>
    <i r="2">
      <x v="83"/>
    </i>
    <i t="default" r="1">
      <x v="1"/>
    </i>
    <i t="default">
      <x v="172"/>
    </i>
    <i>
      <x v="173"/>
      <x/>
      <x v="26"/>
    </i>
    <i r="2">
      <x v="105"/>
    </i>
    <i t="default" r="1">
      <x/>
    </i>
    <i t="default">
      <x v="173"/>
    </i>
    <i>
      <x v="174"/>
      <x/>
      <x v="7"/>
    </i>
    <i r="2">
      <x v="101"/>
    </i>
    <i r="2">
      <x v="105"/>
    </i>
    <i r="2">
      <x v="106"/>
    </i>
    <i t="default" r="1">
      <x/>
    </i>
    <i t="default">
      <x v="174"/>
    </i>
    <i>
      <x v="175"/>
      <x/>
      <x v="81"/>
    </i>
    <i r="2">
      <x v="106"/>
    </i>
    <i r="2">
      <x v="146"/>
    </i>
    <i t="default" r="1">
      <x/>
    </i>
    <i t="default">
      <x v="175"/>
    </i>
    <i>
      <x v="176"/>
      <x v="2"/>
      <x v="83"/>
    </i>
    <i t="default" r="1">
      <x v="2"/>
    </i>
    <i t="default">
      <x v="176"/>
    </i>
    <i>
      <x v="177"/>
      <x/>
      <x v="72"/>
    </i>
    <i r="2">
      <x v="104"/>
    </i>
    <i r="2">
      <x v="144"/>
    </i>
    <i r="2">
      <x v="151"/>
    </i>
    <i t="default" r="1">
      <x/>
    </i>
    <i t="default">
      <x v="177"/>
    </i>
    <i>
      <x v="178"/>
      <x/>
      <x v="7"/>
    </i>
    <i r="2">
      <x v="72"/>
    </i>
    <i r="2">
      <x v="81"/>
    </i>
    <i r="2">
      <x v="83"/>
    </i>
    <i r="2">
      <x v="104"/>
    </i>
    <i t="default" r="1">
      <x/>
    </i>
    <i t="default">
      <x v="178"/>
    </i>
    <i>
      <x v="179"/>
      <x/>
      <x v="81"/>
    </i>
    <i t="default" r="1">
      <x/>
    </i>
    <i t="default">
      <x v="179"/>
    </i>
    <i>
      <x v="180"/>
      <x v="2"/>
      <x v="34"/>
    </i>
    <i r="2">
      <x v="72"/>
    </i>
    <i r="2">
      <x v="144"/>
    </i>
    <i r="2">
      <x v="146"/>
    </i>
    <i t="default" r="1">
      <x v="2"/>
    </i>
    <i t="default">
      <x v="180"/>
    </i>
    <i>
      <x v="181"/>
      <x/>
      <x v="72"/>
    </i>
    <i r="2">
      <x v="79"/>
    </i>
    <i t="default" r="1">
      <x/>
    </i>
    <i t="default">
      <x v="181"/>
    </i>
    <i>
      <x v="182"/>
      <x/>
      <x v="72"/>
    </i>
    <i r="2">
      <x v="103"/>
    </i>
    <i r="2">
      <x v="105"/>
    </i>
    <i r="2">
      <x v="146"/>
    </i>
    <i t="default" r="1">
      <x/>
    </i>
    <i t="default">
      <x v="182"/>
    </i>
    <i>
      <x v="183"/>
      <x/>
      <x v="26"/>
    </i>
    <i r="2">
      <x v="101"/>
    </i>
    <i r="2">
      <x v="212"/>
    </i>
    <i t="default" r="1">
      <x/>
    </i>
    <i t="default">
      <x v="183"/>
    </i>
    <i>
      <x v="184"/>
      <x v="2"/>
      <x v="83"/>
    </i>
    <i r="2">
      <x v="254"/>
    </i>
    <i t="default" r="1">
      <x v="2"/>
    </i>
    <i t="default">
      <x v="184"/>
    </i>
    <i>
      <x v="185"/>
      <x/>
      <x v="136"/>
    </i>
    <i r="2">
      <x v="212"/>
    </i>
    <i t="default" r="1">
      <x/>
    </i>
    <i t="default">
      <x v="185"/>
    </i>
    <i>
      <x v="186"/>
      <x/>
      <x v="101"/>
    </i>
    <i t="default" r="1">
      <x/>
    </i>
    <i t="default">
      <x v="186"/>
    </i>
    <i>
      <x v="187"/>
      <x/>
      <x v="261"/>
    </i>
    <i t="default" r="1">
      <x/>
    </i>
    <i t="default">
      <x v="187"/>
    </i>
    <i>
      <x v="188"/>
      <x v="2"/>
      <x v="81"/>
    </i>
    <i t="default" r="1">
      <x v="2"/>
    </i>
    <i t="default">
      <x v="188"/>
    </i>
    <i>
      <x v="189"/>
      <x/>
      <x v="34"/>
    </i>
    <i r="2">
      <x v="72"/>
    </i>
    <i r="2">
      <x v="151"/>
    </i>
    <i t="default" r="1">
      <x/>
    </i>
    <i t="default">
      <x v="189"/>
    </i>
    <i>
      <x v="190"/>
      <x v="2"/>
      <x v="27"/>
    </i>
    <i r="2">
      <x v="72"/>
    </i>
    <i r="2">
      <x v="79"/>
    </i>
    <i r="2">
      <x v="151"/>
    </i>
    <i r="2">
      <x v="254"/>
    </i>
    <i t="default" r="1">
      <x v="2"/>
    </i>
    <i t="default">
      <x v="190"/>
    </i>
    <i>
      <x v="191"/>
      <x/>
      <x v="72"/>
    </i>
    <i r="2">
      <x v="79"/>
    </i>
    <i r="2">
      <x v="106"/>
    </i>
    <i r="2">
      <x v="144"/>
    </i>
    <i r="2">
      <x v="254"/>
    </i>
    <i t="default" r="1">
      <x/>
    </i>
    <i t="default">
      <x v="191"/>
    </i>
    <i>
      <x v="192"/>
      <x v="2"/>
      <x v="72"/>
    </i>
    <i t="default" r="1">
      <x v="2"/>
    </i>
    <i t="default">
      <x v="192"/>
    </i>
    <i>
      <x v="193"/>
      <x/>
      <x v="7"/>
    </i>
    <i t="default" r="1">
      <x/>
    </i>
    <i t="default">
      <x v="193"/>
    </i>
    <i>
      <x v="194"/>
      <x/>
      <x v="7"/>
    </i>
    <i r="2">
      <x v="26"/>
    </i>
    <i r="2">
      <x v="101"/>
    </i>
    <i r="2">
      <x v="104"/>
    </i>
    <i r="2">
      <x v="212"/>
    </i>
    <i t="default" r="1">
      <x/>
    </i>
    <i t="default">
      <x v="194"/>
    </i>
    <i>
      <x v="195"/>
      <x/>
      <x v="72"/>
    </i>
    <i r="2">
      <x v="83"/>
    </i>
    <i r="2">
      <x v="136"/>
    </i>
    <i r="2">
      <x v="144"/>
    </i>
    <i r="2">
      <x v="151"/>
    </i>
    <i t="default" r="1">
      <x/>
    </i>
    <i t="default">
      <x v="195"/>
    </i>
    <i>
      <x v="196"/>
      <x/>
      <x v="106"/>
    </i>
    <i r="2">
      <x v="212"/>
    </i>
    <i t="default" r="1">
      <x/>
    </i>
    <i t="default">
      <x v="196"/>
    </i>
    <i>
      <x v="197"/>
      <x/>
      <x v="7"/>
    </i>
    <i r="2">
      <x v="83"/>
    </i>
    <i r="2">
      <x v="103"/>
    </i>
    <i r="2">
      <x v="136"/>
    </i>
    <i r="2">
      <x v="254"/>
    </i>
    <i t="default" r="1">
      <x/>
    </i>
    <i t="default">
      <x v="197"/>
    </i>
    <i>
      <x v="198"/>
      <x/>
      <x v="79"/>
    </i>
    <i r="2">
      <x v="104"/>
    </i>
    <i r="2">
      <x v="212"/>
    </i>
    <i t="default" r="1">
      <x/>
    </i>
    <i t="default">
      <x v="198"/>
    </i>
    <i>
      <x v="199"/>
      <x/>
      <x v="26"/>
    </i>
    <i r="2">
      <x v="27"/>
    </i>
    <i t="default" r="1">
      <x/>
    </i>
    <i t="default">
      <x v="199"/>
    </i>
    <i>
      <x v="200"/>
      <x v="1"/>
      <x v="26"/>
    </i>
    <i r="2">
      <x v="72"/>
    </i>
    <i r="2">
      <x v="103"/>
    </i>
    <i r="2">
      <x v="261"/>
    </i>
    <i t="default" r="1">
      <x v="1"/>
    </i>
    <i t="default">
      <x v="200"/>
    </i>
    <i>
      <x v="201"/>
      <x v="2"/>
      <x v="34"/>
    </i>
    <i r="2">
      <x v="79"/>
    </i>
    <i r="2">
      <x v="103"/>
    </i>
    <i r="2">
      <x v="254"/>
    </i>
    <i t="default" r="1">
      <x v="2"/>
    </i>
    <i t="default">
      <x v="201"/>
    </i>
    <i>
      <x v="202"/>
      <x v="1"/>
      <x v="81"/>
    </i>
    <i r="2">
      <x v="103"/>
    </i>
    <i r="2">
      <x v="105"/>
    </i>
    <i r="2">
      <x v="151"/>
    </i>
    <i t="default" r="1">
      <x v="1"/>
    </i>
    <i t="default">
      <x v="202"/>
    </i>
    <i>
      <x v="203"/>
      <x/>
      <x v="103"/>
    </i>
    <i r="2">
      <x v="136"/>
    </i>
    <i t="default" r="1">
      <x/>
    </i>
    <i t="default">
      <x v="203"/>
    </i>
    <i>
      <x v="204"/>
      <x/>
      <x v="26"/>
    </i>
    <i r="2">
      <x v="72"/>
    </i>
    <i t="default" r="1">
      <x/>
    </i>
    <i t="default">
      <x v="204"/>
    </i>
    <i>
      <x v="205"/>
      <x v="1"/>
      <x v="79"/>
    </i>
    <i r="2">
      <x v="83"/>
    </i>
    <i t="default" r="1">
      <x v="1"/>
    </i>
    <i t="default">
      <x v="205"/>
    </i>
    <i>
      <x v="206"/>
      <x/>
      <x v="72"/>
    </i>
    <i r="2">
      <x v="101"/>
    </i>
    <i r="2">
      <x v="146"/>
    </i>
    <i r="2">
      <x v="261"/>
    </i>
    <i t="default" r="1">
      <x/>
    </i>
    <i t="default">
      <x v="206"/>
    </i>
    <i>
      <x v="207"/>
      <x/>
      <x v="72"/>
    </i>
    <i r="2">
      <x v="136"/>
    </i>
    <i r="2">
      <x v="144"/>
    </i>
    <i r="2">
      <x v="151"/>
    </i>
    <i r="2">
      <x v="212"/>
    </i>
    <i t="default" r="1">
      <x/>
    </i>
    <i t="default">
      <x v="207"/>
    </i>
    <i>
      <x v="208"/>
      <x/>
      <x v="7"/>
    </i>
    <i t="default" r="1">
      <x/>
    </i>
    <i t="default">
      <x v="208"/>
    </i>
    <i>
      <x v="209"/>
      <x/>
      <x v="7"/>
    </i>
    <i r="2">
      <x v="26"/>
    </i>
    <i t="default" r="1">
      <x/>
    </i>
    <i t="default">
      <x v="209"/>
    </i>
    <i>
      <x v="210"/>
      <x/>
      <x v="106"/>
    </i>
    <i r="2">
      <x v="144"/>
    </i>
    <i t="default" r="1">
      <x/>
    </i>
    <i t="default">
      <x v="210"/>
    </i>
    <i>
      <x v="211"/>
      <x/>
      <x v="72"/>
    </i>
    <i r="2">
      <x v="81"/>
    </i>
    <i r="2">
      <x v="105"/>
    </i>
    <i r="2">
      <x v="261"/>
    </i>
    <i t="default" r="1">
      <x/>
    </i>
    <i t="default">
      <x v="211"/>
    </i>
    <i>
      <x v="212"/>
      <x v="1"/>
      <x v="7"/>
    </i>
    <i t="default" r="1">
      <x v="1"/>
    </i>
    <i t="default">
      <x v="212"/>
    </i>
    <i>
      <x v="213"/>
      <x/>
      <x v="7"/>
    </i>
    <i t="default" r="1">
      <x/>
    </i>
    <i t="default">
      <x v="213"/>
    </i>
    <i>
      <x v="214"/>
      <x/>
      <x v="72"/>
    </i>
    <i r="2">
      <x v="105"/>
    </i>
    <i t="default" r="1">
      <x/>
    </i>
    <i t="default">
      <x v="214"/>
    </i>
    <i>
      <x v="215"/>
      <x v="2"/>
      <x v="26"/>
    </i>
    <i r="2">
      <x v="81"/>
    </i>
    <i t="default" r="1">
      <x v="2"/>
    </i>
    <i t="default">
      <x v="215"/>
    </i>
    <i>
      <x v="216"/>
      <x/>
      <x v="103"/>
    </i>
    <i r="2">
      <x v="104"/>
    </i>
    <i r="2">
      <x v="144"/>
    </i>
    <i t="default" r="1">
      <x/>
    </i>
    <i t="default">
      <x v="216"/>
    </i>
    <i>
      <x v="217"/>
      <x/>
      <x v="7"/>
    </i>
    <i r="2">
      <x v="72"/>
    </i>
    <i r="2">
      <x v="106"/>
    </i>
    <i t="default" r="1">
      <x/>
    </i>
    <i t="default">
      <x v="217"/>
    </i>
    <i>
      <x v="218"/>
      <x/>
      <x v="81"/>
    </i>
    <i r="2">
      <x v="101"/>
    </i>
    <i t="default" r="1">
      <x/>
    </i>
    <i t="default">
      <x v="218"/>
    </i>
    <i>
      <x v="219"/>
      <x/>
      <x v="26"/>
    </i>
    <i r="2">
      <x v="79"/>
    </i>
    <i r="2">
      <x v="136"/>
    </i>
    <i r="2">
      <x v="151"/>
    </i>
    <i t="default" r="1">
      <x/>
    </i>
    <i t="default">
      <x v="219"/>
    </i>
    <i>
      <x v="220"/>
      <x v="2"/>
      <x v="146"/>
    </i>
    <i t="default" r="1">
      <x v="2"/>
    </i>
    <i t="default">
      <x v="220"/>
    </i>
    <i>
      <x v="221"/>
      <x/>
      <x v="106"/>
    </i>
    <i r="2">
      <x v="144"/>
    </i>
    <i t="default" r="1">
      <x/>
    </i>
    <i t="default">
      <x v="221"/>
    </i>
    <i>
      <x v="222"/>
      <x/>
      <x v="7"/>
    </i>
    <i r="2">
      <x v="34"/>
    </i>
    <i r="2">
      <x v="83"/>
    </i>
    <i r="2">
      <x v="101"/>
    </i>
    <i r="2">
      <x v="261"/>
    </i>
    <i t="default" r="1">
      <x/>
    </i>
    <i t="default">
      <x v="222"/>
    </i>
    <i>
      <x v="223"/>
      <x v="2"/>
      <x v="79"/>
    </i>
    <i r="2">
      <x v="136"/>
    </i>
    <i r="2">
      <x v="144"/>
    </i>
    <i r="2">
      <x v="146"/>
    </i>
    <i t="default" r="1">
      <x v="2"/>
    </i>
    <i t="default">
      <x v="223"/>
    </i>
    <i>
      <x v="224"/>
      <x v="2"/>
      <x v="7"/>
    </i>
    <i r="2">
      <x v="160"/>
    </i>
    <i t="default" r="1">
      <x v="2"/>
    </i>
    <i t="default">
      <x v="224"/>
    </i>
    <i>
      <x v="225"/>
      <x v="2"/>
      <x v="106"/>
    </i>
    <i t="default" r="1">
      <x v="2"/>
    </i>
    <i t="default">
      <x v="225"/>
    </i>
    <i>
      <x v="226"/>
      <x/>
      <x v="34"/>
    </i>
    <i r="2">
      <x v="151"/>
    </i>
    <i t="default" r="1">
      <x/>
    </i>
    <i t="default">
      <x v="226"/>
    </i>
    <i>
      <x v="227"/>
      <x/>
      <x v="26"/>
    </i>
    <i r="2">
      <x v="27"/>
    </i>
    <i r="2">
      <x v="79"/>
    </i>
    <i r="2">
      <x v="106"/>
    </i>
    <i r="2">
      <x v="212"/>
    </i>
    <i t="default" r="1">
      <x/>
    </i>
    <i t="default">
      <x v="227"/>
    </i>
    <i>
      <x v="228"/>
      <x/>
      <x v="79"/>
    </i>
    <i r="2">
      <x v="101"/>
    </i>
    <i r="2">
      <x v="254"/>
    </i>
    <i t="default" r="1">
      <x/>
    </i>
    <i t="default">
      <x v="228"/>
    </i>
    <i>
      <x v="229"/>
      <x/>
      <x v="146"/>
    </i>
    <i t="default" r="1">
      <x/>
    </i>
    <i t="default">
      <x v="229"/>
    </i>
    <i>
      <x v="230"/>
      <x/>
      <x v="26"/>
    </i>
    <i r="2">
      <x v="101"/>
    </i>
    <i r="2">
      <x v="254"/>
    </i>
    <i t="default" r="1">
      <x/>
    </i>
    <i t="default">
      <x v="230"/>
    </i>
    <i>
      <x v="231"/>
      <x v="2"/>
      <x v="81"/>
    </i>
    <i r="2">
      <x v="104"/>
    </i>
    <i r="2">
      <x v="146"/>
    </i>
    <i r="2">
      <x v="254"/>
    </i>
    <i t="default" r="1">
      <x v="2"/>
    </i>
    <i t="default">
      <x v="231"/>
    </i>
    <i>
      <x v="232"/>
      <x/>
      <x v="26"/>
    </i>
    <i r="2">
      <x v="34"/>
    </i>
    <i r="2">
      <x v="72"/>
    </i>
    <i r="2">
      <x v="81"/>
    </i>
    <i t="default" r="1">
      <x/>
    </i>
    <i t="default">
      <x v="232"/>
    </i>
    <i>
      <x v="233"/>
      <x/>
      <x v="27"/>
    </i>
    <i r="2">
      <x v="72"/>
    </i>
    <i r="2">
      <x v="103"/>
    </i>
    <i r="2">
      <x v="146"/>
    </i>
    <i r="2">
      <x v="261"/>
    </i>
    <i t="default" r="1">
      <x/>
    </i>
    <i t="default">
      <x v="233"/>
    </i>
    <i>
      <x v="234"/>
      <x/>
      <x v="7"/>
    </i>
    <i r="2">
      <x v="136"/>
    </i>
    <i r="2">
      <x v="261"/>
    </i>
    <i t="default" r="1">
      <x/>
    </i>
    <i t="default">
      <x v="234"/>
    </i>
    <i>
      <x v="235"/>
      <x/>
      <x v="106"/>
    </i>
    <i r="2">
      <x v="151"/>
    </i>
    <i r="2">
      <x v="212"/>
    </i>
    <i t="default" r="1">
      <x/>
    </i>
    <i t="default">
      <x v="235"/>
    </i>
    <i>
      <x v="236"/>
      <x/>
      <x v="34"/>
    </i>
    <i r="2">
      <x v="72"/>
    </i>
    <i r="2">
      <x v="81"/>
    </i>
    <i r="2">
      <x v="83"/>
    </i>
    <i t="default" r="1">
      <x/>
    </i>
    <i t="default">
      <x v="236"/>
    </i>
    <i>
      <x v="237"/>
      <x/>
      <x v="7"/>
    </i>
    <i r="2">
      <x v="26"/>
    </i>
    <i r="2">
      <x v="79"/>
    </i>
    <i r="2">
      <x v="83"/>
    </i>
    <i r="2">
      <x v="261"/>
    </i>
    <i t="default" r="1">
      <x/>
    </i>
    <i t="default">
      <x v="237"/>
    </i>
    <i>
      <x v="238"/>
      <x v="1"/>
      <x v="7"/>
    </i>
    <i r="2">
      <x v="81"/>
    </i>
    <i r="2">
      <x v="104"/>
    </i>
    <i r="2">
      <x v="212"/>
    </i>
    <i t="default" r="1">
      <x v="1"/>
    </i>
    <i t="default">
      <x v="238"/>
    </i>
    <i>
      <x v="239"/>
      <x/>
      <x v="101"/>
    </i>
    <i r="2">
      <x v="104"/>
    </i>
    <i r="2">
      <x v="160"/>
    </i>
    <i r="2">
      <x v="254"/>
    </i>
    <i t="default" r="1">
      <x/>
    </i>
    <i t="default">
      <x v="239"/>
    </i>
    <i>
      <x v="240"/>
      <x/>
      <x v="261"/>
    </i>
    <i t="default" r="1">
      <x/>
    </i>
    <i t="default">
      <x v="240"/>
    </i>
    <i>
      <x v="241"/>
      <x/>
      <x v="151"/>
    </i>
    <i t="default" r="1">
      <x/>
    </i>
    <i t="default">
      <x v="241"/>
    </i>
    <i>
      <x v="242"/>
      <x v="1"/>
      <x v="79"/>
    </i>
    <i r="2">
      <x v="105"/>
    </i>
    <i r="2">
      <x v="261"/>
    </i>
    <i t="default" r="1">
      <x v="1"/>
    </i>
    <i t="default">
      <x v="242"/>
    </i>
    <i>
      <x v="243"/>
      <x/>
      <x v="26"/>
    </i>
    <i r="2">
      <x v="79"/>
    </i>
    <i r="2">
      <x v="105"/>
    </i>
    <i t="default" r="1">
      <x/>
    </i>
    <i t="default">
      <x v="243"/>
    </i>
    <i>
      <x v="244"/>
      <x/>
      <x v="144"/>
    </i>
    <i r="2">
      <x v="254"/>
    </i>
    <i t="default" r="1">
      <x/>
    </i>
    <i t="default">
      <x v="244"/>
    </i>
    <i>
      <x v="245"/>
      <x/>
      <x v="103"/>
    </i>
    <i t="default" r="1">
      <x/>
    </i>
    <i t="default">
      <x v="245"/>
    </i>
    <i>
      <x v="246"/>
      <x v="2"/>
      <x v="79"/>
    </i>
    <i r="2">
      <x v="151"/>
    </i>
    <i t="default" r="1">
      <x v="2"/>
    </i>
    <i t="default">
      <x v="246"/>
    </i>
    <i>
      <x v="247"/>
      <x/>
      <x v="7"/>
    </i>
    <i r="2">
      <x v="81"/>
    </i>
    <i r="2">
      <x v="103"/>
    </i>
    <i r="2">
      <x v="160"/>
    </i>
    <i t="default" r="1">
      <x/>
    </i>
    <i t="default">
      <x v="247"/>
    </i>
    <i>
      <x v="248"/>
      <x/>
      <x v="26"/>
    </i>
    <i r="2">
      <x v="104"/>
    </i>
    <i r="2">
      <x v="261"/>
    </i>
    <i t="default" r="1">
      <x/>
    </i>
    <i t="default">
      <x v="248"/>
    </i>
    <i>
      <x v="249"/>
      <x/>
      <x v="103"/>
    </i>
    <i r="2">
      <x v="146"/>
    </i>
    <i t="default" r="1">
      <x/>
    </i>
    <i t="default">
      <x v="249"/>
    </i>
    <i>
      <x v="250"/>
      <x/>
      <x v="26"/>
    </i>
    <i r="2">
      <x v="27"/>
    </i>
    <i t="default" r="1">
      <x/>
    </i>
    <i t="default">
      <x v="250"/>
    </i>
    <i>
      <x v="251"/>
      <x v="1"/>
      <x v="105"/>
    </i>
    <i r="2">
      <x v="146"/>
    </i>
    <i r="2">
      <x v="212"/>
    </i>
    <i t="default" r="1">
      <x v="1"/>
    </i>
    <i t="default">
      <x v="251"/>
    </i>
    <i>
      <x v="252"/>
      <x/>
      <x v="146"/>
    </i>
    <i t="default" r="1">
      <x/>
    </i>
    <i t="default">
      <x v="252"/>
    </i>
    <i>
      <x v="253"/>
      <x/>
      <x v="72"/>
    </i>
    <i r="2">
      <x v="136"/>
    </i>
    <i r="2">
      <x v="151"/>
    </i>
    <i t="default" r="1">
      <x/>
    </i>
    <i t="default">
      <x v="253"/>
    </i>
    <i>
      <x v="254"/>
      <x/>
      <x v="7"/>
    </i>
    <i r="2">
      <x v="26"/>
    </i>
    <i r="2">
      <x v="101"/>
    </i>
    <i r="2">
      <x v="106"/>
    </i>
    <i t="default" r="1">
      <x/>
    </i>
    <i t="default">
      <x v="254"/>
    </i>
    <i>
      <x v="255"/>
      <x/>
      <x v="7"/>
    </i>
    <i r="2">
      <x v="146"/>
    </i>
    <i t="default" r="1">
      <x/>
    </i>
    <i t="default">
      <x v="255"/>
    </i>
    <i>
      <x v="256"/>
      <x v="2"/>
      <x v="7"/>
    </i>
    <i r="2">
      <x v="34"/>
    </i>
    <i r="2">
      <x v="144"/>
    </i>
    <i r="2">
      <x v="254"/>
    </i>
    <i t="default" r="1">
      <x v="2"/>
    </i>
    <i t="default">
      <x v="256"/>
    </i>
    <i>
      <x v="257"/>
      <x/>
      <x v="104"/>
    </i>
    <i r="2">
      <x v="105"/>
    </i>
    <i r="2">
      <x v="212"/>
    </i>
    <i r="2">
      <x v="254"/>
    </i>
    <i t="default" r="1">
      <x/>
    </i>
    <i t="default">
      <x v="257"/>
    </i>
    <i>
      <x v="258"/>
      <x/>
      <x v="81"/>
    </i>
    <i r="2">
      <x v="106"/>
    </i>
    <i r="2">
      <x v="136"/>
    </i>
    <i r="2">
      <x v="212"/>
    </i>
    <i t="default" r="1">
      <x/>
    </i>
    <i t="default">
      <x v="258"/>
    </i>
    <i>
      <x v="259"/>
      <x/>
      <x v="27"/>
    </i>
    <i r="2">
      <x v="72"/>
    </i>
    <i r="2">
      <x v="144"/>
    </i>
    <i t="default" r="1">
      <x/>
    </i>
    <i t="default">
      <x v="259"/>
    </i>
    <i>
      <x v="260"/>
      <x v="2"/>
      <x v="26"/>
    </i>
    <i r="2">
      <x v="81"/>
    </i>
    <i r="2">
      <x v="103"/>
    </i>
    <i t="default" r="1">
      <x v="2"/>
    </i>
    <i t="default">
      <x v="260"/>
    </i>
    <i>
      <x v="261"/>
      <x v="1"/>
      <x v="106"/>
    </i>
    <i r="2">
      <x v="160"/>
    </i>
    <i t="default" r="1">
      <x v="1"/>
    </i>
    <i t="default">
      <x v="261"/>
    </i>
    <i>
      <x v="262"/>
      <x/>
      <x v="106"/>
    </i>
    <i r="2">
      <x v="151"/>
    </i>
    <i r="2">
      <x v="160"/>
    </i>
    <i t="default" r="1">
      <x/>
    </i>
    <i t="default">
      <x v="262"/>
    </i>
    <i>
      <x v="263"/>
      <x v="2"/>
      <x v="34"/>
    </i>
    <i r="2">
      <x v="72"/>
    </i>
    <i r="2">
      <x v="144"/>
    </i>
    <i r="2">
      <x v="151"/>
    </i>
    <i t="default" r="1">
      <x v="2"/>
    </i>
    <i t="default">
      <x v="263"/>
    </i>
    <i>
      <x v="264"/>
      <x/>
      <x v="160"/>
    </i>
    <i t="default" r="1">
      <x/>
    </i>
    <i t="default">
      <x v="264"/>
    </i>
    <i>
      <x v="265"/>
      <x/>
      <x v="79"/>
    </i>
    <i r="2">
      <x v="105"/>
    </i>
    <i r="2">
      <x v="136"/>
    </i>
    <i t="default" r="1">
      <x/>
    </i>
    <i t="default">
      <x v="265"/>
    </i>
    <i>
      <x v="266"/>
      <x v="2"/>
      <x v="7"/>
    </i>
    <i r="2">
      <x v="26"/>
    </i>
    <i r="2">
      <x v="27"/>
    </i>
    <i r="2">
      <x v="72"/>
    </i>
    <i r="2">
      <x v="261"/>
    </i>
    <i t="default" r="1">
      <x v="2"/>
    </i>
    <i t="default">
      <x v="266"/>
    </i>
    <i>
      <x v="267"/>
      <x v="2"/>
      <x v="136"/>
    </i>
    <i r="2">
      <x v="160"/>
    </i>
    <i r="2">
      <x v="261"/>
    </i>
    <i t="default" r="1">
      <x v="2"/>
    </i>
    <i t="default">
      <x v="267"/>
    </i>
    <i>
      <x v="268"/>
      <x/>
      <x v="27"/>
    </i>
    <i r="2">
      <x v="101"/>
    </i>
    <i r="2">
      <x v="104"/>
    </i>
    <i r="2">
      <x v="151"/>
    </i>
    <i t="default" r="1">
      <x/>
    </i>
    <i t="default">
      <x v="268"/>
    </i>
    <i>
      <x v="269"/>
      <x/>
      <x v="34"/>
    </i>
    <i r="2">
      <x v="79"/>
    </i>
    <i t="default" r="1">
      <x/>
    </i>
    <i t="default">
      <x v="269"/>
    </i>
    <i>
      <x v="270"/>
      <x/>
      <x v="7"/>
    </i>
    <i r="2">
      <x v="136"/>
    </i>
    <i r="2">
      <x v="146"/>
    </i>
    <i r="2">
      <x v="261"/>
    </i>
    <i t="default" r="1">
      <x/>
    </i>
    <i t="default">
      <x v="270"/>
    </i>
    <i>
      <x v="271"/>
      <x/>
      <x v="106"/>
    </i>
    <i r="2">
      <x v="146"/>
    </i>
    <i t="default" r="1">
      <x/>
    </i>
    <i t="default">
      <x v="271"/>
    </i>
    <i>
      <x v="272"/>
      <x/>
      <x v="7"/>
    </i>
    <i t="default" r="1">
      <x/>
    </i>
    <i t="default">
      <x v="272"/>
    </i>
    <i>
      <x v="273"/>
      <x/>
      <x v="79"/>
    </i>
    <i r="2">
      <x v="146"/>
    </i>
    <i r="2">
      <x v="160"/>
    </i>
    <i t="default" r="1">
      <x/>
    </i>
    <i t="default">
      <x v="273"/>
    </i>
    <i>
      <x v="274"/>
      <x/>
      <x v="79"/>
    </i>
    <i r="2">
      <x v="104"/>
    </i>
    <i r="2">
      <x v="261"/>
    </i>
    <i t="default" r="1">
      <x/>
    </i>
    <i t="default">
      <x v="274"/>
    </i>
    <i>
      <x v="275"/>
      <x/>
      <x v="103"/>
    </i>
    <i r="2">
      <x v="151"/>
    </i>
    <i r="2">
      <x v="160"/>
    </i>
    <i t="default" r="1">
      <x/>
    </i>
    <i t="default">
      <x v="275"/>
    </i>
    <i>
      <x v="276"/>
      <x/>
      <x v="7"/>
    </i>
    <i r="2">
      <x v="83"/>
    </i>
    <i r="2">
      <x v="136"/>
    </i>
    <i t="default" r="1">
      <x/>
    </i>
    <i t="default">
      <x v="276"/>
    </i>
    <i>
      <x v="277"/>
      <x v="2"/>
      <x v="7"/>
    </i>
    <i r="2">
      <x v="81"/>
    </i>
    <i r="2">
      <x v="105"/>
    </i>
    <i r="2">
      <x v="146"/>
    </i>
    <i t="default" r="1">
      <x v="2"/>
    </i>
    <i t="default">
      <x v="277"/>
    </i>
    <i>
      <x v="278"/>
      <x/>
      <x v="79"/>
    </i>
    <i t="default" r="1">
      <x/>
    </i>
    <i t="default">
      <x v="278"/>
    </i>
    <i>
      <x v="279"/>
      <x/>
      <x v="7"/>
    </i>
    <i r="2">
      <x v="79"/>
    </i>
    <i r="2">
      <x v="81"/>
    </i>
    <i t="default" r="1">
      <x/>
    </i>
    <i t="default">
      <x v="279"/>
    </i>
    <i>
      <x v="280"/>
      <x/>
      <x v="26"/>
    </i>
    <i r="2">
      <x v="261"/>
    </i>
    <i t="default" r="1">
      <x/>
    </i>
    <i t="default">
      <x v="280"/>
    </i>
    <i>
      <x v="281"/>
      <x v="1"/>
      <x v="81"/>
    </i>
    <i r="2">
      <x v="83"/>
    </i>
    <i r="2">
      <x v="151"/>
    </i>
    <i r="2">
      <x v="261"/>
    </i>
    <i t="default" r="1">
      <x v="1"/>
    </i>
    <i t="default">
      <x v="281"/>
    </i>
    <i>
      <x v="282"/>
      <x v="2"/>
      <x v="81"/>
    </i>
    <i r="2">
      <x v="160"/>
    </i>
    <i t="default" r="1">
      <x v="2"/>
    </i>
    <i t="default">
      <x v="282"/>
    </i>
    <i>
      <x v="283"/>
      <x/>
      <x v="72"/>
    </i>
    <i r="2">
      <x v="83"/>
    </i>
    <i t="default" r="1">
      <x/>
    </i>
    <i t="default">
      <x v="283"/>
    </i>
    <i>
      <x v="284"/>
      <x v="2"/>
      <x v="72"/>
    </i>
    <i r="2">
      <x v="81"/>
    </i>
    <i r="2">
      <x v="106"/>
    </i>
    <i t="default" r="1">
      <x v="2"/>
    </i>
    <i t="default">
      <x v="284"/>
    </i>
    <i>
      <x v="285"/>
      <x/>
      <x v="7"/>
    </i>
    <i r="2">
      <x v="81"/>
    </i>
    <i r="2">
      <x v="261"/>
    </i>
    <i t="default" r="1">
      <x/>
    </i>
    <i t="default">
      <x v="285"/>
    </i>
    <i>
      <x v="286"/>
      <x/>
      <x v="83"/>
    </i>
    <i r="2">
      <x v="101"/>
    </i>
    <i r="2">
      <x v="106"/>
    </i>
    <i r="2">
      <x v="144"/>
    </i>
    <i t="default" r="1">
      <x/>
    </i>
    <i t="default">
      <x v="286"/>
    </i>
    <i>
      <x v="287"/>
      <x/>
      <x v="144"/>
    </i>
    <i r="2">
      <x v="212"/>
    </i>
    <i r="2">
      <x v="261"/>
    </i>
    <i t="default" r="1">
      <x/>
    </i>
    <i t="default">
      <x v="287"/>
    </i>
    <i>
      <x v="288"/>
      <x/>
      <x v="7"/>
    </i>
    <i r="2">
      <x v="72"/>
    </i>
    <i r="2">
      <x v="103"/>
    </i>
    <i t="default" r="1">
      <x/>
    </i>
    <i t="default">
      <x v="288"/>
    </i>
    <i>
      <x v="289"/>
      <x/>
      <x v="7"/>
    </i>
    <i r="2">
      <x v="101"/>
    </i>
    <i r="2">
      <x v="106"/>
    </i>
    <i t="default" r="1">
      <x/>
    </i>
    <i t="default">
      <x v="289"/>
    </i>
    <i>
      <x v="290"/>
      <x/>
      <x v="7"/>
    </i>
    <i r="2">
      <x v="136"/>
    </i>
    <i t="default" r="1">
      <x/>
    </i>
    <i t="default">
      <x v="290"/>
    </i>
    <i>
      <x v="291"/>
      <x v="1"/>
      <x v="104"/>
    </i>
    <i r="2">
      <x v="144"/>
    </i>
    <i r="2">
      <x v="212"/>
    </i>
    <i t="default" r="1">
      <x v="1"/>
    </i>
    <i t="default">
      <x v="291"/>
    </i>
    <i>
      <x v="292"/>
      <x/>
      <x v="105"/>
    </i>
    <i r="2">
      <x v="136"/>
    </i>
    <i t="default" r="1">
      <x/>
    </i>
    <i t="default">
      <x v="292"/>
    </i>
    <i>
      <x v="293"/>
      <x/>
      <x v="26"/>
    </i>
    <i r="2">
      <x v="79"/>
    </i>
    <i r="2">
      <x v="104"/>
    </i>
    <i r="2">
      <x v="261"/>
    </i>
    <i t="default" r="1">
      <x/>
    </i>
    <i t="default">
      <x v="293"/>
    </i>
    <i>
      <x v="294"/>
      <x/>
      <x v="26"/>
    </i>
    <i t="default" r="1">
      <x/>
    </i>
    <i t="default">
      <x v="294"/>
    </i>
    <i>
      <x v="295"/>
      <x/>
      <x v="72"/>
    </i>
    <i r="2">
      <x v="79"/>
    </i>
    <i r="2">
      <x v="146"/>
    </i>
    <i r="2">
      <x v="160"/>
    </i>
    <i t="default" r="1">
      <x/>
    </i>
    <i t="default">
      <x v="295"/>
    </i>
    <i>
      <x v="296"/>
      <x/>
      <x v="212"/>
    </i>
    <i t="default" r="1">
      <x/>
    </i>
    <i t="default">
      <x v="296"/>
    </i>
    <i>
      <x v="297"/>
      <x v="1"/>
      <x v="26"/>
    </i>
    <i r="2">
      <x v="27"/>
    </i>
    <i r="2">
      <x v="136"/>
    </i>
    <i r="2">
      <x v="160"/>
    </i>
    <i t="default" r="1">
      <x v="1"/>
    </i>
    <i t="default">
      <x v="297"/>
    </i>
    <i>
      <x v="298"/>
      <x/>
      <x v="144"/>
    </i>
    <i r="2">
      <x v="146"/>
    </i>
    <i t="default" r="1">
      <x/>
    </i>
    <i t="default">
      <x v="298"/>
    </i>
    <i>
      <x v="299"/>
      <x/>
      <x v="81"/>
    </i>
    <i r="2">
      <x v="144"/>
    </i>
    <i r="2">
      <x v="146"/>
    </i>
    <i r="2">
      <x v="160"/>
    </i>
    <i t="default" r="1">
      <x/>
    </i>
    <i t="default">
      <x v="299"/>
    </i>
    <i>
      <x v="300"/>
      <x/>
      <x v="26"/>
    </i>
    <i r="2">
      <x v="136"/>
    </i>
    <i t="default" r="1">
      <x/>
    </i>
    <i t="default">
      <x v="300"/>
    </i>
    <i>
      <x v="301"/>
      <x/>
      <x v="72"/>
    </i>
    <i r="2">
      <x v="104"/>
    </i>
    <i r="2">
      <x v="106"/>
    </i>
    <i t="default" r="1">
      <x/>
    </i>
    <i t="default">
      <x v="301"/>
    </i>
    <i>
      <x v="302"/>
      <x/>
      <x v="72"/>
    </i>
    <i r="2">
      <x v="254"/>
    </i>
    <i t="default" r="1">
      <x/>
    </i>
    <i t="default">
      <x v="302"/>
    </i>
    <i>
      <x v="303"/>
      <x/>
      <x v="83"/>
    </i>
    <i r="2">
      <x v="144"/>
    </i>
    <i r="2">
      <x v="261"/>
    </i>
    <i t="default" r="1">
      <x/>
    </i>
    <i t="default">
      <x v="303"/>
    </i>
    <i>
      <x v="304"/>
      <x/>
      <x v="136"/>
    </i>
    <i r="2">
      <x v="144"/>
    </i>
    <i r="2">
      <x v="151"/>
    </i>
    <i t="default" r="1">
      <x/>
    </i>
    <i t="default">
      <x v="304"/>
    </i>
    <i>
      <x v="305"/>
      <x/>
      <x v="26"/>
    </i>
    <i r="2">
      <x v="144"/>
    </i>
    <i t="default" r="1">
      <x/>
    </i>
    <i t="default">
      <x v="305"/>
    </i>
    <i>
      <x v="306"/>
      <x/>
      <x v="34"/>
    </i>
    <i t="default" r="1">
      <x/>
    </i>
    <i t="default">
      <x v="306"/>
    </i>
    <i>
      <x v="307"/>
      <x/>
      <x v="26"/>
    </i>
    <i r="2">
      <x v="104"/>
    </i>
    <i r="2">
      <x v="261"/>
    </i>
    <i t="default" r="1">
      <x/>
    </i>
    <i t="default">
      <x v="307"/>
    </i>
    <i>
      <x v="308"/>
      <x/>
      <x v="72"/>
    </i>
    <i r="2">
      <x v="151"/>
    </i>
    <i t="default" r="1">
      <x/>
    </i>
    <i t="default">
      <x v="308"/>
    </i>
    <i>
      <x v="309"/>
      <x v="2"/>
      <x v="26"/>
    </i>
    <i r="2">
      <x v="101"/>
    </i>
    <i r="2">
      <x v="254"/>
    </i>
    <i r="2">
      <x v="261"/>
    </i>
    <i t="default" r="1">
      <x v="2"/>
    </i>
    <i t="default">
      <x v="309"/>
    </i>
    <i>
      <x v="310"/>
      <x/>
      <x v="101"/>
    </i>
    <i r="2">
      <x v="103"/>
    </i>
    <i t="default" r="1">
      <x/>
    </i>
    <i t="default">
      <x v="310"/>
    </i>
    <i>
      <x v="311"/>
      <x/>
      <x v="26"/>
    </i>
    <i r="2">
      <x v="72"/>
    </i>
    <i r="2">
      <x v="81"/>
    </i>
    <i t="default" r="1">
      <x/>
    </i>
    <i t="default">
      <x v="311"/>
    </i>
    <i>
      <x v="312"/>
      <x v="1"/>
      <x v="144"/>
    </i>
    <i r="2">
      <x v="212"/>
    </i>
    <i t="default" r="1">
      <x v="1"/>
    </i>
    <i t="default">
      <x v="312"/>
    </i>
    <i>
      <x v="313"/>
      <x/>
      <x v="26"/>
    </i>
    <i r="2">
      <x v="101"/>
    </i>
    <i r="2">
      <x v="160"/>
    </i>
    <i r="2">
      <x v="261"/>
    </i>
    <i t="default" r="1">
      <x/>
    </i>
    <i t="default">
      <x v="313"/>
    </i>
    <i>
      <x v="314"/>
      <x/>
      <x v="146"/>
    </i>
    <i r="2">
      <x v="160"/>
    </i>
    <i t="default" r="1">
      <x/>
    </i>
    <i t="default">
      <x v="314"/>
    </i>
    <i>
      <x v="315"/>
      <x/>
      <x v="81"/>
    </i>
    <i r="2">
      <x v="83"/>
    </i>
    <i r="2">
      <x v="103"/>
    </i>
    <i r="2">
      <x v="105"/>
    </i>
    <i r="2">
      <x v="106"/>
    </i>
    <i t="default" r="1">
      <x/>
    </i>
    <i t="default">
      <x v="315"/>
    </i>
    <i>
      <x v="316"/>
      <x/>
      <x v="7"/>
    </i>
    <i r="2">
      <x v="26"/>
    </i>
    <i r="2">
      <x v="34"/>
    </i>
    <i r="2">
      <x v="144"/>
    </i>
    <i t="default" r="1">
      <x/>
    </i>
    <i t="default">
      <x v="316"/>
    </i>
    <i>
      <x v="317"/>
      <x/>
      <x v="7"/>
    </i>
    <i r="2">
      <x v="79"/>
    </i>
    <i r="2">
      <x v="160"/>
    </i>
    <i t="default" r="1">
      <x/>
    </i>
    <i t="default">
      <x v="317"/>
    </i>
    <i>
      <x v="318"/>
      <x/>
      <x v="7"/>
    </i>
    <i r="2">
      <x v="27"/>
    </i>
    <i r="2">
      <x v="34"/>
    </i>
    <i r="2">
      <x v="146"/>
    </i>
    <i t="default" r="1">
      <x/>
    </i>
    <i t="default">
      <x v="318"/>
    </i>
    <i>
      <x v="319"/>
      <x v="2"/>
      <x v="106"/>
    </i>
    <i t="default" r="1">
      <x v="2"/>
    </i>
    <i t="default">
      <x v="319"/>
    </i>
    <i>
      <x v="320"/>
      <x/>
      <x v="27"/>
    </i>
    <i r="2">
      <x v="72"/>
    </i>
    <i r="2">
      <x v="81"/>
    </i>
    <i r="2">
      <x v="212"/>
    </i>
    <i t="default" r="1">
      <x/>
    </i>
    <i t="default">
      <x v="320"/>
    </i>
    <i>
      <x v="321"/>
      <x/>
      <x v="7"/>
    </i>
    <i t="default" r="1">
      <x/>
    </i>
    <i t="default">
      <x v="321"/>
    </i>
    <i>
      <x v="322"/>
      <x/>
      <x v="7"/>
    </i>
    <i r="2">
      <x v="81"/>
    </i>
    <i t="default" r="1">
      <x/>
    </i>
    <i t="default">
      <x v="322"/>
    </i>
    <i>
      <x v="323"/>
      <x/>
      <x v="26"/>
    </i>
    <i r="2">
      <x v="72"/>
    </i>
    <i r="2">
      <x v="103"/>
    </i>
    <i r="2">
      <x v="105"/>
    </i>
    <i r="2">
      <x v="106"/>
    </i>
    <i t="default" r="1">
      <x/>
    </i>
    <i t="default">
      <x v="323"/>
    </i>
    <i>
      <x v="324"/>
      <x/>
      <x v="72"/>
    </i>
    <i r="2">
      <x v="136"/>
    </i>
    <i r="2">
      <x v="261"/>
    </i>
    <i t="default" r="1">
      <x/>
    </i>
    <i t="default">
      <x v="324"/>
    </i>
    <i>
      <x v="325"/>
      <x v="1"/>
      <x v="27"/>
    </i>
    <i r="2">
      <x v="72"/>
    </i>
    <i t="default" r="1">
      <x v="1"/>
    </i>
    <i t="default">
      <x v="325"/>
    </i>
    <i>
      <x v="326"/>
      <x/>
      <x v="7"/>
    </i>
    <i r="2">
      <x v="72"/>
    </i>
    <i r="2">
      <x v="212"/>
    </i>
    <i t="default" r="1">
      <x/>
    </i>
    <i t="default">
      <x v="326"/>
    </i>
    <i>
      <x v="327"/>
      <x/>
      <x v="136"/>
    </i>
    <i t="default" r="1">
      <x/>
    </i>
    <i t="default">
      <x v="327"/>
    </i>
    <i>
      <x v="328"/>
      <x/>
      <x v="26"/>
    </i>
    <i r="2">
      <x v="27"/>
    </i>
    <i r="2">
      <x v="81"/>
    </i>
    <i r="2">
      <x v="103"/>
    </i>
    <i r="2">
      <x v="254"/>
    </i>
    <i t="default" r="1">
      <x/>
    </i>
    <i t="default">
      <x v="328"/>
    </i>
    <i>
      <x v="329"/>
      <x/>
      <x v="7"/>
    </i>
    <i t="default" r="1">
      <x/>
    </i>
    <i t="default">
      <x v="329"/>
    </i>
    <i>
      <x v="330"/>
      <x/>
      <x v="103"/>
    </i>
    <i t="default" r="1">
      <x/>
    </i>
    <i t="default">
      <x v="330"/>
    </i>
    <i>
      <x v="331"/>
      <x/>
      <x v="104"/>
    </i>
    <i t="default" r="1">
      <x/>
    </i>
    <i t="default">
      <x v="331"/>
    </i>
    <i>
      <x v="332"/>
      <x/>
      <x v="104"/>
    </i>
    <i r="2">
      <x v="151"/>
    </i>
    <i r="2">
      <x v="254"/>
    </i>
    <i t="default" r="1">
      <x/>
    </i>
    <i t="default">
      <x v="332"/>
    </i>
    <i>
      <x v="333"/>
      <x/>
      <x v="81"/>
    </i>
    <i r="2">
      <x v="151"/>
    </i>
    <i r="2">
      <x v="160"/>
    </i>
    <i t="default" r="1">
      <x/>
    </i>
    <i t="default">
      <x v="333"/>
    </i>
    <i>
      <x v="334"/>
      <x/>
      <x v="7"/>
    </i>
    <i r="2">
      <x v="106"/>
    </i>
    <i r="2">
      <x v="136"/>
    </i>
    <i t="default" r="1">
      <x/>
    </i>
    <i t="default">
      <x v="334"/>
    </i>
    <i>
      <x v="335"/>
      <x/>
      <x v="72"/>
    </i>
    <i r="2">
      <x v="212"/>
    </i>
    <i t="default" r="1">
      <x/>
    </i>
    <i t="default">
      <x v="335"/>
    </i>
    <i>
      <x v="336"/>
      <x/>
      <x v="104"/>
    </i>
    <i r="2">
      <x v="212"/>
    </i>
    <i t="default" r="1">
      <x/>
    </i>
    <i t="default">
      <x v="336"/>
    </i>
    <i>
      <x v="337"/>
      <x v="2"/>
      <x v="26"/>
    </i>
    <i r="2">
      <x v="136"/>
    </i>
    <i r="2">
      <x v="144"/>
    </i>
    <i r="2">
      <x v="146"/>
    </i>
    <i r="2">
      <x v="160"/>
    </i>
    <i t="default" r="1">
      <x v="2"/>
    </i>
    <i t="default">
      <x v="337"/>
    </i>
    <i>
      <x v="338"/>
      <x/>
      <x v="7"/>
    </i>
    <i r="2">
      <x v="34"/>
    </i>
    <i t="default" r="1">
      <x/>
    </i>
    <i t="default">
      <x v="338"/>
    </i>
    <i>
      <x v="339"/>
      <x/>
      <x v="7"/>
    </i>
    <i r="2">
      <x v="72"/>
    </i>
    <i r="2">
      <x v="144"/>
    </i>
    <i r="2">
      <x v="146"/>
    </i>
    <i t="default" r="1">
      <x/>
    </i>
    <i t="default">
      <x v="339"/>
    </i>
    <i>
      <x v="340"/>
      <x v="2"/>
      <x v="27"/>
    </i>
    <i t="default" r="1">
      <x v="2"/>
    </i>
    <i t="default">
      <x v="340"/>
    </i>
    <i>
      <x v="341"/>
      <x/>
      <x v="81"/>
    </i>
    <i r="2">
      <x v="160"/>
    </i>
    <i t="default" r="1">
      <x/>
    </i>
    <i t="default">
      <x v="341"/>
    </i>
    <i>
      <x v="342"/>
      <x/>
      <x v="79"/>
    </i>
    <i r="2">
      <x v="83"/>
    </i>
    <i r="2">
      <x v="101"/>
    </i>
    <i r="2">
      <x v="144"/>
    </i>
    <i t="default" r="1">
      <x/>
    </i>
    <i t="default">
      <x v="342"/>
    </i>
    <i>
      <x v="343"/>
      <x/>
      <x v="26"/>
    </i>
    <i r="2">
      <x v="104"/>
    </i>
    <i t="default" r="1">
      <x/>
    </i>
    <i t="default">
      <x v="343"/>
    </i>
    <i>
      <x v="344"/>
      <x/>
      <x v="72"/>
    </i>
    <i r="2">
      <x v="104"/>
    </i>
    <i t="default" r="1">
      <x/>
    </i>
    <i t="default">
      <x v="344"/>
    </i>
    <i>
      <x v="345"/>
      <x v="1"/>
      <x v="7"/>
    </i>
    <i r="2">
      <x v="27"/>
    </i>
    <i r="2">
      <x v="34"/>
    </i>
    <i r="2">
      <x v="104"/>
    </i>
    <i t="default" r="1">
      <x v="1"/>
    </i>
    <i t="default">
      <x v="345"/>
    </i>
    <i>
      <x v="346"/>
      <x/>
      <x v="27"/>
    </i>
    <i t="default" r="1">
      <x/>
    </i>
    <i t="default">
      <x v="346"/>
    </i>
    <i>
      <x v="347"/>
      <x v="1"/>
      <x v="34"/>
    </i>
    <i r="2">
      <x v="101"/>
    </i>
    <i t="default" r="1">
      <x v="1"/>
    </i>
    <i t="default">
      <x v="347"/>
    </i>
    <i>
      <x v="348"/>
      <x v="2"/>
      <x v="83"/>
    </i>
    <i t="default" r="1">
      <x v="2"/>
    </i>
    <i t="default">
      <x v="348"/>
    </i>
    <i>
      <x v="349"/>
      <x v="2"/>
      <x v="83"/>
    </i>
    <i r="2">
      <x v="136"/>
    </i>
    <i r="2">
      <x v="151"/>
    </i>
    <i t="default" r="1">
      <x v="2"/>
    </i>
    <i t="default">
      <x v="349"/>
    </i>
    <i>
      <x v="350"/>
      <x v="2"/>
      <x v="26"/>
    </i>
    <i r="2">
      <x v="72"/>
    </i>
    <i r="2">
      <x v="83"/>
    </i>
    <i r="2">
      <x v="212"/>
    </i>
    <i t="default" r="1">
      <x v="2"/>
    </i>
    <i t="default">
      <x v="350"/>
    </i>
    <i>
      <x v="351"/>
      <x/>
      <x v="26"/>
    </i>
    <i r="2">
      <x v="146"/>
    </i>
    <i t="default" r="1">
      <x/>
    </i>
    <i t="default">
      <x v="351"/>
    </i>
    <i>
      <x v="352"/>
      <x/>
      <x v="106"/>
    </i>
    <i t="default" r="1">
      <x/>
    </i>
    <i t="default">
      <x v="352"/>
    </i>
    <i>
      <x v="353"/>
      <x v="1"/>
      <x v="7"/>
    </i>
    <i r="2">
      <x v="105"/>
    </i>
    <i t="default" r="1">
      <x v="1"/>
    </i>
    <i t="default">
      <x v="353"/>
    </i>
    <i>
      <x v="354"/>
      <x v="1"/>
      <x v="26"/>
    </i>
    <i r="2">
      <x v="81"/>
    </i>
    <i t="default" r="1">
      <x v="1"/>
    </i>
    <i t="default">
      <x v="354"/>
    </i>
    <i>
      <x v="355"/>
      <x/>
      <x v="7"/>
    </i>
    <i r="2">
      <x v="27"/>
    </i>
    <i r="2">
      <x v="212"/>
    </i>
    <i t="default" r="1">
      <x/>
    </i>
    <i t="default">
      <x v="355"/>
    </i>
    <i>
      <x v="356"/>
      <x v="1"/>
      <x v="7"/>
    </i>
    <i r="2">
      <x v="72"/>
    </i>
    <i r="2">
      <x v="103"/>
    </i>
    <i r="2">
      <x v="160"/>
    </i>
    <i t="default" r="1">
      <x v="1"/>
    </i>
    <i t="default">
      <x v="356"/>
    </i>
    <i>
      <x v="357"/>
      <x/>
      <x v="7"/>
    </i>
    <i r="2">
      <x v="104"/>
    </i>
    <i r="2">
      <x v="136"/>
    </i>
    <i r="2">
      <x v="254"/>
    </i>
    <i t="default" r="1">
      <x/>
    </i>
    <i t="default">
      <x v="357"/>
    </i>
    <i>
      <x v="358"/>
      <x/>
      <x v="34"/>
    </i>
    <i r="2">
      <x v="160"/>
    </i>
    <i r="2">
      <x v="261"/>
    </i>
    <i t="default" r="1">
      <x/>
    </i>
    <i t="default">
      <x v="358"/>
    </i>
    <i>
      <x v="359"/>
      <x/>
      <x v="7"/>
    </i>
    <i r="2">
      <x v="79"/>
    </i>
    <i r="2">
      <x v="81"/>
    </i>
    <i r="2">
      <x v="261"/>
    </i>
    <i t="default" r="1">
      <x/>
    </i>
    <i t="default">
      <x v="359"/>
    </i>
    <i>
      <x v="360"/>
      <x/>
      <x v="72"/>
    </i>
    <i r="2">
      <x v="136"/>
    </i>
    <i r="2">
      <x v="146"/>
    </i>
    <i t="default" r="1">
      <x/>
    </i>
    <i t="default">
      <x v="360"/>
    </i>
    <i>
      <x v="361"/>
      <x v="2"/>
      <x v="106"/>
    </i>
    <i t="default" r="1">
      <x v="2"/>
    </i>
    <i t="default">
      <x v="361"/>
    </i>
    <i>
      <x v="362"/>
      <x v="1"/>
      <x v="7"/>
    </i>
    <i r="2">
      <x v="26"/>
    </i>
    <i r="2">
      <x v="34"/>
    </i>
    <i r="2">
      <x v="83"/>
    </i>
    <i t="default" r="1">
      <x v="1"/>
    </i>
    <i t="default">
      <x v="362"/>
    </i>
    <i>
      <x v="363"/>
      <x/>
      <x v="79"/>
    </i>
    <i t="default" r="1">
      <x/>
    </i>
    <i t="default">
      <x v="363"/>
    </i>
    <i>
      <x v="364"/>
      <x/>
      <x v="72"/>
    </i>
    <i t="default" r="1">
      <x/>
    </i>
    <i t="default">
      <x v="364"/>
    </i>
    <i>
      <x v="365"/>
      <x v="1"/>
      <x v="7"/>
    </i>
    <i r="2">
      <x v="81"/>
    </i>
    <i r="2">
      <x v="212"/>
    </i>
    <i t="default" r="1">
      <x v="1"/>
    </i>
    <i t="default">
      <x v="365"/>
    </i>
    <i>
      <x v="366"/>
      <x/>
      <x v="26"/>
    </i>
    <i r="2">
      <x v="81"/>
    </i>
    <i r="2">
      <x v="144"/>
    </i>
    <i t="default" r="1">
      <x/>
    </i>
    <i t="default">
      <x v="366"/>
    </i>
    <i>
      <x v="367"/>
      <x/>
      <x v="7"/>
    </i>
    <i r="2">
      <x v="101"/>
    </i>
    <i r="2">
      <x v="105"/>
    </i>
    <i r="2">
      <x v="144"/>
    </i>
    <i t="default" r="1">
      <x/>
    </i>
    <i t="default">
      <x v="367"/>
    </i>
    <i>
      <x v="368"/>
      <x v="2"/>
      <x v="144"/>
    </i>
    <i t="default" r="1">
      <x v="2"/>
    </i>
    <i t="default">
      <x v="368"/>
    </i>
    <i>
      <x v="369"/>
      <x/>
      <x v="79"/>
    </i>
    <i r="2">
      <x v="212"/>
    </i>
    <i t="default" r="1">
      <x/>
    </i>
    <i t="default">
      <x v="369"/>
    </i>
    <i>
      <x v="370"/>
      <x/>
      <x v="26"/>
    </i>
    <i r="2">
      <x v="72"/>
    </i>
    <i t="default" r="1">
      <x/>
    </i>
    <i t="default">
      <x v="370"/>
    </i>
    <i>
      <x v="371"/>
      <x/>
      <x v="26"/>
    </i>
    <i r="2">
      <x v="101"/>
    </i>
    <i r="2">
      <x v="146"/>
    </i>
    <i t="default" r="1">
      <x/>
    </i>
    <i t="default">
      <x v="371"/>
    </i>
    <i>
      <x v="372"/>
      <x/>
      <x v="7"/>
    </i>
    <i r="2">
      <x v="26"/>
    </i>
    <i r="2">
      <x v="72"/>
    </i>
    <i r="2">
      <x v="105"/>
    </i>
    <i r="2">
      <x v="254"/>
    </i>
    <i t="default" r="1">
      <x/>
    </i>
    <i t="default">
      <x v="372"/>
    </i>
    <i>
      <x v="373"/>
      <x v="2"/>
      <x v="144"/>
    </i>
    <i r="2">
      <x v="261"/>
    </i>
    <i t="default" r="1">
      <x v="2"/>
    </i>
    <i t="default">
      <x v="373"/>
    </i>
    <i>
      <x v="374"/>
      <x/>
      <x v="7"/>
    </i>
    <i r="2">
      <x v="72"/>
    </i>
    <i r="2">
      <x v="106"/>
    </i>
    <i r="2">
      <x v="212"/>
    </i>
    <i t="default" r="1">
      <x/>
    </i>
    <i t="default">
      <x v="374"/>
    </i>
    <i>
      <x v="375"/>
      <x/>
      <x v="27"/>
    </i>
    <i r="2">
      <x v="106"/>
    </i>
    <i t="default" r="1">
      <x/>
    </i>
    <i t="default">
      <x v="375"/>
    </i>
    <i>
      <x v="376"/>
      <x/>
      <x v="26"/>
    </i>
    <i r="2">
      <x v="254"/>
    </i>
    <i t="default" r="1">
      <x/>
    </i>
    <i t="default">
      <x v="376"/>
    </i>
    <i>
      <x v="377"/>
      <x v="1"/>
      <x v="81"/>
    </i>
    <i t="default" r="1">
      <x v="1"/>
    </i>
    <i t="default">
      <x v="377"/>
    </i>
    <i>
      <x v="378"/>
      <x/>
      <x v="81"/>
    </i>
    <i r="2">
      <x v="160"/>
    </i>
    <i t="default" r="1">
      <x/>
    </i>
    <i t="default">
      <x v="378"/>
    </i>
    <i>
      <x v="379"/>
      <x/>
      <x v="81"/>
    </i>
    <i r="2">
      <x v="146"/>
    </i>
    <i t="default" r="1">
      <x/>
    </i>
    <i t="default">
      <x v="379"/>
    </i>
    <i>
      <x v="380"/>
      <x/>
      <x v="7"/>
    </i>
    <i t="default" r="1">
      <x/>
    </i>
    <i t="default">
      <x v="380"/>
    </i>
    <i>
      <x v="381"/>
      <x/>
      <x v="7"/>
    </i>
    <i r="2">
      <x v="160"/>
    </i>
    <i r="2">
      <x v="254"/>
    </i>
    <i t="default" r="1">
      <x/>
    </i>
    <i t="default">
      <x v="381"/>
    </i>
    <i>
      <x v="382"/>
      <x/>
      <x v="7"/>
    </i>
    <i r="2">
      <x v="26"/>
    </i>
    <i r="2">
      <x v="105"/>
    </i>
    <i t="default" r="1">
      <x/>
    </i>
    <i t="default">
      <x v="382"/>
    </i>
    <i>
      <x v="383"/>
      <x/>
      <x v="7"/>
    </i>
    <i r="2">
      <x v="34"/>
    </i>
    <i r="2">
      <x v="83"/>
    </i>
    <i r="2">
      <x v="212"/>
    </i>
    <i r="2">
      <x v="254"/>
    </i>
    <i t="default" r="1">
      <x/>
    </i>
    <i t="default">
      <x v="383"/>
    </i>
    <i>
      <x v="384"/>
      <x/>
      <x v="7"/>
    </i>
    <i r="2">
      <x v="81"/>
    </i>
    <i r="2">
      <x v="261"/>
    </i>
    <i t="default" r="1">
      <x/>
    </i>
    <i t="default">
      <x v="384"/>
    </i>
    <i>
      <x v="385"/>
      <x/>
      <x v="81"/>
    </i>
    <i r="2">
      <x v="151"/>
    </i>
    <i r="2">
      <x v="254"/>
    </i>
    <i t="default" r="1">
      <x/>
    </i>
    <i t="default">
      <x v="385"/>
    </i>
    <i>
      <x v="386"/>
      <x v="1"/>
      <x v="104"/>
    </i>
    <i t="default" r="1">
      <x v="1"/>
    </i>
    <i t="default">
      <x v="386"/>
    </i>
    <i>
      <x v="387"/>
      <x v="1"/>
      <x v="7"/>
    </i>
    <i r="2">
      <x v="105"/>
    </i>
    <i r="2">
      <x v="106"/>
    </i>
    <i r="2">
      <x v="146"/>
    </i>
    <i t="default" r="1">
      <x v="1"/>
    </i>
    <i t="default">
      <x v="387"/>
    </i>
    <i>
      <x v="388"/>
      <x v="2"/>
      <x v="34"/>
    </i>
    <i r="2">
      <x v="101"/>
    </i>
    <i r="2">
      <x v="106"/>
    </i>
    <i r="2">
      <x v="144"/>
    </i>
    <i r="2">
      <x v="160"/>
    </i>
    <i t="default" r="1">
      <x v="2"/>
    </i>
    <i t="default">
      <x v="388"/>
    </i>
    <i>
      <x v="389"/>
      <x v="1"/>
      <x v="27"/>
    </i>
    <i r="2">
      <x v="160"/>
    </i>
    <i r="2">
      <x v="261"/>
    </i>
    <i t="default" r="1">
      <x v="1"/>
    </i>
    <i t="default">
      <x v="389"/>
    </i>
    <i>
      <x v="390"/>
      <x v="1"/>
      <x v="72"/>
    </i>
    <i r="2">
      <x v="101"/>
    </i>
    <i r="2">
      <x v="254"/>
    </i>
    <i t="default" r="1">
      <x v="1"/>
    </i>
    <i t="default">
      <x v="390"/>
    </i>
    <i>
      <x v="391"/>
      <x v="2"/>
      <x v="26"/>
    </i>
    <i r="2">
      <x v="151"/>
    </i>
    <i t="default" r="1">
      <x v="2"/>
    </i>
    <i t="default">
      <x v="391"/>
    </i>
    <i>
      <x v="392"/>
      <x/>
      <x v="136"/>
    </i>
    <i t="default" r="1">
      <x/>
    </i>
    <i t="default">
      <x v="392"/>
    </i>
    <i>
      <x v="393"/>
      <x v="2"/>
      <x v="26"/>
    </i>
    <i r="2">
      <x v="27"/>
    </i>
    <i r="2">
      <x v="81"/>
    </i>
    <i t="default" r="1">
      <x v="2"/>
    </i>
    <i t="default">
      <x v="393"/>
    </i>
    <i>
      <x v="394"/>
      <x/>
      <x v="26"/>
    </i>
    <i t="default" r="1">
      <x/>
    </i>
    <i t="default">
      <x v="394"/>
    </i>
    <i>
      <x v="395"/>
      <x/>
      <x v="72"/>
    </i>
    <i r="2">
      <x v="79"/>
    </i>
    <i r="2">
      <x v="101"/>
    </i>
    <i t="default" r="1">
      <x/>
    </i>
    <i t="default">
      <x v="395"/>
    </i>
    <i>
      <x v="396"/>
      <x/>
      <x v="261"/>
    </i>
    <i t="default" r="1">
      <x/>
    </i>
    <i t="default">
      <x v="396"/>
    </i>
    <i>
      <x v="397"/>
      <x v="2"/>
      <x v="79"/>
    </i>
    <i r="2">
      <x v="103"/>
    </i>
    <i r="2">
      <x v="104"/>
    </i>
    <i r="2">
      <x v="254"/>
    </i>
    <i t="default" r="1">
      <x v="2"/>
    </i>
    <i t="default">
      <x v="397"/>
    </i>
    <i>
      <x v="398"/>
      <x/>
      <x v="26"/>
    </i>
    <i r="2">
      <x v="79"/>
    </i>
    <i r="2">
      <x v="146"/>
    </i>
    <i t="default" r="1">
      <x/>
    </i>
    <i t="default">
      <x v="398"/>
    </i>
    <i>
      <x v="399"/>
      <x/>
      <x v="72"/>
    </i>
    <i r="2">
      <x v="151"/>
    </i>
    <i r="2">
      <x v="160"/>
    </i>
    <i t="default" r="1">
      <x/>
    </i>
    <i t="default">
      <x v="399"/>
    </i>
    <i>
      <x v="400"/>
      <x/>
      <x v="27"/>
    </i>
    <i r="2">
      <x v="144"/>
    </i>
    <i t="default" r="1">
      <x/>
    </i>
    <i t="default">
      <x v="400"/>
    </i>
    <i>
      <x v="401"/>
      <x/>
      <x v="81"/>
    </i>
    <i r="2">
      <x v="101"/>
    </i>
    <i r="2">
      <x v="136"/>
    </i>
    <i t="default" r="1">
      <x/>
    </i>
    <i t="default">
      <x v="401"/>
    </i>
    <i>
      <x v="402"/>
      <x v="2"/>
      <x v="26"/>
    </i>
    <i r="2">
      <x v="72"/>
    </i>
    <i r="2">
      <x v="261"/>
    </i>
    <i t="default" r="1">
      <x v="2"/>
    </i>
    <i t="default">
      <x v="402"/>
    </i>
    <i>
      <x v="403"/>
      <x/>
      <x v="79"/>
    </i>
    <i r="2">
      <x v="81"/>
    </i>
    <i r="2">
      <x v="160"/>
    </i>
    <i t="default" r="1">
      <x/>
    </i>
    <i t="default">
      <x v="403"/>
    </i>
    <i>
      <x v="404"/>
      <x/>
      <x v="26"/>
    </i>
    <i r="2">
      <x v="144"/>
    </i>
    <i r="2">
      <x v="151"/>
    </i>
    <i t="default" r="1">
      <x/>
    </i>
    <i t="default">
      <x v="404"/>
    </i>
    <i>
      <x v="405"/>
      <x/>
      <x v="212"/>
    </i>
    <i t="default" r="1">
      <x/>
    </i>
    <i t="default">
      <x v="405"/>
    </i>
    <i>
      <x v="406"/>
      <x v="1"/>
      <x v="83"/>
    </i>
    <i r="2">
      <x v="101"/>
    </i>
    <i t="default" r="1">
      <x v="1"/>
    </i>
    <i t="default">
      <x v="406"/>
    </i>
    <i>
      <x v="407"/>
      <x v="2"/>
      <x v="103"/>
    </i>
    <i r="2">
      <x v="104"/>
    </i>
    <i r="2">
      <x v="106"/>
    </i>
    <i r="2">
      <x v="151"/>
    </i>
    <i t="default" r="1">
      <x v="2"/>
    </i>
    <i t="default">
      <x v="407"/>
    </i>
    <i>
      <x v="408"/>
      <x/>
      <x v="7"/>
    </i>
    <i r="2">
      <x v="34"/>
    </i>
    <i r="2">
      <x v="81"/>
    </i>
    <i t="default" r="1">
      <x/>
    </i>
    <i t="default">
      <x v="408"/>
    </i>
    <i>
      <x v="409"/>
      <x/>
      <x v="72"/>
    </i>
    <i r="2">
      <x v="79"/>
    </i>
    <i r="2">
      <x v="160"/>
    </i>
    <i t="default" r="1">
      <x/>
    </i>
    <i t="default">
      <x v="409"/>
    </i>
    <i>
      <x v="410"/>
      <x v="2"/>
      <x v="81"/>
    </i>
    <i r="2">
      <x v="106"/>
    </i>
    <i t="default" r="1">
      <x v="2"/>
    </i>
    <i t="default">
      <x v="410"/>
    </i>
    <i>
      <x v="411"/>
      <x v="2"/>
      <x v="72"/>
    </i>
    <i r="2">
      <x v="103"/>
    </i>
    <i r="2">
      <x v="261"/>
    </i>
    <i t="default" r="1">
      <x v="2"/>
    </i>
    <i t="default">
      <x v="411"/>
    </i>
    <i>
      <x v="412"/>
      <x/>
      <x v="79"/>
    </i>
    <i r="2">
      <x v="160"/>
    </i>
    <i r="2">
      <x v="254"/>
    </i>
    <i t="default" r="1">
      <x/>
    </i>
    <i t="default">
      <x v="412"/>
    </i>
    <i>
      <x v="413"/>
      <x/>
      <x v="212"/>
    </i>
    <i t="default" r="1">
      <x/>
    </i>
    <i t="default">
      <x v="413"/>
    </i>
    <i>
      <x v="414"/>
      <x/>
      <x v="27"/>
    </i>
    <i r="2">
      <x v="101"/>
    </i>
    <i r="2">
      <x v="136"/>
    </i>
    <i r="2">
      <x v="151"/>
    </i>
    <i t="default" r="1">
      <x/>
    </i>
    <i t="default">
      <x v="414"/>
    </i>
    <i>
      <x v="415"/>
      <x/>
      <x v="26"/>
    </i>
    <i r="2">
      <x v="72"/>
    </i>
    <i t="default" r="1">
      <x/>
    </i>
    <i t="default">
      <x v="415"/>
    </i>
    <i>
      <x v="416"/>
      <x v="2"/>
      <x v="81"/>
    </i>
    <i r="2">
      <x v="136"/>
    </i>
    <i t="default" r="1">
      <x v="2"/>
    </i>
    <i t="default">
      <x v="416"/>
    </i>
    <i>
      <x v="417"/>
      <x/>
      <x v="72"/>
    </i>
    <i r="2">
      <x v="83"/>
    </i>
    <i t="default" r="1">
      <x/>
    </i>
    <i t="default">
      <x v="417"/>
    </i>
    <i>
      <x v="418"/>
      <x v="1"/>
      <x v="160"/>
    </i>
    <i t="default" r="1">
      <x v="1"/>
    </i>
    <i t="default">
      <x v="418"/>
    </i>
    <i>
      <x v="419"/>
      <x v="2"/>
      <x v="34"/>
    </i>
    <i r="2">
      <x v="103"/>
    </i>
    <i r="2">
      <x v="151"/>
    </i>
    <i t="default" r="1">
      <x v="2"/>
    </i>
    <i t="default">
      <x v="419"/>
    </i>
    <i>
      <x v="420"/>
      <x v="2"/>
      <x v="27"/>
    </i>
    <i r="2">
      <x v="83"/>
    </i>
    <i r="2">
      <x v="136"/>
    </i>
    <i r="2">
      <x v="151"/>
    </i>
    <i r="2">
      <x v="212"/>
    </i>
    <i t="default" r="1">
      <x v="2"/>
    </i>
    <i t="default">
      <x v="420"/>
    </i>
    <i>
      <x v="421"/>
      <x/>
      <x v="83"/>
    </i>
    <i t="default" r="1">
      <x/>
    </i>
    <i t="default">
      <x v="421"/>
    </i>
    <i>
      <x v="422"/>
      <x/>
      <x v="27"/>
    </i>
    <i r="2">
      <x v="103"/>
    </i>
    <i r="2">
      <x v="106"/>
    </i>
    <i r="2">
      <x v="254"/>
    </i>
    <i t="default" r="1">
      <x/>
    </i>
    <i t="default">
      <x v="422"/>
    </i>
    <i>
      <x v="423"/>
      <x v="2"/>
      <x v="26"/>
    </i>
    <i r="2">
      <x v="136"/>
    </i>
    <i t="default" r="1">
      <x v="2"/>
    </i>
    <i t="default">
      <x v="423"/>
    </i>
    <i>
      <x v="424"/>
      <x/>
      <x v="7"/>
    </i>
    <i r="2">
      <x v="105"/>
    </i>
    <i r="2">
      <x v="136"/>
    </i>
    <i t="default" r="1">
      <x/>
    </i>
    <i t="default">
      <x v="424"/>
    </i>
    <i>
      <x v="425"/>
      <x/>
      <x v="27"/>
    </i>
    <i r="2">
      <x v="144"/>
    </i>
    <i t="default" r="1">
      <x/>
    </i>
    <i t="default">
      <x v="425"/>
    </i>
    <i>
      <x v="426"/>
      <x v="2"/>
      <x v="34"/>
    </i>
    <i r="2">
      <x v="72"/>
    </i>
    <i r="2">
      <x v="81"/>
    </i>
    <i t="default" r="1">
      <x v="2"/>
    </i>
    <i t="default">
      <x v="426"/>
    </i>
    <i>
      <x v="427"/>
      <x/>
      <x v="26"/>
    </i>
    <i r="2">
      <x v="101"/>
    </i>
    <i t="default" r="1">
      <x/>
    </i>
    <i t="default">
      <x v="427"/>
    </i>
    <i>
      <x v="428"/>
      <x v="1"/>
      <x v="101"/>
    </i>
    <i r="2">
      <x v="106"/>
    </i>
    <i r="2">
      <x v="136"/>
    </i>
    <i r="2">
      <x v="146"/>
    </i>
    <i r="2">
      <x v="212"/>
    </i>
    <i t="default" r="1">
      <x v="1"/>
    </i>
    <i t="default">
      <x v="428"/>
    </i>
    <i>
      <x v="429"/>
      <x/>
      <x v="7"/>
    </i>
    <i r="2">
      <x v="26"/>
    </i>
    <i r="2">
      <x v="146"/>
    </i>
    <i r="2">
      <x v="212"/>
    </i>
    <i r="2">
      <x v="254"/>
    </i>
    <i t="default" r="1">
      <x/>
    </i>
    <i t="default">
      <x v="429"/>
    </i>
    <i>
      <x v="430"/>
      <x/>
      <x v="7"/>
    </i>
    <i r="2">
      <x v="26"/>
    </i>
    <i r="2">
      <x v="104"/>
    </i>
    <i r="2">
      <x v="105"/>
    </i>
    <i r="2">
      <x v="136"/>
    </i>
    <i t="default" r="1">
      <x/>
    </i>
    <i t="default">
      <x v="430"/>
    </i>
    <i>
      <x v="431"/>
      <x v="2"/>
      <x v="144"/>
    </i>
    <i r="2">
      <x v="261"/>
    </i>
    <i t="default" r="1">
      <x v="2"/>
    </i>
    <i t="default">
      <x v="431"/>
    </i>
    <i>
      <x v="432"/>
      <x/>
      <x v="72"/>
    </i>
    <i r="2">
      <x v="136"/>
    </i>
    <i r="2">
      <x v="144"/>
    </i>
    <i r="2">
      <x v="212"/>
    </i>
    <i t="default" r="1">
      <x/>
    </i>
    <i t="default">
      <x v="432"/>
    </i>
    <i>
      <x v="433"/>
      <x/>
      <x v="7"/>
    </i>
    <i r="2">
      <x v="83"/>
    </i>
    <i r="2">
      <x v="104"/>
    </i>
    <i r="2">
      <x v="146"/>
    </i>
    <i r="2">
      <x v="160"/>
    </i>
    <i t="default" r="1">
      <x/>
    </i>
    <i t="default">
      <x v="433"/>
    </i>
    <i>
      <x v="434"/>
      <x v="1"/>
      <x v="26"/>
    </i>
    <i r="2">
      <x v="104"/>
    </i>
    <i r="2">
      <x v="160"/>
    </i>
    <i t="default" r="1">
      <x v="1"/>
    </i>
    <i t="default">
      <x v="434"/>
    </i>
    <i>
      <x v="435"/>
      <x/>
      <x v="27"/>
    </i>
    <i r="2">
      <x v="151"/>
    </i>
    <i t="default" r="1">
      <x/>
    </i>
    <i t="default">
      <x v="435"/>
    </i>
    <i>
      <x v="436"/>
      <x/>
      <x v="144"/>
    </i>
    <i r="2">
      <x v="151"/>
    </i>
    <i r="2">
      <x v="254"/>
    </i>
    <i t="default" r="1">
      <x/>
    </i>
    <i t="default">
      <x v="436"/>
    </i>
    <i>
      <x v="437"/>
      <x v="1"/>
      <x v="7"/>
    </i>
    <i r="2">
      <x v="26"/>
    </i>
    <i r="2">
      <x v="212"/>
    </i>
    <i r="2">
      <x v="254"/>
    </i>
    <i t="default" r="1">
      <x v="1"/>
    </i>
    <i t="default">
      <x v="437"/>
    </i>
    <i>
      <x v="438"/>
      <x/>
      <x v="136"/>
    </i>
    <i r="2">
      <x v="261"/>
    </i>
    <i t="default" r="1">
      <x/>
    </i>
    <i t="default">
      <x v="438"/>
    </i>
    <i>
      <x v="439"/>
      <x/>
      <x v="105"/>
    </i>
    <i r="2">
      <x v="212"/>
    </i>
    <i t="default" r="1">
      <x/>
    </i>
    <i t="default">
      <x v="439"/>
    </i>
    <i>
      <x v="440"/>
      <x v="2"/>
      <x v="34"/>
    </i>
    <i r="2">
      <x v="72"/>
    </i>
    <i t="default" r="1">
      <x v="2"/>
    </i>
    <i t="default">
      <x v="440"/>
    </i>
    <i>
      <x v="441"/>
      <x/>
      <x v="81"/>
    </i>
    <i r="2">
      <x v="136"/>
    </i>
    <i t="default" r="1">
      <x/>
    </i>
    <i t="default">
      <x v="441"/>
    </i>
    <i>
      <x v="442"/>
      <x/>
      <x v="81"/>
    </i>
    <i r="2">
      <x v="101"/>
    </i>
    <i t="default" r="1">
      <x/>
    </i>
    <i t="default">
      <x v="442"/>
    </i>
    <i>
      <x v="443"/>
      <x v="2"/>
      <x v="26"/>
    </i>
    <i r="2">
      <x v="34"/>
    </i>
    <i r="2">
      <x v="81"/>
    </i>
    <i r="2">
      <x v="83"/>
    </i>
    <i r="2">
      <x v="144"/>
    </i>
    <i t="default" r="1">
      <x v="2"/>
    </i>
    <i t="default">
      <x v="443"/>
    </i>
    <i>
      <x v="444"/>
      <x/>
      <x v="27"/>
    </i>
    <i r="2">
      <x v="81"/>
    </i>
    <i r="2">
      <x v="261"/>
    </i>
    <i t="default" r="1">
      <x/>
    </i>
    <i t="default">
      <x v="444"/>
    </i>
    <i>
      <x v="445"/>
      <x/>
      <x v="26"/>
    </i>
    <i r="2">
      <x v="81"/>
    </i>
    <i t="default" r="1">
      <x/>
    </i>
    <i t="default">
      <x v="445"/>
    </i>
    <i>
      <x v="446"/>
      <x v="1"/>
      <x v="151"/>
    </i>
    <i r="2">
      <x v="212"/>
    </i>
    <i r="2">
      <x v="254"/>
    </i>
    <i t="default" r="1">
      <x v="1"/>
    </i>
    <i t="default">
      <x v="446"/>
    </i>
    <i>
      <x v="447"/>
      <x/>
      <x v="7"/>
    </i>
    <i r="2">
      <x v="136"/>
    </i>
    <i t="default" r="1">
      <x/>
    </i>
    <i t="default">
      <x v="447"/>
    </i>
    <i>
      <x v="448"/>
      <x/>
      <x v="81"/>
    </i>
    <i r="2">
      <x v="103"/>
    </i>
    <i r="2">
      <x v="106"/>
    </i>
    <i r="2">
      <x v="261"/>
    </i>
    <i t="default" r="1">
      <x/>
    </i>
    <i t="default">
      <x v="448"/>
    </i>
    <i>
      <x v="449"/>
      <x/>
      <x v="72"/>
    </i>
    <i r="2">
      <x v="101"/>
    </i>
    <i t="default" r="1">
      <x/>
    </i>
    <i t="default">
      <x v="449"/>
    </i>
    <i>
      <x v="450"/>
      <x/>
      <x v="26"/>
    </i>
    <i t="default" r="1">
      <x/>
    </i>
    <i t="default">
      <x v="450"/>
    </i>
    <i>
      <x v="451"/>
      <x/>
      <x v="81"/>
    </i>
    <i r="2">
      <x v="146"/>
    </i>
    <i r="2">
      <x v="254"/>
    </i>
    <i r="2">
      <x v="261"/>
    </i>
    <i t="default" r="1">
      <x/>
    </i>
    <i t="default">
      <x v="451"/>
    </i>
    <i>
      <x v="452"/>
      <x/>
      <x v="27"/>
    </i>
    <i r="2">
      <x v="83"/>
    </i>
    <i r="2">
      <x v="212"/>
    </i>
    <i t="default" r="1">
      <x/>
    </i>
    <i t="default">
      <x v="452"/>
    </i>
    <i>
      <x v="453"/>
      <x/>
      <x v="7"/>
    </i>
    <i r="2">
      <x v="72"/>
    </i>
    <i r="2">
      <x v="79"/>
    </i>
    <i t="default" r="1">
      <x/>
    </i>
    <i t="default">
      <x v="453"/>
    </i>
    <i>
      <x v="454"/>
      <x/>
      <x v="160"/>
    </i>
    <i t="default" r="1">
      <x/>
    </i>
    <i t="default">
      <x v="454"/>
    </i>
    <i>
      <x v="455"/>
      <x v="1"/>
      <x v="27"/>
    </i>
    <i r="2">
      <x v="103"/>
    </i>
    <i t="default" r="1">
      <x v="1"/>
    </i>
    <i t="default">
      <x v="455"/>
    </i>
    <i>
      <x v="456"/>
      <x v="2"/>
      <x v="72"/>
    </i>
    <i r="2">
      <x v="103"/>
    </i>
    <i r="2">
      <x v="106"/>
    </i>
    <i r="2">
      <x v="261"/>
    </i>
    <i t="default" r="1">
      <x v="2"/>
    </i>
    <i t="default">
      <x v="456"/>
    </i>
    <i>
      <x v="457"/>
      <x/>
      <x v="7"/>
    </i>
    <i r="2">
      <x v="72"/>
    </i>
    <i r="2">
      <x v="106"/>
    </i>
    <i r="2">
      <x v="146"/>
    </i>
    <i r="2">
      <x v="151"/>
    </i>
    <i t="default" r="1">
      <x/>
    </i>
    <i t="default">
      <x v="457"/>
    </i>
    <i>
      <x v="458"/>
      <x/>
      <x v="146"/>
    </i>
    <i t="default" r="1">
      <x/>
    </i>
    <i t="default">
      <x v="458"/>
    </i>
    <i>
      <x v="459"/>
      <x v="1"/>
      <x v="26"/>
    </i>
    <i r="2">
      <x v="104"/>
    </i>
    <i r="2">
      <x v="105"/>
    </i>
    <i r="2">
      <x v="212"/>
    </i>
    <i t="default" r="1">
      <x v="1"/>
    </i>
    <i t="default">
      <x v="459"/>
    </i>
    <i>
      <x v="460"/>
      <x/>
      <x v="72"/>
    </i>
    <i r="2">
      <x v="81"/>
    </i>
    <i r="2">
      <x v="104"/>
    </i>
    <i r="2">
      <x v="212"/>
    </i>
    <i r="2">
      <x v="254"/>
    </i>
    <i t="default" r="1">
      <x/>
    </i>
    <i t="default">
      <x v="460"/>
    </i>
    <i>
      <x v="461"/>
      <x/>
      <x v="72"/>
    </i>
    <i t="default" r="1">
      <x/>
    </i>
    <i t="default">
      <x v="461"/>
    </i>
    <i>
      <x v="462"/>
      <x v="1"/>
      <x v="7"/>
    </i>
    <i t="default" r="1">
      <x v="1"/>
    </i>
    <i t="default">
      <x v="462"/>
    </i>
    <i>
      <x v="463"/>
      <x/>
      <x v="261"/>
    </i>
    <i t="default" r="1">
      <x/>
    </i>
    <i t="default">
      <x v="463"/>
    </i>
    <i>
      <x v="464"/>
      <x/>
      <x v="79"/>
    </i>
    <i r="2">
      <x v="136"/>
    </i>
    <i t="default" r="1">
      <x/>
    </i>
    <i t="default">
      <x v="464"/>
    </i>
    <i>
      <x v="465"/>
      <x/>
      <x v="34"/>
    </i>
    <i r="2">
      <x v="101"/>
    </i>
    <i r="2">
      <x v="105"/>
    </i>
    <i r="2">
      <x v="136"/>
    </i>
    <i r="2">
      <x v="261"/>
    </i>
    <i t="default" r="1">
      <x/>
    </i>
    <i t="default">
      <x v="465"/>
    </i>
    <i>
      <x v="466"/>
      <x v="1"/>
      <x v="26"/>
    </i>
    <i r="2">
      <x v="103"/>
    </i>
    <i r="2">
      <x v="105"/>
    </i>
    <i r="2">
      <x v="144"/>
    </i>
    <i r="2">
      <x v="146"/>
    </i>
    <i t="default" r="1">
      <x v="1"/>
    </i>
    <i t="default">
      <x v="466"/>
    </i>
    <i>
      <x v="467"/>
      <x v="2"/>
      <x v="79"/>
    </i>
    <i r="2">
      <x v="105"/>
    </i>
    <i r="2">
      <x v="144"/>
    </i>
    <i r="2">
      <x v="160"/>
    </i>
    <i t="default" r="1">
      <x v="2"/>
    </i>
    <i t="default">
      <x v="467"/>
    </i>
    <i>
      <x v="468"/>
      <x/>
      <x v="34"/>
    </i>
    <i r="2">
      <x v="212"/>
    </i>
    <i r="2">
      <x v="254"/>
    </i>
    <i t="default" r="1">
      <x/>
    </i>
    <i t="default">
      <x v="468"/>
    </i>
    <i>
      <x v="469"/>
      <x v="2"/>
      <x v="7"/>
    </i>
    <i r="2">
      <x v="104"/>
    </i>
    <i r="2">
      <x v="254"/>
    </i>
    <i t="default" r="1">
      <x v="2"/>
    </i>
    <i t="default">
      <x v="469"/>
    </i>
    <i>
      <x v="470"/>
      <x v="2"/>
      <x v="7"/>
    </i>
    <i r="2">
      <x v="26"/>
    </i>
    <i t="default" r="1">
      <x v="2"/>
    </i>
    <i t="default">
      <x v="470"/>
    </i>
    <i>
      <x v="471"/>
      <x/>
      <x v="7"/>
    </i>
    <i r="2">
      <x v="34"/>
    </i>
    <i t="default" r="1">
      <x/>
    </i>
    <i t="default">
      <x v="471"/>
    </i>
    <i>
      <x v="472"/>
      <x/>
      <x v="81"/>
    </i>
    <i t="default" r="1">
      <x/>
    </i>
    <i t="default">
      <x v="472"/>
    </i>
    <i>
      <x v="473"/>
      <x v="2"/>
      <x v="105"/>
    </i>
    <i r="2">
      <x v="146"/>
    </i>
    <i t="default" r="1">
      <x v="2"/>
    </i>
    <i t="default">
      <x v="473"/>
    </i>
    <i>
      <x v="474"/>
      <x/>
      <x v="79"/>
    </i>
    <i r="2">
      <x v="81"/>
    </i>
    <i r="2">
      <x v="103"/>
    </i>
    <i t="default" r="1">
      <x/>
    </i>
    <i t="default">
      <x v="474"/>
    </i>
    <i>
      <x v="475"/>
      <x/>
      <x v="26"/>
    </i>
    <i r="2">
      <x v="83"/>
    </i>
    <i r="2">
      <x v="146"/>
    </i>
    <i r="2">
      <x v="212"/>
    </i>
    <i t="default" r="1">
      <x/>
    </i>
    <i t="default">
      <x v="475"/>
    </i>
    <i>
      <x v="476"/>
      <x v="2"/>
      <x v="136"/>
    </i>
    <i r="2">
      <x v="144"/>
    </i>
    <i t="default" r="1">
      <x v="2"/>
    </i>
    <i t="default">
      <x v="476"/>
    </i>
    <i>
      <x v="477"/>
      <x/>
      <x v="7"/>
    </i>
    <i t="default" r="1">
      <x/>
    </i>
    <i t="default">
      <x v="477"/>
    </i>
    <i>
      <x v="478"/>
      <x/>
      <x v="7"/>
    </i>
    <i r="2">
      <x v="72"/>
    </i>
    <i r="2">
      <x v="81"/>
    </i>
    <i r="2">
      <x v="144"/>
    </i>
    <i r="2">
      <x v="261"/>
    </i>
    <i t="default" r="1">
      <x/>
    </i>
    <i t="default">
      <x v="478"/>
    </i>
    <i>
      <x v="479"/>
      <x v="2"/>
      <x v="27"/>
    </i>
    <i r="2">
      <x v="34"/>
    </i>
    <i r="2">
      <x v="212"/>
    </i>
    <i t="default" r="1">
      <x v="2"/>
    </i>
    <i t="default">
      <x v="479"/>
    </i>
    <i>
      <x v="480"/>
      <x v="1"/>
      <x v="7"/>
    </i>
    <i r="2">
      <x v="81"/>
    </i>
    <i r="2">
      <x v="160"/>
    </i>
    <i t="default" r="1">
      <x v="1"/>
    </i>
    <i t="default">
      <x v="480"/>
    </i>
    <i>
      <x v="481"/>
      <x/>
      <x v="7"/>
    </i>
    <i r="2">
      <x v="26"/>
    </i>
    <i t="default" r="1">
      <x/>
    </i>
    <i t="default">
      <x v="481"/>
    </i>
    <i>
      <x v="482"/>
      <x v="2"/>
      <x v="103"/>
    </i>
    <i t="default" r="1">
      <x v="2"/>
    </i>
    <i t="default">
      <x v="482"/>
    </i>
    <i>
      <x v="483"/>
      <x/>
      <x v="72"/>
    </i>
    <i r="2">
      <x v="136"/>
    </i>
    <i r="2">
      <x v="160"/>
    </i>
    <i r="2">
      <x v="254"/>
    </i>
    <i t="default" r="1">
      <x/>
    </i>
    <i t="default">
      <x v="483"/>
    </i>
    <i>
      <x v="484"/>
      <x/>
      <x v="7"/>
    </i>
    <i r="2">
      <x v="81"/>
    </i>
    <i t="default" r="1">
      <x/>
    </i>
    <i t="default">
      <x v="484"/>
    </i>
    <i>
      <x v="485"/>
      <x/>
      <x v="27"/>
    </i>
    <i r="2">
      <x v="160"/>
    </i>
    <i t="default" r="1">
      <x/>
    </i>
    <i t="default">
      <x v="485"/>
    </i>
    <i>
      <x v="486"/>
      <x/>
      <x v="136"/>
    </i>
    <i t="default" r="1">
      <x/>
    </i>
    <i t="default">
      <x v="486"/>
    </i>
    <i>
      <x v="487"/>
      <x/>
      <x v="7"/>
    </i>
    <i r="2">
      <x v="26"/>
    </i>
    <i r="2">
      <x v="27"/>
    </i>
    <i t="default" r="1">
      <x/>
    </i>
    <i t="default">
      <x v="487"/>
    </i>
    <i>
      <x v="488"/>
      <x v="1"/>
      <x v="254"/>
    </i>
    <i t="default" r="1">
      <x v="1"/>
    </i>
    <i t="default">
      <x v="488"/>
    </i>
    <i>
      <x v="489"/>
      <x/>
      <x v="7"/>
    </i>
    <i r="2">
      <x v="26"/>
    </i>
    <i r="2">
      <x v="27"/>
    </i>
    <i r="2">
      <x v="72"/>
    </i>
    <i t="default" r="1">
      <x/>
    </i>
    <i t="default">
      <x v="489"/>
    </i>
    <i>
      <x v="490"/>
      <x v="2"/>
      <x v="7"/>
    </i>
    <i r="2">
      <x v="34"/>
    </i>
    <i r="2">
      <x v="160"/>
    </i>
    <i t="default" r="1">
      <x v="2"/>
    </i>
    <i t="default">
      <x v="490"/>
    </i>
    <i>
      <x v="491"/>
      <x v="2"/>
      <x v="26"/>
    </i>
    <i r="2">
      <x v="81"/>
    </i>
    <i r="2">
      <x v="136"/>
    </i>
    <i t="default" r="1">
      <x v="2"/>
    </i>
    <i t="default">
      <x v="491"/>
    </i>
    <i>
      <x v="492"/>
      <x v="2"/>
      <x v="34"/>
    </i>
    <i r="2">
      <x v="81"/>
    </i>
    <i r="2">
      <x v="104"/>
    </i>
    <i t="default" r="1">
      <x v="2"/>
    </i>
    <i t="default">
      <x v="492"/>
    </i>
    <i>
      <x v="493"/>
      <x/>
      <x v="27"/>
    </i>
    <i t="default" r="1">
      <x/>
    </i>
    <i t="default">
      <x v="493"/>
    </i>
    <i>
      <x v="494"/>
      <x v="2"/>
      <x v="26"/>
    </i>
    <i r="2">
      <x v="160"/>
    </i>
    <i t="default" r="1">
      <x v="2"/>
    </i>
    <i t="default">
      <x v="494"/>
    </i>
    <i>
      <x v="495"/>
      <x/>
      <x v="7"/>
    </i>
    <i r="2">
      <x v="27"/>
    </i>
    <i t="default" r="1">
      <x/>
    </i>
    <i t="default">
      <x v="495"/>
    </i>
    <i>
      <x v="496"/>
      <x/>
      <x v="79"/>
    </i>
    <i t="default" r="1">
      <x/>
    </i>
    <i t="default">
      <x v="496"/>
    </i>
    <i>
      <x v="497"/>
      <x/>
      <x v="7"/>
    </i>
    <i r="2">
      <x v="72"/>
    </i>
    <i r="2">
      <x v="144"/>
    </i>
    <i t="default" r="1">
      <x/>
    </i>
    <i t="default">
      <x v="497"/>
    </i>
    <i>
      <x v="498"/>
      <x v="2"/>
      <x v="26"/>
    </i>
    <i r="2">
      <x v="34"/>
    </i>
    <i r="2">
      <x v="83"/>
    </i>
    <i r="2">
      <x v="146"/>
    </i>
    <i t="default" r="1">
      <x v="2"/>
    </i>
    <i t="default">
      <x v="498"/>
    </i>
    <i>
      <x v="499"/>
      <x/>
      <x v="26"/>
    </i>
    <i r="2">
      <x v="72"/>
    </i>
    <i t="default" r="1">
      <x/>
    </i>
    <i t="default">
      <x v="499"/>
    </i>
    <i>
      <x v="500"/>
      <x/>
      <x v="26"/>
    </i>
    <i r="2">
      <x v="27"/>
    </i>
    <i r="2">
      <x v="105"/>
    </i>
    <i r="2">
      <x v="254"/>
    </i>
    <i t="default" r="1">
      <x/>
    </i>
    <i t="default">
      <x v="500"/>
    </i>
    <i>
      <x v="501"/>
      <x v="1"/>
      <x v="7"/>
    </i>
    <i t="default" r="1">
      <x v="1"/>
    </i>
    <i t="default">
      <x v="501"/>
    </i>
    <i>
      <x v="502"/>
      <x/>
      <x v="7"/>
    </i>
    <i r="2">
      <x v="144"/>
    </i>
    <i t="default" r="1">
      <x/>
    </i>
    <i t="default">
      <x v="502"/>
    </i>
    <i>
      <x v="503"/>
      <x v="2"/>
      <x v="72"/>
    </i>
    <i r="2">
      <x v="106"/>
    </i>
    <i t="default" r="1">
      <x v="2"/>
    </i>
    <i t="default">
      <x v="503"/>
    </i>
    <i>
      <x v="504"/>
      <x/>
      <x v="81"/>
    </i>
    <i t="default" r="1">
      <x/>
    </i>
    <i t="default">
      <x v="504"/>
    </i>
    <i>
      <x v="505"/>
      <x/>
      <x v="79"/>
    </i>
    <i r="2">
      <x v="261"/>
    </i>
    <i t="default" r="1">
      <x/>
    </i>
    <i t="default">
      <x v="505"/>
    </i>
    <i>
      <x v="506"/>
      <x v="2"/>
      <x v="7"/>
    </i>
    <i r="2">
      <x v="83"/>
    </i>
    <i r="2">
      <x v="146"/>
    </i>
    <i t="default" r="1">
      <x v="2"/>
    </i>
    <i t="default">
      <x v="506"/>
    </i>
    <i>
      <x v="507"/>
      <x/>
      <x v="79"/>
    </i>
    <i r="2">
      <x v="106"/>
    </i>
    <i r="2">
      <x v="144"/>
    </i>
    <i r="2">
      <x v="254"/>
    </i>
    <i t="default" r="1">
      <x/>
    </i>
    <i t="default">
      <x v="507"/>
    </i>
    <i>
      <x v="508"/>
      <x/>
      <x v="27"/>
    </i>
    <i r="2">
      <x v="212"/>
    </i>
    <i t="default" r="1">
      <x/>
    </i>
    <i t="default">
      <x v="508"/>
    </i>
    <i>
      <x v="509"/>
      <x/>
      <x v="103"/>
    </i>
    <i t="default" r="1">
      <x/>
    </i>
    <i t="default">
      <x v="509"/>
    </i>
    <i>
      <x v="510"/>
      <x/>
      <x v="7"/>
    </i>
    <i r="2">
      <x v="26"/>
    </i>
    <i t="default" r="1">
      <x/>
    </i>
    <i t="default">
      <x v="510"/>
    </i>
    <i>
      <x v="511"/>
      <x/>
      <x v="7"/>
    </i>
    <i t="default" r="1">
      <x/>
    </i>
    <i t="default">
      <x v="511"/>
    </i>
    <i>
      <x v="512"/>
      <x/>
      <x v="7"/>
    </i>
    <i r="2">
      <x v="27"/>
    </i>
    <i r="2">
      <x v="261"/>
    </i>
    <i t="default" r="1">
      <x/>
    </i>
    <i t="default">
      <x v="512"/>
    </i>
    <i>
      <x v="513"/>
      <x/>
      <x v="103"/>
    </i>
    <i r="2">
      <x v="104"/>
    </i>
    <i t="default" r="1">
      <x/>
    </i>
    <i t="default">
      <x v="513"/>
    </i>
    <i>
      <x v="514"/>
      <x/>
      <x v="79"/>
    </i>
    <i r="2">
      <x v="101"/>
    </i>
    <i r="2">
      <x v="136"/>
    </i>
    <i r="2">
      <x v="254"/>
    </i>
    <i t="default" r="1">
      <x/>
    </i>
    <i t="default">
      <x v="514"/>
    </i>
    <i>
      <x v="515"/>
      <x/>
      <x v="101"/>
    </i>
    <i r="2">
      <x v="261"/>
    </i>
    <i t="default" r="1">
      <x/>
    </i>
    <i t="default">
      <x v="515"/>
    </i>
    <i>
      <x v="516"/>
      <x/>
      <x v="7"/>
    </i>
    <i t="default" r="1">
      <x/>
    </i>
    <i t="default">
      <x v="516"/>
    </i>
    <i>
      <x v="517"/>
      <x v="2"/>
      <x v="34"/>
    </i>
    <i r="2">
      <x v="79"/>
    </i>
    <i r="2">
      <x v="81"/>
    </i>
    <i r="2">
      <x v="101"/>
    </i>
    <i r="2">
      <x v="146"/>
    </i>
    <i t="default" r="1">
      <x v="2"/>
    </i>
    <i t="default">
      <x v="517"/>
    </i>
    <i>
      <x v="518"/>
      <x/>
      <x v="27"/>
    </i>
    <i r="2">
      <x v="81"/>
    </i>
    <i r="2">
      <x v="104"/>
    </i>
    <i r="2">
      <x v="136"/>
    </i>
    <i r="2">
      <x v="261"/>
    </i>
    <i t="default" r="1">
      <x/>
    </i>
    <i t="default">
      <x v="518"/>
    </i>
    <i>
      <x v="519"/>
      <x/>
      <x v="72"/>
    </i>
    <i r="2">
      <x v="81"/>
    </i>
    <i r="2">
      <x v="144"/>
    </i>
    <i t="default" r="1">
      <x/>
    </i>
    <i t="default">
      <x v="519"/>
    </i>
    <i>
      <x v="520"/>
      <x/>
      <x v="26"/>
    </i>
    <i r="2">
      <x v="101"/>
    </i>
    <i t="default" r="1">
      <x/>
    </i>
    <i t="default">
      <x v="520"/>
    </i>
    <i>
      <x v="521"/>
      <x/>
      <x v="7"/>
    </i>
    <i r="2">
      <x v="26"/>
    </i>
    <i r="2">
      <x v="212"/>
    </i>
    <i t="default" r="1">
      <x/>
    </i>
    <i t="default">
      <x v="521"/>
    </i>
    <i>
      <x v="522"/>
      <x/>
      <x v="72"/>
    </i>
    <i r="2">
      <x v="81"/>
    </i>
    <i r="2">
      <x v="83"/>
    </i>
    <i r="2">
      <x v="101"/>
    </i>
    <i t="default" r="1">
      <x/>
    </i>
    <i t="default">
      <x v="522"/>
    </i>
    <i>
      <x v="523"/>
      <x v="2"/>
      <x v="81"/>
    </i>
    <i r="2">
      <x v="106"/>
    </i>
    <i r="2">
      <x v="146"/>
    </i>
    <i r="2">
      <x v="151"/>
    </i>
    <i r="2">
      <x v="160"/>
    </i>
    <i t="default" r="1">
      <x v="2"/>
    </i>
    <i t="default">
      <x v="523"/>
    </i>
    <i>
      <x v="524"/>
      <x v="2"/>
      <x v="136"/>
    </i>
    <i r="2">
      <x v="144"/>
    </i>
    <i r="2">
      <x v="160"/>
    </i>
    <i t="default" r="1">
      <x v="2"/>
    </i>
    <i t="default">
      <x v="524"/>
    </i>
    <i>
      <x v="525"/>
      <x/>
      <x v="7"/>
    </i>
    <i r="2">
      <x v="34"/>
    </i>
    <i r="2">
      <x v="151"/>
    </i>
    <i r="2">
      <x v="254"/>
    </i>
    <i t="default" r="1">
      <x/>
    </i>
    <i t="default">
      <x v="525"/>
    </i>
    <i>
      <x v="526"/>
      <x v="2"/>
      <x v="104"/>
    </i>
    <i r="2">
      <x v="105"/>
    </i>
    <i r="2">
      <x v="160"/>
    </i>
    <i r="2">
      <x v="212"/>
    </i>
    <i t="default" r="1">
      <x v="2"/>
    </i>
    <i t="default">
      <x v="526"/>
    </i>
    <i>
      <x v="527"/>
      <x/>
      <x v="7"/>
    </i>
    <i t="default" r="1">
      <x/>
    </i>
    <i t="default">
      <x v="527"/>
    </i>
    <i>
      <x v="528"/>
      <x/>
      <x v="72"/>
    </i>
    <i t="default" r="1">
      <x/>
    </i>
    <i t="default">
      <x v="528"/>
    </i>
    <i>
      <x v="529"/>
      <x/>
      <x v="106"/>
    </i>
    <i r="2">
      <x v="136"/>
    </i>
    <i r="2">
      <x v="212"/>
    </i>
    <i t="default" r="1">
      <x/>
    </i>
    <i t="default">
      <x v="529"/>
    </i>
    <i>
      <x v="530"/>
      <x v="1"/>
      <x v="72"/>
    </i>
    <i r="2">
      <x v="79"/>
    </i>
    <i r="2">
      <x v="136"/>
    </i>
    <i t="default" r="1">
      <x v="1"/>
    </i>
    <i t="default">
      <x v="530"/>
    </i>
    <i>
      <x v="531"/>
      <x/>
      <x v="72"/>
    </i>
    <i r="2">
      <x v="81"/>
    </i>
    <i r="2">
      <x v="103"/>
    </i>
    <i t="default" r="1">
      <x/>
    </i>
    <i t="default">
      <x v="531"/>
    </i>
    <i>
      <x v="532"/>
      <x/>
      <x v="72"/>
    </i>
    <i r="2">
      <x v="79"/>
    </i>
    <i r="2">
      <x v="144"/>
    </i>
    <i r="2">
      <x v="212"/>
    </i>
    <i t="default" r="1">
      <x/>
    </i>
    <i t="default">
      <x v="532"/>
    </i>
    <i>
      <x v="533"/>
      <x/>
      <x v="7"/>
    </i>
    <i r="2">
      <x v="72"/>
    </i>
    <i r="2">
      <x v="106"/>
    </i>
    <i r="2">
      <x v="160"/>
    </i>
    <i t="default" r="1">
      <x/>
    </i>
    <i t="default">
      <x v="533"/>
    </i>
    <i>
      <x v="534"/>
      <x v="1"/>
      <x v="26"/>
    </i>
    <i r="2">
      <x v="34"/>
    </i>
    <i r="2">
      <x v="72"/>
    </i>
    <i t="default" r="1">
      <x v="1"/>
    </i>
    <i t="default">
      <x v="534"/>
    </i>
    <i>
      <x v="535"/>
      <x v="2"/>
      <x v="26"/>
    </i>
    <i r="2">
      <x v="72"/>
    </i>
    <i r="2">
      <x v="106"/>
    </i>
    <i t="default" r="1">
      <x v="2"/>
    </i>
    <i t="default">
      <x v="535"/>
    </i>
    <i>
      <x v="536"/>
      <x v="2"/>
      <x v="79"/>
    </i>
    <i r="2">
      <x v="81"/>
    </i>
    <i r="2">
      <x v="103"/>
    </i>
    <i r="2">
      <x v="144"/>
    </i>
    <i t="default" r="1">
      <x v="2"/>
    </i>
    <i t="default">
      <x v="536"/>
    </i>
    <i>
      <x v="537"/>
      <x/>
      <x v="106"/>
    </i>
    <i t="default" r="1">
      <x/>
    </i>
    <i t="default">
      <x v="537"/>
    </i>
    <i>
      <x v="538"/>
      <x/>
      <x v="7"/>
    </i>
    <i r="2">
      <x v="27"/>
    </i>
    <i r="2">
      <x v="160"/>
    </i>
    <i t="default" r="1">
      <x/>
    </i>
    <i t="default">
      <x v="538"/>
    </i>
    <i>
      <x v="539"/>
      <x v="2"/>
      <x v="27"/>
    </i>
    <i r="2">
      <x v="81"/>
    </i>
    <i r="2">
      <x v="105"/>
    </i>
    <i t="default" r="1">
      <x v="2"/>
    </i>
    <i t="default">
      <x v="539"/>
    </i>
    <i>
      <x v="540"/>
      <x v="2"/>
      <x v="26"/>
    </i>
    <i t="default" r="1">
      <x v="2"/>
    </i>
    <i t="default">
      <x v="540"/>
    </i>
    <i>
      <x v="541"/>
      <x/>
      <x v="81"/>
    </i>
    <i r="2">
      <x v="83"/>
    </i>
    <i r="2">
      <x v="105"/>
    </i>
    <i r="2">
      <x v="160"/>
    </i>
    <i t="default" r="1">
      <x/>
    </i>
    <i t="default">
      <x v="541"/>
    </i>
    <i>
      <x v="542"/>
      <x/>
      <x v="79"/>
    </i>
    <i r="2">
      <x v="81"/>
    </i>
    <i r="2">
      <x v="104"/>
    </i>
    <i t="default" r="1">
      <x/>
    </i>
    <i t="default">
      <x v="542"/>
    </i>
    <i>
      <x v="543"/>
      <x/>
      <x v="7"/>
    </i>
    <i r="2">
      <x v="72"/>
    </i>
    <i r="2">
      <x v="103"/>
    </i>
    <i t="default" r="1">
      <x/>
    </i>
    <i t="default">
      <x v="543"/>
    </i>
    <i>
      <x v="544"/>
      <x v="1"/>
      <x v="72"/>
    </i>
    <i r="2">
      <x v="79"/>
    </i>
    <i r="2">
      <x v="83"/>
    </i>
    <i r="2">
      <x v="136"/>
    </i>
    <i t="default" r="1">
      <x v="1"/>
    </i>
    <i t="default">
      <x v="544"/>
    </i>
    <i>
      <x v="545"/>
      <x/>
      <x v="103"/>
    </i>
    <i r="2">
      <x v="104"/>
    </i>
    <i r="2">
      <x v="254"/>
    </i>
    <i t="default" r="1">
      <x/>
    </i>
    <i t="default">
      <x v="545"/>
    </i>
    <i>
      <x v="546"/>
      <x v="1"/>
      <x v="101"/>
    </i>
    <i r="2">
      <x v="146"/>
    </i>
    <i r="2">
      <x v="160"/>
    </i>
    <i t="default" r="1">
      <x v="1"/>
    </i>
    <i t="default">
      <x v="546"/>
    </i>
    <i>
      <x v="547"/>
      <x/>
      <x v="146"/>
    </i>
    <i r="2">
      <x v="254"/>
    </i>
    <i t="default" r="1">
      <x/>
    </i>
    <i t="default">
      <x v="547"/>
    </i>
    <i>
      <x v="548"/>
      <x v="1"/>
      <x v="7"/>
    </i>
    <i r="2">
      <x v="34"/>
    </i>
    <i r="2">
      <x v="81"/>
    </i>
    <i r="2">
      <x v="151"/>
    </i>
    <i r="2">
      <x v="261"/>
    </i>
    <i t="default" r="1">
      <x v="1"/>
    </i>
    <i t="default">
      <x v="548"/>
    </i>
    <i>
      <x v="549"/>
      <x/>
      <x v="212"/>
    </i>
    <i t="default" r="1">
      <x/>
    </i>
    <i t="default">
      <x v="549"/>
    </i>
    <i>
      <x v="550"/>
      <x/>
      <x v="34"/>
    </i>
    <i r="2">
      <x v="81"/>
    </i>
    <i r="2">
      <x v="146"/>
    </i>
    <i t="default" r="1">
      <x/>
    </i>
    <i t="default">
      <x v="550"/>
    </i>
    <i>
      <x v="551"/>
      <x/>
      <x v="27"/>
    </i>
    <i r="2">
      <x v="72"/>
    </i>
    <i r="2">
      <x v="104"/>
    </i>
    <i r="2">
      <x v="105"/>
    </i>
    <i r="2">
      <x v="106"/>
    </i>
    <i t="default" r="1">
      <x/>
    </i>
    <i t="default">
      <x v="551"/>
    </i>
    <i>
      <x v="552"/>
      <x v="1"/>
      <x v="72"/>
    </i>
    <i r="2">
      <x v="104"/>
    </i>
    <i t="default" r="1">
      <x v="1"/>
    </i>
    <i t="default">
      <x v="552"/>
    </i>
    <i>
      <x v="553"/>
      <x v="2"/>
      <x v="26"/>
    </i>
    <i r="2">
      <x v="151"/>
    </i>
    <i r="2">
      <x v="212"/>
    </i>
    <i t="default" r="1">
      <x v="2"/>
    </i>
    <i t="default">
      <x v="553"/>
    </i>
    <i>
      <x v="554"/>
      <x/>
      <x v="83"/>
    </i>
    <i r="2">
      <x v="254"/>
    </i>
    <i r="2">
      <x v="261"/>
    </i>
    <i t="default" r="1">
      <x/>
    </i>
    <i t="default">
      <x v="554"/>
    </i>
    <i>
      <x v="555"/>
      <x v="1"/>
      <x v="81"/>
    </i>
    <i r="2">
      <x v="212"/>
    </i>
    <i t="default" r="1">
      <x v="1"/>
    </i>
    <i t="default">
      <x v="555"/>
    </i>
    <i>
      <x v="556"/>
      <x/>
      <x v="144"/>
    </i>
    <i r="2">
      <x v="160"/>
    </i>
    <i t="default" r="1">
      <x/>
    </i>
    <i t="default">
      <x v="556"/>
    </i>
    <i>
      <x v="557"/>
      <x/>
      <x v="7"/>
    </i>
    <i r="2">
      <x v="81"/>
    </i>
    <i r="2">
      <x v="144"/>
    </i>
    <i r="2">
      <x v="160"/>
    </i>
    <i r="2">
      <x v="261"/>
    </i>
    <i t="default" r="1">
      <x/>
    </i>
    <i t="default">
      <x v="557"/>
    </i>
    <i>
      <x v="558"/>
      <x v="2"/>
      <x v="34"/>
    </i>
    <i r="2">
      <x v="136"/>
    </i>
    <i r="2">
      <x v="261"/>
    </i>
    <i t="default" r="1">
      <x v="2"/>
    </i>
    <i t="default">
      <x v="558"/>
    </i>
    <i>
      <x v="559"/>
      <x/>
      <x v="81"/>
    </i>
    <i t="default" r="1">
      <x/>
    </i>
    <i t="default">
      <x v="559"/>
    </i>
    <i>
      <x v="560"/>
      <x/>
      <x v="34"/>
    </i>
    <i r="2">
      <x v="101"/>
    </i>
    <i r="2">
      <x v="103"/>
    </i>
    <i r="2">
      <x v="104"/>
    </i>
    <i t="default" r="1">
      <x/>
    </i>
    <i t="default">
      <x v="560"/>
    </i>
    <i>
      <x v="561"/>
      <x/>
      <x v="79"/>
    </i>
    <i r="2">
      <x v="81"/>
    </i>
    <i t="default" r="1">
      <x/>
    </i>
    <i t="default">
      <x v="561"/>
    </i>
    <i>
      <x v="562"/>
      <x/>
      <x v="7"/>
    </i>
    <i r="2">
      <x v="105"/>
    </i>
    <i r="2">
      <x v="136"/>
    </i>
    <i t="default" r="1">
      <x/>
    </i>
    <i t="default">
      <x v="562"/>
    </i>
    <i>
      <x v="563"/>
      <x/>
      <x v="34"/>
    </i>
    <i r="2">
      <x v="212"/>
    </i>
    <i t="default" r="1">
      <x/>
    </i>
    <i t="default">
      <x v="563"/>
    </i>
    <i>
      <x v="564"/>
      <x/>
      <x v="79"/>
    </i>
    <i r="2">
      <x v="103"/>
    </i>
    <i r="2">
      <x v="104"/>
    </i>
    <i r="2">
      <x v="160"/>
    </i>
    <i t="default" r="1">
      <x/>
    </i>
    <i t="default">
      <x v="564"/>
    </i>
    <i>
      <x v="565"/>
      <x v="2"/>
      <x v="7"/>
    </i>
    <i r="2">
      <x v="72"/>
    </i>
    <i r="2">
      <x v="254"/>
    </i>
    <i r="2">
      <x v="261"/>
    </i>
    <i t="default" r="1">
      <x v="2"/>
    </i>
    <i t="default">
      <x v="565"/>
    </i>
    <i>
      <x v="566"/>
      <x v="2"/>
      <x v="101"/>
    </i>
    <i r="2">
      <x v="160"/>
    </i>
    <i t="default" r="1">
      <x v="2"/>
    </i>
    <i t="default">
      <x v="566"/>
    </i>
    <i>
      <x v="567"/>
      <x v="2"/>
      <x v="101"/>
    </i>
    <i r="2">
      <x v="144"/>
    </i>
    <i t="default" r="1">
      <x v="2"/>
    </i>
    <i t="default">
      <x v="567"/>
    </i>
    <i>
      <x v="568"/>
      <x/>
      <x v="72"/>
    </i>
    <i r="2">
      <x v="81"/>
    </i>
    <i t="default" r="1">
      <x/>
    </i>
    <i t="default">
      <x v="568"/>
    </i>
    <i>
      <x v="569"/>
      <x/>
      <x v="72"/>
    </i>
    <i r="2">
      <x v="81"/>
    </i>
    <i r="2">
      <x v="104"/>
    </i>
    <i r="2">
      <x v="146"/>
    </i>
    <i r="2">
      <x v="151"/>
    </i>
    <i t="default" r="1">
      <x/>
    </i>
    <i t="default">
      <x v="569"/>
    </i>
    <i>
      <x v="570"/>
      <x v="2"/>
      <x v="160"/>
    </i>
    <i r="2">
      <x v="212"/>
    </i>
    <i t="default" r="1">
      <x v="2"/>
    </i>
    <i t="default">
      <x v="570"/>
    </i>
    <i>
      <x v="571"/>
      <x/>
      <x v="7"/>
    </i>
    <i r="2">
      <x v="146"/>
    </i>
    <i r="2">
      <x v="151"/>
    </i>
    <i t="default" r="1">
      <x/>
    </i>
    <i t="default">
      <x v="571"/>
    </i>
    <i>
      <x v="572"/>
      <x/>
      <x v="106"/>
    </i>
    <i t="default" r="1">
      <x/>
    </i>
    <i t="default">
      <x v="572"/>
    </i>
    <i>
      <x v="573"/>
      <x/>
      <x v="7"/>
    </i>
    <i r="2">
      <x v="27"/>
    </i>
    <i r="2">
      <x v="72"/>
    </i>
    <i r="2">
      <x v="81"/>
    </i>
    <i r="2">
      <x v="146"/>
    </i>
    <i t="default" r="1">
      <x/>
    </i>
    <i t="default">
      <x v="573"/>
    </i>
    <i>
      <x v="574"/>
      <x v="2"/>
      <x v="72"/>
    </i>
    <i r="2">
      <x v="212"/>
    </i>
    <i t="default" r="1">
      <x v="2"/>
    </i>
    <i t="default">
      <x v="574"/>
    </i>
    <i>
      <x v="575"/>
      <x v="2"/>
      <x v="160"/>
    </i>
    <i t="default" r="1">
      <x v="2"/>
    </i>
    <i t="default">
      <x v="575"/>
    </i>
    <i>
      <x v="576"/>
      <x/>
      <x v="151"/>
    </i>
    <i t="default" r="1">
      <x/>
    </i>
    <i t="default">
      <x v="576"/>
    </i>
    <i>
      <x v="577"/>
      <x/>
      <x v="7"/>
    </i>
    <i r="2">
      <x v="79"/>
    </i>
    <i r="2">
      <x v="104"/>
    </i>
    <i r="2">
      <x v="254"/>
    </i>
    <i t="default" r="1">
      <x/>
    </i>
    <i t="default">
      <x v="577"/>
    </i>
    <i>
      <x v="578"/>
      <x v="1"/>
      <x v="136"/>
    </i>
    <i r="2">
      <x v="261"/>
    </i>
    <i t="default" r="1">
      <x v="1"/>
    </i>
    <i t="default">
      <x v="578"/>
    </i>
    <i>
      <x v="579"/>
      <x v="2"/>
      <x v="7"/>
    </i>
    <i r="2">
      <x v="34"/>
    </i>
    <i r="2">
      <x v="81"/>
    </i>
    <i r="2">
      <x v="105"/>
    </i>
    <i r="2">
      <x v="160"/>
    </i>
    <i t="default" r="1">
      <x v="2"/>
    </i>
    <i t="default">
      <x v="579"/>
    </i>
    <i>
      <x v="580"/>
      <x v="2"/>
      <x v="254"/>
    </i>
    <i t="default" r="1">
      <x v="2"/>
    </i>
    <i t="default">
      <x v="580"/>
    </i>
    <i>
      <x v="581"/>
      <x v="2"/>
      <x v="103"/>
    </i>
    <i r="2">
      <x v="144"/>
    </i>
    <i t="default" r="1">
      <x v="2"/>
    </i>
    <i t="default">
      <x v="581"/>
    </i>
    <i>
      <x v="582"/>
      <x/>
      <x v="34"/>
    </i>
    <i t="default" r="1">
      <x/>
    </i>
    <i t="default">
      <x v="582"/>
    </i>
    <i>
      <x v="583"/>
      <x/>
      <x v="26"/>
    </i>
    <i r="2">
      <x v="27"/>
    </i>
    <i r="2">
      <x v="34"/>
    </i>
    <i r="2">
      <x v="105"/>
    </i>
    <i r="2">
      <x v="254"/>
    </i>
    <i t="default" r="1">
      <x/>
    </i>
    <i t="default">
      <x v="583"/>
    </i>
    <i>
      <x v="584"/>
      <x/>
      <x v="34"/>
    </i>
    <i r="2">
      <x v="72"/>
    </i>
    <i r="2">
      <x v="104"/>
    </i>
    <i r="2">
      <x v="144"/>
    </i>
    <i t="default" r="1">
      <x/>
    </i>
    <i t="default">
      <x v="584"/>
    </i>
    <i>
      <x v="585"/>
      <x/>
      <x v="27"/>
    </i>
    <i r="2">
      <x v="146"/>
    </i>
    <i t="default" r="1">
      <x/>
    </i>
    <i t="default">
      <x v="585"/>
    </i>
    <i>
      <x v="586"/>
      <x v="2"/>
      <x v="7"/>
    </i>
    <i r="2">
      <x v="27"/>
    </i>
    <i r="2">
      <x v="72"/>
    </i>
    <i r="2">
      <x v="104"/>
    </i>
    <i t="default" r="1">
      <x v="2"/>
    </i>
    <i t="default">
      <x v="586"/>
    </i>
    <i>
      <x v="587"/>
      <x/>
      <x v="27"/>
    </i>
    <i r="2">
      <x v="144"/>
    </i>
    <i t="default" r="1">
      <x/>
    </i>
    <i t="default">
      <x v="587"/>
    </i>
    <i>
      <x v="588"/>
      <x/>
      <x v="34"/>
    </i>
    <i t="default" r="1">
      <x/>
    </i>
    <i t="default">
      <x v="588"/>
    </i>
    <i>
      <x v="589"/>
      <x/>
      <x v="72"/>
    </i>
    <i r="2">
      <x v="83"/>
    </i>
    <i r="2">
      <x v="101"/>
    </i>
    <i r="2">
      <x v="106"/>
    </i>
    <i r="2">
      <x v="254"/>
    </i>
    <i t="default" r="1">
      <x/>
    </i>
    <i t="default">
      <x v="589"/>
    </i>
    <i>
      <x v="590"/>
      <x/>
      <x v="79"/>
    </i>
    <i r="2">
      <x v="81"/>
    </i>
    <i r="2">
      <x v="106"/>
    </i>
    <i t="default" r="1">
      <x/>
    </i>
    <i t="default">
      <x v="590"/>
    </i>
    <i>
      <x v="591"/>
      <x/>
      <x v="7"/>
    </i>
    <i r="2">
      <x v="81"/>
    </i>
    <i r="2">
      <x v="104"/>
    </i>
    <i t="default" r="1">
      <x/>
    </i>
    <i t="default">
      <x v="591"/>
    </i>
    <i>
      <x v="592"/>
      <x v="1"/>
      <x v="79"/>
    </i>
    <i r="2">
      <x v="151"/>
    </i>
    <i t="default" r="1">
      <x v="1"/>
    </i>
    <i t="default">
      <x v="592"/>
    </i>
    <i>
      <x v="593"/>
      <x v="1"/>
      <x v="7"/>
    </i>
    <i r="2">
      <x v="81"/>
    </i>
    <i t="default" r="1">
      <x v="1"/>
    </i>
    <i t="default">
      <x v="593"/>
    </i>
    <i>
      <x v="594"/>
      <x v="2"/>
      <x v="81"/>
    </i>
    <i r="2">
      <x v="105"/>
    </i>
    <i r="2">
      <x v="144"/>
    </i>
    <i r="2">
      <x v="151"/>
    </i>
    <i r="2">
      <x v="212"/>
    </i>
    <i t="default" r="1">
      <x v="2"/>
    </i>
    <i t="default">
      <x v="594"/>
    </i>
    <i>
      <x v="595"/>
      <x v="2"/>
      <x v="27"/>
    </i>
    <i r="2">
      <x v="101"/>
    </i>
    <i r="2">
      <x v="160"/>
    </i>
    <i t="default" r="1">
      <x v="2"/>
    </i>
    <i t="default">
      <x v="595"/>
    </i>
    <i>
      <x v="596"/>
      <x/>
      <x v="103"/>
    </i>
    <i r="2">
      <x v="254"/>
    </i>
    <i t="default" r="1">
      <x/>
    </i>
    <i t="default">
      <x v="596"/>
    </i>
    <i>
      <x v="597"/>
      <x v="2"/>
      <x v="26"/>
    </i>
    <i r="2">
      <x v="81"/>
    </i>
    <i r="2">
      <x v="212"/>
    </i>
    <i t="default" r="1">
      <x v="2"/>
    </i>
    <i t="default">
      <x v="597"/>
    </i>
    <i>
      <x v="598"/>
      <x/>
      <x v="26"/>
    </i>
    <i r="2">
      <x v="27"/>
    </i>
    <i r="2">
      <x v="144"/>
    </i>
    <i r="2">
      <x v="160"/>
    </i>
    <i t="default" r="1">
      <x/>
    </i>
    <i t="default">
      <x v="598"/>
    </i>
    <i>
      <x v="599"/>
      <x/>
      <x v="81"/>
    </i>
    <i r="2">
      <x v="104"/>
    </i>
    <i r="2">
      <x v="212"/>
    </i>
    <i t="default" r="1">
      <x/>
    </i>
    <i t="default">
      <x v="599"/>
    </i>
    <i>
      <x v="600"/>
      <x/>
      <x v="72"/>
    </i>
    <i t="default" r="1">
      <x/>
    </i>
    <i t="default">
      <x v="600"/>
    </i>
    <i>
      <x v="601"/>
      <x/>
      <x v="34"/>
    </i>
    <i r="2">
      <x v="101"/>
    </i>
    <i t="default" r="1">
      <x/>
    </i>
    <i t="default">
      <x v="601"/>
    </i>
    <i>
      <x v="602"/>
      <x/>
      <x v="72"/>
    </i>
    <i r="2">
      <x v="212"/>
    </i>
    <i t="default" r="1">
      <x/>
    </i>
    <i t="default">
      <x v="602"/>
    </i>
    <i>
      <x v="603"/>
      <x/>
      <x v="144"/>
    </i>
    <i r="2">
      <x v="160"/>
    </i>
    <i t="default" r="1">
      <x/>
    </i>
    <i t="default">
      <x v="603"/>
    </i>
    <i>
      <x v="604"/>
      <x/>
      <x v="7"/>
    </i>
    <i r="2">
      <x v="79"/>
    </i>
    <i r="2">
      <x v="105"/>
    </i>
    <i r="2">
      <x v="146"/>
    </i>
    <i t="default" r="1">
      <x/>
    </i>
    <i t="default">
      <x v="604"/>
    </i>
    <i>
      <x v="605"/>
      <x/>
      <x v="104"/>
    </i>
    <i r="2">
      <x v="136"/>
    </i>
    <i t="default" r="1">
      <x/>
    </i>
    <i t="default">
      <x v="605"/>
    </i>
    <i>
      <x v="606"/>
      <x/>
      <x v="26"/>
    </i>
    <i r="2">
      <x v="81"/>
    </i>
    <i r="2">
      <x v="146"/>
    </i>
    <i t="default" r="1">
      <x/>
    </i>
    <i t="default">
      <x v="606"/>
    </i>
    <i>
      <x v="607"/>
      <x v="2"/>
      <x v="72"/>
    </i>
    <i r="2">
      <x v="212"/>
    </i>
    <i r="2">
      <x v="261"/>
    </i>
    <i t="default" r="1">
      <x v="2"/>
    </i>
    <i t="default">
      <x v="607"/>
    </i>
    <i>
      <x v="608"/>
      <x/>
      <x v="26"/>
    </i>
    <i r="2">
      <x v="101"/>
    </i>
    <i r="2">
      <x v="144"/>
    </i>
    <i r="2">
      <x v="261"/>
    </i>
    <i t="default" r="1">
      <x/>
    </i>
    <i t="default">
      <x v="608"/>
    </i>
    <i>
      <x v="609"/>
      <x/>
      <x v="72"/>
    </i>
    <i r="2">
      <x v="81"/>
    </i>
    <i r="2">
      <x v="104"/>
    </i>
    <i r="2">
      <x v="151"/>
    </i>
    <i r="2">
      <x v="254"/>
    </i>
    <i t="default" r="1">
      <x/>
    </i>
    <i t="default">
      <x v="609"/>
    </i>
    <i>
      <x v="610"/>
      <x/>
      <x v="81"/>
    </i>
    <i t="default" r="1">
      <x/>
    </i>
    <i t="default">
      <x v="610"/>
    </i>
    <i>
      <x v="611"/>
      <x/>
      <x v="7"/>
    </i>
    <i r="2">
      <x v="26"/>
    </i>
    <i r="2">
      <x v="83"/>
    </i>
    <i r="2">
      <x v="103"/>
    </i>
    <i t="default" r="1">
      <x/>
    </i>
    <i t="default">
      <x v="611"/>
    </i>
    <i>
      <x v="612"/>
      <x/>
      <x v="72"/>
    </i>
    <i r="2">
      <x v="104"/>
    </i>
    <i r="2">
      <x v="160"/>
    </i>
    <i t="default" r="1">
      <x/>
    </i>
    <i t="default">
      <x v="612"/>
    </i>
    <i>
      <x v="613"/>
      <x v="2"/>
      <x v="7"/>
    </i>
    <i r="2">
      <x v="104"/>
    </i>
    <i t="default" r="1">
      <x v="2"/>
    </i>
    <i t="default">
      <x v="613"/>
    </i>
    <i>
      <x v="614"/>
      <x v="1"/>
      <x v="27"/>
    </i>
    <i r="2">
      <x v="105"/>
    </i>
    <i r="2">
      <x v="136"/>
    </i>
    <i r="2">
      <x v="146"/>
    </i>
    <i t="default" r="1">
      <x v="1"/>
    </i>
    <i t="default">
      <x v="614"/>
    </i>
    <i>
      <x v="615"/>
      <x/>
      <x v="72"/>
    </i>
    <i r="2">
      <x v="81"/>
    </i>
    <i t="default" r="1">
      <x/>
    </i>
    <i t="default">
      <x v="615"/>
    </i>
    <i>
      <x v="616"/>
      <x/>
      <x v="34"/>
    </i>
    <i r="2">
      <x v="146"/>
    </i>
    <i t="default" r="1">
      <x/>
    </i>
    <i t="default">
      <x v="616"/>
    </i>
    <i>
      <x v="617"/>
      <x/>
      <x v="103"/>
    </i>
    <i r="2">
      <x v="146"/>
    </i>
    <i t="default" r="1">
      <x/>
    </i>
    <i t="default">
      <x v="617"/>
    </i>
    <i>
      <x v="618"/>
      <x/>
      <x v="79"/>
    </i>
    <i t="default" r="1">
      <x/>
    </i>
    <i t="default">
      <x v="618"/>
    </i>
    <i>
      <x v="619"/>
      <x/>
      <x v="101"/>
    </i>
    <i t="default" r="1">
      <x/>
    </i>
    <i t="default">
      <x v="619"/>
    </i>
    <i>
      <x v="620"/>
      <x/>
      <x v="103"/>
    </i>
    <i t="default" r="1">
      <x/>
    </i>
    <i t="default">
      <x v="620"/>
    </i>
    <i>
      <x v="621"/>
      <x/>
      <x v="79"/>
    </i>
    <i r="2">
      <x v="104"/>
    </i>
    <i r="2">
      <x v="144"/>
    </i>
    <i r="2">
      <x v="160"/>
    </i>
    <i t="default" r="1">
      <x/>
    </i>
    <i t="default">
      <x v="621"/>
    </i>
    <i>
      <x v="622"/>
      <x/>
      <x v="254"/>
    </i>
    <i t="default" r="1">
      <x/>
    </i>
    <i t="default">
      <x v="622"/>
    </i>
    <i>
      <x v="623"/>
      <x/>
      <x v="7"/>
    </i>
    <i r="2">
      <x v="26"/>
    </i>
    <i r="2">
      <x v="81"/>
    </i>
    <i t="default" r="1">
      <x/>
    </i>
    <i t="default">
      <x v="623"/>
    </i>
    <i>
      <x v="624"/>
      <x v="2"/>
      <x v="27"/>
    </i>
    <i r="2">
      <x v="81"/>
    </i>
    <i r="2">
      <x v="103"/>
    </i>
    <i r="2">
      <x v="146"/>
    </i>
    <i t="default" r="1">
      <x v="2"/>
    </i>
    <i t="default">
      <x v="624"/>
    </i>
    <i>
      <x v="625"/>
      <x/>
      <x v="34"/>
    </i>
    <i t="default" r="1">
      <x/>
    </i>
    <i t="default">
      <x v="625"/>
    </i>
    <i>
      <x v="626"/>
      <x/>
      <x v="81"/>
    </i>
    <i r="2">
      <x v="105"/>
    </i>
    <i r="2">
      <x v="160"/>
    </i>
    <i t="default" r="1">
      <x/>
    </i>
    <i t="default">
      <x v="626"/>
    </i>
    <i>
      <x v="627"/>
      <x v="2"/>
      <x v="34"/>
    </i>
    <i t="default" r="1">
      <x v="2"/>
    </i>
    <i t="default">
      <x v="627"/>
    </i>
    <i>
      <x v="628"/>
      <x v="2"/>
      <x v="26"/>
    </i>
    <i r="2">
      <x v="27"/>
    </i>
    <i r="2">
      <x v="101"/>
    </i>
    <i r="2">
      <x v="105"/>
    </i>
    <i r="2">
      <x v="136"/>
    </i>
    <i t="default" r="1">
      <x v="2"/>
    </i>
    <i t="default">
      <x v="628"/>
    </i>
    <i>
      <x v="629"/>
      <x/>
      <x v="7"/>
    </i>
    <i r="2">
      <x v="79"/>
    </i>
    <i r="2">
      <x v="101"/>
    </i>
    <i r="2">
      <x v="104"/>
    </i>
    <i t="default" r="1">
      <x/>
    </i>
    <i t="default">
      <x v="629"/>
    </i>
    <i>
      <x v="630"/>
      <x v="2"/>
      <x v="34"/>
    </i>
    <i r="2">
      <x v="72"/>
    </i>
    <i t="default" r="1">
      <x v="2"/>
    </i>
    <i t="default">
      <x v="630"/>
    </i>
    <i>
      <x v="631"/>
      <x/>
      <x v="26"/>
    </i>
    <i r="2">
      <x v="34"/>
    </i>
    <i r="2">
      <x v="79"/>
    </i>
    <i r="2">
      <x v="136"/>
    </i>
    <i r="2">
      <x v="146"/>
    </i>
    <i t="default" r="1">
      <x/>
    </i>
    <i t="default">
      <x v="631"/>
    </i>
    <i>
      <x v="632"/>
      <x v="1"/>
      <x v="7"/>
    </i>
    <i r="2">
      <x v="72"/>
    </i>
    <i r="2">
      <x v="101"/>
    </i>
    <i r="2">
      <x v="144"/>
    </i>
    <i t="default" r="1">
      <x v="1"/>
    </i>
    <i t="default">
      <x v="632"/>
    </i>
    <i>
      <x v="633"/>
      <x/>
      <x v="72"/>
    </i>
    <i r="2">
      <x v="212"/>
    </i>
    <i t="default" r="1">
      <x/>
    </i>
    <i t="default">
      <x v="633"/>
    </i>
    <i>
      <x v="634"/>
      <x/>
      <x v="212"/>
    </i>
    <i t="default" r="1">
      <x/>
    </i>
    <i t="default">
      <x v="634"/>
    </i>
    <i>
      <x v="635"/>
      <x v="2"/>
      <x v="90"/>
    </i>
    <i t="default" r="1">
      <x v="2"/>
    </i>
    <i t="default">
      <x v="635"/>
    </i>
    <i>
      <x v="636"/>
      <x/>
      <x v="116"/>
    </i>
    <i r="2">
      <x v="160"/>
    </i>
    <i t="default" r="1">
      <x/>
    </i>
    <i t="default">
      <x v="636"/>
    </i>
    <i>
      <x v="637"/>
      <x/>
      <x v="129"/>
    </i>
    <i r="2">
      <x v="140"/>
    </i>
    <i r="2">
      <x v="193"/>
    </i>
    <i t="default" r="1">
      <x/>
    </i>
    <i t="default">
      <x v="637"/>
    </i>
    <i>
      <x v="638"/>
      <x/>
      <x v="34"/>
    </i>
    <i r="2">
      <x v="111"/>
    </i>
    <i r="2">
      <x v="114"/>
    </i>
    <i r="2">
      <x v="233"/>
    </i>
    <i t="default" r="1">
      <x/>
    </i>
    <i t="default">
      <x v="638"/>
    </i>
    <i>
      <x v="639"/>
      <x/>
      <x v="28"/>
    </i>
    <i r="2">
      <x v="116"/>
    </i>
    <i r="2">
      <x v="119"/>
    </i>
    <i r="2">
      <x v="137"/>
    </i>
    <i r="2">
      <x v="207"/>
    </i>
    <i t="default" r="1">
      <x/>
    </i>
    <i t="default">
      <x v="639"/>
    </i>
    <i>
      <x v="640"/>
      <x v="2"/>
      <x v="34"/>
    </i>
    <i r="2">
      <x v="80"/>
    </i>
    <i r="2">
      <x v="156"/>
    </i>
    <i t="default" r="1">
      <x v="2"/>
    </i>
    <i t="default">
      <x v="640"/>
    </i>
    <i>
      <x v="641"/>
      <x/>
      <x v="116"/>
    </i>
    <i t="default" r="1">
      <x/>
    </i>
    <i t="default">
      <x v="641"/>
    </i>
    <i>
      <x v="642"/>
      <x v="2"/>
      <x v="140"/>
    </i>
    <i t="default" r="1">
      <x v="2"/>
    </i>
    <i t="default">
      <x v="642"/>
    </i>
    <i>
      <x v="643"/>
      <x/>
      <x v="160"/>
    </i>
    <i t="default" r="1">
      <x/>
    </i>
    <i t="default">
      <x v="643"/>
    </i>
    <i>
      <x v="644"/>
      <x/>
      <x v="7"/>
    </i>
    <i r="2">
      <x v="46"/>
    </i>
    <i r="2">
      <x v="136"/>
    </i>
    <i r="2">
      <x v="209"/>
    </i>
    <i r="2">
      <x v="256"/>
    </i>
    <i t="default" r="1">
      <x/>
    </i>
    <i t="default">
      <x v="644"/>
    </i>
    <i>
      <x v="645"/>
      <x v="2"/>
      <x v="28"/>
    </i>
    <i r="2">
      <x v="34"/>
    </i>
    <i r="2">
      <x v="72"/>
    </i>
    <i r="2">
      <x v="212"/>
    </i>
    <i t="default" r="1">
      <x v="2"/>
    </i>
    <i t="default">
      <x v="645"/>
    </i>
    <i>
      <x v="646"/>
      <x/>
      <x v="7"/>
    </i>
    <i r="2">
      <x v="79"/>
    </i>
    <i t="default" r="1">
      <x/>
    </i>
    <i t="default">
      <x v="646"/>
    </i>
    <i>
      <x v="647"/>
      <x/>
      <x v="72"/>
    </i>
    <i t="default" r="1">
      <x/>
    </i>
    <i t="default">
      <x v="647"/>
    </i>
    <i>
      <x v="648"/>
      <x v="2"/>
      <x v="39"/>
    </i>
    <i r="2">
      <x v="112"/>
    </i>
    <i r="2">
      <x v="146"/>
    </i>
    <i r="2">
      <x v="239"/>
    </i>
    <i t="default" r="1">
      <x v="2"/>
    </i>
    <i t="default">
      <x v="648"/>
    </i>
    <i>
      <x v="649"/>
      <x v="2"/>
      <x v="151"/>
    </i>
    <i t="default" r="1">
      <x v="2"/>
    </i>
    <i t="default">
      <x v="649"/>
    </i>
    <i>
      <x v="650"/>
      <x/>
      <x v="80"/>
    </i>
    <i r="2">
      <x v="90"/>
    </i>
    <i r="2">
      <x v="96"/>
    </i>
    <i r="2">
      <x v="113"/>
    </i>
    <i t="default" r="1">
      <x/>
    </i>
    <i t="default">
      <x v="650"/>
    </i>
    <i>
      <x v="651"/>
      <x v="1"/>
      <x v="15"/>
    </i>
    <i r="2">
      <x v="27"/>
    </i>
    <i r="2">
      <x v="80"/>
    </i>
    <i r="2">
      <x v="126"/>
    </i>
    <i r="2">
      <x v="156"/>
    </i>
    <i t="default" r="1">
      <x v="1"/>
    </i>
    <i t="default">
      <x v="651"/>
    </i>
    <i>
      <x v="652"/>
      <x v="2"/>
      <x v="106"/>
    </i>
    <i r="2">
      <x v="115"/>
    </i>
    <i r="2">
      <x v="136"/>
    </i>
    <i r="2">
      <x v="215"/>
    </i>
    <i r="2">
      <x v="236"/>
    </i>
    <i t="default" r="1">
      <x v="2"/>
    </i>
    <i t="default">
      <x v="652"/>
    </i>
    <i>
      <x v="653"/>
      <x/>
      <x v="28"/>
    </i>
    <i r="2">
      <x v="39"/>
    </i>
    <i r="2">
      <x v="120"/>
    </i>
    <i r="2">
      <x v="160"/>
    </i>
    <i t="default" r="1">
      <x/>
    </i>
    <i t="default">
      <x v="653"/>
    </i>
    <i>
      <x v="654"/>
      <x v="2"/>
      <x v="126"/>
    </i>
    <i t="default" r="1">
      <x v="2"/>
    </i>
    <i t="default">
      <x v="654"/>
    </i>
    <i>
      <x v="655"/>
      <x/>
      <x v="26"/>
    </i>
    <i r="2">
      <x v="152"/>
    </i>
    <i r="2">
      <x v="159"/>
    </i>
    <i t="default" r="1">
      <x/>
    </i>
    <i t="default">
      <x v="655"/>
    </i>
    <i>
      <x v="656"/>
      <x v="2"/>
      <x v="143"/>
    </i>
    <i r="2">
      <x v="189"/>
    </i>
    <i t="default" r="1">
      <x v="2"/>
    </i>
    <i t="default">
      <x v="656"/>
    </i>
    <i>
      <x v="657"/>
      <x/>
      <x v="160"/>
    </i>
    <i r="2">
      <x v="184"/>
    </i>
    <i r="2">
      <x v="273"/>
    </i>
    <i t="default" r="1">
      <x/>
    </i>
    <i t="default">
      <x v="657"/>
    </i>
    <i>
      <x v="658"/>
      <x/>
      <x v="2"/>
    </i>
    <i r="2">
      <x v="209"/>
    </i>
    <i r="2">
      <x v="233"/>
    </i>
    <i r="2">
      <x v="262"/>
    </i>
    <i t="default" r="1">
      <x/>
    </i>
    <i t="default">
      <x v="658"/>
    </i>
    <i>
      <x v="659"/>
      <x/>
      <x v="137"/>
    </i>
    <i r="2">
      <x v="178"/>
    </i>
    <i r="2">
      <x v="256"/>
    </i>
    <i r="2">
      <x v="273"/>
    </i>
    <i t="default" r="1">
      <x/>
    </i>
    <i t="default">
      <x v="659"/>
    </i>
    <i>
      <x v="660"/>
      <x/>
      <x v="26"/>
    </i>
    <i r="2">
      <x v="158"/>
    </i>
    <i t="default" r="1">
      <x/>
    </i>
    <i t="default">
      <x v="660"/>
    </i>
    <i>
      <x v="661"/>
      <x v="2"/>
      <x v="26"/>
    </i>
    <i r="2">
      <x v="28"/>
    </i>
    <i r="2">
      <x v="80"/>
    </i>
    <i r="2">
      <x v="116"/>
    </i>
    <i r="2">
      <x v="179"/>
    </i>
    <i t="default" r="1">
      <x v="2"/>
    </i>
    <i t="default">
      <x v="661"/>
    </i>
    <i>
      <x v="662"/>
      <x v="2"/>
      <x v="93"/>
    </i>
    <i r="2">
      <x v="96"/>
    </i>
    <i r="2">
      <x v="103"/>
    </i>
    <i r="2">
      <x v="110"/>
    </i>
    <i r="2">
      <x v="116"/>
    </i>
    <i t="default" r="1">
      <x v="2"/>
    </i>
    <i t="default">
      <x v="662"/>
    </i>
    <i>
      <x v="663"/>
      <x/>
      <x v="55"/>
    </i>
    <i r="2">
      <x v="101"/>
    </i>
    <i r="2">
      <x v="143"/>
    </i>
    <i r="2">
      <x v="256"/>
    </i>
    <i r="2">
      <x v="259"/>
    </i>
    <i t="default" r="1">
      <x/>
    </i>
    <i t="default">
      <x v="663"/>
    </i>
    <i>
      <x v="664"/>
      <x/>
      <x v="79"/>
    </i>
    <i r="2">
      <x v="209"/>
    </i>
    <i r="2">
      <x v="223"/>
    </i>
    <i t="default" r="1">
      <x/>
    </i>
    <i t="default">
      <x v="664"/>
    </i>
    <i>
      <x v="665"/>
      <x/>
      <x v="45"/>
    </i>
    <i r="2">
      <x v="262"/>
    </i>
    <i t="default" r="1">
      <x/>
    </i>
    <i t="default">
      <x v="665"/>
    </i>
    <i>
      <x v="666"/>
      <x/>
      <x v="46"/>
    </i>
    <i r="2">
      <x v="90"/>
    </i>
    <i r="2">
      <x v="113"/>
    </i>
    <i r="2">
      <x v="124"/>
    </i>
    <i r="2">
      <x v="151"/>
    </i>
    <i t="default" r="1">
      <x/>
    </i>
    <i t="default">
      <x v="666"/>
    </i>
    <i>
      <x v="667"/>
      <x v="1"/>
      <x v="105"/>
    </i>
    <i r="2">
      <x v="201"/>
    </i>
    <i t="default" r="1">
      <x v="1"/>
    </i>
    <i t="default">
      <x v="667"/>
    </i>
    <i>
      <x v="668"/>
      <x/>
      <x v="81"/>
    </i>
    <i r="2">
      <x v="111"/>
    </i>
    <i t="default" r="1">
      <x/>
    </i>
    <i t="default">
      <x v="668"/>
    </i>
    <i>
      <x v="669"/>
      <x/>
      <x v="98"/>
    </i>
    <i r="2">
      <x v="117"/>
    </i>
    <i r="2">
      <x v="128"/>
    </i>
    <i r="2">
      <x v="138"/>
    </i>
    <i t="default" r="1">
      <x/>
    </i>
    <i t="default">
      <x v="669"/>
    </i>
    <i>
      <x v="670"/>
      <x/>
      <x v="118"/>
    </i>
    <i r="2">
      <x v="119"/>
    </i>
    <i r="2">
      <x v="137"/>
    </i>
    <i r="2">
      <x v="179"/>
    </i>
    <i r="2">
      <x v="212"/>
    </i>
    <i t="default" r="1">
      <x/>
    </i>
    <i t="default">
      <x v="670"/>
    </i>
    <i>
      <x v="671"/>
      <x/>
      <x v="36"/>
    </i>
    <i r="2">
      <x v="201"/>
    </i>
    <i r="2">
      <x v="260"/>
    </i>
    <i t="default" r="1">
      <x/>
    </i>
    <i t="default">
      <x v="671"/>
    </i>
    <i>
      <x v="672"/>
      <x v="1"/>
      <x v="7"/>
    </i>
    <i r="2">
      <x v="92"/>
    </i>
    <i r="2">
      <x v="101"/>
    </i>
    <i r="2">
      <x v="125"/>
    </i>
    <i t="default" r="1">
      <x v="1"/>
    </i>
    <i t="default">
      <x v="672"/>
    </i>
    <i>
      <x v="673"/>
      <x/>
      <x v="81"/>
    </i>
    <i t="default" r="1">
      <x/>
    </i>
    <i t="default">
      <x v="673"/>
    </i>
    <i>
      <x v="674"/>
      <x/>
      <x v="103"/>
    </i>
    <i r="2">
      <x v="105"/>
    </i>
    <i r="2">
      <x v="207"/>
    </i>
    <i r="2">
      <x v="237"/>
    </i>
    <i t="default" r="1">
      <x/>
    </i>
    <i t="default">
      <x v="674"/>
    </i>
    <i>
      <x v="675"/>
      <x/>
      <x v="2"/>
    </i>
    <i r="2">
      <x v="72"/>
    </i>
    <i r="2">
      <x v="128"/>
    </i>
    <i r="2">
      <x v="273"/>
    </i>
    <i t="default" r="1">
      <x/>
    </i>
    <i t="default">
      <x v="675"/>
    </i>
    <i>
      <x v="676"/>
      <x/>
      <x v="21"/>
    </i>
    <i r="2">
      <x v="130"/>
    </i>
    <i r="2">
      <x v="189"/>
    </i>
    <i r="2">
      <x v="245"/>
    </i>
    <i r="2">
      <x v="261"/>
    </i>
    <i t="default" r="1">
      <x/>
    </i>
    <i t="default">
      <x v="676"/>
    </i>
    <i>
      <x v="677"/>
      <x v="1"/>
      <x v="91"/>
    </i>
    <i r="2">
      <x v="143"/>
    </i>
    <i t="default" r="1">
      <x v="1"/>
    </i>
    <i t="default">
      <x v="677"/>
    </i>
    <i>
      <x v="678"/>
      <x v="2"/>
      <x v="34"/>
    </i>
    <i r="2">
      <x v="159"/>
    </i>
    <i t="default" r="1">
      <x v="2"/>
    </i>
    <i t="default">
      <x v="678"/>
    </i>
    <i>
      <x v="679"/>
      <x v="2"/>
      <x v="1"/>
    </i>
    <i r="2">
      <x v="259"/>
    </i>
    <i r="2">
      <x v="261"/>
    </i>
    <i t="default" r="1">
      <x v="2"/>
    </i>
    <i t="default">
      <x v="679"/>
    </i>
    <i>
      <x v="680"/>
      <x/>
      <x v="3"/>
    </i>
    <i r="2">
      <x v="136"/>
    </i>
    <i r="2">
      <x v="137"/>
    </i>
    <i r="2">
      <x v="158"/>
    </i>
    <i r="2">
      <x v="233"/>
    </i>
    <i t="default" r="1">
      <x/>
    </i>
    <i t="default">
      <x v="680"/>
    </i>
    <i>
      <x v="681"/>
      <x/>
      <x v="46"/>
    </i>
    <i r="2">
      <x v="122"/>
    </i>
    <i r="2">
      <x v="262"/>
    </i>
    <i t="default" r="1">
      <x/>
    </i>
    <i t="default">
      <x v="681"/>
    </i>
    <i>
      <x v="682"/>
      <x/>
      <x v="106"/>
    </i>
    <i t="default" r="1">
      <x/>
    </i>
    <i t="default">
      <x v="682"/>
    </i>
    <i>
      <x v="683"/>
      <x/>
      <x v="152"/>
    </i>
    <i r="2">
      <x v="193"/>
    </i>
    <i t="default" r="1">
      <x/>
    </i>
    <i t="default">
      <x v="683"/>
    </i>
    <i>
      <x v="684"/>
      <x/>
      <x v="45"/>
    </i>
    <i r="2">
      <x v="118"/>
    </i>
    <i r="2">
      <x v="178"/>
    </i>
    <i r="2">
      <x v="193"/>
    </i>
    <i r="2">
      <x v="201"/>
    </i>
    <i t="default" r="1">
      <x/>
    </i>
    <i t="default">
      <x v="684"/>
    </i>
    <i>
      <x v="685"/>
      <x/>
      <x v="81"/>
    </i>
    <i r="2">
      <x v="105"/>
    </i>
    <i r="2">
      <x v="128"/>
    </i>
    <i r="2">
      <x v="137"/>
    </i>
    <i r="2">
      <x v="236"/>
    </i>
    <i t="default" r="1">
      <x/>
    </i>
    <i t="default">
      <x v="685"/>
    </i>
    <i>
      <x v="686"/>
      <x v="2"/>
      <x v="28"/>
    </i>
    <i r="2">
      <x v="101"/>
    </i>
    <i r="2">
      <x v="159"/>
    </i>
    <i r="2">
      <x v="201"/>
    </i>
    <i t="default" r="1">
      <x v="2"/>
    </i>
    <i t="default">
      <x v="686"/>
    </i>
    <i>
      <x v="687"/>
      <x/>
      <x v="236"/>
    </i>
    <i r="2">
      <x v="254"/>
    </i>
    <i t="default" r="1">
      <x/>
    </i>
    <i t="default">
      <x v="687"/>
    </i>
    <i>
      <x v="688"/>
      <x/>
      <x v="152"/>
    </i>
    <i t="default" r="1">
      <x/>
    </i>
    <i t="default">
      <x v="688"/>
    </i>
    <i>
      <x v="689"/>
      <x v="2"/>
      <x v="90"/>
    </i>
    <i r="2">
      <x v="119"/>
    </i>
    <i r="2">
      <x v="124"/>
    </i>
    <i r="2">
      <x v="146"/>
    </i>
    <i t="default" r="1">
      <x v="2"/>
    </i>
    <i t="default">
      <x v="689"/>
    </i>
    <i>
      <x v="690"/>
      <x/>
      <x v="27"/>
    </i>
    <i r="2">
      <x v="83"/>
    </i>
    <i r="2">
      <x v="101"/>
    </i>
    <i r="2">
      <x v="179"/>
    </i>
    <i t="default" r="1">
      <x/>
    </i>
    <i t="default">
      <x v="690"/>
    </i>
    <i>
      <x v="691"/>
      <x v="2"/>
      <x v="21"/>
    </i>
    <i r="2">
      <x v="34"/>
    </i>
    <i r="2">
      <x v="178"/>
    </i>
    <i r="2">
      <x v="193"/>
    </i>
    <i t="default" r="1">
      <x v="2"/>
    </i>
    <i t="default">
      <x v="691"/>
    </i>
    <i>
      <x v="692"/>
      <x v="2"/>
      <x v="7"/>
    </i>
    <i r="2">
      <x v="101"/>
    </i>
    <i r="2">
      <x v="128"/>
    </i>
    <i r="2">
      <x v="150"/>
    </i>
    <i t="default" r="1">
      <x v="2"/>
    </i>
    <i t="default">
      <x v="692"/>
    </i>
    <i>
      <x v="693"/>
      <x/>
      <x v="98"/>
    </i>
    <i r="2">
      <x v="129"/>
    </i>
    <i r="2">
      <x v="179"/>
    </i>
    <i r="2">
      <x v="201"/>
    </i>
    <i r="2">
      <x v="262"/>
    </i>
    <i t="default" r="1">
      <x/>
    </i>
    <i t="default">
      <x v="693"/>
    </i>
    <i>
      <x v="694"/>
      <x/>
      <x v="3"/>
    </i>
    <i r="2">
      <x v="202"/>
    </i>
    <i t="default" r="1">
      <x/>
    </i>
    <i t="default">
      <x v="694"/>
    </i>
    <i>
      <x v="695"/>
      <x/>
      <x v="98"/>
    </i>
    <i r="2">
      <x v="236"/>
    </i>
    <i r="2">
      <x v="261"/>
    </i>
    <i t="default" r="1">
      <x/>
    </i>
    <i t="default">
      <x v="695"/>
    </i>
    <i>
      <x v="696"/>
      <x v="2"/>
      <x v="101"/>
    </i>
    <i t="default" r="1">
      <x v="2"/>
    </i>
    <i t="default">
      <x v="696"/>
    </i>
    <i>
      <x v="697"/>
      <x v="1"/>
      <x v="36"/>
    </i>
    <i r="2">
      <x v="72"/>
    </i>
    <i r="2">
      <x v="216"/>
    </i>
    <i t="default" r="1">
      <x v="1"/>
    </i>
    <i t="default">
      <x v="697"/>
    </i>
    <i>
      <x v="698"/>
      <x v="1"/>
      <x v="3"/>
    </i>
    <i r="2">
      <x v="72"/>
    </i>
    <i r="2">
      <x v="116"/>
    </i>
    <i r="2">
      <x v="150"/>
    </i>
    <i r="2">
      <x v="201"/>
    </i>
    <i t="default" r="1">
      <x v="1"/>
    </i>
    <i t="default">
      <x v="698"/>
    </i>
    <i>
      <x v="699"/>
      <x/>
      <x v="158"/>
    </i>
    <i r="2">
      <x v="261"/>
    </i>
    <i t="default" r="1">
      <x/>
    </i>
    <i t="default">
      <x v="699"/>
    </i>
    <i>
      <x v="700"/>
      <x v="1"/>
      <x v="124"/>
    </i>
    <i t="default" r="1">
      <x v="1"/>
    </i>
    <i t="default">
      <x v="700"/>
    </i>
    <i>
      <x v="701"/>
      <x v="2"/>
      <x v="79"/>
    </i>
    <i r="2">
      <x v="128"/>
    </i>
    <i r="2">
      <x v="151"/>
    </i>
    <i t="default" r="1">
      <x v="2"/>
    </i>
    <i t="default">
      <x v="701"/>
    </i>
    <i>
      <x v="702"/>
      <x/>
      <x v="98"/>
    </i>
    <i r="2">
      <x v="111"/>
    </i>
    <i r="2">
      <x v="125"/>
    </i>
    <i r="2">
      <x v="212"/>
    </i>
    <i t="default" r="1">
      <x/>
    </i>
    <i t="default">
      <x v="702"/>
    </i>
    <i>
      <x v="703"/>
      <x/>
      <x v="54"/>
    </i>
    <i r="2">
      <x v="144"/>
    </i>
    <i r="2">
      <x v="156"/>
    </i>
    <i t="default" r="1">
      <x/>
    </i>
    <i t="default">
      <x v="703"/>
    </i>
    <i>
      <x v="704"/>
      <x/>
      <x v="233"/>
    </i>
    <i t="default" r="1">
      <x/>
    </i>
    <i t="default">
      <x v="704"/>
    </i>
    <i>
      <x v="705"/>
      <x v="2"/>
      <x v="27"/>
    </i>
    <i r="2">
      <x v="122"/>
    </i>
    <i r="2">
      <x v="131"/>
    </i>
    <i t="default" r="1">
      <x v="2"/>
    </i>
    <i t="default">
      <x v="705"/>
    </i>
    <i>
      <x v="706"/>
      <x/>
      <x v="54"/>
    </i>
    <i r="2">
      <x v="81"/>
    </i>
    <i r="2">
      <x v="116"/>
    </i>
    <i r="2">
      <x v="146"/>
    </i>
    <i t="default" r="1">
      <x/>
    </i>
    <i t="default">
      <x v="706"/>
    </i>
    <i>
      <x v="707"/>
      <x v="2"/>
      <x v="136"/>
    </i>
    <i r="2">
      <x v="256"/>
    </i>
    <i r="2">
      <x v="258"/>
    </i>
    <i t="default" r="1">
      <x v="2"/>
    </i>
    <i t="default">
      <x v="707"/>
    </i>
    <i>
      <x v="708"/>
      <x/>
      <x v="55"/>
    </i>
    <i r="2">
      <x v="179"/>
    </i>
    <i r="2">
      <x v="201"/>
    </i>
    <i t="default" r="1">
      <x/>
    </i>
    <i t="default">
      <x v="708"/>
    </i>
    <i>
      <x v="709"/>
      <x/>
      <x v="122"/>
    </i>
    <i r="2">
      <x v="138"/>
    </i>
    <i r="2">
      <x v="202"/>
    </i>
    <i r="2">
      <x v="209"/>
    </i>
    <i r="2">
      <x v="262"/>
    </i>
    <i t="default" r="1">
      <x/>
    </i>
    <i t="default">
      <x v="709"/>
    </i>
    <i>
      <x v="710"/>
      <x/>
      <x v="28"/>
    </i>
    <i r="2">
      <x v="101"/>
    </i>
    <i r="2">
      <x v="111"/>
    </i>
    <i t="default" r="1">
      <x/>
    </i>
    <i t="default">
      <x v="710"/>
    </i>
    <i>
      <x v="711"/>
      <x v="1"/>
      <x v="15"/>
    </i>
    <i r="2">
      <x v="28"/>
    </i>
    <i r="2">
      <x v="97"/>
    </i>
    <i r="2">
      <x v="127"/>
    </i>
    <i r="2">
      <x v="212"/>
    </i>
    <i t="default" r="1">
      <x v="1"/>
    </i>
    <i t="default">
      <x v="711"/>
    </i>
    <i>
      <x v="712"/>
      <x v="1"/>
      <x v="39"/>
    </i>
    <i r="2">
      <x v="95"/>
    </i>
    <i r="2">
      <x v="117"/>
    </i>
    <i r="2">
      <x v="140"/>
    </i>
    <i t="default" r="1">
      <x v="1"/>
    </i>
    <i t="default">
      <x v="712"/>
    </i>
    <i>
      <x v="713"/>
      <x/>
      <x v="94"/>
    </i>
    <i t="default" r="1">
      <x/>
    </i>
    <i t="default">
      <x v="713"/>
    </i>
    <i>
      <x v="714"/>
      <x/>
      <x v="233"/>
    </i>
    <i r="2">
      <x v="259"/>
    </i>
    <i t="default" r="1">
      <x/>
    </i>
    <i t="default">
      <x v="714"/>
    </i>
    <i>
      <x v="715"/>
      <x/>
      <x v="95"/>
    </i>
    <i r="2">
      <x v="113"/>
    </i>
    <i r="2">
      <x v="121"/>
    </i>
    <i r="2">
      <x v="212"/>
    </i>
    <i t="default" r="1">
      <x/>
    </i>
    <i t="default">
      <x v="715"/>
    </i>
    <i>
      <x v="716"/>
      <x/>
      <x v="95"/>
    </i>
    <i r="2">
      <x v="193"/>
    </i>
    <i t="default" r="1">
      <x/>
    </i>
    <i t="default">
      <x v="716"/>
    </i>
    <i>
      <x v="717"/>
      <x/>
      <x v="80"/>
    </i>
    <i r="2">
      <x v="94"/>
    </i>
    <i r="2">
      <x v="216"/>
    </i>
    <i t="default" r="1">
      <x/>
    </i>
    <i t="default">
      <x v="717"/>
    </i>
    <i>
      <x v="718"/>
      <x/>
      <x v="54"/>
    </i>
    <i t="default" r="1">
      <x/>
    </i>
    <i t="default">
      <x v="718"/>
    </i>
    <i>
      <x v="719"/>
      <x/>
      <x v="121"/>
    </i>
    <i r="2">
      <x v="136"/>
    </i>
    <i t="default" r="1">
      <x/>
    </i>
    <i t="default">
      <x v="719"/>
    </i>
    <i>
      <x v="720"/>
      <x/>
      <x v="80"/>
    </i>
    <i r="2">
      <x v="98"/>
    </i>
    <i r="2">
      <x v="114"/>
    </i>
    <i r="2">
      <x v="152"/>
    </i>
    <i t="default" r="1">
      <x/>
    </i>
    <i t="default">
      <x v="720"/>
    </i>
    <i>
      <x v="721"/>
      <x/>
      <x v="26"/>
    </i>
    <i r="2">
      <x v="128"/>
    </i>
    <i r="2">
      <x v="151"/>
    </i>
    <i t="default" r="1">
      <x/>
    </i>
    <i t="default">
      <x v="721"/>
    </i>
    <i>
      <x v="722"/>
      <x/>
      <x v="72"/>
    </i>
    <i r="2">
      <x v="81"/>
    </i>
    <i r="2">
      <x v="117"/>
    </i>
    <i t="default" r="1">
      <x/>
    </i>
    <i t="default">
      <x v="722"/>
    </i>
    <i>
      <x v="723"/>
      <x/>
      <x v="21"/>
    </i>
    <i r="2">
      <x v="27"/>
    </i>
    <i r="2">
      <x v="80"/>
    </i>
    <i r="2">
      <x v="179"/>
    </i>
    <i t="default" r="1">
      <x/>
    </i>
    <i t="default">
      <x v="723"/>
    </i>
    <i>
      <x v="724"/>
      <x/>
      <x v="29"/>
    </i>
    <i r="2">
      <x v="156"/>
    </i>
    <i r="2">
      <x v="239"/>
    </i>
    <i r="2">
      <x v="245"/>
    </i>
    <i t="default" r="1">
      <x/>
    </i>
    <i t="default">
      <x v="724"/>
    </i>
    <i>
      <x v="725"/>
      <x/>
      <x v="80"/>
    </i>
    <i t="default" r="1">
      <x/>
    </i>
    <i t="default">
      <x v="725"/>
    </i>
    <i>
      <x v="726"/>
      <x v="1"/>
      <x v="3"/>
    </i>
    <i r="2">
      <x v="112"/>
    </i>
    <i t="default" r="1">
      <x v="1"/>
    </i>
    <i t="default">
      <x v="726"/>
    </i>
    <i>
      <x v="727"/>
      <x v="2"/>
      <x v="2"/>
    </i>
    <i r="2">
      <x v="193"/>
    </i>
    <i r="2">
      <x v="223"/>
    </i>
    <i r="2">
      <x v="245"/>
    </i>
    <i t="default" r="1">
      <x v="2"/>
    </i>
    <i t="default">
      <x v="727"/>
    </i>
    <i>
      <x v="728"/>
      <x/>
      <x v="55"/>
    </i>
    <i t="default" r="1">
      <x/>
    </i>
    <i t="default">
      <x v="728"/>
    </i>
    <i>
      <x v="729"/>
      <x/>
      <x v="7"/>
    </i>
    <i r="2">
      <x v="36"/>
    </i>
    <i r="2">
      <x v="113"/>
    </i>
    <i r="2">
      <x v="178"/>
    </i>
    <i t="default" r="1">
      <x/>
    </i>
    <i t="default">
      <x v="729"/>
    </i>
    <i>
      <x v="730"/>
      <x v="1"/>
      <x v="126"/>
    </i>
    <i r="2">
      <x v="184"/>
    </i>
    <i r="2">
      <x v="245"/>
    </i>
    <i r="2">
      <x v="273"/>
    </i>
    <i t="default" r="1">
      <x v="1"/>
    </i>
    <i t="default">
      <x v="730"/>
    </i>
    <i>
      <x v="731"/>
      <x/>
      <x v="212"/>
    </i>
    <i r="2">
      <x v="256"/>
    </i>
    <i t="default" r="1">
      <x/>
    </i>
    <i t="default">
      <x v="731"/>
    </i>
    <i>
      <x v="732"/>
      <x/>
      <x v="80"/>
    </i>
    <i r="2">
      <x v="124"/>
    </i>
    <i r="2">
      <x v="179"/>
    </i>
    <i t="default" r="1">
      <x/>
    </i>
    <i t="default">
      <x v="732"/>
    </i>
    <i>
      <x v="733"/>
      <x v="1"/>
      <x v="81"/>
    </i>
    <i r="2">
      <x v="123"/>
    </i>
    <i r="2">
      <x v="124"/>
    </i>
    <i r="2">
      <x v="151"/>
    </i>
    <i t="default" r="1">
      <x v="1"/>
    </i>
    <i t="default">
      <x v="733"/>
    </i>
    <i>
      <x v="734"/>
      <x v="1"/>
      <x v="110"/>
    </i>
    <i r="2">
      <x v="144"/>
    </i>
    <i t="default" r="1">
      <x v="1"/>
    </i>
    <i t="default">
      <x v="734"/>
    </i>
    <i>
      <x v="735"/>
      <x/>
      <x v="103"/>
    </i>
    <i r="2">
      <x v="156"/>
    </i>
    <i r="2">
      <x v="193"/>
    </i>
    <i t="default" r="1">
      <x/>
    </i>
    <i t="default">
      <x v="735"/>
    </i>
    <i>
      <x v="736"/>
      <x/>
      <x v="29"/>
    </i>
    <i r="2">
      <x v="105"/>
    </i>
    <i r="2">
      <x v="143"/>
    </i>
    <i r="2">
      <x v="258"/>
    </i>
    <i t="default" r="1">
      <x/>
    </i>
    <i t="default">
      <x v="736"/>
    </i>
    <i>
      <x v="737"/>
      <x v="2"/>
      <x v="3"/>
    </i>
    <i r="2">
      <x v="79"/>
    </i>
    <i r="2">
      <x v="92"/>
    </i>
    <i r="2">
      <x v="158"/>
    </i>
    <i t="default" r="1">
      <x v="2"/>
    </i>
    <i t="default">
      <x v="737"/>
    </i>
    <i>
      <x v="738"/>
      <x/>
      <x v="151"/>
    </i>
    <i t="default" r="1">
      <x/>
    </i>
    <i t="default">
      <x v="738"/>
    </i>
    <i>
      <x v="739"/>
      <x/>
      <x v="1"/>
    </i>
    <i r="2">
      <x v="72"/>
    </i>
    <i r="2">
      <x v="96"/>
    </i>
    <i r="2">
      <x v="105"/>
    </i>
    <i r="2">
      <x v="146"/>
    </i>
    <i t="default" r="1">
      <x/>
    </i>
    <i t="default">
      <x v="739"/>
    </i>
    <i>
      <x v="740"/>
      <x v="1"/>
      <x v="7"/>
    </i>
    <i r="2">
      <x v="28"/>
    </i>
    <i r="2">
      <x v="193"/>
    </i>
    <i r="2">
      <x v="223"/>
    </i>
    <i t="default" r="1">
      <x v="1"/>
    </i>
    <i t="default">
      <x v="740"/>
    </i>
    <i>
      <x v="741"/>
      <x v="1"/>
      <x v="98"/>
    </i>
    <i r="2">
      <x v="118"/>
    </i>
    <i t="default" r="1">
      <x v="1"/>
    </i>
    <i t="default">
      <x v="741"/>
    </i>
    <i>
      <x v="742"/>
      <x/>
      <x v="115"/>
    </i>
    <i t="default" r="1">
      <x/>
    </i>
    <i t="default">
      <x v="742"/>
    </i>
    <i>
      <x v="743"/>
      <x/>
      <x v="152"/>
    </i>
    <i t="default" r="1">
      <x/>
    </i>
    <i t="default">
      <x v="743"/>
    </i>
    <i>
      <x v="744"/>
      <x/>
      <x v="26"/>
    </i>
    <i r="2">
      <x v="28"/>
    </i>
    <i r="2">
      <x v="112"/>
    </i>
    <i t="default" r="1">
      <x/>
    </i>
    <i t="default">
      <x v="744"/>
    </i>
    <i>
      <x v="745"/>
      <x v="2"/>
      <x v="46"/>
    </i>
    <i t="default" r="1">
      <x v="2"/>
    </i>
    <i t="default">
      <x v="745"/>
    </i>
    <i>
      <x v="746"/>
      <x v="2"/>
      <x v="1"/>
    </i>
    <i r="2">
      <x v="120"/>
    </i>
    <i r="2">
      <x v="152"/>
    </i>
    <i r="2">
      <x v="217"/>
    </i>
    <i t="default" r="1">
      <x v="2"/>
    </i>
    <i t="default">
      <x v="746"/>
    </i>
    <i>
      <x v="747"/>
      <x v="1"/>
      <x v="81"/>
    </i>
    <i r="2">
      <x v="93"/>
    </i>
    <i r="2">
      <x v="127"/>
    </i>
    <i r="2">
      <x v="159"/>
    </i>
    <i t="default" r="1">
      <x v="1"/>
    </i>
    <i t="default">
      <x v="747"/>
    </i>
    <i>
      <x v="748"/>
      <x/>
      <x v="72"/>
    </i>
    <i r="2">
      <x v="113"/>
    </i>
    <i r="2">
      <x v="138"/>
    </i>
    <i r="2">
      <x v="160"/>
    </i>
    <i r="2">
      <x v="216"/>
    </i>
    <i t="default" r="1">
      <x/>
    </i>
    <i t="default">
      <x v="748"/>
    </i>
    <i>
      <x v="749"/>
      <x v="1"/>
      <x v="111"/>
    </i>
    <i r="2">
      <x v="112"/>
    </i>
    <i t="default" r="1">
      <x v="1"/>
    </i>
    <i t="default">
      <x v="749"/>
    </i>
    <i>
      <x v="750"/>
      <x v="2"/>
      <x v="98"/>
    </i>
    <i t="default" r="1">
      <x v="2"/>
    </i>
    <i t="default">
      <x v="750"/>
    </i>
    <i>
      <x v="751"/>
      <x/>
      <x v="72"/>
    </i>
    <i r="2">
      <x v="150"/>
    </i>
    <i t="default" r="1">
      <x/>
    </i>
    <i t="default">
      <x v="751"/>
    </i>
    <i>
      <x v="752"/>
      <x/>
      <x v="28"/>
    </i>
    <i r="2">
      <x v="125"/>
    </i>
    <i r="2">
      <x v="130"/>
    </i>
    <i r="2">
      <x v="148"/>
    </i>
    <i r="2">
      <x v="261"/>
    </i>
    <i t="default" r="1">
      <x/>
    </i>
    <i t="default">
      <x v="752"/>
    </i>
    <i>
      <x v="753"/>
      <x v="2"/>
      <x v="15"/>
    </i>
    <i r="2">
      <x v="72"/>
    </i>
    <i r="2">
      <x v="126"/>
    </i>
    <i r="2">
      <x v="151"/>
    </i>
    <i r="2">
      <x v="261"/>
    </i>
    <i t="default" r="1">
      <x v="2"/>
    </i>
    <i t="default">
      <x v="753"/>
    </i>
    <i>
      <x v="754"/>
      <x/>
      <x v="115"/>
    </i>
    <i r="2">
      <x v="202"/>
    </i>
    <i r="2">
      <x v="215"/>
    </i>
    <i t="default" r="1">
      <x/>
    </i>
    <i t="default">
      <x v="754"/>
    </i>
    <i>
      <x v="755"/>
      <x/>
      <x v="80"/>
    </i>
    <i r="2">
      <x v="103"/>
    </i>
    <i t="default" r="1">
      <x/>
    </i>
    <i t="default">
      <x v="755"/>
    </i>
    <i>
      <x v="756"/>
      <x/>
      <x v="28"/>
    </i>
    <i t="default" r="1">
      <x/>
    </i>
    <i t="default">
      <x v="756"/>
    </i>
    <i>
      <x v="757"/>
      <x v="1"/>
      <x v="26"/>
    </i>
    <i r="2">
      <x v="46"/>
    </i>
    <i r="2">
      <x v="119"/>
    </i>
    <i r="2">
      <x v="123"/>
    </i>
    <i r="2">
      <x v="131"/>
    </i>
    <i t="default" r="1">
      <x v="1"/>
    </i>
    <i t="default">
      <x v="757"/>
    </i>
    <i>
      <x v="758"/>
      <x/>
      <x v="95"/>
    </i>
    <i r="2">
      <x v="112"/>
    </i>
    <i t="default" r="1">
      <x/>
    </i>
    <i t="default">
      <x v="758"/>
    </i>
    <i>
      <x v="759"/>
      <x/>
      <x v="7"/>
    </i>
    <i r="2">
      <x v="273"/>
    </i>
    <i t="default" r="1">
      <x/>
    </i>
    <i t="default">
      <x v="759"/>
    </i>
    <i>
      <x v="760"/>
      <x/>
      <x v="143"/>
    </i>
    <i r="2">
      <x v="215"/>
    </i>
    <i t="default" r="1">
      <x/>
    </i>
    <i t="default">
      <x v="760"/>
    </i>
    <i>
      <x v="761"/>
      <x/>
      <x v="80"/>
    </i>
    <i t="default" r="1">
      <x/>
    </i>
    <i t="default">
      <x v="761"/>
    </i>
    <i>
      <x v="762"/>
      <x v="1"/>
      <x v="129"/>
    </i>
    <i r="2">
      <x v="239"/>
    </i>
    <i t="default" r="1">
      <x v="1"/>
    </i>
    <i t="default">
      <x v="762"/>
    </i>
    <i>
      <x v="763"/>
      <x v="2"/>
      <x v="1"/>
    </i>
    <i r="2">
      <x v="28"/>
    </i>
    <i r="2">
      <x v="179"/>
    </i>
    <i t="default" r="1">
      <x v="2"/>
    </i>
    <i t="default">
      <x v="763"/>
    </i>
    <i>
      <x v="764"/>
      <x v="2"/>
      <x v="72"/>
    </i>
    <i r="2">
      <x v="79"/>
    </i>
    <i r="2">
      <x v="123"/>
    </i>
    <i r="2">
      <x v="138"/>
    </i>
    <i r="2">
      <x v="140"/>
    </i>
    <i t="default" r="1">
      <x v="2"/>
    </i>
    <i t="default">
      <x v="764"/>
    </i>
    <i>
      <x v="765"/>
      <x/>
      <x v="121"/>
    </i>
    <i t="default" r="1">
      <x/>
    </i>
    <i t="default">
      <x v="765"/>
    </i>
    <i>
      <x v="766"/>
      <x/>
      <x v="29"/>
    </i>
    <i r="2">
      <x v="93"/>
    </i>
    <i r="2">
      <x v="158"/>
    </i>
    <i r="2">
      <x v="273"/>
    </i>
    <i t="default" r="1">
      <x/>
    </i>
    <i t="default">
      <x v="766"/>
    </i>
    <i>
      <x v="767"/>
      <x/>
      <x v="28"/>
    </i>
    <i r="2">
      <x v="150"/>
    </i>
    <i t="default" r="1">
      <x/>
    </i>
    <i t="default">
      <x v="767"/>
    </i>
    <i>
      <x v="768"/>
      <x/>
      <x v="136"/>
    </i>
    <i r="2">
      <x v="148"/>
    </i>
    <i r="2">
      <x v="254"/>
    </i>
    <i t="default" r="1">
      <x/>
    </i>
    <i t="default">
      <x v="768"/>
    </i>
    <i>
      <x v="769"/>
      <x v="1"/>
      <x v="120"/>
    </i>
    <i r="2">
      <x v="129"/>
    </i>
    <i r="2">
      <x v="146"/>
    </i>
    <i r="2">
      <x v="209"/>
    </i>
    <i t="default" r="1">
      <x v="1"/>
    </i>
    <i t="default">
      <x v="769"/>
    </i>
    <i>
      <x v="770"/>
      <x v="2"/>
      <x v="7"/>
    </i>
    <i r="2">
      <x v="236"/>
    </i>
    <i t="default" r="1">
      <x v="2"/>
    </i>
    <i t="default">
      <x v="770"/>
    </i>
    <i>
      <x v="771"/>
      <x/>
      <x v="129"/>
    </i>
    <i t="default" r="1">
      <x/>
    </i>
    <i t="default">
      <x v="771"/>
    </i>
    <i>
      <x v="772"/>
      <x/>
      <x v="26"/>
    </i>
    <i r="2">
      <x v="94"/>
    </i>
    <i r="2">
      <x v="103"/>
    </i>
    <i r="2">
      <x v="152"/>
    </i>
    <i t="default" r="1">
      <x/>
    </i>
    <i t="default">
      <x v="772"/>
    </i>
    <i>
      <x v="773"/>
      <x/>
      <x v="83"/>
    </i>
    <i r="2">
      <x v="114"/>
    </i>
    <i r="2">
      <x v="123"/>
    </i>
    <i r="2">
      <x v="148"/>
    </i>
    <i r="2">
      <x v="223"/>
    </i>
    <i t="default" r="1">
      <x/>
    </i>
    <i t="default">
      <x v="773"/>
    </i>
    <i>
      <x v="774"/>
      <x/>
      <x v="262"/>
    </i>
    <i t="default" r="1">
      <x/>
    </i>
    <i t="default">
      <x v="774"/>
    </i>
    <i>
      <x v="775"/>
      <x/>
      <x v="110"/>
    </i>
    <i r="2">
      <x v="127"/>
    </i>
    <i r="2">
      <x v="138"/>
    </i>
    <i r="2">
      <x v="209"/>
    </i>
    <i t="default" r="1">
      <x/>
    </i>
    <i t="default">
      <x v="775"/>
    </i>
    <i>
      <x v="776"/>
      <x/>
      <x v="101"/>
    </i>
    <i r="2">
      <x v="106"/>
    </i>
    <i r="2">
      <x v="261"/>
    </i>
    <i t="default" r="1">
      <x/>
    </i>
    <i t="default">
      <x v="776"/>
    </i>
    <i>
      <x v="777"/>
      <x v="1"/>
      <x v="80"/>
    </i>
    <i r="2">
      <x v="90"/>
    </i>
    <i t="default" r="1">
      <x v="1"/>
    </i>
    <i t="default">
      <x v="777"/>
    </i>
    <i>
      <x v="778"/>
      <x/>
      <x v="55"/>
    </i>
    <i r="2">
      <x v="90"/>
    </i>
    <i r="2">
      <x v="239"/>
    </i>
    <i r="2">
      <x v="254"/>
    </i>
    <i r="2">
      <x v="256"/>
    </i>
    <i t="default" r="1">
      <x/>
    </i>
    <i t="default">
      <x v="778"/>
    </i>
    <i>
      <x v="779"/>
      <x/>
      <x v="207"/>
    </i>
    <i t="default" r="1">
      <x/>
    </i>
    <i t="default">
      <x v="779"/>
    </i>
    <i>
      <x v="780"/>
      <x/>
      <x v="119"/>
    </i>
    <i r="2">
      <x v="202"/>
    </i>
    <i r="2">
      <x v="261"/>
    </i>
    <i t="default" r="1">
      <x/>
    </i>
    <i t="default">
      <x v="780"/>
    </i>
    <i>
      <x v="781"/>
      <x/>
      <x v="46"/>
    </i>
    <i r="2">
      <x v="81"/>
    </i>
    <i r="2">
      <x v="83"/>
    </i>
    <i r="2">
      <x v="202"/>
    </i>
    <i t="default" r="1">
      <x/>
    </i>
    <i t="default">
      <x v="781"/>
    </i>
    <i>
      <x v="782"/>
      <x v="2"/>
      <x v="26"/>
    </i>
    <i r="2">
      <x v="94"/>
    </i>
    <i r="2">
      <x v="96"/>
    </i>
    <i r="2">
      <x v="273"/>
    </i>
    <i t="default" r="1">
      <x v="2"/>
    </i>
    <i t="default">
      <x v="782"/>
    </i>
    <i>
      <x v="783"/>
      <x/>
      <x v="26"/>
    </i>
    <i r="2">
      <x v="81"/>
    </i>
    <i r="2">
      <x v="111"/>
    </i>
    <i t="default" r="1">
      <x/>
    </i>
    <i t="default">
      <x v="783"/>
    </i>
    <i>
      <x v="784"/>
      <x v="2"/>
      <x v="79"/>
    </i>
    <i r="2">
      <x v="178"/>
    </i>
    <i r="2">
      <x v="216"/>
    </i>
    <i t="default" r="1">
      <x v="2"/>
    </i>
    <i t="default">
      <x v="784"/>
    </i>
    <i>
      <x v="785"/>
      <x/>
      <x v="115"/>
    </i>
    <i t="default" r="1">
      <x/>
    </i>
    <i t="default">
      <x v="785"/>
    </i>
    <i>
      <x v="786"/>
      <x v="1"/>
      <x v="125"/>
    </i>
    <i r="2">
      <x v="260"/>
    </i>
    <i t="default" r="1">
      <x v="1"/>
    </i>
    <i t="default">
      <x v="786"/>
    </i>
    <i>
      <x v="787"/>
      <x v="1"/>
      <x v="7"/>
    </i>
    <i r="2">
      <x v="105"/>
    </i>
    <i r="2">
      <x v="201"/>
    </i>
    <i t="default" r="1">
      <x v="1"/>
    </i>
    <i t="default">
      <x v="787"/>
    </i>
    <i>
      <x v="788"/>
      <x/>
      <x v="54"/>
    </i>
    <i r="2">
      <x v="95"/>
    </i>
    <i t="default" r="1">
      <x/>
    </i>
    <i t="default">
      <x v="788"/>
    </i>
    <i>
      <x v="789"/>
      <x/>
      <x v="156"/>
    </i>
    <i r="2">
      <x v="245"/>
    </i>
    <i t="default" r="1">
      <x/>
    </i>
    <i t="default">
      <x v="789"/>
    </i>
    <i>
      <x v="790"/>
      <x/>
      <x v="79"/>
    </i>
    <i r="2">
      <x v="189"/>
    </i>
    <i t="default" r="1">
      <x/>
    </i>
    <i t="default">
      <x v="790"/>
    </i>
    <i>
      <x v="791"/>
      <x/>
      <x v="81"/>
    </i>
    <i r="2">
      <x v="106"/>
    </i>
    <i r="2">
      <x v="137"/>
    </i>
    <i r="2">
      <x v="193"/>
    </i>
    <i r="2">
      <x v="262"/>
    </i>
    <i t="default" r="1">
      <x/>
    </i>
    <i t="default">
      <x v="791"/>
    </i>
    <i>
      <x v="792"/>
      <x/>
      <x v="21"/>
    </i>
    <i r="2">
      <x v="28"/>
    </i>
    <i r="2">
      <x v="122"/>
    </i>
    <i t="default" r="1">
      <x/>
    </i>
    <i t="default">
      <x v="792"/>
    </i>
    <i>
      <x v="793"/>
      <x/>
      <x v="93"/>
    </i>
    <i r="2">
      <x v="103"/>
    </i>
    <i r="2">
      <x v="116"/>
    </i>
    <i r="2">
      <x v="138"/>
    </i>
    <i t="default" r="1">
      <x/>
    </i>
    <i t="default">
      <x v="793"/>
    </i>
    <i>
      <x v="794"/>
      <x/>
      <x v="28"/>
    </i>
    <i r="2">
      <x v="46"/>
    </i>
    <i t="default" r="1">
      <x/>
    </i>
    <i t="default">
      <x v="794"/>
    </i>
    <i>
      <x v="795"/>
      <x v="1"/>
      <x v="136"/>
    </i>
    <i t="default" r="1">
      <x v="1"/>
    </i>
    <i t="default">
      <x v="795"/>
    </i>
    <i>
      <x v="796"/>
      <x/>
      <x v="15"/>
    </i>
    <i r="2">
      <x v="118"/>
    </i>
    <i r="2">
      <x v="146"/>
    </i>
    <i r="2">
      <x v="156"/>
    </i>
    <i r="2">
      <x v="189"/>
    </i>
    <i t="default" r="1">
      <x/>
    </i>
    <i t="default">
      <x v="796"/>
    </i>
    <i>
      <x v="797"/>
      <x v="2"/>
      <x v="27"/>
    </i>
    <i r="2">
      <x v="81"/>
    </i>
    <i r="2">
      <x v="209"/>
    </i>
    <i r="2">
      <x v="239"/>
    </i>
    <i r="2">
      <x v="245"/>
    </i>
    <i t="default" r="1">
      <x v="2"/>
    </i>
    <i t="default">
      <x v="797"/>
    </i>
    <i>
      <x v="798"/>
      <x v="2"/>
      <x v="101"/>
    </i>
    <i r="2">
      <x v="158"/>
    </i>
    <i r="2">
      <x v="223"/>
    </i>
    <i r="2">
      <x v="258"/>
    </i>
    <i r="2">
      <x v="273"/>
    </i>
    <i t="default" r="1">
      <x v="2"/>
    </i>
    <i t="default">
      <x v="798"/>
    </i>
    <i>
      <x v="799"/>
      <x/>
      <x v="28"/>
    </i>
    <i r="2">
      <x v="123"/>
    </i>
    <i r="2">
      <x v="136"/>
    </i>
    <i r="2">
      <x v="143"/>
    </i>
    <i r="2">
      <x v="189"/>
    </i>
    <i t="default" r="1">
      <x/>
    </i>
    <i t="default">
      <x v="799"/>
    </i>
    <i>
      <x v="800"/>
      <x v="2"/>
      <x v="55"/>
    </i>
    <i t="default" r="1">
      <x v="2"/>
    </i>
    <i t="default">
      <x v="800"/>
    </i>
    <i>
      <x v="801"/>
      <x/>
      <x v="137"/>
    </i>
    <i r="2">
      <x v="138"/>
    </i>
    <i r="2">
      <x v="148"/>
    </i>
    <i r="2">
      <x v="216"/>
    </i>
    <i t="default" r="1">
      <x/>
    </i>
    <i t="default">
      <x v="801"/>
    </i>
    <i>
      <x v="802"/>
      <x v="1"/>
      <x v="80"/>
    </i>
    <i r="2">
      <x v="121"/>
    </i>
    <i r="2">
      <x v="143"/>
    </i>
    <i r="2">
      <x v="159"/>
    </i>
    <i t="default" r="1">
      <x v="1"/>
    </i>
    <i t="default">
      <x v="802"/>
    </i>
    <i>
      <x v="803"/>
      <x/>
      <x v="140"/>
    </i>
    <i r="2">
      <x v="237"/>
    </i>
    <i r="2">
      <x v="259"/>
    </i>
    <i t="default" r="1">
      <x/>
    </i>
    <i t="default">
      <x v="803"/>
    </i>
    <i>
      <x v="804"/>
      <x/>
      <x v="72"/>
    </i>
    <i r="2">
      <x v="136"/>
    </i>
    <i r="2">
      <x v="152"/>
    </i>
    <i r="2">
      <x v="156"/>
    </i>
    <i r="2">
      <x v="207"/>
    </i>
    <i t="default" r="1">
      <x/>
    </i>
    <i t="default">
      <x v="804"/>
    </i>
    <i>
      <x v="805"/>
      <x/>
      <x v="3"/>
    </i>
    <i r="2">
      <x v="29"/>
    </i>
    <i r="2">
      <x v="39"/>
    </i>
    <i r="2">
      <x v="95"/>
    </i>
    <i r="2">
      <x v="245"/>
    </i>
    <i t="default" r="1">
      <x/>
    </i>
    <i t="default">
      <x v="805"/>
    </i>
    <i>
      <x v="806"/>
      <x/>
      <x v="7"/>
    </i>
    <i r="2">
      <x v="81"/>
    </i>
    <i r="2">
      <x v="136"/>
    </i>
    <i r="2">
      <x v="151"/>
    </i>
    <i r="2">
      <x v="160"/>
    </i>
    <i t="default" r="1">
      <x/>
    </i>
    <i t="default">
      <x v="806"/>
    </i>
    <i>
      <x v="807"/>
      <x/>
      <x v="36"/>
    </i>
    <i r="2">
      <x v="90"/>
    </i>
    <i r="2">
      <x v="104"/>
    </i>
    <i r="2">
      <x v="105"/>
    </i>
    <i t="default" r="1">
      <x/>
    </i>
    <i t="default">
      <x v="807"/>
    </i>
    <i>
      <x v="808"/>
      <x/>
      <x v="81"/>
    </i>
    <i r="2">
      <x v="94"/>
    </i>
    <i r="2">
      <x v="112"/>
    </i>
    <i t="default" r="1">
      <x/>
    </i>
    <i t="default">
      <x v="808"/>
    </i>
    <i>
      <x v="809"/>
      <x v="1"/>
      <x v="26"/>
    </i>
    <i r="2">
      <x v="54"/>
    </i>
    <i r="2">
      <x v="129"/>
    </i>
    <i r="2">
      <x v="193"/>
    </i>
    <i t="default" r="1">
      <x v="1"/>
    </i>
    <i t="default">
      <x v="809"/>
    </i>
    <i>
      <x v="810"/>
      <x/>
      <x v="2"/>
    </i>
    <i r="2">
      <x v="98"/>
    </i>
    <i r="2">
      <x v="125"/>
    </i>
    <i r="2">
      <x v="189"/>
    </i>
    <i t="default" r="1">
      <x/>
    </i>
    <i t="default">
      <x v="810"/>
    </i>
    <i>
      <x v="811"/>
      <x/>
      <x v="28"/>
    </i>
    <i r="2">
      <x v="216"/>
    </i>
    <i t="default" r="1">
      <x/>
    </i>
    <i t="default">
      <x v="811"/>
    </i>
    <i>
      <x v="812"/>
      <x v="1"/>
      <x v="36"/>
    </i>
    <i r="2">
      <x v="81"/>
    </i>
    <i r="2">
      <x v="90"/>
    </i>
    <i r="2">
      <x v="110"/>
    </i>
    <i r="2">
      <x v="152"/>
    </i>
    <i t="default" r="1">
      <x v="1"/>
    </i>
    <i t="default">
      <x v="812"/>
    </i>
    <i>
      <x v="813"/>
      <x/>
      <x v="54"/>
    </i>
    <i r="2">
      <x v="118"/>
    </i>
    <i r="2">
      <x v="123"/>
    </i>
    <i r="2">
      <x v="159"/>
    </i>
    <i t="default" r="1">
      <x/>
    </i>
    <i t="default">
      <x v="813"/>
    </i>
    <i>
      <x v="814"/>
      <x v="2"/>
      <x v="27"/>
    </i>
    <i r="2">
      <x v="80"/>
    </i>
    <i r="2">
      <x v="130"/>
    </i>
    <i r="2">
      <x v="234"/>
    </i>
    <i t="default" r="1">
      <x v="2"/>
    </i>
    <i t="default">
      <x v="814"/>
    </i>
    <i>
      <x v="815"/>
      <x/>
      <x v="21"/>
    </i>
    <i r="2">
      <x v="80"/>
    </i>
    <i t="default" r="1">
      <x/>
    </i>
    <i t="default">
      <x v="815"/>
    </i>
    <i>
      <x v="816"/>
      <x/>
      <x v="90"/>
    </i>
    <i r="2">
      <x v="130"/>
    </i>
    <i r="2">
      <x v="201"/>
    </i>
    <i t="default" r="1">
      <x/>
    </i>
    <i t="default">
      <x v="816"/>
    </i>
    <i>
      <x v="817"/>
      <x/>
      <x v="97"/>
    </i>
    <i r="2">
      <x v="105"/>
    </i>
    <i r="2">
      <x v="129"/>
    </i>
    <i r="2">
      <x v="201"/>
    </i>
    <i t="default" r="1">
      <x/>
    </i>
    <i t="default">
      <x v="817"/>
    </i>
    <i>
      <x v="818"/>
      <x v="1"/>
      <x v="96"/>
    </i>
    <i t="default" r="1">
      <x v="1"/>
    </i>
    <i t="default">
      <x v="818"/>
    </i>
    <i>
      <x v="819"/>
      <x/>
      <x v="118"/>
    </i>
    <i t="default" r="1">
      <x/>
    </i>
    <i t="default">
      <x v="819"/>
    </i>
    <i>
      <x v="820"/>
      <x/>
      <x v="2"/>
    </i>
    <i r="2">
      <x v="80"/>
    </i>
    <i r="2">
      <x v="118"/>
    </i>
    <i r="2">
      <x v="136"/>
    </i>
    <i t="default" r="1">
      <x/>
    </i>
    <i t="default">
      <x v="820"/>
    </i>
    <i>
      <x v="821"/>
      <x/>
      <x v="111"/>
    </i>
    <i r="2">
      <x v="140"/>
    </i>
    <i t="default" r="1">
      <x/>
    </i>
    <i t="default">
      <x v="821"/>
    </i>
    <i>
      <x v="822"/>
      <x v="1"/>
      <x v="1"/>
    </i>
    <i r="2">
      <x v="193"/>
    </i>
    <i r="2">
      <x v="217"/>
    </i>
    <i t="default" r="1">
      <x v="1"/>
    </i>
    <i t="default">
      <x v="822"/>
    </i>
    <i>
      <x v="823"/>
      <x v="2"/>
      <x v="94"/>
    </i>
    <i t="default" r="1">
      <x v="2"/>
    </i>
    <i t="default">
      <x v="823"/>
    </i>
    <i>
      <x v="824"/>
      <x/>
      <x v="105"/>
    </i>
    <i r="2">
      <x v="137"/>
    </i>
    <i t="default" r="1">
      <x/>
    </i>
    <i t="default">
      <x v="824"/>
    </i>
    <i>
      <x v="825"/>
      <x/>
      <x v="98"/>
    </i>
    <i r="2">
      <x v="148"/>
    </i>
    <i t="default" r="1">
      <x/>
    </i>
    <i t="default">
      <x v="825"/>
    </i>
    <i>
      <x v="826"/>
      <x/>
      <x v="93"/>
    </i>
    <i r="2">
      <x v="117"/>
    </i>
    <i r="2">
      <x v="138"/>
    </i>
    <i r="2">
      <x v="215"/>
    </i>
    <i t="default" r="1">
      <x/>
    </i>
    <i t="default">
      <x v="826"/>
    </i>
    <i>
      <x v="827"/>
      <x/>
      <x v="72"/>
    </i>
    <i r="2">
      <x v="79"/>
    </i>
    <i r="2">
      <x v="179"/>
    </i>
    <i t="default" r="1">
      <x/>
    </i>
    <i t="default">
      <x v="827"/>
    </i>
    <i>
      <x v="828"/>
      <x/>
      <x v="129"/>
    </i>
    <i r="2">
      <x v="130"/>
    </i>
    <i t="default" r="1">
      <x/>
    </i>
    <i t="default">
      <x v="828"/>
    </i>
    <i>
      <x v="829"/>
      <x/>
      <x v="36"/>
    </i>
    <i r="2">
      <x v="54"/>
    </i>
    <i r="2">
      <x v="90"/>
    </i>
    <i t="default" r="1">
      <x/>
    </i>
    <i t="default">
      <x v="829"/>
    </i>
    <i>
      <x v="830"/>
      <x/>
      <x v="116"/>
    </i>
    <i r="2">
      <x v="126"/>
    </i>
    <i r="2">
      <x v="146"/>
    </i>
    <i t="default" r="1">
      <x/>
    </i>
    <i t="default">
      <x v="830"/>
    </i>
    <i>
      <x v="831"/>
      <x/>
      <x v="81"/>
    </i>
    <i r="2">
      <x v="98"/>
    </i>
    <i r="2">
      <x v="131"/>
    </i>
    <i r="2">
      <x v="189"/>
    </i>
    <i t="default" r="1">
      <x/>
    </i>
    <i t="default">
      <x v="831"/>
    </i>
    <i>
      <x v="832"/>
      <x/>
      <x v="83"/>
    </i>
    <i t="default" r="1">
      <x/>
    </i>
    <i t="default">
      <x v="832"/>
    </i>
    <i>
      <x v="833"/>
      <x/>
      <x v="7"/>
    </i>
    <i r="2">
      <x v="112"/>
    </i>
    <i r="2">
      <x v="189"/>
    </i>
    <i t="default" r="1">
      <x/>
    </i>
    <i t="default">
      <x v="833"/>
    </i>
    <i>
      <x v="834"/>
      <x v="2"/>
      <x v="3"/>
    </i>
    <i r="2">
      <x v="106"/>
    </i>
    <i r="2">
      <x v="123"/>
    </i>
    <i t="default" r="1">
      <x v="2"/>
    </i>
    <i t="default">
      <x v="834"/>
    </i>
    <i>
      <x v="835"/>
      <x/>
      <x v="117"/>
    </i>
    <i t="default" r="1">
      <x/>
    </i>
    <i t="default">
      <x v="835"/>
    </i>
    <i>
      <x v="836"/>
      <x/>
      <x v="39"/>
    </i>
    <i r="2">
      <x v="234"/>
    </i>
    <i r="2">
      <x v="260"/>
    </i>
    <i t="default" r="1">
      <x/>
    </i>
    <i t="default">
      <x v="836"/>
    </i>
    <i>
      <x v="837"/>
      <x/>
      <x v="54"/>
    </i>
    <i r="2">
      <x v="123"/>
    </i>
    <i r="2">
      <x v="138"/>
    </i>
    <i r="2">
      <x v="144"/>
    </i>
    <i t="default" r="1">
      <x/>
    </i>
    <i t="default">
      <x v="837"/>
    </i>
    <i>
      <x v="838"/>
      <x v="2"/>
      <x v="90"/>
    </i>
    <i r="2">
      <x v="179"/>
    </i>
    <i r="2">
      <x v="223"/>
    </i>
    <i t="default" r="1">
      <x v="2"/>
    </i>
    <i t="default">
      <x v="838"/>
    </i>
    <i>
      <x v="839"/>
      <x/>
      <x v="116"/>
    </i>
    <i r="2">
      <x v="131"/>
    </i>
    <i r="2">
      <x v="215"/>
    </i>
    <i t="default" r="1">
      <x/>
    </i>
    <i t="default">
      <x v="839"/>
    </i>
    <i>
      <x v="840"/>
      <x/>
      <x v="26"/>
    </i>
    <i r="2">
      <x v="54"/>
    </i>
    <i r="2">
      <x v="146"/>
    </i>
    <i r="2">
      <x v="160"/>
    </i>
    <i r="2">
      <x v="239"/>
    </i>
    <i t="default" r="1">
      <x/>
    </i>
    <i t="default">
      <x v="840"/>
    </i>
    <i>
      <x v="841"/>
      <x/>
      <x v="1"/>
    </i>
    <i r="2">
      <x v="209"/>
    </i>
    <i t="default" r="1">
      <x/>
    </i>
    <i t="default">
      <x v="841"/>
    </i>
    <i>
      <x v="842"/>
      <x/>
      <x v="1"/>
    </i>
    <i r="2">
      <x v="21"/>
    </i>
    <i r="2">
      <x v="27"/>
    </i>
    <i r="2">
      <x v="111"/>
    </i>
    <i t="default" r="1">
      <x/>
    </i>
    <i t="default">
      <x v="842"/>
    </i>
    <i>
      <x v="843"/>
      <x/>
      <x v="72"/>
    </i>
    <i r="2">
      <x v="113"/>
    </i>
    <i r="2">
      <x v="158"/>
    </i>
    <i r="2">
      <x v="159"/>
    </i>
    <i r="2">
      <x v="201"/>
    </i>
    <i t="default" r="1">
      <x/>
    </i>
    <i t="default">
      <x v="843"/>
    </i>
    <i>
      <x v="844"/>
      <x/>
      <x v="21"/>
    </i>
    <i r="2">
      <x v="81"/>
    </i>
    <i r="2">
      <x v="114"/>
    </i>
    <i r="2">
      <x v="236"/>
    </i>
    <i t="default" r="1">
      <x/>
    </i>
    <i t="default">
      <x v="844"/>
    </i>
    <i>
      <x v="845"/>
      <x/>
      <x v="99"/>
    </i>
    <i r="2">
      <x v="110"/>
    </i>
    <i r="2">
      <x v="111"/>
    </i>
    <i r="2">
      <x v="129"/>
    </i>
    <i r="2">
      <x v="256"/>
    </i>
    <i t="default" r="1">
      <x/>
    </i>
    <i t="default">
      <x v="845"/>
    </i>
    <i>
      <x v="846"/>
      <x/>
      <x v="233"/>
    </i>
    <i t="default" r="1">
      <x/>
    </i>
    <i t="default">
      <x v="846"/>
    </i>
    <i>
      <x v="847"/>
      <x/>
      <x v="54"/>
    </i>
    <i r="2">
      <x v="93"/>
    </i>
    <i r="2">
      <x v="95"/>
    </i>
    <i r="2">
      <x v="236"/>
    </i>
    <i t="default" r="1">
      <x/>
    </i>
    <i t="default">
      <x v="847"/>
    </i>
    <i>
      <x v="848"/>
      <x v="2"/>
      <x v="119"/>
    </i>
    <i t="default" r="1">
      <x v="2"/>
    </i>
    <i t="default">
      <x v="848"/>
    </i>
    <i>
      <x v="849"/>
      <x v="2"/>
      <x v="55"/>
    </i>
    <i r="2">
      <x v="91"/>
    </i>
    <i r="2">
      <x v="101"/>
    </i>
    <i t="default" r="1">
      <x v="2"/>
    </i>
    <i t="default">
      <x v="849"/>
    </i>
    <i>
      <x v="850"/>
      <x/>
      <x v="95"/>
    </i>
    <i r="2">
      <x v="137"/>
    </i>
    <i t="default" r="1">
      <x/>
    </i>
    <i t="default">
      <x v="850"/>
    </i>
    <i>
      <x v="851"/>
      <x v="1"/>
      <x v="99"/>
    </i>
    <i t="default" r="1">
      <x v="1"/>
    </i>
    <i t="default">
      <x v="851"/>
    </i>
    <i>
      <x v="852"/>
      <x v="1"/>
      <x v="46"/>
    </i>
    <i r="2">
      <x v="98"/>
    </i>
    <i r="2">
      <x v="136"/>
    </i>
    <i r="2">
      <x v="209"/>
    </i>
    <i r="2">
      <x v="223"/>
    </i>
    <i t="default" r="1">
      <x v="1"/>
    </i>
    <i t="default">
      <x v="852"/>
    </i>
    <i>
      <x v="853"/>
      <x/>
      <x v="234"/>
    </i>
    <i t="default" r="1">
      <x/>
    </i>
    <i t="default">
      <x v="853"/>
    </i>
    <i>
      <x v="854"/>
      <x/>
      <x v="95"/>
    </i>
    <i r="2">
      <x v="104"/>
    </i>
    <i r="2">
      <x v="237"/>
    </i>
    <i t="default" r="1">
      <x/>
    </i>
    <i t="default">
      <x v="854"/>
    </i>
    <i>
      <x v="855"/>
      <x/>
      <x v="92"/>
    </i>
    <i t="default" r="1">
      <x/>
    </i>
    <i t="default">
      <x v="855"/>
    </i>
    <i>
      <x v="856"/>
      <x/>
      <x v="273"/>
    </i>
    <i t="default" r="1">
      <x/>
    </i>
    <i t="default">
      <x v="856"/>
    </i>
    <i>
      <x v="857"/>
      <x/>
      <x v="26"/>
    </i>
    <i r="2">
      <x v="98"/>
    </i>
    <i r="2">
      <x v="101"/>
    </i>
    <i r="2">
      <x v="114"/>
    </i>
    <i t="default" r="1">
      <x/>
    </i>
    <i t="default">
      <x v="857"/>
    </i>
    <i>
      <x v="858"/>
      <x/>
      <x v="7"/>
    </i>
    <i r="2">
      <x v="26"/>
    </i>
    <i r="2">
      <x v="92"/>
    </i>
    <i r="2">
      <x v="110"/>
    </i>
    <i r="2">
      <x v="148"/>
    </i>
    <i t="default" r="1">
      <x/>
    </i>
    <i t="default">
      <x v="858"/>
    </i>
    <i>
      <x v="859"/>
      <x/>
      <x v="28"/>
    </i>
    <i r="2">
      <x v="72"/>
    </i>
    <i r="2">
      <x v="79"/>
    </i>
    <i r="2">
      <x v="136"/>
    </i>
    <i r="2">
      <x v="223"/>
    </i>
    <i t="default" r="1">
      <x/>
    </i>
    <i t="default">
      <x v="859"/>
    </i>
    <i>
      <x v="860"/>
      <x/>
      <x v="26"/>
    </i>
    <i r="2">
      <x v="156"/>
    </i>
    <i t="default" r="1">
      <x/>
    </i>
    <i t="default">
      <x v="860"/>
    </i>
    <i>
      <x v="861"/>
      <x v="1"/>
      <x v="46"/>
    </i>
    <i r="2">
      <x v="90"/>
    </i>
    <i r="2">
      <x v="184"/>
    </i>
    <i t="default" r="1">
      <x v="1"/>
    </i>
    <i t="default">
      <x v="861"/>
    </i>
    <i>
      <x v="862"/>
      <x/>
      <x v="95"/>
    </i>
    <i t="default" r="1">
      <x/>
    </i>
    <i t="default">
      <x v="862"/>
    </i>
    <i>
      <x v="863"/>
      <x/>
      <x v="7"/>
    </i>
    <i r="2">
      <x v="91"/>
    </i>
    <i r="2">
      <x v="123"/>
    </i>
    <i t="default" r="1">
      <x/>
    </i>
    <i t="default">
      <x v="863"/>
    </i>
    <i>
      <x v="864"/>
      <x/>
      <x v="119"/>
    </i>
    <i r="2">
      <x v="258"/>
    </i>
    <i t="default" r="1">
      <x/>
    </i>
    <i t="default">
      <x v="864"/>
    </i>
    <i>
      <x v="865"/>
      <x/>
      <x v="7"/>
    </i>
    <i r="2">
      <x v="115"/>
    </i>
    <i r="2">
      <x v="126"/>
    </i>
    <i r="2">
      <x v="236"/>
    </i>
    <i t="default" r="1">
      <x/>
    </i>
    <i t="default">
      <x v="865"/>
    </i>
    <i>
      <x v="866"/>
      <x v="2"/>
      <x v="55"/>
    </i>
    <i t="default" r="1">
      <x v="2"/>
    </i>
    <i t="default">
      <x v="866"/>
    </i>
    <i>
      <x v="867"/>
      <x v="2"/>
      <x v="99"/>
    </i>
    <i t="default" r="1">
      <x v="2"/>
    </i>
    <i t="default">
      <x v="867"/>
    </i>
    <i>
      <x v="868"/>
      <x/>
      <x v="116"/>
    </i>
    <i r="2">
      <x v="123"/>
    </i>
    <i r="2">
      <x v="152"/>
    </i>
    <i r="2">
      <x v="179"/>
    </i>
    <i r="2">
      <x v="261"/>
    </i>
    <i t="default" r="1">
      <x/>
    </i>
    <i t="default">
      <x v="868"/>
    </i>
    <i>
      <x v="869"/>
      <x/>
      <x v="158"/>
    </i>
    <i t="default" r="1">
      <x/>
    </i>
    <i t="default">
      <x v="869"/>
    </i>
    <i>
      <x v="870"/>
      <x/>
      <x v="92"/>
    </i>
    <i r="2">
      <x v="116"/>
    </i>
    <i r="2">
      <x v="118"/>
    </i>
    <i r="2">
      <x v="137"/>
    </i>
    <i t="default" r="1">
      <x/>
    </i>
    <i t="default">
      <x v="870"/>
    </i>
    <i>
      <x v="871"/>
      <x v="2"/>
      <x v="140"/>
    </i>
    <i r="2">
      <x v="156"/>
    </i>
    <i t="default" r="1">
      <x v="2"/>
    </i>
    <i t="default">
      <x v="871"/>
    </i>
    <i>
      <x v="872"/>
      <x/>
      <x v="207"/>
    </i>
    <i t="default" r="1">
      <x/>
    </i>
    <i t="default">
      <x v="872"/>
    </i>
    <i>
      <x v="873"/>
      <x/>
      <x v="29"/>
    </i>
    <i r="2">
      <x v="114"/>
    </i>
    <i r="2">
      <x v="131"/>
    </i>
    <i r="2">
      <x v="193"/>
    </i>
    <i t="default" r="1">
      <x/>
    </i>
    <i t="default">
      <x v="873"/>
    </i>
    <i>
      <x v="874"/>
      <x v="2"/>
      <x v="26"/>
    </i>
    <i r="2">
      <x v="34"/>
    </i>
    <i r="2">
      <x v="101"/>
    </i>
    <i r="2">
      <x v="121"/>
    </i>
    <i t="default" r="1">
      <x v="2"/>
    </i>
    <i t="default">
      <x v="874"/>
    </i>
    <i>
      <x v="875"/>
      <x/>
      <x v="36"/>
    </i>
    <i r="2">
      <x v="103"/>
    </i>
    <i r="2">
      <x v="118"/>
    </i>
    <i r="2">
      <x v="125"/>
    </i>
    <i t="default" r="1">
      <x/>
    </i>
    <i t="default">
      <x v="875"/>
    </i>
    <i>
      <x v="876"/>
      <x/>
      <x v="114"/>
    </i>
    <i r="2">
      <x v="129"/>
    </i>
    <i t="default" r="1">
      <x/>
    </i>
    <i t="default">
      <x v="876"/>
    </i>
    <i>
      <x v="877"/>
      <x v="2"/>
      <x v="7"/>
    </i>
    <i r="2">
      <x v="104"/>
    </i>
    <i r="2">
      <x v="129"/>
    </i>
    <i r="2">
      <x v="136"/>
    </i>
    <i t="default" r="1">
      <x v="2"/>
    </i>
    <i t="default">
      <x v="877"/>
    </i>
    <i>
      <x v="878"/>
      <x/>
      <x v="3"/>
    </i>
    <i r="2">
      <x v="54"/>
    </i>
    <i r="2">
      <x v="106"/>
    </i>
    <i r="2">
      <x v="159"/>
    </i>
    <i t="default" r="1">
      <x/>
    </i>
    <i t="default">
      <x v="878"/>
    </i>
    <i>
      <x v="879"/>
      <x/>
      <x v="28"/>
    </i>
    <i r="2">
      <x v="81"/>
    </i>
    <i r="2">
      <x v="101"/>
    </i>
    <i r="2">
      <x v="125"/>
    </i>
    <i r="2">
      <x v="138"/>
    </i>
    <i t="default" r="1">
      <x/>
    </i>
    <i t="default">
      <x v="879"/>
    </i>
    <i>
      <x v="880"/>
      <x v="1"/>
      <x v="45"/>
    </i>
    <i r="2">
      <x v="80"/>
    </i>
    <i r="2">
      <x v="126"/>
    </i>
    <i r="2">
      <x v="259"/>
    </i>
    <i t="default" r="1">
      <x v="1"/>
    </i>
    <i t="default">
      <x v="880"/>
    </i>
    <i>
      <x v="881"/>
      <x/>
      <x v="117"/>
    </i>
    <i r="2">
      <x v="158"/>
    </i>
    <i r="2">
      <x v="202"/>
    </i>
    <i t="default" r="1">
      <x/>
    </i>
    <i t="default">
      <x v="881"/>
    </i>
    <i>
      <x v="882"/>
      <x/>
      <x v="97"/>
    </i>
    <i r="2">
      <x v="101"/>
    </i>
    <i t="default" r="1">
      <x/>
    </i>
    <i t="default">
      <x v="882"/>
    </i>
    <i>
      <x v="883"/>
      <x/>
      <x v="7"/>
    </i>
    <i r="2">
      <x v="99"/>
    </i>
    <i r="2">
      <x v="118"/>
    </i>
    <i r="2">
      <x v="144"/>
    </i>
    <i r="2">
      <x v="184"/>
    </i>
    <i t="default" r="1">
      <x/>
    </i>
    <i t="default">
      <x v="883"/>
    </i>
    <i>
      <x v="884"/>
      <x v="1"/>
      <x v="116"/>
    </i>
    <i r="2">
      <x v="215"/>
    </i>
    <i t="default" r="1">
      <x v="1"/>
    </i>
    <i t="default">
      <x v="884"/>
    </i>
    <i>
      <x v="885"/>
      <x v="2"/>
      <x v="137"/>
    </i>
    <i r="2">
      <x v="256"/>
    </i>
    <i t="default" r="1">
      <x v="2"/>
    </i>
    <i t="default">
      <x v="885"/>
    </i>
    <i>
      <x v="886"/>
      <x/>
      <x v="2"/>
    </i>
    <i r="2">
      <x v="259"/>
    </i>
    <i t="default" r="1">
      <x/>
    </i>
    <i t="default">
      <x v="886"/>
    </i>
    <i>
      <x v="887"/>
      <x/>
      <x v="81"/>
    </i>
    <i r="2">
      <x v="152"/>
    </i>
    <i t="default" r="1">
      <x/>
    </i>
    <i t="default">
      <x v="887"/>
    </i>
    <i>
      <x v="888"/>
      <x v="1"/>
      <x v="72"/>
    </i>
    <i t="default" r="1">
      <x v="1"/>
    </i>
    <i t="default">
      <x v="888"/>
    </i>
    <i>
      <x v="889"/>
      <x/>
      <x v="81"/>
    </i>
    <i r="2">
      <x v="123"/>
    </i>
    <i r="2">
      <x v="126"/>
    </i>
    <i r="2">
      <x v="130"/>
    </i>
    <i r="2">
      <x v="143"/>
    </i>
    <i t="default" r="1">
      <x/>
    </i>
    <i t="default">
      <x v="889"/>
    </i>
    <i>
      <x v="890"/>
      <x/>
      <x v="118"/>
    </i>
    <i r="2">
      <x v="127"/>
    </i>
    <i r="2">
      <x v="207"/>
    </i>
    <i r="2">
      <x v="259"/>
    </i>
    <i t="default" r="1">
      <x/>
    </i>
    <i t="default">
      <x v="890"/>
    </i>
    <i>
      <x v="891"/>
      <x/>
      <x v="148"/>
    </i>
    <i r="2">
      <x v="160"/>
    </i>
    <i r="2">
      <x v="236"/>
    </i>
    <i r="2">
      <x v="259"/>
    </i>
    <i t="default" r="1">
      <x/>
    </i>
    <i t="default">
      <x v="891"/>
    </i>
    <i>
      <x v="892"/>
      <x/>
      <x v="98"/>
    </i>
    <i r="2">
      <x v="126"/>
    </i>
    <i t="default" r="1">
      <x/>
    </i>
    <i t="default">
      <x v="892"/>
    </i>
    <i>
      <x v="893"/>
      <x/>
      <x v="55"/>
    </i>
    <i t="default" r="1">
      <x/>
    </i>
    <i t="default">
      <x v="893"/>
    </i>
    <i>
      <x v="894"/>
      <x/>
      <x v="116"/>
    </i>
    <i t="default" r="1">
      <x/>
    </i>
    <i t="default">
      <x v="894"/>
    </i>
    <i>
      <x v="895"/>
      <x v="1"/>
      <x v="144"/>
    </i>
    <i r="2">
      <x v="245"/>
    </i>
    <i t="default" r="1">
      <x v="1"/>
    </i>
    <i t="default">
      <x v="895"/>
    </i>
    <i>
      <x v="896"/>
      <x v="2"/>
      <x v="36"/>
    </i>
    <i r="2">
      <x v="130"/>
    </i>
    <i t="default" r="1">
      <x v="2"/>
    </i>
    <i t="default">
      <x v="896"/>
    </i>
    <i>
      <x v="897"/>
      <x/>
      <x v="81"/>
    </i>
    <i r="2">
      <x v="98"/>
    </i>
    <i r="2">
      <x v="118"/>
    </i>
    <i r="2">
      <x v="202"/>
    </i>
    <i t="default" r="1">
      <x/>
    </i>
    <i t="default">
      <x v="897"/>
    </i>
    <i>
      <x v="898"/>
      <x/>
      <x v="103"/>
    </i>
    <i r="2">
      <x v="136"/>
    </i>
    <i r="2">
      <x v="178"/>
    </i>
    <i t="default" r="1">
      <x/>
    </i>
    <i t="default">
      <x v="898"/>
    </i>
    <i>
      <x v="899"/>
      <x/>
      <x v="81"/>
    </i>
    <i r="2">
      <x v="117"/>
    </i>
    <i r="2">
      <x v="138"/>
    </i>
    <i r="2">
      <x v="233"/>
    </i>
    <i r="2">
      <x v="237"/>
    </i>
    <i t="default" r="1">
      <x/>
    </i>
    <i t="default">
      <x v="899"/>
    </i>
    <i>
      <x v="900"/>
      <x/>
      <x v="215"/>
    </i>
    <i r="2">
      <x v="259"/>
    </i>
    <i t="default" r="1">
      <x/>
    </i>
    <i t="default">
      <x v="900"/>
    </i>
    <i>
      <x v="901"/>
      <x/>
      <x v="28"/>
    </i>
    <i r="2">
      <x v="72"/>
    </i>
    <i r="2">
      <x v="92"/>
    </i>
    <i r="2">
      <x v="94"/>
    </i>
    <i t="default" r="1">
      <x/>
    </i>
    <i t="default">
      <x v="901"/>
    </i>
    <i>
      <x v="902"/>
      <x/>
      <x v="150"/>
    </i>
    <i r="2">
      <x v="201"/>
    </i>
    <i t="default" r="1">
      <x/>
    </i>
    <i t="default">
      <x v="902"/>
    </i>
    <i>
      <x v="903"/>
      <x v="2"/>
      <x v="7"/>
    </i>
    <i r="2">
      <x v="94"/>
    </i>
    <i r="2">
      <x v="148"/>
    </i>
    <i r="2">
      <x v="260"/>
    </i>
    <i t="default" r="1">
      <x v="2"/>
    </i>
    <i t="default">
      <x v="903"/>
    </i>
    <i>
      <x v="904"/>
      <x/>
      <x v="83"/>
    </i>
    <i r="2">
      <x v="126"/>
    </i>
    <i r="2">
      <x v="156"/>
    </i>
    <i r="2">
      <x v="209"/>
    </i>
    <i t="default" r="1">
      <x/>
    </i>
    <i t="default">
      <x v="904"/>
    </i>
    <i>
      <x v="905"/>
      <x/>
      <x v="26"/>
    </i>
    <i r="2">
      <x v="27"/>
    </i>
    <i r="2">
      <x v="80"/>
    </i>
    <i r="2">
      <x v="99"/>
    </i>
    <i r="2">
      <x v="138"/>
    </i>
    <i t="default" r="1">
      <x/>
    </i>
    <i t="default">
      <x v="905"/>
    </i>
    <i>
      <x v="906"/>
      <x v="2"/>
      <x v="123"/>
    </i>
    <i r="2">
      <x v="124"/>
    </i>
    <i t="default" r="1">
      <x v="2"/>
    </i>
    <i t="default">
      <x v="906"/>
    </i>
    <i>
      <x v="907"/>
      <x/>
      <x v="80"/>
    </i>
    <i r="2">
      <x v="93"/>
    </i>
    <i r="2">
      <x v="96"/>
    </i>
    <i t="default" r="1">
      <x/>
    </i>
    <i t="default">
      <x v="907"/>
    </i>
    <i>
      <x v="908"/>
      <x v="2"/>
      <x v="101"/>
    </i>
    <i t="default" r="1">
      <x v="2"/>
    </i>
    <i t="default">
      <x v="908"/>
    </i>
    <i>
      <x v="909"/>
      <x/>
      <x v="27"/>
    </i>
    <i t="default" r="1">
      <x/>
    </i>
    <i t="default">
      <x v="909"/>
    </i>
    <i>
      <x v="910"/>
      <x/>
      <x v="116"/>
    </i>
    <i r="2">
      <x v="125"/>
    </i>
    <i r="2">
      <x v="184"/>
    </i>
    <i r="2">
      <x v="245"/>
    </i>
    <i t="default" r="1">
      <x/>
    </i>
    <i t="default">
      <x v="910"/>
    </i>
    <i>
      <x v="911"/>
      <x v="2"/>
      <x v="26"/>
    </i>
    <i r="2">
      <x v="55"/>
    </i>
    <i r="2">
      <x v="106"/>
    </i>
    <i r="2">
      <x v="110"/>
    </i>
    <i t="default" r="1">
      <x v="2"/>
    </i>
    <i t="default">
      <x v="911"/>
    </i>
    <i>
      <x v="912"/>
      <x/>
      <x v="72"/>
    </i>
    <i r="2">
      <x v="239"/>
    </i>
    <i t="default" r="1">
      <x/>
    </i>
    <i t="default">
      <x v="912"/>
    </i>
    <i>
      <x v="913"/>
      <x v="2"/>
      <x v="83"/>
    </i>
    <i r="2">
      <x v="92"/>
    </i>
    <i r="2">
      <x v="99"/>
    </i>
    <i r="2">
      <x v="116"/>
    </i>
    <i t="default" r="1">
      <x v="2"/>
    </i>
    <i t="default">
      <x v="913"/>
    </i>
    <i>
      <x v="914"/>
      <x/>
      <x v="80"/>
    </i>
    <i r="2">
      <x v="106"/>
    </i>
    <i r="2">
      <x v="201"/>
    </i>
    <i r="2">
      <x v="209"/>
    </i>
    <i t="default" r="1">
      <x/>
    </i>
    <i t="default">
      <x v="914"/>
    </i>
    <i>
      <x v="915"/>
      <x/>
      <x v="94"/>
    </i>
    <i t="default" r="1">
      <x/>
    </i>
    <i t="default">
      <x v="915"/>
    </i>
    <i>
      <x v="916"/>
      <x v="2"/>
      <x v="93"/>
    </i>
    <i t="default" r="1">
      <x v="2"/>
    </i>
    <i t="default">
      <x v="916"/>
    </i>
    <i>
      <x v="917"/>
      <x v="2"/>
      <x v="150"/>
    </i>
    <i r="2">
      <x v="212"/>
    </i>
    <i r="2">
      <x v="245"/>
    </i>
    <i t="default" r="1">
      <x v="2"/>
    </i>
    <i t="default">
      <x v="917"/>
    </i>
    <i>
      <x v="918"/>
      <x/>
      <x v="97"/>
    </i>
    <i r="2">
      <x v="261"/>
    </i>
    <i t="default" r="1">
      <x/>
    </i>
    <i t="default">
      <x v="918"/>
    </i>
    <i>
      <x v="919"/>
      <x/>
      <x v="28"/>
    </i>
    <i r="2">
      <x v="112"/>
    </i>
    <i r="2">
      <x v="115"/>
    </i>
    <i r="2">
      <x v="262"/>
    </i>
    <i t="default" r="1">
      <x/>
    </i>
    <i t="default">
      <x v="919"/>
    </i>
    <i>
      <x v="920"/>
      <x/>
      <x v="21"/>
    </i>
    <i r="2">
      <x v="29"/>
    </i>
    <i r="2">
      <x v="201"/>
    </i>
    <i t="default" r="1">
      <x/>
    </i>
    <i t="default">
      <x v="920"/>
    </i>
    <i>
      <x v="921"/>
      <x/>
      <x v="114"/>
    </i>
    <i r="2">
      <x v="116"/>
    </i>
    <i r="2">
      <x v="217"/>
    </i>
    <i t="default" r="1">
      <x/>
    </i>
    <i t="default">
      <x v="921"/>
    </i>
    <i>
      <x v="922"/>
      <x/>
      <x v="15"/>
    </i>
    <i r="2">
      <x v="136"/>
    </i>
    <i t="default" r="1">
      <x/>
    </i>
    <i t="default">
      <x v="922"/>
    </i>
    <i>
      <x v="923"/>
      <x v="1"/>
      <x v="39"/>
    </i>
    <i r="2">
      <x v="148"/>
    </i>
    <i t="default" r="1">
      <x v="1"/>
    </i>
    <i t="default">
      <x v="923"/>
    </i>
    <i>
      <x v="924"/>
      <x/>
      <x v="39"/>
    </i>
    <i r="2">
      <x v="156"/>
    </i>
    <i t="default" r="1">
      <x/>
    </i>
    <i t="default">
      <x v="924"/>
    </i>
    <i>
      <x v="925"/>
      <x v="2"/>
      <x v="91"/>
    </i>
    <i t="default" r="1">
      <x v="2"/>
    </i>
    <i t="default">
      <x v="925"/>
    </i>
    <i>
      <x v="926"/>
      <x v="2"/>
      <x v="15"/>
    </i>
    <i r="2">
      <x v="81"/>
    </i>
    <i r="2">
      <x v="151"/>
    </i>
    <i r="2">
      <x v="215"/>
    </i>
    <i r="2">
      <x v="259"/>
    </i>
    <i t="default" r="1">
      <x v="2"/>
    </i>
    <i t="default">
      <x v="926"/>
    </i>
    <i>
      <x v="927"/>
      <x v="2"/>
      <x v="110"/>
    </i>
    <i r="2">
      <x v="159"/>
    </i>
    <i t="default" r="1">
      <x v="2"/>
    </i>
    <i t="default">
      <x v="927"/>
    </i>
    <i>
      <x v="928"/>
      <x/>
      <x v="3"/>
    </i>
    <i r="2">
      <x v="72"/>
    </i>
    <i r="2">
      <x v="158"/>
    </i>
    <i t="default" r="1">
      <x/>
    </i>
    <i t="default">
      <x v="928"/>
    </i>
    <i>
      <x v="929"/>
      <x v="1"/>
      <x v="3"/>
    </i>
    <i r="2">
      <x v="122"/>
    </i>
    <i r="2">
      <x v="123"/>
    </i>
    <i r="2">
      <x v="193"/>
    </i>
    <i r="2">
      <x v="260"/>
    </i>
    <i t="default" r="1">
      <x v="1"/>
    </i>
    <i t="default">
      <x v="929"/>
    </i>
    <i>
      <x v="930"/>
      <x/>
      <x v="28"/>
    </i>
    <i r="2">
      <x v="184"/>
    </i>
    <i t="default" r="1">
      <x/>
    </i>
    <i t="default">
      <x v="930"/>
    </i>
    <i>
      <x v="931"/>
      <x/>
      <x v="15"/>
    </i>
    <i t="default" r="1">
      <x/>
    </i>
    <i t="default">
      <x v="931"/>
    </i>
    <i>
      <x v="932"/>
      <x/>
      <x v="7"/>
    </i>
    <i r="2">
      <x v="21"/>
    </i>
    <i r="2">
      <x v="29"/>
    </i>
    <i t="default" r="1">
      <x/>
    </i>
    <i t="default">
      <x v="932"/>
    </i>
    <i>
      <x v="933"/>
      <x/>
      <x v="104"/>
    </i>
    <i r="2">
      <x v="127"/>
    </i>
    <i r="2">
      <x v="193"/>
    </i>
    <i r="2">
      <x v="201"/>
    </i>
    <i r="2">
      <x v="233"/>
    </i>
    <i t="default" r="1">
      <x/>
    </i>
    <i t="default">
      <x v="933"/>
    </i>
    <i>
      <x v="934"/>
      <x v="1"/>
      <x v="28"/>
    </i>
    <i r="2">
      <x v="92"/>
    </i>
    <i r="2">
      <x v="123"/>
    </i>
    <i r="2">
      <x v="136"/>
    </i>
    <i t="default" r="1">
      <x v="1"/>
    </i>
    <i t="default">
      <x v="934"/>
    </i>
    <i>
      <x v="935"/>
      <x/>
      <x v="2"/>
    </i>
    <i r="2">
      <x v="97"/>
    </i>
    <i t="default" r="1">
      <x/>
    </i>
    <i t="default">
      <x v="935"/>
    </i>
    <i>
      <x v="936"/>
      <x/>
      <x v="117"/>
    </i>
    <i r="2">
      <x v="125"/>
    </i>
    <i r="2">
      <x v="138"/>
    </i>
    <i r="2">
      <x v="223"/>
    </i>
    <i r="2">
      <x v="260"/>
    </i>
    <i t="default" r="1">
      <x/>
    </i>
    <i t="default">
      <x v="936"/>
    </i>
    <i>
      <x v="937"/>
      <x/>
      <x v="7"/>
    </i>
    <i r="2">
      <x v="212"/>
    </i>
    <i t="default" r="1">
      <x/>
    </i>
    <i t="default">
      <x v="937"/>
    </i>
    <i>
      <x v="938"/>
      <x/>
      <x v="101"/>
    </i>
    <i r="2">
      <x v="118"/>
    </i>
    <i t="default" r="1">
      <x/>
    </i>
    <i t="default">
      <x v="938"/>
    </i>
    <i>
      <x v="939"/>
      <x v="2"/>
      <x v="21"/>
    </i>
    <i t="default" r="1">
      <x v="2"/>
    </i>
    <i t="default">
      <x v="939"/>
    </i>
    <i>
      <x v="940"/>
      <x v="2"/>
      <x v="79"/>
    </i>
    <i r="2">
      <x v="80"/>
    </i>
    <i r="2">
      <x v="146"/>
    </i>
    <i t="default" r="1">
      <x v="2"/>
    </i>
    <i t="default">
      <x v="940"/>
    </i>
    <i>
      <x v="941"/>
      <x/>
      <x v="45"/>
    </i>
    <i r="2">
      <x v="54"/>
    </i>
    <i r="2">
      <x v="120"/>
    </i>
    <i r="2">
      <x v="127"/>
    </i>
    <i r="2">
      <x v="129"/>
    </i>
    <i t="default" r="1">
      <x/>
    </i>
    <i t="default">
      <x v="941"/>
    </i>
    <i>
      <x v="942"/>
      <x/>
      <x v="3"/>
    </i>
    <i r="2">
      <x v="79"/>
    </i>
    <i t="default" r="1">
      <x/>
    </i>
    <i t="default">
      <x v="942"/>
    </i>
    <i>
      <x v="943"/>
      <x v="2"/>
      <x v="2"/>
    </i>
    <i r="2">
      <x v="81"/>
    </i>
    <i r="2">
      <x v="90"/>
    </i>
    <i r="2">
      <x v="118"/>
    </i>
    <i r="2">
      <x v="273"/>
    </i>
    <i t="default" r="1">
      <x v="2"/>
    </i>
    <i t="default">
      <x v="943"/>
    </i>
    <i>
      <x v="944"/>
      <x/>
      <x v="96"/>
    </i>
    <i r="2">
      <x v="97"/>
    </i>
    <i r="2">
      <x v="130"/>
    </i>
    <i r="2">
      <x v="258"/>
    </i>
    <i r="2">
      <x v="259"/>
    </i>
    <i t="default" r="1">
      <x/>
    </i>
    <i t="default">
      <x v="944"/>
    </i>
    <i>
      <x v="945"/>
      <x/>
      <x v="26"/>
    </i>
    <i r="2">
      <x v="90"/>
    </i>
    <i r="2">
      <x v="156"/>
    </i>
    <i r="2">
      <x v="193"/>
    </i>
    <i r="2">
      <x v="261"/>
    </i>
    <i t="default" r="1">
      <x/>
    </i>
    <i t="default">
      <x v="945"/>
    </i>
    <i>
      <x v="946"/>
      <x v="2"/>
      <x v="97"/>
    </i>
    <i r="2">
      <x v="207"/>
    </i>
    <i r="2">
      <x v="209"/>
    </i>
    <i t="default" r="1">
      <x v="2"/>
    </i>
    <i t="default">
      <x v="946"/>
    </i>
    <i>
      <x v="947"/>
      <x/>
      <x v="27"/>
    </i>
    <i r="2">
      <x v="55"/>
    </i>
    <i r="2">
      <x v="83"/>
    </i>
    <i r="2">
      <x v="94"/>
    </i>
    <i r="2">
      <x v="111"/>
    </i>
    <i t="default" r="1">
      <x/>
    </i>
    <i t="default">
      <x v="947"/>
    </i>
    <i>
      <x v="948"/>
      <x v="2"/>
      <x v="160"/>
    </i>
    <i r="2">
      <x v="179"/>
    </i>
    <i t="default" r="1">
      <x v="2"/>
    </i>
    <i t="default">
      <x v="948"/>
    </i>
    <i>
      <x v="949"/>
      <x/>
      <x v="193"/>
    </i>
    <i t="default" r="1">
      <x/>
    </i>
    <i t="default">
      <x v="949"/>
    </i>
    <i>
      <x v="950"/>
      <x/>
      <x v="156"/>
    </i>
    <i r="2">
      <x v="178"/>
    </i>
    <i r="2">
      <x v="215"/>
    </i>
    <i t="default" r="1">
      <x/>
    </i>
    <i t="default">
      <x v="950"/>
    </i>
    <i>
      <x v="951"/>
      <x/>
      <x v="83"/>
    </i>
    <i r="2">
      <x v="202"/>
    </i>
    <i t="default" r="1">
      <x/>
    </i>
    <i t="default">
      <x v="951"/>
    </i>
    <i>
      <x v="952"/>
      <x/>
      <x v="27"/>
    </i>
    <i t="default" r="1">
      <x/>
    </i>
    <i t="default">
      <x v="952"/>
    </i>
    <i>
      <x v="953"/>
      <x/>
      <x v="212"/>
    </i>
    <i t="default" r="1">
      <x/>
    </i>
    <i t="default">
      <x v="953"/>
    </i>
    <i>
      <x v="954"/>
      <x/>
      <x v="36"/>
    </i>
    <i r="2">
      <x v="150"/>
    </i>
    <i r="2">
      <x v="158"/>
    </i>
    <i r="2">
      <x v="215"/>
    </i>
    <i r="2">
      <x v="236"/>
    </i>
    <i t="default" r="1">
      <x/>
    </i>
    <i t="default">
      <x v="954"/>
    </i>
    <i>
      <x v="955"/>
      <x/>
      <x v="7"/>
    </i>
    <i r="2">
      <x v="27"/>
    </i>
    <i r="2">
      <x v="28"/>
    </i>
    <i r="2">
      <x v="113"/>
    </i>
    <i r="2">
      <x v="114"/>
    </i>
    <i t="default" r="1">
      <x/>
    </i>
    <i t="default">
      <x v="955"/>
    </i>
    <i>
      <x v="956"/>
      <x v="1"/>
      <x v="2"/>
    </i>
    <i r="2">
      <x v="26"/>
    </i>
    <i r="2">
      <x v="117"/>
    </i>
    <i r="2">
      <x v="121"/>
    </i>
    <i r="2">
      <x v="125"/>
    </i>
    <i t="default" r="1">
      <x v="1"/>
    </i>
    <i t="default">
      <x v="956"/>
    </i>
    <i>
      <x v="957"/>
      <x v="2"/>
      <x v="28"/>
    </i>
    <i r="2">
      <x v="260"/>
    </i>
    <i t="default" r="1">
      <x v="2"/>
    </i>
    <i t="default">
      <x v="957"/>
    </i>
    <i>
      <x v="958"/>
      <x/>
      <x v="34"/>
    </i>
    <i r="2">
      <x v="93"/>
    </i>
    <i r="2">
      <x v="111"/>
    </i>
    <i r="2">
      <x v="123"/>
    </i>
    <i t="default" r="1">
      <x/>
    </i>
    <i t="default">
      <x v="958"/>
    </i>
    <i>
      <x v="959"/>
      <x/>
      <x v="114"/>
    </i>
    <i r="2">
      <x v="143"/>
    </i>
    <i r="2">
      <x v="159"/>
    </i>
    <i r="2">
      <x v="201"/>
    </i>
    <i t="default" r="1">
      <x/>
    </i>
    <i t="default">
      <x v="959"/>
    </i>
    <i>
      <x v="960"/>
      <x v="2"/>
      <x v="123"/>
    </i>
    <i r="2">
      <x v="130"/>
    </i>
    <i r="2">
      <x v="256"/>
    </i>
    <i t="default" r="1">
      <x v="2"/>
    </i>
    <i t="default">
      <x v="960"/>
    </i>
    <i>
      <x v="961"/>
      <x/>
      <x v="80"/>
    </i>
    <i r="2">
      <x v="123"/>
    </i>
    <i t="default" r="1">
      <x/>
    </i>
    <i t="default">
      <x v="961"/>
    </i>
    <i>
      <x v="962"/>
      <x/>
      <x v="212"/>
    </i>
    <i t="default" r="1">
      <x/>
    </i>
    <i t="default">
      <x v="962"/>
    </i>
    <i>
      <x v="963"/>
      <x/>
      <x v="15"/>
    </i>
    <i r="2">
      <x v="239"/>
    </i>
    <i t="default" r="1">
      <x/>
    </i>
    <i t="default">
      <x v="963"/>
    </i>
    <i>
      <x v="964"/>
      <x/>
      <x v="239"/>
    </i>
    <i t="default" r="1">
      <x/>
    </i>
    <i t="default">
      <x v="964"/>
    </i>
    <i>
      <x v="965"/>
      <x v="1"/>
      <x v="114"/>
    </i>
    <i r="2">
      <x v="236"/>
    </i>
    <i t="default" r="1">
      <x v="1"/>
    </i>
    <i t="default">
      <x v="965"/>
    </i>
    <i>
      <x v="966"/>
      <x/>
      <x v="29"/>
    </i>
    <i r="2">
      <x v="125"/>
    </i>
    <i r="2">
      <x v="129"/>
    </i>
    <i r="2">
      <x v="234"/>
    </i>
    <i t="default" r="1">
      <x/>
    </i>
    <i t="default">
      <x v="966"/>
    </i>
    <i>
      <x v="967"/>
      <x/>
      <x v="144"/>
    </i>
    <i r="2">
      <x v="233"/>
    </i>
    <i r="2">
      <x v="234"/>
    </i>
    <i t="default" r="1">
      <x/>
    </i>
    <i t="default">
      <x v="967"/>
    </i>
    <i>
      <x v="968"/>
      <x v="1"/>
      <x v="15"/>
    </i>
    <i r="2">
      <x v="148"/>
    </i>
    <i t="default" r="1">
      <x v="1"/>
    </i>
    <i t="default">
      <x v="968"/>
    </i>
    <i>
      <x v="969"/>
      <x/>
      <x v="90"/>
    </i>
    <i r="2">
      <x v="116"/>
    </i>
    <i r="2">
      <x v="189"/>
    </i>
    <i r="2">
      <x v="201"/>
    </i>
    <i t="default" r="1">
      <x/>
    </i>
    <i t="default">
      <x v="969"/>
    </i>
    <i>
      <x v="970"/>
      <x v="1"/>
      <x v="2"/>
    </i>
    <i r="2">
      <x v="72"/>
    </i>
    <i r="2">
      <x v="92"/>
    </i>
    <i r="2">
      <x v="123"/>
    </i>
    <i r="2">
      <x v="254"/>
    </i>
    <i t="default" r="1">
      <x v="1"/>
    </i>
    <i t="default">
      <x v="970"/>
    </i>
    <i>
      <x v="971"/>
      <x/>
      <x v="54"/>
    </i>
    <i r="2">
      <x v="158"/>
    </i>
    <i t="default" r="1">
      <x/>
    </i>
    <i t="default">
      <x v="971"/>
    </i>
    <i>
      <x v="972"/>
      <x/>
      <x v="110"/>
    </i>
    <i r="2">
      <x v="138"/>
    </i>
    <i r="2">
      <x v="212"/>
    </i>
    <i r="2">
      <x v="256"/>
    </i>
    <i t="default" r="1">
      <x/>
    </i>
    <i t="default">
      <x v="972"/>
    </i>
    <i>
      <x v="973"/>
      <x v="1"/>
      <x v="26"/>
    </i>
    <i r="2">
      <x v="152"/>
    </i>
    <i t="default" r="1">
      <x v="1"/>
    </i>
    <i t="default">
      <x v="973"/>
    </i>
    <i>
      <x v="974"/>
      <x/>
      <x v="120"/>
    </i>
    <i t="default" r="1">
      <x/>
    </i>
    <i t="default">
      <x v="974"/>
    </i>
    <i>
      <x v="975"/>
      <x v="1"/>
      <x v="81"/>
    </i>
    <i r="2">
      <x v="262"/>
    </i>
    <i t="default" r="1">
      <x v="1"/>
    </i>
    <i t="default">
      <x v="975"/>
    </i>
    <i>
      <x v="976"/>
      <x/>
      <x v="115"/>
    </i>
    <i r="2">
      <x v="118"/>
    </i>
    <i r="2">
      <x v="131"/>
    </i>
    <i r="2">
      <x v="143"/>
    </i>
    <i t="default" r="1">
      <x/>
    </i>
    <i t="default">
      <x v="976"/>
    </i>
    <i>
      <x v="977"/>
      <x/>
      <x v="79"/>
    </i>
    <i r="2">
      <x v="116"/>
    </i>
    <i r="2">
      <x v="117"/>
    </i>
    <i t="default" r="1">
      <x/>
    </i>
    <i t="default">
      <x v="977"/>
    </i>
    <i>
      <x v="978"/>
      <x/>
      <x v="72"/>
    </i>
    <i r="2">
      <x v="110"/>
    </i>
    <i r="2">
      <x v="143"/>
    </i>
    <i r="2">
      <x v="179"/>
    </i>
    <i t="default" r="1">
      <x/>
    </i>
    <i t="default">
      <x v="978"/>
    </i>
    <i>
      <x v="979"/>
      <x v="1"/>
      <x v="80"/>
    </i>
    <i r="2">
      <x v="160"/>
    </i>
    <i r="2">
      <x v="184"/>
    </i>
    <i t="default" r="1">
      <x v="1"/>
    </i>
    <i t="default">
      <x v="979"/>
    </i>
    <i>
      <x v="980"/>
      <x v="1"/>
      <x v="7"/>
    </i>
    <i r="2">
      <x v="28"/>
    </i>
    <i r="2">
      <x v="127"/>
    </i>
    <i r="2">
      <x v="148"/>
    </i>
    <i r="2">
      <x v="233"/>
    </i>
    <i t="default" r="1">
      <x v="1"/>
    </i>
    <i t="default">
      <x v="980"/>
    </i>
    <i>
      <x v="981"/>
      <x v="1"/>
      <x v="26"/>
    </i>
    <i r="2">
      <x v="120"/>
    </i>
    <i r="2">
      <x v="143"/>
    </i>
    <i r="2">
      <x v="216"/>
    </i>
    <i t="default" r="1">
      <x v="1"/>
    </i>
    <i t="default">
      <x v="981"/>
    </i>
    <i>
      <x v="982"/>
      <x/>
      <x v="1"/>
    </i>
    <i r="2">
      <x v="83"/>
    </i>
    <i r="2">
      <x v="116"/>
    </i>
    <i r="2">
      <x v="158"/>
    </i>
    <i r="2">
      <x v="236"/>
    </i>
    <i t="default" r="1">
      <x/>
    </i>
    <i t="default">
      <x v="982"/>
    </i>
    <i>
      <x v="983"/>
      <x/>
      <x v="1"/>
    </i>
    <i r="2">
      <x v="72"/>
    </i>
    <i r="2">
      <x v="116"/>
    </i>
    <i r="2">
      <x v="121"/>
    </i>
    <i t="default" r="1">
      <x/>
    </i>
    <i t="default">
      <x v="983"/>
    </i>
    <i>
      <x v="984"/>
      <x/>
      <x v="101"/>
    </i>
    <i r="2">
      <x v="112"/>
    </i>
    <i r="2">
      <x v="178"/>
    </i>
    <i t="default" r="1">
      <x/>
    </i>
    <i t="default">
      <x v="984"/>
    </i>
    <i>
      <x v="985"/>
      <x/>
      <x v="81"/>
    </i>
    <i r="2">
      <x v="112"/>
    </i>
    <i r="2">
      <x v="234"/>
    </i>
    <i t="default" r="1">
      <x/>
    </i>
    <i t="default">
      <x v="985"/>
    </i>
    <i>
      <x v="986"/>
      <x v="2"/>
      <x v="115"/>
    </i>
    <i r="2">
      <x v="122"/>
    </i>
    <i r="2">
      <x v="260"/>
    </i>
    <i t="default" r="1">
      <x v="2"/>
    </i>
    <i t="default">
      <x v="986"/>
    </i>
    <i>
      <x v="987"/>
      <x/>
      <x v="72"/>
    </i>
    <i r="2">
      <x v="92"/>
    </i>
    <i r="2">
      <x v="127"/>
    </i>
    <i t="default" r="1">
      <x/>
    </i>
    <i t="default">
      <x v="987"/>
    </i>
    <i>
      <x v="988"/>
      <x/>
      <x v="2"/>
    </i>
    <i r="2">
      <x v="46"/>
    </i>
    <i r="2">
      <x v="101"/>
    </i>
    <i r="2">
      <x v="124"/>
    </i>
    <i r="2">
      <x v="131"/>
    </i>
    <i t="default" r="1">
      <x/>
    </i>
    <i t="default">
      <x v="988"/>
    </i>
    <i>
      <x v="989"/>
      <x/>
      <x v="26"/>
    </i>
    <i r="2">
      <x v="136"/>
    </i>
    <i r="2">
      <x v="245"/>
    </i>
    <i r="2">
      <x v="273"/>
    </i>
    <i t="default" r="1">
      <x/>
    </i>
    <i t="default">
      <x v="989"/>
    </i>
    <i>
      <x v="990"/>
      <x v="2"/>
      <x v="113"/>
    </i>
    <i r="2">
      <x v="160"/>
    </i>
    <i r="2">
      <x v="258"/>
    </i>
    <i t="default" r="1">
      <x v="2"/>
    </i>
    <i t="default">
      <x v="990"/>
    </i>
    <i>
      <x v="991"/>
      <x/>
      <x v="55"/>
    </i>
    <i r="2">
      <x v="80"/>
    </i>
    <i r="2">
      <x v="83"/>
    </i>
    <i r="2">
      <x v="98"/>
    </i>
    <i r="2">
      <x v="261"/>
    </i>
    <i t="default" r="1">
      <x/>
    </i>
    <i t="default">
      <x v="991"/>
    </i>
    <i>
      <x v="992"/>
      <x v="2"/>
      <x v="46"/>
    </i>
    <i r="2">
      <x v="113"/>
    </i>
    <i r="2">
      <x v="144"/>
    </i>
    <i r="2">
      <x v="148"/>
    </i>
    <i r="2">
      <x v="223"/>
    </i>
    <i t="default" r="1">
      <x v="2"/>
    </i>
    <i t="default">
      <x v="992"/>
    </i>
    <i>
      <x v="993"/>
      <x/>
      <x v="91"/>
    </i>
    <i r="2">
      <x v="98"/>
    </i>
    <i r="2">
      <x v="125"/>
    </i>
    <i t="default" r="1">
      <x/>
    </i>
    <i t="default">
      <x v="993"/>
    </i>
    <i>
      <x v="994"/>
      <x v="2"/>
      <x v="55"/>
    </i>
    <i r="2">
      <x v="81"/>
    </i>
    <i r="2">
      <x v="239"/>
    </i>
    <i t="default" r="1">
      <x v="2"/>
    </i>
    <i t="default">
      <x v="994"/>
    </i>
    <i>
      <x v="995"/>
      <x v="2"/>
      <x v="116"/>
    </i>
    <i r="2">
      <x v="207"/>
    </i>
    <i t="default" r="1">
      <x v="2"/>
    </i>
    <i t="default">
      <x v="995"/>
    </i>
    <i>
      <x v="996"/>
      <x/>
      <x v="26"/>
    </i>
    <i r="2">
      <x v="130"/>
    </i>
    <i r="2">
      <x v="217"/>
    </i>
    <i t="default" r="1">
      <x/>
    </i>
    <i t="default">
      <x v="996"/>
    </i>
    <i>
      <x v="997"/>
      <x/>
      <x v="81"/>
    </i>
    <i r="2">
      <x v="130"/>
    </i>
    <i t="default" r="1">
      <x/>
    </i>
    <i t="default">
      <x v="997"/>
    </i>
    <i>
      <x v="998"/>
      <x/>
      <x v="2"/>
    </i>
    <i r="2">
      <x v="116"/>
    </i>
    <i t="default" r="1">
      <x/>
    </i>
    <i t="default">
      <x v="998"/>
    </i>
    <i>
      <x v="999"/>
      <x/>
      <x v="105"/>
    </i>
    <i r="2">
      <x v="121"/>
    </i>
    <i r="2">
      <x v="123"/>
    </i>
    <i r="2">
      <x v="273"/>
    </i>
    <i t="default" r="1">
      <x/>
    </i>
    <i t="default">
      <x v="999"/>
    </i>
    <i>
      <x v="1000"/>
      <x/>
      <x v="98"/>
    </i>
    <i r="2">
      <x v="111"/>
    </i>
    <i r="2">
      <x v="121"/>
    </i>
    <i r="2">
      <x v="223"/>
    </i>
    <i t="default" r="1">
      <x/>
    </i>
    <i t="default">
      <x v="1000"/>
    </i>
    <i>
      <x v="1001"/>
      <x v="2"/>
      <x v="54"/>
    </i>
    <i r="2">
      <x v="113"/>
    </i>
    <i r="2">
      <x v="159"/>
    </i>
    <i r="2">
      <x v="254"/>
    </i>
    <i t="default" r="1">
      <x v="2"/>
    </i>
    <i t="default">
      <x v="1001"/>
    </i>
    <i>
      <x v="1002"/>
      <x/>
      <x v="258"/>
    </i>
    <i r="2">
      <x v="260"/>
    </i>
    <i t="default" r="1">
      <x/>
    </i>
    <i t="default">
      <x v="1002"/>
    </i>
    <i>
      <x v="1003"/>
      <x/>
      <x v="148"/>
    </i>
    <i t="default" r="1">
      <x/>
    </i>
    <i t="default">
      <x v="1003"/>
    </i>
    <i>
      <x v="1004"/>
      <x/>
      <x v="1"/>
    </i>
    <i r="2">
      <x v="26"/>
    </i>
    <i r="2">
      <x v="46"/>
    </i>
    <i t="default" r="1">
      <x/>
    </i>
    <i t="default">
      <x v="1004"/>
    </i>
    <i>
      <x v="1005"/>
      <x/>
      <x v="83"/>
    </i>
    <i r="2">
      <x v="99"/>
    </i>
    <i r="2">
      <x v="116"/>
    </i>
    <i r="2">
      <x v="123"/>
    </i>
    <i r="2">
      <x v="193"/>
    </i>
    <i t="default" r="1">
      <x/>
    </i>
    <i t="default">
      <x v="1005"/>
    </i>
    <i>
      <x v="1006"/>
      <x/>
      <x v="28"/>
    </i>
    <i r="2">
      <x v="81"/>
    </i>
    <i r="2">
      <x v="90"/>
    </i>
    <i r="2">
      <x v="116"/>
    </i>
    <i r="2">
      <x v="146"/>
    </i>
    <i t="default" r="1">
      <x/>
    </i>
    <i t="default">
      <x v="1006"/>
    </i>
    <i>
      <x v="1007"/>
      <x/>
      <x v="28"/>
    </i>
    <i r="2">
      <x v="106"/>
    </i>
    <i r="2">
      <x v="110"/>
    </i>
    <i t="default" r="1">
      <x/>
    </i>
    <i t="default">
      <x v="1007"/>
    </i>
    <i>
      <x v="1008"/>
      <x v="1"/>
      <x v="28"/>
    </i>
    <i r="2">
      <x v="97"/>
    </i>
    <i t="default" r="1">
      <x v="1"/>
    </i>
    <i t="default">
      <x v="1008"/>
    </i>
    <i>
      <x v="1009"/>
      <x/>
      <x v="119"/>
    </i>
    <i t="default" r="1">
      <x/>
    </i>
    <i t="default">
      <x v="1009"/>
    </i>
    <i>
      <x v="1010"/>
      <x v="2"/>
      <x v="46"/>
    </i>
    <i r="2">
      <x v="81"/>
    </i>
    <i r="2">
      <x v="116"/>
    </i>
    <i r="2">
      <x v="236"/>
    </i>
    <i t="default" r="1">
      <x v="2"/>
    </i>
    <i t="default">
      <x v="1010"/>
    </i>
    <i>
      <x v="1011"/>
      <x/>
      <x v="80"/>
    </i>
    <i r="2">
      <x v="254"/>
    </i>
    <i t="default" r="1">
      <x/>
    </i>
    <i t="default">
      <x v="1011"/>
    </i>
    <i>
      <x v="1012"/>
      <x/>
      <x v="122"/>
    </i>
    <i t="default" r="1">
      <x/>
    </i>
    <i t="default">
      <x v="1012"/>
    </i>
    <i>
      <x v="1013"/>
      <x/>
      <x v="1"/>
    </i>
    <i r="2">
      <x v="39"/>
    </i>
    <i r="2">
      <x v="98"/>
    </i>
    <i r="2">
      <x v="178"/>
    </i>
    <i t="default" r="1">
      <x/>
    </i>
    <i t="default">
      <x v="1013"/>
    </i>
    <i>
      <x v="1014"/>
      <x/>
      <x v="7"/>
    </i>
    <i r="2">
      <x v="55"/>
    </i>
    <i r="2">
      <x v="114"/>
    </i>
    <i r="2">
      <x v="136"/>
    </i>
    <i t="default" r="1">
      <x/>
    </i>
    <i t="default">
      <x v="1014"/>
    </i>
    <i>
      <x v="1015"/>
      <x v="1"/>
      <x v="28"/>
    </i>
    <i t="default" r="1">
      <x v="1"/>
    </i>
    <i t="default">
      <x v="1015"/>
    </i>
    <i>
      <x v="1016"/>
      <x/>
      <x v="3"/>
    </i>
    <i r="2">
      <x v="29"/>
    </i>
    <i r="2">
      <x v="54"/>
    </i>
    <i r="2">
      <x v="104"/>
    </i>
    <i r="2">
      <x v="237"/>
    </i>
    <i t="default" r="1">
      <x/>
    </i>
    <i t="default">
      <x v="1016"/>
    </i>
    <i>
      <x v="1017"/>
      <x/>
      <x v="28"/>
    </i>
    <i r="2">
      <x v="39"/>
    </i>
    <i r="2">
      <x v="245"/>
    </i>
    <i t="default" r="1">
      <x/>
    </i>
    <i t="default">
      <x v="1017"/>
    </i>
    <i>
      <x v="1018"/>
      <x/>
      <x v="91"/>
    </i>
    <i r="2">
      <x v="95"/>
    </i>
    <i r="2">
      <x v="137"/>
    </i>
    <i r="2">
      <x v="143"/>
    </i>
    <i t="default" r="1">
      <x/>
    </i>
    <i t="default">
      <x v="1018"/>
    </i>
    <i>
      <x v="1019"/>
      <x/>
      <x v="34"/>
    </i>
    <i r="2">
      <x v="83"/>
    </i>
    <i r="2">
      <x v="118"/>
    </i>
    <i r="2">
      <x v="202"/>
    </i>
    <i r="2">
      <x v="216"/>
    </i>
    <i t="default" r="1">
      <x/>
    </i>
    <i t="default">
      <x v="1019"/>
    </i>
    <i>
      <x v="1020"/>
      <x/>
      <x v="27"/>
    </i>
    <i r="2">
      <x v="184"/>
    </i>
    <i t="default" r="1">
      <x/>
    </i>
    <i t="default">
      <x v="1020"/>
    </i>
    <i>
      <x v="1021"/>
      <x/>
      <x v="99"/>
    </i>
    <i r="2">
      <x v="101"/>
    </i>
    <i r="2">
      <x v="123"/>
    </i>
    <i r="2">
      <x v="152"/>
    </i>
    <i t="default" r="1">
      <x/>
    </i>
    <i t="default">
      <x v="1021"/>
    </i>
    <i>
      <x v="1022"/>
      <x/>
      <x v="215"/>
    </i>
    <i r="2">
      <x v="245"/>
    </i>
    <i t="default" r="1">
      <x/>
    </i>
    <i t="default">
      <x v="1022"/>
    </i>
    <i>
      <x v="1023"/>
      <x/>
      <x v="36"/>
    </i>
    <i r="2">
      <x v="45"/>
    </i>
    <i r="2">
      <x v="128"/>
    </i>
    <i r="2">
      <x v="138"/>
    </i>
    <i r="2">
      <x v="245"/>
    </i>
    <i t="default" r="1">
      <x/>
    </i>
    <i t="default">
      <x v="1023"/>
    </i>
    <i>
      <x v="1024"/>
      <x/>
      <x v="34"/>
    </i>
    <i r="2">
      <x v="80"/>
    </i>
    <i r="2">
      <x v="125"/>
    </i>
    <i r="2">
      <x v="237"/>
    </i>
    <i r="2">
      <x v="262"/>
    </i>
    <i t="default" r="1">
      <x/>
    </i>
    <i t="default">
      <x v="1024"/>
    </i>
    <i>
      <x v="1025"/>
      <x v="2"/>
      <x v="261"/>
    </i>
    <i t="default" r="1">
      <x v="2"/>
    </i>
    <i t="default">
      <x v="1025"/>
    </i>
    <i>
      <x v="1026"/>
      <x/>
      <x v="26"/>
    </i>
    <i r="2">
      <x v="28"/>
    </i>
    <i t="default" r="1">
      <x/>
    </i>
    <i t="default">
      <x v="1026"/>
    </i>
    <i>
      <x v="1027"/>
      <x/>
      <x v="93"/>
    </i>
    <i r="2">
      <x v="117"/>
    </i>
    <i r="2">
      <x v="121"/>
    </i>
    <i r="2">
      <x v="127"/>
    </i>
    <i r="2">
      <x v="144"/>
    </i>
    <i t="default" r="1">
      <x/>
    </i>
    <i t="default">
      <x v="1027"/>
    </i>
    <i>
      <x v="1028"/>
      <x v="2"/>
      <x v="83"/>
    </i>
    <i r="2">
      <x v="116"/>
    </i>
    <i r="2">
      <x v="179"/>
    </i>
    <i r="2">
      <x v="216"/>
    </i>
    <i t="default" r="1">
      <x v="2"/>
    </i>
    <i t="default">
      <x v="1028"/>
    </i>
    <i>
      <x v="1029"/>
      <x/>
      <x v="111"/>
    </i>
    <i r="2">
      <x v="131"/>
    </i>
    <i r="2">
      <x v="144"/>
    </i>
    <i t="default" r="1">
      <x/>
    </i>
    <i t="default">
      <x v="1029"/>
    </i>
    <i>
      <x v="1030"/>
      <x v="2"/>
      <x v="117"/>
    </i>
    <i r="2">
      <x v="131"/>
    </i>
    <i t="default" r="1">
      <x v="2"/>
    </i>
    <i t="default">
      <x v="1030"/>
    </i>
    <i>
      <x v="1031"/>
      <x/>
      <x v="103"/>
    </i>
    <i r="2">
      <x v="122"/>
    </i>
    <i t="default" r="1">
      <x/>
    </i>
    <i t="default">
      <x v="1031"/>
    </i>
    <i>
      <x v="1032"/>
      <x/>
      <x v="81"/>
    </i>
    <i r="2">
      <x v="119"/>
    </i>
    <i r="2">
      <x v="131"/>
    </i>
    <i t="default" r="1">
      <x/>
    </i>
    <i t="default">
      <x v="1032"/>
    </i>
    <i>
      <x v="1033"/>
      <x/>
      <x v="7"/>
    </i>
    <i r="2">
      <x v="55"/>
    </i>
    <i r="2">
      <x v="146"/>
    </i>
    <i r="2">
      <x v="254"/>
    </i>
    <i t="default" r="1">
      <x/>
    </i>
    <i t="default">
      <x v="1033"/>
    </i>
    <i>
      <x v="1034"/>
      <x/>
      <x v="36"/>
    </i>
    <i t="default" r="1">
      <x/>
    </i>
    <i t="default">
      <x v="1034"/>
    </i>
    <i>
      <x v="1035"/>
      <x/>
      <x v="28"/>
    </i>
    <i r="2">
      <x v="72"/>
    </i>
    <i r="2">
      <x v="104"/>
    </i>
    <i r="2">
      <x v="123"/>
    </i>
    <i r="2">
      <x v="179"/>
    </i>
    <i t="default" r="1">
      <x/>
    </i>
    <i t="default">
      <x v="1035"/>
    </i>
    <i>
      <x v="1036"/>
      <x/>
      <x v="15"/>
    </i>
    <i r="2">
      <x v="94"/>
    </i>
    <i r="2">
      <x v="123"/>
    </i>
    <i r="2">
      <x v="124"/>
    </i>
    <i r="2">
      <x v="151"/>
    </i>
    <i t="default" r="1">
      <x/>
    </i>
    <i t="default">
      <x v="1036"/>
    </i>
    <i>
      <x v="1037"/>
      <x/>
      <x v="159"/>
    </i>
    <i r="2">
      <x v="160"/>
    </i>
    <i t="default" r="1">
      <x/>
    </i>
    <i t="default">
      <x v="1037"/>
    </i>
    <i>
      <x v="1038"/>
      <x/>
      <x v="104"/>
    </i>
    <i t="default" r="1">
      <x/>
    </i>
    <i t="default">
      <x v="1038"/>
    </i>
    <i>
      <x v="1039"/>
      <x v="2"/>
      <x v="39"/>
    </i>
    <i r="2">
      <x v="80"/>
    </i>
    <i r="2">
      <x v="131"/>
    </i>
    <i r="2">
      <x v="138"/>
    </i>
    <i r="2">
      <x v="254"/>
    </i>
    <i t="default" r="1">
      <x v="2"/>
    </i>
    <i t="default">
      <x v="1039"/>
    </i>
    <i>
      <x v="1040"/>
      <x/>
      <x v="96"/>
    </i>
    <i r="2">
      <x v="233"/>
    </i>
    <i r="2">
      <x v="237"/>
    </i>
    <i t="default" r="1">
      <x/>
    </i>
    <i t="default">
      <x v="1040"/>
    </i>
    <i>
      <x v="1041"/>
      <x/>
      <x v="27"/>
    </i>
    <i t="default" r="1">
      <x/>
    </i>
    <i t="default">
      <x v="1041"/>
    </i>
    <i>
      <x v="1042"/>
      <x/>
      <x v="83"/>
    </i>
    <i r="2">
      <x v="179"/>
    </i>
    <i t="default" r="1">
      <x/>
    </i>
    <i t="default">
      <x v="1042"/>
    </i>
    <i>
      <x v="1043"/>
      <x/>
      <x v="39"/>
    </i>
    <i t="default" r="1">
      <x/>
    </i>
    <i t="default">
      <x v="1043"/>
    </i>
    <i>
      <x v="1044"/>
      <x v="1"/>
      <x v="128"/>
    </i>
    <i r="2">
      <x v="138"/>
    </i>
    <i t="default" r="1">
      <x v="1"/>
    </i>
    <i t="default">
      <x v="1044"/>
    </i>
    <i>
      <x v="1045"/>
      <x v="1"/>
      <x v="93"/>
    </i>
    <i r="2">
      <x v="103"/>
    </i>
    <i r="2">
      <x v="113"/>
    </i>
    <i r="2">
      <x v="122"/>
    </i>
    <i r="2">
      <x v="207"/>
    </i>
    <i t="default" r="1">
      <x v="1"/>
    </i>
    <i t="default">
      <x v="1045"/>
    </i>
    <i>
      <x v="1046"/>
      <x v="1"/>
      <x v="112"/>
    </i>
    <i r="2">
      <x v="127"/>
    </i>
    <i r="2">
      <x v="138"/>
    </i>
    <i r="2">
      <x v="184"/>
    </i>
    <i t="default" r="1">
      <x v="1"/>
    </i>
    <i t="default">
      <x v="1046"/>
    </i>
    <i>
      <x v="1047"/>
      <x/>
      <x v="91"/>
    </i>
    <i r="2">
      <x v="96"/>
    </i>
    <i r="2">
      <x v="151"/>
    </i>
    <i t="default" r="1">
      <x/>
    </i>
    <i t="default">
      <x v="1047"/>
    </i>
    <i>
      <x v="1048"/>
      <x v="2"/>
      <x v="81"/>
    </i>
    <i r="2">
      <x v="144"/>
    </i>
    <i r="2">
      <x v="148"/>
    </i>
    <i r="2">
      <x v="151"/>
    </i>
    <i r="2">
      <x v="160"/>
    </i>
    <i t="default" r="1">
      <x v="2"/>
    </i>
    <i t="default">
      <x v="1048"/>
    </i>
    <i>
      <x v="1049"/>
      <x v="2"/>
      <x v="26"/>
    </i>
    <i r="2">
      <x v="36"/>
    </i>
    <i r="2">
      <x v="46"/>
    </i>
    <i r="2">
      <x v="98"/>
    </i>
    <i t="default" r="1">
      <x v="2"/>
    </i>
    <i t="default">
      <x v="1049"/>
    </i>
    <i>
      <x v="1050"/>
      <x/>
      <x v="99"/>
    </i>
    <i t="default" r="1">
      <x/>
    </i>
    <i t="default">
      <x v="1050"/>
    </i>
    <i>
      <x v="1051"/>
      <x/>
      <x v="81"/>
    </i>
    <i r="2">
      <x v="129"/>
    </i>
    <i r="2">
      <x v="261"/>
    </i>
    <i t="default" r="1">
      <x/>
    </i>
    <i t="default">
      <x v="1051"/>
    </i>
    <i>
      <x v="1052"/>
      <x/>
      <x v="27"/>
    </i>
    <i r="2">
      <x v="81"/>
    </i>
    <i r="2">
      <x v="114"/>
    </i>
    <i r="2">
      <x v="116"/>
    </i>
    <i r="2">
      <x v="184"/>
    </i>
    <i t="default" r="1">
      <x/>
    </i>
    <i t="default">
      <x v="1052"/>
    </i>
    <i>
      <x v="1053"/>
      <x/>
      <x v="81"/>
    </i>
    <i r="2">
      <x v="148"/>
    </i>
    <i t="default" r="1">
      <x/>
    </i>
    <i t="default">
      <x v="1053"/>
    </i>
    <i>
      <x v="1054"/>
      <x/>
      <x v="55"/>
    </i>
    <i r="2">
      <x v="72"/>
    </i>
    <i r="2">
      <x v="122"/>
    </i>
    <i r="2">
      <x v="159"/>
    </i>
    <i r="2">
      <x v="215"/>
    </i>
    <i t="default" r="1">
      <x/>
    </i>
    <i t="default">
      <x v="1054"/>
    </i>
    <i>
      <x v="1055"/>
      <x/>
      <x v="151"/>
    </i>
    <i t="default" r="1">
      <x/>
    </i>
    <i t="default">
      <x v="1055"/>
    </i>
    <i>
      <x v="1056"/>
      <x/>
      <x v="39"/>
    </i>
    <i r="2">
      <x v="45"/>
    </i>
    <i r="2">
      <x v="130"/>
    </i>
    <i t="default" r="1">
      <x/>
    </i>
    <i t="default">
      <x v="1056"/>
    </i>
    <i>
      <x v="1057"/>
      <x/>
      <x v="129"/>
    </i>
    <i r="2">
      <x v="215"/>
    </i>
    <i r="2">
      <x v="273"/>
    </i>
    <i t="default" r="1">
      <x/>
    </i>
    <i t="default">
      <x v="1057"/>
    </i>
    <i>
      <x v="1058"/>
      <x/>
      <x v="7"/>
    </i>
    <i r="2">
      <x v="99"/>
    </i>
    <i r="2">
      <x v="261"/>
    </i>
    <i t="default" r="1">
      <x/>
    </i>
    <i t="default">
      <x v="1058"/>
    </i>
    <i>
      <x v="1059"/>
      <x/>
      <x v="137"/>
    </i>
    <i r="2">
      <x v="146"/>
    </i>
    <i r="2">
      <x v="233"/>
    </i>
    <i r="2">
      <x v="261"/>
    </i>
    <i t="default" r="1">
      <x/>
    </i>
    <i t="default">
      <x v="1059"/>
    </i>
    <i>
      <x v="1060"/>
      <x/>
      <x v="26"/>
    </i>
    <i r="2">
      <x v="105"/>
    </i>
    <i t="default" r="1">
      <x/>
    </i>
    <i t="default">
      <x v="1060"/>
    </i>
    <i>
      <x v="1061"/>
      <x/>
      <x v="7"/>
    </i>
    <i r="2">
      <x v="72"/>
    </i>
    <i r="2">
      <x v="101"/>
    </i>
    <i r="2">
      <x v="121"/>
    </i>
    <i t="default" r="1">
      <x/>
    </i>
    <i t="default">
      <x v="1061"/>
    </i>
    <i>
      <x v="1062"/>
      <x v="1"/>
      <x v="54"/>
    </i>
    <i r="2">
      <x v="111"/>
    </i>
    <i r="2">
      <x v="152"/>
    </i>
    <i t="default" r="1">
      <x v="1"/>
    </i>
    <i t="default">
      <x v="1062"/>
    </i>
    <i>
      <x v="1063"/>
      <x v="1"/>
      <x v="104"/>
    </i>
    <i r="2">
      <x v="184"/>
    </i>
    <i t="default" r="1">
      <x v="1"/>
    </i>
    <i t="default">
      <x v="1063"/>
    </i>
    <i>
      <x v="1064"/>
      <x/>
      <x v="129"/>
    </i>
    <i r="2">
      <x v="158"/>
    </i>
    <i r="2">
      <x v="201"/>
    </i>
    <i t="default" r="1">
      <x/>
    </i>
    <i t="default">
      <x v="1064"/>
    </i>
    <i>
      <x v="1065"/>
      <x/>
      <x v="34"/>
    </i>
    <i r="2">
      <x v="72"/>
    </i>
    <i r="2">
      <x v="99"/>
    </i>
    <i t="default" r="1">
      <x/>
    </i>
    <i t="default">
      <x v="1065"/>
    </i>
    <i>
      <x v="1066"/>
      <x/>
      <x v="15"/>
    </i>
    <i r="2">
      <x v="111"/>
    </i>
    <i r="2">
      <x v="136"/>
    </i>
    <i r="2">
      <x v="160"/>
    </i>
    <i t="default" r="1">
      <x/>
    </i>
    <i t="default">
      <x v="1066"/>
    </i>
    <i>
      <x v="1067"/>
      <x/>
      <x v="3"/>
    </i>
    <i r="2">
      <x v="98"/>
    </i>
    <i r="2">
      <x v="184"/>
    </i>
    <i r="2">
      <x v="234"/>
    </i>
    <i t="default" r="1">
      <x/>
    </i>
    <i t="default">
      <x v="1067"/>
    </i>
    <i>
      <x v="1068"/>
      <x/>
      <x v="95"/>
    </i>
    <i r="2">
      <x v="119"/>
    </i>
    <i t="default" r="1">
      <x/>
    </i>
    <i t="default">
      <x v="1068"/>
    </i>
    <i>
      <x v="1069"/>
      <x/>
      <x v="96"/>
    </i>
    <i r="2">
      <x v="104"/>
    </i>
    <i r="2">
      <x v="120"/>
    </i>
    <i t="default" r="1">
      <x/>
    </i>
    <i t="default">
      <x v="1069"/>
    </i>
    <i>
      <x v="1070"/>
      <x v="1"/>
      <x v="79"/>
    </i>
    <i t="default" r="1">
      <x v="1"/>
    </i>
    <i t="default">
      <x v="1070"/>
    </i>
    <i>
      <x v="1071"/>
      <x v="2"/>
      <x v="148"/>
    </i>
    <i r="2">
      <x v="159"/>
    </i>
    <i r="2">
      <x v="237"/>
    </i>
    <i t="default" r="1">
      <x v="2"/>
    </i>
    <i t="default">
      <x v="1071"/>
    </i>
    <i>
      <x v="1072"/>
      <x/>
      <x v="1"/>
    </i>
    <i r="2">
      <x v="7"/>
    </i>
    <i r="2">
      <x v="83"/>
    </i>
    <i t="default" r="1">
      <x/>
    </i>
    <i t="default">
      <x v="1072"/>
    </i>
    <i>
      <x v="1073"/>
      <x/>
      <x v="178"/>
    </i>
    <i r="2">
      <x v="234"/>
    </i>
    <i r="2">
      <x v="237"/>
    </i>
    <i t="default" r="1">
      <x/>
    </i>
    <i t="default">
      <x v="1073"/>
    </i>
    <i>
      <x v="1074"/>
      <x v="2"/>
      <x v="121"/>
    </i>
    <i r="2">
      <x v="201"/>
    </i>
    <i t="default" r="1">
      <x v="2"/>
    </i>
    <i t="default">
      <x v="1074"/>
    </i>
    <i>
      <x v="1075"/>
      <x/>
      <x v="28"/>
    </i>
    <i r="2">
      <x v="80"/>
    </i>
    <i r="2">
      <x v="114"/>
    </i>
    <i t="default" r="1">
      <x/>
    </i>
    <i t="default">
      <x v="1075"/>
    </i>
    <i>
      <x v="1076"/>
      <x/>
      <x v="122"/>
    </i>
    <i t="default" r="1">
      <x/>
    </i>
    <i t="default">
      <x v="1076"/>
    </i>
    <i>
      <x v="1077"/>
      <x/>
      <x v="28"/>
    </i>
    <i r="2">
      <x v="34"/>
    </i>
    <i r="2">
      <x v="111"/>
    </i>
    <i r="2">
      <x v="122"/>
    </i>
    <i r="2">
      <x v="144"/>
    </i>
    <i t="default" r="1">
      <x/>
    </i>
    <i t="default">
      <x v="1077"/>
    </i>
    <i>
      <x v="1078"/>
      <x/>
      <x v="2"/>
    </i>
    <i t="default" r="1">
      <x/>
    </i>
    <i t="default">
      <x v="1078"/>
    </i>
    <i>
      <x v="1079"/>
      <x/>
      <x v="150"/>
    </i>
    <i r="2">
      <x v="207"/>
    </i>
    <i r="2">
      <x v="216"/>
    </i>
    <i r="2">
      <x v="217"/>
    </i>
    <i r="2">
      <x v="259"/>
    </i>
    <i t="default" r="1">
      <x/>
    </i>
    <i t="default">
      <x v="1079"/>
    </i>
    <i>
      <x v="1080"/>
      <x/>
      <x v="143"/>
    </i>
    <i t="default" r="1">
      <x/>
    </i>
    <i t="default">
      <x v="1080"/>
    </i>
    <i>
      <x v="1081"/>
      <x/>
      <x v="273"/>
    </i>
    <i t="default" r="1">
      <x/>
    </i>
    <i t="default">
      <x v="1081"/>
    </i>
    <i>
      <x v="1082"/>
      <x/>
      <x v="29"/>
    </i>
    <i r="2">
      <x v="123"/>
    </i>
    <i r="2">
      <x v="152"/>
    </i>
    <i r="2">
      <x v="233"/>
    </i>
    <i t="default" r="1">
      <x/>
    </i>
    <i t="default">
      <x v="1082"/>
    </i>
    <i>
      <x v="1083"/>
      <x v="2"/>
      <x v="2"/>
    </i>
    <i r="2">
      <x v="45"/>
    </i>
    <i r="2">
      <x v="122"/>
    </i>
    <i r="2">
      <x v="123"/>
    </i>
    <i r="2">
      <x v="137"/>
    </i>
    <i t="default" r="1">
      <x v="2"/>
    </i>
    <i t="default">
      <x v="1083"/>
    </i>
    <i>
      <x v="1084"/>
      <x v="2"/>
      <x v="15"/>
    </i>
    <i r="2">
      <x v="80"/>
    </i>
    <i r="2">
      <x v="125"/>
    </i>
    <i t="default" r="1">
      <x v="2"/>
    </i>
    <i t="default">
      <x v="1084"/>
    </i>
    <i>
      <x v="1085"/>
      <x/>
      <x v="1"/>
    </i>
    <i r="2">
      <x v="101"/>
    </i>
    <i r="2">
      <x v="117"/>
    </i>
    <i r="2">
      <x v="126"/>
    </i>
    <i r="2">
      <x v="144"/>
    </i>
    <i t="default" r="1">
      <x/>
    </i>
    <i t="default">
      <x v="1085"/>
    </i>
    <i>
      <x v="1086"/>
      <x v="1"/>
      <x v="7"/>
    </i>
    <i r="2">
      <x v="34"/>
    </i>
    <i r="2">
      <x v="80"/>
    </i>
    <i r="2">
      <x v="119"/>
    </i>
    <i r="2">
      <x v="178"/>
    </i>
    <i t="default" r="1">
      <x v="1"/>
    </i>
    <i t="default">
      <x v="1086"/>
    </i>
    <i>
      <x v="1087"/>
      <x v="1"/>
      <x v="80"/>
    </i>
    <i r="2">
      <x v="137"/>
    </i>
    <i r="2">
      <x v="148"/>
    </i>
    <i r="2">
      <x v="152"/>
    </i>
    <i t="default" r="1">
      <x v="1"/>
    </i>
    <i t="default">
      <x v="1087"/>
    </i>
    <i>
      <x v="1088"/>
      <x v="2"/>
      <x v="2"/>
    </i>
    <i r="2">
      <x v="137"/>
    </i>
    <i t="default" r="1">
      <x v="2"/>
    </i>
    <i t="default">
      <x v="1088"/>
    </i>
    <i>
      <x v="1089"/>
      <x v="2"/>
      <x v="15"/>
    </i>
    <i t="default" r="1">
      <x v="2"/>
    </i>
    <i t="default">
      <x v="1089"/>
    </i>
    <i>
      <x v="1090"/>
      <x/>
      <x v="39"/>
    </i>
    <i r="2">
      <x v="105"/>
    </i>
    <i r="2">
      <x v="193"/>
    </i>
    <i t="default" r="1">
      <x/>
    </i>
    <i t="default">
      <x v="1090"/>
    </i>
    <i>
      <x v="1091"/>
      <x v="2"/>
      <x v="104"/>
    </i>
    <i r="2">
      <x v="106"/>
    </i>
    <i r="2">
      <x v="137"/>
    </i>
    <i r="2">
      <x v="258"/>
    </i>
    <i t="default" r="1">
      <x v="2"/>
    </i>
    <i t="default">
      <x v="1091"/>
    </i>
    <i>
      <x v="1092"/>
      <x v="2"/>
      <x v="98"/>
    </i>
    <i r="2">
      <x v="103"/>
    </i>
    <i r="2">
      <x v="239"/>
    </i>
    <i t="default" r="1">
      <x v="2"/>
    </i>
    <i t="default">
      <x v="1092"/>
    </i>
    <i>
      <x v="1093"/>
      <x/>
      <x v="72"/>
    </i>
    <i r="2">
      <x v="110"/>
    </i>
    <i r="2">
      <x v="118"/>
    </i>
    <i r="2">
      <x v="146"/>
    </i>
    <i t="default" r="1">
      <x/>
    </i>
    <i t="default">
      <x v="1093"/>
    </i>
    <i>
      <x v="1094"/>
      <x v="1"/>
      <x v="34"/>
    </i>
    <i r="2">
      <x v="112"/>
    </i>
    <i r="2">
      <x v="150"/>
    </i>
    <i r="2">
      <x v="151"/>
    </i>
    <i r="2">
      <x v="259"/>
    </i>
    <i t="default" r="1">
      <x v="1"/>
    </i>
    <i t="default">
      <x v="1094"/>
    </i>
    <i>
      <x v="1095"/>
      <x v="2"/>
      <x v="146"/>
    </i>
    <i t="default" r="1">
      <x v="2"/>
    </i>
    <i t="default">
      <x v="1095"/>
    </i>
    <i>
      <x v="1096"/>
      <x/>
      <x v="45"/>
    </i>
    <i r="2">
      <x v="46"/>
    </i>
    <i r="2">
      <x v="105"/>
    </i>
    <i r="2">
      <x v="116"/>
    </i>
    <i r="2">
      <x v="127"/>
    </i>
    <i t="default" r="1">
      <x/>
    </i>
    <i t="default">
      <x v="1096"/>
    </i>
    <i>
      <x v="1097"/>
      <x v="2"/>
      <x v="236"/>
    </i>
    <i t="default" r="1">
      <x v="2"/>
    </i>
    <i t="default">
      <x v="1097"/>
    </i>
    <i>
      <x v="1098"/>
      <x/>
      <x v="7"/>
    </i>
    <i r="2">
      <x v="80"/>
    </i>
    <i r="2">
      <x v="99"/>
    </i>
    <i r="2">
      <x v="237"/>
    </i>
    <i t="default" r="1">
      <x/>
    </i>
    <i t="default">
      <x v="1098"/>
    </i>
    <i>
      <x v="1099"/>
      <x/>
      <x v="72"/>
    </i>
    <i r="2">
      <x v="160"/>
    </i>
    <i t="default" r="1">
      <x/>
    </i>
    <i t="default">
      <x v="1099"/>
    </i>
    <i>
      <x v="1100"/>
      <x/>
      <x v="130"/>
    </i>
    <i r="2">
      <x v="260"/>
    </i>
    <i t="default" r="1">
      <x/>
    </i>
    <i t="default">
      <x v="1100"/>
    </i>
    <i>
      <x v="1101"/>
      <x/>
      <x v="245"/>
    </i>
    <i t="default" r="1">
      <x/>
    </i>
    <i t="default">
      <x v="1101"/>
    </i>
    <i>
      <x v="1102"/>
      <x/>
      <x v="99"/>
    </i>
    <i r="2">
      <x v="116"/>
    </i>
    <i t="default" r="1">
      <x/>
    </i>
    <i t="default">
      <x v="1102"/>
    </i>
    <i>
      <x v="1103"/>
      <x/>
      <x v="2"/>
    </i>
    <i r="2">
      <x v="103"/>
    </i>
    <i r="2">
      <x v="115"/>
    </i>
    <i r="2">
      <x v="215"/>
    </i>
    <i t="default" r="1">
      <x/>
    </i>
    <i t="default">
      <x v="1103"/>
    </i>
    <i>
      <x v="1104"/>
      <x v="1"/>
      <x v="122"/>
    </i>
    <i r="2">
      <x v="127"/>
    </i>
    <i r="2">
      <x v="193"/>
    </i>
    <i t="default" r="1">
      <x v="1"/>
    </i>
    <i t="default">
      <x v="1104"/>
    </i>
    <i>
      <x v="1105"/>
      <x/>
      <x v="36"/>
    </i>
    <i t="default" r="1">
      <x/>
    </i>
    <i t="default">
      <x v="1105"/>
    </i>
    <i>
      <x v="1106"/>
      <x/>
      <x v="93"/>
    </i>
    <i r="2">
      <x v="215"/>
    </i>
    <i t="default" r="1">
      <x/>
    </i>
    <i t="default">
      <x v="1106"/>
    </i>
    <i>
      <x v="1107"/>
      <x v="2"/>
      <x v="54"/>
    </i>
    <i r="2">
      <x v="98"/>
    </i>
    <i r="2">
      <x v="130"/>
    </i>
    <i t="default" r="1">
      <x v="2"/>
    </i>
    <i t="default">
      <x v="1107"/>
    </i>
    <i>
      <x v="1108"/>
      <x/>
      <x v="111"/>
    </i>
    <i t="default" r="1">
      <x/>
    </i>
    <i t="default">
      <x v="1108"/>
    </i>
    <i>
      <x v="1109"/>
      <x/>
      <x v="193"/>
    </i>
    <i t="default" r="1">
      <x/>
    </i>
    <i t="default">
      <x v="1109"/>
    </i>
    <i>
      <x v="1110"/>
      <x/>
      <x v="26"/>
    </i>
    <i r="2">
      <x v="28"/>
    </i>
    <i r="2">
      <x v="72"/>
    </i>
    <i r="2">
      <x v="125"/>
    </i>
    <i t="default" r="1">
      <x/>
    </i>
    <i t="default">
      <x v="1110"/>
    </i>
    <i>
      <x v="1111"/>
      <x/>
      <x v="101"/>
    </i>
    <i r="2">
      <x v="110"/>
    </i>
    <i r="2">
      <x v="160"/>
    </i>
    <i r="2">
      <x v="209"/>
    </i>
    <i r="2">
      <x v="234"/>
    </i>
    <i t="default" r="1">
      <x/>
    </i>
    <i t="default">
      <x v="1111"/>
    </i>
    <i>
      <x v="1112"/>
      <x/>
      <x v="116"/>
    </i>
    <i t="default" r="1">
      <x/>
    </i>
    <i t="default">
      <x v="1112"/>
    </i>
    <i>
      <x v="1113"/>
      <x/>
      <x v="143"/>
    </i>
    <i t="default" r="1">
      <x/>
    </i>
    <i t="default">
      <x v="1113"/>
    </i>
    <i>
      <x v="1114"/>
      <x/>
      <x v="39"/>
    </i>
    <i r="2">
      <x v="184"/>
    </i>
    <i r="2">
      <x v="245"/>
    </i>
    <i r="2">
      <x v="259"/>
    </i>
    <i t="default" r="1">
      <x/>
    </i>
    <i t="default">
      <x v="1114"/>
    </i>
    <i>
      <x v="1115"/>
      <x/>
      <x v="146"/>
    </i>
    <i t="default" r="1">
      <x/>
    </i>
    <i t="default">
      <x v="1115"/>
    </i>
    <i>
      <x v="1116"/>
      <x/>
      <x v="91"/>
    </i>
    <i r="2">
      <x v="245"/>
    </i>
    <i r="2">
      <x v="260"/>
    </i>
    <i t="default" r="1">
      <x/>
    </i>
    <i t="default">
      <x v="1116"/>
    </i>
    <i>
      <x v="1117"/>
      <x/>
      <x v="179"/>
    </i>
    <i r="2">
      <x v="256"/>
    </i>
    <i r="2">
      <x v="259"/>
    </i>
    <i r="2">
      <x v="273"/>
    </i>
    <i t="default" r="1">
      <x/>
    </i>
    <i t="default">
      <x v="1117"/>
    </i>
    <i>
      <x v="1118"/>
      <x v="2"/>
      <x v="95"/>
    </i>
    <i r="2">
      <x v="128"/>
    </i>
    <i r="2">
      <x v="179"/>
    </i>
    <i t="default" r="1">
      <x v="2"/>
    </i>
    <i t="default">
      <x v="1118"/>
    </i>
    <i>
      <x v="1119"/>
      <x/>
      <x v="94"/>
    </i>
    <i r="2">
      <x v="95"/>
    </i>
    <i r="2">
      <x v="96"/>
    </i>
    <i r="2">
      <x v="137"/>
    </i>
    <i r="2">
      <x v="150"/>
    </i>
    <i t="default" r="1">
      <x/>
    </i>
    <i t="default">
      <x v="1119"/>
    </i>
    <i>
      <x v="1120"/>
      <x/>
      <x v="120"/>
    </i>
    <i r="2">
      <x v="146"/>
    </i>
    <i t="default" r="1">
      <x/>
    </i>
    <i t="default">
      <x v="1120"/>
    </i>
    <i>
      <x v="1121"/>
      <x/>
      <x v="93"/>
    </i>
    <i r="2">
      <x v="111"/>
    </i>
    <i r="2">
      <x v="140"/>
    </i>
    <i r="2">
      <x v="160"/>
    </i>
    <i r="2">
      <x v="184"/>
    </i>
    <i t="default" r="1">
      <x/>
    </i>
    <i t="default">
      <x v="1121"/>
    </i>
    <i>
      <x v="1122"/>
      <x/>
      <x v="123"/>
    </i>
    <i r="2">
      <x v="233"/>
    </i>
    <i t="default" r="1">
      <x/>
    </i>
    <i t="default">
      <x v="1122"/>
    </i>
    <i>
      <x v="1123"/>
      <x v="1"/>
      <x v="98"/>
    </i>
    <i r="2">
      <x v="106"/>
    </i>
    <i r="2">
      <x v="119"/>
    </i>
    <i r="2">
      <x v="136"/>
    </i>
    <i r="2">
      <x v="261"/>
    </i>
    <i t="default" r="1">
      <x v="1"/>
    </i>
    <i t="default">
      <x v="1123"/>
    </i>
    <i>
      <x v="1124"/>
      <x/>
      <x v="1"/>
    </i>
    <i r="2">
      <x v="7"/>
    </i>
    <i r="2">
      <x v="72"/>
    </i>
    <i r="2">
      <x v="81"/>
    </i>
    <i r="2">
      <x v="207"/>
    </i>
    <i t="default" r="1">
      <x/>
    </i>
    <i t="default">
      <x v="1124"/>
    </i>
    <i>
      <x v="1125"/>
      <x v="1"/>
      <x v="152"/>
    </i>
    <i r="2">
      <x v="223"/>
    </i>
    <i r="2">
      <x v="237"/>
    </i>
    <i t="default" r="1">
      <x v="1"/>
    </i>
    <i t="default">
      <x v="1125"/>
    </i>
    <i>
      <x v="1126"/>
      <x/>
      <x v="27"/>
    </i>
    <i r="2">
      <x v="36"/>
    </i>
    <i r="2">
      <x v="91"/>
    </i>
    <i t="default" r="1">
      <x/>
    </i>
    <i t="default">
      <x v="1126"/>
    </i>
    <i>
      <x v="1127"/>
      <x/>
      <x v="97"/>
    </i>
    <i r="2">
      <x v="123"/>
    </i>
    <i r="2">
      <x v="144"/>
    </i>
    <i t="default" r="1">
      <x/>
    </i>
    <i t="default">
      <x v="1127"/>
    </i>
    <i>
      <x v="1128"/>
      <x/>
      <x v="110"/>
    </i>
    <i r="2">
      <x v="193"/>
    </i>
    <i r="2">
      <x v="233"/>
    </i>
    <i t="default" r="1">
      <x/>
    </i>
    <i t="default">
      <x v="1128"/>
    </i>
    <i>
      <x v="1129"/>
      <x v="2"/>
      <x v="189"/>
    </i>
    <i t="default" r="1">
      <x v="2"/>
    </i>
    <i t="default">
      <x v="1129"/>
    </i>
    <i>
      <x v="1130"/>
      <x v="2"/>
      <x v="122"/>
    </i>
    <i r="2">
      <x v="129"/>
    </i>
    <i t="default" r="1">
      <x v="2"/>
    </i>
    <i t="default">
      <x v="1130"/>
    </i>
    <i>
      <x v="1131"/>
      <x/>
      <x v="81"/>
    </i>
    <i r="2">
      <x v="144"/>
    </i>
    <i r="2">
      <x v="148"/>
    </i>
    <i r="2">
      <x v="215"/>
    </i>
    <i t="default" r="1">
      <x/>
    </i>
    <i t="default">
      <x v="1131"/>
    </i>
    <i>
      <x v="1132"/>
      <x/>
      <x v="103"/>
    </i>
    <i r="2">
      <x v="156"/>
    </i>
    <i r="2">
      <x v="212"/>
    </i>
    <i r="2">
      <x v="239"/>
    </i>
    <i t="default" r="1">
      <x/>
    </i>
    <i t="default">
      <x v="1132"/>
    </i>
    <i>
      <x v="1133"/>
      <x/>
      <x v="39"/>
    </i>
    <i r="2">
      <x v="148"/>
    </i>
    <i t="default" r="1">
      <x/>
    </i>
    <i t="default">
      <x v="1133"/>
    </i>
    <i>
      <x v="1134"/>
      <x/>
      <x v="55"/>
    </i>
    <i r="2">
      <x v="260"/>
    </i>
    <i t="default" r="1">
      <x/>
    </i>
    <i t="default">
      <x v="1134"/>
    </i>
    <i>
      <x v="1135"/>
      <x/>
      <x v="130"/>
    </i>
    <i t="default" r="1">
      <x/>
    </i>
    <i t="default">
      <x v="1135"/>
    </i>
    <i>
      <x v="1136"/>
      <x v="1"/>
      <x v="118"/>
    </i>
    <i r="2">
      <x v="124"/>
    </i>
    <i r="2">
      <x v="138"/>
    </i>
    <i r="2">
      <x v="223"/>
    </i>
    <i t="default" r="1">
      <x v="1"/>
    </i>
    <i t="default">
      <x v="1136"/>
    </i>
    <i>
      <x v="1137"/>
      <x v="2"/>
      <x v="7"/>
    </i>
    <i r="2">
      <x v="95"/>
    </i>
    <i r="2">
      <x v="130"/>
    </i>
    <i t="default" r="1">
      <x v="2"/>
    </i>
    <i t="default">
      <x v="1137"/>
    </i>
    <i>
      <x v="1138"/>
      <x v="2"/>
      <x v="79"/>
    </i>
    <i r="2">
      <x v="97"/>
    </i>
    <i r="2">
      <x v="116"/>
    </i>
    <i r="2">
      <x v="118"/>
    </i>
    <i r="2">
      <x v="261"/>
    </i>
    <i t="default" r="1">
      <x v="2"/>
    </i>
    <i t="default">
      <x v="1138"/>
    </i>
    <i>
      <x v="1139"/>
      <x v="1"/>
      <x v="92"/>
    </i>
    <i r="2">
      <x v="110"/>
    </i>
    <i r="2">
      <x v="216"/>
    </i>
    <i r="2">
      <x v="262"/>
    </i>
    <i t="default" r="1">
      <x v="1"/>
    </i>
    <i t="default">
      <x v="1139"/>
    </i>
    <i>
      <x v="1140"/>
      <x v="2"/>
      <x v="254"/>
    </i>
    <i t="default" r="1">
      <x v="2"/>
    </i>
    <i t="default">
      <x v="1140"/>
    </i>
    <i>
      <x v="1141"/>
      <x v="2"/>
      <x v="54"/>
    </i>
    <i r="2">
      <x v="83"/>
    </i>
    <i r="2">
      <x v="117"/>
    </i>
    <i r="2">
      <x v="119"/>
    </i>
    <i r="2">
      <x v="137"/>
    </i>
    <i t="default" r="1">
      <x v="2"/>
    </i>
    <i t="default">
      <x v="1141"/>
    </i>
    <i>
      <x v="1142"/>
      <x v="2"/>
      <x v="46"/>
    </i>
    <i r="2">
      <x v="118"/>
    </i>
    <i r="2">
      <x v="201"/>
    </i>
    <i t="default" r="1">
      <x v="2"/>
    </i>
    <i t="default">
      <x v="1142"/>
    </i>
    <i>
      <x v="1143"/>
      <x/>
      <x v="236"/>
    </i>
    <i t="default" r="1">
      <x/>
    </i>
    <i t="default">
      <x v="1143"/>
    </i>
    <i>
      <x v="1144"/>
      <x/>
      <x v="130"/>
    </i>
    <i t="default" r="1">
      <x/>
    </i>
    <i t="default">
      <x v="1144"/>
    </i>
    <i>
      <x v="1145"/>
      <x/>
      <x v="80"/>
    </i>
    <i r="2">
      <x v="146"/>
    </i>
    <i r="2">
      <x v="148"/>
    </i>
    <i t="default" r="1">
      <x/>
    </i>
    <i t="default">
      <x v="1145"/>
    </i>
    <i>
      <x v="1146"/>
      <x/>
      <x v="3"/>
    </i>
    <i r="2">
      <x v="262"/>
    </i>
    <i t="default" r="1">
      <x/>
    </i>
    <i t="default">
      <x v="1146"/>
    </i>
    <i>
      <x v="1147"/>
      <x/>
      <x v="3"/>
    </i>
    <i r="2">
      <x v="26"/>
    </i>
    <i r="2">
      <x v="29"/>
    </i>
    <i r="2">
      <x v="96"/>
    </i>
    <i t="default" r="1">
      <x/>
    </i>
    <i t="default">
      <x v="1147"/>
    </i>
    <i>
      <x v="1148"/>
      <x/>
      <x v="45"/>
    </i>
    <i r="2">
      <x v="90"/>
    </i>
    <i r="2">
      <x v="96"/>
    </i>
    <i r="2">
      <x v="201"/>
    </i>
    <i r="2">
      <x v="223"/>
    </i>
    <i t="default" r="1">
      <x/>
    </i>
    <i t="default">
      <x v="1148"/>
    </i>
    <i>
      <x v="1149"/>
      <x/>
      <x v="7"/>
    </i>
    <i r="2">
      <x v="128"/>
    </i>
    <i r="2">
      <x v="245"/>
    </i>
    <i r="2">
      <x v="273"/>
    </i>
    <i t="default" r="1">
      <x/>
    </i>
    <i t="default">
      <x v="1149"/>
    </i>
    <i>
      <x v="1150"/>
      <x v="2"/>
      <x v="137"/>
    </i>
    <i t="default" r="1">
      <x v="2"/>
    </i>
    <i t="default">
      <x v="1150"/>
    </i>
    <i>
      <x v="1151"/>
      <x/>
      <x v="72"/>
    </i>
    <i r="2">
      <x v="223"/>
    </i>
    <i r="2">
      <x v="245"/>
    </i>
    <i t="default" r="1">
      <x/>
    </i>
    <i t="default">
      <x v="1151"/>
    </i>
    <i>
      <x v="1152"/>
      <x/>
      <x v="129"/>
    </i>
    <i r="2">
      <x v="136"/>
    </i>
    <i t="default" r="1">
      <x/>
    </i>
    <i t="default">
      <x v="1152"/>
    </i>
    <i>
      <x v="1153"/>
      <x/>
      <x v="103"/>
    </i>
    <i r="2">
      <x v="122"/>
    </i>
    <i r="2">
      <x v="126"/>
    </i>
    <i t="default" r="1">
      <x/>
    </i>
    <i t="default">
      <x v="1153"/>
    </i>
    <i>
      <x v="1154"/>
      <x/>
      <x v="29"/>
    </i>
    <i r="2">
      <x v="116"/>
    </i>
    <i r="2">
      <x v="127"/>
    </i>
    <i r="2">
      <x v="136"/>
    </i>
    <i t="default" r="1">
      <x/>
    </i>
    <i t="default">
      <x v="1154"/>
    </i>
    <i>
      <x v="1155"/>
      <x/>
      <x v="121"/>
    </i>
    <i r="2">
      <x v="217"/>
    </i>
    <i t="default" r="1">
      <x/>
    </i>
    <i t="default">
      <x v="1155"/>
    </i>
    <i>
      <x v="1156"/>
      <x v="2"/>
      <x v="83"/>
    </i>
    <i r="2">
      <x v="91"/>
    </i>
    <i r="2">
      <x v="93"/>
    </i>
    <i r="2">
      <x v="150"/>
    </i>
    <i t="default" r="1">
      <x v="2"/>
    </i>
    <i t="default">
      <x v="1156"/>
    </i>
    <i>
      <x v="1157"/>
      <x v="2"/>
      <x v="15"/>
    </i>
    <i r="2">
      <x v="28"/>
    </i>
    <i t="default" r="1">
      <x v="2"/>
    </i>
    <i t="default">
      <x v="1157"/>
    </i>
    <i>
      <x v="1158"/>
      <x v="2"/>
      <x v="72"/>
    </i>
    <i t="default" r="1">
      <x v="2"/>
    </i>
    <i t="default">
      <x v="1158"/>
    </i>
    <i>
      <x v="1159"/>
      <x v="2"/>
      <x v="93"/>
    </i>
    <i r="2">
      <x v="160"/>
    </i>
    <i t="default" r="1">
      <x v="2"/>
    </i>
    <i t="default">
      <x v="1159"/>
    </i>
    <i>
      <x v="1160"/>
      <x/>
      <x v="26"/>
    </i>
    <i r="2">
      <x v="92"/>
    </i>
    <i r="2">
      <x v="110"/>
    </i>
    <i r="2">
      <x v="273"/>
    </i>
    <i t="default" r="1">
      <x/>
    </i>
    <i t="default">
      <x v="1160"/>
    </i>
    <i>
      <x v="1161"/>
      <x/>
      <x v="72"/>
    </i>
    <i r="2">
      <x v="93"/>
    </i>
    <i r="2">
      <x v="216"/>
    </i>
    <i r="2">
      <x v="217"/>
    </i>
    <i r="2">
      <x v="236"/>
    </i>
    <i t="default" r="1">
      <x/>
    </i>
    <i t="default">
      <x v="1161"/>
    </i>
    <i>
      <x v="1162"/>
      <x/>
      <x v="140"/>
    </i>
    <i r="2">
      <x v="158"/>
    </i>
    <i t="default" r="1">
      <x/>
    </i>
    <i t="default">
      <x v="1162"/>
    </i>
    <i>
      <x v="1163"/>
      <x/>
      <x v="97"/>
    </i>
    <i r="2">
      <x v="112"/>
    </i>
    <i r="2">
      <x v="129"/>
    </i>
    <i r="2">
      <x v="254"/>
    </i>
    <i t="default" r="1">
      <x/>
    </i>
    <i t="default">
      <x v="1163"/>
    </i>
    <i>
      <x v="1164"/>
      <x/>
      <x v="116"/>
    </i>
    <i r="2">
      <x v="123"/>
    </i>
    <i t="default" r="1">
      <x/>
    </i>
    <i t="default">
      <x v="1164"/>
    </i>
    <i>
      <x v="1165"/>
      <x/>
      <x v="129"/>
    </i>
    <i t="default" r="1">
      <x/>
    </i>
    <i t="default">
      <x v="1165"/>
    </i>
    <i>
      <x v="1166"/>
      <x v="2"/>
      <x v="1"/>
    </i>
    <i r="2">
      <x v="116"/>
    </i>
    <i r="2">
      <x v="273"/>
    </i>
    <i t="default" r="1">
      <x v="2"/>
    </i>
    <i t="default">
      <x v="1166"/>
    </i>
    <i>
      <x v="1167"/>
      <x/>
      <x v="3"/>
    </i>
    <i r="2">
      <x v="27"/>
    </i>
    <i r="2">
      <x v="34"/>
    </i>
    <i r="2">
      <x v="118"/>
    </i>
    <i r="2">
      <x v="260"/>
    </i>
    <i t="default" r="1">
      <x/>
    </i>
    <i t="default">
      <x v="1167"/>
    </i>
    <i>
      <x v="1168"/>
      <x/>
      <x v="1"/>
    </i>
    <i r="2">
      <x v="223"/>
    </i>
    <i r="2">
      <x v="245"/>
    </i>
    <i r="2">
      <x v="260"/>
    </i>
    <i t="default" r="1">
      <x/>
    </i>
    <i t="default">
      <x v="1168"/>
    </i>
    <i>
      <x v="1169"/>
      <x/>
      <x v="34"/>
    </i>
    <i r="2">
      <x v="156"/>
    </i>
    <i r="2">
      <x v="256"/>
    </i>
    <i t="default" r="1">
      <x/>
    </i>
    <i t="default">
      <x v="1169"/>
    </i>
    <i>
      <x v="1170"/>
      <x/>
      <x v="94"/>
    </i>
    <i r="2">
      <x v="96"/>
    </i>
    <i r="2">
      <x v="144"/>
    </i>
    <i t="default" r="1">
      <x/>
    </i>
    <i t="default">
      <x v="1170"/>
    </i>
    <i>
      <x v="1171"/>
      <x/>
      <x v="112"/>
    </i>
    <i r="2">
      <x v="128"/>
    </i>
    <i t="default" r="1">
      <x/>
    </i>
    <i t="default">
      <x v="1171"/>
    </i>
    <i>
      <x v="1172"/>
      <x/>
      <x v="28"/>
    </i>
    <i r="2">
      <x v="103"/>
    </i>
    <i r="2">
      <x v="116"/>
    </i>
    <i r="2">
      <x v="129"/>
    </i>
    <i t="default" r="1">
      <x/>
    </i>
    <i t="default">
      <x v="1172"/>
    </i>
    <i>
      <x v="1173"/>
      <x/>
      <x v="116"/>
    </i>
    <i r="2">
      <x v="120"/>
    </i>
    <i r="2">
      <x v="136"/>
    </i>
    <i t="default" r="1">
      <x/>
    </i>
    <i t="default">
      <x v="1173"/>
    </i>
    <i>
      <x v="1174"/>
      <x/>
      <x v="83"/>
    </i>
    <i r="2">
      <x v="123"/>
    </i>
    <i r="2">
      <x v="151"/>
    </i>
    <i r="2">
      <x v="160"/>
    </i>
    <i r="2">
      <x v="223"/>
    </i>
    <i t="default" r="1">
      <x/>
    </i>
    <i t="default">
      <x v="1174"/>
    </i>
    <i>
      <x v="1175"/>
      <x v="1"/>
      <x v="234"/>
    </i>
    <i t="default" r="1">
      <x v="1"/>
    </i>
    <i t="default">
      <x v="1175"/>
    </i>
    <i>
      <x v="1176"/>
      <x v="1"/>
      <x v="15"/>
    </i>
    <i r="2">
      <x v="156"/>
    </i>
    <i t="default" r="1">
      <x v="1"/>
    </i>
    <i t="default">
      <x v="1176"/>
    </i>
    <i>
      <x v="1177"/>
      <x/>
      <x v="7"/>
    </i>
    <i r="2">
      <x v="29"/>
    </i>
    <i r="2">
      <x v="99"/>
    </i>
    <i r="2">
      <x v="117"/>
    </i>
    <i t="default" r="1">
      <x/>
    </i>
    <i t="default">
      <x v="1177"/>
    </i>
    <i>
      <x v="1178"/>
      <x v="1"/>
      <x v="95"/>
    </i>
    <i r="2">
      <x v="152"/>
    </i>
    <i r="2">
      <x v="236"/>
    </i>
    <i r="2">
      <x v="259"/>
    </i>
    <i t="default" r="1">
      <x v="1"/>
    </i>
    <i t="default">
      <x v="1178"/>
    </i>
    <i>
      <x v="1179"/>
      <x v="2"/>
      <x v="125"/>
    </i>
    <i t="default" r="1">
      <x v="2"/>
    </i>
    <i t="default">
      <x v="1179"/>
    </i>
    <i>
      <x v="1180"/>
      <x/>
      <x v="45"/>
    </i>
    <i t="default" r="1">
      <x/>
    </i>
    <i t="default">
      <x v="1180"/>
    </i>
    <i>
      <x v="1181"/>
      <x/>
      <x v="127"/>
    </i>
    <i r="2">
      <x v="184"/>
    </i>
    <i t="default" r="1">
      <x/>
    </i>
    <i t="default">
      <x v="1181"/>
    </i>
    <i>
      <x v="1182"/>
      <x/>
      <x v="115"/>
    </i>
    <i r="2">
      <x v="136"/>
    </i>
    <i r="2">
      <x v="158"/>
    </i>
    <i t="default" r="1">
      <x/>
    </i>
    <i t="default">
      <x v="1182"/>
    </i>
    <i>
      <x v="1183"/>
      <x/>
      <x v="81"/>
    </i>
    <i r="2">
      <x v="110"/>
    </i>
    <i t="default" r="1">
      <x/>
    </i>
    <i t="default">
      <x v="1183"/>
    </i>
    <i>
      <x v="1184"/>
      <x/>
      <x v="7"/>
    </i>
    <i r="2">
      <x v="105"/>
    </i>
    <i r="2">
      <x v="115"/>
    </i>
    <i r="2">
      <x v="158"/>
    </i>
    <i t="default" r="1">
      <x/>
    </i>
    <i t="default">
      <x v="1184"/>
    </i>
    <i>
      <x v="1185"/>
      <x/>
      <x v="116"/>
    </i>
    <i r="2">
      <x v="131"/>
    </i>
    <i r="2">
      <x v="184"/>
    </i>
    <i r="2">
      <x v="201"/>
    </i>
    <i t="default" r="1">
      <x/>
    </i>
    <i t="default">
      <x v="1185"/>
    </i>
    <i>
      <x v="1186"/>
      <x/>
      <x v="113"/>
    </i>
    <i r="2">
      <x v="140"/>
    </i>
    <i r="2">
      <x v="148"/>
    </i>
    <i r="2">
      <x v="212"/>
    </i>
    <i t="default" r="1">
      <x/>
    </i>
    <i t="default">
      <x v="1186"/>
    </i>
    <i>
      <x v="1187"/>
      <x/>
      <x v="125"/>
    </i>
    <i r="2">
      <x v="234"/>
    </i>
    <i r="2">
      <x v="245"/>
    </i>
    <i t="default" r="1">
      <x/>
    </i>
    <i t="default">
      <x v="1187"/>
    </i>
    <i>
      <x v="1188"/>
      <x/>
      <x v="80"/>
    </i>
    <i r="2">
      <x v="179"/>
    </i>
    <i r="2">
      <x v="216"/>
    </i>
    <i t="default" r="1">
      <x/>
    </i>
    <i t="default">
      <x v="1188"/>
    </i>
    <i>
      <x v="1189"/>
      <x/>
      <x v="110"/>
    </i>
    <i t="default" r="1">
      <x/>
    </i>
    <i t="default">
      <x v="1189"/>
    </i>
    <i>
      <x v="1190"/>
      <x/>
      <x v="54"/>
    </i>
    <i r="2">
      <x v="216"/>
    </i>
    <i r="2">
      <x v="237"/>
    </i>
    <i t="default" r="1">
      <x/>
    </i>
    <i t="default">
      <x v="1190"/>
    </i>
    <i>
      <x v="1191"/>
      <x/>
      <x v="72"/>
    </i>
    <i r="2">
      <x v="91"/>
    </i>
    <i r="2">
      <x v="236"/>
    </i>
    <i t="default" r="1">
      <x/>
    </i>
    <i t="default">
      <x v="1191"/>
    </i>
    <i>
      <x v="1192"/>
      <x/>
      <x v="131"/>
    </i>
    <i r="2">
      <x v="159"/>
    </i>
    <i t="default" r="1">
      <x/>
    </i>
    <i t="default">
      <x v="1192"/>
    </i>
    <i>
      <x v="1193"/>
      <x v="2"/>
      <x v="110"/>
    </i>
    <i r="2">
      <x v="124"/>
    </i>
    <i r="2">
      <x v="130"/>
    </i>
    <i r="2">
      <x v="261"/>
    </i>
    <i t="default" r="1">
      <x v="2"/>
    </i>
    <i t="default">
      <x v="1193"/>
    </i>
    <i>
      <x v="1194"/>
      <x/>
      <x v="143"/>
    </i>
    <i t="default" r="1">
      <x/>
    </i>
    <i t="default">
      <x v="1194"/>
    </i>
    <i>
      <x v="1195"/>
      <x/>
      <x v="140"/>
    </i>
    <i t="default" r="1">
      <x/>
    </i>
    <i t="default">
      <x v="1195"/>
    </i>
    <i>
      <x v="1196"/>
      <x/>
      <x v="7"/>
    </i>
    <i r="2">
      <x v="116"/>
    </i>
    <i r="2">
      <x v="117"/>
    </i>
    <i r="2">
      <x v="160"/>
    </i>
    <i t="default" r="1">
      <x/>
    </i>
    <i t="default">
      <x v="1196"/>
    </i>
    <i>
      <x v="1197"/>
      <x/>
      <x v="130"/>
    </i>
    <i t="default" r="1">
      <x/>
    </i>
    <i t="default">
      <x v="1197"/>
    </i>
    <i>
      <x v="1198"/>
      <x v="2"/>
      <x v="96"/>
    </i>
    <i r="2">
      <x v="119"/>
    </i>
    <i r="2">
      <x v="207"/>
    </i>
    <i t="default" r="1">
      <x v="2"/>
    </i>
    <i t="default">
      <x v="1198"/>
    </i>
    <i>
      <x v="1199"/>
      <x/>
      <x v="209"/>
    </i>
    <i t="default" r="1">
      <x/>
    </i>
    <i t="default">
      <x v="1199"/>
    </i>
    <i>
      <x v="1200"/>
      <x/>
      <x v="7"/>
    </i>
    <i r="2">
      <x v="28"/>
    </i>
    <i r="2">
      <x v="81"/>
    </i>
    <i r="2">
      <x v="103"/>
    </i>
    <i r="2">
      <x v="105"/>
    </i>
    <i t="default" r="1">
      <x/>
    </i>
    <i t="default">
      <x v="1200"/>
    </i>
    <i>
      <x v="1201"/>
      <x/>
      <x v="124"/>
    </i>
    <i t="default" r="1">
      <x/>
    </i>
    <i t="default">
      <x v="1201"/>
    </i>
    <i>
      <x v="1202"/>
      <x/>
      <x v="136"/>
    </i>
    <i r="2">
      <x v="179"/>
    </i>
    <i t="default" r="1">
      <x/>
    </i>
    <i t="default">
      <x v="1202"/>
    </i>
    <i>
      <x v="1203"/>
      <x/>
      <x v="91"/>
    </i>
    <i t="default" r="1">
      <x/>
    </i>
    <i t="default">
      <x v="1203"/>
    </i>
    <i>
      <x v="1204"/>
      <x v="2"/>
      <x v="94"/>
    </i>
    <i r="2">
      <x v="99"/>
    </i>
    <i r="2">
      <x v="110"/>
    </i>
    <i r="2">
      <x v="113"/>
    </i>
    <i r="2">
      <x v="130"/>
    </i>
    <i t="default" r="1">
      <x v="2"/>
    </i>
    <i t="default">
      <x v="1204"/>
    </i>
    <i>
      <x v="1205"/>
      <x/>
      <x v="114"/>
    </i>
    <i r="2">
      <x v="273"/>
    </i>
    <i t="default" r="1">
      <x/>
    </i>
    <i t="default">
      <x v="1205"/>
    </i>
    <i>
      <x v="1206"/>
      <x/>
      <x v="27"/>
    </i>
    <i r="2">
      <x v="128"/>
    </i>
    <i r="2">
      <x v="129"/>
    </i>
    <i t="default" r="1">
      <x/>
    </i>
    <i t="default">
      <x v="1206"/>
    </i>
    <i>
      <x v="1207"/>
      <x/>
      <x v="7"/>
    </i>
    <i r="2">
      <x v="72"/>
    </i>
    <i r="2">
      <x v="123"/>
    </i>
    <i r="2">
      <x v="217"/>
    </i>
    <i r="2">
      <x v="234"/>
    </i>
    <i t="default" r="1">
      <x/>
    </i>
    <i t="default">
      <x v="1207"/>
    </i>
    <i>
      <x v="1208"/>
      <x/>
      <x v="39"/>
    </i>
    <i r="2">
      <x v="237"/>
    </i>
    <i t="default" r="1">
      <x/>
    </i>
    <i t="default">
      <x v="1208"/>
    </i>
    <i>
      <x v="1209"/>
      <x v="1"/>
      <x v="81"/>
    </i>
    <i r="2">
      <x v="112"/>
    </i>
    <i r="2">
      <x v="124"/>
    </i>
    <i r="2">
      <x v="127"/>
    </i>
    <i r="2">
      <x v="136"/>
    </i>
    <i t="default" r="1">
      <x v="1"/>
    </i>
    <i t="default">
      <x v="1209"/>
    </i>
    <i>
      <x v="1210"/>
      <x/>
      <x v="34"/>
    </i>
    <i r="2">
      <x v="94"/>
    </i>
    <i r="2">
      <x v="95"/>
    </i>
    <i r="2">
      <x v="117"/>
    </i>
    <i r="2">
      <x v="178"/>
    </i>
    <i t="default" r="1">
      <x/>
    </i>
    <i t="default">
      <x v="1210"/>
    </i>
    <i>
      <x v="1211"/>
      <x/>
      <x v="15"/>
    </i>
    <i r="2">
      <x v="91"/>
    </i>
    <i r="2">
      <x v="116"/>
    </i>
    <i r="2">
      <x v="262"/>
    </i>
    <i t="default" r="1">
      <x/>
    </i>
    <i t="default">
      <x v="1211"/>
    </i>
    <i>
      <x v="1212"/>
      <x v="1"/>
      <x v="34"/>
    </i>
    <i r="2">
      <x v="80"/>
    </i>
    <i r="2">
      <x v="112"/>
    </i>
    <i t="default" r="1">
      <x v="1"/>
    </i>
    <i t="default">
      <x v="1212"/>
    </i>
    <i>
      <x v="1213"/>
      <x/>
      <x v="26"/>
    </i>
    <i r="2">
      <x v="29"/>
    </i>
    <i r="2">
      <x v="126"/>
    </i>
    <i r="2">
      <x v="160"/>
    </i>
    <i r="2">
      <x v="261"/>
    </i>
    <i t="default" r="1">
      <x/>
    </i>
    <i t="default">
      <x v="1213"/>
    </i>
    <i>
      <x v="1214"/>
      <x/>
      <x v="114"/>
    </i>
    <i r="2">
      <x v="144"/>
    </i>
    <i t="default" r="1">
      <x/>
    </i>
    <i t="default">
      <x v="1214"/>
    </i>
    <i>
      <x v="1215"/>
      <x/>
      <x v="80"/>
    </i>
    <i r="2">
      <x v="105"/>
    </i>
    <i r="2">
      <x v="120"/>
    </i>
    <i r="2">
      <x v="189"/>
    </i>
    <i r="2">
      <x v="215"/>
    </i>
    <i t="default" r="1">
      <x/>
    </i>
    <i t="default">
      <x v="1215"/>
    </i>
    <i>
      <x v="1216"/>
      <x/>
      <x v="114"/>
    </i>
    <i r="2">
      <x v="116"/>
    </i>
    <i t="default" r="1">
      <x/>
    </i>
    <i t="default">
      <x v="1216"/>
    </i>
    <i>
      <x v="1217"/>
      <x v="2"/>
      <x v="80"/>
    </i>
    <i r="2">
      <x v="207"/>
    </i>
    <i t="default" r="1">
      <x v="2"/>
    </i>
    <i t="default">
      <x v="1217"/>
    </i>
    <i>
      <x v="1218"/>
      <x/>
      <x v="103"/>
    </i>
    <i r="2">
      <x v="156"/>
    </i>
    <i r="2">
      <x v="216"/>
    </i>
    <i t="default" r="1">
      <x/>
    </i>
    <i t="default">
      <x v="1218"/>
    </i>
    <i>
      <x v="1219"/>
      <x/>
      <x v="90"/>
    </i>
    <i r="2">
      <x v="184"/>
    </i>
    <i r="2">
      <x v="256"/>
    </i>
    <i t="default" r="1">
      <x/>
    </i>
    <i t="default">
      <x v="1219"/>
    </i>
    <i>
      <x v="1220"/>
      <x/>
      <x v="1"/>
    </i>
    <i r="2">
      <x v="39"/>
    </i>
    <i r="2">
      <x v="54"/>
    </i>
    <i r="2">
      <x v="92"/>
    </i>
    <i r="2">
      <x v="209"/>
    </i>
    <i t="default" r="1">
      <x/>
    </i>
    <i t="default">
      <x v="1220"/>
    </i>
    <i>
      <x v="1221"/>
      <x v="1"/>
      <x v="39"/>
    </i>
    <i t="default" r="1">
      <x v="1"/>
    </i>
    <i t="default">
      <x v="1221"/>
    </i>
    <i>
      <x v="1222"/>
      <x/>
      <x v="129"/>
    </i>
    <i t="default" r="1">
      <x/>
    </i>
    <i t="default">
      <x v="1222"/>
    </i>
    <i>
      <x v="1223"/>
      <x/>
      <x v="117"/>
    </i>
    <i r="2">
      <x v="156"/>
    </i>
    <i r="2">
      <x v="207"/>
    </i>
    <i r="2">
      <x v="260"/>
    </i>
    <i t="default" r="1">
      <x/>
    </i>
    <i t="default">
      <x v="1223"/>
    </i>
    <i>
      <x v="1224"/>
      <x v="2"/>
      <x v="1"/>
    </i>
    <i r="2">
      <x v="136"/>
    </i>
    <i r="2">
      <x v="178"/>
    </i>
    <i t="default" r="1">
      <x v="2"/>
    </i>
    <i t="default">
      <x v="1224"/>
    </i>
    <i>
      <x v="1225"/>
      <x/>
      <x v="29"/>
    </i>
    <i r="2">
      <x v="55"/>
    </i>
    <i r="2">
      <x v="146"/>
    </i>
    <i r="2">
      <x v="209"/>
    </i>
    <i r="2">
      <x v="260"/>
    </i>
    <i t="default" r="1">
      <x/>
    </i>
    <i t="default">
      <x v="1225"/>
    </i>
    <i>
      <x v="1226"/>
      <x/>
      <x v="81"/>
    </i>
    <i r="2">
      <x v="97"/>
    </i>
    <i r="2">
      <x v="209"/>
    </i>
    <i r="2">
      <x v="239"/>
    </i>
    <i r="2">
      <x v="254"/>
    </i>
    <i t="default" r="1">
      <x/>
    </i>
    <i t="default">
      <x v="1226"/>
    </i>
    <i>
      <x v="1227"/>
      <x/>
      <x v="83"/>
    </i>
    <i r="2">
      <x v="94"/>
    </i>
    <i r="2">
      <x v="179"/>
    </i>
    <i t="default" r="1">
      <x/>
    </i>
    <i t="default">
      <x v="1227"/>
    </i>
    <i>
      <x v="1228"/>
      <x v="2"/>
      <x v="148"/>
    </i>
    <i r="2">
      <x v="233"/>
    </i>
    <i t="default" r="1">
      <x v="2"/>
    </i>
    <i t="default">
      <x v="1228"/>
    </i>
    <i>
      <x v="1229"/>
      <x/>
      <x v="92"/>
    </i>
    <i r="2">
      <x v="207"/>
    </i>
    <i t="default" r="1">
      <x/>
    </i>
    <i t="default">
      <x v="1229"/>
    </i>
    <i>
      <x v="1230"/>
      <x/>
      <x v="2"/>
    </i>
    <i r="2">
      <x v="21"/>
    </i>
    <i t="default" r="1">
      <x/>
    </i>
    <i t="default">
      <x v="1230"/>
    </i>
    <i>
      <x v="1231"/>
      <x v="2"/>
      <x v="120"/>
    </i>
    <i r="2">
      <x v="136"/>
    </i>
    <i r="2">
      <x v="212"/>
    </i>
    <i t="default" r="1">
      <x v="2"/>
    </i>
    <i t="default">
      <x v="1231"/>
    </i>
    <i>
      <x v="1232"/>
      <x/>
      <x v="179"/>
    </i>
    <i r="2">
      <x v="233"/>
    </i>
    <i r="2">
      <x v="234"/>
    </i>
    <i t="default" r="1">
      <x/>
    </i>
    <i t="default">
      <x v="1232"/>
    </i>
    <i>
      <x v="1233"/>
      <x/>
      <x v="110"/>
    </i>
    <i r="2">
      <x v="193"/>
    </i>
    <i t="default" r="1">
      <x/>
    </i>
    <i t="default">
      <x v="1233"/>
    </i>
    <i>
      <x v="1234"/>
      <x/>
      <x v="261"/>
    </i>
    <i t="default" r="1">
      <x/>
    </i>
    <i t="default">
      <x v="1234"/>
    </i>
    <i>
      <x v="1235"/>
      <x/>
      <x v="122"/>
    </i>
    <i r="2">
      <x v="207"/>
    </i>
    <i r="2">
      <x v="245"/>
    </i>
    <i t="default" r="1">
      <x/>
    </i>
    <i t="default">
      <x v="1235"/>
    </i>
    <i>
      <x v="1236"/>
      <x v="2"/>
      <x v="27"/>
    </i>
    <i r="2">
      <x v="28"/>
    </i>
    <i r="2">
      <x v="79"/>
    </i>
    <i r="2">
      <x v="179"/>
    </i>
    <i r="2">
      <x v="234"/>
    </i>
    <i t="default" r="1">
      <x v="2"/>
    </i>
    <i t="default">
      <x v="1236"/>
    </i>
    <i>
      <x v="1237"/>
      <x/>
      <x v="26"/>
    </i>
    <i r="2">
      <x v="46"/>
    </i>
    <i r="2">
      <x v="55"/>
    </i>
    <i r="2">
      <x v="216"/>
    </i>
    <i t="default" r="1">
      <x/>
    </i>
    <i t="default">
      <x v="1237"/>
    </i>
    <i>
      <x v="1238"/>
      <x/>
      <x v="34"/>
    </i>
    <i r="2">
      <x v="148"/>
    </i>
    <i r="2">
      <x v="245"/>
    </i>
    <i r="2">
      <x v="258"/>
    </i>
    <i t="default" r="1">
      <x/>
    </i>
    <i t="default">
      <x v="1238"/>
    </i>
    <i>
      <x v="1239"/>
      <x/>
      <x v="27"/>
    </i>
    <i r="2">
      <x v="29"/>
    </i>
    <i r="2">
      <x v="34"/>
    </i>
    <i r="2">
      <x v="118"/>
    </i>
    <i r="2">
      <x v="202"/>
    </i>
    <i t="default" r="1">
      <x/>
    </i>
    <i t="default">
      <x v="1239"/>
    </i>
    <i>
      <x v="1240"/>
      <x/>
      <x v="15"/>
    </i>
    <i r="2">
      <x v="110"/>
    </i>
    <i t="default" r="1">
      <x/>
    </i>
    <i t="default">
      <x v="1240"/>
    </i>
    <i>
      <x v="1241"/>
      <x/>
      <x v="2"/>
    </i>
    <i r="2">
      <x v="96"/>
    </i>
    <i r="2">
      <x v="131"/>
    </i>
    <i r="2">
      <x v="144"/>
    </i>
    <i t="default" r="1">
      <x/>
    </i>
    <i t="default">
      <x v="1241"/>
    </i>
    <i>
      <x v="1242"/>
      <x/>
      <x v="97"/>
    </i>
    <i t="default" r="1">
      <x/>
    </i>
    <i t="default">
      <x v="1242"/>
    </i>
    <i>
      <x v="1243"/>
      <x/>
      <x v="91"/>
    </i>
    <i r="2">
      <x v="92"/>
    </i>
    <i r="2">
      <x v="98"/>
    </i>
    <i r="2">
      <x v="152"/>
    </i>
    <i t="default" r="1">
      <x/>
    </i>
    <i t="default">
      <x v="1243"/>
    </i>
    <i>
      <x v="1244"/>
      <x/>
      <x v="7"/>
    </i>
    <i t="default" r="1">
      <x/>
    </i>
    <i t="default">
      <x v="1244"/>
    </i>
    <i>
      <x v="1245"/>
      <x/>
      <x v="98"/>
    </i>
    <i r="2">
      <x v="99"/>
    </i>
    <i r="2">
      <x v="112"/>
    </i>
    <i t="default" r="1">
      <x/>
    </i>
    <i t="default">
      <x v="1245"/>
    </i>
    <i>
      <x v="1246"/>
      <x v="2"/>
      <x v="34"/>
    </i>
    <i r="2">
      <x v="81"/>
    </i>
    <i r="2">
      <x v="138"/>
    </i>
    <i t="default" r="1">
      <x v="2"/>
    </i>
    <i t="default">
      <x v="1246"/>
    </i>
    <i>
      <x v="1247"/>
      <x v="2"/>
      <x v="72"/>
    </i>
    <i r="2">
      <x v="94"/>
    </i>
    <i r="2">
      <x v="96"/>
    </i>
    <i r="2">
      <x v="152"/>
    </i>
    <i t="default" r="1">
      <x v="2"/>
    </i>
    <i t="default">
      <x v="1247"/>
    </i>
    <i>
      <x v="1248"/>
      <x/>
      <x v="128"/>
    </i>
    <i r="2">
      <x v="156"/>
    </i>
    <i r="2">
      <x v="233"/>
    </i>
    <i t="default" r="1">
      <x/>
    </i>
    <i t="default">
      <x v="1248"/>
    </i>
    <i>
      <x v="1249"/>
      <x/>
      <x v="83"/>
    </i>
    <i r="2">
      <x v="112"/>
    </i>
    <i r="2">
      <x v="125"/>
    </i>
    <i r="2">
      <x v="136"/>
    </i>
    <i t="default" r="1">
      <x/>
    </i>
    <i t="default">
      <x v="1249"/>
    </i>
    <i>
      <x v="1250"/>
      <x v="1"/>
      <x v="193"/>
    </i>
    <i r="2">
      <x v="216"/>
    </i>
    <i r="2">
      <x v="261"/>
    </i>
    <i t="default" r="1">
      <x v="1"/>
    </i>
    <i t="default">
      <x v="1250"/>
    </i>
    <i>
      <x v="1251"/>
      <x v="2"/>
      <x v="113"/>
    </i>
    <i r="2">
      <x v="124"/>
    </i>
    <i r="2">
      <x v="202"/>
    </i>
    <i t="default" r="1">
      <x v="2"/>
    </i>
    <i t="default">
      <x v="1251"/>
    </i>
    <i>
      <x v="1252"/>
      <x/>
      <x v="7"/>
    </i>
    <i r="2">
      <x v="79"/>
    </i>
    <i r="2">
      <x v="236"/>
    </i>
    <i t="default" r="1">
      <x/>
    </i>
    <i t="default">
      <x v="1252"/>
    </i>
    <i>
      <x v="1253"/>
      <x/>
      <x v="115"/>
    </i>
    <i r="2">
      <x v="245"/>
    </i>
    <i t="default" r="1">
      <x/>
    </i>
    <i t="default">
      <x v="1253"/>
    </i>
    <i>
      <x v="1254"/>
      <x/>
      <x v="3"/>
    </i>
    <i r="2">
      <x v="26"/>
    </i>
    <i r="2">
      <x v="81"/>
    </i>
    <i r="2">
      <x v="140"/>
    </i>
    <i r="2">
      <x v="215"/>
    </i>
    <i t="default" r="1">
      <x/>
    </i>
    <i t="default">
      <x v="1254"/>
    </i>
    <i>
      <x v="1255"/>
      <x/>
      <x v="54"/>
    </i>
    <i r="2">
      <x v="97"/>
    </i>
    <i t="default" r="1">
      <x/>
    </i>
    <i t="default">
      <x v="1255"/>
    </i>
    <i>
      <x v="1256"/>
      <x/>
      <x v="93"/>
    </i>
    <i r="2">
      <x v="103"/>
    </i>
    <i r="2">
      <x v="137"/>
    </i>
    <i r="2">
      <x v="212"/>
    </i>
    <i r="2">
      <x v="233"/>
    </i>
    <i t="default" r="1">
      <x/>
    </i>
    <i t="default">
      <x v="1256"/>
    </i>
    <i>
      <x v="1257"/>
      <x/>
      <x v="46"/>
    </i>
    <i r="2">
      <x v="96"/>
    </i>
    <i t="default" r="1">
      <x/>
    </i>
    <i t="default">
      <x v="1257"/>
    </i>
    <i>
      <x v="1258"/>
      <x/>
      <x v="105"/>
    </i>
    <i r="2">
      <x v="122"/>
    </i>
    <i t="default" r="1">
      <x/>
    </i>
    <i t="default">
      <x v="1258"/>
    </i>
    <i>
      <x v="1259"/>
      <x/>
      <x v="125"/>
    </i>
    <i r="2">
      <x v="254"/>
    </i>
    <i t="default" r="1">
      <x/>
    </i>
    <i t="default">
      <x v="1259"/>
    </i>
    <i>
      <x v="1260"/>
      <x/>
      <x v="54"/>
    </i>
    <i r="2">
      <x v="114"/>
    </i>
    <i r="2">
      <x v="209"/>
    </i>
    <i r="2">
      <x v="236"/>
    </i>
    <i t="default" r="1">
      <x/>
    </i>
    <i t="default">
      <x v="1260"/>
    </i>
    <i>
      <x v="1261"/>
      <x/>
      <x v="29"/>
    </i>
    <i r="2">
      <x v="91"/>
    </i>
    <i r="2">
      <x v="143"/>
    </i>
    <i r="2">
      <x v="215"/>
    </i>
    <i t="default" r="1">
      <x/>
    </i>
    <i t="default">
      <x v="1261"/>
    </i>
    <i>
      <x v="1262"/>
      <x/>
      <x v="98"/>
    </i>
    <i r="2">
      <x v="105"/>
    </i>
    <i r="2">
      <x v="156"/>
    </i>
    <i t="default" r="1">
      <x/>
    </i>
    <i t="default">
      <x v="1262"/>
    </i>
    <i>
      <x v="1263"/>
      <x/>
      <x v="29"/>
    </i>
    <i r="2">
      <x v="55"/>
    </i>
    <i r="2">
      <x v="143"/>
    </i>
    <i r="2">
      <x v="273"/>
    </i>
    <i t="default" r="1">
      <x/>
    </i>
    <i t="default">
      <x v="1263"/>
    </i>
    <i>
      <x v="1264"/>
      <x/>
      <x v="93"/>
    </i>
    <i r="2">
      <x v="111"/>
    </i>
    <i t="default" r="1">
      <x/>
    </i>
    <i t="default">
      <x v="1264"/>
    </i>
    <i>
      <x v="1265"/>
      <x/>
      <x v="201"/>
    </i>
    <i r="2">
      <x v="239"/>
    </i>
    <i t="default" r="1">
      <x/>
    </i>
    <i t="default">
      <x v="1265"/>
    </i>
    <i>
      <x v="1266"/>
      <x/>
      <x v="28"/>
    </i>
    <i r="2">
      <x v="98"/>
    </i>
    <i r="2">
      <x v="117"/>
    </i>
    <i r="2">
      <x v="131"/>
    </i>
    <i t="default" r="1">
      <x/>
    </i>
    <i t="default">
      <x v="1266"/>
    </i>
    <i>
      <x v="1267"/>
      <x v="2"/>
      <x v="54"/>
    </i>
    <i r="2">
      <x v="116"/>
    </i>
    <i r="2">
      <x v="178"/>
    </i>
    <i r="2">
      <x v="234"/>
    </i>
    <i t="default" r="1">
      <x v="2"/>
    </i>
    <i t="default">
      <x v="1267"/>
    </i>
    <i>
      <x v="1268"/>
      <x/>
      <x v="121"/>
    </i>
    <i r="2">
      <x v="212"/>
    </i>
    <i r="2">
      <x v="261"/>
    </i>
    <i t="default" r="1">
      <x/>
    </i>
    <i t="default">
      <x v="1268"/>
    </i>
    <i>
      <x v="1269"/>
      <x/>
      <x v="189"/>
    </i>
    <i t="default" r="1">
      <x/>
    </i>
    <i t="default">
      <x v="1269"/>
    </i>
    <i>
      <x v="1270"/>
      <x/>
      <x v="79"/>
    </i>
    <i r="2">
      <x v="207"/>
    </i>
    <i r="2">
      <x v="234"/>
    </i>
    <i r="2">
      <x v="259"/>
    </i>
    <i t="default" r="1">
      <x/>
    </i>
    <i t="default">
      <x v="1270"/>
    </i>
    <i>
      <x v="1271"/>
      <x/>
      <x v="81"/>
    </i>
    <i r="2">
      <x v="110"/>
    </i>
    <i r="2">
      <x v="217"/>
    </i>
    <i t="default" r="1">
      <x/>
    </i>
    <i t="default">
      <x v="1271"/>
    </i>
    <i>
      <x v="1272"/>
      <x/>
      <x v="28"/>
    </i>
    <i r="2">
      <x v="83"/>
    </i>
    <i r="2">
      <x v="223"/>
    </i>
    <i t="default" r="1">
      <x/>
    </i>
    <i t="default">
      <x v="1272"/>
    </i>
    <i>
      <x v="1273"/>
      <x/>
      <x v="1"/>
    </i>
    <i t="default" r="1">
      <x/>
    </i>
    <i t="default">
      <x v="1273"/>
    </i>
    <i>
      <x v="1274"/>
      <x v="2"/>
      <x v="137"/>
    </i>
    <i r="2">
      <x v="223"/>
    </i>
    <i t="default" r="1">
      <x v="2"/>
    </i>
    <i t="default">
      <x v="1274"/>
    </i>
    <i>
      <x v="1275"/>
      <x/>
      <x v="72"/>
    </i>
    <i r="2">
      <x v="104"/>
    </i>
    <i r="2">
      <x v="112"/>
    </i>
    <i r="2">
      <x v="209"/>
    </i>
    <i r="2">
      <x v="223"/>
    </i>
    <i t="default" r="1">
      <x/>
    </i>
    <i t="default">
      <x v="1275"/>
    </i>
    <i>
      <x v="1276"/>
      <x/>
      <x v="95"/>
    </i>
    <i r="2">
      <x v="146"/>
    </i>
    <i r="2">
      <x v="160"/>
    </i>
    <i r="2">
      <x v="193"/>
    </i>
    <i r="2">
      <x v="212"/>
    </i>
    <i t="default" r="1">
      <x/>
    </i>
    <i t="default">
      <x v="1276"/>
    </i>
    <i>
      <x v="1277"/>
      <x/>
      <x v="129"/>
    </i>
    <i r="2">
      <x v="207"/>
    </i>
    <i t="default" r="1">
      <x/>
    </i>
    <i t="default">
      <x v="1277"/>
    </i>
    <i>
      <x v="1278"/>
      <x/>
      <x v="160"/>
    </i>
    <i t="default" r="1">
      <x/>
    </i>
    <i t="default">
      <x v="1278"/>
    </i>
    <i>
      <x v="1279"/>
      <x v="1"/>
      <x v="15"/>
    </i>
    <i r="2">
      <x v="111"/>
    </i>
    <i r="2">
      <x v="143"/>
    </i>
    <i r="2">
      <x v="158"/>
    </i>
    <i t="default" r="1">
      <x v="1"/>
    </i>
    <i t="default">
      <x v="1279"/>
    </i>
    <i>
      <x v="1280"/>
      <x/>
      <x v="21"/>
    </i>
    <i r="2">
      <x v="148"/>
    </i>
    <i r="2">
      <x v="184"/>
    </i>
    <i t="default" r="1">
      <x/>
    </i>
    <i t="default">
      <x v="1280"/>
    </i>
    <i>
      <x v="1281"/>
      <x/>
      <x v="121"/>
    </i>
    <i r="2">
      <x v="259"/>
    </i>
    <i t="default" r="1">
      <x/>
    </i>
    <i t="default">
      <x v="1281"/>
    </i>
    <i>
      <x v="1282"/>
      <x/>
      <x v="1"/>
    </i>
    <i r="2">
      <x v="146"/>
    </i>
    <i r="2">
      <x v="207"/>
    </i>
    <i r="2">
      <x v="233"/>
    </i>
    <i r="2">
      <x v="261"/>
    </i>
    <i t="default" r="1">
      <x/>
    </i>
    <i t="default">
      <x v="1282"/>
    </i>
    <i>
      <x v="1283"/>
      <x/>
      <x v="55"/>
    </i>
    <i r="2">
      <x v="212"/>
    </i>
    <i r="2">
      <x v="254"/>
    </i>
    <i t="default" r="1">
      <x/>
    </i>
    <i t="default">
      <x v="1283"/>
    </i>
    <i>
      <x v="1284"/>
      <x/>
      <x v="95"/>
    </i>
    <i r="2">
      <x v="112"/>
    </i>
    <i r="2">
      <x v="118"/>
    </i>
    <i r="2">
      <x v="136"/>
    </i>
    <i t="default" r="1">
      <x/>
    </i>
    <i t="default">
      <x v="1284"/>
    </i>
    <i>
      <x v="1285"/>
      <x/>
      <x v="1"/>
    </i>
    <i r="2">
      <x v="119"/>
    </i>
    <i r="2">
      <x v="234"/>
    </i>
    <i t="default" r="1">
      <x/>
    </i>
    <i t="default">
      <x v="1285"/>
    </i>
    <i>
      <x v="1286"/>
      <x v="2"/>
      <x v="54"/>
    </i>
    <i r="2">
      <x v="129"/>
    </i>
    <i r="2">
      <x v="131"/>
    </i>
    <i r="2">
      <x v="156"/>
    </i>
    <i t="default" r="1">
      <x v="2"/>
    </i>
    <i t="default">
      <x v="1286"/>
    </i>
    <i>
      <x v="1287"/>
      <x v="1"/>
      <x v="80"/>
    </i>
    <i r="2">
      <x v="103"/>
    </i>
    <i r="2">
      <x v="114"/>
    </i>
    <i r="2">
      <x v="156"/>
    </i>
    <i t="default" r="1">
      <x v="1"/>
    </i>
    <i t="default">
      <x v="1287"/>
    </i>
    <i>
      <x v="1288"/>
      <x v="2"/>
      <x v="151"/>
    </i>
    <i r="2">
      <x v="237"/>
    </i>
    <i t="default" r="1">
      <x v="2"/>
    </i>
    <i t="default">
      <x v="1288"/>
    </i>
    <i>
      <x v="1289"/>
      <x/>
      <x v="21"/>
    </i>
    <i r="2">
      <x v="94"/>
    </i>
    <i r="2">
      <x v="148"/>
    </i>
    <i t="default" r="1">
      <x/>
    </i>
    <i t="default">
      <x v="1289"/>
    </i>
    <i>
      <x v="1290"/>
      <x/>
      <x v="202"/>
    </i>
    <i r="2">
      <x v="223"/>
    </i>
    <i t="default" r="1">
      <x/>
    </i>
    <i t="default">
      <x v="1290"/>
    </i>
    <i>
      <x v="1291"/>
      <x/>
      <x v="2"/>
    </i>
    <i t="default" r="1">
      <x/>
    </i>
    <i t="default">
      <x v="1291"/>
    </i>
    <i>
      <x v="1292"/>
      <x/>
      <x v="15"/>
    </i>
    <i r="2">
      <x v="92"/>
    </i>
    <i r="2">
      <x v="236"/>
    </i>
    <i t="default" r="1">
      <x/>
    </i>
    <i t="default">
      <x v="1292"/>
    </i>
    <i>
      <x v="1293"/>
      <x v="2"/>
      <x v="28"/>
    </i>
    <i r="2">
      <x v="97"/>
    </i>
    <i t="default" r="1">
      <x v="2"/>
    </i>
    <i t="default">
      <x v="1293"/>
    </i>
    <i>
      <x v="1294"/>
      <x/>
      <x v="101"/>
    </i>
    <i r="2">
      <x v="143"/>
    </i>
    <i r="2">
      <x v="233"/>
    </i>
    <i t="default" r="1">
      <x/>
    </i>
    <i t="default">
      <x v="1294"/>
    </i>
    <i>
      <x v="1295"/>
      <x v="2"/>
      <x v="79"/>
    </i>
    <i r="2">
      <x v="81"/>
    </i>
    <i r="2">
      <x v="106"/>
    </i>
    <i r="2">
      <x v="239"/>
    </i>
    <i t="default" r="1">
      <x v="2"/>
    </i>
    <i t="default">
      <x v="1295"/>
    </i>
    <i>
      <x v="1296"/>
      <x/>
      <x v="128"/>
    </i>
    <i r="2">
      <x v="215"/>
    </i>
    <i r="2">
      <x v="260"/>
    </i>
    <i t="default" r="1">
      <x/>
    </i>
    <i t="default">
      <x v="1296"/>
    </i>
    <i>
      <x v="1297"/>
      <x v="1"/>
      <x v="120"/>
    </i>
    <i r="2">
      <x v="178"/>
    </i>
    <i t="default" r="1">
      <x v="1"/>
    </i>
    <i t="default">
      <x v="1297"/>
    </i>
    <i>
      <x v="1298"/>
      <x v="2"/>
      <x v="21"/>
    </i>
    <i r="2">
      <x v="26"/>
    </i>
    <i r="2">
      <x v="55"/>
    </i>
    <i r="2">
      <x v="143"/>
    </i>
    <i t="default" r="1">
      <x v="2"/>
    </i>
    <i t="default">
      <x v="1298"/>
    </i>
    <i>
      <x v="1299"/>
      <x/>
      <x v="55"/>
    </i>
    <i r="2">
      <x v="223"/>
    </i>
    <i t="default" r="1">
      <x/>
    </i>
    <i t="default">
      <x v="1299"/>
    </i>
    <i>
      <x v="1300"/>
      <x v="2"/>
      <x v="98"/>
    </i>
    <i r="2">
      <x v="130"/>
    </i>
    <i r="2">
      <x v="254"/>
    </i>
    <i t="default" r="1">
      <x v="2"/>
    </i>
    <i t="default">
      <x v="1300"/>
    </i>
    <i>
      <x v="1301"/>
      <x/>
      <x v="83"/>
    </i>
    <i r="2">
      <x v="92"/>
    </i>
    <i r="2">
      <x v="193"/>
    </i>
    <i t="default" r="1">
      <x/>
    </i>
    <i t="default">
      <x v="1301"/>
    </i>
    <i>
      <x v="1302"/>
      <x/>
      <x v="36"/>
    </i>
    <i r="2">
      <x v="72"/>
    </i>
    <i r="2">
      <x v="114"/>
    </i>
    <i r="2">
      <x v="117"/>
    </i>
    <i r="2">
      <x v="158"/>
    </i>
    <i t="default" r="1">
      <x/>
    </i>
    <i t="default">
      <x v="1302"/>
    </i>
    <i>
      <x v="1303"/>
      <x/>
      <x v="46"/>
    </i>
    <i r="2">
      <x v="80"/>
    </i>
    <i r="2">
      <x v="103"/>
    </i>
    <i r="2">
      <x v="115"/>
    </i>
    <i t="default" r="1">
      <x/>
    </i>
    <i t="default">
      <x v="1303"/>
    </i>
    <i>
      <x v="1304"/>
      <x/>
      <x v="90"/>
    </i>
    <i r="2">
      <x v="146"/>
    </i>
    <i r="2">
      <x v="160"/>
    </i>
    <i r="2">
      <x v="245"/>
    </i>
    <i t="default" r="1">
      <x/>
    </i>
    <i t="default">
      <x v="1304"/>
    </i>
    <i>
      <x v="1305"/>
      <x/>
      <x v="1"/>
    </i>
    <i r="2">
      <x v="98"/>
    </i>
    <i r="2">
      <x v="129"/>
    </i>
    <i r="2">
      <x v="160"/>
    </i>
    <i r="2">
      <x v="209"/>
    </i>
    <i t="default" r="1">
      <x/>
    </i>
    <i t="default">
      <x v="1305"/>
    </i>
    <i>
      <x v="1306"/>
      <x v="2"/>
      <x v="36"/>
    </i>
    <i r="2">
      <x v="118"/>
    </i>
    <i r="2">
      <x v="140"/>
    </i>
    <i t="default" r="1">
      <x v="2"/>
    </i>
    <i t="default">
      <x v="1306"/>
    </i>
    <i>
      <x v="1307"/>
      <x/>
      <x v="26"/>
    </i>
    <i r="2">
      <x v="118"/>
    </i>
    <i r="2">
      <x v="189"/>
    </i>
    <i r="2">
      <x v="193"/>
    </i>
    <i r="2">
      <x v="207"/>
    </i>
    <i t="default" r="1">
      <x/>
    </i>
    <i t="default">
      <x v="1307"/>
    </i>
    <i>
      <x v="1308"/>
      <x/>
      <x v="123"/>
    </i>
    <i r="2">
      <x v="234"/>
    </i>
    <i t="default" r="1">
      <x/>
    </i>
    <i t="default">
      <x v="1308"/>
    </i>
    <i>
      <x v="1309"/>
      <x v="2"/>
      <x v="29"/>
    </i>
    <i r="2">
      <x v="146"/>
    </i>
    <i r="2">
      <x v="178"/>
    </i>
    <i r="2">
      <x v="189"/>
    </i>
    <i t="default" r="1">
      <x v="2"/>
    </i>
    <i t="default">
      <x v="1309"/>
    </i>
    <i>
      <x v="1310"/>
      <x/>
      <x v="98"/>
    </i>
    <i r="2">
      <x v="118"/>
    </i>
    <i r="2">
      <x v="131"/>
    </i>
    <i r="2">
      <x v="209"/>
    </i>
    <i t="default" r="1">
      <x/>
    </i>
    <i t="default">
      <x v="1310"/>
    </i>
    <i>
      <x v="1311"/>
      <x v="2"/>
      <x v="26"/>
    </i>
    <i r="2">
      <x v="83"/>
    </i>
    <i r="2">
      <x v="126"/>
    </i>
    <i t="default" r="1">
      <x v="2"/>
    </i>
    <i t="default">
      <x v="1311"/>
    </i>
    <i>
      <x v="1312"/>
      <x v="2"/>
      <x v="21"/>
    </i>
    <i r="2">
      <x v="118"/>
    </i>
    <i r="2">
      <x v="152"/>
    </i>
    <i t="default" r="1">
      <x v="2"/>
    </i>
    <i t="default">
      <x v="1312"/>
    </i>
    <i>
      <x v="1313"/>
      <x/>
      <x v="96"/>
    </i>
    <i r="2">
      <x v="111"/>
    </i>
    <i r="2">
      <x v="143"/>
    </i>
    <i t="default" r="1">
      <x/>
    </i>
    <i t="default">
      <x v="1313"/>
    </i>
    <i>
      <x v="1314"/>
      <x v="1"/>
      <x v="72"/>
    </i>
    <i r="2">
      <x v="81"/>
    </i>
    <i r="2">
      <x v="93"/>
    </i>
    <i r="2">
      <x v="128"/>
    </i>
    <i t="default" r="1">
      <x v="1"/>
    </i>
    <i t="default">
      <x v="1314"/>
    </i>
    <i>
      <x v="1315"/>
      <x v="2"/>
      <x v="28"/>
    </i>
    <i r="2">
      <x v="239"/>
    </i>
    <i t="default" r="1">
      <x v="2"/>
    </i>
    <i t="default">
      <x v="1315"/>
    </i>
    <i>
      <x v="1316"/>
      <x v="2"/>
      <x v="3"/>
    </i>
    <i t="default" r="1">
      <x v="2"/>
    </i>
    <i t="default">
      <x v="1316"/>
    </i>
    <i>
      <x v="1317"/>
      <x/>
      <x v="3"/>
    </i>
    <i r="2">
      <x v="94"/>
    </i>
    <i r="2">
      <x v="121"/>
    </i>
    <i r="2">
      <x v="156"/>
    </i>
    <i t="default" r="1">
      <x/>
    </i>
    <i t="default">
      <x v="1317"/>
    </i>
    <i>
      <x v="1318"/>
      <x/>
      <x v="21"/>
    </i>
    <i r="2">
      <x v="245"/>
    </i>
    <i t="default" r="1">
      <x/>
    </i>
    <i t="default">
      <x v="1318"/>
    </i>
    <i>
      <x v="1319"/>
      <x v="2"/>
      <x v="46"/>
    </i>
    <i r="2">
      <x v="95"/>
    </i>
    <i r="2">
      <x v="128"/>
    </i>
    <i t="default" r="1">
      <x v="2"/>
    </i>
    <i t="default">
      <x v="1319"/>
    </i>
    <i>
      <x v="1320"/>
      <x v="2"/>
      <x v="118"/>
    </i>
    <i r="2">
      <x v="146"/>
    </i>
    <i r="2">
      <x v="258"/>
    </i>
    <i t="default" r="1">
      <x v="2"/>
    </i>
    <i t="default">
      <x v="1320"/>
    </i>
    <i>
      <x v="1321"/>
      <x/>
      <x v="128"/>
    </i>
    <i r="2">
      <x v="138"/>
    </i>
    <i t="default" r="1">
      <x/>
    </i>
    <i t="default">
      <x v="1321"/>
    </i>
    <i>
      <x v="1322"/>
      <x/>
      <x v="2"/>
    </i>
    <i r="2">
      <x v="83"/>
    </i>
    <i r="2">
      <x v="131"/>
    </i>
    <i t="default" r="1">
      <x/>
    </i>
    <i t="default">
      <x v="1322"/>
    </i>
    <i>
      <x v="1323"/>
      <x/>
      <x v="31"/>
    </i>
    <i r="2">
      <x v="125"/>
    </i>
    <i r="2">
      <x v="151"/>
    </i>
    <i r="2">
      <x v="211"/>
    </i>
    <i t="default" r="1">
      <x/>
    </i>
    <i t="default">
      <x v="1323"/>
    </i>
    <i>
      <x v="1324"/>
      <x v="1"/>
      <x/>
    </i>
    <i r="2">
      <x v="138"/>
    </i>
    <i r="2">
      <x v="163"/>
    </i>
    <i r="2">
      <x v="255"/>
    </i>
    <i t="default" r="1">
      <x v="1"/>
    </i>
    <i t="default">
      <x v="1324"/>
    </i>
    <i>
      <x v="1325"/>
      <x v="1"/>
      <x v="199"/>
    </i>
    <i r="2">
      <x v="235"/>
    </i>
    <i t="default" r="1">
      <x v="1"/>
    </i>
    <i t="default">
      <x v="1325"/>
    </i>
    <i>
      <x v="1326"/>
      <x/>
      <x v="31"/>
    </i>
    <i r="2">
      <x v="170"/>
    </i>
    <i r="2">
      <x v="173"/>
    </i>
    <i r="2">
      <x v="201"/>
    </i>
    <i t="default" r="1">
      <x/>
    </i>
    <i t="default">
      <x v="1326"/>
    </i>
    <i>
      <x v="1327"/>
      <x/>
      <x v="13"/>
    </i>
    <i r="2">
      <x v="64"/>
    </i>
    <i r="2">
      <x v="82"/>
    </i>
    <i r="2">
      <x v="272"/>
    </i>
    <i t="default" r="1">
      <x/>
    </i>
    <i t="default">
      <x v="1327"/>
    </i>
    <i>
      <x v="1328"/>
      <x v="2"/>
      <x v="7"/>
    </i>
    <i r="2">
      <x v="30"/>
    </i>
    <i r="2">
      <x v="118"/>
    </i>
    <i r="2">
      <x v="171"/>
    </i>
    <i r="2">
      <x v="179"/>
    </i>
    <i t="default" r="1">
      <x v="2"/>
    </i>
    <i t="default">
      <x v="1328"/>
    </i>
    <i>
      <x v="1329"/>
      <x/>
      <x v="16"/>
    </i>
    <i r="2">
      <x v="20"/>
    </i>
    <i r="2">
      <x v="23"/>
    </i>
    <i r="2">
      <x v="75"/>
    </i>
    <i r="2">
      <x v="80"/>
    </i>
    <i t="default" r="1">
      <x/>
    </i>
    <i t="default">
      <x v="1329"/>
    </i>
    <i>
      <x v="1330"/>
      <x/>
      <x v="49"/>
    </i>
    <i r="2">
      <x v="57"/>
    </i>
    <i r="2">
      <x v="69"/>
    </i>
    <i r="2">
      <x v="174"/>
    </i>
    <i t="default" r="1">
      <x/>
    </i>
    <i t="default">
      <x v="1330"/>
    </i>
    <i>
      <x v="1331"/>
      <x/>
      <x v="86"/>
    </i>
    <i r="2">
      <x v="88"/>
    </i>
    <i r="2">
      <x v="95"/>
    </i>
    <i r="2">
      <x v="169"/>
    </i>
    <i t="default" r="1">
      <x/>
    </i>
    <i t="default">
      <x v="1331"/>
    </i>
    <i>
      <x v="1332"/>
      <x v="1"/>
      <x v="46"/>
    </i>
    <i r="2">
      <x v="72"/>
    </i>
    <i r="2">
      <x v="74"/>
    </i>
    <i r="2">
      <x v="112"/>
    </i>
    <i r="2">
      <x v="266"/>
    </i>
    <i t="default" r="1">
      <x v="1"/>
    </i>
    <i t="default">
      <x v="1332"/>
    </i>
    <i>
      <x v="1333"/>
      <x/>
      <x v="7"/>
    </i>
    <i r="2">
      <x v="124"/>
    </i>
    <i r="2">
      <x v="205"/>
    </i>
    <i r="2">
      <x v="209"/>
    </i>
    <i r="2">
      <x v="232"/>
    </i>
    <i t="default" r="1">
      <x/>
    </i>
    <i t="default">
      <x v="1333"/>
    </i>
    <i>
      <x v="1334"/>
      <x/>
      <x v="210"/>
    </i>
    <i t="default" r="1">
      <x/>
    </i>
    <i t="default">
      <x v="1334"/>
    </i>
    <i>
      <x v="1335"/>
      <x v="2"/>
      <x v="7"/>
    </i>
    <i r="2">
      <x v="157"/>
    </i>
    <i r="2">
      <x v="161"/>
    </i>
    <i r="2">
      <x v="191"/>
    </i>
    <i r="2">
      <x v="273"/>
    </i>
    <i t="default" r="1">
      <x v="2"/>
    </i>
    <i t="default">
      <x v="1335"/>
    </i>
    <i>
      <x v="1336"/>
      <x/>
      <x v="187"/>
    </i>
    <i t="default" r="1">
      <x/>
    </i>
    <i t="default">
      <x v="1336"/>
    </i>
    <i>
      <x v="1337"/>
      <x/>
      <x v="206"/>
    </i>
    <i t="default" r="1">
      <x/>
    </i>
    <i t="default">
      <x v="1337"/>
    </i>
    <i>
      <x v="1338"/>
      <x v="2"/>
      <x v="198"/>
    </i>
    <i t="default" r="1">
      <x v="2"/>
    </i>
    <i t="default">
      <x v="1338"/>
    </i>
    <i>
      <x v="1339"/>
      <x v="2"/>
      <x v="38"/>
    </i>
    <i r="2">
      <x v="69"/>
    </i>
    <i r="2">
      <x v="94"/>
    </i>
    <i t="default" r="1">
      <x v="2"/>
    </i>
    <i t="default">
      <x v="1339"/>
    </i>
    <i>
      <x v="1340"/>
      <x/>
      <x v="24"/>
    </i>
    <i r="2">
      <x v="37"/>
    </i>
    <i r="2">
      <x v="125"/>
    </i>
    <i r="2">
      <x v="193"/>
    </i>
    <i t="default" r="1">
      <x/>
    </i>
    <i t="default">
      <x v="1340"/>
    </i>
    <i>
      <x v="1341"/>
      <x/>
      <x v="122"/>
    </i>
    <i r="2">
      <x v="238"/>
    </i>
    <i t="default" r="1">
      <x/>
    </i>
    <i t="default">
      <x v="1341"/>
    </i>
    <i>
      <x v="1342"/>
      <x/>
      <x v="46"/>
    </i>
    <i r="2">
      <x v="76"/>
    </i>
    <i r="2">
      <x v="123"/>
    </i>
    <i r="2">
      <x v="155"/>
    </i>
    <i r="2">
      <x v="186"/>
    </i>
    <i t="default" r="1">
      <x/>
    </i>
    <i t="default">
      <x v="1342"/>
    </i>
    <i>
      <x v="1343"/>
      <x/>
      <x v="29"/>
    </i>
    <i r="2">
      <x v="129"/>
    </i>
    <i r="2">
      <x v="151"/>
    </i>
    <i r="2">
      <x v="233"/>
    </i>
    <i t="default" r="1">
      <x/>
    </i>
    <i t="default">
      <x v="1343"/>
    </i>
    <i>
      <x v="1344"/>
      <x/>
      <x v="106"/>
    </i>
    <i r="2">
      <x v="147"/>
    </i>
    <i r="2">
      <x v="176"/>
    </i>
    <i r="2">
      <x v="216"/>
    </i>
    <i t="default" r="1">
      <x/>
    </i>
    <i t="default">
      <x v="1344"/>
    </i>
    <i>
      <x v="1345"/>
      <x v="1"/>
      <x v="89"/>
    </i>
    <i r="2">
      <x v="104"/>
    </i>
    <i r="2">
      <x v="107"/>
    </i>
    <i r="2">
      <x v="204"/>
    </i>
    <i r="2">
      <x v="253"/>
    </i>
    <i t="default" r="1">
      <x v="1"/>
    </i>
    <i t="default">
      <x v="1345"/>
    </i>
    <i>
      <x v="1346"/>
      <x v="2"/>
      <x v="140"/>
    </i>
    <i r="2">
      <x v="215"/>
    </i>
    <i t="default" r="1">
      <x v="2"/>
    </i>
    <i t="default">
      <x v="1346"/>
    </i>
    <i>
      <x v="1347"/>
      <x v="2"/>
      <x v="175"/>
    </i>
    <i r="2">
      <x v="188"/>
    </i>
    <i r="2">
      <x v="223"/>
    </i>
    <i r="2">
      <x v="232"/>
    </i>
    <i t="default" r="1">
      <x v="2"/>
    </i>
    <i t="default">
      <x v="1347"/>
    </i>
    <i>
      <x v="1348"/>
      <x/>
      <x v="145"/>
    </i>
    <i r="2">
      <x v="186"/>
    </i>
    <i r="2">
      <x v="210"/>
    </i>
    <i r="2">
      <x v="266"/>
    </i>
    <i t="default" r="1">
      <x/>
    </i>
    <i t="default">
      <x v="1348"/>
    </i>
    <i>
      <x v="1349"/>
      <x/>
      <x v="7"/>
    </i>
    <i r="2">
      <x v="56"/>
    </i>
    <i r="2">
      <x v="68"/>
    </i>
    <i r="2">
      <x v="69"/>
    </i>
    <i r="2">
      <x v="200"/>
    </i>
    <i t="default" r="1">
      <x/>
    </i>
    <i t="default">
      <x v="1349"/>
    </i>
    <i>
      <x v="1350"/>
      <x/>
      <x v="87"/>
    </i>
    <i r="2">
      <x v="252"/>
    </i>
    <i t="default" r="1">
      <x/>
    </i>
    <i t="default">
      <x v="1350"/>
    </i>
    <i>
      <x v="1351"/>
      <x/>
      <x v="23"/>
    </i>
    <i r="2">
      <x v="54"/>
    </i>
    <i r="2">
      <x v="143"/>
    </i>
    <i r="2">
      <x v="217"/>
    </i>
    <i r="2">
      <x v="251"/>
    </i>
    <i t="default" r="1">
      <x/>
    </i>
    <i t="default">
      <x v="1351"/>
    </i>
    <i>
      <x v="1352"/>
      <x/>
      <x v="22"/>
    </i>
    <i r="2">
      <x v="57"/>
    </i>
    <i r="2">
      <x v="118"/>
    </i>
    <i r="2">
      <x v="217"/>
    </i>
    <i t="default" r="1">
      <x/>
    </i>
    <i t="default">
      <x v="1352"/>
    </i>
    <i>
      <x v="1353"/>
      <x v="2"/>
      <x v="168"/>
    </i>
    <i t="default" r="1">
      <x v="2"/>
    </i>
    <i t="default">
      <x v="1353"/>
    </i>
    <i>
      <x v="1354"/>
      <x/>
      <x v="69"/>
    </i>
    <i r="2">
      <x v="71"/>
    </i>
    <i r="2">
      <x v="87"/>
    </i>
    <i r="2">
      <x v="195"/>
    </i>
    <i t="default" r="1">
      <x/>
    </i>
    <i t="default">
      <x v="1354"/>
    </i>
    <i>
      <x v="1355"/>
      <x/>
      <x v="67"/>
    </i>
    <i r="2">
      <x v="68"/>
    </i>
    <i r="2">
      <x v="246"/>
    </i>
    <i t="default" r="1">
      <x/>
    </i>
    <i t="default">
      <x v="1355"/>
    </i>
    <i>
      <x v="1356"/>
      <x/>
      <x v="122"/>
    </i>
    <i r="2">
      <x v="174"/>
    </i>
    <i r="2">
      <x v="264"/>
    </i>
    <i t="default" r="1">
      <x/>
    </i>
    <i t="default">
      <x v="1356"/>
    </i>
    <i>
      <x v="1357"/>
      <x v="2"/>
      <x/>
    </i>
    <i t="default" r="1">
      <x v="2"/>
    </i>
    <i t="default">
      <x v="1357"/>
    </i>
    <i>
      <x v="1358"/>
      <x v="1"/>
      <x v="3"/>
    </i>
    <i r="2">
      <x v="23"/>
    </i>
    <i t="default" r="1">
      <x v="1"/>
    </i>
    <i t="default">
      <x v="1358"/>
    </i>
    <i>
      <x v="1359"/>
      <x/>
      <x v="150"/>
    </i>
    <i t="default" r="1">
      <x/>
    </i>
    <i t="default">
      <x v="1359"/>
    </i>
    <i>
      <x v="1360"/>
      <x/>
      <x v="60"/>
    </i>
    <i r="2">
      <x v="141"/>
    </i>
    <i r="2">
      <x v="187"/>
    </i>
    <i t="default" r="1">
      <x/>
    </i>
    <i t="default">
      <x v="1360"/>
    </i>
    <i>
      <x v="1361"/>
      <x/>
      <x v="131"/>
    </i>
    <i r="2">
      <x v="212"/>
    </i>
    <i r="2">
      <x v="265"/>
    </i>
    <i t="default" r="1">
      <x/>
    </i>
    <i t="default">
      <x v="1361"/>
    </i>
    <i>
      <x v="1362"/>
      <x/>
      <x v="125"/>
    </i>
    <i t="default" r="1">
      <x/>
    </i>
    <i t="default">
      <x v="1362"/>
    </i>
    <i>
      <x v="1363"/>
      <x/>
      <x v="112"/>
    </i>
    <i r="2">
      <x v="120"/>
    </i>
    <i r="2">
      <x v="182"/>
    </i>
    <i r="2">
      <x v="196"/>
    </i>
    <i t="default" r="1">
      <x/>
    </i>
    <i t="default">
      <x v="1363"/>
    </i>
    <i>
      <x v="1364"/>
      <x/>
      <x v="33"/>
    </i>
    <i r="2">
      <x v="172"/>
    </i>
    <i r="2">
      <x v="223"/>
    </i>
    <i t="default" r="1">
      <x/>
    </i>
    <i t="default">
      <x v="1364"/>
    </i>
    <i>
      <x v="1365"/>
      <x/>
      <x v="134"/>
    </i>
    <i r="2">
      <x v="213"/>
    </i>
    <i r="2">
      <x v="229"/>
    </i>
    <i t="default" r="1">
      <x/>
    </i>
    <i t="default">
      <x v="1365"/>
    </i>
    <i>
      <x v="1366"/>
      <x v="2"/>
      <x v="72"/>
    </i>
    <i r="2">
      <x v="100"/>
    </i>
    <i r="2">
      <x v="139"/>
    </i>
    <i r="2">
      <x v="250"/>
    </i>
    <i t="default" r="1">
      <x v="2"/>
    </i>
    <i t="default">
      <x v="1366"/>
    </i>
    <i>
      <x v="1367"/>
      <x/>
      <x v="125"/>
    </i>
    <i r="2">
      <x v="166"/>
    </i>
    <i r="2">
      <x v="224"/>
    </i>
    <i t="default" r="1">
      <x/>
    </i>
    <i t="default">
      <x v="1367"/>
    </i>
    <i>
      <x v="1368"/>
      <x/>
      <x v="6"/>
    </i>
    <i t="default" r="1">
      <x/>
    </i>
    <i t="default">
      <x v="1368"/>
    </i>
    <i>
      <x v="1369"/>
      <x/>
      <x v="162"/>
    </i>
    <i r="2">
      <x v="237"/>
    </i>
    <i r="2">
      <x v="253"/>
    </i>
    <i r="2">
      <x v="261"/>
    </i>
    <i t="default" r="1">
      <x/>
    </i>
    <i t="default">
      <x v="1369"/>
    </i>
    <i>
      <x v="1370"/>
      <x/>
      <x v="17"/>
    </i>
    <i r="2">
      <x v="254"/>
    </i>
    <i t="default" r="1">
      <x/>
    </i>
    <i t="default">
      <x v="1370"/>
    </i>
    <i>
      <x v="1371"/>
      <x/>
      <x v="30"/>
    </i>
    <i r="2">
      <x v="60"/>
    </i>
    <i t="default" r="1">
      <x/>
    </i>
    <i t="default">
      <x v="1371"/>
    </i>
    <i>
      <x v="1372"/>
      <x v="1"/>
      <x v="158"/>
    </i>
    <i t="default" r="1">
      <x v="1"/>
    </i>
    <i t="default">
      <x v="1372"/>
    </i>
    <i>
      <x v="1373"/>
      <x v="2"/>
      <x v="180"/>
    </i>
    <i r="2">
      <x v="264"/>
    </i>
    <i t="default" r="1">
      <x v="2"/>
    </i>
    <i t="default">
      <x v="1373"/>
    </i>
    <i>
      <x v="1374"/>
      <x v="1"/>
      <x v="175"/>
    </i>
    <i r="2">
      <x v="181"/>
    </i>
    <i t="default" r="1">
      <x v="1"/>
    </i>
    <i t="default">
      <x v="1374"/>
    </i>
    <i>
      <x v="1375"/>
      <x v="2"/>
      <x v="101"/>
    </i>
    <i t="default" r="1">
      <x v="2"/>
    </i>
    <i t="default">
      <x v="1375"/>
    </i>
    <i>
      <x v="1376"/>
      <x/>
      <x v="187"/>
    </i>
    <i r="2">
      <x v="201"/>
    </i>
    <i r="2">
      <x v="264"/>
    </i>
    <i r="2">
      <x v="277"/>
    </i>
    <i t="default" r="1">
      <x/>
    </i>
    <i t="default">
      <x v="1376"/>
    </i>
    <i>
      <x v="1377"/>
      <x v="2"/>
      <x v="36"/>
    </i>
    <i r="2">
      <x v="106"/>
    </i>
    <i r="2">
      <x v="120"/>
    </i>
    <i r="2">
      <x v="214"/>
    </i>
    <i r="2">
      <x v="272"/>
    </i>
    <i t="default" r="1">
      <x v="2"/>
    </i>
    <i t="default">
      <x v="1377"/>
    </i>
    <i>
      <x v="1378"/>
      <x/>
      <x v="34"/>
    </i>
    <i r="2">
      <x v="107"/>
    </i>
    <i r="2">
      <x v="274"/>
    </i>
    <i t="default" r="1">
      <x/>
    </i>
    <i t="default">
      <x v="1378"/>
    </i>
    <i>
      <x v="1379"/>
      <x v="2"/>
      <x v="14"/>
    </i>
    <i r="2">
      <x v="59"/>
    </i>
    <i t="default" r="1">
      <x v="2"/>
    </i>
    <i t="default">
      <x v="1379"/>
    </i>
    <i>
      <x v="1380"/>
      <x/>
      <x v="52"/>
    </i>
    <i r="2">
      <x v="243"/>
    </i>
    <i t="default" r="1">
      <x/>
    </i>
    <i t="default">
      <x v="1380"/>
    </i>
    <i>
      <x v="1381"/>
      <x/>
      <x v="1"/>
    </i>
    <i r="2">
      <x v="20"/>
    </i>
    <i r="2">
      <x v="25"/>
    </i>
    <i r="2">
      <x v="60"/>
    </i>
    <i r="2">
      <x v="275"/>
    </i>
    <i t="default" r="1">
      <x/>
    </i>
    <i t="default">
      <x v="1381"/>
    </i>
    <i>
      <x v="1382"/>
      <x v="2"/>
      <x v="123"/>
    </i>
    <i r="2">
      <x v="277"/>
    </i>
    <i t="default" r="1">
      <x v="2"/>
    </i>
    <i t="default">
      <x v="1382"/>
    </i>
    <i>
      <x v="1383"/>
      <x/>
      <x v="39"/>
    </i>
    <i r="2">
      <x v="207"/>
    </i>
    <i r="2">
      <x v="214"/>
    </i>
    <i r="2">
      <x v="237"/>
    </i>
    <i t="default" r="1">
      <x/>
    </i>
    <i t="default">
      <x v="1383"/>
    </i>
    <i>
      <x v="1384"/>
      <x v="1"/>
      <x v="72"/>
    </i>
    <i r="2">
      <x v="174"/>
    </i>
    <i r="2">
      <x v="262"/>
    </i>
    <i r="2">
      <x v="275"/>
    </i>
    <i t="default" r="1">
      <x v="1"/>
    </i>
    <i t="default">
      <x v="1384"/>
    </i>
    <i>
      <x v="1385"/>
      <x v="2"/>
      <x v="50"/>
    </i>
    <i r="2">
      <x v="59"/>
    </i>
    <i r="2">
      <x v="204"/>
    </i>
    <i r="2">
      <x v="227"/>
    </i>
    <i t="default" r="1">
      <x v="2"/>
    </i>
    <i t="default">
      <x v="1385"/>
    </i>
    <i>
      <x v="1386"/>
      <x/>
      <x v="116"/>
    </i>
    <i t="default" r="1">
      <x/>
    </i>
    <i t="default">
      <x v="1386"/>
    </i>
    <i>
      <x v="1387"/>
      <x/>
      <x v="66"/>
    </i>
    <i t="default" r="1">
      <x/>
    </i>
    <i t="default">
      <x v="1387"/>
    </i>
    <i>
      <x v="1388"/>
      <x/>
      <x v="11"/>
    </i>
    <i r="2">
      <x v="90"/>
    </i>
    <i r="2">
      <x v="185"/>
    </i>
    <i t="default" r="1">
      <x/>
    </i>
    <i t="default">
      <x v="1388"/>
    </i>
    <i>
      <x v="1389"/>
      <x/>
      <x v="59"/>
    </i>
    <i r="2">
      <x v="93"/>
    </i>
    <i r="2">
      <x v="128"/>
    </i>
    <i r="2">
      <x v="131"/>
    </i>
    <i r="2">
      <x v="175"/>
    </i>
    <i t="default" r="1">
      <x/>
    </i>
    <i t="default">
      <x v="1389"/>
    </i>
    <i>
      <x v="1390"/>
      <x/>
      <x v="17"/>
    </i>
    <i r="2">
      <x v="85"/>
    </i>
    <i r="2">
      <x v="247"/>
    </i>
    <i t="default" r="1">
      <x/>
    </i>
    <i t="default">
      <x v="1390"/>
    </i>
    <i>
      <x v="1391"/>
      <x/>
      <x v="63"/>
    </i>
    <i r="2">
      <x v="234"/>
    </i>
    <i t="default" r="1">
      <x/>
    </i>
    <i t="default">
      <x v="1391"/>
    </i>
    <i>
      <x v="1392"/>
      <x/>
      <x v="3"/>
    </i>
    <i r="2">
      <x v="94"/>
    </i>
    <i r="2">
      <x v="218"/>
    </i>
    <i r="2">
      <x v="256"/>
    </i>
    <i t="default" r="1">
      <x/>
    </i>
    <i t="default">
      <x v="1392"/>
    </i>
    <i>
      <x v="1393"/>
      <x v="1"/>
      <x v="153"/>
    </i>
    <i t="default" r="1">
      <x v="1"/>
    </i>
    <i t="default">
      <x v="1393"/>
    </i>
    <i>
      <x v="1394"/>
      <x v="2"/>
      <x v="74"/>
    </i>
    <i r="2">
      <x v="170"/>
    </i>
    <i r="2">
      <x v="201"/>
    </i>
    <i r="2">
      <x v="265"/>
    </i>
    <i t="default" r="1">
      <x v="2"/>
    </i>
    <i t="default">
      <x v="1394"/>
    </i>
    <i>
      <x v="1395"/>
      <x/>
      <x v="180"/>
    </i>
    <i r="2">
      <x v="202"/>
    </i>
    <i t="default" r="1">
      <x/>
    </i>
    <i t="default">
      <x v="1395"/>
    </i>
    <i>
      <x v="1396"/>
      <x/>
      <x v="89"/>
    </i>
    <i r="2">
      <x v="112"/>
    </i>
    <i r="2">
      <x v="142"/>
    </i>
    <i r="2">
      <x v="255"/>
    </i>
    <i r="2">
      <x v="261"/>
    </i>
    <i t="default" r="1">
      <x/>
    </i>
    <i t="default">
      <x v="1396"/>
    </i>
    <i>
      <x v="1397"/>
      <x v="2"/>
      <x v="118"/>
    </i>
    <i r="2">
      <x v="140"/>
    </i>
    <i t="default" r="1">
      <x v="2"/>
    </i>
    <i t="default">
      <x v="1397"/>
    </i>
    <i>
      <x v="1398"/>
      <x/>
      <x v="19"/>
    </i>
    <i r="2">
      <x v="138"/>
    </i>
    <i r="2">
      <x v="142"/>
    </i>
    <i r="2">
      <x v="145"/>
    </i>
    <i t="default" r="1">
      <x/>
    </i>
    <i t="default">
      <x v="1398"/>
    </i>
    <i>
      <x v="1399"/>
      <x/>
      <x v="44"/>
    </i>
    <i r="2">
      <x v="72"/>
    </i>
    <i r="2">
      <x v="239"/>
    </i>
    <i r="2">
      <x v="244"/>
    </i>
    <i t="default" r="1">
      <x/>
    </i>
    <i t="default">
      <x v="1399"/>
    </i>
    <i>
      <x v="1400"/>
      <x/>
      <x v="16"/>
    </i>
    <i r="2">
      <x v="56"/>
    </i>
    <i r="2">
      <x v="154"/>
    </i>
    <i t="default" r="1">
      <x/>
    </i>
    <i t="default">
      <x v="1400"/>
    </i>
    <i>
      <x v="1401"/>
      <x/>
      <x v="138"/>
    </i>
    <i r="2">
      <x v="221"/>
    </i>
    <i r="2">
      <x v="232"/>
    </i>
    <i r="2">
      <x v="242"/>
    </i>
    <i t="default" r="1">
      <x/>
    </i>
    <i t="default">
      <x v="1401"/>
    </i>
    <i>
      <x v="1402"/>
      <x/>
      <x v="95"/>
    </i>
    <i t="default" r="1">
      <x/>
    </i>
    <i t="default">
      <x v="1402"/>
    </i>
    <i>
      <x v="1403"/>
      <x v="2"/>
      <x v="8"/>
    </i>
    <i r="2">
      <x v="154"/>
    </i>
    <i r="2">
      <x v="220"/>
    </i>
    <i t="default" r="1">
      <x v="2"/>
    </i>
    <i t="default">
      <x v="1403"/>
    </i>
    <i>
      <x v="1404"/>
      <x/>
      <x v="203"/>
    </i>
    <i t="default" r="1">
      <x/>
    </i>
    <i t="default">
      <x v="1404"/>
    </i>
    <i>
      <x v="1405"/>
      <x/>
      <x v="16"/>
    </i>
    <i r="2">
      <x v="224"/>
    </i>
    <i t="default" r="1">
      <x/>
    </i>
    <i t="default">
      <x v="1405"/>
    </i>
    <i>
      <x v="1406"/>
      <x/>
      <x v="57"/>
    </i>
    <i r="2">
      <x v="127"/>
    </i>
    <i r="2">
      <x v="148"/>
    </i>
    <i r="2">
      <x v="267"/>
    </i>
    <i t="default" r="1">
      <x/>
    </i>
    <i t="default">
      <x v="1406"/>
    </i>
    <i>
      <x v="1407"/>
      <x/>
      <x v="27"/>
    </i>
    <i r="2">
      <x v="102"/>
    </i>
    <i r="2">
      <x v="168"/>
    </i>
    <i r="2">
      <x v="225"/>
    </i>
    <i t="default" r="1">
      <x/>
    </i>
    <i t="default">
      <x v="1407"/>
    </i>
    <i>
      <x v="1408"/>
      <x v="1"/>
      <x v="9"/>
    </i>
    <i r="2">
      <x v="58"/>
    </i>
    <i r="2">
      <x v="109"/>
    </i>
    <i r="2">
      <x v="165"/>
    </i>
    <i r="2">
      <x v="185"/>
    </i>
    <i t="default" r="1">
      <x v="1"/>
    </i>
    <i t="default">
      <x v="1408"/>
    </i>
    <i>
      <x v="1409"/>
      <x/>
      <x v="74"/>
    </i>
    <i r="2">
      <x v="232"/>
    </i>
    <i r="2">
      <x v="266"/>
    </i>
    <i t="default" r="1">
      <x/>
    </i>
    <i t="default">
      <x v="1409"/>
    </i>
    <i>
      <x v="1410"/>
      <x v="2"/>
      <x v="61"/>
    </i>
    <i r="2">
      <x v="160"/>
    </i>
    <i t="default" r="1">
      <x v="2"/>
    </i>
    <i t="default">
      <x v="1410"/>
    </i>
    <i>
      <x v="1411"/>
      <x/>
      <x v="119"/>
    </i>
    <i r="2">
      <x v="170"/>
    </i>
    <i r="2">
      <x v="215"/>
    </i>
    <i t="default" r="1">
      <x/>
    </i>
    <i t="default">
      <x v="1411"/>
    </i>
    <i>
      <x v="1412"/>
      <x v="1"/>
      <x v="87"/>
    </i>
    <i t="default" r="1">
      <x v="1"/>
    </i>
    <i t="default">
      <x v="1412"/>
    </i>
    <i>
      <x v="1413"/>
      <x/>
      <x v="50"/>
    </i>
    <i r="2">
      <x v="203"/>
    </i>
    <i t="default" r="1">
      <x/>
    </i>
    <i t="default">
      <x v="1413"/>
    </i>
    <i>
      <x v="1414"/>
      <x/>
      <x v="77"/>
    </i>
    <i r="2">
      <x v="103"/>
    </i>
    <i r="2">
      <x v="108"/>
    </i>
    <i r="2">
      <x v="150"/>
    </i>
    <i t="default" r="1">
      <x/>
    </i>
    <i t="default">
      <x v="1414"/>
    </i>
    <i>
      <x v="1415"/>
      <x v="1"/>
      <x v="65"/>
    </i>
    <i r="2">
      <x v="94"/>
    </i>
    <i r="2">
      <x v="276"/>
    </i>
    <i t="default" r="1">
      <x v="1"/>
    </i>
    <i t="default">
      <x v="1415"/>
    </i>
    <i>
      <x v="1416"/>
      <x v="2"/>
      <x v="35"/>
    </i>
    <i t="default" r="1">
      <x v="2"/>
    </i>
    <i t="default">
      <x v="1416"/>
    </i>
    <i>
      <x v="1417"/>
      <x/>
      <x v="75"/>
    </i>
    <i r="2">
      <x v="211"/>
    </i>
    <i t="default" r="1">
      <x/>
    </i>
    <i t="default">
      <x v="1417"/>
    </i>
    <i>
      <x v="1418"/>
      <x/>
      <x v="24"/>
    </i>
    <i r="2">
      <x v="31"/>
    </i>
    <i r="2">
      <x v="139"/>
    </i>
    <i t="default" r="1">
      <x/>
    </i>
    <i t="default">
      <x v="1418"/>
    </i>
    <i>
      <x v="1419"/>
      <x/>
      <x v="134"/>
    </i>
    <i r="2">
      <x v="271"/>
    </i>
    <i r="2">
      <x v="276"/>
    </i>
    <i t="default" r="1">
      <x/>
    </i>
    <i t="default">
      <x v="1419"/>
    </i>
    <i>
      <x v="1420"/>
      <x/>
      <x v="88"/>
    </i>
    <i t="default" r="1">
      <x/>
    </i>
    <i t="default">
      <x v="1420"/>
    </i>
    <i>
      <x v="1421"/>
      <x v="1"/>
      <x v="75"/>
    </i>
    <i r="2">
      <x v="115"/>
    </i>
    <i r="2">
      <x v="170"/>
    </i>
    <i t="default" r="1">
      <x v="1"/>
    </i>
    <i t="default">
      <x v="1421"/>
    </i>
    <i>
      <x v="1422"/>
      <x v="2"/>
      <x v="70"/>
    </i>
    <i r="2">
      <x v="89"/>
    </i>
    <i r="2">
      <x v="110"/>
    </i>
    <i r="2">
      <x v="224"/>
    </i>
    <i t="default" r="1">
      <x v="2"/>
    </i>
    <i t="default">
      <x v="1422"/>
    </i>
    <i>
      <x v="1423"/>
      <x v="2"/>
      <x v="257"/>
    </i>
    <i t="default" r="1">
      <x v="2"/>
    </i>
    <i t="default">
      <x v="1423"/>
    </i>
    <i>
      <x v="1424"/>
      <x/>
      <x v="11"/>
    </i>
    <i r="2">
      <x v="95"/>
    </i>
    <i r="2">
      <x v="107"/>
    </i>
    <i r="2">
      <x v="174"/>
    </i>
    <i r="2">
      <x v="189"/>
    </i>
    <i t="default" r="1">
      <x/>
    </i>
    <i t="default">
      <x v="1424"/>
    </i>
    <i>
      <x v="1425"/>
      <x/>
      <x v="11"/>
    </i>
    <i r="2">
      <x v="37"/>
    </i>
    <i r="2">
      <x v="83"/>
    </i>
    <i t="default" r="1">
      <x/>
    </i>
    <i t="default">
      <x v="1425"/>
    </i>
    <i>
      <x v="1426"/>
      <x/>
      <x v="16"/>
    </i>
    <i r="2">
      <x v="147"/>
    </i>
    <i r="2">
      <x v="255"/>
    </i>
    <i t="default" r="1">
      <x/>
    </i>
    <i t="default">
      <x v="1426"/>
    </i>
    <i>
      <x v="1427"/>
      <x/>
      <x v="47"/>
    </i>
    <i r="2">
      <x v="132"/>
    </i>
    <i r="2">
      <x v="138"/>
    </i>
    <i r="2">
      <x v="228"/>
    </i>
    <i r="2">
      <x v="276"/>
    </i>
    <i t="default" r="1">
      <x/>
    </i>
    <i t="default">
      <x v="1427"/>
    </i>
    <i>
      <x v="1428"/>
      <x/>
      <x v="2"/>
    </i>
    <i t="default" r="1">
      <x/>
    </i>
    <i t="default">
      <x v="1428"/>
    </i>
    <i>
      <x v="1429"/>
      <x/>
      <x v="11"/>
    </i>
    <i r="2">
      <x v="12"/>
    </i>
    <i t="default" r="1">
      <x/>
    </i>
    <i t="default">
      <x v="1429"/>
    </i>
    <i>
      <x v="1430"/>
      <x/>
      <x v="56"/>
    </i>
    <i r="2">
      <x v="67"/>
    </i>
    <i r="2">
      <x v="140"/>
    </i>
    <i r="2">
      <x v="157"/>
    </i>
    <i t="default" r="1">
      <x/>
    </i>
    <i t="default">
      <x v="1430"/>
    </i>
    <i>
      <x v="1431"/>
      <x/>
      <x v="133"/>
    </i>
    <i t="default" r="1">
      <x/>
    </i>
    <i t="default">
      <x v="1431"/>
    </i>
    <i>
      <x v="1432"/>
      <x/>
      <x v="108"/>
    </i>
    <i t="default" r="1">
      <x/>
    </i>
    <i t="default">
      <x v="1432"/>
    </i>
    <i>
      <x v="1433"/>
      <x/>
      <x v="14"/>
    </i>
    <i r="2">
      <x v="41"/>
    </i>
    <i r="2">
      <x v="66"/>
    </i>
    <i r="2">
      <x v="233"/>
    </i>
    <i t="default" r="1">
      <x/>
    </i>
    <i t="default">
      <x v="1433"/>
    </i>
    <i>
      <x v="1434"/>
      <x/>
      <x v="57"/>
    </i>
    <i r="2">
      <x v="122"/>
    </i>
    <i r="2">
      <x v="263"/>
    </i>
    <i r="2">
      <x v="273"/>
    </i>
    <i t="default" r="1">
      <x/>
    </i>
    <i t="default">
      <x v="1434"/>
    </i>
    <i>
      <x v="1435"/>
      <x/>
      <x v="76"/>
    </i>
    <i t="default" r="1">
      <x/>
    </i>
    <i t="default">
      <x v="1435"/>
    </i>
    <i>
      <x v="1436"/>
      <x v="2"/>
      <x v="263"/>
    </i>
    <i t="default" r="1">
      <x v="2"/>
    </i>
    <i t="default">
      <x v="1436"/>
    </i>
    <i>
      <x v="1437"/>
      <x/>
      <x v="1"/>
    </i>
    <i r="2">
      <x v="25"/>
    </i>
    <i r="2">
      <x v="102"/>
    </i>
    <i r="2">
      <x v="199"/>
    </i>
    <i r="2">
      <x v="257"/>
    </i>
    <i t="default" r="1">
      <x/>
    </i>
    <i t="default">
      <x v="1437"/>
    </i>
    <i>
      <x v="1438"/>
      <x/>
      <x v="80"/>
    </i>
    <i r="2">
      <x v="107"/>
    </i>
    <i r="2">
      <x v="195"/>
    </i>
    <i r="2">
      <x v="209"/>
    </i>
    <i t="default" r="1">
      <x/>
    </i>
    <i t="default">
      <x v="1438"/>
    </i>
    <i>
      <x v="1439"/>
      <x v="1"/>
      <x v="119"/>
    </i>
    <i r="2">
      <x v="126"/>
    </i>
    <i r="2">
      <x v="166"/>
    </i>
    <i r="2">
      <x v="167"/>
    </i>
    <i r="2">
      <x v="226"/>
    </i>
    <i t="default" r="1">
      <x v="1"/>
    </i>
    <i t="default">
      <x v="1439"/>
    </i>
    <i>
      <x v="1440"/>
      <x v="1"/>
      <x v="65"/>
    </i>
    <i r="2">
      <x v="99"/>
    </i>
    <i r="2">
      <x v="136"/>
    </i>
    <i t="default" r="1">
      <x v="1"/>
    </i>
    <i t="default">
      <x v="1440"/>
    </i>
    <i>
      <x v="1441"/>
      <x/>
      <x v="8"/>
    </i>
    <i r="2">
      <x v="205"/>
    </i>
    <i r="2">
      <x v="240"/>
    </i>
    <i t="default" r="1">
      <x/>
    </i>
    <i t="default">
      <x v="1441"/>
    </i>
    <i>
      <x v="1442"/>
      <x/>
      <x v="55"/>
    </i>
    <i r="2">
      <x v="202"/>
    </i>
    <i r="2">
      <x v="205"/>
    </i>
    <i t="default" r="1">
      <x/>
    </i>
    <i t="default">
      <x v="1442"/>
    </i>
    <i>
      <x v="1443"/>
      <x/>
      <x v="134"/>
    </i>
    <i r="2">
      <x v="239"/>
    </i>
    <i t="default" r="1">
      <x/>
    </i>
    <i t="default">
      <x v="1443"/>
    </i>
    <i>
      <x v="1444"/>
      <x/>
      <x v="35"/>
    </i>
    <i r="2">
      <x v="143"/>
    </i>
    <i r="2">
      <x v="208"/>
    </i>
    <i t="default" r="1">
      <x/>
    </i>
    <i t="default">
      <x v="1444"/>
    </i>
    <i>
      <x v="1445"/>
      <x/>
      <x v="11"/>
    </i>
    <i r="2">
      <x v="22"/>
    </i>
    <i r="2">
      <x v="24"/>
    </i>
    <i t="default" r="1">
      <x/>
    </i>
    <i t="default">
      <x v="1445"/>
    </i>
    <i>
      <x v="1446"/>
      <x v="2"/>
      <x v="188"/>
    </i>
    <i t="default" r="1">
      <x v="2"/>
    </i>
    <i t="default">
      <x v="1446"/>
    </i>
    <i>
      <x v="1447"/>
      <x/>
      <x v="61"/>
    </i>
    <i t="default" r="1">
      <x/>
    </i>
    <i t="default">
      <x v="1447"/>
    </i>
    <i>
      <x v="1448"/>
      <x/>
      <x v="26"/>
    </i>
    <i r="2">
      <x v="57"/>
    </i>
    <i r="2">
      <x v="67"/>
    </i>
    <i r="2">
      <x v="179"/>
    </i>
    <i r="2">
      <x v="200"/>
    </i>
    <i t="default" r="1">
      <x/>
    </i>
    <i t="default">
      <x v="1448"/>
    </i>
    <i>
      <x v="1449"/>
      <x/>
      <x v="31"/>
    </i>
    <i r="2">
      <x v="45"/>
    </i>
    <i r="2">
      <x v="73"/>
    </i>
    <i r="2">
      <x v="163"/>
    </i>
    <i r="2">
      <x v="177"/>
    </i>
    <i t="default" r="1">
      <x/>
    </i>
    <i t="default">
      <x v="1449"/>
    </i>
    <i>
      <x v="1450"/>
      <x/>
      <x v="269"/>
    </i>
    <i t="default" r="1">
      <x/>
    </i>
    <i t="default">
      <x v="1450"/>
    </i>
    <i>
      <x v="1451"/>
      <x v="2"/>
      <x v="24"/>
    </i>
    <i r="2">
      <x v="46"/>
    </i>
    <i r="2">
      <x v="119"/>
    </i>
    <i r="2">
      <x v="217"/>
    </i>
    <i t="default" r="1">
      <x v="2"/>
    </i>
    <i t="default">
      <x v="1451"/>
    </i>
    <i>
      <x v="1452"/>
      <x v="2"/>
      <x v="237"/>
    </i>
    <i t="default" r="1">
      <x v="2"/>
    </i>
    <i t="default">
      <x v="1452"/>
    </i>
    <i>
      <x v="1453"/>
      <x/>
      <x v="30"/>
    </i>
    <i r="2">
      <x v="92"/>
    </i>
    <i r="2">
      <x v="127"/>
    </i>
    <i r="2">
      <x v="139"/>
    </i>
    <i t="default" r="1">
      <x/>
    </i>
    <i t="default">
      <x v="1453"/>
    </i>
    <i>
      <x v="1454"/>
      <x/>
      <x v="55"/>
    </i>
    <i r="2">
      <x v="56"/>
    </i>
    <i t="default" r="1">
      <x/>
    </i>
    <i t="default">
      <x v="1454"/>
    </i>
    <i>
      <x v="1455"/>
      <x/>
      <x v="78"/>
    </i>
    <i r="2">
      <x v="132"/>
    </i>
    <i r="2">
      <x v="218"/>
    </i>
    <i r="2">
      <x v="220"/>
    </i>
    <i r="2">
      <x v="241"/>
    </i>
    <i t="default" r="1">
      <x/>
    </i>
    <i t="default">
      <x v="1455"/>
    </i>
    <i>
      <x v="1456"/>
      <x/>
      <x v="121"/>
    </i>
    <i r="2">
      <x v="182"/>
    </i>
    <i r="2">
      <x v="218"/>
    </i>
    <i r="2">
      <x v="224"/>
    </i>
    <i t="default" r="1">
      <x/>
    </i>
    <i t="default">
      <x v="1456"/>
    </i>
    <i>
      <x v="1457"/>
      <x v="1"/>
      <x v="72"/>
    </i>
    <i r="2">
      <x v="85"/>
    </i>
    <i r="2">
      <x v="112"/>
    </i>
    <i r="2">
      <x v="130"/>
    </i>
    <i t="default" r="1">
      <x v="1"/>
    </i>
    <i t="default">
      <x v="1457"/>
    </i>
    <i>
      <x v="1458"/>
      <x/>
      <x v="4"/>
    </i>
    <i t="default" r="1">
      <x/>
    </i>
    <i t="default">
      <x v="1458"/>
    </i>
    <i>
      <x v="1459"/>
      <x/>
      <x v="28"/>
    </i>
    <i r="2">
      <x v="135"/>
    </i>
    <i r="2">
      <x v="208"/>
    </i>
    <i r="2">
      <x v="230"/>
    </i>
    <i r="2">
      <x v="261"/>
    </i>
    <i t="default" r="1">
      <x/>
    </i>
    <i t="default">
      <x v="1459"/>
    </i>
    <i>
      <x v="1460"/>
      <x/>
      <x v="65"/>
    </i>
    <i r="2">
      <x v="201"/>
    </i>
    <i t="default" r="1">
      <x/>
    </i>
    <i t="default">
      <x v="1460"/>
    </i>
    <i>
      <x v="1461"/>
      <x/>
      <x v="17"/>
    </i>
    <i r="2">
      <x v="53"/>
    </i>
    <i r="2">
      <x v="66"/>
    </i>
    <i r="2">
      <x v="79"/>
    </i>
    <i r="2">
      <x v="107"/>
    </i>
    <i t="default" r="1">
      <x/>
    </i>
    <i t="default">
      <x v="1461"/>
    </i>
    <i>
      <x v="1462"/>
      <x/>
      <x v="145"/>
    </i>
    <i r="2">
      <x v="260"/>
    </i>
    <i t="default" r="1">
      <x/>
    </i>
    <i t="default">
      <x v="1462"/>
    </i>
    <i>
      <x v="1463"/>
      <x/>
      <x v="119"/>
    </i>
    <i r="2">
      <x v="139"/>
    </i>
    <i r="2">
      <x v="153"/>
    </i>
    <i r="2">
      <x v="173"/>
    </i>
    <i t="default" r="1">
      <x/>
    </i>
    <i t="default">
      <x v="1463"/>
    </i>
    <i>
      <x v="1464"/>
      <x/>
      <x v="2"/>
    </i>
    <i t="default" r="1">
      <x/>
    </i>
    <i t="default">
      <x v="1464"/>
    </i>
    <i>
      <x v="1465"/>
      <x v="2"/>
      <x v="63"/>
    </i>
    <i r="2">
      <x v="66"/>
    </i>
    <i r="2">
      <x v="141"/>
    </i>
    <i r="2">
      <x v="262"/>
    </i>
    <i t="default" r="1">
      <x v="2"/>
    </i>
    <i t="default">
      <x v="1465"/>
    </i>
    <i>
      <x v="1466"/>
      <x/>
      <x v="104"/>
    </i>
    <i r="2">
      <x v="213"/>
    </i>
    <i r="2">
      <x v="248"/>
    </i>
    <i t="default" r="1">
      <x/>
    </i>
    <i t="default">
      <x v="1466"/>
    </i>
    <i>
      <x v="1467"/>
      <x v="2"/>
      <x v="223"/>
    </i>
    <i r="2">
      <x v="235"/>
    </i>
    <i r="2">
      <x v="259"/>
    </i>
    <i t="default" r="1">
      <x v="2"/>
    </i>
    <i t="default">
      <x v="1467"/>
    </i>
    <i>
      <x v="1468"/>
      <x v="1"/>
      <x v="29"/>
    </i>
    <i r="2">
      <x v="38"/>
    </i>
    <i r="2">
      <x v="54"/>
    </i>
    <i r="2">
      <x v="181"/>
    </i>
    <i t="default" r="1">
      <x v="1"/>
    </i>
    <i t="default">
      <x v="1468"/>
    </i>
    <i>
      <x v="1469"/>
      <x/>
      <x v="42"/>
    </i>
    <i r="2">
      <x v="67"/>
    </i>
    <i r="2">
      <x v="120"/>
    </i>
    <i t="default" r="1">
      <x/>
    </i>
    <i t="default">
      <x v="1469"/>
    </i>
    <i>
      <x v="1470"/>
      <x/>
      <x v="178"/>
    </i>
    <i r="2">
      <x v="251"/>
    </i>
    <i t="default" r="1">
      <x/>
    </i>
    <i t="default">
      <x v="1470"/>
    </i>
    <i>
      <x v="1471"/>
      <x/>
      <x v="57"/>
    </i>
    <i r="2">
      <x v="124"/>
    </i>
    <i t="default" r="1">
      <x/>
    </i>
    <i t="default">
      <x v="1471"/>
    </i>
    <i>
      <x v="1472"/>
      <x v="2"/>
      <x v="80"/>
    </i>
    <i r="2">
      <x v="124"/>
    </i>
    <i t="default" r="1">
      <x v="2"/>
    </i>
    <i t="default">
      <x v="1472"/>
    </i>
    <i>
      <x v="1473"/>
      <x v="2"/>
      <x v="58"/>
    </i>
    <i r="2">
      <x v="208"/>
    </i>
    <i t="default" r="1">
      <x v="2"/>
    </i>
    <i t="default">
      <x v="1473"/>
    </i>
    <i>
      <x v="1474"/>
      <x/>
      <x v="58"/>
    </i>
    <i r="2">
      <x v="59"/>
    </i>
    <i r="2">
      <x v="84"/>
    </i>
    <i r="2">
      <x v="133"/>
    </i>
    <i t="default" r="1">
      <x/>
    </i>
    <i t="default">
      <x v="1474"/>
    </i>
    <i>
      <x v="1475"/>
      <x/>
      <x v="32"/>
    </i>
    <i r="2">
      <x v="109"/>
    </i>
    <i r="2">
      <x v="214"/>
    </i>
    <i r="2">
      <x v="215"/>
    </i>
    <i r="2">
      <x v="245"/>
    </i>
    <i t="default" r="1">
      <x/>
    </i>
    <i t="default">
      <x v="1475"/>
    </i>
    <i>
      <x v="1476"/>
      <x/>
      <x v="145"/>
    </i>
    <i t="default" r="1">
      <x/>
    </i>
    <i t="default">
      <x v="1476"/>
    </i>
    <i>
      <x v="1477"/>
      <x/>
      <x v="54"/>
    </i>
    <i r="2">
      <x v="208"/>
    </i>
    <i t="default" r="1">
      <x/>
    </i>
    <i t="default">
      <x v="1477"/>
    </i>
    <i>
      <x v="1478"/>
      <x/>
      <x v="62"/>
    </i>
    <i r="2">
      <x v="67"/>
    </i>
    <i t="default" r="1">
      <x/>
    </i>
    <i t="default">
      <x v="1478"/>
    </i>
    <i>
      <x v="1479"/>
      <x/>
      <x v="3"/>
    </i>
    <i r="2">
      <x v="25"/>
    </i>
    <i r="2">
      <x v="61"/>
    </i>
    <i r="2">
      <x v="94"/>
    </i>
    <i t="default" r="1">
      <x/>
    </i>
    <i t="default">
      <x v="1479"/>
    </i>
    <i>
      <x v="1480"/>
      <x/>
      <x v="140"/>
    </i>
    <i r="2">
      <x v="264"/>
    </i>
    <i t="default" r="1">
      <x/>
    </i>
    <i t="default">
      <x v="1480"/>
    </i>
    <i>
      <x v="1481"/>
      <x/>
      <x v="201"/>
    </i>
    <i r="2">
      <x v="216"/>
    </i>
    <i r="2">
      <x v="223"/>
    </i>
    <i r="2">
      <x v="224"/>
    </i>
    <i r="2">
      <x v="266"/>
    </i>
    <i t="default" r="1">
      <x/>
    </i>
    <i t="default">
      <x v="1481"/>
    </i>
    <i>
      <x v="1482"/>
      <x/>
      <x v="74"/>
    </i>
    <i r="2">
      <x v="268"/>
    </i>
    <i t="default" r="1">
      <x/>
    </i>
    <i t="default">
      <x v="1482"/>
    </i>
    <i>
      <x v="1483"/>
      <x/>
      <x v="74"/>
    </i>
    <i r="2">
      <x v="85"/>
    </i>
    <i r="2">
      <x v="184"/>
    </i>
    <i t="default" r="1">
      <x/>
    </i>
    <i t="default">
      <x v="1483"/>
    </i>
    <i>
      <x v="1484"/>
      <x/>
      <x v="149"/>
    </i>
    <i r="2">
      <x v="246"/>
    </i>
    <i t="default" r="1">
      <x/>
    </i>
    <i t="default">
      <x v="1484"/>
    </i>
    <i>
      <x v="1485"/>
      <x/>
      <x v="45"/>
    </i>
    <i r="2">
      <x v="122"/>
    </i>
    <i r="2">
      <x v="224"/>
    </i>
    <i r="2">
      <x v="235"/>
    </i>
    <i t="default" r="1">
      <x/>
    </i>
    <i t="default">
      <x v="1485"/>
    </i>
    <i>
      <x v="1486"/>
      <x v="2"/>
      <x v="36"/>
    </i>
    <i r="2">
      <x v="66"/>
    </i>
    <i r="2">
      <x v="173"/>
    </i>
    <i r="2">
      <x v="205"/>
    </i>
    <i r="2">
      <x v="270"/>
    </i>
    <i t="default" r="1">
      <x v="2"/>
    </i>
    <i t="default">
      <x v="1486"/>
    </i>
    <i>
      <x v="1487"/>
      <x v="2"/>
      <x v="149"/>
    </i>
    <i r="2">
      <x v="209"/>
    </i>
    <i t="default" r="1">
      <x v="2"/>
    </i>
    <i t="default">
      <x v="1487"/>
    </i>
    <i>
      <x v="1488"/>
      <x v="2"/>
      <x v="23"/>
    </i>
    <i r="2">
      <x v="66"/>
    </i>
    <i r="2">
      <x v="143"/>
    </i>
    <i t="default" r="1">
      <x v="2"/>
    </i>
    <i t="default">
      <x v="1488"/>
    </i>
    <i>
      <x v="1489"/>
      <x v="2"/>
      <x v="10"/>
    </i>
    <i r="2">
      <x v="46"/>
    </i>
    <i r="2">
      <x v="56"/>
    </i>
    <i t="default" r="1">
      <x v="2"/>
    </i>
    <i t="default">
      <x v="1489"/>
    </i>
    <i>
      <x v="1490"/>
      <x v="2"/>
      <x v="28"/>
    </i>
    <i r="2">
      <x v="70"/>
    </i>
    <i r="2">
      <x v="122"/>
    </i>
    <i r="2">
      <x v="255"/>
    </i>
    <i t="default" r="1">
      <x v="2"/>
    </i>
    <i t="default">
      <x v="1490"/>
    </i>
    <i>
      <x v="1491"/>
      <x/>
      <x v="91"/>
    </i>
    <i t="default" r="1">
      <x/>
    </i>
    <i t="default">
      <x v="1491"/>
    </i>
    <i>
      <x v="1492"/>
      <x v="1"/>
      <x v="16"/>
    </i>
    <i t="default" r="1">
      <x v="1"/>
    </i>
    <i t="default">
      <x v="1492"/>
    </i>
    <i>
      <x v="1493"/>
      <x v="2"/>
      <x v="16"/>
    </i>
    <i r="2">
      <x v="108"/>
    </i>
    <i r="2">
      <x v="167"/>
    </i>
    <i t="default" r="1">
      <x v="2"/>
    </i>
    <i t="default">
      <x v="1493"/>
    </i>
    <i>
      <x v="1494"/>
      <x/>
      <x v="50"/>
    </i>
    <i r="2">
      <x v="61"/>
    </i>
    <i r="2">
      <x v="102"/>
    </i>
    <i t="default" r="1">
      <x/>
    </i>
    <i t="default">
      <x v="1494"/>
    </i>
    <i>
      <x v="1495"/>
      <x v="2"/>
      <x v="19"/>
    </i>
    <i r="2">
      <x v="25"/>
    </i>
    <i r="2">
      <x v="52"/>
    </i>
    <i r="2">
      <x v="70"/>
    </i>
    <i r="2">
      <x v="84"/>
    </i>
    <i t="default" r="1">
      <x v="2"/>
    </i>
    <i t="default">
      <x v="1495"/>
    </i>
    <i>
      <x v="1496"/>
      <x v="2"/>
      <x v="66"/>
    </i>
    <i r="2">
      <x v="263"/>
    </i>
    <i r="2">
      <x v="265"/>
    </i>
    <i t="default" r="1">
      <x v="2"/>
    </i>
    <i t="default">
      <x v="1496"/>
    </i>
    <i>
      <x v="1497"/>
      <x v="2"/>
      <x v="57"/>
    </i>
    <i r="2">
      <x v="176"/>
    </i>
    <i t="default" r="1">
      <x v="2"/>
    </i>
    <i t="default">
      <x v="1497"/>
    </i>
    <i>
      <x v="1498"/>
      <x v="2"/>
      <x v="106"/>
    </i>
    <i r="2">
      <x v="120"/>
    </i>
    <i r="2">
      <x v="162"/>
    </i>
    <i r="2">
      <x v="185"/>
    </i>
    <i r="2">
      <x v="218"/>
    </i>
    <i t="default" r="1">
      <x v="2"/>
    </i>
    <i t="default">
      <x v="1498"/>
    </i>
    <i>
      <x v="1499"/>
      <x v="2"/>
      <x v="51"/>
    </i>
    <i r="2">
      <x v="93"/>
    </i>
    <i t="default" r="1">
      <x v="2"/>
    </i>
    <i t="default">
      <x v="1499"/>
    </i>
    <i>
      <x v="1500"/>
      <x/>
      <x v="34"/>
    </i>
    <i r="2">
      <x v="35"/>
    </i>
    <i r="2">
      <x v="84"/>
    </i>
    <i r="2">
      <x v="126"/>
    </i>
    <i r="2">
      <x v="145"/>
    </i>
    <i t="default" r="1">
      <x/>
    </i>
    <i t="default">
      <x v="1500"/>
    </i>
    <i>
      <x v="1501"/>
      <x/>
      <x v="18"/>
    </i>
    <i r="2">
      <x v="59"/>
    </i>
    <i r="2">
      <x v="81"/>
    </i>
    <i r="2">
      <x v="105"/>
    </i>
    <i r="2">
      <x v="218"/>
    </i>
    <i t="default" r="1">
      <x/>
    </i>
    <i t="default">
      <x v="1501"/>
    </i>
    <i>
      <x v="1502"/>
      <x v="2"/>
      <x v="44"/>
    </i>
    <i r="2">
      <x v="70"/>
    </i>
    <i t="default" r="1">
      <x v="2"/>
    </i>
    <i t="default">
      <x v="1502"/>
    </i>
    <i>
      <x v="1503"/>
      <x v="2"/>
      <x v="246"/>
    </i>
    <i t="default" r="1">
      <x v="2"/>
    </i>
    <i t="default">
      <x v="1503"/>
    </i>
    <i>
      <x v="1504"/>
      <x/>
      <x v="17"/>
    </i>
    <i r="2">
      <x v="72"/>
    </i>
    <i r="2">
      <x v="215"/>
    </i>
    <i t="default" r="1">
      <x/>
    </i>
    <i t="default">
      <x v="1504"/>
    </i>
    <i>
      <x v="1505"/>
      <x/>
      <x v="186"/>
    </i>
    <i r="2">
      <x v="187"/>
    </i>
    <i r="2">
      <x v="195"/>
    </i>
    <i t="default" r="1">
      <x/>
    </i>
    <i t="default">
      <x v="1505"/>
    </i>
    <i>
      <x v="1506"/>
      <x/>
      <x v="5"/>
    </i>
    <i r="2">
      <x v="11"/>
    </i>
    <i r="2">
      <x v="51"/>
    </i>
    <i r="2">
      <x v="146"/>
    </i>
    <i r="2">
      <x v="262"/>
    </i>
    <i t="default" r="1">
      <x/>
    </i>
    <i t="default">
      <x v="1506"/>
    </i>
    <i>
      <x v="1507"/>
      <x/>
      <x v="91"/>
    </i>
    <i r="2">
      <x v="119"/>
    </i>
    <i r="2">
      <x v="143"/>
    </i>
    <i r="2">
      <x v="236"/>
    </i>
    <i t="default" r="1">
      <x/>
    </i>
    <i t="default">
      <x v="1507"/>
    </i>
    <i>
      <x v="1508"/>
      <x v="2"/>
      <x v="37"/>
    </i>
    <i t="default" r="1">
      <x v="2"/>
    </i>
    <i t="default">
      <x v="1508"/>
    </i>
    <i>
      <x v="1509"/>
      <x/>
      <x v="8"/>
    </i>
    <i r="2">
      <x v="66"/>
    </i>
    <i r="2">
      <x v="102"/>
    </i>
    <i r="2">
      <x v="116"/>
    </i>
    <i r="2">
      <x v="214"/>
    </i>
    <i t="default" r="1">
      <x/>
    </i>
    <i t="default">
      <x v="1509"/>
    </i>
    <i>
      <x v="1510"/>
      <x/>
      <x v="43"/>
    </i>
    <i r="2">
      <x v="93"/>
    </i>
    <i r="2">
      <x v="103"/>
    </i>
    <i r="2">
      <x v="139"/>
    </i>
    <i r="2">
      <x v="172"/>
    </i>
    <i t="default" r="1">
      <x/>
    </i>
    <i t="default">
      <x v="1510"/>
    </i>
    <i>
      <x v="1511"/>
      <x v="1"/>
      <x v="44"/>
    </i>
    <i t="default" r="1">
      <x v="1"/>
    </i>
    <i t="default">
      <x v="1511"/>
    </i>
    <i>
      <x v="1512"/>
      <x v="2"/>
      <x v="168"/>
    </i>
    <i r="2">
      <x v="200"/>
    </i>
    <i r="2">
      <x v="233"/>
    </i>
    <i t="default" r="1">
      <x v="2"/>
    </i>
    <i t="default">
      <x v="1512"/>
    </i>
    <i>
      <x v="1513"/>
      <x v="2"/>
      <x v="63"/>
    </i>
    <i r="2">
      <x v="232"/>
    </i>
    <i t="default" r="1">
      <x v="2"/>
    </i>
    <i t="default">
      <x v="1513"/>
    </i>
    <i>
      <x v="1514"/>
      <x v="1"/>
      <x v="63"/>
    </i>
    <i r="2">
      <x v="131"/>
    </i>
    <i r="2">
      <x v="164"/>
    </i>
    <i r="2">
      <x v="216"/>
    </i>
    <i r="2">
      <x v="231"/>
    </i>
    <i t="default" r="1">
      <x v="1"/>
    </i>
    <i t="default">
      <x v="1514"/>
    </i>
    <i>
      <x v="1515"/>
      <x v="2"/>
      <x v="5"/>
    </i>
    <i r="2">
      <x v="69"/>
    </i>
    <i r="2">
      <x v="176"/>
    </i>
    <i r="2">
      <x v="240"/>
    </i>
    <i r="2">
      <x v="270"/>
    </i>
    <i t="default" r="1">
      <x v="2"/>
    </i>
    <i t="default">
      <x v="1515"/>
    </i>
    <i>
      <x v="1516"/>
      <x v="2"/>
      <x v="68"/>
    </i>
    <i r="2">
      <x v="74"/>
    </i>
    <i t="default" r="1">
      <x v="2"/>
    </i>
    <i t="default">
      <x v="1516"/>
    </i>
    <i>
      <x v="1517"/>
      <x v="2"/>
      <x v="67"/>
    </i>
    <i r="2">
      <x v="74"/>
    </i>
    <i r="2">
      <x v="181"/>
    </i>
    <i t="default" r="1">
      <x v="2"/>
    </i>
    <i t="default">
      <x v="1517"/>
    </i>
    <i>
      <x v="1518"/>
      <x/>
      <x v="90"/>
    </i>
    <i r="2">
      <x v="109"/>
    </i>
    <i r="2">
      <x v="123"/>
    </i>
    <i r="2">
      <x v="139"/>
    </i>
    <i r="2">
      <x v="204"/>
    </i>
    <i t="default" r="1">
      <x/>
    </i>
    <i t="default">
      <x v="1518"/>
    </i>
    <i>
      <x v="1519"/>
      <x v="1"/>
      <x v="63"/>
    </i>
    <i r="2">
      <x v="107"/>
    </i>
    <i r="2">
      <x v="166"/>
    </i>
    <i r="2">
      <x v="277"/>
    </i>
    <i t="default" r="1">
      <x v="1"/>
    </i>
    <i t="default">
      <x v="1519"/>
    </i>
    <i>
      <x v="1520"/>
      <x v="2"/>
      <x v="54"/>
    </i>
    <i r="2">
      <x v="75"/>
    </i>
    <i r="2">
      <x v="208"/>
    </i>
    <i r="2">
      <x v="275"/>
    </i>
    <i t="default" r="1">
      <x v="2"/>
    </i>
    <i t="default">
      <x v="1520"/>
    </i>
    <i>
      <x v="1521"/>
      <x v="2"/>
      <x v="28"/>
    </i>
    <i r="2">
      <x v="263"/>
    </i>
    <i r="2">
      <x v="269"/>
    </i>
    <i t="default" r="1">
      <x v="2"/>
    </i>
    <i t="default">
      <x v="1521"/>
    </i>
    <i>
      <x v="1522"/>
      <x/>
      <x v="64"/>
    </i>
    <i t="default" r="1">
      <x/>
    </i>
    <i t="default">
      <x v="1522"/>
    </i>
    <i>
      <x v="1523"/>
      <x/>
      <x v="67"/>
    </i>
    <i r="2">
      <x v="71"/>
    </i>
    <i r="2">
      <x v="85"/>
    </i>
    <i r="2">
      <x v="145"/>
    </i>
    <i t="default" r="1">
      <x/>
    </i>
    <i t="default">
      <x v="1523"/>
    </i>
    <i>
      <x v="1524"/>
      <x/>
      <x v="141"/>
    </i>
    <i r="2">
      <x v="190"/>
    </i>
    <i r="2">
      <x v="220"/>
    </i>
    <i t="default" r="1">
      <x/>
    </i>
    <i t="default">
      <x v="1524"/>
    </i>
    <i>
      <x v="1525"/>
      <x/>
      <x v="60"/>
    </i>
    <i r="2">
      <x v="75"/>
    </i>
    <i r="2">
      <x v="173"/>
    </i>
    <i r="2">
      <x v="193"/>
    </i>
    <i t="default" r="1">
      <x/>
    </i>
    <i t="default">
      <x v="1525"/>
    </i>
    <i>
      <x v="1526"/>
      <x v="1"/>
      <x v="129"/>
    </i>
    <i r="2">
      <x v="152"/>
    </i>
    <i r="2">
      <x v="202"/>
    </i>
    <i t="default" r="1">
      <x v="1"/>
    </i>
    <i t="default">
      <x v="1526"/>
    </i>
    <i>
      <x v="1527"/>
      <x v="1"/>
      <x v="14"/>
    </i>
    <i t="default" r="1">
      <x v="1"/>
    </i>
    <i t="default">
      <x v="1527"/>
    </i>
    <i>
      <x v="1528"/>
      <x v="1"/>
      <x v="27"/>
    </i>
    <i r="2">
      <x v="259"/>
    </i>
    <i t="default" r="1">
      <x v="1"/>
    </i>
    <i t="default">
      <x v="1528"/>
    </i>
    <i>
      <x v="1529"/>
      <x v="2"/>
      <x v="6"/>
    </i>
    <i r="2">
      <x v="226"/>
    </i>
    <i t="default" r="1">
      <x v="2"/>
    </i>
    <i t="default">
      <x v="1529"/>
    </i>
    <i>
      <x v="1530"/>
      <x v="2"/>
      <x v="134"/>
    </i>
    <i t="default" r="1">
      <x v="2"/>
    </i>
    <i t="default">
      <x v="1530"/>
    </i>
    <i>
      <x v="1531"/>
      <x/>
      <x v="163"/>
    </i>
    <i t="default" r="1">
      <x/>
    </i>
    <i t="default">
      <x v="1531"/>
    </i>
    <i>
      <x v="1532"/>
      <x/>
      <x v="31"/>
    </i>
    <i r="2">
      <x v="36"/>
    </i>
    <i r="2">
      <x v="112"/>
    </i>
    <i r="2">
      <x v="243"/>
    </i>
    <i r="2">
      <x v="260"/>
    </i>
    <i t="default" r="1">
      <x/>
    </i>
    <i t="default">
      <x v="1532"/>
    </i>
    <i>
      <x v="1533"/>
      <x/>
      <x v="176"/>
    </i>
    <i r="2">
      <x v="235"/>
    </i>
    <i r="2">
      <x v="269"/>
    </i>
    <i r="2">
      <x v="276"/>
    </i>
    <i t="default" r="1">
      <x/>
    </i>
    <i t="default">
      <x v="1533"/>
    </i>
    <i>
      <x v="1534"/>
      <x/>
      <x v="21"/>
    </i>
    <i r="2">
      <x v="94"/>
    </i>
    <i t="default" r="1">
      <x/>
    </i>
    <i t="default">
      <x v="1534"/>
    </i>
    <i>
      <x v="1535"/>
      <x/>
      <x v="161"/>
    </i>
    <i r="2">
      <x v="183"/>
    </i>
    <i r="2">
      <x v="270"/>
    </i>
    <i t="default" r="1">
      <x/>
    </i>
    <i t="default">
      <x v="1535"/>
    </i>
    <i>
      <x v="1536"/>
      <x/>
      <x v="38"/>
    </i>
    <i t="default" r="1">
      <x/>
    </i>
    <i t="default">
      <x v="1536"/>
    </i>
    <i>
      <x v="1537"/>
      <x/>
      <x v="59"/>
    </i>
    <i r="2">
      <x v="99"/>
    </i>
    <i r="2">
      <x v="155"/>
    </i>
    <i r="2">
      <x v="269"/>
    </i>
    <i r="2">
      <x v="271"/>
    </i>
    <i t="default" r="1">
      <x/>
    </i>
    <i t="default">
      <x v="1537"/>
    </i>
    <i>
      <x v="1538"/>
      <x v="1"/>
      <x v="72"/>
    </i>
    <i r="2">
      <x v="136"/>
    </i>
    <i t="default" r="1">
      <x v="1"/>
    </i>
    <i t="default">
      <x v="1538"/>
    </i>
    <i>
      <x v="1539"/>
      <x v="2"/>
      <x v="19"/>
    </i>
    <i r="2">
      <x v="33"/>
    </i>
    <i r="2">
      <x v="110"/>
    </i>
    <i r="2">
      <x v="112"/>
    </i>
    <i r="2">
      <x v="194"/>
    </i>
    <i t="default" r="1">
      <x v="2"/>
    </i>
    <i t="default">
      <x v="1539"/>
    </i>
    <i>
      <x v="1540"/>
      <x/>
      <x v="84"/>
    </i>
    <i r="2">
      <x v="103"/>
    </i>
    <i r="2">
      <x v="196"/>
    </i>
    <i r="2">
      <x v="214"/>
    </i>
    <i r="2">
      <x v="217"/>
    </i>
    <i t="default" r="1">
      <x/>
    </i>
    <i t="default">
      <x v="1540"/>
    </i>
    <i>
      <x v="1541"/>
      <x/>
      <x v="87"/>
    </i>
    <i r="2">
      <x v="91"/>
    </i>
    <i r="2">
      <x v="113"/>
    </i>
    <i r="2">
      <x v="149"/>
    </i>
    <i r="2">
      <x v="186"/>
    </i>
    <i t="default" r="1">
      <x/>
    </i>
    <i t="default">
      <x v="1541"/>
    </i>
    <i>
      <x v="1542"/>
      <x/>
      <x v="39"/>
    </i>
    <i r="2">
      <x v="95"/>
    </i>
    <i r="2">
      <x v="117"/>
    </i>
    <i r="2">
      <x v="164"/>
    </i>
    <i r="2">
      <x v="251"/>
    </i>
    <i t="default" r="1">
      <x/>
    </i>
    <i t="default">
      <x v="1542"/>
    </i>
    <i>
      <x v="1543"/>
      <x v="2"/>
      <x v="118"/>
    </i>
    <i r="2">
      <x v="276"/>
    </i>
    <i t="default" r="1">
      <x v="2"/>
    </i>
    <i t="default">
      <x v="1543"/>
    </i>
    <i>
      <x v="1544"/>
      <x v="2"/>
      <x v="98"/>
    </i>
    <i t="default" r="1">
      <x v="2"/>
    </i>
    <i t="default">
      <x v="1544"/>
    </i>
    <i>
      <x v="1545"/>
      <x v="2"/>
      <x v="37"/>
    </i>
    <i r="2">
      <x v="79"/>
    </i>
    <i r="2">
      <x v="161"/>
    </i>
    <i r="2">
      <x v="190"/>
    </i>
    <i t="default" r="1">
      <x v="2"/>
    </i>
    <i t="default">
      <x v="1545"/>
    </i>
    <i>
      <x v="1546"/>
      <x v="2"/>
      <x v="116"/>
    </i>
    <i r="2">
      <x v="265"/>
    </i>
    <i t="default" r="1">
      <x v="2"/>
    </i>
    <i t="default">
      <x v="1546"/>
    </i>
    <i>
      <x v="1547"/>
      <x v="2"/>
      <x v="156"/>
    </i>
    <i r="2">
      <x v="207"/>
    </i>
    <i r="2">
      <x v="231"/>
    </i>
    <i t="default" r="1">
      <x v="2"/>
    </i>
    <i t="default">
      <x v="1547"/>
    </i>
    <i>
      <x v="1548"/>
      <x/>
      <x v="65"/>
    </i>
    <i r="2">
      <x v="89"/>
    </i>
    <i r="2">
      <x v="164"/>
    </i>
    <i r="2">
      <x v="219"/>
    </i>
    <i t="default" r="1">
      <x/>
    </i>
    <i t="default">
      <x v="1548"/>
    </i>
    <i>
      <x v="1549"/>
      <x/>
      <x v="76"/>
    </i>
    <i r="2">
      <x v="77"/>
    </i>
    <i r="2">
      <x v="161"/>
    </i>
    <i r="2">
      <x v="188"/>
    </i>
    <i r="2">
      <x v="217"/>
    </i>
    <i t="default" r="1">
      <x/>
    </i>
    <i t="default">
      <x v="1549"/>
    </i>
    <i>
      <x v="1550"/>
      <x/>
      <x v="157"/>
    </i>
    <i t="default" r="1">
      <x/>
    </i>
    <i t="default">
      <x v="1550"/>
    </i>
    <i>
      <x v="1551"/>
      <x/>
      <x v="93"/>
    </i>
    <i r="2">
      <x v="271"/>
    </i>
    <i t="default" r="1">
      <x/>
    </i>
    <i t="default">
      <x v="1551"/>
    </i>
    <i>
      <x v="1552"/>
      <x v="2"/>
      <x v="66"/>
    </i>
    <i r="2">
      <x v="72"/>
    </i>
    <i r="2">
      <x v="80"/>
    </i>
    <i r="2">
      <x v="237"/>
    </i>
    <i t="default" r="1">
      <x v="2"/>
    </i>
    <i t="default">
      <x v="1552"/>
    </i>
    <i>
      <x v="1553"/>
      <x v="2"/>
      <x v="40"/>
    </i>
    <i r="2">
      <x v="168"/>
    </i>
    <i t="default" r="1">
      <x v="2"/>
    </i>
    <i t="default">
      <x v="1553"/>
    </i>
    <i>
      <x v="1554"/>
      <x/>
      <x v="72"/>
    </i>
    <i r="2">
      <x v="132"/>
    </i>
    <i r="2">
      <x v="134"/>
    </i>
    <i r="2">
      <x v="190"/>
    </i>
    <i r="2">
      <x v="197"/>
    </i>
    <i t="default" r="1">
      <x/>
    </i>
    <i t="default">
      <x v="1554"/>
    </i>
    <i>
      <x v="1555"/>
      <x/>
      <x v="3"/>
    </i>
    <i r="2">
      <x v="31"/>
    </i>
    <i r="2">
      <x v="109"/>
    </i>
    <i r="2">
      <x v="184"/>
    </i>
    <i r="2">
      <x v="219"/>
    </i>
    <i t="default" r="1">
      <x/>
    </i>
    <i t="default">
      <x v="1555"/>
    </i>
    <i>
      <x v="1556"/>
      <x v="2"/>
      <x v="141"/>
    </i>
    <i t="default" r="1">
      <x v="2"/>
    </i>
    <i t="default">
      <x v="1556"/>
    </i>
    <i>
      <x v="1557"/>
      <x/>
      <x v="69"/>
    </i>
    <i r="2">
      <x v="99"/>
    </i>
    <i r="2">
      <x v="179"/>
    </i>
    <i r="2">
      <x v="208"/>
    </i>
    <i r="2">
      <x v="212"/>
    </i>
    <i t="default" r="1">
      <x/>
    </i>
    <i t="default">
      <x v="1557"/>
    </i>
    <i>
      <x v="1558"/>
      <x/>
      <x v="12"/>
    </i>
    <i r="2">
      <x v="55"/>
    </i>
    <i r="2">
      <x v="104"/>
    </i>
    <i r="2">
      <x v="189"/>
    </i>
    <i t="default" r="1">
      <x/>
    </i>
    <i t="default">
      <x v="1558"/>
    </i>
    <i>
      <x v="1559"/>
      <x/>
      <x v="93"/>
    </i>
    <i r="2">
      <x v="274"/>
    </i>
    <i t="default" r="1">
      <x/>
    </i>
    <i t="default">
      <x v="1559"/>
    </i>
    <i>
      <x v="1560"/>
      <x/>
      <x v="87"/>
    </i>
    <i r="2">
      <x v="180"/>
    </i>
    <i t="default" r="1">
      <x/>
    </i>
    <i t="default">
      <x v="1560"/>
    </i>
    <i>
      <x v="1561"/>
      <x/>
      <x v="125"/>
    </i>
    <i r="2">
      <x v="189"/>
    </i>
    <i r="2">
      <x v="213"/>
    </i>
    <i t="default" r="1">
      <x/>
    </i>
    <i t="default">
      <x v="1561"/>
    </i>
    <i>
      <x v="1562"/>
      <x v="1"/>
      <x v="277"/>
    </i>
    <i t="default" r="1">
      <x v="1"/>
    </i>
    <i t="default">
      <x v="1562"/>
    </i>
    <i>
      <x v="1563"/>
      <x v="2"/>
      <x v="26"/>
    </i>
    <i r="2">
      <x v="62"/>
    </i>
    <i t="default" r="1">
      <x v="2"/>
    </i>
    <i t="default">
      <x v="1563"/>
    </i>
    <i>
      <x v="1564"/>
      <x v="2"/>
      <x v="28"/>
    </i>
    <i r="2">
      <x v="58"/>
    </i>
    <i r="2">
      <x v="74"/>
    </i>
    <i r="2">
      <x v="91"/>
    </i>
    <i r="2">
      <x v="94"/>
    </i>
    <i t="default" r="1">
      <x v="2"/>
    </i>
    <i t="default">
      <x v="1564"/>
    </i>
    <i>
      <x v="1565"/>
      <x v="2"/>
      <x v="169"/>
    </i>
    <i r="2">
      <x v="233"/>
    </i>
    <i t="default" r="1">
      <x v="2"/>
    </i>
    <i t="default">
      <x v="1565"/>
    </i>
    <i>
      <x v="1566"/>
      <x v="2"/>
      <x v="249"/>
    </i>
    <i t="default" r="1">
      <x v="2"/>
    </i>
    <i t="default">
      <x v="1566"/>
    </i>
    <i>
      <x v="1567"/>
      <x v="2"/>
      <x v="58"/>
    </i>
    <i r="2">
      <x v="130"/>
    </i>
    <i r="2">
      <x v="192"/>
    </i>
    <i t="default" r="1">
      <x v="2"/>
    </i>
    <i t="default">
      <x v="1567"/>
    </i>
    <i>
      <x v="1568"/>
      <x/>
      <x v="67"/>
    </i>
    <i t="default" r="1">
      <x/>
    </i>
    <i t="default">
      <x v="1568"/>
    </i>
    <i>
      <x v="1569"/>
      <x/>
      <x v="196"/>
    </i>
    <i t="default" r="1">
      <x/>
    </i>
    <i t="default">
      <x v="1569"/>
    </i>
    <i>
      <x v="1570"/>
      <x/>
      <x v="65"/>
    </i>
    <i r="2">
      <x v="73"/>
    </i>
    <i r="2">
      <x v="83"/>
    </i>
    <i t="default" r="1">
      <x/>
    </i>
    <i t="default">
      <x v="1570"/>
    </i>
    <i>
      <x v="1571"/>
      <x v="1"/>
      <x v="47"/>
    </i>
    <i r="2">
      <x v="66"/>
    </i>
    <i r="2">
      <x v="74"/>
    </i>
    <i r="2">
      <x v="213"/>
    </i>
    <i t="default" r="1">
      <x v="1"/>
    </i>
    <i t="default">
      <x v="1571"/>
    </i>
    <i>
      <x v="1572"/>
      <x v="2"/>
      <x v="34"/>
    </i>
    <i r="2">
      <x v="47"/>
    </i>
    <i r="2">
      <x v="107"/>
    </i>
    <i r="2">
      <x v="160"/>
    </i>
    <i r="2">
      <x v="272"/>
    </i>
    <i t="default" r="1">
      <x v="2"/>
    </i>
    <i t="default">
      <x v="1572"/>
    </i>
    <i>
      <x v="1573"/>
      <x v="2"/>
      <x v="142"/>
    </i>
    <i t="default" r="1">
      <x v="2"/>
    </i>
    <i t="default">
      <x v="1573"/>
    </i>
    <i>
      <x v="1574"/>
      <x v="2"/>
      <x v="6"/>
    </i>
    <i r="2">
      <x v="94"/>
    </i>
    <i r="2">
      <x v="97"/>
    </i>
    <i r="2">
      <x v="132"/>
    </i>
    <i r="2">
      <x v="157"/>
    </i>
    <i t="default" r="1">
      <x v="2"/>
    </i>
    <i t="default">
      <x v="1574"/>
    </i>
    <i>
      <x v="1575"/>
      <x/>
      <x v="51"/>
    </i>
    <i r="2">
      <x v="118"/>
    </i>
    <i r="2">
      <x v="231"/>
    </i>
    <i t="default" r="1">
      <x/>
    </i>
    <i t="default">
      <x v="1575"/>
    </i>
    <i>
      <x v="1576"/>
      <x/>
      <x v="23"/>
    </i>
    <i r="2">
      <x v="57"/>
    </i>
    <i r="2">
      <x v="88"/>
    </i>
    <i r="2">
      <x v="100"/>
    </i>
    <i r="2">
      <x v="121"/>
    </i>
    <i t="default" r="1">
      <x/>
    </i>
    <i t="default">
      <x v="1576"/>
    </i>
    <i>
      <x v="1577"/>
      <x/>
      <x v="63"/>
    </i>
    <i r="2">
      <x v="64"/>
    </i>
    <i r="2">
      <x v="265"/>
    </i>
    <i t="default" r="1">
      <x/>
    </i>
    <i t="default">
      <x v="1577"/>
    </i>
    <i>
      <x v="1578"/>
      <x v="2"/>
      <x v="41"/>
    </i>
    <i r="2">
      <x v="52"/>
    </i>
    <i r="2">
      <x v="123"/>
    </i>
    <i r="2">
      <x v="184"/>
    </i>
    <i t="default" r="1">
      <x v="2"/>
    </i>
    <i t="default">
      <x v="1578"/>
    </i>
    <i>
      <x v="1579"/>
      <x v="2"/>
      <x v="217"/>
    </i>
    <i r="2">
      <x v="219"/>
    </i>
    <i t="default" r="1">
      <x v="2"/>
    </i>
    <i t="default">
      <x v="1579"/>
    </i>
    <i>
      <x v="1580"/>
      <x v="2"/>
      <x v="80"/>
    </i>
    <i r="2">
      <x v="241"/>
    </i>
    <i t="default" r="1">
      <x v="2"/>
    </i>
    <i t="default">
      <x v="1580"/>
    </i>
    <i>
      <x v="1581"/>
      <x v="2"/>
      <x v="21"/>
    </i>
    <i r="2">
      <x v="252"/>
    </i>
    <i t="default" r="1">
      <x v="2"/>
    </i>
    <i t="default">
      <x v="1581"/>
    </i>
    <i>
      <x v="1582"/>
      <x/>
      <x v="34"/>
    </i>
    <i r="2">
      <x v="109"/>
    </i>
    <i t="default" r="1">
      <x/>
    </i>
    <i t="default">
      <x v="1582"/>
    </i>
    <i>
      <x v="1583"/>
      <x v="2"/>
      <x v="47"/>
    </i>
    <i r="2">
      <x v="98"/>
    </i>
    <i r="2">
      <x v="175"/>
    </i>
    <i r="2">
      <x v="215"/>
    </i>
    <i r="2">
      <x v="228"/>
    </i>
    <i t="default" r="1">
      <x v="2"/>
    </i>
    <i t="default">
      <x v="1583"/>
    </i>
    <i>
      <x v="1584"/>
      <x v="2"/>
      <x v="28"/>
    </i>
    <i r="2">
      <x v="32"/>
    </i>
    <i r="2">
      <x v="71"/>
    </i>
    <i r="2">
      <x v="116"/>
    </i>
    <i r="2">
      <x v="157"/>
    </i>
    <i t="default" r="1">
      <x v="2"/>
    </i>
    <i t="default">
      <x v="1584"/>
    </i>
    <i>
      <x v="1585"/>
      <x v="2"/>
      <x v="26"/>
    </i>
    <i r="2">
      <x v="85"/>
    </i>
    <i r="2">
      <x v="148"/>
    </i>
    <i r="2">
      <x v="177"/>
    </i>
    <i r="2">
      <x v="247"/>
    </i>
    <i t="default" r="1">
      <x v="2"/>
    </i>
    <i t="default">
      <x v="1585"/>
    </i>
    <i>
      <x v="1586"/>
      <x v="2"/>
      <x v="57"/>
    </i>
    <i r="2">
      <x v="112"/>
    </i>
    <i r="2">
      <x v="128"/>
    </i>
    <i r="2">
      <x v="158"/>
    </i>
    <i t="default" r="1">
      <x v="2"/>
    </i>
    <i t="default">
      <x v="1586"/>
    </i>
    <i>
      <x v="1587"/>
      <x/>
      <x v="95"/>
    </i>
    <i t="default" r="1">
      <x/>
    </i>
    <i t="default">
      <x v="1587"/>
    </i>
    <i>
      <x v="1588"/>
      <x v="2"/>
      <x v="57"/>
    </i>
    <i r="2">
      <x v="78"/>
    </i>
    <i r="2">
      <x v="138"/>
    </i>
    <i t="default" r="1">
      <x v="2"/>
    </i>
    <i t="default">
      <x v="1588"/>
    </i>
    <i>
      <x v="1589"/>
      <x v="2"/>
      <x v="27"/>
    </i>
    <i r="2">
      <x v="84"/>
    </i>
    <i r="2">
      <x v="198"/>
    </i>
    <i t="default" r="1">
      <x v="2"/>
    </i>
    <i t="default">
      <x v="1589"/>
    </i>
    <i>
      <x v="1590"/>
      <x v="2"/>
      <x v="39"/>
    </i>
    <i r="2">
      <x v="41"/>
    </i>
    <i r="2">
      <x v="109"/>
    </i>
    <i r="2">
      <x v="132"/>
    </i>
    <i r="2">
      <x v="210"/>
    </i>
    <i t="default" r="1">
      <x v="2"/>
    </i>
    <i t="default">
      <x v="1590"/>
    </i>
    <i>
      <x v="1591"/>
      <x/>
      <x v="147"/>
    </i>
    <i r="2">
      <x v="160"/>
    </i>
    <i r="2">
      <x v="200"/>
    </i>
    <i r="2">
      <x v="216"/>
    </i>
    <i r="2">
      <x v="240"/>
    </i>
    <i t="default" r="1">
      <x/>
    </i>
    <i t="default">
      <x v="1591"/>
    </i>
    <i>
      <x v="1592"/>
      <x/>
      <x v="39"/>
    </i>
    <i r="2">
      <x v="118"/>
    </i>
    <i r="2">
      <x v="199"/>
    </i>
    <i r="2">
      <x v="206"/>
    </i>
    <i r="2">
      <x v="258"/>
    </i>
    <i t="default" r="1">
      <x/>
    </i>
    <i t="default">
      <x v="1592"/>
    </i>
    <i>
      <x v="1593"/>
      <x/>
      <x v="113"/>
    </i>
    <i r="2">
      <x v="130"/>
    </i>
    <i t="default" r="1">
      <x/>
    </i>
    <i t="default">
      <x v="1593"/>
    </i>
    <i>
      <x v="1594"/>
      <x/>
      <x v="154"/>
    </i>
    <i t="default" r="1">
      <x/>
    </i>
    <i t="default">
      <x v="1594"/>
    </i>
    <i>
      <x v="1595"/>
      <x v="1"/>
      <x v="104"/>
    </i>
    <i r="2">
      <x v="245"/>
    </i>
    <i t="default" r="1">
      <x v="1"/>
    </i>
    <i t="default">
      <x v="1595"/>
    </i>
    <i>
      <x v="1596"/>
      <x v="1"/>
      <x v="178"/>
    </i>
    <i r="2">
      <x v="222"/>
    </i>
    <i t="default" r="1">
      <x v="1"/>
    </i>
    <i t="default">
      <x v="1596"/>
    </i>
    <i>
      <x v="1597"/>
      <x v="2"/>
      <x v="82"/>
    </i>
    <i r="2">
      <x v="184"/>
    </i>
    <i r="2">
      <x v="236"/>
    </i>
    <i t="default" r="1">
      <x v="2"/>
    </i>
    <i t="default">
      <x v="1597"/>
    </i>
    <i>
      <x v="1598"/>
      <x/>
      <x v="128"/>
    </i>
    <i t="default" r="1">
      <x/>
    </i>
    <i t="default">
      <x v="1598"/>
    </i>
    <i>
      <x v="1599"/>
      <x/>
      <x v="85"/>
    </i>
    <i r="2">
      <x v="148"/>
    </i>
    <i r="2">
      <x v="192"/>
    </i>
    <i t="default" r="1">
      <x/>
    </i>
    <i t="default">
      <x v="1599"/>
    </i>
    <i>
      <x v="1600"/>
      <x v="1"/>
      <x v="8"/>
    </i>
    <i r="2">
      <x v="144"/>
    </i>
    <i r="2">
      <x v="170"/>
    </i>
    <i r="2">
      <x v="225"/>
    </i>
    <i r="2">
      <x v="261"/>
    </i>
    <i t="default" r="1">
      <x v="1"/>
    </i>
    <i t="default">
      <x v="1600"/>
    </i>
    <i>
      <x v="1601"/>
      <x/>
      <x/>
    </i>
    <i r="2">
      <x v="91"/>
    </i>
    <i r="2">
      <x v="110"/>
    </i>
    <i r="2">
      <x v="244"/>
    </i>
    <i t="default" r="1">
      <x/>
    </i>
    <i t="default">
      <x v="1601"/>
    </i>
    <i>
      <x v="1602"/>
      <x/>
      <x v="244"/>
    </i>
    <i t="default" r="1">
      <x/>
    </i>
    <i t="default">
      <x v="1602"/>
    </i>
    <i>
      <x v="1603"/>
      <x/>
      <x v="240"/>
    </i>
    <i t="default" r="1">
      <x/>
    </i>
    <i t="default">
      <x v="1603"/>
    </i>
    <i>
      <x v="1604"/>
      <x v="1"/>
      <x v="58"/>
    </i>
    <i r="2">
      <x v="111"/>
    </i>
    <i r="2">
      <x v="166"/>
    </i>
    <i r="2">
      <x v="250"/>
    </i>
    <i r="2">
      <x v="273"/>
    </i>
    <i t="default" r="1">
      <x v="1"/>
    </i>
    <i t="default">
      <x v="1604"/>
    </i>
    <i>
      <x v="1605"/>
      <x v="1"/>
      <x v="77"/>
    </i>
    <i r="2">
      <x v="240"/>
    </i>
    <i t="default" r="1">
      <x v="1"/>
    </i>
    <i t="default">
      <x v="1605"/>
    </i>
    <i>
      <x v="1606"/>
      <x v="2"/>
      <x v="273"/>
    </i>
    <i t="default" r="1">
      <x v="2"/>
    </i>
    <i t="default">
      <x v="1606"/>
    </i>
    <i>
      <x v="1607"/>
      <x v="2"/>
      <x v="18"/>
    </i>
    <i t="default" r="1">
      <x v="2"/>
    </i>
    <i t="default">
      <x v="1607"/>
    </i>
    <i>
      <x v="1608"/>
      <x/>
      <x v="13"/>
    </i>
    <i r="2">
      <x v="36"/>
    </i>
    <i r="2">
      <x v="60"/>
    </i>
    <i r="2">
      <x v="130"/>
    </i>
    <i t="default" r="1">
      <x/>
    </i>
    <i t="default">
      <x v="1608"/>
    </i>
    <i>
      <x v="1609"/>
      <x/>
      <x v="148"/>
    </i>
    <i r="2">
      <x v="177"/>
    </i>
    <i t="default" r="1">
      <x/>
    </i>
    <i t="default">
      <x v="1609"/>
    </i>
    <i>
      <x v="1610"/>
      <x/>
      <x v="32"/>
    </i>
    <i r="2">
      <x v="33"/>
    </i>
    <i r="2">
      <x v="185"/>
    </i>
    <i t="default" r="1">
      <x/>
    </i>
    <i t="default">
      <x v="1610"/>
    </i>
    <i>
      <x v="1611"/>
      <x v="2"/>
      <x v="48"/>
    </i>
    <i r="2">
      <x v="51"/>
    </i>
    <i r="2">
      <x v="55"/>
    </i>
    <i r="2">
      <x v="65"/>
    </i>
    <i r="2">
      <x v="122"/>
    </i>
    <i t="default" r="1">
      <x v="2"/>
    </i>
    <i t="default">
      <x v="1611"/>
    </i>
    <i>
      <x v="1612"/>
      <x/>
      <x v="30"/>
    </i>
    <i r="2">
      <x v="187"/>
    </i>
    <i t="default" r="1">
      <x/>
    </i>
    <i t="default">
      <x v="1612"/>
    </i>
    <i>
      <x v="1613"/>
      <x v="1"/>
      <x v="6"/>
    </i>
    <i r="2">
      <x v="139"/>
    </i>
    <i r="2">
      <x v="200"/>
    </i>
    <i t="default" r="1">
      <x v="1"/>
    </i>
    <i t="default">
      <x v="1613"/>
    </i>
    <i>
      <x v="1614"/>
      <x v="1"/>
      <x v="52"/>
    </i>
    <i r="2">
      <x v="181"/>
    </i>
    <i r="2">
      <x v="271"/>
    </i>
    <i t="default" r="1">
      <x v="1"/>
    </i>
    <i t="default">
      <x v="1614"/>
    </i>
    <i>
      <x v="1615"/>
      <x v="3"/>
      <x v="278"/>
    </i>
    <i t="default" r="1">
      <x v="3"/>
    </i>
    <i t="default">
      <x v="1615"/>
    </i>
    <i t="grand">
      <x/>
    </i>
  </rowItems>
  <colItems count="1">
    <i/>
  </colItems>
  <dataFields count="1">
    <dataField name="Sum of Total sales" fld="6" baseField="0" baseItem="0" numFmtId="165"/>
  </dataFields>
  <formats count="2">
    <format dxfId="7">
      <pivotArea outline="0" fieldPosition="0"/>
    </format>
    <format dxfId="6">
      <pivotArea type="topRight" dataOnly="0" labelOnly="1"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0BDE5B-0026-4FE4-87C4-CF32079BE7D9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3:E7" firstHeaderRow="1" firstDataRow="2" firstDataCol="1"/>
  <pivotFields count="10">
    <pivotField showAll="0"/>
    <pivotField showAll="0"/>
    <pivotField showAll="0"/>
    <pivotField axis="axisRow" showAll="0">
      <items count="3">
        <item sd="0" x="0"/>
        <item sd="0" x="1"/>
        <item t="default"/>
      </items>
    </pivotField>
    <pivotField numFmtId="165" showAll="0"/>
    <pivotField axis="axisRow" numFmtId="165" showAll="0">
      <items count="5">
        <item x="2"/>
        <item x="1"/>
        <item x="3"/>
        <item x="0"/>
        <item t="default"/>
      </items>
    </pivotField>
    <pivotField dataField="1" numFmtId="165" showAll="0">
      <items count="201">
        <item x="180"/>
        <item x="78"/>
        <item x="62"/>
        <item x="184"/>
        <item x="151"/>
        <item x="93"/>
        <item x="186"/>
        <item x="48"/>
        <item x="109"/>
        <item x="170"/>
        <item x="70"/>
        <item x="61"/>
        <item x="14"/>
        <item x="142"/>
        <item x="172"/>
        <item x="87"/>
        <item x="23"/>
        <item x="165"/>
        <item x="137"/>
        <item x="51"/>
        <item x="119"/>
        <item x="118"/>
        <item x="99"/>
        <item x="143"/>
        <item x="59"/>
        <item x="125"/>
        <item x="193"/>
        <item x="132"/>
        <item x="173"/>
        <item x="50"/>
        <item x="71"/>
        <item x="84"/>
        <item x="7"/>
        <item x="171"/>
        <item x="56"/>
        <item x="8"/>
        <item x="72"/>
        <item x="163"/>
        <item x="20"/>
        <item x="107"/>
        <item x="139"/>
        <item x="92"/>
        <item x="44"/>
        <item x="53"/>
        <item x="33"/>
        <item x="55"/>
        <item x="12"/>
        <item x="128"/>
        <item x="17"/>
        <item x="127"/>
        <item x="31"/>
        <item x="38"/>
        <item x="152"/>
        <item x="148"/>
        <item x="187"/>
        <item x="174"/>
        <item x="22"/>
        <item x="0"/>
        <item x="40"/>
        <item x="138"/>
        <item x="153"/>
        <item x="49"/>
        <item x="36"/>
        <item x="66"/>
        <item x="75"/>
        <item x="167"/>
        <item x="110"/>
        <item x="47"/>
        <item x="199"/>
        <item x="176"/>
        <item x="30"/>
        <item x="86"/>
        <item x="58"/>
        <item x="129"/>
        <item x="123"/>
        <item x="106"/>
        <item x="42"/>
        <item x="13"/>
        <item x="141"/>
        <item x="98"/>
        <item x="63"/>
        <item x="105"/>
        <item x="21"/>
        <item x="37"/>
        <item x="130"/>
        <item x="190"/>
        <item x="135"/>
        <item x="35"/>
        <item x="60"/>
        <item x="189"/>
        <item x="164"/>
        <item x="80"/>
        <item x="52"/>
        <item x="26"/>
        <item x="5"/>
        <item x="29"/>
        <item x="85"/>
        <item x="104"/>
        <item x="9"/>
        <item x="111"/>
        <item x="95"/>
        <item x="182"/>
        <item x="198"/>
        <item x="3"/>
        <item x="192"/>
        <item x="103"/>
        <item x="185"/>
        <item x="178"/>
        <item x="114"/>
        <item x="175"/>
        <item x="96"/>
        <item x="24"/>
        <item x="140"/>
        <item x="177"/>
        <item x="126"/>
        <item x="112"/>
        <item x="161"/>
        <item x="6"/>
        <item x="77"/>
        <item x="116"/>
        <item x="27"/>
        <item x="158"/>
        <item x="100"/>
        <item x="108"/>
        <item x="196"/>
        <item x="94"/>
        <item x="113"/>
        <item x="19"/>
        <item x="147"/>
        <item x="81"/>
        <item x="73"/>
        <item x="134"/>
        <item x="16"/>
        <item x="169"/>
        <item x="136"/>
        <item x="179"/>
        <item x="188"/>
        <item x="10"/>
        <item x="102"/>
        <item x="88"/>
        <item x="168"/>
        <item x="101"/>
        <item x="195"/>
        <item x="79"/>
        <item x="183"/>
        <item x="90"/>
        <item x="34"/>
        <item x="155"/>
        <item x="82"/>
        <item x="146"/>
        <item x="124"/>
        <item x="4"/>
        <item x="69"/>
        <item x="194"/>
        <item x="65"/>
        <item x="28"/>
        <item x="2"/>
        <item x="133"/>
        <item x="89"/>
        <item x="181"/>
        <item x="120"/>
        <item x="115"/>
        <item x="149"/>
        <item x="32"/>
        <item x="43"/>
        <item x="1"/>
        <item x="166"/>
        <item x="159"/>
        <item x="97"/>
        <item x="25"/>
        <item x="162"/>
        <item x="145"/>
        <item x="150"/>
        <item x="45"/>
        <item x="117"/>
        <item x="76"/>
        <item x="160"/>
        <item x="67"/>
        <item x="57"/>
        <item x="68"/>
        <item x="39"/>
        <item x="131"/>
        <item x="18"/>
        <item x="11"/>
        <item x="74"/>
        <item x="64"/>
        <item x="122"/>
        <item x="54"/>
        <item x="156"/>
        <item x="154"/>
        <item x="15"/>
        <item x="144"/>
        <item x="41"/>
        <item x="46"/>
        <item x="91"/>
        <item x="121"/>
        <item x="197"/>
        <item x="83"/>
        <item x="191"/>
        <item x="157"/>
        <item t="default"/>
      </items>
    </pivotField>
    <pivotField showAll="0">
      <items count="3">
        <item x="0"/>
        <item x="1"/>
        <item t="default"/>
      </items>
    </pivotField>
    <pivotField showAll="0"/>
    <pivotField axis="axisCol" showAll="0">
      <items count="4">
        <item x="1"/>
        <item x="2"/>
        <item x="0"/>
        <item t="default"/>
      </items>
    </pivotField>
  </pivotFields>
  <rowFields count="2">
    <field x="3"/>
    <field x="5"/>
  </rowFields>
  <rowItems count="3">
    <i>
      <x/>
    </i>
    <i>
      <x v="1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Sum of Total sales" fld="6" baseField="0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</chartFormats>
  <pivotTableStyleInfo name="PivotStyleMedium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B4D10-F9C0-4B57-A18D-55B448651B64}">
  <sheetPr codeName="Sheet1"/>
  <dimension ref="A3:D7927"/>
  <sheetViews>
    <sheetView workbookViewId="0">
      <selection activeCell="I18" sqref="I18"/>
    </sheetView>
  </sheetViews>
  <sheetFormatPr defaultRowHeight="14.4" x14ac:dyDescent="0.3"/>
  <cols>
    <col min="1" max="1" width="15.88671875" bestFit="1" customWidth="1"/>
    <col min="2" max="2" width="14.33203125" bestFit="1" customWidth="1"/>
    <col min="3" max="3" width="47.33203125" bestFit="1" customWidth="1"/>
    <col min="4" max="4" width="12.88671875" style="1" bestFit="1" customWidth="1"/>
  </cols>
  <sheetData>
    <row r="3" spans="1:4" x14ac:dyDescent="0.3">
      <c r="A3" s="13" t="s">
        <v>1913</v>
      </c>
      <c r="B3" s="11"/>
      <c r="C3" s="11"/>
      <c r="D3" s="17"/>
    </row>
    <row r="4" spans="1:4" x14ac:dyDescent="0.3">
      <c r="A4" s="13" t="s">
        <v>0</v>
      </c>
      <c r="B4" s="13" t="s">
        <v>9</v>
      </c>
      <c r="C4" s="13" t="s">
        <v>8</v>
      </c>
      <c r="D4" s="17" t="s">
        <v>1914</v>
      </c>
    </row>
    <row r="5" spans="1:4" x14ac:dyDescent="0.3">
      <c r="A5" s="10">
        <v>1</v>
      </c>
      <c r="B5" s="10" t="s">
        <v>11</v>
      </c>
      <c r="C5" s="10" t="s">
        <v>14</v>
      </c>
      <c r="D5" s="17">
        <v>1199.98</v>
      </c>
    </row>
    <row r="6" spans="1:4" x14ac:dyDescent="0.3">
      <c r="A6" s="12"/>
      <c r="B6" s="12"/>
      <c r="C6" s="14" t="s">
        <v>10</v>
      </c>
      <c r="D6" s="18">
        <v>599.99</v>
      </c>
    </row>
    <row r="7" spans="1:4" x14ac:dyDescent="0.3">
      <c r="A7" s="12"/>
      <c r="B7" s="12"/>
      <c r="C7" s="14" t="s">
        <v>13</v>
      </c>
      <c r="D7" s="18">
        <v>3098</v>
      </c>
    </row>
    <row r="8" spans="1:4" x14ac:dyDescent="0.3">
      <c r="A8" s="12"/>
      <c r="B8" s="12"/>
      <c r="C8" s="14" t="s">
        <v>16</v>
      </c>
      <c r="D8" s="18">
        <v>2899.99</v>
      </c>
    </row>
    <row r="9" spans="1:4" x14ac:dyDescent="0.3">
      <c r="A9" s="12"/>
      <c r="B9" s="12"/>
      <c r="C9" s="14" t="s">
        <v>12</v>
      </c>
      <c r="D9" s="18">
        <v>3599.98</v>
      </c>
    </row>
    <row r="10" spans="1:4" x14ac:dyDescent="0.3">
      <c r="A10" s="12"/>
      <c r="B10" s="10" t="s">
        <v>1915</v>
      </c>
      <c r="C10" s="11"/>
      <c r="D10" s="17">
        <v>11397.94</v>
      </c>
    </row>
    <row r="11" spans="1:4" x14ac:dyDescent="0.3">
      <c r="A11" s="10" t="s">
        <v>297</v>
      </c>
      <c r="B11" s="11"/>
      <c r="C11" s="11"/>
      <c r="D11" s="17">
        <v>11397.94</v>
      </c>
    </row>
    <row r="12" spans="1:4" x14ac:dyDescent="0.3">
      <c r="A12" s="10">
        <v>2</v>
      </c>
      <c r="B12" s="10" t="s">
        <v>18</v>
      </c>
      <c r="C12" s="10" t="s">
        <v>14</v>
      </c>
      <c r="D12" s="17">
        <v>1199.98</v>
      </c>
    </row>
    <row r="13" spans="1:4" x14ac:dyDescent="0.3">
      <c r="A13" s="12"/>
      <c r="B13" s="12"/>
      <c r="C13" s="14" t="s">
        <v>10</v>
      </c>
      <c r="D13" s="18">
        <v>599.99</v>
      </c>
    </row>
    <row r="14" spans="1:4" x14ac:dyDescent="0.3">
      <c r="A14" s="12"/>
      <c r="B14" s="10" t="s">
        <v>1916</v>
      </c>
      <c r="C14" s="11"/>
      <c r="D14" s="17">
        <v>1799.97</v>
      </c>
    </row>
    <row r="15" spans="1:4" x14ac:dyDescent="0.3">
      <c r="A15" s="10" t="s">
        <v>298</v>
      </c>
      <c r="B15" s="11"/>
      <c r="C15" s="11"/>
      <c r="D15" s="17">
        <v>1799.97</v>
      </c>
    </row>
    <row r="16" spans="1:4" x14ac:dyDescent="0.3">
      <c r="A16" s="10">
        <v>3</v>
      </c>
      <c r="B16" s="10" t="s">
        <v>18</v>
      </c>
      <c r="C16" s="10" t="s">
        <v>10</v>
      </c>
      <c r="D16" s="17">
        <v>599.99</v>
      </c>
    </row>
    <row r="17" spans="1:4" x14ac:dyDescent="0.3">
      <c r="A17" s="12"/>
      <c r="B17" s="12"/>
      <c r="C17" s="14" t="s">
        <v>20</v>
      </c>
      <c r="D17" s="18">
        <v>999.99</v>
      </c>
    </row>
    <row r="18" spans="1:4" x14ac:dyDescent="0.3">
      <c r="A18" s="12"/>
      <c r="B18" s="10" t="s">
        <v>1916</v>
      </c>
      <c r="C18" s="11"/>
      <c r="D18" s="17">
        <v>1599.98</v>
      </c>
    </row>
    <row r="19" spans="1:4" x14ac:dyDescent="0.3">
      <c r="A19" s="10" t="s">
        <v>299</v>
      </c>
      <c r="B19" s="11"/>
      <c r="C19" s="11"/>
      <c r="D19" s="17">
        <v>1599.98</v>
      </c>
    </row>
    <row r="20" spans="1:4" x14ac:dyDescent="0.3">
      <c r="A20" s="10">
        <v>4</v>
      </c>
      <c r="B20" s="10" t="s">
        <v>11</v>
      </c>
      <c r="C20" s="10" t="s">
        <v>22</v>
      </c>
      <c r="D20" s="17">
        <v>1499.98</v>
      </c>
    </row>
    <row r="21" spans="1:4" x14ac:dyDescent="0.3">
      <c r="A21" s="12"/>
      <c r="B21" s="10" t="s">
        <v>1915</v>
      </c>
      <c r="C21" s="11"/>
      <c r="D21" s="17">
        <v>1499.98</v>
      </c>
    </row>
    <row r="22" spans="1:4" x14ac:dyDescent="0.3">
      <c r="A22" s="10" t="s">
        <v>300</v>
      </c>
      <c r="B22" s="11"/>
      <c r="C22" s="11"/>
      <c r="D22" s="17">
        <v>1499.98</v>
      </c>
    </row>
    <row r="23" spans="1:4" x14ac:dyDescent="0.3">
      <c r="A23" s="10">
        <v>5</v>
      </c>
      <c r="B23" s="10" t="s">
        <v>18</v>
      </c>
      <c r="C23" s="10" t="s">
        <v>14</v>
      </c>
      <c r="D23" s="17">
        <v>599.99</v>
      </c>
    </row>
    <row r="24" spans="1:4" x14ac:dyDescent="0.3">
      <c r="A24" s="12"/>
      <c r="B24" s="12"/>
      <c r="C24" s="14" t="s">
        <v>23</v>
      </c>
      <c r="D24" s="18">
        <v>429</v>
      </c>
    </row>
    <row r="25" spans="1:4" x14ac:dyDescent="0.3">
      <c r="A25" s="12"/>
      <c r="B25" s="12"/>
      <c r="C25" s="14" t="s">
        <v>13</v>
      </c>
      <c r="D25" s="18">
        <v>3098</v>
      </c>
    </row>
    <row r="26" spans="1:4" x14ac:dyDescent="0.3">
      <c r="A26" s="12"/>
      <c r="B26" s="10" t="s">
        <v>1916</v>
      </c>
      <c r="C26" s="11"/>
      <c r="D26" s="17">
        <v>4126.99</v>
      </c>
    </row>
    <row r="27" spans="1:4" x14ac:dyDescent="0.3">
      <c r="A27" s="10" t="s">
        <v>301</v>
      </c>
      <c r="B27" s="11"/>
      <c r="C27" s="11"/>
      <c r="D27" s="17">
        <v>4126.99</v>
      </c>
    </row>
    <row r="28" spans="1:4" x14ac:dyDescent="0.3">
      <c r="A28" s="10">
        <v>6</v>
      </c>
      <c r="B28" s="10" t="s">
        <v>18</v>
      </c>
      <c r="C28" s="10" t="s">
        <v>25</v>
      </c>
      <c r="D28" s="17">
        <v>1099.98</v>
      </c>
    </row>
    <row r="29" spans="1:4" x14ac:dyDescent="0.3">
      <c r="A29" s="12"/>
      <c r="B29" s="12"/>
      <c r="C29" s="14" t="s">
        <v>10</v>
      </c>
      <c r="D29" s="18">
        <v>599.99</v>
      </c>
    </row>
    <row r="30" spans="1:4" x14ac:dyDescent="0.3">
      <c r="A30" s="12"/>
      <c r="B30" s="12"/>
      <c r="C30" s="14" t="s">
        <v>24</v>
      </c>
      <c r="D30" s="18">
        <v>449</v>
      </c>
    </row>
    <row r="31" spans="1:4" x14ac:dyDescent="0.3">
      <c r="A31" s="12"/>
      <c r="B31" s="12"/>
      <c r="C31" s="14" t="s">
        <v>20</v>
      </c>
      <c r="D31" s="18">
        <v>1999.98</v>
      </c>
    </row>
    <row r="32" spans="1:4" x14ac:dyDescent="0.3">
      <c r="A32" s="12"/>
      <c r="B32" s="12"/>
      <c r="C32" s="14" t="s">
        <v>26</v>
      </c>
      <c r="D32" s="18">
        <v>5999.98</v>
      </c>
    </row>
    <row r="33" spans="1:4" x14ac:dyDescent="0.3">
      <c r="A33" s="12"/>
      <c r="B33" s="10" t="s">
        <v>1916</v>
      </c>
      <c r="C33" s="11"/>
      <c r="D33" s="17">
        <v>10148.93</v>
      </c>
    </row>
    <row r="34" spans="1:4" x14ac:dyDescent="0.3">
      <c r="A34" s="10" t="s">
        <v>302</v>
      </c>
      <c r="B34" s="11"/>
      <c r="C34" s="11"/>
      <c r="D34" s="17">
        <v>10148.93</v>
      </c>
    </row>
    <row r="35" spans="1:4" x14ac:dyDescent="0.3">
      <c r="A35" s="10">
        <v>7</v>
      </c>
      <c r="B35" s="10" t="s">
        <v>18</v>
      </c>
      <c r="C35" s="10" t="s">
        <v>27</v>
      </c>
      <c r="D35" s="17">
        <v>529.99</v>
      </c>
    </row>
    <row r="36" spans="1:4" x14ac:dyDescent="0.3">
      <c r="A36" s="12"/>
      <c r="B36" s="12"/>
      <c r="C36" s="14" t="s">
        <v>23</v>
      </c>
      <c r="D36" s="18">
        <v>858</v>
      </c>
    </row>
    <row r="37" spans="1:4" x14ac:dyDescent="0.3">
      <c r="A37" s="12"/>
      <c r="B37" s="12"/>
      <c r="C37" s="14" t="s">
        <v>20</v>
      </c>
      <c r="D37" s="18">
        <v>999.99</v>
      </c>
    </row>
    <row r="38" spans="1:4" x14ac:dyDescent="0.3">
      <c r="A38" s="12"/>
      <c r="B38" s="10" t="s">
        <v>1916</v>
      </c>
      <c r="C38" s="11"/>
      <c r="D38" s="17">
        <v>2387.98</v>
      </c>
    </row>
    <row r="39" spans="1:4" x14ac:dyDescent="0.3">
      <c r="A39" s="10" t="s">
        <v>303</v>
      </c>
      <c r="B39" s="11"/>
      <c r="C39" s="11"/>
      <c r="D39" s="17">
        <v>2387.98</v>
      </c>
    </row>
    <row r="40" spans="1:4" x14ac:dyDescent="0.3">
      <c r="A40" s="10">
        <v>8</v>
      </c>
      <c r="B40" s="10" t="s">
        <v>18</v>
      </c>
      <c r="C40" s="10" t="s">
        <v>28</v>
      </c>
      <c r="D40" s="17">
        <v>269.99</v>
      </c>
    </row>
    <row r="41" spans="1:4" x14ac:dyDescent="0.3">
      <c r="A41" s="12"/>
      <c r="B41" s="12"/>
      <c r="C41" s="14" t="s">
        <v>10</v>
      </c>
      <c r="D41" s="18">
        <v>1199.98</v>
      </c>
    </row>
    <row r="42" spans="1:4" x14ac:dyDescent="0.3">
      <c r="A42" s="12"/>
      <c r="B42" s="10" t="s">
        <v>1916</v>
      </c>
      <c r="C42" s="11"/>
      <c r="D42" s="17">
        <v>1469.97</v>
      </c>
    </row>
    <row r="43" spans="1:4" x14ac:dyDescent="0.3">
      <c r="A43" s="10" t="s">
        <v>304</v>
      </c>
      <c r="B43" s="11"/>
      <c r="C43" s="11"/>
      <c r="D43" s="17">
        <v>1469.97</v>
      </c>
    </row>
    <row r="44" spans="1:4" x14ac:dyDescent="0.3">
      <c r="A44" s="10">
        <v>9</v>
      </c>
      <c r="B44" s="10" t="s">
        <v>11</v>
      </c>
      <c r="C44" s="10" t="s">
        <v>29</v>
      </c>
      <c r="D44" s="17">
        <v>7999.98</v>
      </c>
    </row>
    <row r="45" spans="1:4" x14ac:dyDescent="0.3">
      <c r="A45" s="12"/>
      <c r="B45" s="10" t="s">
        <v>1915</v>
      </c>
      <c r="C45" s="11"/>
      <c r="D45" s="17">
        <v>7999.98</v>
      </c>
    </row>
    <row r="46" spans="1:4" x14ac:dyDescent="0.3">
      <c r="A46" s="10" t="s">
        <v>305</v>
      </c>
      <c r="B46" s="11"/>
      <c r="C46" s="11"/>
      <c r="D46" s="17">
        <v>7999.98</v>
      </c>
    </row>
    <row r="47" spans="1:4" x14ac:dyDescent="0.3">
      <c r="A47" s="10">
        <v>10</v>
      </c>
      <c r="B47" s="10" t="s">
        <v>18</v>
      </c>
      <c r="C47" s="10" t="s">
        <v>28</v>
      </c>
      <c r="D47" s="17">
        <v>269.99</v>
      </c>
    </row>
    <row r="48" spans="1:4" x14ac:dyDescent="0.3">
      <c r="A48" s="12"/>
      <c r="B48" s="10" t="s">
        <v>1916</v>
      </c>
      <c r="C48" s="11"/>
      <c r="D48" s="17">
        <v>269.99</v>
      </c>
    </row>
    <row r="49" spans="1:4" x14ac:dyDescent="0.3">
      <c r="A49" s="10" t="s">
        <v>306</v>
      </c>
      <c r="B49" s="11"/>
      <c r="C49" s="11"/>
      <c r="D49" s="17">
        <v>269.99</v>
      </c>
    </row>
    <row r="50" spans="1:4" x14ac:dyDescent="0.3">
      <c r="A50" s="10">
        <v>11</v>
      </c>
      <c r="B50" s="10" t="s">
        <v>18</v>
      </c>
      <c r="C50" s="10" t="s">
        <v>28</v>
      </c>
      <c r="D50" s="17">
        <v>539.98</v>
      </c>
    </row>
    <row r="51" spans="1:4" x14ac:dyDescent="0.3">
      <c r="A51" s="12"/>
      <c r="B51" s="12"/>
      <c r="C51" s="14" t="s">
        <v>14</v>
      </c>
      <c r="D51" s="18">
        <v>1199.98</v>
      </c>
    </row>
    <row r="52" spans="1:4" x14ac:dyDescent="0.3">
      <c r="A52" s="12"/>
      <c r="B52" s="12"/>
      <c r="C52" s="14" t="s">
        <v>12</v>
      </c>
      <c r="D52" s="18">
        <v>1799.99</v>
      </c>
    </row>
    <row r="53" spans="1:4" x14ac:dyDescent="0.3">
      <c r="A53" s="12"/>
      <c r="B53" s="10" t="s">
        <v>1916</v>
      </c>
      <c r="C53" s="11"/>
      <c r="D53" s="17">
        <v>3539.95</v>
      </c>
    </row>
    <row r="54" spans="1:4" x14ac:dyDescent="0.3">
      <c r="A54" s="10" t="s">
        <v>307</v>
      </c>
      <c r="B54" s="11"/>
      <c r="C54" s="11"/>
      <c r="D54" s="17">
        <v>3539.95</v>
      </c>
    </row>
    <row r="55" spans="1:4" x14ac:dyDescent="0.3">
      <c r="A55" s="10">
        <v>12</v>
      </c>
      <c r="B55" s="10" t="s">
        <v>11</v>
      </c>
      <c r="C55" s="10" t="s">
        <v>30</v>
      </c>
      <c r="D55" s="17">
        <v>1680.99</v>
      </c>
    </row>
    <row r="56" spans="1:4" x14ac:dyDescent="0.3">
      <c r="A56" s="12"/>
      <c r="B56" s="12"/>
      <c r="C56" s="14" t="s">
        <v>16</v>
      </c>
      <c r="D56" s="18">
        <v>5799.98</v>
      </c>
    </row>
    <row r="57" spans="1:4" x14ac:dyDescent="0.3">
      <c r="A57" s="12"/>
      <c r="B57" s="10" t="s">
        <v>1915</v>
      </c>
      <c r="C57" s="11"/>
      <c r="D57" s="17">
        <v>7480.9699999999993</v>
      </c>
    </row>
    <row r="58" spans="1:4" x14ac:dyDescent="0.3">
      <c r="A58" s="10" t="s">
        <v>308</v>
      </c>
      <c r="B58" s="11"/>
      <c r="C58" s="11"/>
      <c r="D58" s="17">
        <v>7480.9699999999993</v>
      </c>
    </row>
    <row r="59" spans="1:4" x14ac:dyDescent="0.3">
      <c r="A59" s="10">
        <v>13</v>
      </c>
      <c r="B59" s="10" t="s">
        <v>18</v>
      </c>
      <c r="C59" s="10" t="s">
        <v>31</v>
      </c>
      <c r="D59" s="17">
        <v>269.99</v>
      </c>
    </row>
    <row r="60" spans="1:4" x14ac:dyDescent="0.3">
      <c r="A60" s="12"/>
      <c r="B60" s="12"/>
      <c r="C60" s="14" t="s">
        <v>14</v>
      </c>
      <c r="D60" s="18">
        <v>1199.98</v>
      </c>
    </row>
    <row r="61" spans="1:4" x14ac:dyDescent="0.3">
      <c r="A61" s="12"/>
      <c r="B61" s="12"/>
      <c r="C61" s="14" t="s">
        <v>10</v>
      </c>
      <c r="D61" s="18">
        <v>1199.98</v>
      </c>
    </row>
    <row r="62" spans="1:4" x14ac:dyDescent="0.3">
      <c r="A62" s="12"/>
      <c r="B62" s="12"/>
      <c r="C62" s="14" t="s">
        <v>23</v>
      </c>
      <c r="D62" s="18">
        <v>858</v>
      </c>
    </row>
    <row r="63" spans="1:4" x14ac:dyDescent="0.3">
      <c r="A63" s="12"/>
      <c r="B63" s="10" t="s">
        <v>1916</v>
      </c>
      <c r="C63" s="11"/>
      <c r="D63" s="17">
        <v>3527.95</v>
      </c>
    </row>
    <row r="64" spans="1:4" x14ac:dyDescent="0.3">
      <c r="A64" s="10" t="s">
        <v>309</v>
      </c>
      <c r="B64" s="11"/>
      <c r="C64" s="11"/>
      <c r="D64" s="17">
        <v>3527.95</v>
      </c>
    </row>
    <row r="65" spans="1:4" x14ac:dyDescent="0.3">
      <c r="A65" s="10">
        <v>14</v>
      </c>
      <c r="B65" s="10" t="s">
        <v>11</v>
      </c>
      <c r="C65" s="10" t="s">
        <v>32</v>
      </c>
      <c r="D65" s="17">
        <v>469.99</v>
      </c>
    </row>
    <row r="66" spans="1:4" x14ac:dyDescent="0.3">
      <c r="A66" s="12"/>
      <c r="B66" s="10" t="s">
        <v>1915</v>
      </c>
      <c r="C66" s="11"/>
      <c r="D66" s="17">
        <v>469.99</v>
      </c>
    </row>
    <row r="67" spans="1:4" x14ac:dyDescent="0.3">
      <c r="A67" s="10" t="s">
        <v>310</v>
      </c>
      <c r="B67" s="11"/>
      <c r="C67" s="11"/>
      <c r="D67" s="17">
        <v>469.99</v>
      </c>
    </row>
    <row r="68" spans="1:4" x14ac:dyDescent="0.3">
      <c r="A68" s="10">
        <v>15</v>
      </c>
      <c r="B68" s="10" t="s">
        <v>18</v>
      </c>
      <c r="C68" s="10" t="s">
        <v>33</v>
      </c>
      <c r="D68" s="17">
        <v>599.98</v>
      </c>
    </row>
    <row r="69" spans="1:4" x14ac:dyDescent="0.3">
      <c r="A69" s="12"/>
      <c r="B69" s="12"/>
      <c r="C69" s="14" t="s">
        <v>25</v>
      </c>
      <c r="D69" s="18">
        <v>1099.98</v>
      </c>
    </row>
    <row r="70" spans="1:4" x14ac:dyDescent="0.3">
      <c r="A70" s="12"/>
      <c r="B70" s="12"/>
      <c r="C70" s="14" t="s">
        <v>24</v>
      </c>
      <c r="D70" s="18">
        <v>898</v>
      </c>
    </row>
    <row r="71" spans="1:4" x14ac:dyDescent="0.3">
      <c r="A71" s="12"/>
      <c r="B71" s="12"/>
      <c r="C71" s="14" t="s">
        <v>12</v>
      </c>
      <c r="D71" s="18">
        <v>1799.99</v>
      </c>
    </row>
    <row r="72" spans="1:4" x14ac:dyDescent="0.3">
      <c r="A72" s="12"/>
      <c r="B72" s="10" t="s">
        <v>1916</v>
      </c>
      <c r="C72" s="11"/>
      <c r="D72" s="17">
        <v>4397.95</v>
      </c>
    </row>
    <row r="73" spans="1:4" x14ac:dyDescent="0.3">
      <c r="A73" s="10" t="s">
        <v>311</v>
      </c>
      <c r="B73" s="11"/>
      <c r="C73" s="11"/>
      <c r="D73" s="17">
        <v>4397.95</v>
      </c>
    </row>
    <row r="74" spans="1:4" x14ac:dyDescent="0.3">
      <c r="A74" s="10">
        <v>16</v>
      </c>
      <c r="B74" s="10" t="s">
        <v>11</v>
      </c>
      <c r="C74" s="10" t="s">
        <v>31</v>
      </c>
      <c r="D74" s="17">
        <v>809.97</v>
      </c>
    </row>
    <row r="75" spans="1:4" x14ac:dyDescent="0.3">
      <c r="A75" s="12"/>
      <c r="B75" s="12"/>
      <c r="C75" s="14" t="s">
        <v>28</v>
      </c>
      <c r="D75" s="18">
        <v>269.99</v>
      </c>
    </row>
    <row r="76" spans="1:4" x14ac:dyDescent="0.3">
      <c r="A76" s="12"/>
      <c r="B76" s="12"/>
      <c r="C76" s="14" t="s">
        <v>12</v>
      </c>
      <c r="D76" s="18">
        <v>1799.99</v>
      </c>
    </row>
    <row r="77" spans="1:4" x14ac:dyDescent="0.3">
      <c r="A77" s="12"/>
      <c r="B77" s="10" t="s">
        <v>1915</v>
      </c>
      <c r="C77" s="11"/>
      <c r="D77" s="17">
        <v>2879.95</v>
      </c>
    </row>
    <row r="78" spans="1:4" x14ac:dyDescent="0.3">
      <c r="A78" s="10" t="s">
        <v>312</v>
      </c>
      <c r="B78" s="11"/>
      <c r="C78" s="11"/>
      <c r="D78" s="17">
        <v>2879.95</v>
      </c>
    </row>
    <row r="79" spans="1:4" x14ac:dyDescent="0.3">
      <c r="A79" s="10">
        <v>17</v>
      </c>
      <c r="B79" s="10" t="s">
        <v>11</v>
      </c>
      <c r="C79" s="10" t="s">
        <v>33</v>
      </c>
      <c r="D79" s="17">
        <v>299.99</v>
      </c>
    </row>
    <row r="80" spans="1:4" x14ac:dyDescent="0.3">
      <c r="A80" s="12"/>
      <c r="B80" s="12"/>
      <c r="C80" s="14" t="s">
        <v>10</v>
      </c>
      <c r="D80" s="18">
        <v>1199.98</v>
      </c>
    </row>
    <row r="81" spans="1:4" x14ac:dyDescent="0.3">
      <c r="A81" s="12"/>
      <c r="B81" s="12"/>
      <c r="C81" s="14" t="s">
        <v>34</v>
      </c>
      <c r="D81" s="18">
        <v>1320.99</v>
      </c>
    </row>
    <row r="82" spans="1:4" x14ac:dyDescent="0.3">
      <c r="A82" s="12"/>
      <c r="B82" s="12"/>
      <c r="C82" s="14" t="s">
        <v>12</v>
      </c>
      <c r="D82" s="18">
        <v>1799.99</v>
      </c>
    </row>
    <row r="83" spans="1:4" x14ac:dyDescent="0.3">
      <c r="A83" s="12"/>
      <c r="B83" s="10" t="s">
        <v>1915</v>
      </c>
      <c r="C83" s="11"/>
      <c r="D83" s="17">
        <v>4620.95</v>
      </c>
    </row>
    <row r="84" spans="1:4" x14ac:dyDescent="0.3">
      <c r="A84" s="10" t="s">
        <v>313</v>
      </c>
      <c r="B84" s="11"/>
      <c r="C84" s="11"/>
      <c r="D84" s="17">
        <v>4620.95</v>
      </c>
    </row>
    <row r="85" spans="1:4" x14ac:dyDescent="0.3">
      <c r="A85" s="10">
        <v>18</v>
      </c>
      <c r="B85" s="10" t="s">
        <v>11</v>
      </c>
      <c r="C85" s="10" t="s">
        <v>28</v>
      </c>
      <c r="D85" s="17">
        <v>269.99</v>
      </c>
    </row>
    <row r="86" spans="1:4" x14ac:dyDescent="0.3">
      <c r="A86" s="12"/>
      <c r="B86" s="12"/>
      <c r="C86" s="14" t="s">
        <v>35</v>
      </c>
      <c r="D86" s="18">
        <v>999.98</v>
      </c>
    </row>
    <row r="87" spans="1:4" x14ac:dyDescent="0.3">
      <c r="A87" s="12"/>
      <c r="B87" s="12"/>
      <c r="C87" s="14" t="s">
        <v>22</v>
      </c>
      <c r="D87" s="18">
        <v>1499.98</v>
      </c>
    </row>
    <row r="88" spans="1:4" x14ac:dyDescent="0.3">
      <c r="A88" s="12"/>
      <c r="B88" s="12"/>
      <c r="C88" s="14" t="s">
        <v>26</v>
      </c>
      <c r="D88" s="18">
        <v>5999.98</v>
      </c>
    </row>
    <row r="89" spans="1:4" x14ac:dyDescent="0.3">
      <c r="A89" s="12"/>
      <c r="B89" s="12"/>
      <c r="C89" s="14" t="s">
        <v>29</v>
      </c>
      <c r="D89" s="18">
        <v>3999.99</v>
      </c>
    </row>
    <row r="90" spans="1:4" x14ac:dyDescent="0.3">
      <c r="A90" s="12"/>
      <c r="B90" s="10" t="s">
        <v>1915</v>
      </c>
      <c r="C90" s="11"/>
      <c r="D90" s="17">
        <v>12769.92</v>
      </c>
    </row>
    <row r="91" spans="1:4" x14ac:dyDescent="0.3">
      <c r="A91" s="10" t="s">
        <v>314</v>
      </c>
      <c r="B91" s="11"/>
      <c r="C91" s="11"/>
      <c r="D91" s="17">
        <v>12769.92</v>
      </c>
    </row>
    <row r="92" spans="1:4" x14ac:dyDescent="0.3">
      <c r="A92" s="10">
        <v>19</v>
      </c>
      <c r="B92" s="10" t="s">
        <v>11</v>
      </c>
      <c r="C92" s="10" t="s">
        <v>13</v>
      </c>
      <c r="D92" s="17">
        <v>1549</v>
      </c>
    </row>
    <row r="93" spans="1:4" x14ac:dyDescent="0.3">
      <c r="A93" s="12"/>
      <c r="B93" s="12"/>
      <c r="C93" s="14" t="s">
        <v>26</v>
      </c>
      <c r="D93" s="18">
        <v>5999.98</v>
      </c>
    </row>
    <row r="94" spans="1:4" x14ac:dyDescent="0.3">
      <c r="A94" s="12"/>
      <c r="B94" s="10" t="s">
        <v>1915</v>
      </c>
      <c r="C94" s="11"/>
      <c r="D94" s="17">
        <v>7548.98</v>
      </c>
    </row>
    <row r="95" spans="1:4" x14ac:dyDescent="0.3">
      <c r="A95" s="10" t="s">
        <v>315</v>
      </c>
      <c r="B95" s="11"/>
      <c r="C95" s="11"/>
      <c r="D95" s="17">
        <v>7548.98</v>
      </c>
    </row>
    <row r="96" spans="1:4" x14ac:dyDescent="0.3">
      <c r="A96" s="10">
        <v>20</v>
      </c>
      <c r="B96" s="10" t="s">
        <v>11</v>
      </c>
      <c r="C96" s="10" t="s">
        <v>13</v>
      </c>
      <c r="D96" s="17">
        <v>3098</v>
      </c>
    </row>
    <row r="97" spans="1:4" x14ac:dyDescent="0.3">
      <c r="A97" s="12"/>
      <c r="B97" s="12"/>
      <c r="C97" s="14" t="s">
        <v>26</v>
      </c>
      <c r="D97" s="18">
        <v>2999.99</v>
      </c>
    </row>
    <row r="98" spans="1:4" x14ac:dyDescent="0.3">
      <c r="A98" s="12"/>
      <c r="B98" s="10" t="s">
        <v>1915</v>
      </c>
      <c r="C98" s="11"/>
      <c r="D98" s="17">
        <v>6097.99</v>
      </c>
    </row>
    <row r="99" spans="1:4" x14ac:dyDescent="0.3">
      <c r="A99" s="10" t="s">
        <v>316</v>
      </c>
      <c r="B99" s="11"/>
      <c r="C99" s="11"/>
      <c r="D99" s="17">
        <v>6097.99</v>
      </c>
    </row>
    <row r="100" spans="1:4" x14ac:dyDescent="0.3">
      <c r="A100" s="10">
        <v>21</v>
      </c>
      <c r="B100" s="10" t="s">
        <v>18</v>
      </c>
      <c r="C100" s="10" t="s">
        <v>28</v>
      </c>
      <c r="D100" s="17">
        <v>269.99</v>
      </c>
    </row>
    <row r="101" spans="1:4" x14ac:dyDescent="0.3">
      <c r="A101" s="12"/>
      <c r="B101" s="12"/>
      <c r="C101" s="14" t="s">
        <v>23</v>
      </c>
      <c r="D101" s="18">
        <v>429</v>
      </c>
    </row>
    <row r="102" spans="1:4" x14ac:dyDescent="0.3">
      <c r="A102" s="12"/>
      <c r="B102" s="12"/>
      <c r="C102" s="14" t="s">
        <v>13</v>
      </c>
      <c r="D102" s="18">
        <v>1549</v>
      </c>
    </row>
    <row r="103" spans="1:4" x14ac:dyDescent="0.3">
      <c r="A103" s="12"/>
      <c r="B103" s="10" t="s">
        <v>1916</v>
      </c>
      <c r="C103" s="11"/>
      <c r="D103" s="17">
        <v>2247.9899999999998</v>
      </c>
    </row>
    <row r="104" spans="1:4" x14ac:dyDescent="0.3">
      <c r="A104" s="10" t="s">
        <v>317</v>
      </c>
      <c r="B104" s="11"/>
      <c r="C104" s="11"/>
      <c r="D104" s="17">
        <v>2247.9899999999998</v>
      </c>
    </row>
    <row r="105" spans="1:4" x14ac:dyDescent="0.3">
      <c r="A105" s="10">
        <v>22</v>
      </c>
      <c r="B105" s="10" t="s">
        <v>11</v>
      </c>
      <c r="C105" s="10" t="s">
        <v>28</v>
      </c>
      <c r="D105" s="17">
        <v>269.99</v>
      </c>
    </row>
    <row r="106" spans="1:4" x14ac:dyDescent="0.3">
      <c r="A106" s="12"/>
      <c r="B106" s="12"/>
      <c r="C106" s="14" t="s">
        <v>27</v>
      </c>
      <c r="D106" s="18">
        <v>1059.98</v>
      </c>
    </row>
    <row r="107" spans="1:4" x14ac:dyDescent="0.3">
      <c r="A107" s="12"/>
      <c r="B107" s="10" t="s">
        <v>1915</v>
      </c>
      <c r="C107" s="11"/>
      <c r="D107" s="17">
        <v>1329.97</v>
      </c>
    </row>
    <row r="108" spans="1:4" x14ac:dyDescent="0.3">
      <c r="A108" s="10" t="s">
        <v>318</v>
      </c>
      <c r="B108" s="11"/>
      <c r="C108" s="11"/>
      <c r="D108" s="17">
        <v>1329.97</v>
      </c>
    </row>
    <row r="109" spans="1:4" x14ac:dyDescent="0.3">
      <c r="A109" s="10">
        <v>23</v>
      </c>
      <c r="B109" s="10" t="s">
        <v>11</v>
      </c>
      <c r="C109" s="10" t="s">
        <v>31</v>
      </c>
      <c r="D109" s="17">
        <v>269.99</v>
      </c>
    </row>
    <row r="110" spans="1:4" x14ac:dyDescent="0.3">
      <c r="A110" s="12"/>
      <c r="B110" s="12"/>
      <c r="C110" s="14" t="s">
        <v>33</v>
      </c>
      <c r="D110" s="18">
        <v>599.98</v>
      </c>
    </row>
    <row r="111" spans="1:4" x14ac:dyDescent="0.3">
      <c r="A111" s="12"/>
      <c r="B111" s="12"/>
      <c r="C111" s="14" t="s">
        <v>16</v>
      </c>
      <c r="D111" s="18">
        <v>5799.98</v>
      </c>
    </row>
    <row r="112" spans="1:4" x14ac:dyDescent="0.3">
      <c r="A112" s="12"/>
      <c r="B112" s="10" t="s">
        <v>1915</v>
      </c>
      <c r="C112" s="11"/>
      <c r="D112" s="17">
        <v>6669.95</v>
      </c>
    </row>
    <row r="113" spans="1:4" x14ac:dyDescent="0.3">
      <c r="A113" s="10" t="s">
        <v>319</v>
      </c>
      <c r="B113" s="11"/>
      <c r="C113" s="11"/>
      <c r="D113" s="17">
        <v>6669.95</v>
      </c>
    </row>
    <row r="114" spans="1:4" x14ac:dyDescent="0.3">
      <c r="A114" s="10">
        <v>24</v>
      </c>
      <c r="B114" s="10" t="s">
        <v>18</v>
      </c>
      <c r="C114" s="10" t="s">
        <v>24</v>
      </c>
      <c r="D114" s="17">
        <v>898</v>
      </c>
    </row>
    <row r="115" spans="1:4" x14ac:dyDescent="0.3">
      <c r="A115" s="12"/>
      <c r="B115" s="12"/>
      <c r="C115" s="14" t="s">
        <v>20</v>
      </c>
      <c r="D115" s="18">
        <v>1999.98</v>
      </c>
    </row>
    <row r="116" spans="1:4" x14ac:dyDescent="0.3">
      <c r="A116" s="12"/>
      <c r="B116" s="10" t="s">
        <v>1916</v>
      </c>
      <c r="C116" s="11"/>
      <c r="D116" s="17">
        <v>2897.98</v>
      </c>
    </row>
    <row r="117" spans="1:4" x14ac:dyDescent="0.3">
      <c r="A117" s="10" t="s">
        <v>320</v>
      </c>
      <c r="B117" s="11"/>
      <c r="C117" s="11"/>
      <c r="D117" s="17">
        <v>2897.98</v>
      </c>
    </row>
    <row r="118" spans="1:4" x14ac:dyDescent="0.3">
      <c r="A118" s="10">
        <v>25</v>
      </c>
      <c r="B118" s="10" t="s">
        <v>18</v>
      </c>
      <c r="C118" s="10" t="s">
        <v>31</v>
      </c>
      <c r="D118" s="17">
        <v>269.99</v>
      </c>
    </row>
    <row r="119" spans="1:4" x14ac:dyDescent="0.3">
      <c r="A119" s="12"/>
      <c r="B119" s="12"/>
      <c r="C119" s="14" t="s">
        <v>28</v>
      </c>
      <c r="D119" s="18">
        <v>539.98</v>
      </c>
    </row>
    <row r="120" spans="1:4" x14ac:dyDescent="0.3">
      <c r="A120" s="12"/>
      <c r="B120" s="12"/>
      <c r="C120" s="14" t="s">
        <v>33</v>
      </c>
      <c r="D120" s="18">
        <v>599.98</v>
      </c>
    </row>
    <row r="121" spans="1:4" x14ac:dyDescent="0.3">
      <c r="A121" s="12"/>
      <c r="B121" s="12"/>
      <c r="C121" s="14" t="s">
        <v>13</v>
      </c>
      <c r="D121" s="18">
        <v>3098</v>
      </c>
    </row>
    <row r="122" spans="1:4" x14ac:dyDescent="0.3">
      <c r="A122" s="12"/>
      <c r="B122" s="10" t="s">
        <v>1916</v>
      </c>
      <c r="C122" s="11"/>
      <c r="D122" s="17">
        <v>4507.95</v>
      </c>
    </row>
    <row r="123" spans="1:4" x14ac:dyDescent="0.3">
      <c r="A123" s="10" t="s">
        <v>321</v>
      </c>
      <c r="B123" s="11"/>
      <c r="C123" s="11"/>
      <c r="D123" s="17">
        <v>4507.95</v>
      </c>
    </row>
    <row r="124" spans="1:4" x14ac:dyDescent="0.3">
      <c r="A124" s="10">
        <v>26</v>
      </c>
      <c r="B124" s="10" t="s">
        <v>18</v>
      </c>
      <c r="C124" s="10" t="s">
        <v>31</v>
      </c>
      <c r="D124" s="17">
        <v>539.98</v>
      </c>
    </row>
    <row r="125" spans="1:4" x14ac:dyDescent="0.3">
      <c r="A125" s="12"/>
      <c r="B125" s="12"/>
      <c r="C125" s="14" t="s">
        <v>25</v>
      </c>
      <c r="D125" s="18">
        <v>549.99</v>
      </c>
    </row>
    <row r="126" spans="1:4" x14ac:dyDescent="0.3">
      <c r="A126" s="12"/>
      <c r="B126" s="12"/>
      <c r="C126" s="14" t="s">
        <v>22</v>
      </c>
      <c r="D126" s="18">
        <v>749.99</v>
      </c>
    </row>
    <row r="127" spans="1:4" x14ac:dyDescent="0.3">
      <c r="A127" s="12"/>
      <c r="B127" s="12"/>
      <c r="C127" s="14" t="s">
        <v>29</v>
      </c>
      <c r="D127" s="18">
        <v>3999.99</v>
      </c>
    </row>
    <row r="128" spans="1:4" x14ac:dyDescent="0.3">
      <c r="A128" s="12"/>
      <c r="B128" s="10" t="s">
        <v>1916</v>
      </c>
      <c r="C128" s="11"/>
      <c r="D128" s="17">
        <v>5839.95</v>
      </c>
    </row>
    <row r="129" spans="1:4" x14ac:dyDescent="0.3">
      <c r="A129" s="10" t="s">
        <v>322</v>
      </c>
      <c r="B129" s="11"/>
      <c r="C129" s="11"/>
      <c r="D129" s="17">
        <v>5839.95</v>
      </c>
    </row>
    <row r="130" spans="1:4" x14ac:dyDescent="0.3">
      <c r="A130" s="10">
        <v>27</v>
      </c>
      <c r="B130" s="10" t="s">
        <v>18</v>
      </c>
      <c r="C130" s="10" t="s">
        <v>14</v>
      </c>
      <c r="D130" s="17">
        <v>1199.98</v>
      </c>
    </row>
    <row r="131" spans="1:4" x14ac:dyDescent="0.3">
      <c r="A131" s="12"/>
      <c r="B131" s="12"/>
      <c r="C131" s="14" t="s">
        <v>34</v>
      </c>
      <c r="D131" s="18">
        <v>1320.99</v>
      </c>
    </row>
    <row r="132" spans="1:4" x14ac:dyDescent="0.3">
      <c r="A132" s="12"/>
      <c r="B132" s="12"/>
      <c r="C132" s="14" t="s">
        <v>36</v>
      </c>
      <c r="D132" s="18">
        <v>449</v>
      </c>
    </row>
    <row r="133" spans="1:4" x14ac:dyDescent="0.3">
      <c r="A133" s="12"/>
      <c r="B133" s="12"/>
      <c r="C133" s="14" t="s">
        <v>12</v>
      </c>
      <c r="D133" s="18">
        <v>1799.99</v>
      </c>
    </row>
    <row r="134" spans="1:4" x14ac:dyDescent="0.3">
      <c r="A134" s="12"/>
      <c r="B134" s="10" t="s">
        <v>1916</v>
      </c>
      <c r="C134" s="11"/>
      <c r="D134" s="17">
        <v>4769.96</v>
      </c>
    </row>
    <row r="135" spans="1:4" x14ac:dyDescent="0.3">
      <c r="A135" s="10" t="s">
        <v>323</v>
      </c>
      <c r="B135" s="11"/>
      <c r="C135" s="11"/>
      <c r="D135" s="17">
        <v>4769.96</v>
      </c>
    </row>
    <row r="136" spans="1:4" x14ac:dyDescent="0.3">
      <c r="A136" s="10">
        <v>28</v>
      </c>
      <c r="B136" s="10" t="s">
        <v>18</v>
      </c>
      <c r="C136" s="10" t="s">
        <v>28</v>
      </c>
      <c r="D136" s="17">
        <v>539.98</v>
      </c>
    </row>
    <row r="137" spans="1:4" x14ac:dyDescent="0.3">
      <c r="A137" s="12"/>
      <c r="B137" s="12"/>
      <c r="C137" s="14" t="s">
        <v>34</v>
      </c>
      <c r="D137" s="18">
        <v>1320.99</v>
      </c>
    </row>
    <row r="138" spans="1:4" x14ac:dyDescent="0.3">
      <c r="A138" s="12"/>
      <c r="B138" s="12"/>
      <c r="C138" s="14" t="s">
        <v>32</v>
      </c>
      <c r="D138" s="18">
        <v>469.99</v>
      </c>
    </row>
    <row r="139" spans="1:4" x14ac:dyDescent="0.3">
      <c r="A139" s="12"/>
      <c r="B139" s="12"/>
      <c r="C139" s="14" t="s">
        <v>29</v>
      </c>
      <c r="D139" s="18">
        <v>7999.98</v>
      </c>
    </row>
    <row r="140" spans="1:4" x14ac:dyDescent="0.3">
      <c r="A140" s="12"/>
      <c r="B140" s="10" t="s">
        <v>1916</v>
      </c>
      <c r="C140" s="11"/>
      <c r="D140" s="17">
        <v>10330.939999999999</v>
      </c>
    </row>
    <row r="141" spans="1:4" x14ac:dyDescent="0.3">
      <c r="A141" s="10" t="s">
        <v>324</v>
      </c>
      <c r="B141" s="11"/>
      <c r="C141" s="11"/>
      <c r="D141" s="17">
        <v>10330.939999999999</v>
      </c>
    </row>
    <row r="142" spans="1:4" x14ac:dyDescent="0.3">
      <c r="A142" s="10">
        <v>29</v>
      </c>
      <c r="B142" s="10" t="s">
        <v>18</v>
      </c>
      <c r="C142" s="10" t="s">
        <v>31</v>
      </c>
      <c r="D142" s="17">
        <v>539.98</v>
      </c>
    </row>
    <row r="143" spans="1:4" x14ac:dyDescent="0.3">
      <c r="A143" s="12"/>
      <c r="B143" s="12"/>
      <c r="C143" s="14" t="s">
        <v>28</v>
      </c>
      <c r="D143" s="18">
        <v>539.98</v>
      </c>
    </row>
    <row r="144" spans="1:4" x14ac:dyDescent="0.3">
      <c r="A144" s="12"/>
      <c r="B144" s="12"/>
      <c r="C144" s="14" t="s">
        <v>25</v>
      </c>
      <c r="D144" s="18">
        <v>1099.98</v>
      </c>
    </row>
    <row r="145" spans="1:4" x14ac:dyDescent="0.3">
      <c r="A145" s="12"/>
      <c r="B145" s="12"/>
      <c r="C145" s="14" t="s">
        <v>32</v>
      </c>
      <c r="D145" s="18">
        <v>469.99</v>
      </c>
    </row>
    <row r="146" spans="1:4" x14ac:dyDescent="0.3">
      <c r="A146" s="12"/>
      <c r="B146" s="12"/>
      <c r="C146" s="14" t="s">
        <v>12</v>
      </c>
      <c r="D146" s="18">
        <v>1799.99</v>
      </c>
    </row>
    <row r="147" spans="1:4" x14ac:dyDescent="0.3">
      <c r="A147" s="12"/>
      <c r="B147" s="10" t="s">
        <v>1916</v>
      </c>
      <c r="C147" s="11"/>
      <c r="D147" s="17">
        <v>4449.92</v>
      </c>
    </row>
    <row r="148" spans="1:4" x14ac:dyDescent="0.3">
      <c r="A148" s="10" t="s">
        <v>325</v>
      </c>
      <c r="B148" s="11"/>
      <c r="C148" s="11"/>
      <c r="D148" s="17">
        <v>4449.92</v>
      </c>
    </row>
    <row r="149" spans="1:4" x14ac:dyDescent="0.3">
      <c r="A149" s="10">
        <v>30</v>
      </c>
      <c r="B149" s="10" t="s">
        <v>18</v>
      </c>
      <c r="C149" s="10" t="s">
        <v>14</v>
      </c>
      <c r="D149" s="17">
        <v>599.99</v>
      </c>
    </row>
    <row r="150" spans="1:4" x14ac:dyDescent="0.3">
      <c r="A150" s="12"/>
      <c r="B150" s="12"/>
      <c r="C150" s="14" t="s">
        <v>23</v>
      </c>
      <c r="D150" s="18">
        <v>429</v>
      </c>
    </row>
    <row r="151" spans="1:4" x14ac:dyDescent="0.3">
      <c r="A151" s="12"/>
      <c r="B151" s="12"/>
      <c r="C151" s="14" t="s">
        <v>36</v>
      </c>
      <c r="D151" s="18">
        <v>449</v>
      </c>
    </row>
    <row r="152" spans="1:4" x14ac:dyDescent="0.3">
      <c r="A152" s="12"/>
      <c r="B152" s="12"/>
      <c r="C152" s="14" t="s">
        <v>16</v>
      </c>
      <c r="D152" s="18">
        <v>2899.99</v>
      </c>
    </row>
    <row r="153" spans="1:4" x14ac:dyDescent="0.3">
      <c r="A153" s="12"/>
      <c r="B153" s="12"/>
      <c r="C153" s="14" t="s">
        <v>29</v>
      </c>
      <c r="D153" s="18">
        <v>7999.98</v>
      </c>
    </row>
    <row r="154" spans="1:4" x14ac:dyDescent="0.3">
      <c r="A154" s="12"/>
      <c r="B154" s="10" t="s">
        <v>1916</v>
      </c>
      <c r="C154" s="11"/>
      <c r="D154" s="17">
        <v>12377.96</v>
      </c>
    </row>
    <row r="155" spans="1:4" x14ac:dyDescent="0.3">
      <c r="A155" s="10" t="s">
        <v>326</v>
      </c>
      <c r="B155" s="11"/>
      <c r="C155" s="11"/>
      <c r="D155" s="17">
        <v>12377.96</v>
      </c>
    </row>
    <row r="156" spans="1:4" x14ac:dyDescent="0.3">
      <c r="A156" s="10">
        <v>31</v>
      </c>
      <c r="B156" s="10" t="s">
        <v>37</v>
      </c>
      <c r="C156" s="10" t="s">
        <v>30</v>
      </c>
      <c r="D156" s="17">
        <v>3361.98</v>
      </c>
    </row>
    <row r="157" spans="1:4" x14ac:dyDescent="0.3">
      <c r="A157" s="12"/>
      <c r="B157" s="12"/>
      <c r="C157" s="14" t="s">
        <v>26</v>
      </c>
      <c r="D157" s="18">
        <v>5999.98</v>
      </c>
    </row>
    <row r="158" spans="1:4" x14ac:dyDescent="0.3">
      <c r="A158" s="12"/>
      <c r="B158" s="10" t="s">
        <v>1917</v>
      </c>
      <c r="C158" s="11"/>
      <c r="D158" s="17">
        <v>9361.9599999999991</v>
      </c>
    </row>
    <row r="159" spans="1:4" x14ac:dyDescent="0.3">
      <c r="A159" s="10" t="s">
        <v>327</v>
      </c>
      <c r="B159" s="11"/>
      <c r="C159" s="11"/>
      <c r="D159" s="17">
        <v>9361.9599999999991</v>
      </c>
    </row>
    <row r="160" spans="1:4" x14ac:dyDescent="0.3">
      <c r="A160" s="10">
        <v>32</v>
      </c>
      <c r="B160" s="10" t="s">
        <v>11</v>
      </c>
      <c r="C160" s="10" t="s">
        <v>25</v>
      </c>
      <c r="D160" s="17">
        <v>1099.98</v>
      </c>
    </row>
    <row r="161" spans="1:4" x14ac:dyDescent="0.3">
      <c r="A161" s="12"/>
      <c r="B161" s="12"/>
      <c r="C161" s="14" t="s">
        <v>35</v>
      </c>
      <c r="D161" s="18">
        <v>999.98</v>
      </c>
    </row>
    <row r="162" spans="1:4" x14ac:dyDescent="0.3">
      <c r="A162" s="12"/>
      <c r="B162" s="12"/>
      <c r="C162" s="14" t="s">
        <v>12</v>
      </c>
      <c r="D162" s="18">
        <v>3599.98</v>
      </c>
    </row>
    <row r="163" spans="1:4" x14ac:dyDescent="0.3">
      <c r="A163" s="12"/>
      <c r="B163" s="10" t="s">
        <v>1915</v>
      </c>
      <c r="C163" s="11"/>
      <c r="D163" s="17">
        <v>5699.9400000000005</v>
      </c>
    </row>
    <row r="164" spans="1:4" x14ac:dyDescent="0.3">
      <c r="A164" s="10" t="s">
        <v>328</v>
      </c>
      <c r="B164" s="11"/>
      <c r="C164" s="11"/>
      <c r="D164" s="17">
        <v>5699.9400000000005</v>
      </c>
    </row>
    <row r="165" spans="1:4" x14ac:dyDescent="0.3">
      <c r="A165" s="10">
        <v>33</v>
      </c>
      <c r="B165" s="10" t="s">
        <v>18</v>
      </c>
      <c r="C165" s="10" t="s">
        <v>33</v>
      </c>
      <c r="D165" s="17">
        <v>599.98</v>
      </c>
    </row>
    <row r="166" spans="1:4" x14ac:dyDescent="0.3">
      <c r="A166" s="12"/>
      <c r="B166" s="12"/>
      <c r="C166" s="14" t="s">
        <v>29</v>
      </c>
      <c r="D166" s="18">
        <v>3999.99</v>
      </c>
    </row>
    <row r="167" spans="1:4" x14ac:dyDescent="0.3">
      <c r="A167" s="12"/>
      <c r="B167" s="10" t="s">
        <v>1916</v>
      </c>
      <c r="C167" s="11"/>
      <c r="D167" s="17">
        <v>4599.9699999999993</v>
      </c>
    </row>
    <row r="168" spans="1:4" x14ac:dyDescent="0.3">
      <c r="A168" s="10" t="s">
        <v>329</v>
      </c>
      <c r="B168" s="11"/>
      <c r="C168" s="11"/>
      <c r="D168" s="17">
        <v>4599.9699999999993</v>
      </c>
    </row>
    <row r="169" spans="1:4" x14ac:dyDescent="0.3">
      <c r="A169" s="10">
        <v>34</v>
      </c>
      <c r="B169" s="10" t="s">
        <v>18</v>
      </c>
      <c r="C169" s="10" t="s">
        <v>23</v>
      </c>
      <c r="D169" s="17">
        <v>858</v>
      </c>
    </row>
    <row r="170" spans="1:4" x14ac:dyDescent="0.3">
      <c r="A170" s="12"/>
      <c r="B170" s="12"/>
      <c r="C170" s="14" t="s">
        <v>13</v>
      </c>
      <c r="D170" s="18">
        <v>3098</v>
      </c>
    </row>
    <row r="171" spans="1:4" x14ac:dyDescent="0.3">
      <c r="A171" s="12"/>
      <c r="B171" s="12"/>
      <c r="C171" s="14" t="s">
        <v>12</v>
      </c>
      <c r="D171" s="18">
        <v>3599.98</v>
      </c>
    </row>
    <row r="172" spans="1:4" x14ac:dyDescent="0.3">
      <c r="A172" s="12"/>
      <c r="B172" s="10" t="s">
        <v>1916</v>
      </c>
      <c r="C172" s="11"/>
      <c r="D172" s="17">
        <v>7555.98</v>
      </c>
    </row>
    <row r="173" spans="1:4" x14ac:dyDescent="0.3">
      <c r="A173" s="10" t="s">
        <v>330</v>
      </c>
      <c r="B173" s="11"/>
      <c r="C173" s="11"/>
      <c r="D173" s="17">
        <v>7555.98</v>
      </c>
    </row>
    <row r="174" spans="1:4" x14ac:dyDescent="0.3">
      <c r="A174" s="10">
        <v>35</v>
      </c>
      <c r="B174" s="10" t="s">
        <v>18</v>
      </c>
      <c r="C174" s="10" t="s">
        <v>31</v>
      </c>
      <c r="D174" s="17">
        <v>539.98</v>
      </c>
    </row>
    <row r="175" spans="1:4" x14ac:dyDescent="0.3">
      <c r="A175" s="12"/>
      <c r="B175" s="12"/>
      <c r="C175" s="14" t="s">
        <v>28</v>
      </c>
      <c r="D175" s="18">
        <v>269.99</v>
      </c>
    </row>
    <row r="176" spans="1:4" x14ac:dyDescent="0.3">
      <c r="A176" s="12"/>
      <c r="B176" s="12"/>
      <c r="C176" s="14" t="s">
        <v>10</v>
      </c>
      <c r="D176" s="18">
        <v>1199.98</v>
      </c>
    </row>
    <row r="177" spans="1:4" x14ac:dyDescent="0.3">
      <c r="A177" s="12"/>
      <c r="B177" s="12"/>
      <c r="C177" s="14" t="s">
        <v>34</v>
      </c>
      <c r="D177" s="18">
        <v>1320.99</v>
      </c>
    </row>
    <row r="178" spans="1:4" x14ac:dyDescent="0.3">
      <c r="A178" s="12"/>
      <c r="B178" s="12"/>
      <c r="C178" s="14" t="s">
        <v>24</v>
      </c>
      <c r="D178" s="18">
        <v>449</v>
      </c>
    </row>
    <row r="179" spans="1:4" x14ac:dyDescent="0.3">
      <c r="A179" s="12"/>
      <c r="B179" s="10" t="s">
        <v>1916</v>
      </c>
      <c r="C179" s="11"/>
      <c r="D179" s="17">
        <v>3779.94</v>
      </c>
    </row>
    <row r="180" spans="1:4" x14ac:dyDescent="0.3">
      <c r="A180" s="10" t="s">
        <v>331</v>
      </c>
      <c r="B180" s="11"/>
      <c r="C180" s="11"/>
      <c r="D180" s="17">
        <v>3779.94</v>
      </c>
    </row>
    <row r="181" spans="1:4" x14ac:dyDescent="0.3">
      <c r="A181" s="10">
        <v>36</v>
      </c>
      <c r="B181" s="10" t="s">
        <v>18</v>
      </c>
      <c r="C181" s="10" t="s">
        <v>34</v>
      </c>
      <c r="D181" s="17">
        <v>1320.99</v>
      </c>
    </row>
    <row r="182" spans="1:4" x14ac:dyDescent="0.3">
      <c r="A182" s="12"/>
      <c r="B182" s="12"/>
      <c r="C182" s="14" t="s">
        <v>20</v>
      </c>
      <c r="D182" s="18">
        <v>1999.98</v>
      </c>
    </row>
    <row r="183" spans="1:4" x14ac:dyDescent="0.3">
      <c r="A183" s="12"/>
      <c r="B183" s="12"/>
      <c r="C183" s="14" t="s">
        <v>26</v>
      </c>
      <c r="D183" s="18">
        <v>2999.99</v>
      </c>
    </row>
    <row r="184" spans="1:4" x14ac:dyDescent="0.3">
      <c r="A184" s="12"/>
      <c r="B184" s="10" t="s">
        <v>1916</v>
      </c>
      <c r="C184" s="11"/>
      <c r="D184" s="17">
        <v>6320.96</v>
      </c>
    </row>
    <row r="185" spans="1:4" x14ac:dyDescent="0.3">
      <c r="A185" s="10" t="s">
        <v>332</v>
      </c>
      <c r="B185" s="11"/>
      <c r="C185" s="11"/>
      <c r="D185" s="17">
        <v>6320.96</v>
      </c>
    </row>
    <row r="186" spans="1:4" x14ac:dyDescent="0.3">
      <c r="A186" s="10">
        <v>37</v>
      </c>
      <c r="B186" s="10" t="s">
        <v>18</v>
      </c>
      <c r="C186" s="10" t="s">
        <v>14</v>
      </c>
      <c r="D186" s="17">
        <v>1199.98</v>
      </c>
    </row>
    <row r="187" spans="1:4" x14ac:dyDescent="0.3">
      <c r="A187" s="12"/>
      <c r="B187" s="10" t="s">
        <v>1916</v>
      </c>
      <c r="C187" s="11"/>
      <c r="D187" s="17">
        <v>1199.98</v>
      </c>
    </row>
    <row r="188" spans="1:4" x14ac:dyDescent="0.3">
      <c r="A188" s="10" t="s">
        <v>333</v>
      </c>
      <c r="B188" s="11"/>
      <c r="C188" s="11"/>
      <c r="D188" s="17">
        <v>1199.98</v>
      </c>
    </row>
    <row r="189" spans="1:4" x14ac:dyDescent="0.3">
      <c r="A189" s="10">
        <v>38</v>
      </c>
      <c r="B189" s="10" t="s">
        <v>18</v>
      </c>
      <c r="C189" s="10" t="s">
        <v>33</v>
      </c>
      <c r="D189" s="17">
        <v>299.99</v>
      </c>
    </row>
    <row r="190" spans="1:4" x14ac:dyDescent="0.3">
      <c r="A190" s="12"/>
      <c r="B190" s="12"/>
      <c r="C190" s="14" t="s">
        <v>25</v>
      </c>
      <c r="D190" s="18">
        <v>549.99</v>
      </c>
    </row>
    <row r="191" spans="1:4" x14ac:dyDescent="0.3">
      <c r="A191" s="12"/>
      <c r="B191" s="12"/>
      <c r="C191" s="14" t="s">
        <v>35</v>
      </c>
      <c r="D191" s="18">
        <v>499.99</v>
      </c>
    </row>
    <row r="192" spans="1:4" x14ac:dyDescent="0.3">
      <c r="A192" s="12"/>
      <c r="B192" s="12"/>
      <c r="C192" s="14" t="s">
        <v>13</v>
      </c>
      <c r="D192" s="18">
        <v>3098</v>
      </c>
    </row>
    <row r="193" spans="1:4" x14ac:dyDescent="0.3">
      <c r="A193" s="12"/>
      <c r="B193" s="12"/>
      <c r="C193" s="14" t="s">
        <v>29</v>
      </c>
      <c r="D193" s="18">
        <v>7999.98</v>
      </c>
    </row>
    <row r="194" spans="1:4" x14ac:dyDescent="0.3">
      <c r="A194" s="12"/>
      <c r="B194" s="10" t="s">
        <v>1916</v>
      </c>
      <c r="C194" s="11"/>
      <c r="D194" s="17">
        <v>12447.95</v>
      </c>
    </row>
    <row r="195" spans="1:4" x14ac:dyDescent="0.3">
      <c r="A195" s="10" t="s">
        <v>334</v>
      </c>
      <c r="B195" s="11"/>
      <c r="C195" s="11"/>
      <c r="D195" s="17">
        <v>12447.95</v>
      </c>
    </row>
    <row r="196" spans="1:4" x14ac:dyDescent="0.3">
      <c r="A196" s="10">
        <v>39</v>
      </c>
      <c r="B196" s="10" t="s">
        <v>18</v>
      </c>
      <c r="C196" s="10" t="s">
        <v>28</v>
      </c>
      <c r="D196" s="17">
        <v>539.98</v>
      </c>
    </row>
    <row r="197" spans="1:4" x14ac:dyDescent="0.3">
      <c r="A197" s="12"/>
      <c r="B197" s="12"/>
      <c r="C197" s="14" t="s">
        <v>27</v>
      </c>
      <c r="D197" s="18">
        <v>529.99</v>
      </c>
    </row>
    <row r="198" spans="1:4" x14ac:dyDescent="0.3">
      <c r="A198" s="12"/>
      <c r="B198" s="12"/>
      <c r="C198" s="14" t="s">
        <v>14</v>
      </c>
      <c r="D198" s="18">
        <v>1199.98</v>
      </c>
    </row>
    <row r="199" spans="1:4" x14ac:dyDescent="0.3">
      <c r="A199" s="12"/>
      <c r="B199" s="12"/>
      <c r="C199" s="14" t="s">
        <v>20</v>
      </c>
      <c r="D199" s="18">
        <v>1999.98</v>
      </c>
    </row>
    <row r="200" spans="1:4" x14ac:dyDescent="0.3">
      <c r="A200" s="12"/>
      <c r="B200" s="10" t="s">
        <v>1916</v>
      </c>
      <c r="C200" s="11"/>
      <c r="D200" s="17">
        <v>4269.93</v>
      </c>
    </row>
    <row r="201" spans="1:4" x14ac:dyDescent="0.3">
      <c r="A201" s="10" t="s">
        <v>335</v>
      </c>
      <c r="B201" s="11"/>
      <c r="C201" s="11"/>
      <c r="D201" s="17">
        <v>4269.93</v>
      </c>
    </row>
    <row r="202" spans="1:4" x14ac:dyDescent="0.3">
      <c r="A202" s="10">
        <v>40</v>
      </c>
      <c r="B202" s="10" t="s">
        <v>11</v>
      </c>
      <c r="C202" s="10" t="s">
        <v>23</v>
      </c>
      <c r="D202" s="17">
        <v>429</v>
      </c>
    </row>
    <row r="203" spans="1:4" x14ac:dyDescent="0.3">
      <c r="A203" s="12"/>
      <c r="B203" s="12"/>
      <c r="C203" s="14" t="s">
        <v>12</v>
      </c>
      <c r="D203" s="18">
        <v>3599.98</v>
      </c>
    </row>
    <row r="204" spans="1:4" x14ac:dyDescent="0.3">
      <c r="A204" s="12"/>
      <c r="B204" s="10" t="s">
        <v>1915</v>
      </c>
      <c r="C204" s="11"/>
      <c r="D204" s="17">
        <v>4028.98</v>
      </c>
    </row>
    <row r="205" spans="1:4" x14ac:dyDescent="0.3">
      <c r="A205" s="10" t="s">
        <v>336</v>
      </c>
      <c r="B205" s="11"/>
      <c r="C205" s="11"/>
      <c r="D205" s="17">
        <v>4028.98</v>
      </c>
    </row>
    <row r="206" spans="1:4" x14ac:dyDescent="0.3">
      <c r="A206" s="10">
        <v>41</v>
      </c>
      <c r="B206" s="10" t="s">
        <v>18</v>
      </c>
      <c r="C206" s="10" t="s">
        <v>14</v>
      </c>
      <c r="D206" s="17">
        <v>1199.98</v>
      </c>
    </row>
    <row r="207" spans="1:4" x14ac:dyDescent="0.3">
      <c r="A207" s="12"/>
      <c r="B207" s="12"/>
      <c r="C207" s="14" t="s">
        <v>34</v>
      </c>
      <c r="D207" s="18">
        <v>1320.99</v>
      </c>
    </row>
    <row r="208" spans="1:4" x14ac:dyDescent="0.3">
      <c r="A208" s="12"/>
      <c r="B208" s="12"/>
      <c r="C208" s="14" t="s">
        <v>36</v>
      </c>
      <c r="D208" s="18">
        <v>898</v>
      </c>
    </row>
    <row r="209" spans="1:4" x14ac:dyDescent="0.3">
      <c r="A209" s="12"/>
      <c r="B209" s="10" t="s">
        <v>1916</v>
      </c>
      <c r="C209" s="11"/>
      <c r="D209" s="17">
        <v>3418.9700000000003</v>
      </c>
    </row>
    <row r="210" spans="1:4" x14ac:dyDescent="0.3">
      <c r="A210" s="10" t="s">
        <v>337</v>
      </c>
      <c r="B210" s="11"/>
      <c r="C210" s="11"/>
      <c r="D210" s="17">
        <v>3418.9700000000003</v>
      </c>
    </row>
    <row r="211" spans="1:4" x14ac:dyDescent="0.3">
      <c r="A211" s="10">
        <v>42</v>
      </c>
      <c r="B211" s="10" t="s">
        <v>18</v>
      </c>
      <c r="C211" s="10" t="s">
        <v>36</v>
      </c>
      <c r="D211" s="17">
        <v>449</v>
      </c>
    </row>
    <row r="212" spans="1:4" x14ac:dyDescent="0.3">
      <c r="A212" s="12"/>
      <c r="B212" s="10" t="s">
        <v>1916</v>
      </c>
      <c r="C212" s="11"/>
      <c r="D212" s="17">
        <v>449</v>
      </c>
    </row>
    <row r="213" spans="1:4" x14ac:dyDescent="0.3">
      <c r="A213" s="10" t="s">
        <v>338</v>
      </c>
      <c r="B213" s="11"/>
      <c r="C213" s="11"/>
      <c r="D213" s="17">
        <v>449</v>
      </c>
    </row>
    <row r="214" spans="1:4" x14ac:dyDescent="0.3">
      <c r="A214" s="10">
        <v>43</v>
      </c>
      <c r="B214" s="10" t="s">
        <v>18</v>
      </c>
      <c r="C214" s="10" t="s">
        <v>31</v>
      </c>
      <c r="D214" s="17">
        <v>539.98</v>
      </c>
    </row>
    <row r="215" spans="1:4" x14ac:dyDescent="0.3">
      <c r="A215" s="12"/>
      <c r="B215" s="12"/>
      <c r="C215" s="14" t="s">
        <v>25</v>
      </c>
      <c r="D215" s="18">
        <v>1099.98</v>
      </c>
    </row>
    <row r="216" spans="1:4" x14ac:dyDescent="0.3">
      <c r="A216" s="12"/>
      <c r="B216" s="10" t="s">
        <v>1916</v>
      </c>
      <c r="C216" s="11"/>
      <c r="D216" s="17">
        <v>1639.96</v>
      </c>
    </row>
    <row r="217" spans="1:4" x14ac:dyDescent="0.3">
      <c r="A217" s="10" t="s">
        <v>339</v>
      </c>
      <c r="B217" s="11"/>
      <c r="C217" s="11"/>
      <c r="D217" s="17">
        <v>1639.96</v>
      </c>
    </row>
    <row r="218" spans="1:4" x14ac:dyDescent="0.3">
      <c r="A218" s="10">
        <v>44</v>
      </c>
      <c r="B218" s="10" t="s">
        <v>18</v>
      </c>
      <c r="C218" s="10" t="s">
        <v>14</v>
      </c>
      <c r="D218" s="17">
        <v>599.99</v>
      </c>
    </row>
    <row r="219" spans="1:4" x14ac:dyDescent="0.3">
      <c r="A219" s="12"/>
      <c r="B219" s="12"/>
      <c r="C219" s="14" t="s">
        <v>29</v>
      </c>
      <c r="D219" s="18">
        <v>3999.99</v>
      </c>
    </row>
    <row r="220" spans="1:4" x14ac:dyDescent="0.3">
      <c r="A220" s="12"/>
      <c r="B220" s="10" t="s">
        <v>1916</v>
      </c>
      <c r="C220" s="11"/>
      <c r="D220" s="17">
        <v>4599.9799999999996</v>
      </c>
    </row>
    <row r="221" spans="1:4" x14ac:dyDescent="0.3">
      <c r="A221" s="10" t="s">
        <v>340</v>
      </c>
      <c r="B221" s="11"/>
      <c r="C221" s="11"/>
      <c r="D221" s="17">
        <v>4599.9799999999996</v>
      </c>
    </row>
    <row r="222" spans="1:4" x14ac:dyDescent="0.3">
      <c r="A222" s="10">
        <v>45</v>
      </c>
      <c r="B222" s="10" t="s">
        <v>18</v>
      </c>
      <c r="C222" s="10" t="s">
        <v>31</v>
      </c>
      <c r="D222" s="17">
        <v>539.98</v>
      </c>
    </row>
    <row r="223" spans="1:4" x14ac:dyDescent="0.3">
      <c r="A223" s="12"/>
      <c r="B223" s="12"/>
      <c r="C223" s="14" t="s">
        <v>28</v>
      </c>
      <c r="D223" s="18">
        <v>269.99</v>
      </c>
    </row>
    <row r="224" spans="1:4" x14ac:dyDescent="0.3">
      <c r="A224" s="12"/>
      <c r="B224" s="12"/>
      <c r="C224" s="14" t="s">
        <v>16</v>
      </c>
      <c r="D224" s="18">
        <v>5799.98</v>
      </c>
    </row>
    <row r="225" spans="1:4" x14ac:dyDescent="0.3">
      <c r="A225" s="12"/>
      <c r="B225" s="10" t="s">
        <v>1916</v>
      </c>
      <c r="C225" s="11"/>
      <c r="D225" s="17">
        <v>6609.95</v>
      </c>
    </row>
    <row r="226" spans="1:4" x14ac:dyDescent="0.3">
      <c r="A226" s="10" t="s">
        <v>341</v>
      </c>
      <c r="B226" s="11"/>
      <c r="C226" s="11"/>
      <c r="D226" s="17">
        <v>6609.95</v>
      </c>
    </row>
    <row r="227" spans="1:4" x14ac:dyDescent="0.3">
      <c r="A227" s="10">
        <v>46</v>
      </c>
      <c r="B227" s="10" t="s">
        <v>18</v>
      </c>
      <c r="C227" s="10" t="s">
        <v>23</v>
      </c>
      <c r="D227" s="17">
        <v>429</v>
      </c>
    </row>
    <row r="228" spans="1:4" x14ac:dyDescent="0.3">
      <c r="A228" s="12"/>
      <c r="B228" s="10" t="s">
        <v>1916</v>
      </c>
      <c r="C228" s="11"/>
      <c r="D228" s="17">
        <v>429</v>
      </c>
    </row>
    <row r="229" spans="1:4" x14ac:dyDescent="0.3">
      <c r="A229" s="10" t="s">
        <v>342</v>
      </c>
      <c r="B229" s="11"/>
      <c r="C229" s="11"/>
      <c r="D229" s="17">
        <v>429</v>
      </c>
    </row>
    <row r="230" spans="1:4" x14ac:dyDescent="0.3">
      <c r="A230" s="10">
        <v>47</v>
      </c>
      <c r="B230" s="10" t="s">
        <v>18</v>
      </c>
      <c r="C230" s="10" t="s">
        <v>31</v>
      </c>
      <c r="D230" s="17">
        <v>269.99</v>
      </c>
    </row>
    <row r="231" spans="1:4" x14ac:dyDescent="0.3">
      <c r="A231" s="12"/>
      <c r="B231" s="12"/>
      <c r="C231" s="14" t="s">
        <v>27</v>
      </c>
      <c r="D231" s="18">
        <v>529.99</v>
      </c>
    </row>
    <row r="232" spans="1:4" x14ac:dyDescent="0.3">
      <c r="A232" s="12"/>
      <c r="B232" s="12"/>
      <c r="C232" s="14" t="s">
        <v>35</v>
      </c>
      <c r="D232" s="18">
        <v>999.98</v>
      </c>
    </row>
    <row r="233" spans="1:4" x14ac:dyDescent="0.3">
      <c r="A233" s="12"/>
      <c r="B233" s="12"/>
      <c r="C233" s="14" t="s">
        <v>32</v>
      </c>
      <c r="D233" s="18">
        <v>469.99</v>
      </c>
    </row>
    <row r="234" spans="1:4" x14ac:dyDescent="0.3">
      <c r="A234" s="12"/>
      <c r="B234" s="10" t="s">
        <v>1916</v>
      </c>
      <c r="C234" s="11"/>
      <c r="D234" s="17">
        <v>2269.9499999999998</v>
      </c>
    </row>
    <row r="235" spans="1:4" x14ac:dyDescent="0.3">
      <c r="A235" s="10" t="s">
        <v>343</v>
      </c>
      <c r="B235" s="11"/>
      <c r="C235" s="11"/>
      <c r="D235" s="17">
        <v>2269.9499999999998</v>
      </c>
    </row>
    <row r="236" spans="1:4" x14ac:dyDescent="0.3">
      <c r="A236" s="10">
        <v>48</v>
      </c>
      <c r="B236" s="10" t="s">
        <v>18</v>
      </c>
      <c r="C236" s="10" t="s">
        <v>28</v>
      </c>
      <c r="D236" s="17">
        <v>539.98</v>
      </c>
    </row>
    <row r="237" spans="1:4" x14ac:dyDescent="0.3">
      <c r="A237" s="12"/>
      <c r="B237" s="12"/>
      <c r="C237" s="14" t="s">
        <v>34</v>
      </c>
      <c r="D237" s="18">
        <v>2641.98</v>
      </c>
    </row>
    <row r="238" spans="1:4" x14ac:dyDescent="0.3">
      <c r="A238" s="12"/>
      <c r="B238" s="12"/>
      <c r="C238" s="14" t="s">
        <v>30</v>
      </c>
      <c r="D238" s="18">
        <v>1680.99</v>
      </c>
    </row>
    <row r="239" spans="1:4" x14ac:dyDescent="0.3">
      <c r="A239" s="12"/>
      <c r="B239" s="12"/>
      <c r="C239" s="14" t="s">
        <v>16</v>
      </c>
      <c r="D239" s="18">
        <v>2899.99</v>
      </c>
    </row>
    <row r="240" spans="1:4" x14ac:dyDescent="0.3">
      <c r="A240" s="12"/>
      <c r="B240" s="10" t="s">
        <v>1916</v>
      </c>
      <c r="C240" s="11"/>
      <c r="D240" s="17">
        <v>7762.94</v>
      </c>
    </row>
    <row r="241" spans="1:4" x14ac:dyDescent="0.3">
      <c r="A241" s="10" t="s">
        <v>344</v>
      </c>
      <c r="B241" s="11"/>
      <c r="C241" s="11"/>
      <c r="D241" s="17">
        <v>7762.94</v>
      </c>
    </row>
    <row r="242" spans="1:4" x14ac:dyDescent="0.3">
      <c r="A242" s="10">
        <v>49</v>
      </c>
      <c r="B242" s="10" t="s">
        <v>18</v>
      </c>
      <c r="C242" s="10" t="s">
        <v>31</v>
      </c>
      <c r="D242" s="17">
        <v>539.98</v>
      </c>
    </row>
    <row r="243" spans="1:4" x14ac:dyDescent="0.3">
      <c r="A243" s="12"/>
      <c r="B243" s="10" t="s">
        <v>1916</v>
      </c>
      <c r="C243" s="11"/>
      <c r="D243" s="17">
        <v>539.98</v>
      </c>
    </row>
    <row r="244" spans="1:4" x14ac:dyDescent="0.3">
      <c r="A244" s="10" t="s">
        <v>345</v>
      </c>
      <c r="B244" s="11"/>
      <c r="C244" s="11"/>
      <c r="D244" s="17">
        <v>539.98</v>
      </c>
    </row>
    <row r="245" spans="1:4" x14ac:dyDescent="0.3">
      <c r="A245" s="10">
        <v>50</v>
      </c>
      <c r="B245" s="10" t="s">
        <v>37</v>
      </c>
      <c r="C245" s="10" t="s">
        <v>31</v>
      </c>
      <c r="D245" s="17">
        <v>539.98</v>
      </c>
    </row>
    <row r="246" spans="1:4" x14ac:dyDescent="0.3">
      <c r="A246" s="12"/>
      <c r="B246" s="12"/>
      <c r="C246" s="14" t="s">
        <v>14</v>
      </c>
      <c r="D246" s="18">
        <v>1199.98</v>
      </c>
    </row>
    <row r="247" spans="1:4" x14ac:dyDescent="0.3">
      <c r="A247" s="12"/>
      <c r="B247" s="12"/>
      <c r="C247" s="14" t="s">
        <v>20</v>
      </c>
      <c r="D247" s="18">
        <v>999.99</v>
      </c>
    </row>
    <row r="248" spans="1:4" x14ac:dyDescent="0.3">
      <c r="A248" s="12"/>
      <c r="B248" s="10" t="s">
        <v>1917</v>
      </c>
      <c r="C248" s="11"/>
      <c r="D248" s="17">
        <v>2739.95</v>
      </c>
    </row>
    <row r="249" spans="1:4" x14ac:dyDescent="0.3">
      <c r="A249" s="10" t="s">
        <v>346</v>
      </c>
      <c r="B249" s="11"/>
      <c r="C249" s="11"/>
      <c r="D249" s="17">
        <v>2739.95</v>
      </c>
    </row>
    <row r="250" spans="1:4" x14ac:dyDescent="0.3">
      <c r="A250" s="10">
        <v>51</v>
      </c>
      <c r="B250" s="10" t="s">
        <v>18</v>
      </c>
      <c r="C250" s="10" t="s">
        <v>31</v>
      </c>
      <c r="D250" s="17">
        <v>269.99</v>
      </c>
    </row>
    <row r="251" spans="1:4" x14ac:dyDescent="0.3">
      <c r="A251" s="12"/>
      <c r="B251" s="12"/>
      <c r="C251" s="14" t="s">
        <v>14</v>
      </c>
      <c r="D251" s="18">
        <v>1199.98</v>
      </c>
    </row>
    <row r="252" spans="1:4" x14ac:dyDescent="0.3">
      <c r="A252" s="12"/>
      <c r="B252" s="12"/>
      <c r="C252" s="14" t="s">
        <v>10</v>
      </c>
      <c r="D252" s="18">
        <v>599.99</v>
      </c>
    </row>
    <row r="253" spans="1:4" x14ac:dyDescent="0.3">
      <c r="A253" s="12"/>
      <c r="B253" s="10" t="s">
        <v>1916</v>
      </c>
      <c r="C253" s="11"/>
      <c r="D253" s="17">
        <v>2069.96</v>
      </c>
    </row>
    <row r="254" spans="1:4" x14ac:dyDescent="0.3">
      <c r="A254" s="10" t="s">
        <v>347</v>
      </c>
      <c r="B254" s="11"/>
      <c r="C254" s="11"/>
      <c r="D254" s="17">
        <v>2069.96</v>
      </c>
    </row>
    <row r="255" spans="1:4" x14ac:dyDescent="0.3">
      <c r="A255" s="10">
        <v>52</v>
      </c>
      <c r="B255" s="10" t="s">
        <v>11</v>
      </c>
      <c r="C255" s="10" t="s">
        <v>35</v>
      </c>
      <c r="D255" s="17">
        <v>499.99</v>
      </c>
    </row>
    <row r="256" spans="1:4" x14ac:dyDescent="0.3">
      <c r="A256" s="12"/>
      <c r="B256" s="10" t="s">
        <v>1915</v>
      </c>
      <c r="C256" s="11"/>
      <c r="D256" s="17">
        <v>499.99</v>
      </c>
    </row>
    <row r="257" spans="1:4" x14ac:dyDescent="0.3">
      <c r="A257" s="10" t="s">
        <v>348</v>
      </c>
      <c r="B257" s="11"/>
      <c r="C257" s="11"/>
      <c r="D257" s="17">
        <v>499.99</v>
      </c>
    </row>
    <row r="258" spans="1:4" x14ac:dyDescent="0.3">
      <c r="A258" s="10">
        <v>53</v>
      </c>
      <c r="B258" s="10" t="s">
        <v>18</v>
      </c>
      <c r="C258" s="10" t="s">
        <v>28</v>
      </c>
      <c r="D258" s="17">
        <v>539.98</v>
      </c>
    </row>
    <row r="259" spans="1:4" x14ac:dyDescent="0.3">
      <c r="A259" s="12"/>
      <c r="B259" s="12"/>
      <c r="C259" s="14" t="s">
        <v>33</v>
      </c>
      <c r="D259" s="18">
        <v>599.98</v>
      </c>
    </row>
    <row r="260" spans="1:4" x14ac:dyDescent="0.3">
      <c r="A260" s="12"/>
      <c r="B260" s="12"/>
      <c r="C260" s="14" t="s">
        <v>35</v>
      </c>
      <c r="D260" s="18">
        <v>999.98</v>
      </c>
    </row>
    <row r="261" spans="1:4" x14ac:dyDescent="0.3">
      <c r="A261" s="12"/>
      <c r="B261" s="12"/>
      <c r="C261" s="14" t="s">
        <v>12</v>
      </c>
      <c r="D261" s="18">
        <v>3599.98</v>
      </c>
    </row>
    <row r="262" spans="1:4" x14ac:dyDescent="0.3">
      <c r="A262" s="12"/>
      <c r="B262" s="10" t="s">
        <v>1916</v>
      </c>
      <c r="C262" s="11"/>
      <c r="D262" s="17">
        <v>5739.92</v>
      </c>
    </row>
    <row r="263" spans="1:4" x14ac:dyDescent="0.3">
      <c r="A263" s="10" t="s">
        <v>349</v>
      </c>
      <c r="B263" s="11"/>
      <c r="C263" s="11"/>
      <c r="D263" s="17">
        <v>5739.92</v>
      </c>
    </row>
    <row r="264" spans="1:4" x14ac:dyDescent="0.3">
      <c r="A264" s="10">
        <v>54</v>
      </c>
      <c r="B264" s="10" t="s">
        <v>18</v>
      </c>
      <c r="C264" s="10" t="s">
        <v>14</v>
      </c>
      <c r="D264" s="17">
        <v>1199.98</v>
      </c>
    </row>
    <row r="265" spans="1:4" x14ac:dyDescent="0.3">
      <c r="A265" s="12"/>
      <c r="B265" s="12"/>
      <c r="C265" s="14" t="s">
        <v>20</v>
      </c>
      <c r="D265" s="18">
        <v>999.99</v>
      </c>
    </row>
    <row r="266" spans="1:4" x14ac:dyDescent="0.3">
      <c r="A266" s="12"/>
      <c r="B266" s="10" t="s">
        <v>1916</v>
      </c>
      <c r="C266" s="11"/>
      <c r="D266" s="17">
        <v>2199.9700000000003</v>
      </c>
    </row>
    <row r="267" spans="1:4" x14ac:dyDescent="0.3">
      <c r="A267" s="10" t="s">
        <v>350</v>
      </c>
      <c r="B267" s="11"/>
      <c r="C267" s="11"/>
      <c r="D267" s="17">
        <v>2199.9700000000003</v>
      </c>
    </row>
    <row r="268" spans="1:4" x14ac:dyDescent="0.3">
      <c r="A268" s="10">
        <v>55</v>
      </c>
      <c r="B268" s="10" t="s">
        <v>18</v>
      </c>
      <c r="C268" s="10" t="s">
        <v>31</v>
      </c>
      <c r="D268" s="17">
        <v>269.99</v>
      </c>
    </row>
    <row r="269" spans="1:4" x14ac:dyDescent="0.3">
      <c r="A269" s="12"/>
      <c r="B269" s="12"/>
      <c r="C269" s="14" t="s">
        <v>27</v>
      </c>
      <c r="D269" s="18">
        <v>1059.98</v>
      </c>
    </row>
    <row r="270" spans="1:4" x14ac:dyDescent="0.3">
      <c r="A270" s="12"/>
      <c r="B270" s="12"/>
      <c r="C270" s="14" t="s">
        <v>35</v>
      </c>
      <c r="D270" s="18">
        <v>999.98</v>
      </c>
    </row>
    <row r="271" spans="1:4" x14ac:dyDescent="0.3">
      <c r="A271" s="12"/>
      <c r="B271" s="10" t="s">
        <v>1916</v>
      </c>
      <c r="C271" s="11"/>
      <c r="D271" s="17">
        <v>2329.9499999999998</v>
      </c>
    </row>
    <row r="272" spans="1:4" x14ac:dyDescent="0.3">
      <c r="A272" s="10" t="s">
        <v>351</v>
      </c>
      <c r="B272" s="11"/>
      <c r="C272" s="11"/>
      <c r="D272" s="17">
        <v>2329.9499999999998</v>
      </c>
    </row>
    <row r="273" spans="1:4" x14ac:dyDescent="0.3">
      <c r="A273" s="10">
        <v>56</v>
      </c>
      <c r="B273" s="10" t="s">
        <v>18</v>
      </c>
      <c r="C273" s="10" t="s">
        <v>10</v>
      </c>
      <c r="D273" s="17">
        <v>1199.98</v>
      </c>
    </row>
    <row r="274" spans="1:4" x14ac:dyDescent="0.3">
      <c r="A274" s="12"/>
      <c r="B274" s="10" t="s">
        <v>1916</v>
      </c>
      <c r="C274" s="11"/>
      <c r="D274" s="17">
        <v>1199.98</v>
      </c>
    </row>
    <row r="275" spans="1:4" x14ac:dyDescent="0.3">
      <c r="A275" s="10" t="s">
        <v>352</v>
      </c>
      <c r="B275" s="11"/>
      <c r="C275" s="11"/>
      <c r="D275" s="17">
        <v>1199.98</v>
      </c>
    </row>
    <row r="276" spans="1:4" x14ac:dyDescent="0.3">
      <c r="A276" s="10">
        <v>57</v>
      </c>
      <c r="B276" s="10" t="s">
        <v>18</v>
      </c>
      <c r="C276" s="10" t="s">
        <v>31</v>
      </c>
      <c r="D276" s="17">
        <v>269.99</v>
      </c>
    </row>
    <row r="277" spans="1:4" x14ac:dyDescent="0.3">
      <c r="A277" s="12"/>
      <c r="B277" s="12"/>
      <c r="C277" s="14" t="s">
        <v>33</v>
      </c>
      <c r="D277" s="18">
        <v>599.98</v>
      </c>
    </row>
    <row r="278" spans="1:4" x14ac:dyDescent="0.3">
      <c r="A278" s="12"/>
      <c r="B278" s="12"/>
      <c r="C278" s="14" t="s">
        <v>36</v>
      </c>
      <c r="D278" s="18">
        <v>898</v>
      </c>
    </row>
    <row r="279" spans="1:4" x14ac:dyDescent="0.3">
      <c r="A279" s="12"/>
      <c r="B279" s="10" t="s">
        <v>1916</v>
      </c>
      <c r="C279" s="11"/>
      <c r="D279" s="17">
        <v>1767.97</v>
      </c>
    </row>
    <row r="280" spans="1:4" x14ac:dyDescent="0.3">
      <c r="A280" s="10" t="s">
        <v>353</v>
      </c>
      <c r="B280" s="11"/>
      <c r="C280" s="11"/>
      <c r="D280" s="17">
        <v>1767.97</v>
      </c>
    </row>
    <row r="281" spans="1:4" x14ac:dyDescent="0.3">
      <c r="A281" s="10">
        <v>58</v>
      </c>
      <c r="B281" s="10" t="s">
        <v>18</v>
      </c>
      <c r="C281" s="10" t="s">
        <v>28</v>
      </c>
      <c r="D281" s="17">
        <v>539.98</v>
      </c>
    </row>
    <row r="282" spans="1:4" x14ac:dyDescent="0.3">
      <c r="A282" s="12"/>
      <c r="B282" s="12"/>
      <c r="C282" s="14" t="s">
        <v>33</v>
      </c>
      <c r="D282" s="18">
        <v>299.99</v>
      </c>
    </row>
    <row r="283" spans="1:4" x14ac:dyDescent="0.3">
      <c r="A283" s="12"/>
      <c r="B283" s="12"/>
      <c r="C283" s="14" t="s">
        <v>24</v>
      </c>
      <c r="D283" s="18">
        <v>449</v>
      </c>
    </row>
    <row r="284" spans="1:4" x14ac:dyDescent="0.3">
      <c r="A284" s="12"/>
      <c r="B284" s="10" t="s">
        <v>1916</v>
      </c>
      <c r="C284" s="11"/>
      <c r="D284" s="17">
        <v>1288.97</v>
      </c>
    </row>
    <row r="285" spans="1:4" x14ac:dyDescent="0.3">
      <c r="A285" s="10" t="s">
        <v>354</v>
      </c>
      <c r="B285" s="11"/>
      <c r="C285" s="11"/>
      <c r="D285" s="17">
        <v>1288.97</v>
      </c>
    </row>
    <row r="286" spans="1:4" x14ac:dyDescent="0.3">
      <c r="A286" s="10">
        <v>59</v>
      </c>
      <c r="B286" s="10" t="s">
        <v>18</v>
      </c>
      <c r="C286" s="10" t="s">
        <v>31</v>
      </c>
      <c r="D286" s="17">
        <v>269.99</v>
      </c>
    </row>
    <row r="287" spans="1:4" x14ac:dyDescent="0.3">
      <c r="A287" s="12"/>
      <c r="B287" s="12"/>
      <c r="C287" s="14" t="s">
        <v>23</v>
      </c>
      <c r="D287" s="18">
        <v>858</v>
      </c>
    </row>
    <row r="288" spans="1:4" x14ac:dyDescent="0.3">
      <c r="A288" s="12"/>
      <c r="B288" s="12"/>
      <c r="C288" s="14" t="s">
        <v>22</v>
      </c>
      <c r="D288" s="18">
        <v>749.99</v>
      </c>
    </row>
    <row r="289" spans="1:4" x14ac:dyDescent="0.3">
      <c r="A289" s="12"/>
      <c r="B289" s="10" t="s">
        <v>1916</v>
      </c>
      <c r="C289" s="11"/>
      <c r="D289" s="17">
        <v>1877.98</v>
      </c>
    </row>
    <row r="290" spans="1:4" x14ac:dyDescent="0.3">
      <c r="A290" s="10" t="s">
        <v>355</v>
      </c>
      <c r="B290" s="11"/>
      <c r="C290" s="11"/>
      <c r="D290" s="17">
        <v>1877.98</v>
      </c>
    </row>
    <row r="291" spans="1:4" x14ac:dyDescent="0.3">
      <c r="A291" s="10">
        <v>60</v>
      </c>
      <c r="B291" s="10" t="s">
        <v>11</v>
      </c>
      <c r="C291" s="10" t="s">
        <v>28</v>
      </c>
      <c r="D291" s="17">
        <v>809.97</v>
      </c>
    </row>
    <row r="292" spans="1:4" x14ac:dyDescent="0.3">
      <c r="A292" s="12"/>
      <c r="B292" s="12"/>
      <c r="C292" s="14" t="s">
        <v>27</v>
      </c>
      <c r="D292" s="18">
        <v>529.99</v>
      </c>
    </row>
    <row r="293" spans="1:4" x14ac:dyDescent="0.3">
      <c r="A293" s="12"/>
      <c r="B293" s="12"/>
      <c r="C293" s="14" t="s">
        <v>16</v>
      </c>
      <c r="D293" s="18">
        <v>2899.99</v>
      </c>
    </row>
    <row r="294" spans="1:4" x14ac:dyDescent="0.3">
      <c r="A294" s="12"/>
      <c r="B294" s="10" t="s">
        <v>1915</v>
      </c>
      <c r="C294" s="11"/>
      <c r="D294" s="17">
        <v>4239.95</v>
      </c>
    </row>
    <row r="295" spans="1:4" x14ac:dyDescent="0.3">
      <c r="A295" s="10" t="s">
        <v>356</v>
      </c>
      <c r="B295" s="11"/>
      <c r="C295" s="11"/>
      <c r="D295" s="17">
        <v>4239.95</v>
      </c>
    </row>
    <row r="296" spans="1:4" x14ac:dyDescent="0.3">
      <c r="A296" s="10">
        <v>61</v>
      </c>
      <c r="B296" s="10" t="s">
        <v>18</v>
      </c>
      <c r="C296" s="10" t="s">
        <v>27</v>
      </c>
      <c r="D296" s="17">
        <v>1059.98</v>
      </c>
    </row>
    <row r="297" spans="1:4" x14ac:dyDescent="0.3">
      <c r="A297" s="12"/>
      <c r="B297" s="12"/>
      <c r="C297" s="14" t="s">
        <v>35</v>
      </c>
      <c r="D297" s="18">
        <v>499.99</v>
      </c>
    </row>
    <row r="298" spans="1:4" x14ac:dyDescent="0.3">
      <c r="A298" s="12"/>
      <c r="B298" s="12"/>
      <c r="C298" s="14" t="s">
        <v>34</v>
      </c>
      <c r="D298" s="18">
        <v>2641.98</v>
      </c>
    </row>
    <row r="299" spans="1:4" x14ac:dyDescent="0.3">
      <c r="A299" s="12"/>
      <c r="B299" s="10" t="s">
        <v>1916</v>
      </c>
      <c r="C299" s="11"/>
      <c r="D299" s="17">
        <v>4201.95</v>
      </c>
    </row>
    <row r="300" spans="1:4" x14ac:dyDescent="0.3">
      <c r="A300" s="10" t="s">
        <v>357</v>
      </c>
      <c r="B300" s="11"/>
      <c r="C300" s="11"/>
      <c r="D300" s="17">
        <v>4201.95</v>
      </c>
    </row>
    <row r="301" spans="1:4" x14ac:dyDescent="0.3">
      <c r="A301" s="10">
        <v>62</v>
      </c>
      <c r="B301" s="10" t="s">
        <v>11</v>
      </c>
      <c r="C301" s="10" t="s">
        <v>28</v>
      </c>
      <c r="D301" s="17">
        <v>809.97</v>
      </c>
    </row>
    <row r="302" spans="1:4" x14ac:dyDescent="0.3">
      <c r="A302" s="12"/>
      <c r="B302" s="12"/>
      <c r="C302" s="14" t="s">
        <v>12</v>
      </c>
      <c r="D302" s="18">
        <v>3599.98</v>
      </c>
    </row>
    <row r="303" spans="1:4" x14ac:dyDescent="0.3">
      <c r="A303" s="12"/>
      <c r="B303" s="10" t="s">
        <v>1915</v>
      </c>
      <c r="C303" s="11"/>
      <c r="D303" s="17">
        <v>4409.95</v>
      </c>
    </row>
    <row r="304" spans="1:4" x14ac:dyDescent="0.3">
      <c r="A304" s="10" t="s">
        <v>358</v>
      </c>
      <c r="B304" s="11"/>
      <c r="C304" s="11"/>
      <c r="D304" s="17">
        <v>4409.95</v>
      </c>
    </row>
    <row r="305" spans="1:4" x14ac:dyDescent="0.3">
      <c r="A305" s="10">
        <v>63</v>
      </c>
      <c r="B305" s="10" t="s">
        <v>18</v>
      </c>
      <c r="C305" s="10" t="s">
        <v>35</v>
      </c>
      <c r="D305" s="17">
        <v>999.98</v>
      </c>
    </row>
    <row r="306" spans="1:4" x14ac:dyDescent="0.3">
      <c r="A306" s="12"/>
      <c r="B306" s="12"/>
      <c r="C306" s="14" t="s">
        <v>36</v>
      </c>
      <c r="D306" s="18">
        <v>898</v>
      </c>
    </row>
    <row r="307" spans="1:4" x14ac:dyDescent="0.3">
      <c r="A307" s="12"/>
      <c r="B307" s="12"/>
      <c r="C307" s="14" t="s">
        <v>20</v>
      </c>
      <c r="D307" s="18">
        <v>999.99</v>
      </c>
    </row>
    <row r="308" spans="1:4" x14ac:dyDescent="0.3">
      <c r="A308" s="12"/>
      <c r="B308" s="10" t="s">
        <v>1916</v>
      </c>
      <c r="C308" s="11"/>
      <c r="D308" s="17">
        <v>2897.9700000000003</v>
      </c>
    </row>
    <row r="309" spans="1:4" x14ac:dyDescent="0.3">
      <c r="A309" s="10" t="s">
        <v>359</v>
      </c>
      <c r="B309" s="11"/>
      <c r="C309" s="11"/>
      <c r="D309" s="17">
        <v>2897.9700000000003</v>
      </c>
    </row>
    <row r="310" spans="1:4" x14ac:dyDescent="0.3">
      <c r="A310" s="10">
        <v>64</v>
      </c>
      <c r="B310" s="10" t="s">
        <v>18</v>
      </c>
      <c r="C310" s="10" t="s">
        <v>28</v>
      </c>
      <c r="D310" s="17">
        <v>539.98</v>
      </c>
    </row>
    <row r="311" spans="1:4" x14ac:dyDescent="0.3">
      <c r="A311" s="12"/>
      <c r="B311" s="12"/>
      <c r="C311" s="14" t="s">
        <v>33</v>
      </c>
      <c r="D311" s="18">
        <v>599.98</v>
      </c>
    </row>
    <row r="312" spans="1:4" x14ac:dyDescent="0.3">
      <c r="A312" s="12"/>
      <c r="B312" s="12"/>
      <c r="C312" s="14" t="s">
        <v>25</v>
      </c>
      <c r="D312" s="18">
        <v>1099.98</v>
      </c>
    </row>
    <row r="313" spans="1:4" x14ac:dyDescent="0.3">
      <c r="A313" s="12"/>
      <c r="B313" s="12"/>
      <c r="C313" s="14" t="s">
        <v>35</v>
      </c>
      <c r="D313" s="18">
        <v>999.98</v>
      </c>
    </row>
    <row r="314" spans="1:4" x14ac:dyDescent="0.3">
      <c r="A314" s="12"/>
      <c r="B314" s="10" t="s">
        <v>1916</v>
      </c>
      <c r="C314" s="11"/>
      <c r="D314" s="17">
        <v>3239.92</v>
      </c>
    </row>
    <row r="315" spans="1:4" x14ac:dyDescent="0.3">
      <c r="A315" s="10" t="s">
        <v>360</v>
      </c>
      <c r="B315" s="11"/>
      <c r="C315" s="11"/>
      <c r="D315" s="17">
        <v>3239.92</v>
      </c>
    </row>
    <row r="316" spans="1:4" x14ac:dyDescent="0.3">
      <c r="A316" s="10">
        <v>65</v>
      </c>
      <c r="B316" s="10" t="s">
        <v>18</v>
      </c>
      <c r="C316" s="10" t="s">
        <v>25</v>
      </c>
      <c r="D316" s="17">
        <v>549.99</v>
      </c>
    </row>
    <row r="317" spans="1:4" x14ac:dyDescent="0.3">
      <c r="A317" s="12"/>
      <c r="B317" s="10" t="s">
        <v>1916</v>
      </c>
      <c r="C317" s="11"/>
      <c r="D317" s="17">
        <v>549.99</v>
      </c>
    </row>
    <row r="318" spans="1:4" x14ac:dyDescent="0.3">
      <c r="A318" s="10" t="s">
        <v>361</v>
      </c>
      <c r="B318" s="11"/>
      <c r="C318" s="11"/>
      <c r="D318" s="17">
        <v>549.99</v>
      </c>
    </row>
    <row r="319" spans="1:4" x14ac:dyDescent="0.3">
      <c r="A319" s="10">
        <v>66</v>
      </c>
      <c r="B319" s="10" t="s">
        <v>18</v>
      </c>
      <c r="C319" s="10" t="s">
        <v>33</v>
      </c>
      <c r="D319" s="17">
        <v>299.99</v>
      </c>
    </row>
    <row r="320" spans="1:4" x14ac:dyDescent="0.3">
      <c r="A320" s="12"/>
      <c r="B320" s="12"/>
      <c r="C320" s="14" t="s">
        <v>25</v>
      </c>
      <c r="D320" s="18">
        <v>549.99</v>
      </c>
    </row>
    <row r="321" spans="1:4" x14ac:dyDescent="0.3">
      <c r="A321" s="12"/>
      <c r="B321" s="12"/>
      <c r="C321" s="14" t="s">
        <v>22</v>
      </c>
      <c r="D321" s="18">
        <v>749.99</v>
      </c>
    </row>
    <row r="322" spans="1:4" x14ac:dyDescent="0.3">
      <c r="A322" s="12"/>
      <c r="B322" s="10" t="s">
        <v>1916</v>
      </c>
      <c r="C322" s="11"/>
      <c r="D322" s="17">
        <v>1599.97</v>
      </c>
    </row>
    <row r="323" spans="1:4" x14ac:dyDescent="0.3">
      <c r="A323" s="10" t="s">
        <v>362</v>
      </c>
      <c r="B323" s="11"/>
      <c r="C323" s="11"/>
      <c r="D323" s="17">
        <v>1599.97</v>
      </c>
    </row>
    <row r="324" spans="1:4" x14ac:dyDescent="0.3">
      <c r="A324" s="10">
        <v>67</v>
      </c>
      <c r="B324" s="10" t="s">
        <v>37</v>
      </c>
      <c r="C324" s="10" t="s">
        <v>31</v>
      </c>
      <c r="D324" s="17">
        <v>269.99</v>
      </c>
    </row>
    <row r="325" spans="1:4" x14ac:dyDescent="0.3">
      <c r="A325" s="12"/>
      <c r="B325" s="12"/>
      <c r="C325" s="14" t="s">
        <v>33</v>
      </c>
      <c r="D325" s="18">
        <v>599.98</v>
      </c>
    </row>
    <row r="326" spans="1:4" x14ac:dyDescent="0.3">
      <c r="A326" s="12"/>
      <c r="B326" s="12"/>
      <c r="C326" s="14" t="s">
        <v>25</v>
      </c>
      <c r="D326" s="18">
        <v>1099.98</v>
      </c>
    </row>
    <row r="327" spans="1:4" x14ac:dyDescent="0.3">
      <c r="A327" s="12"/>
      <c r="B327" s="12"/>
      <c r="C327" s="14" t="s">
        <v>34</v>
      </c>
      <c r="D327" s="18">
        <v>2641.98</v>
      </c>
    </row>
    <row r="328" spans="1:4" x14ac:dyDescent="0.3">
      <c r="A328" s="12"/>
      <c r="B328" s="12"/>
      <c r="C328" s="14" t="s">
        <v>36</v>
      </c>
      <c r="D328" s="18">
        <v>449</v>
      </c>
    </row>
    <row r="329" spans="1:4" x14ac:dyDescent="0.3">
      <c r="A329" s="12"/>
      <c r="B329" s="10" t="s">
        <v>1917</v>
      </c>
      <c r="C329" s="11"/>
      <c r="D329" s="17">
        <v>5060.93</v>
      </c>
    </row>
    <row r="330" spans="1:4" x14ac:dyDescent="0.3">
      <c r="A330" s="10" t="s">
        <v>363</v>
      </c>
      <c r="B330" s="11"/>
      <c r="C330" s="11"/>
      <c r="D330" s="17">
        <v>5060.93</v>
      </c>
    </row>
    <row r="331" spans="1:4" x14ac:dyDescent="0.3">
      <c r="A331" s="10">
        <v>68</v>
      </c>
      <c r="B331" s="10" t="s">
        <v>18</v>
      </c>
      <c r="C331" s="10" t="s">
        <v>31</v>
      </c>
      <c r="D331" s="17">
        <v>539.98</v>
      </c>
    </row>
    <row r="332" spans="1:4" x14ac:dyDescent="0.3">
      <c r="A332" s="12"/>
      <c r="B332" s="12"/>
      <c r="C332" s="14" t="s">
        <v>23</v>
      </c>
      <c r="D332" s="18">
        <v>429</v>
      </c>
    </row>
    <row r="333" spans="1:4" x14ac:dyDescent="0.3">
      <c r="A333" s="12"/>
      <c r="B333" s="10" t="s">
        <v>1916</v>
      </c>
      <c r="C333" s="11"/>
      <c r="D333" s="17">
        <v>968.98</v>
      </c>
    </row>
    <row r="334" spans="1:4" x14ac:dyDescent="0.3">
      <c r="A334" s="10" t="s">
        <v>364</v>
      </c>
      <c r="B334" s="11"/>
      <c r="C334" s="11"/>
      <c r="D334" s="17">
        <v>968.98</v>
      </c>
    </row>
    <row r="335" spans="1:4" x14ac:dyDescent="0.3">
      <c r="A335" s="10">
        <v>69</v>
      </c>
      <c r="B335" s="10" t="s">
        <v>18</v>
      </c>
      <c r="C335" s="10" t="s">
        <v>28</v>
      </c>
      <c r="D335" s="17">
        <v>539.98</v>
      </c>
    </row>
    <row r="336" spans="1:4" x14ac:dyDescent="0.3">
      <c r="A336" s="12"/>
      <c r="B336" s="12"/>
      <c r="C336" s="14" t="s">
        <v>34</v>
      </c>
      <c r="D336" s="18">
        <v>1320.99</v>
      </c>
    </row>
    <row r="337" spans="1:4" x14ac:dyDescent="0.3">
      <c r="A337" s="12"/>
      <c r="B337" s="12"/>
      <c r="C337" s="14" t="s">
        <v>13</v>
      </c>
      <c r="D337" s="18">
        <v>1549</v>
      </c>
    </row>
    <row r="338" spans="1:4" x14ac:dyDescent="0.3">
      <c r="A338" s="12"/>
      <c r="B338" s="10" t="s">
        <v>1916</v>
      </c>
      <c r="C338" s="11"/>
      <c r="D338" s="17">
        <v>3409.9700000000003</v>
      </c>
    </row>
    <row r="339" spans="1:4" x14ac:dyDescent="0.3">
      <c r="A339" s="10" t="s">
        <v>365</v>
      </c>
      <c r="B339" s="11"/>
      <c r="C339" s="11"/>
      <c r="D339" s="17">
        <v>3409.9700000000003</v>
      </c>
    </row>
    <row r="340" spans="1:4" x14ac:dyDescent="0.3">
      <c r="A340" s="10">
        <v>70</v>
      </c>
      <c r="B340" s="10" t="s">
        <v>37</v>
      </c>
      <c r="C340" s="10" t="s">
        <v>10</v>
      </c>
      <c r="D340" s="17">
        <v>599.99</v>
      </c>
    </row>
    <row r="341" spans="1:4" x14ac:dyDescent="0.3">
      <c r="A341" s="12"/>
      <c r="B341" s="12"/>
      <c r="C341" s="14" t="s">
        <v>24</v>
      </c>
      <c r="D341" s="18">
        <v>449</v>
      </c>
    </row>
    <row r="342" spans="1:4" x14ac:dyDescent="0.3">
      <c r="A342" s="12"/>
      <c r="B342" s="12"/>
      <c r="C342" s="14" t="s">
        <v>20</v>
      </c>
      <c r="D342" s="18">
        <v>1999.98</v>
      </c>
    </row>
    <row r="343" spans="1:4" x14ac:dyDescent="0.3">
      <c r="A343" s="12"/>
      <c r="B343" s="10" t="s">
        <v>1917</v>
      </c>
      <c r="C343" s="11"/>
      <c r="D343" s="17">
        <v>3048.9700000000003</v>
      </c>
    </row>
    <row r="344" spans="1:4" x14ac:dyDescent="0.3">
      <c r="A344" s="10" t="s">
        <v>366</v>
      </c>
      <c r="B344" s="11"/>
      <c r="C344" s="11"/>
      <c r="D344" s="17">
        <v>3048.9700000000003</v>
      </c>
    </row>
    <row r="345" spans="1:4" x14ac:dyDescent="0.3">
      <c r="A345" s="10">
        <v>71</v>
      </c>
      <c r="B345" s="10" t="s">
        <v>18</v>
      </c>
      <c r="C345" s="10" t="s">
        <v>25</v>
      </c>
      <c r="D345" s="17">
        <v>549.99</v>
      </c>
    </row>
    <row r="346" spans="1:4" x14ac:dyDescent="0.3">
      <c r="A346" s="12"/>
      <c r="B346" s="12"/>
      <c r="C346" s="14" t="s">
        <v>14</v>
      </c>
      <c r="D346" s="18">
        <v>1199.98</v>
      </c>
    </row>
    <row r="347" spans="1:4" x14ac:dyDescent="0.3">
      <c r="A347" s="12"/>
      <c r="B347" s="12"/>
      <c r="C347" s="14" t="s">
        <v>24</v>
      </c>
      <c r="D347" s="18">
        <v>449</v>
      </c>
    </row>
    <row r="348" spans="1:4" x14ac:dyDescent="0.3">
      <c r="A348" s="12"/>
      <c r="B348" s="10" t="s">
        <v>1916</v>
      </c>
      <c r="C348" s="11"/>
      <c r="D348" s="17">
        <v>2198.9700000000003</v>
      </c>
    </row>
    <row r="349" spans="1:4" x14ac:dyDescent="0.3">
      <c r="A349" s="10" t="s">
        <v>367</v>
      </c>
      <c r="B349" s="11"/>
      <c r="C349" s="11"/>
      <c r="D349" s="17">
        <v>2198.9700000000003</v>
      </c>
    </row>
    <row r="350" spans="1:4" x14ac:dyDescent="0.3">
      <c r="A350" s="10">
        <v>72</v>
      </c>
      <c r="B350" s="10" t="s">
        <v>11</v>
      </c>
      <c r="C350" s="10" t="s">
        <v>31</v>
      </c>
      <c r="D350" s="17">
        <v>539.98</v>
      </c>
    </row>
    <row r="351" spans="1:4" x14ac:dyDescent="0.3">
      <c r="A351" s="12"/>
      <c r="B351" s="12"/>
      <c r="C351" s="14" t="s">
        <v>25</v>
      </c>
      <c r="D351" s="18">
        <v>549.99</v>
      </c>
    </row>
    <row r="352" spans="1:4" x14ac:dyDescent="0.3">
      <c r="A352" s="12"/>
      <c r="B352" s="12"/>
      <c r="C352" s="14" t="s">
        <v>23</v>
      </c>
      <c r="D352" s="18">
        <v>858</v>
      </c>
    </row>
    <row r="353" spans="1:4" x14ac:dyDescent="0.3">
      <c r="A353" s="12"/>
      <c r="B353" s="10" t="s">
        <v>1915</v>
      </c>
      <c r="C353" s="11"/>
      <c r="D353" s="17">
        <v>1947.97</v>
      </c>
    </row>
    <row r="354" spans="1:4" x14ac:dyDescent="0.3">
      <c r="A354" s="10" t="s">
        <v>368</v>
      </c>
      <c r="B354" s="11"/>
      <c r="C354" s="11"/>
      <c r="D354" s="17">
        <v>1947.97</v>
      </c>
    </row>
    <row r="355" spans="1:4" x14ac:dyDescent="0.3">
      <c r="A355" s="10">
        <v>73</v>
      </c>
      <c r="B355" s="10" t="s">
        <v>18</v>
      </c>
      <c r="C355" s="10" t="s">
        <v>28</v>
      </c>
      <c r="D355" s="17">
        <v>269.99</v>
      </c>
    </row>
    <row r="356" spans="1:4" x14ac:dyDescent="0.3">
      <c r="A356" s="12"/>
      <c r="B356" s="12"/>
      <c r="C356" s="14" t="s">
        <v>33</v>
      </c>
      <c r="D356" s="18">
        <v>599.98</v>
      </c>
    </row>
    <row r="357" spans="1:4" x14ac:dyDescent="0.3">
      <c r="A357" s="12"/>
      <c r="B357" s="12"/>
      <c r="C357" s="14" t="s">
        <v>35</v>
      </c>
      <c r="D357" s="18">
        <v>499.99</v>
      </c>
    </row>
    <row r="358" spans="1:4" x14ac:dyDescent="0.3">
      <c r="A358" s="12"/>
      <c r="B358" s="12"/>
      <c r="C358" s="14" t="s">
        <v>14</v>
      </c>
      <c r="D358" s="18">
        <v>1199.98</v>
      </c>
    </row>
    <row r="359" spans="1:4" x14ac:dyDescent="0.3">
      <c r="A359" s="12"/>
      <c r="B359" s="12"/>
      <c r="C359" s="14" t="s">
        <v>20</v>
      </c>
      <c r="D359" s="18">
        <v>1999.98</v>
      </c>
    </row>
    <row r="360" spans="1:4" x14ac:dyDescent="0.3">
      <c r="A360" s="12"/>
      <c r="B360" s="10" t="s">
        <v>1916</v>
      </c>
      <c r="C360" s="11"/>
      <c r="D360" s="17">
        <v>4569.92</v>
      </c>
    </row>
    <row r="361" spans="1:4" x14ac:dyDescent="0.3">
      <c r="A361" s="10" t="s">
        <v>369</v>
      </c>
      <c r="B361" s="11"/>
      <c r="C361" s="11"/>
      <c r="D361" s="17">
        <v>4569.92</v>
      </c>
    </row>
    <row r="362" spans="1:4" x14ac:dyDescent="0.3">
      <c r="A362" s="10">
        <v>74</v>
      </c>
      <c r="B362" s="10" t="s">
        <v>18</v>
      </c>
      <c r="C362" s="10" t="s">
        <v>14</v>
      </c>
      <c r="D362" s="17">
        <v>1199.98</v>
      </c>
    </row>
    <row r="363" spans="1:4" x14ac:dyDescent="0.3">
      <c r="A363" s="12"/>
      <c r="B363" s="12"/>
      <c r="C363" s="14" t="s">
        <v>32</v>
      </c>
      <c r="D363" s="18">
        <v>469.99</v>
      </c>
    </row>
    <row r="364" spans="1:4" x14ac:dyDescent="0.3">
      <c r="A364" s="12"/>
      <c r="B364" s="10" t="s">
        <v>1916</v>
      </c>
      <c r="C364" s="11"/>
      <c r="D364" s="17">
        <v>1669.97</v>
      </c>
    </row>
    <row r="365" spans="1:4" x14ac:dyDescent="0.3">
      <c r="A365" s="10" t="s">
        <v>370</v>
      </c>
      <c r="B365" s="11"/>
      <c r="C365" s="11"/>
      <c r="D365" s="17">
        <v>1669.97</v>
      </c>
    </row>
    <row r="366" spans="1:4" x14ac:dyDescent="0.3">
      <c r="A366" s="10">
        <v>75</v>
      </c>
      <c r="B366" s="10" t="s">
        <v>18</v>
      </c>
      <c r="C366" s="10" t="s">
        <v>27</v>
      </c>
      <c r="D366" s="17">
        <v>529.99</v>
      </c>
    </row>
    <row r="367" spans="1:4" x14ac:dyDescent="0.3">
      <c r="A367" s="12"/>
      <c r="B367" s="12"/>
      <c r="C367" s="14" t="s">
        <v>20</v>
      </c>
      <c r="D367" s="18">
        <v>999.99</v>
      </c>
    </row>
    <row r="368" spans="1:4" x14ac:dyDescent="0.3">
      <c r="A368" s="12"/>
      <c r="B368" s="12"/>
      <c r="C368" s="14" t="s">
        <v>29</v>
      </c>
      <c r="D368" s="18">
        <v>7999.98</v>
      </c>
    </row>
    <row r="369" spans="1:4" x14ac:dyDescent="0.3">
      <c r="A369" s="12"/>
      <c r="B369" s="10" t="s">
        <v>1916</v>
      </c>
      <c r="C369" s="11"/>
      <c r="D369" s="17">
        <v>9529.9599999999991</v>
      </c>
    </row>
    <row r="370" spans="1:4" x14ac:dyDescent="0.3">
      <c r="A370" s="10" t="s">
        <v>371</v>
      </c>
      <c r="B370" s="11"/>
      <c r="C370" s="11"/>
      <c r="D370" s="17">
        <v>9529.9599999999991</v>
      </c>
    </row>
    <row r="371" spans="1:4" x14ac:dyDescent="0.3">
      <c r="A371" s="10">
        <v>76</v>
      </c>
      <c r="B371" s="10" t="s">
        <v>18</v>
      </c>
      <c r="C371" s="10" t="s">
        <v>25</v>
      </c>
      <c r="D371" s="17">
        <v>549.99</v>
      </c>
    </row>
    <row r="372" spans="1:4" x14ac:dyDescent="0.3">
      <c r="A372" s="12"/>
      <c r="B372" s="12"/>
      <c r="C372" s="14" t="s">
        <v>34</v>
      </c>
      <c r="D372" s="18">
        <v>1320.99</v>
      </c>
    </row>
    <row r="373" spans="1:4" x14ac:dyDescent="0.3">
      <c r="A373" s="12"/>
      <c r="B373" s="12"/>
      <c r="C373" s="14" t="s">
        <v>30</v>
      </c>
      <c r="D373" s="18">
        <v>3361.98</v>
      </c>
    </row>
    <row r="374" spans="1:4" x14ac:dyDescent="0.3">
      <c r="A374" s="12"/>
      <c r="B374" s="10" t="s">
        <v>1916</v>
      </c>
      <c r="C374" s="11"/>
      <c r="D374" s="17">
        <v>5232.96</v>
      </c>
    </row>
    <row r="375" spans="1:4" x14ac:dyDescent="0.3">
      <c r="A375" s="10" t="s">
        <v>372</v>
      </c>
      <c r="B375" s="11"/>
      <c r="C375" s="11"/>
      <c r="D375" s="17">
        <v>5232.96</v>
      </c>
    </row>
    <row r="376" spans="1:4" x14ac:dyDescent="0.3">
      <c r="A376" s="10">
        <v>77</v>
      </c>
      <c r="B376" s="10" t="s">
        <v>11</v>
      </c>
      <c r="C376" s="10" t="s">
        <v>25</v>
      </c>
      <c r="D376" s="17">
        <v>1099.98</v>
      </c>
    </row>
    <row r="377" spans="1:4" x14ac:dyDescent="0.3">
      <c r="A377" s="12"/>
      <c r="B377" s="12"/>
      <c r="C377" s="14" t="s">
        <v>35</v>
      </c>
      <c r="D377" s="18">
        <v>499.99</v>
      </c>
    </row>
    <row r="378" spans="1:4" x14ac:dyDescent="0.3">
      <c r="A378" s="12"/>
      <c r="B378" s="12"/>
      <c r="C378" s="14" t="s">
        <v>14</v>
      </c>
      <c r="D378" s="18">
        <v>599.99</v>
      </c>
    </row>
    <row r="379" spans="1:4" x14ac:dyDescent="0.3">
      <c r="A379" s="12"/>
      <c r="B379" s="12"/>
      <c r="C379" s="14" t="s">
        <v>10</v>
      </c>
      <c r="D379" s="18">
        <v>599.99</v>
      </c>
    </row>
    <row r="380" spans="1:4" x14ac:dyDescent="0.3">
      <c r="A380" s="12"/>
      <c r="B380" s="10" t="s">
        <v>1915</v>
      </c>
      <c r="C380" s="11"/>
      <c r="D380" s="17">
        <v>2799.95</v>
      </c>
    </row>
    <row r="381" spans="1:4" x14ac:dyDescent="0.3">
      <c r="A381" s="10" t="s">
        <v>373</v>
      </c>
      <c r="B381" s="11"/>
      <c r="C381" s="11"/>
      <c r="D381" s="17">
        <v>2799.95</v>
      </c>
    </row>
    <row r="382" spans="1:4" x14ac:dyDescent="0.3">
      <c r="A382" s="10">
        <v>78</v>
      </c>
      <c r="B382" s="10" t="s">
        <v>18</v>
      </c>
      <c r="C382" s="10" t="s">
        <v>28</v>
      </c>
      <c r="D382" s="17">
        <v>539.98</v>
      </c>
    </row>
    <row r="383" spans="1:4" x14ac:dyDescent="0.3">
      <c r="A383" s="12"/>
      <c r="B383" s="12"/>
      <c r="C383" s="14" t="s">
        <v>23</v>
      </c>
      <c r="D383" s="18">
        <v>429</v>
      </c>
    </row>
    <row r="384" spans="1:4" x14ac:dyDescent="0.3">
      <c r="A384" s="12"/>
      <c r="B384" s="12"/>
      <c r="C384" s="14" t="s">
        <v>24</v>
      </c>
      <c r="D384" s="18">
        <v>898</v>
      </c>
    </row>
    <row r="385" spans="1:4" x14ac:dyDescent="0.3">
      <c r="A385" s="12"/>
      <c r="B385" s="12"/>
      <c r="C385" s="14" t="s">
        <v>36</v>
      </c>
      <c r="D385" s="18">
        <v>449</v>
      </c>
    </row>
    <row r="386" spans="1:4" x14ac:dyDescent="0.3">
      <c r="A386" s="12"/>
      <c r="B386" s="10" t="s">
        <v>1916</v>
      </c>
      <c r="C386" s="11"/>
      <c r="D386" s="17">
        <v>2315.98</v>
      </c>
    </row>
    <row r="387" spans="1:4" x14ac:dyDescent="0.3">
      <c r="A387" s="10" t="s">
        <v>374</v>
      </c>
      <c r="B387" s="11"/>
      <c r="C387" s="11"/>
      <c r="D387" s="17">
        <v>2315.98</v>
      </c>
    </row>
    <row r="388" spans="1:4" x14ac:dyDescent="0.3">
      <c r="A388" s="10">
        <v>79</v>
      </c>
      <c r="B388" s="10" t="s">
        <v>11</v>
      </c>
      <c r="C388" s="10" t="s">
        <v>35</v>
      </c>
      <c r="D388" s="17">
        <v>999.98</v>
      </c>
    </row>
    <row r="389" spans="1:4" x14ac:dyDescent="0.3">
      <c r="A389" s="12"/>
      <c r="B389" s="12"/>
      <c r="C389" s="14" t="s">
        <v>23</v>
      </c>
      <c r="D389" s="18">
        <v>858</v>
      </c>
    </row>
    <row r="390" spans="1:4" x14ac:dyDescent="0.3">
      <c r="A390" s="12"/>
      <c r="B390" s="12"/>
      <c r="C390" s="14" t="s">
        <v>32</v>
      </c>
      <c r="D390" s="18">
        <v>469.99</v>
      </c>
    </row>
    <row r="391" spans="1:4" x14ac:dyDescent="0.3">
      <c r="A391" s="12"/>
      <c r="B391" s="12"/>
      <c r="C391" s="14" t="s">
        <v>26</v>
      </c>
      <c r="D391" s="18">
        <v>5999.98</v>
      </c>
    </row>
    <row r="392" spans="1:4" x14ac:dyDescent="0.3">
      <c r="A392" s="12"/>
      <c r="B392" s="10" t="s">
        <v>1915</v>
      </c>
      <c r="C392" s="11"/>
      <c r="D392" s="17">
        <v>8327.9500000000007</v>
      </c>
    </row>
    <row r="393" spans="1:4" x14ac:dyDescent="0.3">
      <c r="A393" s="10" t="s">
        <v>375</v>
      </c>
      <c r="B393" s="11"/>
      <c r="C393" s="11"/>
      <c r="D393" s="17">
        <v>8327.9500000000007</v>
      </c>
    </row>
    <row r="394" spans="1:4" x14ac:dyDescent="0.3">
      <c r="A394" s="10">
        <v>80</v>
      </c>
      <c r="B394" s="10" t="s">
        <v>18</v>
      </c>
      <c r="C394" s="10" t="s">
        <v>25</v>
      </c>
      <c r="D394" s="17">
        <v>549.99</v>
      </c>
    </row>
    <row r="395" spans="1:4" x14ac:dyDescent="0.3">
      <c r="A395" s="12"/>
      <c r="B395" s="12"/>
      <c r="C395" s="14" t="s">
        <v>14</v>
      </c>
      <c r="D395" s="18">
        <v>599.99</v>
      </c>
    </row>
    <row r="396" spans="1:4" x14ac:dyDescent="0.3">
      <c r="A396" s="12"/>
      <c r="B396" s="12"/>
      <c r="C396" s="14" t="s">
        <v>23</v>
      </c>
      <c r="D396" s="18">
        <v>429</v>
      </c>
    </row>
    <row r="397" spans="1:4" x14ac:dyDescent="0.3">
      <c r="A397" s="12"/>
      <c r="B397" s="10" t="s">
        <v>1916</v>
      </c>
      <c r="C397" s="11"/>
      <c r="D397" s="17">
        <v>1578.98</v>
      </c>
    </row>
    <row r="398" spans="1:4" x14ac:dyDescent="0.3">
      <c r="A398" s="10" t="s">
        <v>376</v>
      </c>
      <c r="B398" s="11"/>
      <c r="C398" s="11"/>
      <c r="D398" s="17">
        <v>1578.98</v>
      </c>
    </row>
    <row r="399" spans="1:4" x14ac:dyDescent="0.3">
      <c r="A399" s="10">
        <v>81</v>
      </c>
      <c r="B399" s="10" t="s">
        <v>18</v>
      </c>
      <c r="C399" s="10" t="s">
        <v>33</v>
      </c>
      <c r="D399" s="17">
        <v>599.98</v>
      </c>
    </row>
    <row r="400" spans="1:4" x14ac:dyDescent="0.3">
      <c r="A400" s="12"/>
      <c r="B400" s="12"/>
      <c r="C400" s="14" t="s">
        <v>35</v>
      </c>
      <c r="D400" s="18">
        <v>999.98</v>
      </c>
    </row>
    <row r="401" spans="1:4" x14ac:dyDescent="0.3">
      <c r="A401" s="12"/>
      <c r="B401" s="12"/>
      <c r="C401" s="14" t="s">
        <v>13</v>
      </c>
      <c r="D401" s="18">
        <v>3098</v>
      </c>
    </row>
    <row r="402" spans="1:4" x14ac:dyDescent="0.3">
      <c r="A402" s="12"/>
      <c r="B402" s="10" t="s">
        <v>1916</v>
      </c>
      <c r="C402" s="11"/>
      <c r="D402" s="17">
        <v>4697.96</v>
      </c>
    </row>
    <row r="403" spans="1:4" x14ac:dyDescent="0.3">
      <c r="A403" s="10" t="s">
        <v>377</v>
      </c>
      <c r="B403" s="11"/>
      <c r="C403" s="11"/>
      <c r="D403" s="17">
        <v>4697.96</v>
      </c>
    </row>
    <row r="404" spans="1:4" x14ac:dyDescent="0.3">
      <c r="A404" s="10">
        <v>82</v>
      </c>
      <c r="B404" s="10" t="s">
        <v>18</v>
      </c>
      <c r="C404" s="10" t="s">
        <v>35</v>
      </c>
      <c r="D404" s="17">
        <v>999.98</v>
      </c>
    </row>
    <row r="405" spans="1:4" x14ac:dyDescent="0.3">
      <c r="A405" s="12"/>
      <c r="B405" s="12"/>
      <c r="C405" s="14" t="s">
        <v>30</v>
      </c>
      <c r="D405" s="18">
        <v>3361.98</v>
      </c>
    </row>
    <row r="406" spans="1:4" x14ac:dyDescent="0.3">
      <c r="A406" s="12"/>
      <c r="B406" s="10" t="s">
        <v>1916</v>
      </c>
      <c r="C406" s="11"/>
      <c r="D406" s="17">
        <v>4361.96</v>
      </c>
    </row>
    <row r="407" spans="1:4" x14ac:dyDescent="0.3">
      <c r="A407" s="10" t="s">
        <v>378</v>
      </c>
      <c r="B407" s="11"/>
      <c r="C407" s="11"/>
      <c r="D407" s="17">
        <v>4361.96</v>
      </c>
    </row>
    <row r="408" spans="1:4" x14ac:dyDescent="0.3">
      <c r="A408" s="10">
        <v>83</v>
      </c>
      <c r="B408" s="10" t="s">
        <v>11</v>
      </c>
      <c r="C408" s="10" t="s">
        <v>10</v>
      </c>
      <c r="D408" s="17">
        <v>599.99</v>
      </c>
    </row>
    <row r="409" spans="1:4" x14ac:dyDescent="0.3">
      <c r="A409" s="12"/>
      <c r="B409" s="12"/>
      <c r="C409" s="14" t="s">
        <v>20</v>
      </c>
      <c r="D409" s="18">
        <v>1999.98</v>
      </c>
    </row>
    <row r="410" spans="1:4" x14ac:dyDescent="0.3">
      <c r="A410" s="12"/>
      <c r="B410" s="10" t="s">
        <v>1915</v>
      </c>
      <c r="C410" s="11"/>
      <c r="D410" s="17">
        <v>2599.9700000000003</v>
      </c>
    </row>
    <row r="411" spans="1:4" x14ac:dyDescent="0.3">
      <c r="A411" s="10" t="s">
        <v>379</v>
      </c>
      <c r="B411" s="11"/>
      <c r="C411" s="11"/>
      <c r="D411" s="17">
        <v>2599.9700000000003</v>
      </c>
    </row>
    <row r="412" spans="1:4" x14ac:dyDescent="0.3">
      <c r="A412" s="10">
        <v>84</v>
      </c>
      <c r="B412" s="10" t="s">
        <v>18</v>
      </c>
      <c r="C412" s="10" t="s">
        <v>33</v>
      </c>
      <c r="D412" s="17">
        <v>599.98</v>
      </c>
    </row>
    <row r="413" spans="1:4" x14ac:dyDescent="0.3">
      <c r="A413" s="12"/>
      <c r="B413" s="12"/>
      <c r="C413" s="14" t="s">
        <v>27</v>
      </c>
      <c r="D413" s="18">
        <v>1059.98</v>
      </c>
    </row>
    <row r="414" spans="1:4" x14ac:dyDescent="0.3">
      <c r="A414" s="12"/>
      <c r="B414" s="10" t="s">
        <v>1916</v>
      </c>
      <c r="C414" s="11"/>
      <c r="D414" s="17">
        <v>1659.96</v>
      </c>
    </row>
    <row r="415" spans="1:4" x14ac:dyDescent="0.3">
      <c r="A415" s="10" t="s">
        <v>380</v>
      </c>
      <c r="B415" s="11"/>
      <c r="C415" s="11"/>
      <c r="D415" s="17">
        <v>1659.96</v>
      </c>
    </row>
    <row r="416" spans="1:4" x14ac:dyDescent="0.3">
      <c r="A416" s="10">
        <v>85</v>
      </c>
      <c r="B416" s="10" t="s">
        <v>18</v>
      </c>
      <c r="C416" s="10" t="s">
        <v>24</v>
      </c>
      <c r="D416" s="17">
        <v>449</v>
      </c>
    </row>
    <row r="417" spans="1:4" x14ac:dyDescent="0.3">
      <c r="A417" s="12"/>
      <c r="B417" s="12"/>
      <c r="C417" s="14" t="s">
        <v>16</v>
      </c>
      <c r="D417" s="18">
        <v>5799.98</v>
      </c>
    </row>
    <row r="418" spans="1:4" x14ac:dyDescent="0.3">
      <c r="A418" s="12"/>
      <c r="B418" s="10" t="s">
        <v>1916</v>
      </c>
      <c r="C418" s="11"/>
      <c r="D418" s="17">
        <v>6248.98</v>
      </c>
    </row>
    <row r="419" spans="1:4" x14ac:dyDescent="0.3">
      <c r="A419" s="10" t="s">
        <v>381</v>
      </c>
      <c r="B419" s="11"/>
      <c r="C419" s="11"/>
      <c r="D419" s="17">
        <v>6248.98</v>
      </c>
    </row>
    <row r="420" spans="1:4" x14ac:dyDescent="0.3">
      <c r="A420" s="10">
        <v>86</v>
      </c>
      <c r="B420" s="10" t="s">
        <v>18</v>
      </c>
      <c r="C420" s="10" t="s">
        <v>31</v>
      </c>
      <c r="D420" s="17">
        <v>539.98</v>
      </c>
    </row>
    <row r="421" spans="1:4" x14ac:dyDescent="0.3">
      <c r="A421" s="12"/>
      <c r="B421" s="12"/>
      <c r="C421" s="14" t="s">
        <v>33</v>
      </c>
      <c r="D421" s="18">
        <v>599.98</v>
      </c>
    </row>
    <row r="422" spans="1:4" x14ac:dyDescent="0.3">
      <c r="A422" s="12"/>
      <c r="B422" s="12"/>
      <c r="C422" s="14" t="s">
        <v>27</v>
      </c>
      <c r="D422" s="18">
        <v>529.99</v>
      </c>
    </row>
    <row r="423" spans="1:4" x14ac:dyDescent="0.3">
      <c r="A423" s="12"/>
      <c r="B423" s="12"/>
      <c r="C423" s="14" t="s">
        <v>26</v>
      </c>
      <c r="D423" s="18">
        <v>5999.98</v>
      </c>
    </row>
    <row r="424" spans="1:4" x14ac:dyDescent="0.3">
      <c r="A424" s="12"/>
      <c r="B424" s="10" t="s">
        <v>1916</v>
      </c>
      <c r="C424" s="11"/>
      <c r="D424" s="17">
        <v>7669.9299999999994</v>
      </c>
    </row>
    <row r="425" spans="1:4" x14ac:dyDescent="0.3">
      <c r="A425" s="10" t="s">
        <v>382</v>
      </c>
      <c r="B425" s="11"/>
      <c r="C425" s="11"/>
      <c r="D425" s="17">
        <v>7669.9299999999994</v>
      </c>
    </row>
    <row r="426" spans="1:4" x14ac:dyDescent="0.3">
      <c r="A426" s="10">
        <v>87</v>
      </c>
      <c r="B426" s="10" t="s">
        <v>18</v>
      </c>
      <c r="C426" s="10" t="s">
        <v>33</v>
      </c>
      <c r="D426" s="17">
        <v>599.98</v>
      </c>
    </row>
    <row r="427" spans="1:4" x14ac:dyDescent="0.3">
      <c r="A427" s="12"/>
      <c r="B427" s="12"/>
      <c r="C427" s="14" t="s">
        <v>10</v>
      </c>
      <c r="D427" s="18">
        <v>1199.98</v>
      </c>
    </row>
    <row r="428" spans="1:4" x14ac:dyDescent="0.3">
      <c r="A428" s="12"/>
      <c r="B428" s="10" t="s">
        <v>1916</v>
      </c>
      <c r="C428" s="11"/>
      <c r="D428" s="17">
        <v>1799.96</v>
      </c>
    </row>
    <row r="429" spans="1:4" x14ac:dyDescent="0.3">
      <c r="A429" s="10" t="s">
        <v>383</v>
      </c>
      <c r="B429" s="11"/>
      <c r="C429" s="11"/>
      <c r="D429" s="17">
        <v>1799.96</v>
      </c>
    </row>
    <row r="430" spans="1:4" x14ac:dyDescent="0.3">
      <c r="A430" s="10">
        <v>88</v>
      </c>
      <c r="B430" s="10" t="s">
        <v>18</v>
      </c>
      <c r="C430" s="10" t="s">
        <v>13</v>
      </c>
      <c r="D430" s="17">
        <v>1549</v>
      </c>
    </row>
    <row r="431" spans="1:4" x14ac:dyDescent="0.3">
      <c r="A431" s="12"/>
      <c r="B431" s="12"/>
      <c r="C431" s="14" t="s">
        <v>12</v>
      </c>
      <c r="D431" s="18">
        <v>3599.98</v>
      </c>
    </row>
    <row r="432" spans="1:4" x14ac:dyDescent="0.3">
      <c r="A432" s="12"/>
      <c r="B432" s="12"/>
      <c r="C432" s="14" t="s">
        <v>29</v>
      </c>
      <c r="D432" s="18">
        <v>3999.99</v>
      </c>
    </row>
    <row r="433" spans="1:4" x14ac:dyDescent="0.3">
      <c r="A433" s="12"/>
      <c r="B433" s="10" t="s">
        <v>1916</v>
      </c>
      <c r="C433" s="11"/>
      <c r="D433" s="17">
        <v>9148.9699999999993</v>
      </c>
    </row>
    <row r="434" spans="1:4" x14ac:dyDescent="0.3">
      <c r="A434" s="10" t="s">
        <v>384</v>
      </c>
      <c r="B434" s="11"/>
      <c r="C434" s="11"/>
      <c r="D434" s="17">
        <v>9148.9699999999993</v>
      </c>
    </row>
    <row r="435" spans="1:4" x14ac:dyDescent="0.3">
      <c r="A435" s="10">
        <v>89</v>
      </c>
      <c r="B435" s="10" t="s">
        <v>37</v>
      </c>
      <c r="C435" s="10" t="s">
        <v>34</v>
      </c>
      <c r="D435" s="17">
        <v>1320.99</v>
      </c>
    </row>
    <row r="436" spans="1:4" x14ac:dyDescent="0.3">
      <c r="A436" s="12"/>
      <c r="B436" s="12"/>
      <c r="C436" s="14" t="s">
        <v>32</v>
      </c>
      <c r="D436" s="18">
        <v>939.98</v>
      </c>
    </row>
    <row r="437" spans="1:4" x14ac:dyDescent="0.3">
      <c r="A437" s="12"/>
      <c r="B437" s="10" t="s">
        <v>1917</v>
      </c>
      <c r="C437" s="11"/>
      <c r="D437" s="17">
        <v>2260.9700000000003</v>
      </c>
    </row>
    <row r="438" spans="1:4" x14ac:dyDescent="0.3">
      <c r="A438" s="10" t="s">
        <v>385</v>
      </c>
      <c r="B438" s="11"/>
      <c r="C438" s="11"/>
      <c r="D438" s="17">
        <v>2260.9700000000003</v>
      </c>
    </row>
    <row r="439" spans="1:4" x14ac:dyDescent="0.3">
      <c r="A439" s="10">
        <v>90</v>
      </c>
      <c r="B439" s="10" t="s">
        <v>18</v>
      </c>
      <c r="C439" s="10" t="s">
        <v>32</v>
      </c>
      <c r="D439" s="17">
        <v>469.99</v>
      </c>
    </row>
    <row r="440" spans="1:4" x14ac:dyDescent="0.3">
      <c r="A440" s="12"/>
      <c r="B440" s="12"/>
      <c r="C440" s="14" t="s">
        <v>20</v>
      </c>
      <c r="D440" s="18">
        <v>999.99</v>
      </c>
    </row>
    <row r="441" spans="1:4" x14ac:dyDescent="0.3">
      <c r="A441" s="12"/>
      <c r="B441" s="10" t="s">
        <v>1916</v>
      </c>
      <c r="C441" s="11"/>
      <c r="D441" s="17">
        <v>1469.98</v>
      </c>
    </row>
    <row r="442" spans="1:4" x14ac:dyDescent="0.3">
      <c r="A442" s="10" t="s">
        <v>386</v>
      </c>
      <c r="B442" s="11"/>
      <c r="C442" s="11"/>
      <c r="D442" s="17">
        <v>1469.98</v>
      </c>
    </row>
    <row r="443" spans="1:4" x14ac:dyDescent="0.3">
      <c r="A443" s="10">
        <v>91</v>
      </c>
      <c r="B443" s="10" t="s">
        <v>11</v>
      </c>
      <c r="C443" s="10" t="s">
        <v>31</v>
      </c>
      <c r="D443" s="17">
        <v>539.98</v>
      </c>
    </row>
    <row r="444" spans="1:4" x14ac:dyDescent="0.3">
      <c r="A444" s="12"/>
      <c r="B444" s="12"/>
      <c r="C444" s="14" t="s">
        <v>27</v>
      </c>
      <c r="D444" s="18">
        <v>1059.98</v>
      </c>
    </row>
    <row r="445" spans="1:4" x14ac:dyDescent="0.3">
      <c r="A445" s="12"/>
      <c r="B445" s="12"/>
      <c r="C445" s="14" t="s">
        <v>35</v>
      </c>
      <c r="D445" s="18">
        <v>499.99</v>
      </c>
    </row>
    <row r="446" spans="1:4" x14ac:dyDescent="0.3">
      <c r="A446" s="12"/>
      <c r="B446" s="12"/>
      <c r="C446" s="14" t="s">
        <v>30</v>
      </c>
      <c r="D446" s="18">
        <v>1680.99</v>
      </c>
    </row>
    <row r="447" spans="1:4" x14ac:dyDescent="0.3">
      <c r="A447" s="12"/>
      <c r="B447" s="10" t="s">
        <v>1915</v>
      </c>
      <c r="C447" s="11"/>
      <c r="D447" s="17">
        <v>3780.9399999999996</v>
      </c>
    </row>
    <row r="448" spans="1:4" x14ac:dyDescent="0.3">
      <c r="A448" s="10" t="s">
        <v>387</v>
      </c>
      <c r="B448" s="11"/>
      <c r="C448" s="11"/>
      <c r="D448" s="17">
        <v>3780.9399999999996</v>
      </c>
    </row>
    <row r="449" spans="1:4" x14ac:dyDescent="0.3">
      <c r="A449" s="10">
        <v>92</v>
      </c>
      <c r="B449" s="10" t="s">
        <v>18</v>
      </c>
      <c r="C449" s="10" t="s">
        <v>12</v>
      </c>
      <c r="D449" s="17">
        <v>1799.99</v>
      </c>
    </row>
    <row r="450" spans="1:4" x14ac:dyDescent="0.3">
      <c r="A450" s="12"/>
      <c r="B450" s="10" t="s">
        <v>1916</v>
      </c>
      <c r="C450" s="11"/>
      <c r="D450" s="17">
        <v>1799.99</v>
      </c>
    </row>
    <row r="451" spans="1:4" x14ac:dyDescent="0.3">
      <c r="A451" s="10" t="s">
        <v>388</v>
      </c>
      <c r="B451" s="11"/>
      <c r="C451" s="11"/>
      <c r="D451" s="17">
        <v>1799.99</v>
      </c>
    </row>
    <row r="452" spans="1:4" x14ac:dyDescent="0.3">
      <c r="A452" s="10">
        <v>93</v>
      </c>
      <c r="B452" s="10" t="s">
        <v>11</v>
      </c>
      <c r="C452" s="10" t="s">
        <v>31</v>
      </c>
      <c r="D452" s="17">
        <v>269.99</v>
      </c>
    </row>
    <row r="453" spans="1:4" x14ac:dyDescent="0.3">
      <c r="A453" s="12"/>
      <c r="B453" s="12"/>
      <c r="C453" s="14" t="s">
        <v>28</v>
      </c>
      <c r="D453" s="18">
        <v>539.98</v>
      </c>
    </row>
    <row r="454" spans="1:4" x14ac:dyDescent="0.3">
      <c r="A454" s="12"/>
      <c r="B454" s="12"/>
      <c r="C454" s="14" t="s">
        <v>23</v>
      </c>
      <c r="D454" s="18">
        <v>429</v>
      </c>
    </row>
    <row r="455" spans="1:4" x14ac:dyDescent="0.3">
      <c r="A455" s="12"/>
      <c r="B455" s="12"/>
      <c r="C455" s="14" t="s">
        <v>22</v>
      </c>
      <c r="D455" s="18">
        <v>749.99</v>
      </c>
    </row>
    <row r="456" spans="1:4" x14ac:dyDescent="0.3">
      <c r="A456" s="12"/>
      <c r="B456" s="12"/>
      <c r="C456" s="14" t="s">
        <v>13</v>
      </c>
      <c r="D456" s="18">
        <v>3098</v>
      </c>
    </row>
    <row r="457" spans="1:4" x14ac:dyDescent="0.3">
      <c r="A457" s="12"/>
      <c r="B457" s="10" t="s">
        <v>1915</v>
      </c>
      <c r="C457" s="11"/>
      <c r="D457" s="17">
        <v>5086.96</v>
      </c>
    </row>
    <row r="458" spans="1:4" x14ac:dyDescent="0.3">
      <c r="A458" s="10" t="s">
        <v>389</v>
      </c>
      <c r="B458" s="11"/>
      <c r="C458" s="11"/>
      <c r="D458" s="17">
        <v>5086.96</v>
      </c>
    </row>
    <row r="459" spans="1:4" x14ac:dyDescent="0.3">
      <c r="A459" s="10">
        <v>94</v>
      </c>
      <c r="B459" s="10" t="s">
        <v>11</v>
      </c>
      <c r="C459" s="10" t="s">
        <v>31</v>
      </c>
      <c r="D459" s="17">
        <v>539.98</v>
      </c>
    </row>
    <row r="460" spans="1:4" x14ac:dyDescent="0.3">
      <c r="A460" s="12"/>
      <c r="B460" s="12"/>
      <c r="C460" s="14" t="s">
        <v>25</v>
      </c>
      <c r="D460" s="18">
        <v>549.99</v>
      </c>
    </row>
    <row r="461" spans="1:4" x14ac:dyDescent="0.3">
      <c r="A461" s="12"/>
      <c r="B461" s="12"/>
      <c r="C461" s="14" t="s">
        <v>30</v>
      </c>
      <c r="D461" s="18">
        <v>1680.99</v>
      </c>
    </row>
    <row r="462" spans="1:4" x14ac:dyDescent="0.3">
      <c r="A462" s="12"/>
      <c r="B462" s="12"/>
      <c r="C462" s="14" t="s">
        <v>16</v>
      </c>
      <c r="D462" s="18">
        <v>2899.99</v>
      </c>
    </row>
    <row r="463" spans="1:4" x14ac:dyDescent="0.3">
      <c r="A463" s="12"/>
      <c r="B463" s="10" t="s">
        <v>1915</v>
      </c>
      <c r="C463" s="11"/>
      <c r="D463" s="17">
        <v>5670.95</v>
      </c>
    </row>
    <row r="464" spans="1:4" x14ac:dyDescent="0.3">
      <c r="A464" s="10" t="s">
        <v>390</v>
      </c>
      <c r="B464" s="11"/>
      <c r="C464" s="11"/>
      <c r="D464" s="17">
        <v>5670.95</v>
      </c>
    </row>
    <row r="465" spans="1:4" x14ac:dyDescent="0.3">
      <c r="A465" s="10">
        <v>95</v>
      </c>
      <c r="B465" s="10" t="s">
        <v>18</v>
      </c>
      <c r="C465" s="10" t="s">
        <v>10</v>
      </c>
      <c r="D465" s="17">
        <v>1199.98</v>
      </c>
    </row>
    <row r="466" spans="1:4" x14ac:dyDescent="0.3">
      <c r="A466" s="12"/>
      <c r="B466" s="12"/>
      <c r="C466" s="14" t="s">
        <v>36</v>
      </c>
      <c r="D466" s="18">
        <v>449</v>
      </c>
    </row>
    <row r="467" spans="1:4" x14ac:dyDescent="0.3">
      <c r="A467" s="12"/>
      <c r="B467" s="12"/>
      <c r="C467" s="14" t="s">
        <v>13</v>
      </c>
      <c r="D467" s="18">
        <v>3098</v>
      </c>
    </row>
    <row r="468" spans="1:4" x14ac:dyDescent="0.3">
      <c r="A468" s="12"/>
      <c r="B468" s="12"/>
      <c r="C468" s="14" t="s">
        <v>12</v>
      </c>
      <c r="D468" s="18">
        <v>3599.98</v>
      </c>
    </row>
    <row r="469" spans="1:4" x14ac:dyDescent="0.3">
      <c r="A469" s="12"/>
      <c r="B469" s="10" t="s">
        <v>1916</v>
      </c>
      <c r="C469" s="11"/>
      <c r="D469" s="17">
        <v>8346.9599999999991</v>
      </c>
    </row>
    <row r="470" spans="1:4" x14ac:dyDescent="0.3">
      <c r="A470" s="10" t="s">
        <v>391</v>
      </c>
      <c r="B470" s="11"/>
      <c r="C470" s="11"/>
      <c r="D470" s="17">
        <v>8346.9599999999991</v>
      </c>
    </row>
    <row r="471" spans="1:4" x14ac:dyDescent="0.3">
      <c r="A471" s="10">
        <v>96</v>
      </c>
      <c r="B471" s="10" t="s">
        <v>18</v>
      </c>
      <c r="C471" s="10" t="s">
        <v>33</v>
      </c>
      <c r="D471" s="17">
        <v>299.99</v>
      </c>
    </row>
    <row r="472" spans="1:4" x14ac:dyDescent="0.3">
      <c r="A472" s="12"/>
      <c r="B472" s="12"/>
      <c r="C472" s="14" t="s">
        <v>14</v>
      </c>
      <c r="D472" s="18">
        <v>599.99</v>
      </c>
    </row>
    <row r="473" spans="1:4" x14ac:dyDescent="0.3">
      <c r="A473" s="12"/>
      <c r="B473" s="10" t="s">
        <v>1916</v>
      </c>
      <c r="C473" s="11"/>
      <c r="D473" s="17">
        <v>899.98</v>
      </c>
    </row>
    <row r="474" spans="1:4" x14ac:dyDescent="0.3">
      <c r="A474" s="10" t="s">
        <v>392</v>
      </c>
      <c r="B474" s="11"/>
      <c r="C474" s="11"/>
      <c r="D474" s="17">
        <v>899.98</v>
      </c>
    </row>
    <row r="475" spans="1:4" x14ac:dyDescent="0.3">
      <c r="A475" s="10">
        <v>97</v>
      </c>
      <c r="B475" s="10" t="s">
        <v>18</v>
      </c>
      <c r="C475" s="10" t="s">
        <v>10</v>
      </c>
      <c r="D475" s="17">
        <v>1199.98</v>
      </c>
    </row>
    <row r="476" spans="1:4" x14ac:dyDescent="0.3">
      <c r="A476" s="12"/>
      <c r="B476" s="12"/>
      <c r="C476" s="14" t="s">
        <v>36</v>
      </c>
      <c r="D476" s="18">
        <v>449</v>
      </c>
    </row>
    <row r="477" spans="1:4" x14ac:dyDescent="0.3">
      <c r="A477" s="12"/>
      <c r="B477" s="12"/>
      <c r="C477" s="14" t="s">
        <v>22</v>
      </c>
      <c r="D477" s="18">
        <v>749.99</v>
      </c>
    </row>
    <row r="478" spans="1:4" x14ac:dyDescent="0.3">
      <c r="A478" s="12"/>
      <c r="B478" s="12"/>
      <c r="C478" s="14" t="s">
        <v>32</v>
      </c>
      <c r="D478" s="18">
        <v>939.98</v>
      </c>
    </row>
    <row r="479" spans="1:4" x14ac:dyDescent="0.3">
      <c r="A479" s="12"/>
      <c r="B479" s="10" t="s">
        <v>1916</v>
      </c>
      <c r="C479" s="11"/>
      <c r="D479" s="17">
        <v>3338.9500000000003</v>
      </c>
    </row>
    <row r="480" spans="1:4" x14ac:dyDescent="0.3">
      <c r="A480" s="10" t="s">
        <v>393</v>
      </c>
      <c r="B480" s="11"/>
      <c r="C480" s="11"/>
      <c r="D480" s="17">
        <v>3338.9500000000003</v>
      </c>
    </row>
    <row r="481" spans="1:4" x14ac:dyDescent="0.3">
      <c r="A481" s="10">
        <v>98</v>
      </c>
      <c r="B481" s="10" t="s">
        <v>18</v>
      </c>
      <c r="C481" s="10" t="s">
        <v>31</v>
      </c>
      <c r="D481" s="17">
        <v>269.99</v>
      </c>
    </row>
    <row r="482" spans="1:4" x14ac:dyDescent="0.3">
      <c r="A482" s="12"/>
      <c r="B482" s="12"/>
      <c r="C482" s="14" t="s">
        <v>28</v>
      </c>
      <c r="D482" s="18">
        <v>539.98</v>
      </c>
    </row>
    <row r="483" spans="1:4" x14ac:dyDescent="0.3">
      <c r="A483" s="12"/>
      <c r="B483" s="12"/>
      <c r="C483" s="14" t="s">
        <v>36</v>
      </c>
      <c r="D483" s="18">
        <v>449</v>
      </c>
    </row>
    <row r="484" spans="1:4" x14ac:dyDescent="0.3">
      <c r="A484" s="12"/>
      <c r="B484" s="12"/>
      <c r="C484" s="14" t="s">
        <v>22</v>
      </c>
      <c r="D484" s="18">
        <v>749.99</v>
      </c>
    </row>
    <row r="485" spans="1:4" x14ac:dyDescent="0.3">
      <c r="A485" s="12"/>
      <c r="B485" s="10" t="s">
        <v>1916</v>
      </c>
      <c r="C485" s="11"/>
      <c r="D485" s="17">
        <v>2008.96</v>
      </c>
    </row>
    <row r="486" spans="1:4" x14ac:dyDescent="0.3">
      <c r="A486" s="10" t="s">
        <v>394</v>
      </c>
      <c r="B486" s="11"/>
      <c r="C486" s="11"/>
      <c r="D486" s="17">
        <v>2008.96</v>
      </c>
    </row>
    <row r="487" spans="1:4" x14ac:dyDescent="0.3">
      <c r="A487" s="10">
        <v>99</v>
      </c>
      <c r="B487" s="10" t="s">
        <v>37</v>
      </c>
      <c r="C487" s="10" t="s">
        <v>31</v>
      </c>
      <c r="D487" s="17">
        <v>539.98</v>
      </c>
    </row>
    <row r="488" spans="1:4" x14ac:dyDescent="0.3">
      <c r="A488" s="12"/>
      <c r="B488" s="12"/>
      <c r="C488" s="14" t="s">
        <v>33</v>
      </c>
      <c r="D488" s="18">
        <v>599.98</v>
      </c>
    </row>
    <row r="489" spans="1:4" x14ac:dyDescent="0.3">
      <c r="A489" s="12"/>
      <c r="B489" s="12"/>
      <c r="C489" s="14" t="s">
        <v>35</v>
      </c>
      <c r="D489" s="18">
        <v>999.98</v>
      </c>
    </row>
    <row r="490" spans="1:4" x14ac:dyDescent="0.3">
      <c r="A490" s="12"/>
      <c r="B490" s="12"/>
      <c r="C490" s="14" t="s">
        <v>29</v>
      </c>
      <c r="D490" s="18">
        <v>7999.98</v>
      </c>
    </row>
    <row r="491" spans="1:4" x14ac:dyDescent="0.3">
      <c r="A491" s="12"/>
      <c r="B491" s="10" t="s">
        <v>1917</v>
      </c>
      <c r="C491" s="11"/>
      <c r="D491" s="17">
        <v>10139.92</v>
      </c>
    </row>
    <row r="492" spans="1:4" x14ac:dyDescent="0.3">
      <c r="A492" s="10" t="s">
        <v>395</v>
      </c>
      <c r="B492" s="11"/>
      <c r="C492" s="11"/>
      <c r="D492" s="17">
        <v>10139.92</v>
      </c>
    </row>
    <row r="493" spans="1:4" x14ac:dyDescent="0.3">
      <c r="A493" s="10">
        <v>100</v>
      </c>
      <c r="B493" s="10" t="s">
        <v>18</v>
      </c>
      <c r="C493" s="10" t="s">
        <v>25</v>
      </c>
      <c r="D493" s="17">
        <v>2199.96</v>
      </c>
    </row>
    <row r="494" spans="1:4" x14ac:dyDescent="0.3">
      <c r="A494" s="12"/>
      <c r="B494" s="12"/>
      <c r="C494" s="14" t="s">
        <v>14</v>
      </c>
      <c r="D494" s="18">
        <v>1199.98</v>
      </c>
    </row>
    <row r="495" spans="1:4" x14ac:dyDescent="0.3">
      <c r="A495" s="12"/>
      <c r="B495" s="12"/>
      <c r="C495" s="14" t="s">
        <v>30</v>
      </c>
      <c r="D495" s="18">
        <v>3361.98</v>
      </c>
    </row>
    <row r="496" spans="1:4" x14ac:dyDescent="0.3">
      <c r="A496" s="12"/>
      <c r="B496" s="12"/>
      <c r="C496" s="14" t="s">
        <v>29</v>
      </c>
      <c r="D496" s="18">
        <v>7999.98</v>
      </c>
    </row>
    <row r="497" spans="1:4" x14ac:dyDescent="0.3">
      <c r="A497" s="12"/>
      <c r="B497" s="10" t="s">
        <v>1916</v>
      </c>
      <c r="C497" s="11"/>
      <c r="D497" s="17">
        <v>14761.9</v>
      </c>
    </row>
    <row r="498" spans="1:4" x14ac:dyDescent="0.3">
      <c r="A498" s="10" t="s">
        <v>396</v>
      </c>
      <c r="B498" s="11"/>
      <c r="C498" s="11"/>
      <c r="D498" s="17">
        <v>14761.9</v>
      </c>
    </row>
    <row r="499" spans="1:4" x14ac:dyDescent="0.3">
      <c r="A499" s="10">
        <v>101</v>
      </c>
      <c r="B499" s="10" t="s">
        <v>37</v>
      </c>
      <c r="C499" s="10" t="s">
        <v>25</v>
      </c>
      <c r="D499" s="17">
        <v>1099.98</v>
      </c>
    </row>
    <row r="500" spans="1:4" x14ac:dyDescent="0.3">
      <c r="A500" s="12"/>
      <c r="B500" s="10" t="s">
        <v>1917</v>
      </c>
      <c r="C500" s="11"/>
      <c r="D500" s="17">
        <v>1099.98</v>
      </c>
    </row>
    <row r="501" spans="1:4" x14ac:dyDescent="0.3">
      <c r="A501" s="10" t="s">
        <v>397</v>
      </c>
      <c r="B501" s="11"/>
      <c r="C501" s="11"/>
      <c r="D501" s="17">
        <v>1099.98</v>
      </c>
    </row>
    <row r="502" spans="1:4" x14ac:dyDescent="0.3">
      <c r="A502" s="10">
        <v>102</v>
      </c>
      <c r="B502" s="10" t="s">
        <v>18</v>
      </c>
      <c r="C502" s="10" t="s">
        <v>28</v>
      </c>
      <c r="D502" s="17">
        <v>269.99</v>
      </c>
    </row>
    <row r="503" spans="1:4" x14ac:dyDescent="0.3">
      <c r="A503" s="12"/>
      <c r="B503" s="12"/>
      <c r="C503" s="14" t="s">
        <v>27</v>
      </c>
      <c r="D503" s="18">
        <v>529.99</v>
      </c>
    </row>
    <row r="504" spans="1:4" x14ac:dyDescent="0.3">
      <c r="A504" s="12"/>
      <c r="B504" s="10" t="s">
        <v>1916</v>
      </c>
      <c r="C504" s="11"/>
      <c r="D504" s="17">
        <v>799.98</v>
      </c>
    </row>
    <row r="505" spans="1:4" x14ac:dyDescent="0.3">
      <c r="A505" s="10" t="s">
        <v>398</v>
      </c>
      <c r="B505" s="11"/>
      <c r="C505" s="11"/>
      <c r="D505" s="17">
        <v>799.98</v>
      </c>
    </row>
    <row r="506" spans="1:4" x14ac:dyDescent="0.3">
      <c r="A506" s="10">
        <v>103</v>
      </c>
      <c r="B506" s="10" t="s">
        <v>11</v>
      </c>
      <c r="C506" s="10" t="s">
        <v>27</v>
      </c>
      <c r="D506" s="17">
        <v>1059.98</v>
      </c>
    </row>
    <row r="507" spans="1:4" x14ac:dyDescent="0.3">
      <c r="A507" s="12"/>
      <c r="B507" s="12"/>
      <c r="C507" s="14" t="s">
        <v>23</v>
      </c>
      <c r="D507" s="18">
        <v>429</v>
      </c>
    </row>
    <row r="508" spans="1:4" x14ac:dyDescent="0.3">
      <c r="A508" s="12"/>
      <c r="B508" s="12"/>
      <c r="C508" s="14" t="s">
        <v>24</v>
      </c>
      <c r="D508" s="18">
        <v>449</v>
      </c>
    </row>
    <row r="509" spans="1:4" x14ac:dyDescent="0.3">
      <c r="A509" s="12"/>
      <c r="B509" s="12"/>
      <c r="C509" s="14" t="s">
        <v>20</v>
      </c>
      <c r="D509" s="18">
        <v>999.99</v>
      </c>
    </row>
    <row r="510" spans="1:4" x14ac:dyDescent="0.3">
      <c r="A510" s="12"/>
      <c r="B510" s="12"/>
      <c r="C510" s="14" t="s">
        <v>26</v>
      </c>
      <c r="D510" s="18">
        <v>5999.98</v>
      </c>
    </row>
    <row r="511" spans="1:4" x14ac:dyDescent="0.3">
      <c r="A511" s="12"/>
      <c r="B511" s="10" t="s">
        <v>1915</v>
      </c>
      <c r="C511" s="11"/>
      <c r="D511" s="17">
        <v>8937.9500000000007</v>
      </c>
    </row>
    <row r="512" spans="1:4" x14ac:dyDescent="0.3">
      <c r="A512" s="10" t="s">
        <v>399</v>
      </c>
      <c r="B512" s="11"/>
      <c r="C512" s="11"/>
      <c r="D512" s="17">
        <v>8937.9500000000007</v>
      </c>
    </row>
    <row r="513" spans="1:4" x14ac:dyDescent="0.3">
      <c r="A513" s="10">
        <v>104</v>
      </c>
      <c r="B513" s="10" t="s">
        <v>18</v>
      </c>
      <c r="C513" s="10" t="s">
        <v>14</v>
      </c>
      <c r="D513" s="17">
        <v>599.99</v>
      </c>
    </row>
    <row r="514" spans="1:4" x14ac:dyDescent="0.3">
      <c r="A514" s="12"/>
      <c r="B514" s="12"/>
      <c r="C514" s="14" t="s">
        <v>36</v>
      </c>
      <c r="D514" s="18">
        <v>898</v>
      </c>
    </row>
    <row r="515" spans="1:4" x14ac:dyDescent="0.3">
      <c r="A515" s="12"/>
      <c r="B515" s="10" t="s">
        <v>1916</v>
      </c>
      <c r="C515" s="11"/>
      <c r="D515" s="17">
        <v>1497.99</v>
      </c>
    </row>
    <row r="516" spans="1:4" x14ac:dyDescent="0.3">
      <c r="A516" s="10" t="s">
        <v>400</v>
      </c>
      <c r="B516" s="11"/>
      <c r="C516" s="11"/>
      <c r="D516" s="17">
        <v>1497.99</v>
      </c>
    </row>
    <row r="517" spans="1:4" x14ac:dyDescent="0.3">
      <c r="A517" s="10">
        <v>105</v>
      </c>
      <c r="B517" s="10" t="s">
        <v>18</v>
      </c>
      <c r="C517" s="10" t="s">
        <v>30</v>
      </c>
      <c r="D517" s="17">
        <v>3361.98</v>
      </c>
    </row>
    <row r="518" spans="1:4" x14ac:dyDescent="0.3">
      <c r="A518" s="12"/>
      <c r="B518" s="12"/>
      <c r="C518" s="14" t="s">
        <v>20</v>
      </c>
      <c r="D518" s="18">
        <v>999.99</v>
      </c>
    </row>
    <row r="519" spans="1:4" x14ac:dyDescent="0.3">
      <c r="A519" s="12"/>
      <c r="B519" s="12"/>
      <c r="C519" s="14" t="s">
        <v>26</v>
      </c>
      <c r="D519" s="18">
        <v>2999.99</v>
      </c>
    </row>
    <row r="520" spans="1:4" x14ac:dyDescent="0.3">
      <c r="A520" s="12"/>
      <c r="B520" s="10" t="s">
        <v>1916</v>
      </c>
      <c r="C520" s="11"/>
      <c r="D520" s="17">
        <v>7361.96</v>
      </c>
    </row>
    <row r="521" spans="1:4" x14ac:dyDescent="0.3">
      <c r="A521" s="10" t="s">
        <v>401</v>
      </c>
      <c r="B521" s="11"/>
      <c r="C521" s="11"/>
      <c r="D521" s="17">
        <v>7361.96</v>
      </c>
    </row>
    <row r="522" spans="1:4" x14ac:dyDescent="0.3">
      <c r="A522" s="10">
        <v>106</v>
      </c>
      <c r="B522" s="10" t="s">
        <v>37</v>
      </c>
      <c r="C522" s="10" t="s">
        <v>31</v>
      </c>
      <c r="D522" s="17">
        <v>539.98</v>
      </c>
    </row>
    <row r="523" spans="1:4" x14ac:dyDescent="0.3">
      <c r="A523" s="12"/>
      <c r="B523" s="12"/>
      <c r="C523" s="14" t="s">
        <v>23</v>
      </c>
      <c r="D523" s="18">
        <v>429</v>
      </c>
    </row>
    <row r="524" spans="1:4" x14ac:dyDescent="0.3">
      <c r="A524" s="12"/>
      <c r="B524" s="10" t="s">
        <v>1917</v>
      </c>
      <c r="C524" s="11"/>
      <c r="D524" s="17">
        <v>968.98</v>
      </c>
    </row>
    <row r="525" spans="1:4" x14ac:dyDescent="0.3">
      <c r="A525" s="10" t="s">
        <v>402</v>
      </c>
      <c r="B525" s="11"/>
      <c r="C525" s="11"/>
      <c r="D525" s="17">
        <v>968.98</v>
      </c>
    </row>
    <row r="526" spans="1:4" x14ac:dyDescent="0.3">
      <c r="A526" s="10">
        <v>107</v>
      </c>
      <c r="B526" s="10" t="s">
        <v>11</v>
      </c>
      <c r="C526" s="10" t="s">
        <v>31</v>
      </c>
      <c r="D526" s="17">
        <v>539.98</v>
      </c>
    </row>
    <row r="527" spans="1:4" x14ac:dyDescent="0.3">
      <c r="A527" s="12"/>
      <c r="B527" s="12"/>
      <c r="C527" s="14" t="s">
        <v>36</v>
      </c>
      <c r="D527" s="18">
        <v>449</v>
      </c>
    </row>
    <row r="528" spans="1:4" x14ac:dyDescent="0.3">
      <c r="A528" s="12"/>
      <c r="B528" s="10" t="s">
        <v>1915</v>
      </c>
      <c r="C528" s="11"/>
      <c r="D528" s="17">
        <v>988.98</v>
      </c>
    </row>
    <row r="529" spans="1:4" x14ac:dyDescent="0.3">
      <c r="A529" s="10" t="s">
        <v>403</v>
      </c>
      <c r="B529" s="11"/>
      <c r="C529" s="11"/>
      <c r="D529" s="17">
        <v>988.98</v>
      </c>
    </row>
    <row r="530" spans="1:4" x14ac:dyDescent="0.3">
      <c r="A530" s="10">
        <v>108</v>
      </c>
      <c r="B530" s="10" t="s">
        <v>18</v>
      </c>
      <c r="C530" s="10" t="s">
        <v>28</v>
      </c>
      <c r="D530" s="17">
        <v>539.98</v>
      </c>
    </row>
    <row r="531" spans="1:4" x14ac:dyDescent="0.3">
      <c r="A531" s="12"/>
      <c r="B531" s="12"/>
      <c r="C531" s="14" t="s">
        <v>14</v>
      </c>
      <c r="D531" s="18">
        <v>1199.98</v>
      </c>
    </row>
    <row r="532" spans="1:4" x14ac:dyDescent="0.3">
      <c r="A532" s="12"/>
      <c r="B532" s="12"/>
      <c r="C532" s="14" t="s">
        <v>30</v>
      </c>
      <c r="D532" s="18">
        <v>1680.99</v>
      </c>
    </row>
    <row r="533" spans="1:4" x14ac:dyDescent="0.3">
      <c r="A533" s="12"/>
      <c r="B533" s="10" t="s">
        <v>1916</v>
      </c>
      <c r="C533" s="11"/>
      <c r="D533" s="17">
        <v>3420.95</v>
      </c>
    </row>
    <row r="534" spans="1:4" x14ac:dyDescent="0.3">
      <c r="A534" s="10" t="s">
        <v>404</v>
      </c>
      <c r="B534" s="11"/>
      <c r="C534" s="11"/>
      <c r="D534" s="17">
        <v>3420.95</v>
      </c>
    </row>
    <row r="535" spans="1:4" x14ac:dyDescent="0.3">
      <c r="A535" s="10">
        <v>109</v>
      </c>
      <c r="B535" s="10" t="s">
        <v>18</v>
      </c>
      <c r="C535" s="10" t="s">
        <v>28</v>
      </c>
      <c r="D535" s="17">
        <v>539.98</v>
      </c>
    </row>
    <row r="536" spans="1:4" x14ac:dyDescent="0.3">
      <c r="A536" s="12"/>
      <c r="B536" s="12"/>
      <c r="C536" s="14" t="s">
        <v>32</v>
      </c>
      <c r="D536" s="18">
        <v>469.99</v>
      </c>
    </row>
    <row r="537" spans="1:4" x14ac:dyDescent="0.3">
      <c r="A537" s="12"/>
      <c r="B537" s="10" t="s">
        <v>1916</v>
      </c>
      <c r="C537" s="11"/>
      <c r="D537" s="17">
        <v>1009.97</v>
      </c>
    </row>
    <row r="538" spans="1:4" x14ac:dyDescent="0.3">
      <c r="A538" s="10" t="s">
        <v>405</v>
      </c>
      <c r="B538" s="11"/>
      <c r="C538" s="11"/>
      <c r="D538" s="17">
        <v>1009.97</v>
      </c>
    </row>
    <row r="539" spans="1:4" x14ac:dyDescent="0.3">
      <c r="A539" s="10">
        <v>110</v>
      </c>
      <c r="B539" s="10" t="s">
        <v>37</v>
      </c>
      <c r="C539" s="10" t="s">
        <v>28</v>
      </c>
      <c r="D539" s="17">
        <v>269.99</v>
      </c>
    </row>
    <row r="540" spans="1:4" x14ac:dyDescent="0.3">
      <c r="A540" s="12"/>
      <c r="B540" s="10" t="s">
        <v>1917</v>
      </c>
      <c r="C540" s="11"/>
      <c r="D540" s="17">
        <v>269.99</v>
      </c>
    </row>
    <row r="541" spans="1:4" x14ac:dyDescent="0.3">
      <c r="A541" s="10" t="s">
        <v>406</v>
      </c>
      <c r="B541" s="11"/>
      <c r="C541" s="11"/>
      <c r="D541" s="17">
        <v>269.99</v>
      </c>
    </row>
    <row r="542" spans="1:4" x14ac:dyDescent="0.3">
      <c r="A542" s="10">
        <v>111</v>
      </c>
      <c r="B542" s="10" t="s">
        <v>18</v>
      </c>
      <c r="C542" s="10" t="s">
        <v>28</v>
      </c>
      <c r="D542" s="17">
        <v>269.99</v>
      </c>
    </row>
    <row r="543" spans="1:4" x14ac:dyDescent="0.3">
      <c r="A543" s="12"/>
      <c r="B543" s="12"/>
      <c r="C543" s="14" t="s">
        <v>25</v>
      </c>
      <c r="D543" s="18">
        <v>1099.98</v>
      </c>
    </row>
    <row r="544" spans="1:4" x14ac:dyDescent="0.3">
      <c r="A544" s="12"/>
      <c r="B544" s="10" t="s">
        <v>1916</v>
      </c>
      <c r="C544" s="11"/>
      <c r="D544" s="17">
        <v>1369.97</v>
      </c>
    </row>
    <row r="545" spans="1:4" x14ac:dyDescent="0.3">
      <c r="A545" s="10" t="s">
        <v>407</v>
      </c>
      <c r="B545" s="11"/>
      <c r="C545" s="11"/>
      <c r="D545" s="17">
        <v>1369.97</v>
      </c>
    </row>
    <row r="546" spans="1:4" x14ac:dyDescent="0.3">
      <c r="A546" s="10">
        <v>112</v>
      </c>
      <c r="B546" s="10" t="s">
        <v>18</v>
      </c>
      <c r="C546" s="10" t="s">
        <v>33</v>
      </c>
      <c r="D546" s="17">
        <v>599.98</v>
      </c>
    </row>
    <row r="547" spans="1:4" x14ac:dyDescent="0.3">
      <c r="A547" s="12"/>
      <c r="B547" s="12"/>
      <c r="C547" s="14" t="s">
        <v>25</v>
      </c>
      <c r="D547" s="18">
        <v>1099.98</v>
      </c>
    </row>
    <row r="548" spans="1:4" x14ac:dyDescent="0.3">
      <c r="A548" s="12"/>
      <c r="B548" s="12"/>
      <c r="C548" s="14" t="s">
        <v>35</v>
      </c>
      <c r="D548" s="18">
        <v>999.98</v>
      </c>
    </row>
    <row r="549" spans="1:4" x14ac:dyDescent="0.3">
      <c r="A549" s="12"/>
      <c r="B549" s="12"/>
      <c r="C549" s="14" t="s">
        <v>34</v>
      </c>
      <c r="D549" s="18">
        <v>1320.99</v>
      </c>
    </row>
    <row r="550" spans="1:4" x14ac:dyDescent="0.3">
      <c r="A550" s="12"/>
      <c r="B550" s="10" t="s">
        <v>1916</v>
      </c>
      <c r="C550" s="11"/>
      <c r="D550" s="17">
        <v>4020.9300000000003</v>
      </c>
    </row>
    <row r="551" spans="1:4" x14ac:dyDescent="0.3">
      <c r="A551" s="10" t="s">
        <v>408</v>
      </c>
      <c r="B551" s="11"/>
      <c r="C551" s="11"/>
      <c r="D551" s="17">
        <v>4020.9300000000003</v>
      </c>
    </row>
    <row r="552" spans="1:4" x14ac:dyDescent="0.3">
      <c r="A552" s="10">
        <v>113</v>
      </c>
      <c r="B552" s="10" t="s">
        <v>18</v>
      </c>
      <c r="C552" s="10" t="s">
        <v>33</v>
      </c>
      <c r="D552" s="17">
        <v>299.99</v>
      </c>
    </row>
    <row r="553" spans="1:4" x14ac:dyDescent="0.3">
      <c r="A553" s="12"/>
      <c r="B553" s="12"/>
      <c r="C553" s="14" t="s">
        <v>25</v>
      </c>
      <c r="D553" s="18">
        <v>2199.96</v>
      </c>
    </row>
    <row r="554" spans="1:4" x14ac:dyDescent="0.3">
      <c r="A554" s="12"/>
      <c r="B554" s="12"/>
      <c r="C554" s="14" t="s">
        <v>34</v>
      </c>
      <c r="D554" s="18">
        <v>2641.98</v>
      </c>
    </row>
    <row r="555" spans="1:4" x14ac:dyDescent="0.3">
      <c r="A555" s="12"/>
      <c r="B555" s="12"/>
      <c r="C555" s="14" t="s">
        <v>32</v>
      </c>
      <c r="D555" s="18">
        <v>469.99</v>
      </c>
    </row>
    <row r="556" spans="1:4" x14ac:dyDescent="0.3">
      <c r="A556" s="12"/>
      <c r="B556" s="10" t="s">
        <v>1916</v>
      </c>
      <c r="C556" s="11"/>
      <c r="D556" s="17">
        <v>5611.92</v>
      </c>
    </row>
    <row r="557" spans="1:4" x14ac:dyDescent="0.3">
      <c r="A557" s="10" t="s">
        <v>409</v>
      </c>
      <c r="B557" s="11"/>
      <c r="C557" s="11"/>
      <c r="D557" s="17">
        <v>5611.92</v>
      </c>
    </row>
    <row r="558" spans="1:4" x14ac:dyDescent="0.3">
      <c r="A558" s="10">
        <v>114</v>
      </c>
      <c r="B558" s="10" t="s">
        <v>18</v>
      </c>
      <c r="C558" s="10" t="s">
        <v>31</v>
      </c>
      <c r="D558" s="17">
        <v>539.98</v>
      </c>
    </row>
    <row r="559" spans="1:4" x14ac:dyDescent="0.3">
      <c r="A559" s="12"/>
      <c r="B559" s="12"/>
      <c r="C559" s="14" t="s">
        <v>25</v>
      </c>
      <c r="D559" s="18">
        <v>549.99</v>
      </c>
    </row>
    <row r="560" spans="1:4" x14ac:dyDescent="0.3">
      <c r="A560" s="12"/>
      <c r="B560" s="12"/>
      <c r="C560" s="14" t="s">
        <v>22</v>
      </c>
      <c r="D560" s="18">
        <v>749.99</v>
      </c>
    </row>
    <row r="561" spans="1:4" x14ac:dyDescent="0.3">
      <c r="A561" s="12"/>
      <c r="B561" s="10" t="s">
        <v>1916</v>
      </c>
      <c r="C561" s="11"/>
      <c r="D561" s="17">
        <v>1839.96</v>
      </c>
    </row>
    <row r="562" spans="1:4" x14ac:dyDescent="0.3">
      <c r="A562" s="10" t="s">
        <v>410</v>
      </c>
      <c r="B562" s="11"/>
      <c r="C562" s="11"/>
      <c r="D562" s="17">
        <v>1839.96</v>
      </c>
    </row>
    <row r="563" spans="1:4" x14ac:dyDescent="0.3">
      <c r="A563" s="10">
        <v>115</v>
      </c>
      <c r="B563" s="10" t="s">
        <v>18</v>
      </c>
      <c r="C563" s="10" t="s">
        <v>28</v>
      </c>
      <c r="D563" s="17">
        <v>269.99</v>
      </c>
    </row>
    <row r="564" spans="1:4" x14ac:dyDescent="0.3">
      <c r="A564" s="12"/>
      <c r="B564" s="12"/>
      <c r="C564" s="14" t="s">
        <v>36</v>
      </c>
      <c r="D564" s="18">
        <v>449</v>
      </c>
    </row>
    <row r="565" spans="1:4" x14ac:dyDescent="0.3">
      <c r="A565" s="12"/>
      <c r="B565" s="10" t="s">
        <v>1916</v>
      </c>
      <c r="C565" s="11"/>
      <c r="D565" s="17">
        <v>718.99</v>
      </c>
    </row>
    <row r="566" spans="1:4" x14ac:dyDescent="0.3">
      <c r="A566" s="10" t="s">
        <v>411</v>
      </c>
      <c r="B566" s="11"/>
      <c r="C566" s="11"/>
      <c r="D566" s="17">
        <v>718.99</v>
      </c>
    </row>
    <row r="567" spans="1:4" x14ac:dyDescent="0.3">
      <c r="A567" s="10">
        <v>116</v>
      </c>
      <c r="B567" s="10" t="s">
        <v>18</v>
      </c>
      <c r="C567" s="10" t="s">
        <v>14</v>
      </c>
      <c r="D567" s="17">
        <v>599.99</v>
      </c>
    </row>
    <row r="568" spans="1:4" x14ac:dyDescent="0.3">
      <c r="A568" s="12"/>
      <c r="B568" s="10" t="s">
        <v>1916</v>
      </c>
      <c r="C568" s="11"/>
      <c r="D568" s="17">
        <v>599.99</v>
      </c>
    </row>
    <row r="569" spans="1:4" x14ac:dyDescent="0.3">
      <c r="A569" s="10" t="s">
        <v>412</v>
      </c>
      <c r="B569" s="11"/>
      <c r="C569" s="11"/>
      <c r="D569" s="17">
        <v>599.99</v>
      </c>
    </row>
    <row r="570" spans="1:4" x14ac:dyDescent="0.3">
      <c r="A570" s="10">
        <v>117</v>
      </c>
      <c r="B570" s="10" t="s">
        <v>18</v>
      </c>
      <c r="C570" s="10" t="s">
        <v>28</v>
      </c>
      <c r="D570" s="17">
        <v>809.97</v>
      </c>
    </row>
    <row r="571" spans="1:4" x14ac:dyDescent="0.3">
      <c r="A571" s="12"/>
      <c r="B571" s="12"/>
      <c r="C571" s="14" t="s">
        <v>14</v>
      </c>
      <c r="D571" s="18">
        <v>599.99</v>
      </c>
    </row>
    <row r="572" spans="1:4" x14ac:dyDescent="0.3">
      <c r="A572" s="12"/>
      <c r="B572" s="12"/>
      <c r="C572" s="14" t="s">
        <v>36</v>
      </c>
      <c r="D572" s="18">
        <v>449</v>
      </c>
    </row>
    <row r="573" spans="1:4" x14ac:dyDescent="0.3">
      <c r="A573" s="12"/>
      <c r="B573" s="10" t="s">
        <v>1916</v>
      </c>
      <c r="C573" s="11"/>
      <c r="D573" s="17">
        <v>1858.96</v>
      </c>
    </row>
    <row r="574" spans="1:4" x14ac:dyDescent="0.3">
      <c r="A574" s="10" t="s">
        <v>413</v>
      </c>
      <c r="B574" s="11"/>
      <c r="C574" s="11"/>
      <c r="D574" s="17">
        <v>1858.96</v>
      </c>
    </row>
    <row r="575" spans="1:4" x14ac:dyDescent="0.3">
      <c r="A575" s="10">
        <v>118</v>
      </c>
      <c r="B575" s="10" t="s">
        <v>11</v>
      </c>
      <c r="C575" s="10" t="s">
        <v>33</v>
      </c>
      <c r="D575" s="17">
        <v>599.98</v>
      </c>
    </row>
    <row r="576" spans="1:4" x14ac:dyDescent="0.3">
      <c r="A576" s="12"/>
      <c r="B576" s="12"/>
      <c r="C576" s="14" t="s">
        <v>24</v>
      </c>
      <c r="D576" s="18">
        <v>449</v>
      </c>
    </row>
    <row r="577" spans="1:4" x14ac:dyDescent="0.3">
      <c r="A577" s="12"/>
      <c r="B577" s="12"/>
      <c r="C577" s="14" t="s">
        <v>32</v>
      </c>
      <c r="D577" s="18">
        <v>469.99</v>
      </c>
    </row>
    <row r="578" spans="1:4" x14ac:dyDescent="0.3">
      <c r="A578" s="12"/>
      <c r="B578" s="12"/>
      <c r="C578" s="14" t="s">
        <v>20</v>
      </c>
      <c r="D578" s="18">
        <v>1999.98</v>
      </c>
    </row>
    <row r="579" spans="1:4" x14ac:dyDescent="0.3">
      <c r="A579" s="12"/>
      <c r="B579" s="12"/>
      <c r="C579" s="14" t="s">
        <v>16</v>
      </c>
      <c r="D579" s="18">
        <v>2899.99</v>
      </c>
    </row>
    <row r="580" spans="1:4" x14ac:dyDescent="0.3">
      <c r="A580" s="12"/>
      <c r="B580" s="10" t="s">
        <v>1915</v>
      </c>
      <c r="C580" s="11"/>
      <c r="D580" s="17">
        <v>6418.94</v>
      </c>
    </row>
    <row r="581" spans="1:4" x14ac:dyDescent="0.3">
      <c r="A581" s="10" t="s">
        <v>414</v>
      </c>
      <c r="B581" s="11"/>
      <c r="C581" s="11"/>
      <c r="D581" s="17">
        <v>6418.94</v>
      </c>
    </row>
    <row r="582" spans="1:4" x14ac:dyDescent="0.3">
      <c r="A582" s="10">
        <v>119</v>
      </c>
      <c r="B582" s="10" t="s">
        <v>18</v>
      </c>
      <c r="C582" s="10" t="s">
        <v>35</v>
      </c>
      <c r="D582" s="17">
        <v>499.99</v>
      </c>
    </row>
    <row r="583" spans="1:4" x14ac:dyDescent="0.3">
      <c r="A583" s="12"/>
      <c r="B583" s="10" t="s">
        <v>1916</v>
      </c>
      <c r="C583" s="11"/>
      <c r="D583" s="17">
        <v>499.99</v>
      </c>
    </row>
    <row r="584" spans="1:4" x14ac:dyDescent="0.3">
      <c r="A584" s="10" t="s">
        <v>415</v>
      </c>
      <c r="B584" s="11"/>
      <c r="C584" s="11"/>
      <c r="D584" s="17">
        <v>499.99</v>
      </c>
    </row>
    <row r="585" spans="1:4" x14ac:dyDescent="0.3">
      <c r="A585" s="10">
        <v>120</v>
      </c>
      <c r="B585" s="10" t="s">
        <v>18</v>
      </c>
      <c r="C585" s="10" t="s">
        <v>31</v>
      </c>
      <c r="D585" s="17">
        <v>539.98</v>
      </c>
    </row>
    <row r="586" spans="1:4" x14ac:dyDescent="0.3">
      <c r="A586" s="12"/>
      <c r="B586" s="12"/>
      <c r="C586" s="14" t="s">
        <v>14</v>
      </c>
      <c r="D586" s="18">
        <v>1199.98</v>
      </c>
    </row>
    <row r="587" spans="1:4" x14ac:dyDescent="0.3">
      <c r="A587" s="12"/>
      <c r="B587" s="12"/>
      <c r="C587" s="14" t="s">
        <v>23</v>
      </c>
      <c r="D587" s="18">
        <v>429</v>
      </c>
    </row>
    <row r="588" spans="1:4" x14ac:dyDescent="0.3">
      <c r="A588" s="12"/>
      <c r="B588" s="12"/>
      <c r="C588" s="14" t="s">
        <v>32</v>
      </c>
      <c r="D588" s="18">
        <v>939.98</v>
      </c>
    </row>
    <row r="589" spans="1:4" x14ac:dyDescent="0.3">
      <c r="A589" s="12"/>
      <c r="B589" s="12"/>
      <c r="C589" s="14" t="s">
        <v>13</v>
      </c>
      <c r="D589" s="18">
        <v>3098</v>
      </c>
    </row>
    <row r="590" spans="1:4" x14ac:dyDescent="0.3">
      <c r="A590" s="12"/>
      <c r="B590" s="10" t="s">
        <v>1916</v>
      </c>
      <c r="C590" s="11"/>
      <c r="D590" s="17">
        <v>6206.9400000000005</v>
      </c>
    </row>
    <row r="591" spans="1:4" x14ac:dyDescent="0.3">
      <c r="A591" s="10" t="s">
        <v>416</v>
      </c>
      <c r="B591" s="11"/>
      <c r="C591" s="11"/>
      <c r="D591" s="17">
        <v>6206.9400000000005</v>
      </c>
    </row>
    <row r="592" spans="1:4" x14ac:dyDescent="0.3">
      <c r="A592" s="10">
        <v>121</v>
      </c>
      <c r="B592" s="10" t="s">
        <v>18</v>
      </c>
      <c r="C592" s="10" t="s">
        <v>28</v>
      </c>
      <c r="D592" s="17">
        <v>539.98</v>
      </c>
    </row>
    <row r="593" spans="1:4" x14ac:dyDescent="0.3">
      <c r="A593" s="12"/>
      <c r="B593" s="12"/>
      <c r="C593" s="14" t="s">
        <v>25</v>
      </c>
      <c r="D593" s="18">
        <v>1099.98</v>
      </c>
    </row>
    <row r="594" spans="1:4" x14ac:dyDescent="0.3">
      <c r="A594" s="12"/>
      <c r="B594" s="12"/>
      <c r="C594" s="14" t="s">
        <v>34</v>
      </c>
      <c r="D594" s="18">
        <v>1320.99</v>
      </c>
    </row>
    <row r="595" spans="1:4" x14ac:dyDescent="0.3">
      <c r="A595" s="12"/>
      <c r="B595" s="12"/>
      <c r="C595" s="14" t="s">
        <v>22</v>
      </c>
      <c r="D595" s="18">
        <v>1499.98</v>
      </c>
    </row>
    <row r="596" spans="1:4" x14ac:dyDescent="0.3">
      <c r="A596" s="12"/>
      <c r="B596" s="12"/>
      <c r="C596" s="14" t="s">
        <v>16</v>
      </c>
      <c r="D596" s="18">
        <v>5799.98</v>
      </c>
    </row>
    <row r="597" spans="1:4" x14ac:dyDescent="0.3">
      <c r="A597" s="12"/>
      <c r="B597" s="10" t="s">
        <v>1916</v>
      </c>
      <c r="C597" s="11"/>
      <c r="D597" s="17">
        <v>10260.91</v>
      </c>
    </row>
    <row r="598" spans="1:4" x14ac:dyDescent="0.3">
      <c r="A598" s="10" t="s">
        <v>417</v>
      </c>
      <c r="B598" s="11"/>
      <c r="C598" s="11"/>
      <c r="D598" s="17">
        <v>10260.91</v>
      </c>
    </row>
    <row r="599" spans="1:4" x14ac:dyDescent="0.3">
      <c r="A599" s="10">
        <v>122</v>
      </c>
      <c r="B599" s="10" t="s">
        <v>18</v>
      </c>
      <c r="C599" s="10" t="s">
        <v>14</v>
      </c>
      <c r="D599" s="17">
        <v>599.99</v>
      </c>
    </row>
    <row r="600" spans="1:4" x14ac:dyDescent="0.3">
      <c r="A600" s="12"/>
      <c r="B600" s="10" t="s">
        <v>1916</v>
      </c>
      <c r="C600" s="11"/>
      <c r="D600" s="17">
        <v>599.99</v>
      </c>
    </row>
    <row r="601" spans="1:4" x14ac:dyDescent="0.3">
      <c r="A601" s="10" t="s">
        <v>418</v>
      </c>
      <c r="B601" s="11"/>
      <c r="C601" s="11"/>
      <c r="D601" s="17">
        <v>599.99</v>
      </c>
    </row>
    <row r="602" spans="1:4" x14ac:dyDescent="0.3">
      <c r="A602" s="10">
        <v>123</v>
      </c>
      <c r="B602" s="10" t="s">
        <v>18</v>
      </c>
      <c r="C602" s="10" t="s">
        <v>25</v>
      </c>
      <c r="D602" s="17">
        <v>1099.98</v>
      </c>
    </row>
    <row r="603" spans="1:4" x14ac:dyDescent="0.3">
      <c r="A603" s="12"/>
      <c r="B603" s="10" t="s">
        <v>1916</v>
      </c>
      <c r="C603" s="11"/>
      <c r="D603" s="17">
        <v>1099.98</v>
      </c>
    </row>
    <row r="604" spans="1:4" x14ac:dyDescent="0.3">
      <c r="A604" s="10" t="s">
        <v>419</v>
      </c>
      <c r="B604" s="11"/>
      <c r="C604" s="11"/>
      <c r="D604" s="17">
        <v>1099.98</v>
      </c>
    </row>
    <row r="605" spans="1:4" x14ac:dyDescent="0.3">
      <c r="A605" s="10">
        <v>124</v>
      </c>
      <c r="B605" s="10" t="s">
        <v>11</v>
      </c>
      <c r="C605" s="10" t="s">
        <v>14</v>
      </c>
      <c r="D605" s="17">
        <v>599.99</v>
      </c>
    </row>
    <row r="606" spans="1:4" x14ac:dyDescent="0.3">
      <c r="A606" s="12"/>
      <c r="B606" s="12"/>
      <c r="C606" s="14" t="s">
        <v>16</v>
      </c>
      <c r="D606" s="18">
        <v>2899.99</v>
      </c>
    </row>
    <row r="607" spans="1:4" x14ac:dyDescent="0.3">
      <c r="A607" s="12"/>
      <c r="B607" s="12"/>
      <c r="C607" s="14" t="s">
        <v>29</v>
      </c>
      <c r="D607" s="18">
        <v>7999.98</v>
      </c>
    </row>
    <row r="608" spans="1:4" x14ac:dyDescent="0.3">
      <c r="A608" s="12"/>
      <c r="B608" s="10" t="s">
        <v>1915</v>
      </c>
      <c r="C608" s="11"/>
      <c r="D608" s="17">
        <v>11499.96</v>
      </c>
    </row>
    <row r="609" spans="1:4" x14ac:dyDescent="0.3">
      <c r="A609" s="10" t="s">
        <v>420</v>
      </c>
      <c r="B609" s="11"/>
      <c r="C609" s="11"/>
      <c r="D609" s="17">
        <v>11499.96</v>
      </c>
    </row>
    <row r="610" spans="1:4" x14ac:dyDescent="0.3">
      <c r="A610" s="10">
        <v>125</v>
      </c>
      <c r="B610" s="10" t="s">
        <v>18</v>
      </c>
      <c r="C610" s="10" t="s">
        <v>23</v>
      </c>
      <c r="D610" s="17">
        <v>429</v>
      </c>
    </row>
    <row r="611" spans="1:4" x14ac:dyDescent="0.3">
      <c r="A611" s="12"/>
      <c r="B611" s="10" t="s">
        <v>1916</v>
      </c>
      <c r="C611" s="11"/>
      <c r="D611" s="17">
        <v>429</v>
      </c>
    </row>
    <row r="612" spans="1:4" x14ac:dyDescent="0.3">
      <c r="A612" s="10" t="s">
        <v>421</v>
      </c>
      <c r="B612" s="11"/>
      <c r="C612" s="11"/>
      <c r="D612" s="17">
        <v>429</v>
      </c>
    </row>
    <row r="613" spans="1:4" x14ac:dyDescent="0.3">
      <c r="A613" s="10">
        <v>126</v>
      </c>
      <c r="B613" s="10" t="s">
        <v>18</v>
      </c>
      <c r="C613" s="10" t="s">
        <v>26</v>
      </c>
      <c r="D613" s="17">
        <v>5999.98</v>
      </c>
    </row>
    <row r="614" spans="1:4" x14ac:dyDescent="0.3">
      <c r="A614" s="12"/>
      <c r="B614" s="10" t="s">
        <v>1916</v>
      </c>
      <c r="C614" s="11"/>
      <c r="D614" s="17">
        <v>5999.98</v>
      </c>
    </row>
    <row r="615" spans="1:4" x14ac:dyDescent="0.3">
      <c r="A615" s="10" t="s">
        <v>422</v>
      </c>
      <c r="B615" s="11"/>
      <c r="C615" s="11"/>
      <c r="D615" s="17">
        <v>5999.98</v>
      </c>
    </row>
    <row r="616" spans="1:4" x14ac:dyDescent="0.3">
      <c r="A616" s="10">
        <v>127</v>
      </c>
      <c r="B616" s="10" t="s">
        <v>37</v>
      </c>
      <c r="C616" s="10" t="s">
        <v>10</v>
      </c>
      <c r="D616" s="17">
        <v>599.99</v>
      </c>
    </row>
    <row r="617" spans="1:4" x14ac:dyDescent="0.3">
      <c r="A617" s="12"/>
      <c r="B617" s="12"/>
      <c r="C617" s="14" t="s">
        <v>23</v>
      </c>
      <c r="D617" s="18">
        <v>429</v>
      </c>
    </row>
    <row r="618" spans="1:4" x14ac:dyDescent="0.3">
      <c r="A618" s="12"/>
      <c r="B618" s="12"/>
      <c r="C618" s="14" t="s">
        <v>16</v>
      </c>
      <c r="D618" s="18">
        <v>5799.98</v>
      </c>
    </row>
    <row r="619" spans="1:4" x14ac:dyDescent="0.3">
      <c r="A619" s="12"/>
      <c r="B619" s="10" t="s">
        <v>1917</v>
      </c>
      <c r="C619" s="11"/>
      <c r="D619" s="17">
        <v>6828.9699999999993</v>
      </c>
    </row>
    <row r="620" spans="1:4" x14ac:dyDescent="0.3">
      <c r="A620" s="10" t="s">
        <v>423</v>
      </c>
      <c r="B620" s="11"/>
      <c r="C620" s="11"/>
      <c r="D620" s="17">
        <v>6828.9699999999993</v>
      </c>
    </row>
    <row r="621" spans="1:4" x14ac:dyDescent="0.3">
      <c r="A621" s="10">
        <v>128</v>
      </c>
      <c r="B621" s="10" t="s">
        <v>18</v>
      </c>
      <c r="C621" s="10" t="s">
        <v>25</v>
      </c>
      <c r="D621" s="17">
        <v>1099.98</v>
      </c>
    </row>
    <row r="622" spans="1:4" x14ac:dyDescent="0.3">
      <c r="A622" s="12"/>
      <c r="B622" s="12"/>
      <c r="C622" s="14" t="s">
        <v>14</v>
      </c>
      <c r="D622" s="18">
        <v>1199.98</v>
      </c>
    </row>
    <row r="623" spans="1:4" x14ac:dyDescent="0.3">
      <c r="A623" s="12"/>
      <c r="B623" s="12"/>
      <c r="C623" s="14" t="s">
        <v>20</v>
      </c>
      <c r="D623" s="18">
        <v>1999.98</v>
      </c>
    </row>
    <row r="624" spans="1:4" x14ac:dyDescent="0.3">
      <c r="A624" s="12"/>
      <c r="B624" s="12"/>
      <c r="C624" s="14" t="s">
        <v>16</v>
      </c>
      <c r="D624" s="18">
        <v>5799.98</v>
      </c>
    </row>
    <row r="625" spans="1:4" x14ac:dyDescent="0.3">
      <c r="A625" s="12"/>
      <c r="B625" s="10" t="s">
        <v>1916</v>
      </c>
      <c r="C625" s="11"/>
      <c r="D625" s="17">
        <v>10099.92</v>
      </c>
    </row>
    <row r="626" spans="1:4" x14ac:dyDescent="0.3">
      <c r="A626" s="10" t="s">
        <v>424</v>
      </c>
      <c r="B626" s="11"/>
      <c r="C626" s="11"/>
      <c r="D626" s="17">
        <v>10099.92</v>
      </c>
    </row>
    <row r="627" spans="1:4" x14ac:dyDescent="0.3">
      <c r="A627" s="10">
        <v>129</v>
      </c>
      <c r="B627" s="10" t="s">
        <v>18</v>
      </c>
      <c r="C627" s="10" t="s">
        <v>24</v>
      </c>
      <c r="D627" s="17">
        <v>449</v>
      </c>
    </row>
    <row r="628" spans="1:4" x14ac:dyDescent="0.3">
      <c r="A628" s="12"/>
      <c r="B628" s="12"/>
      <c r="C628" s="14" t="s">
        <v>26</v>
      </c>
      <c r="D628" s="18">
        <v>2999.99</v>
      </c>
    </row>
    <row r="629" spans="1:4" x14ac:dyDescent="0.3">
      <c r="A629" s="12"/>
      <c r="B629" s="10" t="s">
        <v>1916</v>
      </c>
      <c r="C629" s="11"/>
      <c r="D629" s="17">
        <v>3448.99</v>
      </c>
    </row>
    <row r="630" spans="1:4" x14ac:dyDescent="0.3">
      <c r="A630" s="10" t="s">
        <v>425</v>
      </c>
      <c r="B630" s="11"/>
      <c r="C630" s="11"/>
      <c r="D630" s="17">
        <v>3448.99</v>
      </c>
    </row>
    <row r="631" spans="1:4" x14ac:dyDescent="0.3">
      <c r="A631" s="10">
        <v>130</v>
      </c>
      <c r="B631" s="10" t="s">
        <v>18</v>
      </c>
      <c r="C631" s="10" t="s">
        <v>14</v>
      </c>
      <c r="D631" s="17">
        <v>599.99</v>
      </c>
    </row>
    <row r="632" spans="1:4" x14ac:dyDescent="0.3">
      <c r="A632" s="12"/>
      <c r="B632" s="12"/>
      <c r="C632" s="14" t="s">
        <v>34</v>
      </c>
      <c r="D632" s="18">
        <v>2641.98</v>
      </c>
    </row>
    <row r="633" spans="1:4" x14ac:dyDescent="0.3">
      <c r="A633" s="12"/>
      <c r="B633" s="10" t="s">
        <v>1916</v>
      </c>
      <c r="C633" s="11"/>
      <c r="D633" s="17">
        <v>3241.9700000000003</v>
      </c>
    </row>
    <row r="634" spans="1:4" x14ac:dyDescent="0.3">
      <c r="A634" s="10" t="s">
        <v>426</v>
      </c>
      <c r="B634" s="11"/>
      <c r="C634" s="11"/>
      <c r="D634" s="17">
        <v>3241.9700000000003</v>
      </c>
    </row>
    <row r="635" spans="1:4" x14ac:dyDescent="0.3">
      <c r="A635" s="10">
        <v>131</v>
      </c>
      <c r="B635" s="10" t="s">
        <v>37</v>
      </c>
      <c r="C635" s="10" t="s">
        <v>28</v>
      </c>
      <c r="D635" s="17">
        <v>539.98</v>
      </c>
    </row>
    <row r="636" spans="1:4" x14ac:dyDescent="0.3">
      <c r="A636" s="12"/>
      <c r="B636" s="12"/>
      <c r="C636" s="14" t="s">
        <v>25</v>
      </c>
      <c r="D636" s="18">
        <v>1099.98</v>
      </c>
    </row>
    <row r="637" spans="1:4" x14ac:dyDescent="0.3">
      <c r="A637" s="12"/>
      <c r="B637" s="12"/>
      <c r="C637" s="14" t="s">
        <v>16</v>
      </c>
      <c r="D637" s="18">
        <v>5799.98</v>
      </c>
    </row>
    <row r="638" spans="1:4" x14ac:dyDescent="0.3">
      <c r="A638" s="12"/>
      <c r="B638" s="10" t="s">
        <v>1917</v>
      </c>
      <c r="C638" s="11"/>
      <c r="D638" s="17">
        <v>7439.94</v>
      </c>
    </row>
    <row r="639" spans="1:4" x14ac:dyDescent="0.3">
      <c r="A639" s="10" t="s">
        <v>427</v>
      </c>
      <c r="B639" s="11"/>
      <c r="C639" s="11"/>
      <c r="D639" s="17">
        <v>7439.94</v>
      </c>
    </row>
    <row r="640" spans="1:4" x14ac:dyDescent="0.3">
      <c r="A640" s="10">
        <v>132</v>
      </c>
      <c r="B640" s="10" t="s">
        <v>11</v>
      </c>
      <c r="C640" s="10" t="s">
        <v>10</v>
      </c>
      <c r="D640" s="17">
        <v>599.99</v>
      </c>
    </row>
    <row r="641" spans="1:4" x14ac:dyDescent="0.3">
      <c r="A641" s="12"/>
      <c r="B641" s="12"/>
      <c r="C641" s="14" t="s">
        <v>22</v>
      </c>
      <c r="D641" s="18">
        <v>1499.98</v>
      </c>
    </row>
    <row r="642" spans="1:4" x14ac:dyDescent="0.3">
      <c r="A642" s="12"/>
      <c r="B642" s="12"/>
      <c r="C642" s="14" t="s">
        <v>26</v>
      </c>
      <c r="D642" s="18">
        <v>2999.99</v>
      </c>
    </row>
    <row r="643" spans="1:4" x14ac:dyDescent="0.3">
      <c r="A643" s="12"/>
      <c r="B643" s="10" t="s">
        <v>1915</v>
      </c>
      <c r="C643" s="11"/>
      <c r="D643" s="17">
        <v>5099.96</v>
      </c>
    </row>
    <row r="644" spans="1:4" x14ac:dyDescent="0.3">
      <c r="A644" s="10" t="s">
        <v>428</v>
      </c>
      <c r="B644" s="11"/>
      <c r="C644" s="11"/>
      <c r="D644" s="17">
        <v>5099.96</v>
      </c>
    </row>
    <row r="645" spans="1:4" x14ac:dyDescent="0.3">
      <c r="A645" s="10">
        <v>133</v>
      </c>
      <c r="B645" s="10" t="s">
        <v>18</v>
      </c>
      <c r="C645" s="10" t="s">
        <v>31</v>
      </c>
      <c r="D645" s="17">
        <v>539.98</v>
      </c>
    </row>
    <row r="646" spans="1:4" x14ac:dyDescent="0.3">
      <c r="A646" s="12"/>
      <c r="B646" s="12"/>
      <c r="C646" s="14" t="s">
        <v>28</v>
      </c>
      <c r="D646" s="18">
        <v>269.99</v>
      </c>
    </row>
    <row r="647" spans="1:4" x14ac:dyDescent="0.3">
      <c r="A647" s="12"/>
      <c r="B647" s="10" t="s">
        <v>1916</v>
      </c>
      <c r="C647" s="11"/>
      <c r="D647" s="17">
        <v>809.97</v>
      </c>
    </row>
    <row r="648" spans="1:4" x14ac:dyDescent="0.3">
      <c r="A648" s="10" t="s">
        <v>429</v>
      </c>
      <c r="B648" s="11"/>
      <c r="C648" s="11"/>
      <c r="D648" s="17">
        <v>809.97</v>
      </c>
    </row>
    <row r="649" spans="1:4" x14ac:dyDescent="0.3">
      <c r="A649" s="10">
        <v>134</v>
      </c>
      <c r="B649" s="10" t="s">
        <v>18</v>
      </c>
      <c r="C649" s="10" t="s">
        <v>24</v>
      </c>
      <c r="D649" s="17">
        <v>898</v>
      </c>
    </row>
    <row r="650" spans="1:4" x14ac:dyDescent="0.3">
      <c r="A650" s="12"/>
      <c r="B650" s="12"/>
      <c r="C650" s="14" t="s">
        <v>36</v>
      </c>
      <c r="D650" s="18">
        <v>898</v>
      </c>
    </row>
    <row r="651" spans="1:4" x14ac:dyDescent="0.3">
      <c r="A651" s="12"/>
      <c r="B651" s="12"/>
      <c r="C651" s="14" t="s">
        <v>22</v>
      </c>
      <c r="D651" s="18">
        <v>1499.98</v>
      </c>
    </row>
    <row r="652" spans="1:4" x14ac:dyDescent="0.3">
      <c r="A652" s="12"/>
      <c r="B652" s="10" t="s">
        <v>1916</v>
      </c>
      <c r="C652" s="11"/>
      <c r="D652" s="17">
        <v>3295.98</v>
      </c>
    </row>
    <row r="653" spans="1:4" x14ac:dyDescent="0.3">
      <c r="A653" s="10" t="s">
        <v>430</v>
      </c>
      <c r="B653" s="11"/>
      <c r="C653" s="11"/>
      <c r="D653" s="17">
        <v>3295.98</v>
      </c>
    </row>
    <row r="654" spans="1:4" x14ac:dyDescent="0.3">
      <c r="A654" s="10">
        <v>135</v>
      </c>
      <c r="B654" s="10" t="s">
        <v>18</v>
      </c>
      <c r="C654" s="10" t="s">
        <v>35</v>
      </c>
      <c r="D654" s="17">
        <v>499.99</v>
      </c>
    </row>
    <row r="655" spans="1:4" x14ac:dyDescent="0.3">
      <c r="A655" s="12"/>
      <c r="B655" s="12"/>
      <c r="C655" s="14" t="s">
        <v>34</v>
      </c>
      <c r="D655" s="18">
        <v>2641.98</v>
      </c>
    </row>
    <row r="656" spans="1:4" x14ac:dyDescent="0.3">
      <c r="A656" s="12"/>
      <c r="B656" s="12"/>
      <c r="C656" s="14" t="s">
        <v>24</v>
      </c>
      <c r="D656" s="18">
        <v>898</v>
      </c>
    </row>
    <row r="657" spans="1:4" x14ac:dyDescent="0.3">
      <c r="A657" s="12"/>
      <c r="B657" s="12"/>
      <c r="C657" s="14" t="s">
        <v>22</v>
      </c>
      <c r="D657" s="18">
        <v>749.99</v>
      </c>
    </row>
    <row r="658" spans="1:4" x14ac:dyDescent="0.3">
      <c r="A658" s="12"/>
      <c r="B658" s="10" t="s">
        <v>1916</v>
      </c>
      <c r="C658" s="11"/>
      <c r="D658" s="17">
        <v>4789.96</v>
      </c>
    </row>
    <row r="659" spans="1:4" x14ac:dyDescent="0.3">
      <c r="A659" s="10" t="s">
        <v>431</v>
      </c>
      <c r="B659" s="11"/>
      <c r="C659" s="11"/>
      <c r="D659" s="17">
        <v>4789.96</v>
      </c>
    </row>
    <row r="660" spans="1:4" x14ac:dyDescent="0.3">
      <c r="A660" s="10">
        <v>136</v>
      </c>
      <c r="B660" s="10" t="s">
        <v>37</v>
      </c>
      <c r="C660" s="10" t="s">
        <v>20</v>
      </c>
      <c r="D660" s="17">
        <v>1999.98</v>
      </c>
    </row>
    <row r="661" spans="1:4" x14ac:dyDescent="0.3">
      <c r="A661" s="12"/>
      <c r="B661" s="12"/>
      <c r="C661" s="14" t="s">
        <v>29</v>
      </c>
      <c r="D661" s="18">
        <v>7999.98</v>
      </c>
    </row>
    <row r="662" spans="1:4" x14ac:dyDescent="0.3">
      <c r="A662" s="12"/>
      <c r="B662" s="10" t="s">
        <v>1917</v>
      </c>
      <c r="C662" s="11"/>
      <c r="D662" s="17">
        <v>9999.9599999999991</v>
      </c>
    </row>
    <row r="663" spans="1:4" x14ac:dyDescent="0.3">
      <c r="A663" s="10" t="s">
        <v>432</v>
      </c>
      <c r="B663" s="11"/>
      <c r="C663" s="11"/>
      <c r="D663" s="17">
        <v>9999.9599999999991</v>
      </c>
    </row>
    <row r="664" spans="1:4" x14ac:dyDescent="0.3">
      <c r="A664" s="10">
        <v>137</v>
      </c>
      <c r="B664" s="10" t="s">
        <v>18</v>
      </c>
      <c r="C664" s="10" t="s">
        <v>28</v>
      </c>
      <c r="D664" s="17">
        <v>269.99</v>
      </c>
    </row>
    <row r="665" spans="1:4" x14ac:dyDescent="0.3">
      <c r="A665" s="12"/>
      <c r="B665" s="12"/>
      <c r="C665" s="14" t="s">
        <v>33</v>
      </c>
      <c r="D665" s="18">
        <v>299.99</v>
      </c>
    </row>
    <row r="666" spans="1:4" x14ac:dyDescent="0.3">
      <c r="A666" s="12"/>
      <c r="B666" s="10" t="s">
        <v>1916</v>
      </c>
      <c r="C666" s="11"/>
      <c r="D666" s="17">
        <v>569.98</v>
      </c>
    </row>
    <row r="667" spans="1:4" x14ac:dyDescent="0.3">
      <c r="A667" s="10" t="s">
        <v>433</v>
      </c>
      <c r="B667" s="11"/>
      <c r="C667" s="11"/>
      <c r="D667" s="17">
        <v>569.98</v>
      </c>
    </row>
    <row r="668" spans="1:4" x14ac:dyDescent="0.3">
      <c r="A668" s="10">
        <v>138</v>
      </c>
      <c r="B668" s="10" t="s">
        <v>18</v>
      </c>
      <c r="C668" s="10" t="s">
        <v>14</v>
      </c>
      <c r="D668" s="17">
        <v>1199.98</v>
      </c>
    </row>
    <row r="669" spans="1:4" x14ac:dyDescent="0.3">
      <c r="A669" s="12"/>
      <c r="B669" s="12"/>
      <c r="C669" s="14" t="s">
        <v>32</v>
      </c>
      <c r="D669" s="18">
        <v>469.99</v>
      </c>
    </row>
    <row r="670" spans="1:4" x14ac:dyDescent="0.3">
      <c r="A670" s="12"/>
      <c r="B670" s="10" t="s">
        <v>1916</v>
      </c>
      <c r="C670" s="11"/>
      <c r="D670" s="17">
        <v>1669.97</v>
      </c>
    </row>
    <row r="671" spans="1:4" x14ac:dyDescent="0.3">
      <c r="A671" s="10" t="s">
        <v>434</v>
      </c>
      <c r="B671" s="11"/>
      <c r="C671" s="11"/>
      <c r="D671" s="17">
        <v>1669.97</v>
      </c>
    </row>
    <row r="672" spans="1:4" x14ac:dyDescent="0.3">
      <c r="A672" s="10">
        <v>139</v>
      </c>
      <c r="B672" s="10" t="s">
        <v>18</v>
      </c>
      <c r="C672" s="10" t="s">
        <v>36</v>
      </c>
      <c r="D672" s="17">
        <v>898</v>
      </c>
    </row>
    <row r="673" spans="1:4" x14ac:dyDescent="0.3">
      <c r="A673" s="12"/>
      <c r="B673" s="12"/>
      <c r="C673" s="14" t="s">
        <v>20</v>
      </c>
      <c r="D673" s="18">
        <v>999.99</v>
      </c>
    </row>
    <row r="674" spans="1:4" x14ac:dyDescent="0.3">
      <c r="A674" s="12"/>
      <c r="B674" s="10" t="s">
        <v>1916</v>
      </c>
      <c r="C674" s="11"/>
      <c r="D674" s="17">
        <v>1897.99</v>
      </c>
    </row>
    <row r="675" spans="1:4" x14ac:dyDescent="0.3">
      <c r="A675" s="10" t="s">
        <v>435</v>
      </c>
      <c r="B675" s="11"/>
      <c r="C675" s="11"/>
      <c r="D675" s="17">
        <v>1897.99</v>
      </c>
    </row>
    <row r="676" spans="1:4" x14ac:dyDescent="0.3">
      <c r="A676" s="10">
        <v>140</v>
      </c>
      <c r="B676" s="10" t="s">
        <v>18</v>
      </c>
      <c r="C676" s="10" t="s">
        <v>31</v>
      </c>
      <c r="D676" s="17">
        <v>269.99</v>
      </c>
    </row>
    <row r="677" spans="1:4" x14ac:dyDescent="0.3">
      <c r="A677" s="12"/>
      <c r="B677" s="12"/>
      <c r="C677" s="14" t="s">
        <v>27</v>
      </c>
      <c r="D677" s="18">
        <v>529.99</v>
      </c>
    </row>
    <row r="678" spans="1:4" x14ac:dyDescent="0.3">
      <c r="A678" s="12"/>
      <c r="B678" s="12"/>
      <c r="C678" s="14" t="s">
        <v>25</v>
      </c>
      <c r="D678" s="18">
        <v>1099.98</v>
      </c>
    </row>
    <row r="679" spans="1:4" x14ac:dyDescent="0.3">
      <c r="A679" s="12"/>
      <c r="B679" s="12"/>
      <c r="C679" s="14" t="s">
        <v>20</v>
      </c>
      <c r="D679" s="18">
        <v>999.99</v>
      </c>
    </row>
    <row r="680" spans="1:4" x14ac:dyDescent="0.3">
      <c r="A680" s="12"/>
      <c r="B680" s="10" t="s">
        <v>1916</v>
      </c>
      <c r="C680" s="11"/>
      <c r="D680" s="17">
        <v>2899.95</v>
      </c>
    </row>
    <row r="681" spans="1:4" x14ac:dyDescent="0.3">
      <c r="A681" s="10" t="s">
        <v>436</v>
      </c>
      <c r="B681" s="11"/>
      <c r="C681" s="11"/>
      <c r="D681" s="17">
        <v>2899.95</v>
      </c>
    </row>
    <row r="682" spans="1:4" x14ac:dyDescent="0.3">
      <c r="A682" s="10">
        <v>141</v>
      </c>
      <c r="B682" s="10" t="s">
        <v>18</v>
      </c>
      <c r="C682" s="10" t="s">
        <v>24</v>
      </c>
      <c r="D682" s="17">
        <v>449</v>
      </c>
    </row>
    <row r="683" spans="1:4" x14ac:dyDescent="0.3">
      <c r="A683" s="12"/>
      <c r="B683" s="10" t="s">
        <v>1916</v>
      </c>
      <c r="C683" s="11"/>
      <c r="D683" s="17">
        <v>449</v>
      </c>
    </row>
    <row r="684" spans="1:4" x14ac:dyDescent="0.3">
      <c r="A684" s="10" t="s">
        <v>437</v>
      </c>
      <c r="B684" s="11"/>
      <c r="C684" s="11"/>
      <c r="D684" s="17">
        <v>449</v>
      </c>
    </row>
    <row r="685" spans="1:4" x14ac:dyDescent="0.3">
      <c r="A685" s="10">
        <v>142</v>
      </c>
      <c r="B685" s="10" t="s">
        <v>11</v>
      </c>
      <c r="C685" s="10" t="s">
        <v>14</v>
      </c>
      <c r="D685" s="17">
        <v>1199.98</v>
      </c>
    </row>
    <row r="686" spans="1:4" x14ac:dyDescent="0.3">
      <c r="A686" s="12"/>
      <c r="B686" s="12"/>
      <c r="C686" s="14" t="s">
        <v>36</v>
      </c>
      <c r="D686" s="18">
        <v>449</v>
      </c>
    </row>
    <row r="687" spans="1:4" x14ac:dyDescent="0.3">
      <c r="A687" s="12"/>
      <c r="B687" s="12"/>
      <c r="C687" s="14" t="s">
        <v>30</v>
      </c>
      <c r="D687" s="18">
        <v>3361.98</v>
      </c>
    </row>
    <row r="688" spans="1:4" x14ac:dyDescent="0.3">
      <c r="A688" s="12"/>
      <c r="B688" s="10" t="s">
        <v>1915</v>
      </c>
      <c r="C688" s="11"/>
      <c r="D688" s="17">
        <v>5010.96</v>
      </c>
    </row>
    <row r="689" spans="1:4" x14ac:dyDescent="0.3">
      <c r="A689" s="10" t="s">
        <v>438</v>
      </c>
      <c r="B689" s="11"/>
      <c r="C689" s="11"/>
      <c r="D689" s="17">
        <v>5010.96</v>
      </c>
    </row>
    <row r="690" spans="1:4" x14ac:dyDescent="0.3">
      <c r="A690" s="10">
        <v>143</v>
      </c>
      <c r="B690" s="10" t="s">
        <v>18</v>
      </c>
      <c r="C690" s="10" t="s">
        <v>32</v>
      </c>
      <c r="D690" s="17">
        <v>469.99</v>
      </c>
    </row>
    <row r="691" spans="1:4" x14ac:dyDescent="0.3">
      <c r="A691" s="12"/>
      <c r="B691" s="10" t="s">
        <v>1916</v>
      </c>
      <c r="C691" s="11"/>
      <c r="D691" s="17">
        <v>469.99</v>
      </c>
    </row>
    <row r="692" spans="1:4" x14ac:dyDescent="0.3">
      <c r="A692" s="10" t="s">
        <v>439</v>
      </c>
      <c r="B692" s="11"/>
      <c r="C692" s="11"/>
      <c r="D692" s="17">
        <v>469.99</v>
      </c>
    </row>
    <row r="693" spans="1:4" x14ac:dyDescent="0.3">
      <c r="A693" s="10">
        <v>144</v>
      </c>
      <c r="B693" s="10" t="s">
        <v>18</v>
      </c>
      <c r="C693" s="10" t="s">
        <v>12</v>
      </c>
      <c r="D693" s="17">
        <v>3599.98</v>
      </c>
    </row>
    <row r="694" spans="1:4" x14ac:dyDescent="0.3">
      <c r="A694" s="12"/>
      <c r="B694" s="10" t="s">
        <v>1916</v>
      </c>
      <c r="C694" s="11"/>
      <c r="D694" s="17">
        <v>3599.98</v>
      </c>
    </row>
    <row r="695" spans="1:4" x14ac:dyDescent="0.3">
      <c r="A695" s="10" t="s">
        <v>440</v>
      </c>
      <c r="B695" s="11"/>
      <c r="C695" s="11"/>
      <c r="D695" s="17">
        <v>3599.98</v>
      </c>
    </row>
    <row r="696" spans="1:4" x14ac:dyDescent="0.3">
      <c r="A696" s="10">
        <v>145</v>
      </c>
      <c r="B696" s="10" t="s">
        <v>18</v>
      </c>
      <c r="C696" s="10" t="s">
        <v>30</v>
      </c>
      <c r="D696" s="17">
        <v>1680.99</v>
      </c>
    </row>
    <row r="697" spans="1:4" x14ac:dyDescent="0.3">
      <c r="A697" s="12"/>
      <c r="B697" s="12"/>
      <c r="C697" s="14" t="s">
        <v>26</v>
      </c>
      <c r="D697" s="18">
        <v>5999.98</v>
      </c>
    </row>
    <row r="698" spans="1:4" x14ac:dyDescent="0.3">
      <c r="A698" s="12"/>
      <c r="B698" s="10" t="s">
        <v>1916</v>
      </c>
      <c r="C698" s="11"/>
      <c r="D698" s="17">
        <v>7680.9699999999993</v>
      </c>
    </row>
    <row r="699" spans="1:4" x14ac:dyDescent="0.3">
      <c r="A699" s="10" t="s">
        <v>441</v>
      </c>
      <c r="B699" s="11"/>
      <c r="C699" s="11"/>
      <c r="D699" s="17">
        <v>7680.9699999999993</v>
      </c>
    </row>
    <row r="700" spans="1:4" x14ac:dyDescent="0.3">
      <c r="A700" s="10">
        <v>146</v>
      </c>
      <c r="B700" s="10" t="s">
        <v>11</v>
      </c>
      <c r="C700" s="10" t="s">
        <v>25</v>
      </c>
      <c r="D700" s="17">
        <v>549.99</v>
      </c>
    </row>
    <row r="701" spans="1:4" x14ac:dyDescent="0.3">
      <c r="A701" s="12"/>
      <c r="B701" s="12"/>
      <c r="C701" s="14" t="s">
        <v>10</v>
      </c>
      <c r="D701" s="18">
        <v>1199.98</v>
      </c>
    </row>
    <row r="702" spans="1:4" x14ac:dyDescent="0.3">
      <c r="A702" s="12"/>
      <c r="B702" s="12"/>
      <c r="C702" s="14" t="s">
        <v>22</v>
      </c>
      <c r="D702" s="18">
        <v>749.99</v>
      </c>
    </row>
    <row r="703" spans="1:4" x14ac:dyDescent="0.3">
      <c r="A703" s="12"/>
      <c r="B703" s="12"/>
      <c r="C703" s="14" t="s">
        <v>32</v>
      </c>
      <c r="D703" s="18">
        <v>939.98</v>
      </c>
    </row>
    <row r="704" spans="1:4" x14ac:dyDescent="0.3">
      <c r="A704" s="12"/>
      <c r="B704" s="12"/>
      <c r="C704" s="14" t="s">
        <v>20</v>
      </c>
      <c r="D704" s="18">
        <v>1999.98</v>
      </c>
    </row>
    <row r="705" spans="1:4" x14ac:dyDescent="0.3">
      <c r="A705" s="12"/>
      <c r="B705" s="10" t="s">
        <v>1915</v>
      </c>
      <c r="C705" s="11"/>
      <c r="D705" s="17">
        <v>5439.92</v>
      </c>
    </row>
    <row r="706" spans="1:4" x14ac:dyDescent="0.3">
      <c r="A706" s="10" t="s">
        <v>442</v>
      </c>
      <c r="B706" s="11"/>
      <c r="C706" s="11"/>
      <c r="D706" s="17">
        <v>5439.92</v>
      </c>
    </row>
    <row r="707" spans="1:4" x14ac:dyDescent="0.3">
      <c r="A707" s="10">
        <v>147</v>
      </c>
      <c r="B707" s="10" t="s">
        <v>18</v>
      </c>
      <c r="C707" s="10" t="s">
        <v>14</v>
      </c>
      <c r="D707" s="17">
        <v>1199.98</v>
      </c>
    </row>
    <row r="708" spans="1:4" x14ac:dyDescent="0.3">
      <c r="A708" s="12"/>
      <c r="B708" s="10" t="s">
        <v>1916</v>
      </c>
      <c r="C708" s="11"/>
      <c r="D708" s="17">
        <v>1199.98</v>
      </c>
    </row>
    <row r="709" spans="1:4" x14ac:dyDescent="0.3">
      <c r="A709" s="10" t="s">
        <v>443</v>
      </c>
      <c r="B709" s="11"/>
      <c r="C709" s="11"/>
      <c r="D709" s="17">
        <v>1199.98</v>
      </c>
    </row>
    <row r="710" spans="1:4" x14ac:dyDescent="0.3">
      <c r="A710" s="10">
        <v>148</v>
      </c>
      <c r="B710" s="10" t="s">
        <v>18</v>
      </c>
      <c r="C710" s="10" t="s">
        <v>28</v>
      </c>
      <c r="D710" s="17">
        <v>269.99</v>
      </c>
    </row>
    <row r="711" spans="1:4" x14ac:dyDescent="0.3">
      <c r="A711" s="12"/>
      <c r="B711" s="10" t="s">
        <v>1916</v>
      </c>
      <c r="C711" s="11"/>
      <c r="D711" s="17">
        <v>269.99</v>
      </c>
    </row>
    <row r="712" spans="1:4" x14ac:dyDescent="0.3">
      <c r="A712" s="10" t="s">
        <v>444</v>
      </c>
      <c r="B712" s="11"/>
      <c r="C712" s="11"/>
      <c r="D712" s="17">
        <v>269.99</v>
      </c>
    </row>
    <row r="713" spans="1:4" x14ac:dyDescent="0.3">
      <c r="A713" s="10">
        <v>149</v>
      </c>
      <c r="B713" s="10" t="s">
        <v>18</v>
      </c>
      <c r="C713" s="10" t="s">
        <v>31</v>
      </c>
      <c r="D713" s="17">
        <v>539.98</v>
      </c>
    </row>
    <row r="714" spans="1:4" x14ac:dyDescent="0.3">
      <c r="A714" s="12"/>
      <c r="B714" s="12"/>
      <c r="C714" s="14" t="s">
        <v>25</v>
      </c>
      <c r="D714" s="18">
        <v>1099.98</v>
      </c>
    </row>
    <row r="715" spans="1:4" x14ac:dyDescent="0.3">
      <c r="A715" s="12"/>
      <c r="B715" s="10" t="s">
        <v>1916</v>
      </c>
      <c r="C715" s="11"/>
      <c r="D715" s="17">
        <v>1639.96</v>
      </c>
    </row>
    <row r="716" spans="1:4" x14ac:dyDescent="0.3">
      <c r="A716" s="10" t="s">
        <v>445</v>
      </c>
      <c r="B716" s="11"/>
      <c r="C716" s="11"/>
      <c r="D716" s="17">
        <v>1639.96</v>
      </c>
    </row>
    <row r="717" spans="1:4" x14ac:dyDescent="0.3">
      <c r="A717" s="10">
        <v>150</v>
      </c>
      <c r="B717" s="10" t="s">
        <v>11</v>
      </c>
      <c r="C717" s="10" t="s">
        <v>35</v>
      </c>
      <c r="D717" s="17">
        <v>999.98</v>
      </c>
    </row>
    <row r="718" spans="1:4" x14ac:dyDescent="0.3">
      <c r="A718" s="12"/>
      <c r="B718" s="12"/>
      <c r="C718" s="14" t="s">
        <v>23</v>
      </c>
      <c r="D718" s="18">
        <v>429</v>
      </c>
    </row>
    <row r="719" spans="1:4" x14ac:dyDescent="0.3">
      <c r="A719" s="12"/>
      <c r="B719" s="12"/>
      <c r="C719" s="14" t="s">
        <v>20</v>
      </c>
      <c r="D719" s="18">
        <v>999.99</v>
      </c>
    </row>
    <row r="720" spans="1:4" x14ac:dyDescent="0.3">
      <c r="A720" s="12"/>
      <c r="B720" s="12"/>
      <c r="C720" s="14" t="s">
        <v>29</v>
      </c>
      <c r="D720" s="18">
        <v>3999.99</v>
      </c>
    </row>
    <row r="721" spans="1:4" x14ac:dyDescent="0.3">
      <c r="A721" s="12"/>
      <c r="B721" s="10" t="s">
        <v>1915</v>
      </c>
      <c r="C721" s="11"/>
      <c r="D721" s="17">
        <v>6428.96</v>
      </c>
    </row>
    <row r="722" spans="1:4" x14ac:dyDescent="0.3">
      <c r="A722" s="10" t="s">
        <v>446</v>
      </c>
      <c r="B722" s="11"/>
      <c r="C722" s="11"/>
      <c r="D722" s="17">
        <v>6428.96</v>
      </c>
    </row>
    <row r="723" spans="1:4" x14ac:dyDescent="0.3">
      <c r="A723" s="10">
        <v>151</v>
      </c>
      <c r="B723" s="10" t="s">
        <v>11</v>
      </c>
      <c r="C723" s="10" t="s">
        <v>14</v>
      </c>
      <c r="D723" s="17">
        <v>599.99</v>
      </c>
    </row>
    <row r="724" spans="1:4" x14ac:dyDescent="0.3">
      <c r="A724" s="12"/>
      <c r="B724" s="12"/>
      <c r="C724" s="14" t="s">
        <v>23</v>
      </c>
      <c r="D724" s="18">
        <v>429</v>
      </c>
    </row>
    <row r="725" spans="1:4" x14ac:dyDescent="0.3">
      <c r="A725" s="12"/>
      <c r="B725" s="10" t="s">
        <v>1915</v>
      </c>
      <c r="C725" s="11"/>
      <c r="D725" s="17">
        <v>1028.99</v>
      </c>
    </row>
    <row r="726" spans="1:4" x14ac:dyDescent="0.3">
      <c r="A726" s="10" t="s">
        <v>447</v>
      </c>
      <c r="B726" s="11"/>
      <c r="C726" s="11"/>
      <c r="D726" s="17">
        <v>1028.99</v>
      </c>
    </row>
    <row r="727" spans="1:4" x14ac:dyDescent="0.3">
      <c r="A727" s="10">
        <v>152</v>
      </c>
      <c r="B727" s="10" t="s">
        <v>18</v>
      </c>
      <c r="C727" s="10" t="s">
        <v>28</v>
      </c>
      <c r="D727" s="17">
        <v>539.98</v>
      </c>
    </row>
    <row r="728" spans="1:4" x14ac:dyDescent="0.3">
      <c r="A728" s="12"/>
      <c r="B728" s="12"/>
      <c r="C728" s="14" t="s">
        <v>14</v>
      </c>
      <c r="D728" s="18">
        <v>1199.98</v>
      </c>
    </row>
    <row r="729" spans="1:4" x14ac:dyDescent="0.3">
      <c r="A729" s="12"/>
      <c r="B729" s="12"/>
      <c r="C729" s="14" t="s">
        <v>32</v>
      </c>
      <c r="D729" s="18">
        <v>939.98</v>
      </c>
    </row>
    <row r="730" spans="1:4" x14ac:dyDescent="0.3">
      <c r="A730" s="12"/>
      <c r="B730" s="10" t="s">
        <v>1916</v>
      </c>
      <c r="C730" s="11"/>
      <c r="D730" s="17">
        <v>2679.94</v>
      </c>
    </row>
    <row r="731" spans="1:4" x14ac:dyDescent="0.3">
      <c r="A731" s="10" t="s">
        <v>448</v>
      </c>
      <c r="B731" s="11"/>
      <c r="C731" s="11"/>
      <c r="D731" s="17">
        <v>2679.94</v>
      </c>
    </row>
    <row r="732" spans="1:4" x14ac:dyDescent="0.3">
      <c r="A732" s="10">
        <v>153</v>
      </c>
      <c r="B732" s="10" t="s">
        <v>18</v>
      </c>
      <c r="C732" s="10" t="s">
        <v>27</v>
      </c>
      <c r="D732" s="17">
        <v>1059.98</v>
      </c>
    </row>
    <row r="733" spans="1:4" x14ac:dyDescent="0.3">
      <c r="A733" s="12"/>
      <c r="B733" s="12"/>
      <c r="C733" s="14" t="s">
        <v>14</v>
      </c>
      <c r="D733" s="18">
        <v>599.99</v>
      </c>
    </row>
    <row r="734" spans="1:4" x14ac:dyDescent="0.3">
      <c r="A734" s="12"/>
      <c r="B734" s="12"/>
      <c r="C734" s="14" t="s">
        <v>12</v>
      </c>
      <c r="D734" s="18">
        <v>1799.99</v>
      </c>
    </row>
    <row r="735" spans="1:4" x14ac:dyDescent="0.3">
      <c r="A735" s="12"/>
      <c r="B735" s="10" t="s">
        <v>1916</v>
      </c>
      <c r="C735" s="11"/>
      <c r="D735" s="17">
        <v>3459.96</v>
      </c>
    </row>
    <row r="736" spans="1:4" x14ac:dyDescent="0.3">
      <c r="A736" s="10" t="s">
        <v>449</v>
      </c>
      <c r="B736" s="11"/>
      <c r="C736" s="11"/>
      <c r="D736" s="17">
        <v>3459.96</v>
      </c>
    </row>
    <row r="737" spans="1:4" x14ac:dyDescent="0.3">
      <c r="A737" s="10">
        <v>154</v>
      </c>
      <c r="B737" s="10" t="s">
        <v>11</v>
      </c>
      <c r="C737" s="10" t="s">
        <v>25</v>
      </c>
      <c r="D737" s="17">
        <v>549.99</v>
      </c>
    </row>
    <row r="738" spans="1:4" x14ac:dyDescent="0.3">
      <c r="A738" s="12"/>
      <c r="B738" s="10" t="s">
        <v>1915</v>
      </c>
      <c r="C738" s="11"/>
      <c r="D738" s="17">
        <v>549.99</v>
      </c>
    </row>
    <row r="739" spans="1:4" x14ac:dyDescent="0.3">
      <c r="A739" s="10" t="s">
        <v>450</v>
      </c>
      <c r="B739" s="11"/>
      <c r="C739" s="11"/>
      <c r="D739" s="17">
        <v>549.99</v>
      </c>
    </row>
    <row r="740" spans="1:4" x14ac:dyDescent="0.3">
      <c r="A740" s="10">
        <v>155</v>
      </c>
      <c r="B740" s="10" t="s">
        <v>18</v>
      </c>
      <c r="C740" s="10" t="s">
        <v>12</v>
      </c>
      <c r="D740" s="17">
        <v>1799.99</v>
      </c>
    </row>
    <row r="741" spans="1:4" x14ac:dyDescent="0.3">
      <c r="A741" s="12"/>
      <c r="B741" s="10" t="s">
        <v>1916</v>
      </c>
      <c r="C741" s="11"/>
      <c r="D741" s="17">
        <v>1799.99</v>
      </c>
    </row>
    <row r="742" spans="1:4" x14ac:dyDescent="0.3">
      <c r="A742" s="10" t="s">
        <v>451</v>
      </c>
      <c r="B742" s="11"/>
      <c r="C742" s="11"/>
      <c r="D742" s="17">
        <v>1799.99</v>
      </c>
    </row>
    <row r="743" spans="1:4" x14ac:dyDescent="0.3">
      <c r="A743" s="10">
        <v>156</v>
      </c>
      <c r="B743" s="10" t="s">
        <v>11</v>
      </c>
      <c r="C743" s="10" t="s">
        <v>23</v>
      </c>
      <c r="D743" s="17">
        <v>858</v>
      </c>
    </row>
    <row r="744" spans="1:4" x14ac:dyDescent="0.3">
      <c r="A744" s="12"/>
      <c r="B744" s="12"/>
      <c r="C744" s="14" t="s">
        <v>24</v>
      </c>
      <c r="D744" s="18">
        <v>898</v>
      </c>
    </row>
    <row r="745" spans="1:4" x14ac:dyDescent="0.3">
      <c r="A745" s="12"/>
      <c r="B745" s="12"/>
      <c r="C745" s="14" t="s">
        <v>32</v>
      </c>
      <c r="D745" s="18">
        <v>469.99</v>
      </c>
    </row>
    <row r="746" spans="1:4" x14ac:dyDescent="0.3">
      <c r="A746" s="12"/>
      <c r="B746" s="10" t="s">
        <v>1915</v>
      </c>
      <c r="C746" s="11"/>
      <c r="D746" s="17">
        <v>2225.9899999999998</v>
      </c>
    </row>
    <row r="747" spans="1:4" x14ac:dyDescent="0.3">
      <c r="A747" s="10" t="s">
        <v>452</v>
      </c>
      <c r="B747" s="11"/>
      <c r="C747" s="11"/>
      <c r="D747" s="17">
        <v>2225.9899999999998</v>
      </c>
    </row>
    <row r="748" spans="1:4" x14ac:dyDescent="0.3">
      <c r="A748" s="10">
        <v>157</v>
      </c>
      <c r="B748" s="10" t="s">
        <v>37</v>
      </c>
      <c r="C748" s="10" t="s">
        <v>16</v>
      </c>
      <c r="D748" s="17">
        <v>2899.99</v>
      </c>
    </row>
    <row r="749" spans="1:4" x14ac:dyDescent="0.3">
      <c r="A749" s="12"/>
      <c r="B749" s="12"/>
      <c r="C749" s="14" t="s">
        <v>29</v>
      </c>
      <c r="D749" s="18">
        <v>7999.98</v>
      </c>
    </row>
    <row r="750" spans="1:4" x14ac:dyDescent="0.3">
      <c r="A750" s="12"/>
      <c r="B750" s="10" t="s">
        <v>1917</v>
      </c>
      <c r="C750" s="11"/>
      <c r="D750" s="17">
        <v>10899.97</v>
      </c>
    </row>
    <row r="751" spans="1:4" x14ac:dyDescent="0.3">
      <c r="A751" s="10" t="s">
        <v>453</v>
      </c>
      <c r="B751" s="11"/>
      <c r="C751" s="11"/>
      <c r="D751" s="17">
        <v>10899.97</v>
      </c>
    </row>
    <row r="752" spans="1:4" x14ac:dyDescent="0.3">
      <c r="A752" s="10">
        <v>158</v>
      </c>
      <c r="B752" s="10" t="s">
        <v>37</v>
      </c>
      <c r="C752" s="10" t="s">
        <v>25</v>
      </c>
      <c r="D752" s="17">
        <v>549.99</v>
      </c>
    </row>
    <row r="753" spans="1:4" x14ac:dyDescent="0.3">
      <c r="A753" s="12"/>
      <c r="B753" s="10" t="s">
        <v>1917</v>
      </c>
      <c r="C753" s="11"/>
      <c r="D753" s="17">
        <v>549.99</v>
      </c>
    </row>
    <row r="754" spans="1:4" x14ac:dyDescent="0.3">
      <c r="A754" s="10" t="s">
        <v>454</v>
      </c>
      <c r="B754" s="11"/>
      <c r="C754" s="11"/>
      <c r="D754" s="17">
        <v>549.99</v>
      </c>
    </row>
    <row r="755" spans="1:4" x14ac:dyDescent="0.3">
      <c r="A755" s="10">
        <v>159</v>
      </c>
      <c r="B755" s="10" t="s">
        <v>11</v>
      </c>
      <c r="C755" s="10" t="s">
        <v>31</v>
      </c>
      <c r="D755" s="17">
        <v>269.99</v>
      </c>
    </row>
    <row r="756" spans="1:4" x14ac:dyDescent="0.3">
      <c r="A756" s="12"/>
      <c r="B756" s="10" t="s">
        <v>1915</v>
      </c>
      <c r="C756" s="11"/>
      <c r="D756" s="17">
        <v>269.99</v>
      </c>
    </row>
    <row r="757" spans="1:4" x14ac:dyDescent="0.3">
      <c r="A757" s="10" t="s">
        <v>455</v>
      </c>
      <c r="B757" s="11"/>
      <c r="C757" s="11"/>
      <c r="D757" s="17">
        <v>269.99</v>
      </c>
    </row>
    <row r="758" spans="1:4" x14ac:dyDescent="0.3">
      <c r="A758" s="10">
        <v>160</v>
      </c>
      <c r="B758" s="10" t="s">
        <v>18</v>
      </c>
      <c r="C758" s="10" t="s">
        <v>31</v>
      </c>
      <c r="D758" s="17">
        <v>269.99</v>
      </c>
    </row>
    <row r="759" spans="1:4" x14ac:dyDescent="0.3">
      <c r="A759" s="12"/>
      <c r="B759" s="12"/>
      <c r="C759" s="14" t="s">
        <v>27</v>
      </c>
      <c r="D759" s="18">
        <v>1059.98</v>
      </c>
    </row>
    <row r="760" spans="1:4" x14ac:dyDescent="0.3">
      <c r="A760" s="12"/>
      <c r="B760" s="12"/>
      <c r="C760" s="14" t="s">
        <v>24</v>
      </c>
      <c r="D760" s="18">
        <v>898</v>
      </c>
    </row>
    <row r="761" spans="1:4" x14ac:dyDescent="0.3">
      <c r="A761" s="12"/>
      <c r="B761" s="12"/>
      <c r="C761" s="14" t="s">
        <v>30</v>
      </c>
      <c r="D761" s="18">
        <v>1680.99</v>
      </c>
    </row>
    <row r="762" spans="1:4" x14ac:dyDescent="0.3">
      <c r="A762" s="12"/>
      <c r="B762" s="10" t="s">
        <v>1916</v>
      </c>
      <c r="C762" s="11"/>
      <c r="D762" s="17">
        <v>3908.96</v>
      </c>
    </row>
    <row r="763" spans="1:4" x14ac:dyDescent="0.3">
      <c r="A763" s="10" t="s">
        <v>456</v>
      </c>
      <c r="B763" s="11"/>
      <c r="C763" s="11"/>
      <c r="D763" s="17">
        <v>3908.96</v>
      </c>
    </row>
    <row r="764" spans="1:4" x14ac:dyDescent="0.3">
      <c r="A764" s="10">
        <v>161</v>
      </c>
      <c r="B764" s="10" t="s">
        <v>18</v>
      </c>
      <c r="C764" s="10" t="s">
        <v>28</v>
      </c>
      <c r="D764" s="17">
        <v>269.99</v>
      </c>
    </row>
    <row r="765" spans="1:4" x14ac:dyDescent="0.3">
      <c r="A765" s="12"/>
      <c r="B765" s="12"/>
      <c r="C765" s="14" t="s">
        <v>25</v>
      </c>
      <c r="D765" s="18">
        <v>1099.98</v>
      </c>
    </row>
    <row r="766" spans="1:4" x14ac:dyDescent="0.3">
      <c r="A766" s="12"/>
      <c r="B766" s="12"/>
      <c r="C766" s="14" t="s">
        <v>29</v>
      </c>
      <c r="D766" s="18">
        <v>7999.98</v>
      </c>
    </row>
    <row r="767" spans="1:4" x14ac:dyDescent="0.3">
      <c r="A767" s="12"/>
      <c r="B767" s="10" t="s">
        <v>1916</v>
      </c>
      <c r="C767" s="11"/>
      <c r="D767" s="17">
        <v>9369.9499999999989</v>
      </c>
    </row>
    <row r="768" spans="1:4" x14ac:dyDescent="0.3">
      <c r="A768" s="10" t="s">
        <v>457</v>
      </c>
      <c r="B768" s="11"/>
      <c r="C768" s="11"/>
      <c r="D768" s="17">
        <v>9369.9499999999989</v>
      </c>
    </row>
    <row r="769" spans="1:4" x14ac:dyDescent="0.3">
      <c r="A769" s="10">
        <v>162</v>
      </c>
      <c r="B769" s="10" t="s">
        <v>11</v>
      </c>
      <c r="C769" s="10" t="s">
        <v>31</v>
      </c>
      <c r="D769" s="17">
        <v>539.98</v>
      </c>
    </row>
    <row r="770" spans="1:4" x14ac:dyDescent="0.3">
      <c r="A770" s="12"/>
      <c r="B770" s="12"/>
      <c r="C770" s="14" t="s">
        <v>24</v>
      </c>
      <c r="D770" s="18">
        <v>449</v>
      </c>
    </row>
    <row r="771" spans="1:4" x14ac:dyDescent="0.3">
      <c r="A771" s="12"/>
      <c r="B771" s="12"/>
      <c r="C771" s="14" t="s">
        <v>20</v>
      </c>
      <c r="D771" s="18">
        <v>1999.98</v>
      </c>
    </row>
    <row r="772" spans="1:4" x14ac:dyDescent="0.3">
      <c r="A772" s="12"/>
      <c r="B772" s="10" t="s">
        <v>1915</v>
      </c>
      <c r="C772" s="11"/>
      <c r="D772" s="17">
        <v>2988.96</v>
      </c>
    </row>
    <row r="773" spans="1:4" x14ac:dyDescent="0.3">
      <c r="A773" s="10" t="s">
        <v>458</v>
      </c>
      <c r="B773" s="11"/>
      <c r="C773" s="11"/>
      <c r="D773" s="17">
        <v>2988.96</v>
      </c>
    </row>
    <row r="774" spans="1:4" x14ac:dyDescent="0.3">
      <c r="A774" s="10">
        <v>163</v>
      </c>
      <c r="B774" s="10" t="s">
        <v>18</v>
      </c>
      <c r="C774" s="10" t="s">
        <v>25</v>
      </c>
      <c r="D774" s="17">
        <v>549.99</v>
      </c>
    </row>
    <row r="775" spans="1:4" x14ac:dyDescent="0.3">
      <c r="A775" s="12"/>
      <c r="B775" s="12"/>
      <c r="C775" s="14" t="s">
        <v>24</v>
      </c>
      <c r="D775" s="18">
        <v>449</v>
      </c>
    </row>
    <row r="776" spans="1:4" x14ac:dyDescent="0.3">
      <c r="A776" s="12"/>
      <c r="B776" s="10" t="s">
        <v>1916</v>
      </c>
      <c r="C776" s="11"/>
      <c r="D776" s="17">
        <v>998.99</v>
      </c>
    </row>
    <row r="777" spans="1:4" x14ac:dyDescent="0.3">
      <c r="A777" s="10" t="s">
        <v>459</v>
      </c>
      <c r="B777" s="11"/>
      <c r="C777" s="11"/>
      <c r="D777" s="17">
        <v>998.99</v>
      </c>
    </row>
    <row r="778" spans="1:4" x14ac:dyDescent="0.3">
      <c r="A778" s="10">
        <v>164</v>
      </c>
      <c r="B778" s="10" t="s">
        <v>18</v>
      </c>
      <c r="C778" s="10" t="s">
        <v>28</v>
      </c>
      <c r="D778" s="17">
        <v>269.99</v>
      </c>
    </row>
    <row r="779" spans="1:4" x14ac:dyDescent="0.3">
      <c r="A779" s="12"/>
      <c r="B779" s="12"/>
      <c r="C779" s="14" t="s">
        <v>13</v>
      </c>
      <c r="D779" s="18">
        <v>3098</v>
      </c>
    </row>
    <row r="780" spans="1:4" x14ac:dyDescent="0.3">
      <c r="A780" s="12"/>
      <c r="B780" s="12"/>
      <c r="C780" s="14" t="s">
        <v>16</v>
      </c>
      <c r="D780" s="18">
        <v>5799.98</v>
      </c>
    </row>
    <row r="781" spans="1:4" x14ac:dyDescent="0.3">
      <c r="A781" s="12"/>
      <c r="B781" s="10" t="s">
        <v>1916</v>
      </c>
      <c r="C781" s="11"/>
      <c r="D781" s="17">
        <v>9167.9699999999993</v>
      </c>
    </row>
    <row r="782" spans="1:4" x14ac:dyDescent="0.3">
      <c r="A782" s="10" t="s">
        <v>460</v>
      </c>
      <c r="B782" s="11"/>
      <c r="C782" s="11"/>
      <c r="D782" s="17">
        <v>9167.9699999999993</v>
      </c>
    </row>
    <row r="783" spans="1:4" x14ac:dyDescent="0.3">
      <c r="A783" s="10">
        <v>165</v>
      </c>
      <c r="B783" s="10" t="s">
        <v>11</v>
      </c>
      <c r="C783" s="10" t="s">
        <v>33</v>
      </c>
      <c r="D783" s="17">
        <v>299.99</v>
      </c>
    </row>
    <row r="784" spans="1:4" x14ac:dyDescent="0.3">
      <c r="A784" s="12"/>
      <c r="B784" s="12"/>
      <c r="C784" s="14" t="s">
        <v>22</v>
      </c>
      <c r="D784" s="18">
        <v>749.99</v>
      </c>
    </row>
    <row r="785" spans="1:4" x14ac:dyDescent="0.3">
      <c r="A785" s="12"/>
      <c r="B785" s="12"/>
      <c r="C785" s="14" t="s">
        <v>16</v>
      </c>
      <c r="D785" s="18">
        <v>5799.98</v>
      </c>
    </row>
    <row r="786" spans="1:4" x14ac:dyDescent="0.3">
      <c r="A786" s="12"/>
      <c r="B786" s="10" t="s">
        <v>1915</v>
      </c>
      <c r="C786" s="11"/>
      <c r="D786" s="17">
        <v>6849.9599999999991</v>
      </c>
    </row>
    <row r="787" spans="1:4" x14ac:dyDescent="0.3">
      <c r="A787" s="10" t="s">
        <v>461</v>
      </c>
      <c r="B787" s="11"/>
      <c r="C787" s="11"/>
      <c r="D787" s="17">
        <v>6849.9599999999991</v>
      </c>
    </row>
    <row r="788" spans="1:4" x14ac:dyDescent="0.3">
      <c r="A788" s="10">
        <v>166</v>
      </c>
      <c r="B788" s="10" t="s">
        <v>18</v>
      </c>
      <c r="C788" s="10" t="s">
        <v>13</v>
      </c>
      <c r="D788" s="17">
        <v>3098</v>
      </c>
    </row>
    <row r="789" spans="1:4" x14ac:dyDescent="0.3">
      <c r="A789" s="12"/>
      <c r="B789" s="12"/>
      <c r="C789" s="14" t="s">
        <v>30</v>
      </c>
      <c r="D789" s="18">
        <v>1680.99</v>
      </c>
    </row>
    <row r="790" spans="1:4" x14ac:dyDescent="0.3">
      <c r="A790" s="12"/>
      <c r="B790" s="10" t="s">
        <v>1916</v>
      </c>
      <c r="C790" s="11"/>
      <c r="D790" s="17">
        <v>4778.99</v>
      </c>
    </row>
    <row r="791" spans="1:4" x14ac:dyDescent="0.3">
      <c r="A791" s="10" t="s">
        <v>462</v>
      </c>
      <c r="B791" s="11"/>
      <c r="C791" s="11"/>
      <c r="D791" s="17">
        <v>4778.99</v>
      </c>
    </row>
    <row r="792" spans="1:4" x14ac:dyDescent="0.3">
      <c r="A792" s="10">
        <v>167</v>
      </c>
      <c r="B792" s="10" t="s">
        <v>18</v>
      </c>
      <c r="C792" s="10" t="s">
        <v>31</v>
      </c>
      <c r="D792" s="17">
        <v>539.98</v>
      </c>
    </row>
    <row r="793" spans="1:4" x14ac:dyDescent="0.3">
      <c r="A793" s="12"/>
      <c r="B793" s="12"/>
      <c r="C793" s="14" t="s">
        <v>25</v>
      </c>
      <c r="D793" s="18">
        <v>549.99</v>
      </c>
    </row>
    <row r="794" spans="1:4" x14ac:dyDescent="0.3">
      <c r="A794" s="12"/>
      <c r="B794" s="12"/>
      <c r="C794" s="14" t="s">
        <v>13</v>
      </c>
      <c r="D794" s="18">
        <v>1549</v>
      </c>
    </row>
    <row r="795" spans="1:4" x14ac:dyDescent="0.3">
      <c r="A795" s="12"/>
      <c r="B795" s="12"/>
      <c r="C795" s="14" t="s">
        <v>29</v>
      </c>
      <c r="D795" s="18">
        <v>7999.98</v>
      </c>
    </row>
    <row r="796" spans="1:4" x14ac:dyDescent="0.3">
      <c r="A796" s="12"/>
      <c r="B796" s="10" t="s">
        <v>1916</v>
      </c>
      <c r="C796" s="11"/>
      <c r="D796" s="17">
        <v>10638.95</v>
      </c>
    </row>
    <row r="797" spans="1:4" x14ac:dyDescent="0.3">
      <c r="A797" s="10" t="s">
        <v>463</v>
      </c>
      <c r="B797" s="11"/>
      <c r="C797" s="11"/>
      <c r="D797" s="17">
        <v>10638.95</v>
      </c>
    </row>
    <row r="798" spans="1:4" x14ac:dyDescent="0.3">
      <c r="A798" s="10">
        <v>168</v>
      </c>
      <c r="B798" s="10" t="s">
        <v>11</v>
      </c>
      <c r="C798" s="10" t="s">
        <v>28</v>
      </c>
      <c r="D798" s="17">
        <v>539.98</v>
      </c>
    </row>
    <row r="799" spans="1:4" x14ac:dyDescent="0.3">
      <c r="A799" s="12"/>
      <c r="B799" s="12"/>
      <c r="C799" s="14" t="s">
        <v>25</v>
      </c>
      <c r="D799" s="18">
        <v>1099.98</v>
      </c>
    </row>
    <row r="800" spans="1:4" x14ac:dyDescent="0.3">
      <c r="A800" s="12"/>
      <c r="B800" s="12"/>
      <c r="C800" s="14" t="s">
        <v>32</v>
      </c>
      <c r="D800" s="18">
        <v>469.99</v>
      </c>
    </row>
    <row r="801" spans="1:4" x14ac:dyDescent="0.3">
      <c r="A801" s="12"/>
      <c r="B801" s="12"/>
      <c r="C801" s="14" t="s">
        <v>30</v>
      </c>
      <c r="D801" s="18">
        <v>3361.98</v>
      </c>
    </row>
    <row r="802" spans="1:4" x14ac:dyDescent="0.3">
      <c r="A802" s="12"/>
      <c r="B802" s="10" t="s">
        <v>1915</v>
      </c>
      <c r="C802" s="11"/>
      <c r="D802" s="17">
        <v>5471.93</v>
      </c>
    </row>
    <row r="803" spans="1:4" x14ac:dyDescent="0.3">
      <c r="A803" s="10" t="s">
        <v>464</v>
      </c>
      <c r="B803" s="11"/>
      <c r="C803" s="11"/>
      <c r="D803" s="17">
        <v>5471.93</v>
      </c>
    </row>
    <row r="804" spans="1:4" x14ac:dyDescent="0.3">
      <c r="A804" s="10">
        <v>169</v>
      </c>
      <c r="B804" s="10" t="s">
        <v>18</v>
      </c>
      <c r="C804" s="10" t="s">
        <v>28</v>
      </c>
      <c r="D804" s="17">
        <v>539.98</v>
      </c>
    </row>
    <row r="805" spans="1:4" x14ac:dyDescent="0.3">
      <c r="A805" s="12"/>
      <c r="B805" s="12"/>
      <c r="C805" s="14" t="s">
        <v>10</v>
      </c>
      <c r="D805" s="18">
        <v>1199.98</v>
      </c>
    </row>
    <row r="806" spans="1:4" x14ac:dyDescent="0.3">
      <c r="A806" s="12"/>
      <c r="B806" s="12"/>
      <c r="C806" s="14" t="s">
        <v>34</v>
      </c>
      <c r="D806" s="18">
        <v>1320.99</v>
      </c>
    </row>
    <row r="807" spans="1:4" x14ac:dyDescent="0.3">
      <c r="A807" s="12"/>
      <c r="B807" s="12"/>
      <c r="C807" s="14" t="s">
        <v>13</v>
      </c>
      <c r="D807" s="18">
        <v>1549</v>
      </c>
    </row>
    <row r="808" spans="1:4" x14ac:dyDescent="0.3">
      <c r="A808" s="12"/>
      <c r="B808" s="12"/>
      <c r="C808" s="14" t="s">
        <v>30</v>
      </c>
      <c r="D808" s="18">
        <v>1680.99</v>
      </c>
    </row>
    <row r="809" spans="1:4" x14ac:dyDescent="0.3">
      <c r="A809" s="12"/>
      <c r="B809" s="10" t="s">
        <v>1916</v>
      </c>
      <c r="C809" s="11"/>
      <c r="D809" s="17">
        <v>6290.94</v>
      </c>
    </row>
    <row r="810" spans="1:4" x14ac:dyDescent="0.3">
      <c r="A810" s="10" t="s">
        <v>465</v>
      </c>
      <c r="B810" s="11"/>
      <c r="C810" s="11"/>
      <c r="D810" s="17">
        <v>6290.94</v>
      </c>
    </row>
    <row r="811" spans="1:4" x14ac:dyDescent="0.3">
      <c r="A811" s="10">
        <v>170</v>
      </c>
      <c r="B811" s="10" t="s">
        <v>18</v>
      </c>
      <c r="C811" s="10" t="s">
        <v>25</v>
      </c>
      <c r="D811" s="17">
        <v>1649.97</v>
      </c>
    </row>
    <row r="812" spans="1:4" x14ac:dyDescent="0.3">
      <c r="A812" s="12"/>
      <c r="B812" s="12"/>
      <c r="C812" s="14" t="s">
        <v>24</v>
      </c>
      <c r="D812" s="18">
        <v>898</v>
      </c>
    </row>
    <row r="813" spans="1:4" x14ac:dyDescent="0.3">
      <c r="A813" s="12"/>
      <c r="B813" s="12"/>
      <c r="C813" s="14" t="s">
        <v>29</v>
      </c>
      <c r="D813" s="18">
        <v>3999.99</v>
      </c>
    </row>
    <row r="814" spans="1:4" x14ac:dyDescent="0.3">
      <c r="A814" s="12"/>
      <c r="B814" s="10" t="s">
        <v>1916</v>
      </c>
      <c r="C814" s="11"/>
      <c r="D814" s="17">
        <v>6547.96</v>
      </c>
    </row>
    <row r="815" spans="1:4" x14ac:dyDescent="0.3">
      <c r="A815" s="10" t="s">
        <v>466</v>
      </c>
      <c r="B815" s="11"/>
      <c r="C815" s="11"/>
      <c r="D815" s="17">
        <v>6547.96</v>
      </c>
    </row>
    <row r="816" spans="1:4" x14ac:dyDescent="0.3">
      <c r="A816" s="10">
        <v>171</v>
      </c>
      <c r="B816" s="10" t="s">
        <v>11</v>
      </c>
      <c r="C816" s="10" t="s">
        <v>12</v>
      </c>
      <c r="D816" s="17">
        <v>1799.99</v>
      </c>
    </row>
    <row r="817" spans="1:4" x14ac:dyDescent="0.3">
      <c r="A817" s="12"/>
      <c r="B817" s="10" t="s">
        <v>1915</v>
      </c>
      <c r="C817" s="11"/>
      <c r="D817" s="17">
        <v>1799.99</v>
      </c>
    </row>
    <row r="818" spans="1:4" x14ac:dyDescent="0.3">
      <c r="A818" s="10" t="s">
        <v>467</v>
      </c>
      <c r="B818" s="11"/>
      <c r="C818" s="11"/>
      <c r="D818" s="17">
        <v>1799.99</v>
      </c>
    </row>
    <row r="819" spans="1:4" x14ac:dyDescent="0.3">
      <c r="A819" s="10">
        <v>172</v>
      </c>
      <c r="B819" s="10" t="s">
        <v>18</v>
      </c>
      <c r="C819" s="10" t="s">
        <v>33</v>
      </c>
      <c r="D819" s="17">
        <v>299.99</v>
      </c>
    </row>
    <row r="820" spans="1:4" x14ac:dyDescent="0.3">
      <c r="A820" s="12"/>
      <c r="B820" s="12"/>
      <c r="C820" s="14" t="s">
        <v>14</v>
      </c>
      <c r="D820" s="18">
        <v>599.99</v>
      </c>
    </row>
    <row r="821" spans="1:4" x14ac:dyDescent="0.3">
      <c r="A821" s="12"/>
      <c r="B821" s="10" t="s">
        <v>1916</v>
      </c>
      <c r="C821" s="11"/>
      <c r="D821" s="17">
        <v>899.98</v>
      </c>
    </row>
    <row r="822" spans="1:4" x14ac:dyDescent="0.3">
      <c r="A822" s="10" t="s">
        <v>468</v>
      </c>
      <c r="B822" s="11"/>
      <c r="C822" s="11"/>
      <c r="D822" s="17">
        <v>899.98</v>
      </c>
    </row>
    <row r="823" spans="1:4" x14ac:dyDescent="0.3">
      <c r="A823" s="10">
        <v>173</v>
      </c>
      <c r="B823" s="10" t="s">
        <v>37</v>
      </c>
      <c r="C823" s="10" t="s">
        <v>28</v>
      </c>
      <c r="D823" s="17">
        <v>269.99</v>
      </c>
    </row>
    <row r="824" spans="1:4" x14ac:dyDescent="0.3">
      <c r="A824" s="12"/>
      <c r="B824" s="12"/>
      <c r="C824" s="14" t="s">
        <v>14</v>
      </c>
      <c r="D824" s="18">
        <v>599.99</v>
      </c>
    </row>
    <row r="825" spans="1:4" x14ac:dyDescent="0.3">
      <c r="A825" s="12"/>
      <c r="B825" s="12"/>
      <c r="C825" s="14" t="s">
        <v>10</v>
      </c>
      <c r="D825" s="18">
        <v>1199.98</v>
      </c>
    </row>
    <row r="826" spans="1:4" x14ac:dyDescent="0.3">
      <c r="A826" s="12"/>
      <c r="B826" s="10" t="s">
        <v>1917</v>
      </c>
      <c r="C826" s="11"/>
      <c r="D826" s="17">
        <v>2069.96</v>
      </c>
    </row>
    <row r="827" spans="1:4" x14ac:dyDescent="0.3">
      <c r="A827" s="10" t="s">
        <v>469</v>
      </c>
      <c r="B827" s="11"/>
      <c r="C827" s="11"/>
      <c r="D827" s="17">
        <v>2069.96</v>
      </c>
    </row>
    <row r="828" spans="1:4" x14ac:dyDescent="0.3">
      <c r="A828" s="10">
        <v>174</v>
      </c>
      <c r="B828" s="10" t="s">
        <v>18</v>
      </c>
      <c r="C828" s="10" t="s">
        <v>28</v>
      </c>
      <c r="D828" s="17">
        <v>539.98</v>
      </c>
    </row>
    <row r="829" spans="1:4" x14ac:dyDescent="0.3">
      <c r="A829" s="12"/>
      <c r="B829" s="12"/>
      <c r="C829" s="14" t="s">
        <v>36</v>
      </c>
      <c r="D829" s="18">
        <v>898</v>
      </c>
    </row>
    <row r="830" spans="1:4" x14ac:dyDescent="0.3">
      <c r="A830" s="12"/>
      <c r="B830" s="10" t="s">
        <v>1916</v>
      </c>
      <c r="C830" s="11"/>
      <c r="D830" s="17">
        <v>1437.98</v>
      </c>
    </row>
    <row r="831" spans="1:4" x14ac:dyDescent="0.3">
      <c r="A831" s="10" t="s">
        <v>470</v>
      </c>
      <c r="B831" s="11"/>
      <c r="C831" s="11"/>
      <c r="D831" s="17">
        <v>1437.98</v>
      </c>
    </row>
    <row r="832" spans="1:4" x14ac:dyDescent="0.3">
      <c r="A832" s="10">
        <v>175</v>
      </c>
      <c r="B832" s="10" t="s">
        <v>18</v>
      </c>
      <c r="C832" s="10" t="s">
        <v>31</v>
      </c>
      <c r="D832" s="17">
        <v>539.98</v>
      </c>
    </row>
    <row r="833" spans="1:4" x14ac:dyDescent="0.3">
      <c r="A833" s="12"/>
      <c r="B833" s="12"/>
      <c r="C833" s="14" t="s">
        <v>34</v>
      </c>
      <c r="D833" s="18">
        <v>1320.99</v>
      </c>
    </row>
    <row r="834" spans="1:4" x14ac:dyDescent="0.3">
      <c r="A834" s="12"/>
      <c r="B834" s="12"/>
      <c r="C834" s="14" t="s">
        <v>36</v>
      </c>
      <c r="D834" s="18">
        <v>449</v>
      </c>
    </row>
    <row r="835" spans="1:4" x14ac:dyDescent="0.3">
      <c r="A835" s="12"/>
      <c r="B835" s="12"/>
      <c r="C835" s="14" t="s">
        <v>22</v>
      </c>
      <c r="D835" s="18">
        <v>1499.98</v>
      </c>
    </row>
    <row r="836" spans="1:4" x14ac:dyDescent="0.3">
      <c r="A836" s="12"/>
      <c r="B836" s="10" t="s">
        <v>1916</v>
      </c>
      <c r="C836" s="11"/>
      <c r="D836" s="17">
        <v>3809.9500000000003</v>
      </c>
    </row>
    <row r="837" spans="1:4" x14ac:dyDescent="0.3">
      <c r="A837" s="10" t="s">
        <v>471</v>
      </c>
      <c r="B837" s="11"/>
      <c r="C837" s="11"/>
      <c r="D837" s="17">
        <v>3809.9500000000003</v>
      </c>
    </row>
    <row r="838" spans="1:4" x14ac:dyDescent="0.3">
      <c r="A838" s="10">
        <v>176</v>
      </c>
      <c r="B838" s="10" t="s">
        <v>18</v>
      </c>
      <c r="C838" s="10" t="s">
        <v>14</v>
      </c>
      <c r="D838" s="17">
        <v>1199.98</v>
      </c>
    </row>
    <row r="839" spans="1:4" x14ac:dyDescent="0.3">
      <c r="A839" s="12"/>
      <c r="B839" s="12"/>
      <c r="C839" s="14" t="s">
        <v>22</v>
      </c>
      <c r="D839" s="18">
        <v>1499.98</v>
      </c>
    </row>
    <row r="840" spans="1:4" x14ac:dyDescent="0.3">
      <c r="A840" s="12"/>
      <c r="B840" s="12"/>
      <c r="C840" s="14" t="s">
        <v>30</v>
      </c>
      <c r="D840" s="18">
        <v>3361.98</v>
      </c>
    </row>
    <row r="841" spans="1:4" x14ac:dyDescent="0.3">
      <c r="A841" s="12"/>
      <c r="B841" s="10" t="s">
        <v>1916</v>
      </c>
      <c r="C841" s="11"/>
      <c r="D841" s="17">
        <v>6061.9400000000005</v>
      </c>
    </row>
    <row r="842" spans="1:4" x14ac:dyDescent="0.3">
      <c r="A842" s="10" t="s">
        <v>472</v>
      </c>
      <c r="B842" s="11"/>
      <c r="C842" s="11"/>
      <c r="D842" s="17">
        <v>6061.9400000000005</v>
      </c>
    </row>
    <row r="843" spans="1:4" x14ac:dyDescent="0.3">
      <c r="A843" s="10">
        <v>177</v>
      </c>
      <c r="B843" s="10" t="s">
        <v>11</v>
      </c>
      <c r="C843" s="10" t="s">
        <v>10</v>
      </c>
      <c r="D843" s="17">
        <v>1199.98</v>
      </c>
    </row>
    <row r="844" spans="1:4" x14ac:dyDescent="0.3">
      <c r="A844" s="12"/>
      <c r="B844" s="10" t="s">
        <v>1915</v>
      </c>
      <c r="C844" s="11"/>
      <c r="D844" s="17">
        <v>1199.98</v>
      </c>
    </row>
    <row r="845" spans="1:4" x14ac:dyDescent="0.3">
      <c r="A845" s="10" t="s">
        <v>473</v>
      </c>
      <c r="B845" s="11"/>
      <c r="C845" s="11"/>
      <c r="D845" s="17">
        <v>1199.98</v>
      </c>
    </row>
    <row r="846" spans="1:4" x14ac:dyDescent="0.3">
      <c r="A846" s="10">
        <v>178</v>
      </c>
      <c r="B846" s="10" t="s">
        <v>18</v>
      </c>
      <c r="C846" s="10" t="s">
        <v>25</v>
      </c>
      <c r="D846" s="17">
        <v>549.99</v>
      </c>
    </row>
    <row r="847" spans="1:4" x14ac:dyDescent="0.3">
      <c r="A847" s="12"/>
      <c r="B847" s="12"/>
      <c r="C847" s="14" t="s">
        <v>24</v>
      </c>
      <c r="D847" s="18">
        <v>449</v>
      </c>
    </row>
    <row r="848" spans="1:4" x14ac:dyDescent="0.3">
      <c r="A848" s="12"/>
      <c r="B848" s="12"/>
      <c r="C848" s="14" t="s">
        <v>13</v>
      </c>
      <c r="D848" s="18">
        <v>3098</v>
      </c>
    </row>
    <row r="849" spans="1:4" x14ac:dyDescent="0.3">
      <c r="A849" s="12"/>
      <c r="B849" s="12"/>
      <c r="C849" s="14" t="s">
        <v>20</v>
      </c>
      <c r="D849" s="18">
        <v>999.99</v>
      </c>
    </row>
    <row r="850" spans="1:4" x14ac:dyDescent="0.3">
      <c r="A850" s="12"/>
      <c r="B850" s="10" t="s">
        <v>1916</v>
      </c>
      <c r="C850" s="11"/>
      <c r="D850" s="17">
        <v>5096.9799999999996</v>
      </c>
    </row>
    <row r="851" spans="1:4" x14ac:dyDescent="0.3">
      <c r="A851" s="10" t="s">
        <v>474</v>
      </c>
      <c r="B851" s="11"/>
      <c r="C851" s="11"/>
      <c r="D851" s="17">
        <v>5096.9799999999996</v>
      </c>
    </row>
    <row r="852" spans="1:4" x14ac:dyDescent="0.3">
      <c r="A852" s="10">
        <v>179</v>
      </c>
      <c r="B852" s="10" t="s">
        <v>18</v>
      </c>
      <c r="C852" s="10" t="s">
        <v>31</v>
      </c>
      <c r="D852" s="17">
        <v>539.98</v>
      </c>
    </row>
    <row r="853" spans="1:4" x14ac:dyDescent="0.3">
      <c r="A853" s="12"/>
      <c r="B853" s="12"/>
      <c r="C853" s="14" t="s">
        <v>25</v>
      </c>
      <c r="D853" s="18">
        <v>1099.98</v>
      </c>
    </row>
    <row r="854" spans="1:4" x14ac:dyDescent="0.3">
      <c r="A854" s="12"/>
      <c r="B854" s="12"/>
      <c r="C854" s="14" t="s">
        <v>14</v>
      </c>
      <c r="D854" s="18">
        <v>599.99</v>
      </c>
    </row>
    <row r="855" spans="1:4" x14ac:dyDescent="0.3">
      <c r="A855" s="12"/>
      <c r="B855" s="12"/>
      <c r="C855" s="14" t="s">
        <v>10</v>
      </c>
      <c r="D855" s="18">
        <v>1199.98</v>
      </c>
    </row>
    <row r="856" spans="1:4" x14ac:dyDescent="0.3">
      <c r="A856" s="12"/>
      <c r="B856" s="12"/>
      <c r="C856" s="14" t="s">
        <v>24</v>
      </c>
      <c r="D856" s="18">
        <v>449</v>
      </c>
    </row>
    <row r="857" spans="1:4" x14ac:dyDescent="0.3">
      <c r="A857" s="12"/>
      <c r="B857" s="10" t="s">
        <v>1916</v>
      </c>
      <c r="C857" s="11"/>
      <c r="D857" s="17">
        <v>3888.93</v>
      </c>
    </row>
    <row r="858" spans="1:4" x14ac:dyDescent="0.3">
      <c r="A858" s="10" t="s">
        <v>475</v>
      </c>
      <c r="B858" s="11"/>
      <c r="C858" s="11"/>
      <c r="D858" s="17">
        <v>3888.93</v>
      </c>
    </row>
    <row r="859" spans="1:4" x14ac:dyDescent="0.3">
      <c r="A859" s="10">
        <v>180</v>
      </c>
      <c r="B859" s="10" t="s">
        <v>18</v>
      </c>
      <c r="C859" s="10" t="s">
        <v>14</v>
      </c>
      <c r="D859" s="17">
        <v>599.99</v>
      </c>
    </row>
    <row r="860" spans="1:4" x14ac:dyDescent="0.3">
      <c r="A860" s="12"/>
      <c r="B860" s="10" t="s">
        <v>1916</v>
      </c>
      <c r="C860" s="11"/>
      <c r="D860" s="17">
        <v>599.99</v>
      </c>
    </row>
    <row r="861" spans="1:4" x14ac:dyDescent="0.3">
      <c r="A861" s="10" t="s">
        <v>476</v>
      </c>
      <c r="B861" s="11"/>
      <c r="C861" s="11"/>
      <c r="D861" s="17">
        <v>599.99</v>
      </c>
    </row>
    <row r="862" spans="1:4" x14ac:dyDescent="0.3">
      <c r="A862" s="10">
        <v>181</v>
      </c>
      <c r="B862" s="10" t="s">
        <v>11</v>
      </c>
      <c r="C862" s="10" t="s">
        <v>27</v>
      </c>
      <c r="D862" s="17">
        <v>1059.98</v>
      </c>
    </row>
    <row r="863" spans="1:4" x14ac:dyDescent="0.3">
      <c r="A863" s="12"/>
      <c r="B863" s="12"/>
      <c r="C863" s="14" t="s">
        <v>25</v>
      </c>
      <c r="D863" s="18">
        <v>1099.98</v>
      </c>
    </row>
    <row r="864" spans="1:4" x14ac:dyDescent="0.3">
      <c r="A864" s="12"/>
      <c r="B864" s="12"/>
      <c r="C864" s="14" t="s">
        <v>13</v>
      </c>
      <c r="D864" s="18">
        <v>1549</v>
      </c>
    </row>
    <row r="865" spans="1:4" x14ac:dyDescent="0.3">
      <c r="A865" s="12"/>
      <c r="B865" s="12"/>
      <c r="C865" s="14" t="s">
        <v>30</v>
      </c>
      <c r="D865" s="18">
        <v>1680.99</v>
      </c>
    </row>
    <row r="866" spans="1:4" x14ac:dyDescent="0.3">
      <c r="A866" s="12"/>
      <c r="B866" s="10" t="s">
        <v>1915</v>
      </c>
      <c r="C866" s="11"/>
      <c r="D866" s="17">
        <v>5389.95</v>
      </c>
    </row>
    <row r="867" spans="1:4" x14ac:dyDescent="0.3">
      <c r="A867" s="10" t="s">
        <v>477</v>
      </c>
      <c r="B867" s="11"/>
      <c r="C867" s="11"/>
      <c r="D867" s="17">
        <v>5389.95</v>
      </c>
    </row>
    <row r="868" spans="1:4" x14ac:dyDescent="0.3">
      <c r="A868" s="10">
        <v>182</v>
      </c>
      <c r="B868" s="10" t="s">
        <v>18</v>
      </c>
      <c r="C868" s="10" t="s">
        <v>25</v>
      </c>
      <c r="D868" s="17">
        <v>1099.98</v>
      </c>
    </row>
    <row r="869" spans="1:4" x14ac:dyDescent="0.3">
      <c r="A869" s="12"/>
      <c r="B869" s="12"/>
      <c r="C869" s="14" t="s">
        <v>35</v>
      </c>
      <c r="D869" s="18">
        <v>999.98</v>
      </c>
    </row>
    <row r="870" spans="1:4" x14ac:dyDescent="0.3">
      <c r="A870" s="12"/>
      <c r="B870" s="10" t="s">
        <v>1916</v>
      </c>
      <c r="C870" s="11"/>
      <c r="D870" s="17">
        <v>2099.96</v>
      </c>
    </row>
    <row r="871" spans="1:4" x14ac:dyDescent="0.3">
      <c r="A871" s="10" t="s">
        <v>478</v>
      </c>
      <c r="B871" s="11"/>
      <c r="C871" s="11"/>
      <c r="D871" s="17">
        <v>2099.96</v>
      </c>
    </row>
    <row r="872" spans="1:4" x14ac:dyDescent="0.3">
      <c r="A872" s="10">
        <v>183</v>
      </c>
      <c r="B872" s="10" t="s">
        <v>18</v>
      </c>
      <c r="C872" s="10" t="s">
        <v>25</v>
      </c>
      <c r="D872" s="17">
        <v>1099.98</v>
      </c>
    </row>
    <row r="873" spans="1:4" x14ac:dyDescent="0.3">
      <c r="A873" s="12"/>
      <c r="B873" s="12"/>
      <c r="C873" s="14" t="s">
        <v>23</v>
      </c>
      <c r="D873" s="18">
        <v>429</v>
      </c>
    </row>
    <row r="874" spans="1:4" x14ac:dyDescent="0.3">
      <c r="A874" s="12"/>
      <c r="B874" s="12"/>
      <c r="C874" s="14" t="s">
        <v>36</v>
      </c>
      <c r="D874" s="18">
        <v>449</v>
      </c>
    </row>
    <row r="875" spans="1:4" x14ac:dyDescent="0.3">
      <c r="A875" s="12"/>
      <c r="B875" s="12"/>
      <c r="C875" s="14" t="s">
        <v>30</v>
      </c>
      <c r="D875" s="18">
        <v>3361.98</v>
      </c>
    </row>
    <row r="876" spans="1:4" x14ac:dyDescent="0.3">
      <c r="A876" s="12"/>
      <c r="B876" s="10" t="s">
        <v>1916</v>
      </c>
      <c r="C876" s="11"/>
      <c r="D876" s="17">
        <v>5339.96</v>
      </c>
    </row>
    <row r="877" spans="1:4" x14ac:dyDescent="0.3">
      <c r="A877" s="10" t="s">
        <v>479</v>
      </c>
      <c r="B877" s="11"/>
      <c r="C877" s="11"/>
      <c r="D877" s="17">
        <v>5339.96</v>
      </c>
    </row>
    <row r="878" spans="1:4" x14ac:dyDescent="0.3">
      <c r="A878" s="10">
        <v>184</v>
      </c>
      <c r="B878" s="10" t="s">
        <v>18</v>
      </c>
      <c r="C878" s="10" t="s">
        <v>28</v>
      </c>
      <c r="D878" s="17">
        <v>269.99</v>
      </c>
    </row>
    <row r="879" spans="1:4" x14ac:dyDescent="0.3">
      <c r="A879" s="12"/>
      <c r="B879" s="12"/>
      <c r="C879" s="14" t="s">
        <v>34</v>
      </c>
      <c r="D879" s="18">
        <v>1320.99</v>
      </c>
    </row>
    <row r="880" spans="1:4" x14ac:dyDescent="0.3">
      <c r="A880" s="12"/>
      <c r="B880" s="12"/>
      <c r="C880" s="14" t="s">
        <v>16</v>
      </c>
      <c r="D880" s="18">
        <v>2899.99</v>
      </c>
    </row>
    <row r="881" spans="1:4" x14ac:dyDescent="0.3">
      <c r="A881" s="12"/>
      <c r="B881" s="10" t="s">
        <v>1916</v>
      </c>
      <c r="C881" s="11"/>
      <c r="D881" s="17">
        <v>4490.9699999999993</v>
      </c>
    </row>
    <row r="882" spans="1:4" x14ac:dyDescent="0.3">
      <c r="A882" s="10" t="s">
        <v>480</v>
      </c>
      <c r="B882" s="11"/>
      <c r="C882" s="11"/>
      <c r="D882" s="17">
        <v>4490.9699999999993</v>
      </c>
    </row>
    <row r="883" spans="1:4" x14ac:dyDescent="0.3">
      <c r="A883" s="10">
        <v>185</v>
      </c>
      <c r="B883" s="10" t="s">
        <v>11</v>
      </c>
      <c r="C883" s="10" t="s">
        <v>10</v>
      </c>
      <c r="D883" s="17">
        <v>599.99</v>
      </c>
    </row>
    <row r="884" spans="1:4" x14ac:dyDescent="0.3">
      <c r="A884" s="12"/>
      <c r="B884" s="12"/>
      <c r="C884" s="14" t="s">
        <v>12</v>
      </c>
      <c r="D884" s="18">
        <v>1799.99</v>
      </c>
    </row>
    <row r="885" spans="1:4" x14ac:dyDescent="0.3">
      <c r="A885" s="12"/>
      <c r="B885" s="10" t="s">
        <v>1915</v>
      </c>
      <c r="C885" s="11"/>
      <c r="D885" s="17">
        <v>2399.98</v>
      </c>
    </row>
    <row r="886" spans="1:4" x14ac:dyDescent="0.3">
      <c r="A886" s="10" t="s">
        <v>481</v>
      </c>
      <c r="B886" s="11"/>
      <c r="C886" s="11"/>
      <c r="D886" s="17">
        <v>2399.98</v>
      </c>
    </row>
    <row r="887" spans="1:4" x14ac:dyDescent="0.3">
      <c r="A887" s="10">
        <v>186</v>
      </c>
      <c r="B887" s="10" t="s">
        <v>18</v>
      </c>
      <c r="C887" s="10" t="s">
        <v>32</v>
      </c>
      <c r="D887" s="17">
        <v>469.99</v>
      </c>
    </row>
    <row r="888" spans="1:4" x14ac:dyDescent="0.3">
      <c r="A888" s="12"/>
      <c r="B888" s="12"/>
      <c r="C888" s="14" t="s">
        <v>16</v>
      </c>
      <c r="D888" s="18">
        <v>2899.99</v>
      </c>
    </row>
    <row r="889" spans="1:4" x14ac:dyDescent="0.3">
      <c r="A889" s="12"/>
      <c r="B889" s="10" t="s">
        <v>1916</v>
      </c>
      <c r="C889" s="11"/>
      <c r="D889" s="17">
        <v>3369.9799999999996</v>
      </c>
    </row>
    <row r="890" spans="1:4" x14ac:dyDescent="0.3">
      <c r="A890" s="10" t="s">
        <v>482</v>
      </c>
      <c r="B890" s="11"/>
      <c r="C890" s="11"/>
      <c r="D890" s="17">
        <v>3369.9799999999996</v>
      </c>
    </row>
    <row r="891" spans="1:4" x14ac:dyDescent="0.3">
      <c r="A891" s="10">
        <v>187</v>
      </c>
      <c r="B891" s="10" t="s">
        <v>18</v>
      </c>
      <c r="C891" s="10" t="s">
        <v>34</v>
      </c>
      <c r="D891" s="17">
        <v>1320.99</v>
      </c>
    </row>
    <row r="892" spans="1:4" x14ac:dyDescent="0.3">
      <c r="A892" s="12"/>
      <c r="B892" s="10" t="s">
        <v>1916</v>
      </c>
      <c r="C892" s="11"/>
      <c r="D892" s="17">
        <v>1320.99</v>
      </c>
    </row>
    <row r="893" spans="1:4" x14ac:dyDescent="0.3">
      <c r="A893" s="10" t="s">
        <v>483</v>
      </c>
      <c r="B893" s="11"/>
      <c r="C893" s="11"/>
      <c r="D893" s="17">
        <v>1320.99</v>
      </c>
    </row>
    <row r="894" spans="1:4" x14ac:dyDescent="0.3">
      <c r="A894" s="10">
        <v>188</v>
      </c>
      <c r="B894" s="10" t="s">
        <v>18</v>
      </c>
      <c r="C894" s="10" t="s">
        <v>29</v>
      </c>
      <c r="D894" s="17">
        <v>7999.98</v>
      </c>
    </row>
    <row r="895" spans="1:4" x14ac:dyDescent="0.3">
      <c r="A895" s="12"/>
      <c r="B895" s="10" t="s">
        <v>1916</v>
      </c>
      <c r="C895" s="11"/>
      <c r="D895" s="17">
        <v>7999.98</v>
      </c>
    </row>
    <row r="896" spans="1:4" x14ac:dyDescent="0.3">
      <c r="A896" s="10" t="s">
        <v>484</v>
      </c>
      <c r="B896" s="11"/>
      <c r="C896" s="11"/>
      <c r="D896" s="17">
        <v>7999.98</v>
      </c>
    </row>
    <row r="897" spans="1:4" x14ac:dyDescent="0.3">
      <c r="A897" s="10">
        <v>189</v>
      </c>
      <c r="B897" s="10" t="s">
        <v>11</v>
      </c>
      <c r="C897" s="10" t="s">
        <v>14</v>
      </c>
      <c r="D897" s="17">
        <v>1199.98</v>
      </c>
    </row>
    <row r="898" spans="1:4" x14ac:dyDescent="0.3">
      <c r="A898" s="12"/>
      <c r="B898" s="10" t="s">
        <v>1915</v>
      </c>
      <c r="C898" s="11"/>
      <c r="D898" s="17">
        <v>1199.98</v>
      </c>
    </row>
    <row r="899" spans="1:4" x14ac:dyDescent="0.3">
      <c r="A899" s="10" t="s">
        <v>485</v>
      </c>
      <c r="B899" s="11"/>
      <c r="C899" s="11"/>
      <c r="D899" s="17">
        <v>1199.98</v>
      </c>
    </row>
    <row r="900" spans="1:4" x14ac:dyDescent="0.3">
      <c r="A900" s="10">
        <v>190</v>
      </c>
      <c r="B900" s="10" t="s">
        <v>18</v>
      </c>
      <c r="C900" s="10" t="s">
        <v>27</v>
      </c>
      <c r="D900" s="17">
        <v>529.99</v>
      </c>
    </row>
    <row r="901" spans="1:4" x14ac:dyDescent="0.3">
      <c r="A901" s="12"/>
      <c r="B901" s="12"/>
      <c r="C901" s="14" t="s">
        <v>25</v>
      </c>
      <c r="D901" s="18">
        <v>549.99</v>
      </c>
    </row>
    <row r="902" spans="1:4" x14ac:dyDescent="0.3">
      <c r="A902" s="12"/>
      <c r="B902" s="12"/>
      <c r="C902" s="14" t="s">
        <v>20</v>
      </c>
      <c r="D902" s="18">
        <v>1999.98</v>
      </c>
    </row>
    <row r="903" spans="1:4" x14ac:dyDescent="0.3">
      <c r="A903" s="12"/>
      <c r="B903" s="10" t="s">
        <v>1916</v>
      </c>
      <c r="C903" s="11"/>
      <c r="D903" s="17">
        <v>3079.96</v>
      </c>
    </row>
    <row r="904" spans="1:4" x14ac:dyDescent="0.3">
      <c r="A904" s="10" t="s">
        <v>486</v>
      </c>
      <c r="B904" s="11"/>
      <c r="C904" s="11"/>
      <c r="D904" s="17">
        <v>3079.96</v>
      </c>
    </row>
    <row r="905" spans="1:4" x14ac:dyDescent="0.3">
      <c r="A905" s="10">
        <v>191</v>
      </c>
      <c r="B905" s="10" t="s">
        <v>11</v>
      </c>
      <c r="C905" s="10" t="s">
        <v>33</v>
      </c>
      <c r="D905" s="17">
        <v>299.99</v>
      </c>
    </row>
    <row r="906" spans="1:4" x14ac:dyDescent="0.3">
      <c r="A906" s="12"/>
      <c r="B906" s="12"/>
      <c r="C906" s="14" t="s">
        <v>25</v>
      </c>
      <c r="D906" s="18">
        <v>1099.98</v>
      </c>
    </row>
    <row r="907" spans="1:4" x14ac:dyDescent="0.3">
      <c r="A907" s="12"/>
      <c r="B907" s="12"/>
      <c r="C907" s="14" t="s">
        <v>35</v>
      </c>
      <c r="D907" s="18">
        <v>499.99</v>
      </c>
    </row>
    <row r="908" spans="1:4" x14ac:dyDescent="0.3">
      <c r="A908" s="12"/>
      <c r="B908" s="12"/>
      <c r="C908" s="14" t="s">
        <v>20</v>
      </c>
      <c r="D908" s="18">
        <v>999.99</v>
      </c>
    </row>
    <row r="909" spans="1:4" x14ac:dyDescent="0.3">
      <c r="A909" s="12"/>
      <c r="B909" s="12"/>
      <c r="C909" s="14" t="s">
        <v>12</v>
      </c>
      <c r="D909" s="18">
        <v>3599.98</v>
      </c>
    </row>
    <row r="910" spans="1:4" x14ac:dyDescent="0.3">
      <c r="A910" s="12"/>
      <c r="B910" s="10" t="s">
        <v>1915</v>
      </c>
      <c r="C910" s="11"/>
      <c r="D910" s="17">
        <v>6499.93</v>
      </c>
    </row>
    <row r="911" spans="1:4" x14ac:dyDescent="0.3">
      <c r="A911" s="10" t="s">
        <v>487</v>
      </c>
      <c r="B911" s="11"/>
      <c r="C911" s="11"/>
      <c r="D911" s="17">
        <v>6499.93</v>
      </c>
    </row>
    <row r="912" spans="1:4" x14ac:dyDescent="0.3">
      <c r="A912" s="10">
        <v>192</v>
      </c>
      <c r="B912" s="10" t="s">
        <v>18</v>
      </c>
      <c r="C912" s="10" t="s">
        <v>25</v>
      </c>
      <c r="D912" s="17">
        <v>1099.98</v>
      </c>
    </row>
    <row r="913" spans="1:4" x14ac:dyDescent="0.3">
      <c r="A913" s="12"/>
      <c r="B913" s="12"/>
      <c r="C913" s="14" t="s">
        <v>35</v>
      </c>
      <c r="D913" s="18">
        <v>499.99</v>
      </c>
    </row>
    <row r="914" spans="1:4" x14ac:dyDescent="0.3">
      <c r="A914" s="12"/>
      <c r="B914" s="12"/>
      <c r="C914" s="14" t="s">
        <v>22</v>
      </c>
      <c r="D914" s="18">
        <v>749.99</v>
      </c>
    </row>
    <row r="915" spans="1:4" x14ac:dyDescent="0.3">
      <c r="A915" s="12"/>
      <c r="B915" s="12"/>
      <c r="C915" s="14" t="s">
        <v>13</v>
      </c>
      <c r="D915" s="18">
        <v>3098</v>
      </c>
    </row>
    <row r="916" spans="1:4" x14ac:dyDescent="0.3">
      <c r="A916" s="12"/>
      <c r="B916" s="12"/>
      <c r="C916" s="14" t="s">
        <v>12</v>
      </c>
      <c r="D916" s="18">
        <v>3599.98</v>
      </c>
    </row>
    <row r="917" spans="1:4" x14ac:dyDescent="0.3">
      <c r="A917" s="12"/>
      <c r="B917" s="10" t="s">
        <v>1916</v>
      </c>
      <c r="C917" s="11"/>
      <c r="D917" s="17">
        <v>9047.94</v>
      </c>
    </row>
    <row r="918" spans="1:4" x14ac:dyDescent="0.3">
      <c r="A918" s="10" t="s">
        <v>488</v>
      </c>
      <c r="B918" s="11"/>
      <c r="C918" s="11"/>
      <c r="D918" s="17">
        <v>9047.94</v>
      </c>
    </row>
    <row r="919" spans="1:4" x14ac:dyDescent="0.3">
      <c r="A919" s="10">
        <v>193</v>
      </c>
      <c r="B919" s="10" t="s">
        <v>11</v>
      </c>
      <c r="C919" s="10" t="s">
        <v>25</v>
      </c>
      <c r="D919" s="17">
        <v>1099.98</v>
      </c>
    </row>
    <row r="920" spans="1:4" x14ac:dyDescent="0.3">
      <c r="A920" s="12"/>
      <c r="B920" s="10" t="s">
        <v>1915</v>
      </c>
      <c r="C920" s="11"/>
      <c r="D920" s="17">
        <v>1099.98</v>
      </c>
    </row>
    <row r="921" spans="1:4" x14ac:dyDescent="0.3">
      <c r="A921" s="10" t="s">
        <v>489</v>
      </c>
      <c r="B921" s="11"/>
      <c r="C921" s="11"/>
      <c r="D921" s="17">
        <v>1099.98</v>
      </c>
    </row>
    <row r="922" spans="1:4" x14ac:dyDescent="0.3">
      <c r="A922" s="10">
        <v>194</v>
      </c>
      <c r="B922" s="10" t="s">
        <v>18</v>
      </c>
      <c r="C922" s="10" t="s">
        <v>31</v>
      </c>
      <c r="D922" s="17">
        <v>539.98</v>
      </c>
    </row>
    <row r="923" spans="1:4" x14ac:dyDescent="0.3">
      <c r="A923" s="12"/>
      <c r="B923" s="10" t="s">
        <v>1916</v>
      </c>
      <c r="C923" s="11"/>
      <c r="D923" s="17">
        <v>539.98</v>
      </c>
    </row>
    <row r="924" spans="1:4" x14ac:dyDescent="0.3">
      <c r="A924" s="10" t="s">
        <v>490</v>
      </c>
      <c r="B924" s="11"/>
      <c r="C924" s="11"/>
      <c r="D924" s="17">
        <v>539.98</v>
      </c>
    </row>
    <row r="925" spans="1:4" x14ac:dyDescent="0.3">
      <c r="A925" s="10">
        <v>195</v>
      </c>
      <c r="B925" s="10" t="s">
        <v>18</v>
      </c>
      <c r="C925" s="10" t="s">
        <v>31</v>
      </c>
      <c r="D925" s="17">
        <v>539.98</v>
      </c>
    </row>
    <row r="926" spans="1:4" x14ac:dyDescent="0.3">
      <c r="A926" s="12"/>
      <c r="B926" s="12"/>
      <c r="C926" s="14" t="s">
        <v>28</v>
      </c>
      <c r="D926" s="18">
        <v>269.99</v>
      </c>
    </row>
    <row r="927" spans="1:4" x14ac:dyDescent="0.3">
      <c r="A927" s="12"/>
      <c r="B927" s="12"/>
      <c r="C927" s="14" t="s">
        <v>34</v>
      </c>
      <c r="D927" s="18">
        <v>2641.98</v>
      </c>
    </row>
    <row r="928" spans="1:4" x14ac:dyDescent="0.3">
      <c r="A928" s="12"/>
      <c r="B928" s="12"/>
      <c r="C928" s="14" t="s">
        <v>24</v>
      </c>
      <c r="D928" s="18">
        <v>449</v>
      </c>
    </row>
    <row r="929" spans="1:4" x14ac:dyDescent="0.3">
      <c r="A929" s="12"/>
      <c r="B929" s="12"/>
      <c r="C929" s="14" t="s">
        <v>16</v>
      </c>
      <c r="D929" s="18">
        <v>5799.98</v>
      </c>
    </row>
    <row r="930" spans="1:4" x14ac:dyDescent="0.3">
      <c r="A930" s="12"/>
      <c r="B930" s="10" t="s">
        <v>1916</v>
      </c>
      <c r="C930" s="11"/>
      <c r="D930" s="17">
        <v>9700.93</v>
      </c>
    </row>
    <row r="931" spans="1:4" x14ac:dyDescent="0.3">
      <c r="A931" s="10" t="s">
        <v>491</v>
      </c>
      <c r="B931" s="11"/>
      <c r="C931" s="11"/>
      <c r="D931" s="17">
        <v>9700.93</v>
      </c>
    </row>
    <row r="932" spans="1:4" x14ac:dyDescent="0.3">
      <c r="A932" s="10">
        <v>196</v>
      </c>
      <c r="B932" s="10" t="s">
        <v>18</v>
      </c>
      <c r="C932" s="10" t="s">
        <v>25</v>
      </c>
      <c r="D932" s="17">
        <v>549.99</v>
      </c>
    </row>
    <row r="933" spans="1:4" x14ac:dyDescent="0.3">
      <c r="A933" s="12"/>
      <c r="B933" s="12"/>
      <c r="C933" s="14" t="s">
        <v>10</v>
      </c>
      <c r="D933" s="18">
        <v>599.99</v>
      </c>
    </row>
    <row r="934" spans="1:4" x14ac:dyDescent="0.3">
      <c r="A934" s="12"/>
      <c r="B934" s="12"/>
      <c r="C934" s="14" t="s">
        <v>32</v>
      </c>
      <c r="D934" s="18">
        <v>469.99</v>
      </c>
    </row>
    <row r="935" spans="1:4" x14ac:dyDescent="0.3">
      <c r="A935" s="12"/>
      <c r="B935" s="12"/>
      <c r="C935" s="14" t="s">
        <v>13</v>
      </c>
      <c r="D935" s="18">
        <v>3098</v>
      </c>
    </row>
    <row r="936" spans="1:4" x14ac:dyDescent="0.3">
      <c r="A936" s="12"/>
      <c r="B936" s="12"/>
      <c r="C936" s="14" t="s">
        <v>20</v>
      </c>
      <c r="D936" s="18">
        <v>1999.98</v>
      </c>
    </row>
    <row r="937" spans="1:4" x14ac:dyDescent="0.3">
      <c r="A937" s="12"/>
      <c r="B937" s="10" t="s">
        <v>1916</v>
      </c>
      <c r="C937" s="11"/>
      <c r="D937" s="17">
        <v>6717.9500000000007</v>
      </c>
    </row>
    <row r="938" spans="1:4" x14ac:dyDescent="0.3">
      <c r="A938" s="10" t="s">
        <v>492</v>
      </c>
      <c r="B938" s="11"/>
      <c r="C938" s="11"/>
      <c r="D938" s="17">
        <v>6717.9500000000007</v>
      </c>
    </row>
    <row r="939" spans="1:4" x14ac:dyDescent="0.3">
      <c r="A939" s="10">
        <v>197</v>
      </c>
      <c r="B939" s="10" t="s">
        <v>18</v>
      </c>
      <c r="C939" s="10" t="s">
        <v>22</v>
      </c>
      <c r="D939" s="17">
        <v>1499.98</v>
      </c>
    </row>
    <row r="940" spans="1:4" x14ac:dyDescent="0.3">
      <c r="A940" s="12"/>
      <c r="B940" s="12"/>
      <c r="C940" s="14" t="s">
        <v>16</v>
      </c>
      <c r="D940" s="18">
        <v>5799.98</v>
      </c>
    </row>
    <row r="941" spans="1:4" x14ac:dyDescent="0.3">
      <c r="A941" s="12"/>
      <c r="B941" s="10" t="s">
        <v>1916</v>
      </c>
      <c r="C941" s="11"/>
      <c r="D941" s="17">
        <v>7299.9599999999991</v>
      </c>
    </row>
    <row r="942" spans="1:4" x14ac:dyDescent="0.3">
      <c r="A942" s="10" t="s">
        <v>493</v>
      </c>
      <c r="B942" s="11"/>
      <c r="C942" s="11"/>
      <c r="D942" s="17">
        <v>7299.9599999999991</v>
      </c>
    </row>
    <row r="943" spans="1:4" x14ac:dyDescent="0.3">
      <c r="A943" s="10">
        <v>198</v>
      </c>
      <c r="B943" s="10" t="s">
        <v>18</v>
      </c>
      <c r="C943" s="10" t="s">
        <v>31</v>
      </c>
      <c r="D943" s="17">
        <v>539.98</v>
      </c>
    </row>
    <row r="944" spans="1:4" x14ac:dyDescent="0.3">
      <c r="A944" s="12"/>
      <c r="B944" s="12"/>
      <c r="C944" s="14" t="s">
        <v>10</v>
      </c>
      <c r="D944" s="18">
        <v>1199.98</v>
      </c>
    </row>
    <row r="945" spans="1:4" x14ac:dyDescent="0.3">
      <c r="A945" s="12"/>
      <c r="B945" s="12"/>
      <c r="C945" s="14" t="s">
        <v>23</v>
      </c>
      <c r="D945" s="18">
        <v>429</v>
      </c>
    </row>
    <row r="946" spans="1:4" x14ac:dyDescent="0.3">
      <c r="A946" s="12"/>
      <c r="B946" s="12"/>
      <c r="C946" s="14" t="s">
        <v>32</v>
      </c>
      <c r="D946" s="18">
        <v>939.98</v>
      </c>
    </row>
    <row r="947" spans="1:4" x14ac:dyDescent="0.3">
      <c r="A947" s="12"/>
      <c r="B947" s="12"/>
      <c r="C947" s="14" t="s">
        <v>12</v>
      </c>
      <c r="D947" s="18">
        <v>3599.98</v>
      </c>
    </row>
    <row r="948" spans="1:4" x14ac:dyDescent="0.3">
      <c r="A948" s="12"/>
      <c r="B948" s="10" t="s">
        <v>1916</v>
      </c>
      <c r="C948" s="11"/>
      <c r="D948" s="17">
        <v>6708.92</v>
      </c>
    </row>
    <row r="949" spans="1:4" x14ac:dyDescent="0.3">
      <c r="A949" s="10" t="s">
        <v>494</v>
      </c>
      <c r="B949" s="11"/>
      <c r="C949" s="11"/>
      <c r="D949" s="17">
        <v>6708.92</v>
      </c>
    </row>
    <row r="950" spans="1:4" x14ac:dyDescent="0.3">
      <c r="A950" s="10">
        <v>199</v>
      </c>
      <c r="B950" s="10" t="s">
        <v>18</v>
      </c>
      <c r="C950" s="10" t="s">
        <v>35</v>
      </c>
      <c r="D950" s="17">
        <v>999.98</v>
      </c>
    </row>
    <row r="951" spans="1:4" x14ac:dyDescent="0.3">
      <c r="A951" s="12"/>
      <c r="B951" s="12"/>
      <c r="C951" s="14" t="s">
        <v>24</v>
      </c>
      <c r="D951" s="18">
        <v>898</v>
      </c>
    </row>
    <row r="952" spans="1:4" x14ac:dyDescent="0.3">
      <c r="A952" s="12"/>
      <c r="B952" s="12"/>
      <c r="C952" s="14" t="s">
        <v>16</v>
      </c>
      <c r="D952" s="18">
        <v>2899.99</v>
      </c>
    </row>
    <row r="953" spans="1:4" x14ac:dyDescent="0.3">
      <c r="A953" s="12"/>
      <c r="B953" s="10" t="s">
        <v>1916</v>
      </c>
      <c r="C953" s="11"/>
      <c r="D953" s="17">
        <v>4797.9699999999993</v>
      </c>
    </row>
    <row r="954" spans="1:4" x14ac:dyDescent="0.3">
      <c r="A954" s="10" t="s">
        <v>495</v>
      </c>
      <c r="B954" s="11"/>
      <c r="C954" s="11"/>
      <c r="D954" s="17">
        <v>4797.9699999999993</v>
      </c>
    </row>
    <row r="955" spans="1:4" x14ac:dyDescent="0.3">
      <c r="A955" s="10">
        <v>200</v>
      </c>
      <c r="B955" s="10" t="s">
        <v>18</v>
      </c>
      <c r="C955" s="10" t="s">
        <v>28</v>
      </c>
      <c r="D955" s="17">
        <v>539.98</v>
      </c>
    </row>
    <row r="956" spans="1:4" x14ac:dyDescent="0.3">
      <c r="A956" s="12"/>
      <c r="B956" s="12"/>
      <c r="C956" s="14" t="s">
        <v>33</v>
      </c>
      <c r="D956" s="18">
        <v>599.98</v>
      </c>
    </row>
    <row r="957" spans="1:4" x14ac:dyDescent="0.3">
      <c r="A957" s="12"/>
      <c r="B957" s="10" t="s">
        <v>1916</v>
      </c>
      <c r="C957" s="11"/>
      <c r="D957" s="17">
        <v>1139.96</v>
      </c>
    </row>
    <row r="958" spans="1:4" x14ac:dyDescent="0.3">
      <c r="A958" s="10" t="s">
        <v>496</v>
      </c>
      <c r="B958" s="11"/>
      <c r="C958" s="11"/>
      <c r="D958" s="17">
        <v>1139.96</v>
      </c>
    </row>
    <row r="959" spans="1:4" x14ac:dyDescent="0.3">
      <c r="A959" s="10">
        <v>201</v>
      </c>
      <c r="B959" s="10" t="s">
        <v>37</v>
      </c>
      <c r="C959" s="10" t="s">
        <v>28</v>
      </c>
      <c r="D959" s="17">
        <v>539.98</v>
      </c>
    </row>
    <row r="960" spans="1:4" x14ac:dyDescent="0.3">
      <c r="A960" s="12"/>
      <c r="B960" s="12"/>
      <c r="C960" s="14" t="s">
        <v>25</v>
      </c>
      <c r="D960" s="18">
        <v>549.99</v>
      </c>
    </row>
    <row r="961" spans="1:4" x14ac:dyDescent="0.3">
      <c r="A961" s="12"/>
      <c r="B961" s="12"/>
      <c r="C961" s="14" t="s">
        <v>23</v>
      </c>
      <c r="D961" s="18">
        <v>429</v>
      </c>
    </row>
    <row r="962" spans="1:4" x14ac:dyDescent="0.3">
      <c r="A962" s="12"/>
      <c r="B962" s="12"/>
      <c r="C962" s="14" t="s">
        <v>29</v>
      </c>
      <c r="D962" s="18">
        <v>3999.99</v>
      </c>
    </row>
    <row r="963" spans="1:4" x14ac:dyDescent="0.3">
      <c r="A963" s="12"/>
      <c r="B963" s="10" t="s">
        <v>1917</v>
      </c>
      <c r="C963" s="11"/>
      <c r="D963" s="17">
        <v>5518.96</v>
      </c>
    </row>
    <row r="964" spans="1:4" x14ac:dyDescent="0.3">
      <c r="A964" s="10" t="s">
        <v>497</v>
      </c>
      <c r="B964" s="11"/>
      <c r="C964" s="11"/>
      <c r="D964" s="17">
        <v>5518.96</v>
      </c>
    </row>
    <row r="965" spans="1:4" x14ac:dyDescent="0.3">
      <c r="A965" s="10">
        <v>202</v>
      </c>
      <c r="B965" s="10" t="s">
        <v>11</v>
      </c>
      <c r="C965" s="10" t="s">
        <v>27</v>
      </c>
      <c r="D965" s="17">
        <v>1059.98</v>
      </c>
    </row>
    <row r="966" spans="1:4" x14ac:dyDescent="0.3">
      <c r="A966" s="12"/>
      <c r="B966" s="12"/>
      <c r="C966" s="14" t="s">
        <v>35</v>
      </c>
      <c r="D966" s="18">
        <v>999.98</v>
      </c>
    </row>
    <row r="967" spans="1:4" x14ac:dyDescent="0.3">
      <c r="A967" s="12"/>
      <c r="B967" s="12"/>
      <c r="C967" s="14" t="s">
        <v>23</v>
      </c>
      <c r="D967" s="18">
        <v>429</v>
      </c>
    </row>
    <row r="968" spans="1:4" x14ac:dyDescent="0.3">
      <c r="A968" s="12"/>
      <c r="B968" s="12"/>
      <c r="C968" s="14" t="s">
        <v>12</v>
      </c>
      <c r="D968" s="18">
        <v>1799.99</v>
      </c>
    </row>
    <row r="969" spans="1:4" x14ac:dyDescent="0.3">
      <c r="A969" s="12"/>
      <c r="B969" s="10" t="s">
        <v>1915</v>
      </c>
      <c r="C969" s="11"/>
      <c r="D969" s="17">
        <v>4288.95</v>
      </c>
    </row>
    <row r="970" spans="1:4" x14ac:dyDescent="0.3">
      <c r="A970" s="10" t="s">
        <v>498</v>
      </c>
      <c r="B970" s="11"/>
      <c r="C970" s="11"/>
      <c r="D970" s="17">
        <v>4288.95</v>
      </c>
    </row>
    <row r="971" spans="1:4" x14ac:dyDescent="0.3">
      <c r="A971" s="10">
        <v>203</v>
      </c>
      <c r="B971" s="10" t="s">
        <v>37</v>
      </c>
      <c r="C971" s="10" t="s">
        <v>14</v>
      </c>
      <c r="D971" s="17">
        <v>599.99</v>
      </c>
    </row>
    <row r="972" spans="1:4" x14ac:dyDescent="0.3">
      <c r="A972" s="12"/>
      <c r="B972" s="12"/>
      <c r="C972" s="14" t="s">
        <v>23</v>
      </c>
      <c r="D972" s="18">
        <v>858</v>
      </c>
    </row>
    <row r="973" spans="1:4" x14ac:dyDescent="0.3">
      <c r="A973" s="12"/>
      <c r="B973" s="12"/>
      <c r="C973" s="14" t="s">
        <v>36</v>
      </c>
      <c r="D973" s="18">
        <v>898</v>
      </c>
    </row>
    <row r="974" spans="1:4" x14ac:dyDescent="0.3">
      <c r="A974" s="12"/>
      <c r="B974" s="12"/>
      <c r="C974" s="14" t="s">
        <v>20</v>
      </c>
      <c r="D974" s="18">
        <v>1999.98</v>
      </c>
    </row>
    <row r="975" spans="1:4" x14ac:dyDescent="0.3">
      <c r="A975" s="12"/>
      <c r="B975" s="10" t="s">
        <v>1917</v>
      </c>
      <c r="C975" s="11"/>
      <c r="D975" s="17">
        <v>4355.9699999999993</v>
      </c>
    </row>
    <row r="976" spans="1:4" x14ac:dyDescent="0.3">
      <c r="A976" s="10" t="s">
        <v>499</v>
      </c>
      <c r="B976" s="11"/>
      <c r="C976" s="11"/>
      <c r="D976" s="17">
        <v>4355.9699999999993</v>
      </c>
    </row>
    <row r="977" spans="1:4" x14ac:dyDescent="0.3">
      <c r="A977" s="10">
        <v>204</v>
      </c>
      <c r="B977" s="10" t="s">
        <v>18</v>
      </c>
      <c r="C977" s="10" t="s">
        <v>23</v>
      </c>
      <c r="D977" s="17">
        <v>858</v>
      </c>
    </row>
    <row r="978" spans="1:4" x14ac:dyDescent="0.3">
      <c r="A978" s="12"/>
      <c r="B978" s="12"/>
      <c r="C978" s="14" t="s">
        <v>32</v>
      </c>
      <c r="D978" s="18">
        <v>939.98</v>
      </c>
    </row>
    <row r="979" spans="1:4" x14ac:dyDescent="0.3">
      <c r="A979" s="12"/>
      <c r="B979" s="10" t="s">
        <v>1916</v>
      </c>
      <c r="C979" s="11"/>
      <c r="D979" s="17">
        <v>1797.98</v>
      </c>
    </row>
    <row r="980" spans="1:4" x14ac:dyDescent="0.3">
      <c r="A980" s="10" t="s">
        <v>500</v>
      </c>
      <c r="B980" s="11"/>
      <c r="C980" s="11"/>
      <c r="D980" s="17">
        <v>1797.98</v>
      </c>
    </row>
    <row r="981" spans="1:4" x14ac:dyDescent="0.3">
      <c r="A981" s="10">
        <v>205</v>
      </c>
      <c r="B981" s="10" t="s">
        <v>18</v>
      </c>
      <c r="C981" s="10" t="s">
        <v>28</v>
      </c>
      <c r="D981" s="17">
        <v>539.98</v>
      </c>
    </row>
    <row r="982" spans="1:4" x14ac:dyDescent="0.3">
      <c r="A982" s="12"/>
      <c r="B982" s="12"/>
      <c r="C982" s="14" t="s">
        <v>25</v>
      </c>
      <c r="D982" s="18">
        <v>1099.98</v>
      </c>
    </row>
    <row r="983" spans="1:4" x14ac:dyDescent="0.3">
      <c r="A983" s="12"/>
      <c r="B983" s="10" t="s">
        <v>1916</v>
      </c>
      <c r="C983" s="11"/>
      <c r="D983" s="17">
        <v>1639.96</v>
      </c>
    </row>
    <row r="984" spans="1:4" x14ac:dyDescent="0.3">
      <c r="A984" s="10" t="s">
        <v>501</v>
      </c>
      <c r="B984" s="11"/>
      <c r="C984" s="11"/>
      <c r="D984" s="17">
        <v>1639.96</v>
      </c>
    </row>
    <row r="985" spans="1:4" x14ac:dyDescent="0.3">
      <c r="A985" s="10">
        <v>206</v>
      </c>
      <c r="B985" s="10" t="s">
        <v>37</v>
      </c>
      <c r="C985" s="10" t="s">
        <v>35</v>
      </c>
      <c r="D985" s="17">
        <v>499.99</v>
      </c>
    </row>
    <row r="986" spans="1:4" x14ac:dyDescent="0.3">
      <c r="A986" s="12"/>
      <c r="B986" s="12"/>
      <c r="C986" s="14" t="s">
        <v>10</v>
      </c>
      <c r="D986" s="18">
        <v>599.99</v>
      </c>
    </row>
    <row r="987" spans="1:4" x14ac:dyDescent="0.3">
      <c r="A987" s="12"/>
      <c r="B987" s="10" t="s">
        <v>1917</v>
      </c>
      <c r="C987" s="11"/>
      <c r="D987" s="17">
        <v>1099.98</v>
      </c>
    </row>
    <row r="988" spans="1:4" x14ac:dyDescent="0.3">
      <c r="A988" s="10" t="s">
        <v>502</v>
      </c>
      <c r="B988" s="11"/>
      <c r="C988" s="11"/>
      <c r="D988" s="17">
        <v>1099.98</v>
      </c>
    </row>
    <row r="989" spans="1:4" x14ac:dyDescent="0.3">
      <c r="A989" s="10">
        <v>207</v>
      </c>
      <c r="B989" s="10" t="s">
        <v>18</v>
      </c>
      <c r="C989" s="10" t="s">
        <v>25</v>
      </c>
      <c r="D989" s="17">
        <v>1099.98</v>
      </c>
    </row>
    <row r="990" spans="1:4" x14ac:dyDescent="0.3">
      <c r="A990" s="12"/>
      <c r="B990" s="12"/>
      <c r="C990" s="14" t="s">
        <v>34</v>
      </c>
      <c r="D990" s="18">
        <v>1320.99</v>
      </c>
    </row>
    <row r="991" spans="1:4" x14ac:dyDescent="0.3">
      <c r="A991" s="12"/>
      <c r="B991" s="12"/>
      <c r="C991" s="14" t="s">
        <v>30</v>
      </c>
      <c r="D991" s="18">
        <v>3361.98</v>
      </c>
    </row>
    <row r="992" spans="1:4" x14ac:dyDescent="0.3">
      <c r="A992" s="12"/>
      <c r="B992" s="12"/>
      <c r="C992" s="14" t="s">
        <v>29</v>
      </c>
      <c r="D992" s="18">
        <v>7999.98</v>
      </c>
    </row>
    <row r="993" spans="1:4" x14ac:dyDescent="0.3">
      <c r="A993" s="12"/>
      <c r="B993" s="10" t="s">
        <v>1916</v>
      </c>
      <c r="C993" s="11"/>
      <c r="D993" s="17">
        <v>13782.93</v>
      </c>
    </row>
    <row r="994" spans="1:4" x14ac:dyDescent="0.3">
      <c r="A994" s="10" t="s">
        <v>503</v>
      </c>
      <c r="B994" s="11"/>
      <c r="C994" s="11"/>
      <c r="D994" s="17">
        <v>13782.93</v>
      </c>
    </row>
    <row r="995" spans="1:4" x14ac:dyDescent="0.3">
      <c r="A995" s="10">
        <v>208</v>
      </c>
      <c r="B995" s="10" t="s">
        <v>18</v>
      </c>
      <c r="C995" s="10" t="s">
        <v>25</v>
      </c>
      <c r="D995" s="17">
        <v>549.99</v>
      </c>
    </row>
    <row r="996" spans="1:4" x14ac:dyDescent="0.3">
      <c r="A996" s="12"/>
      <c r="B996" s="12"/>
      <c r="C996" s="14" t="s">
        <v>32</v>
      </c>
      <c r="D996" s="18">
        <v>939.98</v>
      </c>
    </row>
    <row r="997" spans="1:4" x14ac:dyDescent="0.3">
      <c r="A997" s="12"/>
      <c r="B997" s="12"/>
      <c r="C997" s="14" t="s">
        <v>13</v>
      </c>
      <c r="D997" s="18">
        <v>3098</v>
      </c>
    </row>
    <row r="998" spans="1:4" x14ac:dyDescent="0.3">
      <c r="A998" s="12"/>
      <c r="B998" s="12"/>
      <c r="C998" s="14" t="s">
        <v>20</v>
      </c>
      <c r="D998" s="18">
        <v>999.99</v>
      </c>
    </row>
    <row r="999" spans="1:4" x14ac:dyDescent="0.3">
      <c r="A999" s="12"/>
      <c r="B999" s="12"/>
      <c r="C999" s="14" t="s">
        <v>16</v>
      </c>
      <c r="D999" s="18">
        <v>5799.98</v>
      </c>
    </row>
    <row r="1000" spans="1:4" x14ac:dyDescent="0.3">
      <c r="A1000" s="12"/>
      <c r="B1000" s="10" t="s">
        <v>1916</v>
      </c>
      <c r="C1000" s="11"/>
      <c r="D1000" s="17">
        <v>11387.939999999999</v>
      </c>
    </row>
    <row r="1001" spans="1:4" x14ac:dyDescent="0.3">
      <c r="A1001" s="10" t="s">
        <v>504</v>
      </c>
      <c r="B1001" s="11"/>
      <c r="C1001" s="11"/>
      <c r="D1001" s="17">
        <v>11387.939999999999</v>
      </c>
    </row>
    <row r="1002" spans="1:4" x14ac:dyDescent="0.3">
      <c r="A1002" s="10">
        <v>209</v>
      </c>
      <c r="B1002" s="10" t="s">
        <v>18</v>
      </c>
      <c r="C1002" s="10" t="s">
        <v>31</v>
      </c>
      <c r="D1002" s="17">
        <v>269.99</v>
      </c>
    </row>
    <row r="1003" spans="1:4" x14ac:dyDescent="0.3">
      <c r="A1003" s="12"/>
      <c r="B1003" s="10" t="s">
        <v>1916</v>
      </c>
      <c r="C1003" s="11"/>
      <c r="D1003" s="17">
        <v>269.99</v>
      </c>
    </row>
    <row r="1004" spans="1:4" x14ac:dyDescent="0.3">
      <c r="A1004" s="10" t="s">
        <v>505</v>
      </c>
      <c r="B1004" s="11"/>
      <c r="C1004" s="11"/>
      <c r="D1004" s="17">
        <v>269.99</v>
      </c>
    </row>
    <row r="1005" spans="1:4" x14ac:dyDescent="0.3">
      <c r="A1005" s="10">
        <v>210</v>
      </c>
      <c r="B1005" s="10" t="s">
        <v>18</v>
      </c>
      <c r="C1005" s="10" t="s">
        <v>31</v>
      </c>
      <c r="D1005" s="17">
        <v>539.98</v>
      </c>
    </row>
    <row r="1006" spans="1:4" x14ac:dyDescent="0.3">
      <c r="A1006" s="12"/>
      <c r="B1006" s="12"/>
      <c r="C1006" s="14" t="s">
        <v>28</v>
      </c>
      <c r="D1006" s="18">
        <v>269.99</v>
      </c>
    </row>
    <row r="1007" spans="1:4" x14ac:dyDescent="0.3">
      <c r="A1007" s="12"/>
      <c r="B1007" s="10" t="s">
        <v>1916</v>
      </c>
      <c r="C1007" s="11"/>
      <c r="D1007" s="17">
        <v>809.97</v>
      </c>
    </row>
    <row r="1008" spans="1:4" x14ac:dyDescent="0.3">
      <c r="A1008" s="10" t="s">
        <v>506</v>
      </c>
      <c r="B1008" s="11"/>
      <c r="C1008" s="11"/>
      <c r="D1008" s="17">
        <v>809.97</v>
      </c>
    </row>
    <row r="1009" spans="1:4" x14ac:dyDescent="0.3">
      <c r="A1009" s="10">
        <v>211</v>
      </c>
      <c r="B1009" s="10" t="s">
        <v>18</v>
      </c>
      <c r="C1009" s="10" t="s">
        <v>22</v>
      </c>
      <c r="D1009" s="17">
        <v>1499.98</v>
      </c>
    </row>
    <row r="1010" spans="1:4" x14ac:dyDescent="0.3">
      <c r="A1010" s="12"/>
      <c r="B1010" s="12"/>
      <c r="C1010" s="14" t="s">
        <v>13</v>
      </c>
      <c r="D1010" s="18">
        <v>1549</v>
      </c>
    </row>
    <row r="1011" spans="1:4" x14ac:dyDescent="0.3">
      <c r="A1011" s="12"/>
      <c r="B1011" s="10" t="s">
        <v>1916</v>
      </c>
      <c r="C1011" s="11"/>
      <c r="D1011" s="17">
        <v>3048.98</v>
      </c>
    </row>
    <row r="1012" spans="1:4" x14ac:dyDescent="0.3">
      <c r="A1012" s="10" t="s">
        <v>507</v>
      </c>
      <c r="B1012" s="11"/>
      <c r="C1012" s="11"/>
      <c r="D1012" s="17">
        <v>3048.98</v>
      </c>
    </row>
    <row r="1013" spans="1:4" x14ac:dyDescent="0.3">
      <c r="A1013" s="10">
        <v>212</v>
      </c>
      <c r="B1013" s="10" t="s">
        <v>18</v>
      </c>
      <c r="C1013" s="10" t="s">
        <v>25</v>
      </c>
      <c r="D1013" s="17">
        <v>1099.98</v>
      </c>
    </row>
    <row r="1014" spans="1:4" x14ac:dyDescent="0.3">
      <c r="A1014" s="12"/>
      <c r="B1014" s="12"/>
      <c r="C1014" s="14" t="s">
        <v>14</v>
      </c>
      <c r="D1014" s="18">
        <v>1199.98</v>
      </c>
    </row>
    <row r="1015" spans="1:4" x14ac:dyDescent="0.3">
      <c r="A1015" s="12"/>
      <c r="B1015" s="12"/>
      <c r="C1015" s="14" t="s">
        <v>36</v>
      </c>
      <c r="D1015" s="18">
        <v>449</v>
      </c>
    </row>
    <row r="1016" spans="1:4" x14ac:dyDescent="0.3">
      <c r="A1016" s="12"/>
      <c r="B1016" s="12"/>
      <c r="C1016" s="14" t="s">
        <v>29</v>
      </c>
      <c r="D1016" s="18">
        <v>3999.99</v>
      </c>
    </row>
    <row r="1017" spans="1:4" x14ac:dyDescent="0.3">
      <c r="A1017" s="12"/>
      <c r="B1017" s="10" t="s">
        <v>1916</v>
      </c>
      <c r="C1017" s="11"/>
      <c r="D1017" s="17">
        <v>6748.95</v>
      </c>
    </row>
    <row r="1018" spans="1:4" x14ac:dyDescent="0.3">
      <c r="A1018" s="10" t="s">
        <v>508</v>
      </c>
      <c r="B1018" s="11"/>
      <c r="C1018" s="11"/>
      <c r="D1018" s="17">
        <v>6748.95</v>
      </c>
    </row>
    <row r="1019" spans="1:4" x14ac:dyDescent="0.3">
      <c r="A1019" s="10">
        <v>213</v>
      </c>
      <c r="B1019" s="10" t="s">
        <v>37</v>
      </c>
      <c r="C1019" s="10" t="s">
        <v>31</v>
      </c>
      <c r="D1019" s="17">
        <v>269.99</v>
      </c>
    </row>
    <row r="1020" spans="1:4" x14ac:dyDescent="0.3">
      <c r="A1020" s="12"/>
      <c r="B1020" s="10" t="s">
        <v>1917</v>
      </c>
      <c r="C1020" s="11"/>
      <c r="D1020" s="17">
        <v>269.99</v>
      </c>
    </row>
    <row r="1021" spans="1:4" x14ac:dyDescent="0.3">
      <c r="A1021" s="10" t="s">
        <v>509</v>
      </c>
      <c r="B1021" s="11"/>
      <c r="C1021" s="11"/>
      <c r="D1021" s="17">
        <v>269.99</v>
      </c>
    </row>
    <row r="1022" spans="1:4" x14ac:dyDescent="0.3">
      <c r="A1022" s="10">
        <v>214</v>
      </c>
      <c r="B1022" s="10" t="s">
        <v>18</v>
      </c>
      <c r="C1022" s="10" t="s">
        <v>31</v>
      </c>
      <c r="D1022" s="17">
        <v>269.99</v>
      </c>
    </row>
    <row r="1023" spans="1:4" x14ac:dyDescent="0.3">
      <c r="A1023" s="12"/>
      <c r="B1023" s="10" t="s">
        <v>1916</v>
      </c>
      <c r="C1023" s="11"/>
      <c r="D1023" s="17">
        <v>269.99</v>
      </c>
    </row>
    <row r="1024" spans="1:4" x14ac:dyDescent="0.3">
      <c r="A1024" s="10" t="s">
        <v>510</v>
      </c>
      <c r="B1024" s="11"/>
      <c r="C1024" s="11"/>
      <c r="D1024" s="17">
        <v>269.99</v>
      </c>
    </row>
    <row r="1025" spans="1:4" x14ac:dyDescent="0.3">
      <c r="A1025" s="10">
        <v>215</v>
      </c>
      <c r="B1025" s="10" t="s">
        <v>18</v>
      </c>
      <c r="C1025" s="10" t="s">
        <v>25</v>
      </c>
      <c r="D1025" s="17">
        <v>1099.98</v>
      </c>
    </row>
    <row r="1026" spans="1:4" x14ac:dyDescent="0.3">
      <c r="A1026" s="12"/>
      <c r="B1026" s="12"/>
      <c r="C1026" s="14" t="s">
        <v>36</v>
      </c>
      <c r="D1026" s="18">
        <v>449</v>
      </c>
    </row>
    <row r="1027" spans="1:4" x14ac:dyDescent="0.3">
      <c r="A1027" s="12"/>
      <c r="B1027" s="10" t="s">
        <v>1916</v>
      </c>
      <c r="C1027" s="11"/>
      <c r="D1027" s="17">
        <v>1548.98</v>
      </c>
    </row>
    <row r="1028" spans="1:4" x14ac:dyDescent="0.3">
      <c r="A1028" s="10" t="s">
        <v>511</v>
      </c>
      <c r="B1028" s="11"/>
      <c r="C1028" s="11"/>
      <c r="D1028" s="17">
        <v>1548.98</v>
      </c>
    </row>
    <row r="1029" spans="1:4" x14ac:dyDescent="0.3">
      <c r="A1029" s="10">
        <v>216</v>
      </c>
      <c r="B1029" s="10" t="s">
        <v>11</v>
      </c>
      <c r="C1029" s="10" t="s">
        <v>28</v>
      </c>
      <c r="D1029" s="17">
        <v>539.98</v>
      </c>
    </row>
    <row r="1030" spans="1:4" x14ac:dyDescent="0.3">
      <c r="A1030" s="12"/>
      <c r="B1030" s="12"/>
      <c r="C1030" s="14" t="s">
        <v>14</v>
      </c>
      <c r="D1030" s="18">
        <v>1199.98</v>
      </c>
    </row>
    <row r="1031" spans="1:4" x14ac:dyDescent="0.3">
      <c r="A1031" s="12"/>
      <c r="B1031" s="10" t="s">
        <v>1915</v>
      </c>
      <c r="C1031" s="11"/>
      <c r="D1031" s="17">
        <v>1739.96</v>
      </c>
    </row>
    <row r="1032" spans="1:4" x14ac:dyDescent="0.3">
      <c r="A1032" s="10" t="s">
        <v>512</v>
      </c>
      <c r="B1032" s="11"/>
      <c r="C1032" s="11"/>
      <c r="D1032" s="17">
        <v>1739.96</v>
      </c>
    </row>
    <row r="1033" spans="1:4" x14ac:dyDescent="0.3">
      <c r="A1033" s="10">
        <v>217</v>
      </c>
      <c r="B1033" s="10" t="s">
        <v>18</v>
      </c>
      <c r="C1033" s="10" t="s">
        <v>23</v>
      </c>
      <c r="D1033" s="17">
        <v>429</v>
      </c>
    </row>
    <row r="1034" spans="1:4" x14ac:dyDescent="0.3">
      <c r="A1034" s="12"/>
      <c r="B1034" s="12"/>
      <c r="C1034" s="14" t="s">
        <v>24</v>
      </c>
      <c r="D1034" s="18">
        <v>449</v>
      </c>
    </row>
    <row r="1035" spans="1:4" x14ac:dyDescent="0.3">
      <c r="A1035" s="12"/>
      <c r="B1035" s="12"/>
      <c r="C1035" s="14" t="s">
        <v>13</v>
      </c>
      <c r="D1035" s="18">
        <v>3098</v>
      </c>
    </row>
    <row r="1036" spans="1:4" x14ac:dyDescent="0.3">
      <c r="A1036" s="12"/>
      <c r="B1036" s="10" t="s">
        <v>1916</v>
      </c>
      <c r="C1036" s="11"/>
      <c r="D1036" s="17">
        <v>3976</v>
      </c>
    </row>
    <row r="1037" spans="1:4" x14ac:dyDescent="0.3">
      <c r="A1037" s="10" t="s">
        <v>513</v>
      </c>
      <c r="B1037" s="11"/>
      <c r="C1037" s="11"/>
      <c r="D1037" s="17">
        <v>3976</v>
      </c>
    </row>
    <row r="1038" spans="1:4" x14ac:dyDescent="0.3">
      <c r="A1038" s="10">
        <v>218</v>
      </c>
      <c r="B1038" s="10" t="s">
        <v>18</v>
      </c>
      <c r="C1038" s="10" t="s">
        <v>31</v>
      </c>
      <c r="D1038" s="17">
        <v>269.99</v>
      </c>
    </row>
    <row r="1039" spans="1:4" x14ac:dyDescent="0.3">
      <c r="A1039" s="12"/>
      <c r="B1039" s="12"/>
      <c r="C1039" s="14" t="s">
        <v>25</v>
      </c>
      <c r="D1039" s="18">
        <v>549.99</v>
      </c>
    </row>
    <row r="1040" spans="1:4" x14ac:dyDescent="0.3">
      <c r="A1040" s="12"/>
      <c r="B1040" s="12"/>
      <c r="C1040" s="14" t="s">
        <v>22</v>
      </c>
      <c r="D1040" s="18">
        <v>1499.98</v>
      </c>
    </row>
    <row r="1041" spans="1:4" x14ac:dyDescent="0.3">
      <c r="A1041" s="12"/>
      <c r="B1041" s="10" t="s">
        <v>1916</v>
      </c>
      <c r="C1041" s="11"/>
      <c r="D1041" s="17">
        <v>2319.96</v>
      </c>
    </row>
    <row r="1042" spans="1:4" x14ac:dyDescent="0.3">
      <c r="A1042" s="10" t="s">
        <v>514</v>
      </c>
      <c r="B1042" s="11"/>
      <c r="C1042" s="11"/>
      <c r="D1042" s="17">
        <v>2319.96</v>
      </c>
    </row>
    <row r="1043" spans="1:4" x14ac:dyDescent="0.3">
      <c r="A1043" s="10">
        <v>219</v>
      </c>
      <c r="B1043" s="10" t="s">
        <v>18</v>
      </c>
      <c r="C1043" s="10" t="s">
        <v>14</v>
      </c>
      <c r="D1043" s="17">
        <v>599.99</v>
      </c>
    </row>
    <row r="1044" spans="1:4" x14ac:dyDescent="0.3">
      <c r="A1044" s="12"/>
      <c r="B1044" s="12"/>
      <c r="C1044" s="14" t="s">
        <v>34</v>
      </c>
      <c r="D1044" s="18">
        <v>1320.99</v>
      </c>
    </row>
    <row r="1045" spans="1:4" x14ac:dyDescent="0.3">
      <c r="A1045" s="12"/>
      <c r="B1045" s="10" t="s">
        <v>1916</v>
      </c>
      <c r="C1045" s="11"/>
      <c r="D1045" s="17">
        <v>1920.98</v>
      </c>
    </row>
    <row r="1046" spans="1:4" x14ac:dyDescent="0.3">
      <c r="A1046" s="10" t="s">
        <v>515</v>
      </c>
      <c r="B1046" s="11"/>
      <c r="C1046" s="11"/>
      <c r="D1046" s="17">
        <v>1920.98</v>
      </c>
    </row>
    <row r="1047" spans="1:4" x14ac:dyDescent="0.3">
      <c r="A1047" s="10">
        <v>220</v>
      </c>
      <c r="B1047" s="10" t="s">
        <v>18</v>
      </c>
      <c r="C1047" s="10" t="s">
        <v>28</v>
      </c>
      <c r="D1047" s="17">
        <v>539.98</v>
      </c>
    </row>
    <row r="1048" spans="1:4" x14ac:dyDescent="0.3">
      <c r="A1048" s="12"/>
      <c r="B1048" s="12"/>
      <c r="C1048" s="14" t="s">
        <v>35</v>
      </c>
      <c r="D1048" s="18">
        <v>499.99</v>
      </c>
    </row>
    <row r="1049" spans="1:4" x14ac:dyDescent="0.3">
      <c r="A1049" s="12"/>
      <c r="B1049" s="12"/>
      <c r="C1049" s="14" t="s">
        <v>32</v>
      </c>
      <c r="D1049" s="18">
        <v>939.98</v>
      </c>
    </row>
    <row r="1050" spans="1:4" x14ac:dyDescent="0.3">
      <c r="A1050" s="12"/>
      <c r="B1050" s="12"/>
      <c r="C1050" s="14" t="s">
        <v>20</v>
      </c>
      <c r="D1050" s="18">
        <v>1999.98</v>
      </c>
    </row>
    <row r="1051" spans="1:4" x14ac:dyDescent="0.3">
      <c r="A1051" s="12"/>
      <c r="B1051" s="10" t="s">
        <v>1916</v>
      </c>
      <c r="C1051" s="11"/>
      <c r="D1051" s="17">
        <v>3979.9300000000003</v>
      </c>
    </row>
    <row r="1052" spans="1:4" x14ac:dyDescent="0.3">
      <c r="A1052" s="10" t="s">
        <v>516</v>
      </c>
      <c r="B1052" s="11"/>
      <c r="C1052" s="11"/>
      <c r="D1052" s="17">
        <v>3979.9300000000003</v>
      </c>
    </row>
    <row r="1053" spans="1:4" x14ac:dyDescent="0.3">
      <c r="A1053" s="10">
        <v>221</v>
      </c>
      <c r="B1053" s="10" t="s">
        <v>11</v>
      </c>
      <c r="C1053" s="10" t="s">
        <v>30</v>
      </c>
      <c r="D1053" s="17">
        <v>3361.98</v>
      </c>
    </row>
    <row r="1054" spans="1:4" x14ac:dyDescent="0.3">
      <c r="A1054" s="12"/>
      <c r="B1054" s="10" t="s">
        <v>1915</v>
      </c>
      <c r="C1054" s="11"/>
      <c r="D1054" s="17">
        <v>3361.98</v>
      </c>
    </row>
    <row r="1055" spans="1:4" x14ac:dyDescent="0.3">
      <c r="A1055" s="10" t="s">
        <v>517</v>
      </c>
      <c r="B1055" s="11"/>
      <c r="C1055" s="11"/>
      <c r="D1055" s="17">
        <v>3361.98</v>
      </c>
    </row>
    <row r="1056" spans="1:4" x14ac:dyDescent="0.3">
      <c r="A1056" s="10">
        <v>222</v>
      </c>
      <c r="B1056" s="10" t="s">
        <v>18</v>
      </c>
      <c r="C1056" s="10" t="s">
        <v>22</v>
      </c>
      <c r="D1056" s="17">
        <v>1499.98</v>
      </c>
    </row>
    <row r="1057" spans="1:4" x14ac:dyDescent="0.3">
      <c r="A1057" s="12"/>
      <c r="B1057" s="12"/>
      <c r="C1057" s="14" t="s">
        <v>13</v>
      </c>
      <c r="D1057" s="18">
        <v>1549</v>
      </c>
    </row>
    <row r="1058" spans="1:4" x14ac:dyDescent="0.3">
      <c r="A1058" s="12"/>
      <c r="B1058" s="10" t="s">
        <v>1916</v>
      </c>
      <c r="C1058" s="11"/>
      <c r="D1058" s="17">
        <v>3048.98</v>
      </c>
    </row>
    <row r="1059" spans="1:4" x14ac:dyDescent="0.3">
      <c r="A1059" s="10" t="s">
        <v>518</v>
      </c>
      <c r="B1059" s="11"/>
      <c r="C1059" s="11"/>
      <c r="D1059" s="17">
        <v>3048.98</v>
      </c>
    </row>
    <row r="1060" spans="1:4" x14ac:dyDescent="0.3">
      <c r="A1060" s="10">
        <v>223</v>
      </c>
      <c r="B1060" s="10" t="s">
        <v>18</v>
      </c>
      <c r="C1060" s="10" t="s">
        <v>31</v>
      </c>
      <c r="D1060" s="17">
        <v>539.98</v>
      </c>
    </row>
    <row r="1061" spans="1:4" x14ac:dyDescent="0.3">
      <c r="A1061" s="12"/>
      <c r="B1061" s="12"/>
      <c r="C1061" s="14" t="s">
        <v>27</v>
      </c>
      <c r="D1061" s="18">
        <v>529.99</v>
      </c>
    </row>
    <row r="1062" spans="1:4" x14ac:dyDescent="0.3">
      <c r="A1062" s="12"/>
      <c r="B1062" s="12"/>
      <c r="C1062" s="14" t="s">
        <v>10</v>
      </c>
      <c r="D1062" s="18">
        <v>599.99</v>
      </c>
    </row>
    <row r="1063" spans="1:4" x14ac:dyDescent="0.3">
      <c r="A1063" s="12"/>
      <c r="B1063" s="12"/>
      <c r="C1063" s="14" t="s">
        <v>34</v>
      </c>
      <c r="D1063" s="18">
        <v>1320.99</v>
      </c>
    </row>
    <row r="1064" spans="1:4" x14ac:dyDescent="0.3">
      <c r="A1064" s="12"/>
      <c r="B1064" s="12"/>
      <c r="C1064" s="14" t="s">
        <v>29</v>
      </c>
      <c r="D1064" s="18">
        <v>7999.98</v>
      </c>
    </row>
    <row r="1065" spans="1:4" x14ac:dyDescent="0.3">
      <c r="A1065" s="12"/>
      <c r="B1065" s="10" t="s">
        <v>1916</v>
      </c>
      <c r="C1065" s="11"/>
      <c r="D1065" s="17">
        <v>10990.93</v>
      </c>
    </row>
    <row r="1066" spans="1:4" x14ac:dyDescent="0.3">
      <c r="A1066" s="10" t="s">
        <v>519</v>
      </c>
      <c r="B1066" s="11"/>
      <c r="C1066" s="11"/>
      <c r="D1066" s="17">
        <v>10990.93</v>
      </c>
    </row>
    <row r="1067" spans="1:4" x14ac:dyDescent="0.3">
      <c r="A1067" s="10">
        <v>224</v>
      </c>
      <c r="B1067" s="10" t="s">
        <v>11</v>
      </c>
      <c r="C1067" s="10" t="s">
        <v>35</v>
      </c>
      <c r="D1067" s="17">
        <v>499.99</v>
      </c>
    </row>
    <row r="1068" spans="1:4" x14ac:dyDescent="0.3">
      <c r="A1068" s="12"/>
      <c r="B1068" s="12"/>
      <c r="C1068" s="14" t="s">
        <v>32</v>
      </c>
      <c r="D1068" s="18">
        <v>469.99</v>
      </c>
    </row>
    <row r="1069" spans="1:4" x14ac:dyDescent="0.3">
      <c r="A1069" s="12"/>
      <c r="B1069" s="12"/>
      <c r="C1069" s="14" t="s">
        <v>13</v>
      </c>
      <c r="D1069" s="18">
        <v>3098</v>
      </c>
    </row>
    <row r="1070" spans="1:4" x14ac:dyDescent="0.3">
      <c r="A1070" s="12"/>
      <c r="B1070" s="12"/>
      <c r="C1070" s="14" t="s">
        <v>30</v>
      </c>
      <c r="D1070" s="18">
        <v>3361.98</v>
      </c>
    </row>
    <row r="1071" spans="1:4" x14ac:dyDescent="0.3">
      <c r="A1071" s="12"/>
      <c r="B1071" s="10" t="s">
        <v>1915</v>
      </c>
      <c r="C1071" s="11"/>
      <c r="D1071" s="17">
        <v>7429.96</v>
      </c>
    </row>
    <row r="1072" spans="1:4" x14ac:dyDescent="0.3">
      <c r="A1072" s="10" t="s">
        <v>520</v>
      </c>
      <c r="B1072" s="11"/>
      <c r="C1072" s="11"/>
      <c r="D1072" s="17">
        <v>7429.96</v>
      </c>
    </row>
    <row r="1073" spans="1:4" x14ac:dyDescent="0.3">
      <c r="A1073" s="10">
        <v>225</v>
      </c>
      <c r="B1073" s="10" t="s">
        <v>11</v>
      </c>
      <c r="C1073" s="10" t="s">
        <v>31</v>
      </c>
      <c r="D1073" s="17">
        <v>269.99</v>
      </c>
    </row>
    <row r="1074" spans="1:4" x14ac:dyDescent="0.3">
      <c r="A1074" s="12"/>
      <c r="B1074" s="12"/>
      <c r="C1074" s="14" t="s">
        <v>26</v>
      </c>
      <c r="D1074" s="18">
        <v>2999.99</v>
      </c>
    </row>
    <row r="1075" spans="1:4" x14ac:dyDescent="0.3">
      <c r="A1075" s="12"/>
      <c r="B1075" s="10" t="s">
        <v>1915</v>
      </c>
      <c r="C1075" s="11"/>
      <c r="D1075" s="17">
        <v>3269.9799999999996</v>
      </c>
    </row>
    <row r="1076" spans="1:4" x14ac:dyDescent="0.3">
      <c r="A1076" s="10" t="s">
        <v>521</v>
      </c>
      <c r="B1076" s="11"/>
      <c r="C1076" s="11"/>
      <c r="D1076" s="17">
        <v>3269.9799999999996</v>
      </c>
    </row>
    <row r="1077" spans="1:4" x14ac:dyDescent="0.3">
      <c r="A1077" s="10">
        <v>226</v>
      </c>
      <c r="B1077" s="10" t="s">
        <v>11</v>
      </c>
      <c r="C1077" s="10" t="s">
        <v>22</v>
      </c>
      <c r="D1077" s="17">
        <v>749.99</v>
      </c>
    </row>
    <row r="1078" spans="1:4" x14ac:dyDescent="0.3">
      <c r="A1078" s="12"/>
      <c r="B1078" s="10" t="s">
        <v>1915</v>
      </c>
      <c r="C1078" s="11"/>
      <c r="D1078" s="17">
        <v>749.99</v>
      </c>
    </row>
    <row r="1079" spans="1:4" x14ac:dyDescent="0.3">
      <c r="A1079" s="10" t="s">
        <v>522</v>
      </c>
      <c r="B1079" s="11"/>
      <c r="C1079" s="11"/>
      <c r="D1079" s="17">
        <v>749.99</v>
      </c>
    </row>
    <row r="1080" spans="1:4" x14ac:dyDescent="0.3">
      <c r="A1080" s="10">
        <v>227</v>
      </c>
      <c r="B1080" s="10" t="s">
        <v>18</v>
      </c>
      <c r="C1080" s="10" t="s">
        <v>27</v>
      </c>
      <c r="D1080" s="17">
        <v>1059.98</v>
      </c>
    </row>
    <row r="1081" spans="1:4" x14ac:dyDescent="0.3">
      <c r="A1081" s="12"/>
      <c r="B1081" s="12"/>
      <c r="C1081" s="14" t="s">
        <v>20</v>
      </c>
      <c r="D1081" s="18">
        <v>1999.98</v>
      </c>
    </row>
    <row r="1082" spans="1:4" x14ac:dyDescent="0.3">
      <c r="A1082" s="12"/>
      <c r="B1082" s="10" t="s">
        <v>1916</v>
      </c>
      <c r="C1082" s="11"/>
      <c r="D1082" s="17">
        <v>3059.96</v>
      </c>
    </row>
    <row r="1083" spans="1:4" x14ac:dyDescent="0.3">
      <c r="A1083" s="10" t="s">
        <v>523</v>
      </c>
      <c r="B1083" s="11"/>
      <c r="C1083" s="11"/>
      <c r="D1083" s="17">
        <v>3059.96</v>
      </c>
    </row>
    <row r="1084" spans="1:4" x14ac:dyDescent="0.3">
      <c r="A1084" s="10">
        <v>228</v>
      </c>
      <c r="B1084" s="10" t="s">
        <v>18</v>
      </c>
      <c r="C1084" s="10" t="s">
        <v>28</v>
      </c>
      <c r="D1084" s="17">
        <v>269.99</v>
      </c>
    </row>
    <row r="1085" spans="1:4" x14ac:dyDescent="0.3">
      <c r="A1085" s="12"/>
      <c r="B1085" s="12"/>
      <c r="C1085" s="14" t="s">
        <v>33</v>
      </c>
      <c r="D1085" s="18">
        <v>599.98</v>
      </c>
    </row>
    <row r="1086" spans="1:4" x14ac:dyDescent="0.3">
      <c r="A1086" s="12"/>
      <c r="B1086" s="12"/>
      <c r="C1086" s="14" t="s">
        <v>35</v>
      </c>
      <c r="D1086" s="18">
        <v>499.99</v>
      </c>
    </row>
    <row r="1087" spans="1:4" x14ac:dyDescent="0.3">
      <c r="A1087" s="12"/>
      <c r="B1087" s="12"/>
      <c r="C1087" s="14" t="s">
        <v>22</v>
      </c>
      <c r="D1087" s="18">
        <v>1499.98</v>
      </c>
    </row>
    <row r="1088" spans="1:4" x14ac:dyDescent="0.3">
      <c r="A1088" s="12"/>
      <c r="B1088" s="12"/>
      <c r="C1088" s="14" t="s">
        <v>16</v>
      </c>
      <c r="D1088" s="18">
        <v>2899.99</v>
      </c>
    </row>
    <row r="1089" spans="1:4" x14ac:dyDescent="0.3">
      <c r="A1089" s="12"/>
      <c r="B1089" s="10" t="s">
        <v>1916</v>
      </c>
      <c r="C1089" s="11"/>
      <c r="D1089" s="17">
        <v>5769.93</v>
      </c>
    </row>
    <row r="1090" spans="1:4" x14ac:dyDescent="0.3">
      <c r="A1090" s="10" t="s">
        <v>524</v>
      </c>
      <c r="B1090" s="11"/>
      <c r="C1090" s="11"/>
      <c r="D1090" s="17">
        <v>5769.93</v>
      </c>
    </row>
    <row r="1091" spans="1:4" x14ac:dyDescent="0.3">
      <c r="A1091" s="10">
        <v>229</v>
      </c>
      <c r="B1091" s="10" t="s">
        <v>18</v>
      </c>
      <c r="C1091" s="10" t="s">
        <v>35</v>
      </c>
      <c r="D1091" s="17">
        <v>999.98</v>
      </c>
    </row>
    <row r="1092" spans="1:4" x14ac:dyDescent="0.3">
      <c r="A1092" s="12"/>
      <c r="B1092" s="12"/>
      <c r="C1092" s="14" t="s">
        <v>34</v>
      </c>
      <c r="D1092" s="18">
        <v>2641.98</v>
      </c>
    </row>
    <row r="1093" spans="1:4" x14ac:dyDescent="0.3">
      <c r="A1093" s="12"/>
      <c r="B1093" s="12"/>
      <c r="C1093" s="14" t="s">
        <v>12</v>
      </c>
      <c r="D1093" s="18">
        <v>1799.99</v>
      </c>
    </row>
    <row r="1094" spans="1:4" x14ac:dyDescent="0.3">
      <c r="A1094" s="12"/>
      <c r="B1094" s="10" t="s">
        <v>1916</v>
      </c>
      <c r="C1094" s="11"/>
      <c r="D1094" s="17">
        <v>5441.95</v>
      </c>
    </row>
    <row r="1095" spans="1:4" x14ac:dyDescent="0.3">
      <c r="A1095" s="10" t="s">
        <v>525</v>
      </c>
      <c r="B1095" s="11"/>
      <c r="C1095" s="11"/>
      <c r="D1095" s="17">
        <v>5441.95</v>
      </c>
    </row>
    <row r="1096" spans="1:4" x14ac:dyDescent="0.3">
      <c r="A1096" s="10">
        <v>230</v>
      </c>
      <c r="B1096" s="10" t="s">
        <v>18</v>
      </c>
      <c r="C1096" s="10" t="s">
        <v>30</v>
      </c>
      <c r="D1096" s="17">
        <v>3361.98</v>
      </c>
    </row>
    <row r="1097" spans="1:4" x14ac:dyDescent="0.3">
      <c r="A1097" s="12"/>
      <c r="B1097" s="10" t="s">
        <v>1916</v>
      </c>
      <c r="C1097" s="11"/>
      <c r="D1097" s="17">
        <v>3361.98</v>
      </c>
    </row>
    <row r="1098" spans="1:4" x14ac:dyDescent="0.3">
      <c r="A1098" s="10" t="s">
        <v>526</v>
      </c>
      <c r="B1098" s="11"/>
      <c r="C1098" s="11"/>
      <c r="D1098" s="17">
        <v>3361.98</v>
      </c>
    </row>
    <row r="1099" spans="1:4" x14ac:dyDescent="0.3">
      <c r="A1099" s="10">
        <v>231</v>
      </c>
      <c r="B1099" s="10" t="s">
        <v>18</v>
      </c>
      <c r="C1099" s="10" t="s">
        <v>28</v>
      </c>
      <c r="D1099" s="17">
        <v>539.98</v>
      </c>
    </row>
    <row r="1100" spans="1:4" x14ac:dyDescent="0.3">
      <c r="A1100" s="12"/>
      <c r="B1100" s="12"/>
      <c r="C1100" s="14" t="s">
        <v>34</v>
      </c>
      <c r="D1100" s="18">
        <v>2641.98</v>
      </c>
    </row>
    <row r="1101" spans="1:4" x14ac:dyDescent="0.3">
      <c r="A1101" s="12"/>
      <c r="B1101" s="12"/>
      <c r="C1101" s="14" t="s">
        <v>12</v>
      </c>
      <c r="D1101" s="18">
        <v>3599.98</v>
      </c>
    </row>
    <row r="1102" spans="1:4" x14ac:dyDescent="0.3">
      <c r="A1102" s="12"/>
      <c r="B1102" s="10" t="s">
        <v>1916</v>
      </c>
      <c r="C1102" s="11"/>
      <c r="D1102" s="17">
        <v>6781.9400000000005</v>
      </c>
    </row>
    <row r="1103" spans="1:4" x14ac:dyDescent="0.3">
      <c r="A1103" s="10" t="s">
        <v>527</v>
      </c>
      <c r="B1103" s="11"/>
      <c r="C1103" s="11"/>
      <c r="D1103" s="17">
        <v>6781.9400000000005</v>
      </c>
    </row>
    <row r="1104" spans="1:4" x14ac:dyDescent="0.3">
      <c r="A1104" s="10">
        <v>232</v>
      </c>
      <c r="B1104" s="10" t="s">
        <v>11</v>
      </c>
      <c r="C1104" s="10" t="s">
        <v>14</v>
      </c>
      <c r="D1104" s="17">
        <v>1199.98</v>
      </c>
    </row>
    <row r="1105" spans="1:4" x14ac:dyDescent="0.3">
      <c r="A1105" s="12"/>
      <c r="B1105" s="12"/>
      <c r="C1105" s="14" t="s">
        <v>24</v>
      </c>
      <c r="D1105" s="18">
        <v>449</v>
      </c>
    </row>
    <row r="1106" spans="1:4" x14ac:dyDescent="0.3">
      <c r="A1106" s="12"/>
      <c r="B1106" s="12"/>
      <c r="C1106" s="14" t="s">
        <v>30</v>
      </c>
      <c r="D1106" s="18">
        <v>3361.98</v>
      </c>
    </row>
    <row r="1107" spans="1:4" x14ac:dyDescent="0.3">
      <c r="A1107" s="12"/>
      <c r="B1107" s="12"/>
      <c r="C1107" s="14" t="s">
        <v>12</v>
      </c>
      <c r="D1107" s="18">
        <v>3599.98</v>
      </c>
    </row>
    <row r="1108" spans="1:4" x14ac:dyDescent="0.3">
      <c r="A1108" s="12"/>
      <c r="B1108" s="10" t="s">
        <v>1915</v>
      </c>
      <c r="C1108" s="11"/>
      <c r="D1108" s="17">
        <v>8610.94</v>
      </c>
    </row>
    <row r="1109" spans="1:4" x14ac:dyDescent="0.3">
      <c r="A1109" s="10" t="s">
        <v>528</v>
      </c>
      <c r="B1109" s="11"/>
      <c r="C1109" s="11"/>
      <c r="D1109" s="17">
        <v>8610.94</v>
      </c>
    </row>
    <row r="1110" spans="1:4" x14ac:dyDescent="0.3">
      <c r="A1110" s="10">
        <v>233</v>
      </c>
      <c r="B1110" s="10" t="s">
        <v>18</v>
      </c>
      <c r="C1110" s="10" t="s">
        <v>28</v>
      </c>
      <c r="D1110" s="17">
        <v>269.99</v>
      </c>
    </row>
    <row r="1111" spans="1:4" x14ac:dyDescent="0.3">
      <c r="A1111" s="12"/>
      <c r="B1111" s="12"/>
      <c r="C1111" s="14" t="s">
        <v>27</v>
      </c>
      <c r="D1111" s="18">
        <v>1059.98</v>
      </c>
    </row>
    <row r="1112" spans="1:4" x14ac:dyDescent="0.3">
      <c r="A1112" s="12"/>
      <c r="B1112" s="12"/>
      <c r="C1112" s="14" t="s">
        <v>25</v>
      </c>
      <c r="D1112" s="18">
        <v>549.99</v>
      </c>
    </row>
    <row r="1113" spans="1:4" x14ac:dyDescent="0.3">
      <c r="A1113" s="12"/>
      <c r="B1113" s="12"/>
      <c r="C1113" s="14" t="s">
        <v>14</v>
      </c>
      <c r="D1113" s="18">
        <v>1199.98</v>
      </c>
    </row>
    <row r="1114" spans="1:4" x14ac:dyDescent="0.3">
      <c r="A1114" s="12"/>
      <c r="B1114" s="10" t="s">
        <v>1916</v>
      </c>
      <c r="C1114" s="11"/>
      <c r="D1114" s="17">
        <v>3079.94</v>
      </c>
    </row>
    <row r="1115" spans="1:4" x14ac:dyDescent="0.3">
      <c r="A1115" s="10" t="s">
        <v>529</v>
      </c>
      <c r="B1115" s="11"/>
      <c r="C1115" s="11"/>
      <c r="D1115" s="17">
        <v>3079.94</v>
      </c>
    </row>
    <row r="1116" spans="1:4" x14ac:dyDescent="0.3">
      <c r="A1116" s="10">
        <v>234</v>
      </c>
      <c r="B1116" s="10" t="s">
        <v>18</v>
      </c>
      <c r="C1116" s="10" t="s">
        <v>33</v>
      </c>
      <c r="D1116" s="17">
        <v>299.99</v>
      </c>
    </row>
    <row r="1117" spans="1:4" x14ac:dyDescent="0.3">
      <c r="A1117" s="12"/>
      <c r="B1117" s="12"/>
      <c r="C1117" s="14" t="s">
        <v>25</v>
      </c>
      <c r="D1117" s="18">
        <v>549.99</v>
      </c>
    </row>
    <row r="1118" spans="1:4" x14ac:dyDescent="0.3">
      <c r="A1118" s="12"/>
      <c r="B1118" s="12"/>
      <c r="C1118" s="14" t="s">
        <v>23</v>
      </c>
      <c r="D1118" s="18">
        <v>858</v>
      </c>
    </row>
    <row r="1119" spans="1:4" x14ac:dyDescent="0.3">
      <c r="A1119" s="12"/>
      <c r="B1119" s="12"/>
      <c r="C1119" s="14" t="s">
        <v>30</v>
      </c>
      <c r="D1119" s="18">
        <v>3361.98</v>
      </c>
    </row>
    <row r="1120" spans="1:4" x14ac:dyDescent="0.3">
      <c r="A1120" s="12"/>
      <c r="B1120" s="12"/>
      <c r="C1120" s="14" t="s">
        <v>29</v>
      </c>
      <c r="D1120" s="18">
        <v>3999.99</v>
      </c>
    </row>
    <row r="1121" spans="1:4" x14ac:dyDescent="0.3">
      <c r="A1121" s="12"/>
      <c r="B1121" s="10" t="s">
        <v>1916</v>
      </c>
      <c r="C1121" s="11"/>
      <c r="D1121" s="17">
        <v>9069.9500000000007</v>
      </c>
    </row>
    <row r="1122" spans="1:4" x14ac:dyDescent="0.3">
      <c r="A1122" s="10" t="s">
        <v>530</v>
      </c>
      <c r="B1122" s="11"/>
      <c r="C1122" s="11"/>
      <c r="D1122" s="17">
        <v>9069.9500000000007</v>
      </c>
    </row>
    <row r="1123" spans="1:4" x14ac:dyDescent="0.3">
      <c r="A1123" s="10">
        <v>235</v>
      </c>
      <c r="B1123" s="10" t="s">
        <v>18</v>
      </c>
      <c r="C1123" s="10" t="s">
        <v>31</v>
      </c>
      <c r="D1123" s="17">
        <v>539.98</v>
      </c>
    </row>
    <row r="1124" spans="1:4" x14ac:dyDescent="0.3">
      <c r="A1124" s="12"/>
      <c r="B1124" s="12"/>
      <c r="C1124" s="14" t="s">
        <v>32</v>
      </c>
      <c r="D1124" s="18">
        <v>469.99</v>
      </c>
    </row>
    <row r="1125" spans="1:4" x14ac:dyDescent="0.3">
      <c r="A1125" s="12"/>
      <c r="B1125" s="12"/>
      <c r="C1125" s="14" t="s">
        <v>29</v>
      </c>
      <c r="D1125" s="18">
        <v>7999.98</v>
      </c>
    </row>
    <row r="1126" spans="1:4" x14ac:dyDescent="0.3">
      <c r="A1126" s="12"/>
      <c r="B1126" s="10" t="s">
        <v>1916</v>
      </c>
      <c r="C1126" s="11"/>
      <c r="D1126" s="17">
        <v>9009.9499999999989</v>
      </c>
    </row>
    <row r="1127" spans="1:4" x14ac:dyDescent="0.3">
      <c r="A1127" s="10" t="s">
        <v>531</v>
      </c>
      <c r="B1127" s="11"/>
      <c r="C1127" s="11"/>
      <c r="D1127" s="17">
        <v>9009.9499999999989</v>
      </c>
    </row>
    <row r="1128" spans="1:4" x14ac:dyDescent="0.3">
      <c r="A1128" s="10">
        <v>236</v>
      </c>
      <c r="B1128" s="10" t="s">
        <v>18</v>
      </c>
      <c r="C1128" s="10" t="s">
        <v>22</v>
      </c>
      <c r="D1128" s="17">
        <v>1499.98</v>
      </c>
    </row>
    <row r="1129" spans="1:4" x14ac:dyDescent="0.3">
      <c r="A1129" s="12"/>
      <c r="B1129" s="12"/>
      <c r="C1129" s="14" t="s">
        <v>20</v>
      </c>
      <c r="D1129" s="18">
        <v>1999.98</v>
      </c>
    </row>
    <row r="1130" spans="1:4" x14ac:dyDescent="0.3">
      <c r="A1130" s="12"/>
      <c r="B1130" s="12"/>
      <c r="C1130" s="14" t="s">
        <v>16</v>
      </c>
      <c r="D1130" s="18">
        <v>5799.98</v>
      </c>
    </row>
    <row r="1131" spans="1:4" x14ac:dyDescent="0.3">
      <c r="A1131" s="12"/>
      <c r="B1131" s="10" t="s">
        <v>1916</v>
      </c>
      <c r="C1131" s="11"/>
      <c r="D1131" s="17">
        <v>9299.9399999999987</v>
      </c>
    </row>
    <row r="1132" spans="1:4" x14ac:dyDescent="0.3">
      <c r="A1132" s="10" t="s">
        <v>532</v>
      </c>
      <c r="B1132" s="11"/>
      <c r="C1132" s="11"/>
      <c r="D1132" s="17">
        <v>9299.9399999999987</v>
      </c>
    </row>
    <row r="1133" spans="1:4" x14ac:dyDescent="0.3">
      <c r="A1133" s="10">
        <v>237</v>
      </c>
      <c r="B1133" s="10" t="s">
        <v>18</v>
      </c>
      <c r="C1133" s="10" t="s">
        <v>27</v>
      </c>
      <c r="D1133" s="17">
        <v>529.99</v>
      </c>
    </row>
    <row r="1134" spans="1:4" x14ac:dyDescent="0.3">
      <c r="A1134" s="12"/>
      <c r="B1134" s="12"/>
      <c r="C1134" s="14" t="s">
        <v>25</v>
      </c>
      <c r="D1134" s="18">
        <v>549.99</v>
      </c>
    </row>
    <row r="1135" spans="1:4" x14ac:dyDescent="0.3">
      <c r="A1135" s="12"/>
      <c r="B1135" s="12"/>
      <c r="C1135" s="14" t="s">
        <v>14</v>
      </c>
      <c r="D1135" s="18">
        <v>599.99</v>
      </c>
    </row>
    <row r="1136" spans="1:4" x14ac:dyDescent="0.3">
      <c r="A1136" s="12"/>
      <c r="B1136" s="12"/>
      <c r="C1136" s="14" t="s">
        <v>10</v>
      </c>
      <c r="D1136" s="18">
        <v>1199.98</v>
      </c>
    </row>
    <row r="1137" spans="1:4" x14ac:dyDescent="0.3">
      <c r="A1137" s="12"/>
      <c r="B1137" s="10" t="s">
        <v>1916</v>
      </c>
      <c r="C1137" s="11"/>
      <c r="D1137" s="17">
        <v>2879.95</v>
      </c>
    </row>
    <row r="1138" spans="1:4" x14ac:dyDescent="0.3">
      <c r="A1138" s="10" t="s">
        <v>533</v>
      </c>
      <c r="B1138" s="11"/>
      <c r="C1138" s="11"/>
      <c r="D1138" s="17">
        <v>2879.95</v>
      </c>
    </row>
    <row r="1139" spans="1:4" x14ac:dyDescent="0.3">
      <c r="A1139" s="10">
        <v>238</v>
      </c>
      <c r="B1139" s="10" t="s">
        <v>18</v>
      </c>
      <c r="C1139" s="10" t="s">
        <v>31</v>
      </c>
      <c r="D1139" s="17">
        <v>539.98</v>
      </c>
    </row>
    <row r="1140" spans="1:4" x14ac:dyDescent="0.3">
      <c r="A1140" s="12"/>
      <c r="B1140" s="12"/>
      <c r="C1140" s="14" t="s">
        <v>28</v>
      </c>
      <c r="D1140" s="18">
        <v>539.98</v>
      </c>
    </row>
    <row r="1141" spans="1:4" x14ac:dyDescent="0.3">
      <c r="A1141" s="12"/>
      <c r="B1141" s="12"/>
      <c r="C1141" s="14" t="s">
        <v>35</v>
      </c>
      <c r="D1141" s="18">
        <v>499.99</v>
      </c>
    </row>
    <row r="1142" spans="1:4" x14ac:dyDescent="0.3">
      <c r="A1142" s="12"/>
      <c r="B1142" s="12"/>
      <c r="C1142" s="14" t="s">
        <v>10</v>
      </c>
      <c r="D1142" s="18">
        <v>1199.98</v>
      </c>
    </row>
    <row r="1143" spans="1:4" x14ac:dyDescent="0.3">
      <c r="A1143" s="12"/>
      <c r="B1143" s="12"/>
      <c r="C1143" s="14" t="s">
        <v>29</v>
      </c>
      <c r="D1143" s="18">
        <v>3999.99</v>
      </c>
    </row>
    <row r="1144" spans="1:4" x14ac:dyDescent="0.3">
      <c r="A1144" s="12"/>
      <c r="B1144" s="10" t="s">
        <v>1916</v>
      </c>
      <c r="C1144" s="11"/>
      <c r="D1144" s="17">
        <v>6779.92</v>
      </c>
    </row>
    <row r="1145" spans="1:4" x14ac:dyDescent="0.3">
      <c r="A1145" s="10" t="s">
        <v>534</v>
      </c>
      <c r="B1145" s="11"/>
      <c r="C1145" s="11"/>
      <c r="D1145" s="17">
        <v>6779.92</v>
      </c>
    </row>
    <row r="1146" spans="1:4" x14ac:dyDescent="0.3">
      <c r="A1146" s="10">
        <v>239</v>
      </c>
      <c r="B1146" s="10" t="s">
        <v>37</v>
      </c>
      <c r="C1146" s="10" t="s">
        <v>31</v>
      </c>
      <c r="D1146" s="17">
        <v>539.98</v>
      </c>
    </row>
    <row r="1147" spans="1:4" x14ac:dyDescent="0.3">
      <c r="A1147" s="12"/>
      <c r="B1147" s="12"/>
      <c r="C1147" s="14" t="s">
        <v>14</v>
      </c>
      <c r="D1147" s="18">
        <v>1199.98</v>
      </c>
    </row>
    <row r="1148" spans="1:4" x14ac:dyDescent="0.3">
      <c r="A1148" s="12"/>
      <c r="B1148" s="12"/>
      <c r="C1148" s="14" t="s">
        <v>24</v>
      </c>
      <c r="D1148" s="18">
        <v>449</v>
      </c>
    </row>
    <row r="1149" spans="1:4" x14ac:dyDescent="0.3">
      <c r="A1149" s="12"/>
      <c r="B1149" s="12"/>
      <c r="C1149" s="14" t="s">
        <v>16</v>
      </c>
      <c r="D1149" s="18">
        <v>5799.98</v>
      </c>
    </row>
    <row r="1150" spans="1:4" x14ac:dyDescent="0.3">
      <c r="A1150" s="12"/>
      <c r="B1150" s="10" t="s">
        <v>1917</v>
      </c>
      <c r="C1150" s="11"/>
      <c r="D1150" s="17">
        <v>7988.94</v>
      </c>
    </row>
    <row r="1151" spans="1:4" x14ac:dyDescent="0.3">
      <c r="A1151" s="10" t="s">
        <v>535</v>
      </c>
      <c r="B1151" s="11"/>
      <c r="C1151" s="11"/>
      <c r="D1151" s="17">
        <v>7988.94</v>
      </c>
    </row>
    <row r="1152" spans="1:4" x14ac:dyDescent="0.3">
      <c r="A1152" s="10">
        <v>240</v>
      </c>
      <c r="B1152" s="10" t="s">
        <v>18</v>
      </c>
      <c r="C1152" s="10" t="s">
        <v>34</v>
      </c>
      <c r="D1152" s="17">
        <v>1320.99</v>
      </c>
    </row>
    <row r="1153" spans="1:4" x14ac:dyDescent="0.3">
      <c r="A1153" s="12"/>
      <c r="B1153" s="12"/>
      <c r="C1153" s="14" t="s">
        <v>24</v>
      </c>
      <c r="D1153" s="18">
        <v>898</v>
      </c>
    </row>
    <row r="1154" spans="1:4" x14ac:dyDescent="0.3">
      <c r="A1154" s="12"/>
      <c r="B1154" s="12"/>
      <c r="C1154" s="14" t="s">
        <v>26</v>
      </c>
      <c r="D1154" s="18">
        <v>2999.99</v>
      </c>
    </row>
    <row r="1155" spans="1:4" x14ac:dyDescent="0.3">
      <c r="A1155" s="12"/>
      <c r="B1155" s="12"/>
      <c r="C1155" s="14" t="s">
        <v>12</v>
      </c>
      <c r="D1155" s="18">
        <v>1799.99</v>
      </c>
    </row>
    <row r="1156" spans="1:4" x14ac:dyDescent="0.3">
      <c r="A1156" s="12"/>
      <c r="B1156" s="10" t="s">
        <v>1916</v>
      </c>
      <c r="C1156" s="11"/>
      <c r="D1156" s="17">
        <v>7018.9699999999993</v>
      </c>
    </row>
    <row r="1157" spans="1:4" x14ac:dyDescent="0.3">
      <c r="A1157" s="10" t="s">
        <v>536</v>
      </c>
      <c r="B1157" s="11"/>
      <c r="C1157" s="11"/>
      <c r="D1157" s="17">
        <v>7018.9699999999993</v>
      </c>
    </row>
    <row r="1158" spans="1:4" x14ac:dyDescent="0.3">
      <c r="A1158" s="10">
        <v>241</v>
      </c>
      <c r="B1158" s="10" t="s">
        <v>18</v>
      </c>
      <c r="C1158" s="10" t="s">
        <v>29</v>
      </c>
      <c r="D1158" s="17">
        <v>3999.99</v>
      </c>
    </row>
    <row r="1159" spans="1:4" x14ac:dyDescent="0.3">
      <c r="A1159" s="12"/>
      <c r="B1159" s="10" t="s">
        <v>1916</v>
      </c>
      <c r="C1159" s="11"/>
      <c r="D1159" s="17">
        <v>3999.99</v>
      </c>
    </row>
    <row r="1160" spans="1:4" x14ac:dyDescent="0.3">
      <c r="A1160" s="10" t="s">
        <v>537</v>
      </c>
      <c r="B1160" s="11"/>
      <c r="C1160" s="11"/>
      <c r="D1160" s="17">
        <v>3999.99</v>
      </c>
    </row>
    <row r="1161" spans="1:4" x14ac:dyDescent="0.3">
      <c r="A1161" s="10">
        <v>242</v>
      </c>
      <c r="B1161" s="10" t="s">
        <v>18</v>
      </c>
      <c r="C1161" s="10" t="s">
        <v>20</v>
      </c>
      <c r="D1161" s="17">
        <v>999.99</v>
      </c>
    </row>
    <row r="1162" spans="1:4" x14ac:dyDescent="0.3">
      <c r="A1162" s="12"/>
      <c r="B1162" s="10" t="s">
        <v>1916</v>
      </c>
      <c r="C1162" s="11"/>
      <c r="D1162" s="17">
        <v>999.99</v>
      </c>
    </row>
    <row r="1163" spans="1:4" x14ac:dyDescent="0.3">
      <c r="A1163" s="10" t="s">
        <v>538</v>
      </c>
      <c r="B1163" s="11"/>
      <c r="C1163" s="11"/>
      <c r="D1163" s="17">
        <v>999.99</v>
      </c>
    </row>
    <row r="1164" spans="1:4" x14ac:dyDescent="0.3">
      <c r="A1164" s="10">
        <v>243</v>
      </c>
      <c r="B1164" s="10" t="s">
        <v>37</v>
      </c>
      <c r="C1164" s="10" t="s">
        <v>35</v>
      </c>
      <c r="D1164" s="17">
        <v>999.98</v>
      </c>
    </row>
    <row r="1165" spans="1:4" x14ac:dyDescent="0.3">
      <c r="A1165" s="12"/>
      <c r="B1165" s="12"/>
      <c r="C1165" s="14" t="s">
        <v>36</v>
      </c>
      <c r="D1165" s="18">
        <v>898</v>
      </c>
    </row>
    <row r="1166" spans="1:4" x14ac:dyDescent="0.3">
      <c r="A1166" s="12"/>
      <c r="B1166" s="12"/>
      <c r="C1166" s="14" t="s">
        <v>29</v>
      </c>
      <c r="D1166" s="18">
        <v>7999.98</v>
      </c>
    </row>
    <row r="1167" spans="1:4" x14ac:dyDescent="0.3">
      <c r="A1167" s="12"/>
      <c r="B1167" s="10" t="s">
        <v>1917</v>
      </c>
      <c r="C1167" s="11"/>
      <c r="D1167" s="17">
        <v>9897.9599999999991</v>
      </c>
    </row>
    <row r="1168" spans="1:4" x14ac:dyDescent="0.3">
      <c r="A1168" s="10" t="s">
        <v>539</v>
      </c>
      <c r="B1168" s="11"/>
      <c r="C1168" s="11"/>
      <c r="D1168" s="17">
        <v>9897.9599999999991</v>
      </c>
    </row>
    <row r="1169" spans="1:4" x14ac:dyDescent="0.3">
      <c r="A1169" s="10">
        <v>244</v>
      </c>
      <c r="B1169" s="10" t="s">
        <v>18</v>
      </c>
      <c r="C1169" s="10" t="s">
        <v>28</v>
      </c>
      <c r="D1169" s="17">
        <v>269.99</v>
      </c>
    </row>
    <row r="1170" spans="1:4" x14ac:dyDescent="0.3">
      <c r="A1170" s="12"/>
      <c r="B1170" s="12"/>
      <c r="C1170" s="14" t="s">
        <v>35</v>
      </c>
      <c r="D1170" s="18">
        <v>499.99</v>
      </c>
    </row>
    <row r="1171" spans="1:4" x14ac:dyDescent="0.3">
      <c r="A1171" s="12"/>
      <c r="B1171" s="12"/>
      <c r="C1171" s="14" t="s">
        <v>36</v>
      </c>
      <c r="D1171" s="18">
        <v>449</v>
      </c>
    </row>
    <row r="1172" spans="1:4" x14ac:dyDescent="0.3">
      <c r="A1172" s="12"/>
      <c r="B1172" s="10" t="s">
        <v>1916</v>
      </c>
      <c r="C1172" s="11"/>
      <c r="D1172" s="17">
        <v>1218.98</v>
      </c>
    </row>
    <row r="1173" spans="1:4" x14ac:dyDescent="0.3">
      <c r="A1173" s="10" t="s">
        <v>540</v>
      </c>
      <c r="B1173" s="11"/>
      <c r="C1173" s="11"/>
      <c r="D1173" s="17">
        <v>1218.98</v>
      </c>
    </row>
    <row r="1174" spans="1:4" x14ac:dyDescent="0.3">
      <c r="A1174" s="10">
        <v>245</v>
      </c>
      <c r="B1174" s="10" t="s">
        <v>18</v>
      </c>
      <c r="C1174" s="10" t="s">
        <v>13</v>
      </c>
      <c r="D1174" s="17">
        <v>3098</v>
      </c>
    </row>
    <row r="1175" spans="1:4" x14ac:dyDescent="0.3">
      <c r="A1175" s="12"/>
      <c r="B1175" s="12"/>
      <c r="C1175" s="14" t="s">
        <v>12</v>
      </c>
      <c r="D1175" s="18">
        <v>1799.99</v>
      </c>
    </row>
    <row r="1176" spans="1:4" x14ac:dyDescent="0.3">
      <c r="A1176" s="12"/>
      <c r="B1176" s="10" t="s">
        <v>1916</v>
      </c>
      <c r="C1176" s="11"/>
      <c r="D1176" s="17">
        <v>4897.99</v>
      </c>
    </row>
    <row r="1177" spans="1:4" x14ac:dyDescent="0.3">
      <c r="A1177" s="10" t="s">
        <v>541</v>
      </c>
      <c r="B1177" s="11"/>
      <c r="C1177" s="11"/>
      <c r="D1177" s="17">
        <v>4897.99</v>
      </c>
    </row>
    <row r="1178" spans="1:4" x14ac:dyDescent="0.3">
      <c r="A1178" s="10">
        <v>246</v>
      </c>
      <c r="B1178" s="10" t="s">
        <v>18</v>
      </c>
      <c r="C1178" s="10" t="s">
        <v>23</v>
      </c>
      <c r="D1178" s="17">
        <v>858</v>
      </c>
    </row>
    <row r="1179" spans="1:4" x14ac:dyDescent="0.3">
      <c r="A1179" s="12"/>
      <c r="B1179" s="10" t="s">
        <v>1916</v>
      </c>
      <c r="C1179" s="11"/>
      <c r="D1179" s="17">
        <v>858</v>
      </c>
    </row>
    <row r="1180" spans="1:4" x14ac:dyDescent="0.3">
      <c r="A1180" s="10" t="s">
        <v>542</v>
      </c>
      <c r="B1180" s="11"/>
      <c r="C1180" s="11"/>
      <c r="D1180" s="17">
        <v>858</v>
      </c>
    </row>
    <row r="1181" spans="1:4" x14ac:dyDescent="0.3">
      <c r="A1181" s="10">
        <v>247</v>
      </c>
      <c r="B1181" s="10" t="s">
        <v>11</v>
      </c>
      <c r="C1181" s="10" t="s">
        <v>35</v>
      </c>
      <c r="D1181" s="17">
        <v>499.99</v>
      </c>
    </row>
    <row r="1182" spans="1:4" x14ac:dyDescent="0.3">
      <c r="A1182" s="12"/>
      <c r="B1182" s="12"/>
      <c r="C1182" s="14" t="s">
        <v>20</v>
      </c>
      <c r="D1182" s="18">
        <v>999.99</v>
      </c>
    </row>
    <row r="1183" spans="1:4" x14ac:dyDescent="0.3">
      <c r="A1183" s="12"/>
      <c r="B1183" s="10" t="s">
        <v>1915</v>
      </c>
      <c r="C1183" s="11"/>
      <c r="D1183" s="17">
        <v>1499.98</v>
      </c>
    </row>
    <row r="1184" spans="1:4" x14ac:dyDescent="0.3">
      <c r="A1184" s="10" t="s">
        <v>543</v>
      </c>
      <c r="B1184" s="11"/>
      <c r="C1184" s="11"/>
      <c r="D1184" s="17">
        <v>1499.98</v>
      </c>
    </row>
    <row r="1185" spans="1:4" x14ac:dyDescent="0.3">
      <c r="A1185" s="10">
        <v>248</v>
      </c>
      <c r="B1185" s="10" t="s">
        <v>18</v>
      </c>
      <c r="C1185" s="10" t="s">
        <v>31</v>
      </c>
      <c r="D1185" s="17">
        <v>269.99</v>
      </c>
    </row>
    <row r="1186" spans="1:4" x14ac:dyDescent="0.3">
      <c r="A1186" s="12"/>
      <c r="B1186" s="12"/>
      <c r="C1186" s="14" t="s">
        <v>14</v>
      </c>
      <c r="D1186" s="18">
        <v>1199.98</v>
      </c>
    </row>
    <row r="1187" spans="1:4" x14ac:dyDescent="0.3">
      <c r="A1187" s="12"/>
      <c r="B1187" s="12"/>
      <c r="C1187" s="14" t="s">
        <v>23</v>
      </c>
      <c r="D1187" s="18">
        <v>429</v>
      </c>
    </row>
    <row r="1188" spans="1:4" x14ac:dyDescent="0.3">
      <c r="A1188" s="12"/>
      <c r="B1188" s="12"/>
      <c r="C1188" s="14" t="s">
        <v>26</v>
      </c>
      <c r="D1188" s="18">
        <v>2999.99</v>
      </c>
    </row>
    <row r="1189" spans="1:4" x14ac:dyDescent="0.3">
      <c r="A1189" s="12"/>
      <c r="B1189" s="10" t="s">
        <v>1916</v>
      </c>
      <c r="C1189" s="11"/>
      <c r="D1189" s="17">
        <v>4898.96</v>
      </c>
    </row>
    <row r="1190" spans="1:4" x14ac:dyDescent="0.3">
      <c r="A1190" s="10" t="s">
        <v>544</v>
      </c>
      <c r="B1190" s="11"/>
      <c r="C1190" s="11"/>
      <c r="D1190" s="17">
        <v>4898.96</v>
      </c>
    </row>
    <row r="1191" spans="1:4" x14ac:dyDescent="0.3">
      <c r="A1191" s="10">
        <v>249</v>
      </c>
      <c r="B1191" s="10" t="s">
        <v>18</v>
      </c>
      <c r="C1191" s="10" t="s">
        <v>28</v>
      </c>
      <c r="D1191" s="17">
        <v>269.99</v>
      </c>
    </row>
    <row r="1192" spans="1:4" x14ac:dyDescent="0.3">
      <c r="A1192" s="12"/>
      <c r="B1192" s="12"/>
      <c r="C1192" s="14" t="s">
        <v>24</v>
      </c>
      <c r="D1192" s="18">
        <v>898</v>
      </c>
    </row>
    <row r="1193" spans="1:4" x14ac:dyDescent="0.3">
      <c r="A1193" s="12"/>
      <c r="B1193" s="12"/>
      <c r="C1193" s="14" t="s">
        <v>29</v>
      </c>
      <c r="D1193" s="18">
        <v>7999.98</v>
      </c>
    </row>
    <row r="1194" spans="1:4" x14ac:dyDescent="0.3">
      <c r="A1194" s="12"/>
      <c r="B1194" s="10" t="s">
        <v>1916</v>
      </c>
      <c r="C1194" s="11"/>
      <c r="D1194" s="17">
        <v>9167.9699999999993</v>
      </c>
    </row>
    <row r="1195" spans="1:4" x14ac:dyDescent="0.3">
      <c r="A1195" s="10" t="s">
        <v>545</v>
      </c>
      <c r="B1195" s="11"/>
      <c r="C1195" s="11"/>
      <c r="D1195" s="17">
        <v>9167.9699999999993</v>
      </c>
    </row>
    <row r="1196" spans="1:4" x14ac:dyDescent="0.3">
      <c r="A1196" s="10">
        <v>250</v>
      </c>
      <c r="B1196" s="10" t="s">
        <v>18</v>
      </c>
      <c r="C1196" s="10" t="s">
        <v>23</v>
      </c>
      <c r="D1196" s="17">
        <v>858</v>
      </c>
    </row>
    <row r="1197" spans="1:4" x14ac:dyDescent="0.3">
      <c r="A1197" s="12"/>
      <c r="B1197" s="12"/>
      <c r="C1197" s="14" t="s">
        <v>30</v>
      </c>
      <c r="D1197" s="18">
        <v>3361.98</v>
      </c>
    </row>
    <row r="1198" spans="1:4" x14ac:dyDescent="0.3">
      <c r="A1198" s="12"/>
      <c r="B1198" s="10" t="s">
        <v>1916</v>
      </c>
      <c r="C1198" s="11"/>
      <c r="D1198" s="17">
        <v>4219.9799999999996</v>
      </c>
    </row>
    <row r="1199" spans="1:4" x14ac:dyDescent="0.3">
      <c r="A1199" s="10" t="s">
        <v>546</v>
      </c>
      <c r="B1199" s="11"/>
      <c r="C1199" s="11"/>
      <c r="D1199" s="17">
        <v>4219.9799999999996</v>
      </c>
    </row>
    <row r="1200" spans="1:4" x14ac:dyDescent="0.3">
      <c r="A1200" s="10">
        <v>251</v>
      </c>
      <c r="B1200" s="10" t="s">
        <v>18</v>
      </c>
      <c r="C1200" s="10" t="s">
        <v>28</v>
      </c>
      <c r="D1200" s="17">
        <v>539.98</v>
      </c>
    </row>
    <row r="1201" spans="1:4" x14ac:dyDescent="0.3">
      <c r="A1201" s="12"/>
      <c r="B1201" s="12"/>
      <c r="C1201" s="14" t="s">
        <v>33</v>
      </c>
      <c r="D1201" s="18">
        <v>599.98</v>
      </c>
    </row>
    <row r="1202" spans="1:4" x14ac:dyDescent="0.3">
      <c r="A1202" s="12"/>
      <c r="B1202" s="10" t="s">
        <v>1916</v>
      </c>
      <c r="C1202" s="11"/>
      <c r="D1202" s="17">
        <v>1139.96</v>
      </c>
    </row>
    <row r="1203" spans="1:4" x14ac:dyDescent="0.3">
      <c r="A1203" s="10" t="s">
        <v>547</v>
      </c>
      <c r="B1203" s="11"/>
      <c r="C1203" s="11"/>
      <c r="D1203" s="17">
        <v>1139.96</v>
      </c>
    </row>
    <row r="1204" spans="1:4" x14ac:dyDescent="0.3">
      <c r="A1204" s="10">
        <v>252</v>
      </c>
      <c r="B1204" s="10" t="s">
        <v>37</v>
      </c>
      <c r="C1204" s="10" t="s">
        <v>36</v>
      </c>
      <c r="D1204" s="17">
        <v>449</v>
      </c>
    </row>
    <row r="1205" spans="1:4" x14ac:dyDescent="0.3">
      <c r="A1205" s="12"/>
      <c r="B1205" s="12"/>
      <c r="C1205" s="14" t="s">
        <v>30</v>
      </c>
      <c r="D1205" s="18">
        <v>3361.98</v>
      </c>
    </row>
    <row r="1206" spans="1:4" x14ac:dyDescent="0.3">
      <c r="A1206" s="12"/>
      <c r="B1206" s="12"/>
      <c r="C1206" s="14" t="s">
        <v>16</v>
      </c>
      <c r="D1206" s="18">
        <v>2899.99</v>
      </c>
    </row>
    <row r="1207" spans="1:4" x14ac:dyDescent="0.3">
      <c r="A1207" s="12"/>
      <c r="B1207" s="10" t="s">
        <v>1917</v>
      </c>
      <c r="C1207" s="11"/>
      <c r="D1207" s="17">
        <v>6710.9699999999993</v>
      </c>
    </row>
    <row r="1208" spans="1:4" x14ac:dyDescent="0.3">
      <c r="A1208" s="10" t="s">
        <v>548</v>
      </c>
      <c r="B1208" s="11"/>
      <c r="C1208" s="11"/>
      <c r="D1208" s="17">
        <v>6710.9699999999993</v>
      </c>
    </row>
    <row r="1209" spans="1:4" x14ac:dyDescent="0.3">
      <c r="A1209" s="10">
        <v>253</v>
      </c>
      <c r="B1209" s="10" t="s">
        <v>18</v>
      </c>
      <c r="C1209" s="10" t="s">
        <v>30</v>
      </c>
      <c r="D1209" s="17">
        <v>3361.98</v>
      </c>
    </row>
    <row r="1210" spans="1:4" x14ac:dyDescent="0.3">
      <c r="A1210" s="12"/>
      <c r="B1210" s="10" t="s">
        <v>1916</v>
      </c>
      <c r="C1210" s="11"/>
      <c r="D1210" s="17">
        <v>3361.98</v>
      </c>
    </row>
    <row r="1211" spans="1:4" x14ac:dyDescent="0.3">
      <c r="A1211" s="10" t="s">
        <v>549</v>
      </c>
      <c r="B1211" s="11"/>
      <c r="C1211" s="11"/>
      <c r="D1211" s="17">
        <v>3361.98</v>
      </c>
    </row>
    <row r="1212" spans="1:4" x14ac:dyDescent="0.3">
      <c r="A1212" s="10">
        <v>254</v>
      </c>
      <c r="B1212" s="10" t="s">
        <v>18</v>
      </c>
      <c r="C1212" s="10" t="s">
        <v>25</v>
      </c>
      <c r="D1212" s="17">
        <v>549.99</v>
      </c>
    </row>
    <row r="1213" spans="1:4" x14ac:dyDescent="0.3">
      <c r="A1213" s="12"/>
      <c r="B1213" s="12"/>
      <c r="C1213" s="14" t="s">
        <v>32</v>
      </c>
      <c r="D1213" s="18">
        <v>939.98</v>
      </c>
    </row>
    <row r="1214" spans="1:4" x14ac:dyDescent="0.3">
      <c r="A1214" s="12"/>
      <c r="B1214" s="12"/>
      <c r="C1214" s="14" t="s">
        <v>20</v>
      </c>
      <c r="D1214" s="18">
        <v>999.99</v>
      </c>
    </row>
    <row r="1215" spans="1:4" x14ac:dyDescent="0.3">
      <c r="A1215" s="12"/>
      <c r="B1215" s="10" t="s">
        <v>1916</v>
      </c>
      <c r="C1215" s="11"/>
      <c r="D1215" s="17">
        <v>2489.96</v>
      </c>
    </row>
    <row r="1216" spans="1:4" x14ac:dyDescent="0.3">
      <c r="A1216" s="10" t="s">
        <v>550</v>
      </c>
      <c r="B1216" s="11"/>
      <c r="C1216" s="11"/>
      <c r="D1216" s="17">
        <v>2489.96</v>
      </c>
    </row>
    <row r="1217" spans="1:4" x14ac:dyDescent="0.3">
      <c r="A1217" s="10">
        <v>255</v>
      </c>
      <c r="B1217" s="10" t="s">
        <v>18</v>
      </c>
      <c r="C1217" s="10" t="s">
        <v>31</v>
      </c>
      <c r="D1217" s="17">
        <v>269.99</v>
      </c>
    </row>
    <row r="1218" spans="1:4" x14ac:dyDescent="0.3">
      <c r="A1218" s="12"/>
      <c r="B1218" s="12"/>
      <c r="C1218" s="14" t="s">
        <v>28</v>
      </c>
      <c r="D1218" s="18">
        <v>269.99</v>
      </c>
    </row>
    <row r="1219" spans="1:4" x14ac:dyDescent="0.3">
      <c r="A1219" s="12"/>
      <c r="B1219" s="12"/>
      <c r="C1219" s="14" t="s">
        <v>34</v>
      </c>
      <c r="D1219" s="18">
        <v>2641.98</v>
      </c>
    </row>
    <row r="1220" spans="1:4" x14ac:dyDescent="0.3">
      <c r="A1220" s="12"/>
      <c r="B1220" s="12"/>
      <c r="C1220" s="14" t="s">
        <v>22</v>
      </c>
      <c r="D1220" s="18">
        <v>1499.98</v>
      </c>
    </row>
    <row r="1221" spans="1:4" x14ac:dyDescent="0.3">
      <c r="A1221" s="12"/>
      <c r="B1221" s="10" t="s">
        <v>1916</v>
      </c>
      <c r="C1221" s="11"/>
      <c r="D1221" s="17">
        <v>4681.9400000000005</v>
      </c>
    </row>
    <row r="1222" spans="1:4" x14ac:dyDescent="0.3">
      <c r="A1222" s="10" t="s">
        <v>551</v>
      </c>
      <c r="B1222" s="11"/>
      <c r="C1222" s="11"/>
      <c r="D1222" s="17">
        <v>4681.9400000000005</v>
      </c>
    </row>
    <row r="1223" spans="1:4" x14ac:dyDescent="0.3">
      <c r="A1223" s="10">
        <v>256</v>
      </c>
      <c r="B1223" s="10" t="s">
        <v>18</v>
      </c>
      <c r="C1223" s="10" t="s">
        <v>31</v>
      </c>
      <c r="D1223" s="17">
        <v>269.99</v>
      </c>
    </row>
    <row r="1224" spans="1:4" x14ac:dyDescent="0.3">
      <c r="A1224" s="12"/>
      <c r="B1224" s="12"/>
      <c r="C1224" s="14" t="s">
        <v>30</v>
      </c>
      <c r="D1224" s="18">
        <v>1680.99</v>
      </c>
    </row>
    <row r="1225" spans="1:4" x14ac:dyDescent="0.3">
      <c r="A1225" s="12"/>
      <c r="B1225" s="10" t="s">
        <v>1916</v>
      </c>
      <c r="C1225" s="11"/>
      <c r="D1225" s="17">
        <v>1950.98</v>
      </c>
    </row>
    <row r="1226" spans="1:4" x14ac:dyDescent="0.3">
      <c r="A1226" s="10" t="s">
        <v>552</v>
      </c>
      <c r="B1226" s="11"/>
      <c r="C1226" s="11"/>
      <c r="D1226" s="17">
        <v>1950.98</v>
      </c>
    </row>
    <row r="1227" spans="1:4" x14ac:dyDescent="0.3">
      <c r="A1227" s="10">
        <v>257</v>
      </c>
      <c r="B1227" s="10" t="s">
        <v>11</v>
      </c>
      <c r="C1227" s="10" t="s">
        <v>31</v>
      </c>
      <c r="D1227" s="17">
        <v>539.98</v>
      </c>
    </row>
    <row r="1228" spans="1:4" x14ac:dyDescent="0.3">
      <c r="A1228" s="12"/>
      <c r="B1228" s="12"/>
      <c r="C1228" s="14" t="s">
        <v>27</v>
      </c>
      <c r="D1228" s="18">
        <v>529.99</v>
      </c>
    </row>
    <row r="1229" spans="1:4" x14ac:dyDescent="0.3">
      <c r="A1229" s="12"/>
      <c r="B1229" s="12"/>
      <c r="C1229" s="14" t="s">
        <v>13</v>
      </c>
      <c r="D1229" s="18">
        <v>3098</v>
      </c>
    </row>
    <row r="1230" spans="1:4" x14ac:dyDescent="0.3">
      <c r="A1230" s="12"/>
      <c r="B1230" s="12"/>
      <c r="C1230" s="14" t="s">
        <v>12</v>
      </c>
      <c r="D1230" s="18">
        <v>3599.98</v>
      </c>
    </row>
    <row r="1231" spans="1:4" x14ac:dyDescent="0.3">
      <c r="A1231" s="12"/>
      <c r="B1231" s="10" t="s">
        <v>1915</v>
      </c>
      <c r="C1231" s="11"/>
      <c r="D1231" s="17">
        <v>7767.9500000000007</v>
      </c>
    </row>
    <row r="1232" spans="1:4" x14ac:dyDescent="0.3">
      <c r="A1232" s="10" t="s">
        <v>553</v>
      </c>
      <c r="B1232" s="11"/>
      <c r="C1232" s="11"/>
      <c r="D1232" s="17">
        <v>7767.9500000000007</v>
      </c>
    </row>
    <row r="1233" spans="1:4" x14ac:dyDescent="0.3">
      <c r="A1233" s="10">
        <v>258</v>
      </c>
      <c r="B1233" s="10" t="s">
        <v>18</v>
      </c>
      <c r="C1233" s="10" t="s">
        <v>24</v>
      </c>
      <c r="D1233" s="17">
        <v>449</v>
      </c>
    </row>
    <row r="1234" spans="1:4" x14ac:dyDescent="0.3">
      <c r="A1234" s="12"/>
      <c r="B1234" s="12"/>
      <c r="C1234" s="14" t="s">
        <v>36</v>
      </c>
      <c r="D1234" s="18">
        <v>449</v>
      </c>
    </row>
    <row r="1235" spans="1:4" x14ac:dyDescent="0.3">
      <c r="A1235" s="12"/>
      <c r="B1235" s="12"/>
      <c r="C1235" s="14" t="s">
        <v>16</v>
      </c>
      <c r="D1235" s="18">
        <v>2899.99</v>
      </c>
    </row>
    <row r="1236" spans="1:4" x14ac:dyDescent="0.3">
      <c r="A1236" s="12"/>
      <c r="B1236" s="12"/>
      <c r="C1236" s="14" t="s">
        <v>12</v>
      </c>
      <c r="D1236" s="18">
        <v>3599.98</v>
      </c>
    </row>
    <row r="1237" spans="1:4" x14ac:dyDescent="0.3">
      <c r="A1237" s="12"/>
      <c r="B1237" s="10" t="s">
        <v>1916</v>
      </c>
      <c r="C1237" s="11"/>
      <c r="D1237" s="17">
        <v>7397.9699999999993</v>
      </c>
    </row>
    <row r="1238" spans="1:4" x14ac:dyDescent="0.3">
      <c r="A1238" s="10" t="s">
        <v>554</v>
      </c>
      <c r="B1238" s="11"/>
      <c r="C1238" s="11"/>
      <c r="D1238" s="17">
        <v>7397.9699999999993</v>
      </c>
    </row>
    <row r="1239" spans="1:4" x14ac:dyDescent="0.3">
      <c r="A1239" s="10">
        <v>259</v>
      </c>
      <c r="B1239" s="10" t="s">
        <v>18</v>
      </c>
      <c r="C1239" s="10" t="s">
        <v>14</v>
      </c>
      <c r="D1239" s="17">
        <v>599.99</v>
      </c>
    </row>
    <row r="1240" spans="1:4" x14ac:dyDescent="0.3">
      <c r="A1240" s="12"/>
      <c r="B1240" s="12"/>
      <c r="C1240" s="14" t="s">
        <v>22</v>
      </c>
      <c r="D1240" s="18">
        <v>1499.98</v>
      </c>
    </row>
    <row r="1241" spans="1:4" x14ac:dyDescent="0.3">
      <c r="A1241" s="12"/>
      <c r="B1241" s="12"/>
      <c r="C1241" s="14" t="s">
        <v>32</v>
      </c>
      <c r="D1241" s="18">
        <v>939.98</v>
      </c>
    </row>
    <row r="1242" spans="1:4" x14ac:dyDescent="0.3">
      <c r="A1242" s="12"/>
      <c r="B1242" s="12"/>
      <c r="C1242" s="14" t="s">
        <v>16</v>
      </c>
      <c r="D1242" s="18">
        <v>2899.99</v>
      </c>
    </row>
    <row r="1243" spans="1:4" x14ac:dyDescent="0.3">
      <c r="A1243" s="12"/>
      <c r="B1243" s="10" t="s">
        <v>1916</v>
      </c>
      <c r="C1243" s="11"/>
      <c r="D1243" s="17">
        <v>5939.9400000000005</v>
      </c>
    </row>
    <row r="1244" spans="1:4" x14ac:dyDescent="0.3">
      <c r="A1244" s="10" t="s">
        <v>555</v>
      </c>
      <c r="B1244" s="11"/>
      <c r="C1244" s="11"/>
      <c r="D1244" s="17">
        <v>5939.9400000000005</v>
      </c>
    </row>
    <row r="1245" spans="1:4" x14ac:dyDescent="0.3">
      <c r="A1245" s="10">
        <v>260</v>
      </c>
      <c r="B1245" s="10" t="s">
        <v>18</v>
      </c>
      <c r="C1245" s="10" t="s">
        <v>33</v>
      </c>
      <c r="D1245" s="17">
        <v>599.98</v>
      </c>
    </row>
    <row r="1246" spans="1:4" x14ac:dyDescent="0.3">
      <c r="A1246" s="12"/>
      <c r="B1246" s="12"/>
      <c r="C1246" s="14" t="s">
        <v>25</v>
      </c>
      <c r="D1246" s="18">
        <v>1099.98</v>
      </c>
    </row>
    <row r="1247" spans="1:4" x14ac:dyDescent="0.3">
      <c r="A1247" s="12"/>
      <c r="B1247" s="12"/>
      <c r="C1247" s="14" t="s">
        <v>13</v>
      </c>
      <c r="D1247" s="18">
        <v>1549</v>
      </c>
    </row>
    <row r="1248" spans="1:4" x14ac:dyDescent="0.3">
      <c r="A1248" s="12"/>
      <c r="B1248" s="10" t="s">
        <v>1916</v>
      </c>
      <c r="C1248" s="11"/>
      <c r="D1248" s="17">
        <v>3248.96</v>
      </c>
    </row>
    <row r="1249" spans="1:4" x14ac:dyDescent="0.3">
      <c r="A1249" s="10" t="s">
        <v>556</v>
      </c>
      <c r="B1249" s="11"/>
      <c r="C1249" s="11"/>
      <c r="D1249" s="17">
        <v>3248.96</v>
      </c>
    </row>
    <row r="1250" spans="1:4" x14ac:dyDescent="0.3">
      <c r="A1250" s="10">
        <v>261</v>
      </c>
      <c r="B1250" s="10" t="s">
        <v>11</v>
      </c>
      <c r="C1250" s="10" t="s">
        <v>28</v>
      </c>
      <c r="D1250" s="17">
        <v>269.99</v>
      </c>
    </row>
    <row r="1251" spans="1:4" x14ac:dyDescent="0.3">
      <c r="A1251" s="12"/>
      <c r="B1251" s="12"/>
      <c r="C1251" s="14" t="s">
        <v>14</v>
      </c>
      <c r="D1251" s="18">
        <v>1199.98</v>
      </c>
    </row>
    <row r="1252" spans="1:4" x14ac:dyDescent="0.3">
      <c r="A1252" s="12"/>
      <c r="B1252" s="12"/>
      <c r="C1252" s="14" t="s">
        <v>23</v>
      </c>
      <c r="D1252" s="18">
        <v>858</v>
      </c>
    </row>
    <row r="1253" spans="1:4" x14ac:dyDescent="0.3">
      <c r="A1253" s="12"/>
      <c r="B1253" s="10" t="s">
        <v>1915</v>
      </c>
      <c r="C1253" s="11"/>
      <c r="D1253" s="17">
        <v>2327.9700000000003</v>
      </c>
    </row>
    <row r="1254" spans="1:4" x14ac:dyDescent="0.3">
      <c r="A1254" s="10" t="s">
        <v>557</v>
      </c>
      <c r="B1254" s="11"/>
      <c r="C1254" s="11"/>
      <c r="D1254" s="17">
        <v>2327.9700000000003</v>
      </c>
    </row>
    <row r="1255" spans="1:4" x14ac:dyDescent="0.3">
      <c r="A1255" s="10">
        <v>262</v>
      </c>
      <c r="B1255" s="10" t="s">
        <v>37</v>
      </c>
      <c r="C1255" s="10" t="s">
        <v>22</v>
      </c>
      <c r="D1255" s="17">
        <v>749.99</v>
      </c>
    </row>
    <row r="1256" spans="1:4" x14ac:dyDescent="0.3">
      <c r="A1256" s="12"/>
      <c r="B1256" s="12"/>
      <c r="C1256" s="14" t="s">
        <v>26</v>
      </c>
      <c r="D1256" s="18">
        <v>5999.98</v>
      </c>
    </row>
    <row r="1257" spans="1:4" x14ac:dyDescent="0.3">
      <c r="A1257" s="12"/>
      <c r="B1257" s="10" t="s">
        <v>1917</v>
      </c>
      <c r="C1257" s="11"/>
      <c r="D1257" s="17">
        <v>6749.9699999999993</v>
      </c>
    </row>
    <row r="1258" spans="1:4" x14ac:dyDescent="0.3">
      <c r="A1258" s="10" t="s">
        <v>558</v>
      </c>
      <c r="B1258" s="11"/>
      <c r="C1258" s="11"/>
      <c r="D1258" s="17">
        <v>6749.9699999999993</v>
      </c>
    </row>
    <row r="1259" spans="1:4" x14ac:dyDescent="0.3">
      <c r="A1259" s="10">
        <v>263</v>
      </c>
      <c r="B1259" s="10" t="s">
        <v>18</v>
      </c>
      <c r="C1259" s="10" t="s">
        <v>22</v>
      </c>
      <c r="D1259" s="17">
        <v>1499.98</v>
      </c>
    </row>
    <row r="1260" spans="1:4" x14ac:dyDescent="0.3">
      <c r="A1260" s="12"/>
      <c r="B1260" s="12"/>
      <c r="C1260" s="14" t="s">
        <v>20</v>
      </c>
      <c r="D1260" s="18">
        <v>999.99</v>
      </c>
    </row>
    <row r="1261" spans="1:4" x14ac:dyDescent="0.3">
      <c r="A1261" s="12"/>
      <c r="B1261" s="12"/>
      <c r="C1261" s="14" t="s">
        <v>26</v>
      </c>
      <c r="D1261" s="18">
        <v>2999.99</v>
      </c>
    </row>
    <row r="1262" spans="1:4" x14ac:dyDescent="0.3">
      <c r="A1262" s="12"/>
      <c r="B1262" s="10" t="s">
        <v>1916</v>
      </c>
      <c r="C1262" s="11"/>
      <c r="D1262" s="17">
        <v>5499.96</v>
      </c>
    </row>
    <row r="1263" spans="1:4" x14ac:dyDescent="0.3">
      <c r="A1263" s="10" t="s">
        <v>559</v>
      </c>
      <c r="B1263" s="11"/>
      <c r="C1263" s="11"/>
      <c r="D1263" s="17">
        <v>5499.96</v>
      </c>
    </row>
    <row r="1264" spans="1:4" x14ac:dyDescent="0.3">
      <c r="A1264" s="10">
        <v>264</v>
      </c>
      <c r="B1264" s="10" t="s">
        <v>11</v>
      </c>
      <c r="C1264" s="10" t="s">
        <v>27</v>
      </c>
      <c r="D1264" s="17">
        <v>1059.98</v>
      </c>
    </row>
    <row r="1265" spans="1:4" x14ac:dyDescent="0.3">
      <c r="A1265" s="12"/>
      <c r="B1265" s="12"/>
      <c r="C1265" s="14" t="s">
        <v>25</v>
      </c>
      <c r="D1265" s="18">
        <v>1099.98</v>
      </c>
    </row>
    <row r="1266" spans="1:4" x14ac:dyDescent="0.3">
      <c r="A1266" s="12"/>
      <c r="B1266" s="12"/>
      <c r="C1266" s="14" t="s">
        <v>13</v>
      </c>
      <c r="D1266" s="18">
        <v>1549</v>
      </c>
    </row>
    <row r="1267" spans="1:4" x14ac:dyDescent="0.3">
      <c r="A1267" s="12"/>
      <c r="B1267" s="12"/>
      <c r="C1267" s="14" t="s">
        <v>20</v>
      </c>
      <c r="D1267" s="18">
        <v>1999.98</v>
      </c>
    </row>
    <row r="1268" spans="1:4" x14ac:dyDescent="0.3">
      <c r="A1268" s="12"/>
      <c r="B1268" s="10" t="s">
        <v>1915</v>
      </c>
      <c r="C1268" s="11"/>
      <c r="D1268" s="17">
        <v>5708.9400000000005</v>
      </c>
    </row>
    <row r="1269" spans="1:4" x14ac:dyDescent="0.3">
      <c r="A1269" s="10" t="s">
        <v>560</v>
      </c>
      <c r="B1269" s="11"/>
      <c r="C1269" s="11"/>
      <c r="D1269" s="17">
        <v>5708.9400000000005</v>
      </c>
    </row>
    <row r="1270" spans="1:4" x14ac:dyDescent="0.3">
      <c r="A1270" s="10">
        <v>265</v>
      </c>
      <c r="B1270" s="10" t="s">
        <v>18</v>
      </c>
      <c r="C1270" s="10" t="s">
        <v>26</v>
      </c>
      <c r="D1270" s="17">
        <v>5999.98</v>
      </c>
    </row>
    <row r="1271" spans="1:4" x14ac:dyDescent="0.3">
      <c r="A1271" s="12"/>
      <c r="B1271" s="10" t="s">
        <v>1916</v>
      </c>
      <c r="C1271" s="11"/>
      <c r="D1271" s="17">
        <v>5999.98</v>
      </c>
    </row>
    <row r="1272" spans="1:4" x14ac:dyDescent="0.3">
      <c r="A1272" s="10" t="s">
        <v>561</v>
      </c>
      <c r="B1272" s="11"/>
      <c r="C1272" s="11"/>
      <c r="D1272" s="17">
        <v>5999.98</v>
      </c>
    </row>
    <row r="1273" spans="1:4" x14ac:dyDescent="0.3">
      <c r="A1273" s="10">
        <v>266</v>
      </c>
      <c r="B1273" s="10" t="s">
        <v>18</v>
      </c>
      <c r="C1273" s="10" t="s">
        <v>35</v>
      </c>
      <c r="D1273" s="17">
        <v>499.99</v>
      </c>
    </row>
    <row r="1274" spans="1:4" x14ac:dyDescent="0.3">
      <c r="A1274" s="12"/>
      <c r="B1274" s="12"/>
      <c r="C1274" s="14" t="s">
        <v>36</v>
      </c>
      <c r="D1274" s="18">
        <v>449</v>
      </c>
    </row>
    <row r="1275" spans="1:4" x14ac:dyDescent="0.3">
      <c r="A1275" s="12"/>
      <c r="B1275" s="12"/>
      <c r="C1275" s="14" t="s">
        <v>32</v>
      </c>
      <c r="D1275" s="18">
        <v>939.98</v>
      </c>
    </row>
    <row r="1276" spans="1:4" x14ac:dyDescent="0.3">
      <c r="A1276" s="12"/>
      <c r="B1276" s="10" t="s">
        <v>1916</v>
      </c>
      <c r="C1276" s="11"/>
      <c r="D1276" s="17">
        <v>1888.97</v>
      </c>
    </row>
    <row r="1277" spans="1:4" x14ac:dyDescent="0.3">
      <c r="A1277" s="10" t="s">
        <v>562</v>
      </c>
      <c r="B1277" s="11"/>
      <c r="C1277" s="11"/>
      <c r="D1277" s="17">
        <v>1888.97</v>
      </c>
    </row>
    <row r="1278" spans="1:4" x14ac:dyDescent="0.3">
      <c r="A1278" s="10">
        <v>267</v>
      </c>
      <c r="B1278" s="10" t="s">
        <v>11</v>
      </c>
      <c r="C1278" s="10" t="s">
        <v>31</v>
      </c>
      <c r="D1278" s="17">
        <v>269.99</v>
      </c>
    </row>
    <row r="1279" spans="1:4" x14ac:dyDescent="0.3">
      <c r="A1279" s="12"/>
      <c r="B1279" s="12"/>
      <c r="C1279" s="14" t="s">
        <v>28</v>
      </c>
      <c r="D1279" s="18">
        <v>539.98</v>
      </c>
    </row>
    <row r="1280" spans="1:4" x14ac:dyDescent="0.3">
      <c r="A1280" s="12"/>
      <c r="B1280" s="12"/>
      <c r="C1280" s="14" t="s">
        <v>33</v>
      </c>
      <c r="D1280" s="18">
        <v>599.98</v>
      </c>
    </row>
    <row r="1281" spans="1:4" x14ac:dyDescent="0.3">
      <c r="A1281" s="12"/>
      <c r="B1281" s="12"/>
      <c r="C1281" s="14" t="s">
        <v>25</v>
      </c>
      <c r="D1281" s="18">
        <v>549.99</v>
      </c>
    </row>
    <row r="1282" spans="1:4" x14ac:dyDescent="0.3">
      <c r="A1282" s="12"/>
      <c r="B1282" s="12"/>
      <c r="C1282" s="14" t="s">
        <v>29</v>
      </c>
      <c r="D1282" s="18">
        <v>7999.98</v>
      </c>
    </row>
    <row r="1283" spans="1:4" x14ac:dyDescent="0.3">
      <c r="A1283" s="12"/>
      <c r="B1283" s="10" t="s">
        <v>1915</v>
      </c>
      <c r="C1283" s="11"/>
      <c r="D1283" s="17">
        <v>9959.92</v>
      </c>
    </row>
    <row r="1284" spans="1:4" x14ac:dyDescent="0.3">
      <c r="A1284" s="10" t="s">
        <v>563</v>
      </c>
      <c r="B1284" s="11"/>
      <c r="C1284" s="11"/>
      <c r="D1284" s="17">
        <v>9959.92</v>
      </c>
    </row>
    <row r="1285" spans="1:4" x14ac:dyDescent="0.3">
      <c r="A1285" s="10">
        <v>268</v>
      </c>
      <c r="B1285" s="10" t="s">
        <v>11</v>
      </c>
      <c r="C1285" s="10" t="s">
        <v>32</v>
      </c>
      <c r="D1285" s="17">
        <v>939.98</v>
      </c>
    </row>
    <row r="1286" spans="1:4" x14ac:dyDescent="0.3">
      <c r="A1286" s="12"/>
      <c r="B1286" s="12"/>
      <c r="C1286" s="14" t="s">
        <v>26</v>
      </c>
      <c r="D1286" s="18">
        <v>2999.99</v>
      </c>
    </row>
    <row r="1287" spans="1:4" x14ac:dyDescent="0.3">
      <c r="A1287" s="12"/>
      <c r="B1287" s="12"/>
      <c r="C1287" s="14" t="s">
        <v>29</v>
      </c>
      <c r="D1287" s="18">
        <v>3999.99</v>
      </c>
    </row>
    <row r="1288" spans="1:4" x14ac:dyDescent="0.3">
      <c r="A1288" s="12"/>
      <c r="B1288" s="10" t="s">
        <v>1915</v>
      </c>
      <c r="C1288" s="11"/>
      <c r="D1288" s="17">
        <v>7939.9599999999991</v>
      </c>
    </row>
    <row r="1289" spans="1:4" x14ac:dyDescent="0.3">
      <c r="A1289" s="10" t="s">
        <v>564</v>
      </c>
      <c r="B1289" s="11"/>
      <c r="C1289" s="11"/>
      <c r="D1289" s="17">
        <v>7939.9599999999991</v>
      </c>
    </row>
    <row r="1290" spans="1:4" x14ac:dyDescent="0.3">
      <c r="A1290" s="10">
        <v>269</v>
      </c>
      <c r="B1290" s="10" t="s">
        <v>18</v>
      </c>
      <c r="C1290" s="10" t="s">
        <v>33</v>
      </c>
      <c r="D1290" s="17">
        <v>599.98</v>
      </c>
    </row>
    <row r="1291" spans="1:4" x14ac:dyDescent="0.3">
      <c r="A1291" s="12"/>
      <c r="B1291" s="12"/>
      <c r="C1291" s="14" t="s">
        <v>34</v>
      </c>
      <c r="D1291" s="18">
        <v>1320.99</v>
      </c>
    </row>
    <row r="1292" spans="1:4" x14ac:dyDescent="0.3">
      <c r="A1292" s="12"/>
      <c r="B1292" s="12"/>
      <c r="C1292" s="14" t="s">
        <v>24</v>
      </c>
      <c r="D1292" s="18">
        <v>449</v>
      </c>
    </row>
    <row r="1293" spans="1:4" x14ac:dyDescent="0.3">
      <c r="A1293" s="12"/>
      <c r="B1293" s="12"/>
      <c r="C1293" s="14" t="s">
        <v>20</v>
      </c>
      <c r="D1293" s="18">
        <v>999.99</v>
      </c>
    </row>
    <row r="1294" spans="1:4" x14ac:dyDescent="0.3">
      <c r="A1294" s="12"/>
      <c r="B1294" s="10" t="s">
        <v>1916</v>
      </c>
      <c r="C1294" s="11"/>
      <c r="D1294" s="17">
        <v>3369.96</v>
      </c>
    </row>
    <row r="1295" spans="1:4" x14ac:dyDescent="0.3">
      <c r="A1295" s="10" t="s">
        <v>565</v>
      </c>
      <c r="B1295" s="11"/>
      <c r="C1295" s="11"/>
      <c r="D1295" s="17">
        <v>3369.96</v>
      </c>
    </row>
    <row r="1296" spans="1:4" x14ac:dyDescent="0.3">
      <c r="A1296" s="10">
        <v>270</v>
      </c>
      <c r="B1296" s="10" t="s">
        <v>18</v>
      </c>
      <c r="C1296" s="10" t="s">
        <v>27</v>
      </c>
      <c r="D1296" s="17">
        <v>529.99</v>
      </c>
    </row>
    <row r="1297" spans="1:4" x14ac:dyDescent="0.3">
      <c r="A1297" s="12"/>
      <c r="B1297" s="12"/>
      <c r="C1297" s="14" t="s">
        <v>35</v>
      </c>
      <c r="D1297" s="18">
        <v>999.98</v>
      </c>
    </row>
    <row r="1298" spans="1:4" x14ac:dyDescent="0.3">
      <c r="A1298" s="12"/>
      <c r="B1298" s="10" t="s">
        <v>1916</v>
      </c>
      <c r="C1298" s="11"/>
      <c r="D1298" s="17">
        <v>1529.97</v>
      </c>
    </row>
    <row r="1299" spans="1:4" x14ac:dyDescent="0.3">
      <c r="A1299" s="10" t="s">
        <v>566</v>
      </c>
      <c r="B1299" s="11"/>
      <c r="C1299" s="11"/>
      <c r="D1299" s="17">
        <v>1529.97</v>
      </c>
    </row>
    <row r="1300" spans="1:4" x14ac:dyDescent="0.3">
      <c r="A1300" s="10">
        <v>271</v>
      </c>
      <c r="B1300" s="10" t="s">
        <v>18</v>
      </c>
      <c r="C1300" s="10" t="s">
        <v>31</v>
      </c>
      <c r="D1300" s="17">
        <v>269.99</v>
      </c>
    </row>
    <row r="1301" spans="1:4" x14ac:dyDescent="0.3">
      <c r="A1301" s="12"/>
      <c r="B1301" s="12"/>
      <c r="C1301" s="14" t="s">
        <v>32</v>
      </c>
      <c r="D1301" s="18">
        <v>939.98</v>
      </c>
    </row>
    <row r="1302" spans="1:4" x14ac:dyDescent="0.3">
      <c r="A1302" s="12"/>
      <c r="B1302" s="12"/>
      <c r="C1302" s="14" t="s">
        <v>30</v>
      </c>
      <c r="D1302" s="18">
        <v>3361.98</v>
      </c>
    </row>
    <row r="1303" spans="1:4" x14ac:dyDescent="0.3">
      <c r="A1303" s="12"/>
      <c r="B1303" s="12"/>
      <c r="C1303" s="14" t="s">
        <v>29</v>
      </c>
      <c r="D1303" s="18">
        <v>7999.98</v>
      </c>
    </row>
    <row r="1304" spans="1:4" x14ac:dyDescent="0.3">
      <c r="A1304" s="12"/>
      <c r="B1304" s="10" t="s">
        <v>1916</v>
      </c>
      <c r="C1304" s="11"/>
      <c r="D1304" s="17">
        <v>12571.93</v>
      </c>
    </row>
    <row r="1305" spans="1:4" x14ac:dyDescent="0.3">
      <c r="A1305" s="10" t="s">
        <v>567</v>
      </c>
      <c r="B1305" s="11"/>
      <c r="C1305" s="11"/>
      <c r="D1305" s="17">
        <v>12571.93</v>
      </c>
    </row>
    <row r="1306" spans="1:4" x14ac:dyDescent="0.3">
      <c r="A1306" s="10">
        <v>272</v>
      </c>
      <c r="B1306" s="10" t="s">
        <v>18</v>
      </c>
      <c r="C1306" s="10" t="s">
        <v>22</v>
      </c>
      <c r="D1306" s="17">
        <v>1499.98</v>
      </c>
    </row>
    <row r="1307" spans="1:4" x14ac:dyDescent="0.3">
      <c r="A1307" s="12"/>
      <c r="B1307" s="12"/>
      <c r="C1307" s="14" t="s">
        <v>30</v>
      </c>
      <c r="D1307" s="18">
        <v>1680.99</v>
      </c>
    </row>
    <row r="1308" spans="1:4" x14ac:dyDescent="0.3">
      <c r="A1308" s="12"/>
      <c r="B1308" s="10" t="s">
        <v>1916</v>
      </c>
      <c r="C1308" s="11"/>
      <c r="D1308" s="17">
        <v>3180.9700000000003</v>
      </c>
    </row>
    <row r="1309" spans="1:4" x14ac:dyDescent="0.3">
      <c r="A1309" s="10" t="s">
        <v>568</v>
      </c>
      <c r="B1309" s="11"/>
      <c r="C1309" s="11"/>
      <c r="D1309" s="17">
        <v>3180.9700000000003</v>
      </c>
    </row>
    <row r="1310" spans="1:4" x14ac:dyDescent="0.3">
      <c r="A1310" s="10">
        <v>273</v>
      </c>
      <c r="B1310" s="10" t="s">
        <v>18</v>
      </c>
      <c r="C1310" s="10" t="s">
        <v>31</v>
      </c>
      <c r="D1310" s="17">
        <v>269.99</v>
      </c>
    </row>
    <row r="1311" spans="1:4" x14ac:dyDescent="0.3">
      <c r="A1311" s="12"/>
      <c r="B1311" s="10" t="s">
        <v>1916</v>
      </c>
      <c r="C1311" s="11"/>
      <c r="D1311" s="17">
        <v>269.99</v>
      </c>
    </row>
    <row r="1312" spans="1:4" x14ac:dyDescent="0.3">
      <c r="A1312" s="10" t="s">
        <v>569</v>
      </c>
      <c r="B1312" s="11"/>
      <c r="C1312" s="11"/>
      <c r="D1312" s="17">
        <v>269.99</v>
      </c>
    </row>
    <row r="1313" spans="1:4" x14ac:dyDescent="0.3">
      <c r="A1313" s="10">
        <v>274</v>
      </c>
      <c r="B1313" s="10" t="s">
        <v>18</v>
      </c>
      <c r="C1313" s="10" t="s">
        <v>35</v>
      </c>
      <c r="D1313" s="17">
        <v>999.98</v>
      </c>
    </row>
    <row r="1314" spans="1:4" x14ac:dyDescent="0.3">
      <c r="A1314" s="12"/>
      <c r="B1314" s="12"/>
      <c r="C1314" s="14" t="s">
        <v>30</v>
      </c>
      <c r="D1314" s="18">
        <v>3361.98</v>
      </c>
    </row>
    <row r="1315" spans="1:4" x14ac:dyDescent="0.3">
      <c r="A1315" s="12"/>
      <c r="B1315" s="12"/>
      <c r="C1315" s="14" t="s">
        <v>26</v>
      </c>
      <c r="D1315" s="18">
        <v>5999.98</v>
      </c>
    </row>
    <row r="1316" spans="1:4" x14ac:dyDescent="0.3">
      <c r="A1316" s="12"/>
      <c r="B1316" s="10" t="s">
        <v>1916</v>
      </c>
      <c r="C1316" s="11"/>
      <c r="D1316" s="17">
        <v>10361.939999999999</v>
      </c>
    </row>
    <row r="1317" spans="1:4" x14ac:dyDescent="0.3">
      <c r="A1317" s="10" t="s">
        <v>570</v>
      </c>
      <c r="B1317" s="11"/>
      <c r="C1317" s="11"/>
      <c r="D1317" s="17">
        <v>10361.939999999999</v>
      </c>
    </row>
    <row r="1318" spans="1:4" x14ac:dyDescent="0.3">
      <c r="A1318" s="10">
        <v>275</v>
      </c>
      <c r="B1318" s="10" t="s">
        <v>18</v>
      </c>
      <c r="C1318" s="10" t="s">
        <v>35</v>
      </c>
      <c r="D1318" s="17">
        <v>499.99</v>
      </c>
    </row>
    <row r="1319" spans="1:4" x14ac:dyDescent="0.3">
      <c r="A1319" s="12"/>
      <c r="B1319" s="12"/>
      <c r="C1319" s="14" t="s">
        <v>24</v>
      </c>
      <c r="D1319" s="18">
        <v>449</v>
      </c>
    </row>
    <row r="1320" spans="1:4" x14ac:dyDescent="0.3">
      <c r="A1320" s="12"/>
      <c r="B1320" s="12"/>
      <c r="C1320" s="14" t="s">
        <v>29</v>
      </c>
      <c r="D1320" s="18">
        <v>7999.98</v>
      </c>
    </row>
    <row r="1321" spans="1:4" x14ac:dyDescent="0.3">
      <c r="A1321" s="12"/>
      <c r="B1321" s="10" t="s">
        <v>1916</v>
      </c>
      <c r="C1321" s="11"/>
      <c r="D1321" s="17">
        <v>8948.9699999999993</v>
      </c>
    </row>
    <row r="1322" spans="1:4" x14ac:dyDescent="0.3">
      <c r="A1322" s="10" t="s">
        <v>571</v>
      </c>
      <c r="B1322" s="11"/>
      <c r="C1322" s="11"/>
      <c r="D1322" s="17">
        <v>8948.9699999999993</v>
      </c>
    </row>
    <row r="1323" spans="1:4" x14ac:dyDescent="0.3">
      <c r="A1323" s="10">
        <v>276</v>
      </c>
      <c r="B1323" s="10" t="s">
        <v>18</v>
      </c>
      <c r="C1323" s="10" t="s">
        <v>23</v>
      </c>
      <c r="D1323" s="17">
        <v>429</v>
      </c>
    </row>
    <row r="1324" spans="1:4" x14ac:dyDescent="0.3">
      <c r="A1324" s="12"/>
      <c r="B1324" s="12"/>
      <c r="C1324" s="14" t="s">
        <v>20</v>
      </c>
      <c r="D1324" s="18">
        <v>1999.98</v>
      </c>
    </row>
    <row r="1325" spans="1:4" x14ac:dyDescent="0.3">
      <c r="A1325" s="12"/>
      <c r="B1325" s="12"/>
      <c r="C1325" s="14" t="s">
        <v>26</v>
      </c>
      <c r="D1325" s="18">
        <v>5999.98</v>
      </c>
    </row>
    <row r="1326" spans="1:4" x14ac:dyDescent="0.3">
      <c r="A1326" s="12"/>
      <c r="B1326" s="10" t="s">
        <v>1916</v>
      </c>
      <c r="C1326" s="11"/>
      <c r="D1326" s="17">
        <v>8428.9599999999991</v>
      </c>
    </row>
    <row r="1327" spans="1:4" x14ac:dyDescent="0.3">
      <c r="A1327" s="10" t="s">
        <v>572</v>
      </c>
      <c r="B1327" s="11"/>
      <c r="C1327" s="11"/>
      <c r="D1327" s="17">
        <v>8428.9599999999991</v>
      </c>
    </row>
    <row r="1328" spans="1:4" x14ac:dyDescent="0.3">
      <c r="A1328" s="10">
        <v>277</v>
      </c>
      <c r="B1328" s="10" t="s">
        <v>18</v>
      </c>
      <c r="C1328" s="10" t="s">
        <v>31</v>
      </c>
      <c r="D1328" s="17">
        <v>539.98</v>
      </c>
    </row>
    <row r="1329" spans="1:4" x14ac:dyDescent="0.3">
      <c r="A1329" s="12"/>
      <c r="B1329" s="12"/>
      <c r="C1329" s="14" t="s">
        <v>10</v>
      </c>
      <c r="D1329" s="18">
        <v>1199.98</v>
      </c>
    </row>
    <row r="1330" spans="1:4" x14ac:dyDescent="0.3">
      <c r="A1330" s="12"/>
      <c r="B1330" s="12"/>
      <c r="C1330" s="14" t="s">
        <v>32</v>
      </c>
      <c r="D1330" s="18">
        <v>939.98</v>
      </c>
    </row>
    <row r="1331" spans="1:4" x14ac:dyDescent="0.3">
      <c r="A1331" s="12"/>
      <c r="B1331" s="10" t="s">
        <v>1916</v>
      </c>
      <c r="C1331" s="11"/>
      <c r="D1331" s="17">
        <v>2679.94</v>
      </c>
    </row>
    <row r="1332" spans="1:4" x14ac:dyDescent="0.3">
      <c r="A1332" s="10" t="s">
        <v>573</v>
      </c>
      <c r="B1332" s="11"/>
      <c r="C1332" s="11"/>
      <c r="D1332" s="17">
        <v>2679.94</v>
      </c>
    </row>
    <row r="1333" spans="1:4" x14ac:dyDescent="0.3">
      <c r="A1333" s="10">
        <v>278</v>
      </c>
      <c r="B1333" s="10" t="s">
        <v>11</v>
      </c>
      <c r="C1333" s="10" t="s">
        <v>31</v>
      </c>
      <c r="D1333" s="17">
        <v>269.99</v>
      </c>
    </row>
    <row r="1334" spans="1:4" x14ac:dyDescent="0.3">
      <c r="A1334" s="12"/>
      <c r="B1334" s="12"/>
      <c r="C1334" s="14" t="s">
        <v>14</v>
      </c>
      <c r="D1334" s="18">
        <v>599.99</v>
      </c>
    </row>
    <row r="1335" spans="1:4" x14ac:dyDescent="0.3">
      <c r="A1335" s="12"/>
      <c r="B1335" s="12"/>
      <c r="C1335" s="14" t="s">
        <v>36</v>
      </c>
      <c r="D1335" s="18">
        <v>898</v>
      </c>
    </row>
    <row r="1336" spans="1:4" x14ac:dyDescent="0.3">
      <c r="A1336" s="12"/>
      <c r="B1336" s="12"/>
      <c r="C1336" s="14" t="s">
        <v>30</v>
      </c>
      <c r="D1336" s="18">
        <v>3361.98</v>
      </c>
    </row>
    <row r="1337" spans="1:4" x14ac:dyDescent="0.3">
      <c r="A1337" s="12"/>
      <c r="B1337" s="10" t="s">
        <v>1915</v>
      </c>
      <c r="C1337" s="11"/>
      <c r="D1337" s="17">
        <v>5129.96</v>
      </c>
    </row>
    <row r="1338" spans="1:4" x14ac:dyDescent="0.3">
      <c r="A1338" s="10" t="s">
        <v>574</v>
      </c>
      <c r="B1338" s="11"/>
      <c r="C1338" s="11"/>
      <c r="D1338" s="17">
        <v>5129.96</v>
      </c>
    </row>
    <row r="1339" spans="1:4" x14ac:dyDescent="0.3">
      <c r="A1339" s="10">
        <v>279</v>
      </c>
      <c r="B1339" s="10" t="s">
        <v>18</v>
      </c>
      <c r="C1339" s="10" t="s">
        <v>35</v>
      </c>
      <c r="D1339" s="17">
        <v>499.99</v>
      </c>
    </row>
    <row r="1340" spans="1:4" x14ac:dyDescent="0.3">
      <c r="A1340" s="12"/>
      <c r="B1340" s="10" t="s">
        <v>1916</v>
      </c>
      <c r="C1340" s="11"/>
      <c r="D1340" s="17">
        <v>499.99</v>
      </c>
    </row>
    <row r="1341" spans="1:4" x14ac:dyDescent="0.3">
      <c r="A1341" s="10" t="s">
        <v>575</v>
      </c>
      <c r="B1341" s="11"/>
      <c r="C1341" s="11"/>
      <c r="D1341" s="17">
        <v>499.99</v>
      </c>
    </row>
    <row r="1342" spans="1:4" x14ac:dyDescent="0.3">
      <c r="A1342" s="10">
        <v>280</v>
      </c>
      <c r="B1342" s="10" t="s">
        <v>18</v>
      </c>
      <c r="C1342" s="10" t="s">
        <v>31</v>
      </c>
      <c r="D1342" s="17">
        <v>269.99</v>
      </c>
    </row>
    <row r="1343" spans="1:4" x14ac:dyDescent="0.3">
      <c r="A1343" s="12"/>
      <c r="B1343" s="12"/>
      <c r="C1343" s="14" t="s">
        <v>35</v>
      </c>
      <c r="D1343" s="18">
        <v>499.99</v>
      </c>
    </row>
    <row r="1344" spans="1:4" x14ac:dyDescent="0.3">
      <c r="A1344" s="12"/>
      <c r="B1344" s="12"/>
      <c r="C1344" s="14" t="s">
        <v>14</v>
      </c>
      <c r="D1344" s="18">
        <v>1199.98</v>
      </c>
    </row>
    <row r="1345" spans="1:4" x14ac:dyDescent="0.3">
      <c r="A1345" s="12"/>
      <c r="B1345" s="10" t="s">
        <v>1916</v>
      </c>
      <c r="C1345" s="11"/>
      <c r="D1345" s="17">
        <v>1969.96</v>
      </c>
    </row>
    <row r="1346" spans="1:4" x14ac:dyDescent="0.3">
      <c r="A1346" s="10" t="s">
        <v>576</v>
      </c>
      <c r="B1346" s="11"/>
      <c r="C1346" s="11"/>
      <c r="D1346" s="17">
        <v>1969.96</v>
      </c>
    </row>
    <row r="1347" spans="1:4" x14ac:dyDescent="0.3">
      <c r="A1347" s="10">
        <v>281</v>
      </c>
      <c r="B1347" s="10" t="s">
        <v>18</v>
      </c>
      <c r="C1347" s="10" t="s">
        <v>28</v>
      </c>
      <c r="D1347" s="17">
        <v>809.97</v>
      </c>
    </row>
    <row r="1348" spans="1:4" x14ac:dyDescent="0.3">
      <c r="A1348" s="12"/>
      <c r="B1348" s="12"/>
      <c r="C1348" s="14" t="s">
        <v>29</v>
      </c>
      <c r="D1348" s="18">
        <v>7999.98</v>
      </c>
    </row>
    <row r="1349" spans="1:4" x14ac:dyDescent="0.3">
      <c r="A1349" s="12"/>
      <c r="B1349" s="10" t="s">
        <v>1916</v>
      </c>
      <c r="C1349" s="11"/>
      <c r="D1349" s="17">
        <v>8809.9499999999989</v>
      </c>
    </row>
    <row r="1350" spans="1:4" x14ac:dyDescent="0.3">
      <c r="A1350" s="10" t="s">
        <v>577</v>
      </c>
      <c r="B1350" s="11"/>
      <c r="C1350" s="11"/>
      <c r="D1350" s="17">
        <v>8809.9499999999989</v>
      </c>
    </row>
    <row r="1351" spans="1:4" x14ac:dyDescent="0.3">
      <c r="A1351" s="10">
        <v>282</v>
      </c>
      <c r="B1351" s="10" t="s">
        <v>37</v>
      </c>
      <c r="C1351" s="10" t="s">
        <v>14</v>
      </c>
      <c r="D1351" s="17">
        <v>1199.98</v>
      </c>
    </row>
    <row r="1352" spans="1:4" x14ac:dyDescent="0.3">
      <c r="A1352" s="12"/>
      <c r="B1352" s="12"/>
      <c r="C1352" s="14" t="s">
        <v>10</v>
      </c>
      <c r="D1352" s="18">
        <v>599.99</v>
      </c>
    </row>
    <row r="1353" spans="1:4" x14ac:dyDescent="0.3">
      <c r="A1353" s="12"/>
      <c r="B1353" s="12"/>
      <c r="C1353" s="14" t="s">
        <v>20</v>
      </c>
      <c r="D1353" s="18">
        <v>1999.98</v>
      </c>
    </row>
    <row r="1354" spans="1:4" x14ac:dyDescent="0.3">
      <c r="A1354" s="12"/>
      <c r="B1354" s="12"/>
      <c r="C1354" s="14" t="s">
        <v>29</v>
      </c>
      <c r="D1354" s="18">
        <v>7999.98</v>
      </c>
    </row>
    <row r="1355" spans="1:4" x14ac:dyDescent="0.3">
      <c r="A1355" s="12"/>
      <c r="B1355" s="10" t="s">
        <v>1917</v>
      </c>
      <c r="C1355" s="11"/>
      <c r="D1355" s="17">
        <v>11799.93</v>
      </c>
    </row>
    <row r="1356" spans="1:4" x14ac:dyDescent="0.3">
      <c r="A1356" s="10" t="s">
        <v>578</v>
      </c>
      <c r="B1356" s="11"/>
      <c r="C1356" s="11"/>
      <c r="D1356" s="17">
        <v>11799.93</v>
      </c>
    </row>
    <row r="1357" spans="1:4" x14ac:dyDescent="0.3">
      <c r="A1357" s="10">
        <v>283</v>
      </c>
      <c r="B1357" s="10" t="s">
        <v>11</v>
      </c>
      <c r="C1357" s="10" t="s">
        <v>14</v>
      </c>
      <c r="D1357" s="17">
        <v>1199.98</v>
      </c>
    </row>
    <row r="1358" spans="1:4" x14ac:dyDescent="0.3">
      <c r="A1358" s="12"/>
      <c r="B1358" s="12"/>
      <c r="C1358" s="14" t="s">
        <v>26</v>
      </c>
      <c r="D1358" s="18">
        <v>2999.99</v>
      </c>
    </row>
    <row r="1359" spans="1:4" x14ac:dyDescent="0.3">
      <c r="A1359" s="12"/>
      <c r="B1359" s="10" t="s">
        <v>1915</v>
      </c>
      <c r="C1359" s="11"/>
      <c r="D1359" s="17">
        <v>4199.9699999999993</v>
      </c>
    </row>
    <row r="1360" spans="1:4" x14ac:dyDescent="0.3">
      <c r="A1360" s="10" t="s">
        <v>579</v>
      </c>
      <c r="B1360" s="11"/>
      <c r="C1360" s="11"/>
      <c r="D1360" s="17">
        <v>4199.9699999999993</v>
      </c>
    </row>
    <row r="1361" spans="1:4" x14ac:dyDescent="0.3">
      <c r="A1361" s="10">
        <v>284</v>
      </c>
      <c r="B1361" s="10" t="s">
        <v>18</v>
      </c>
      <c r="C1361" s="10" t="s">
        <v>25</v>
      </c>
      <c r="D1361" s="17">
        <v>1099.98</v>
      </c>
    </row>
    <row r="1362" spans="1:4" x14ac:dyDescent="0.3">
      <c r="A1362" s="12"/>
      <c r="B1362" s="12"/>
      <c r="C1362" s="14" t="s">
        <v>10</v>
      </c>
      <c r="D1362" s="18">
        <v>599.99</v>
      </c>
    </row>
    <row r="1363" spans="1:4" x14ac:dyDescent="0.3">
      <c r="A1363" s="12"/>
      <c r="B1363" s="10" t="s">
        <v>1916</v>
      </c>
      <c r="C1363" s="11"/>
      <c r="D1363" s="17">
        <v>1699.97</v>
      </c>
    </row>
    <row r="1364" spans="1:4" x14ac:dyDescent="0.3">
      <c r="A1364" s="10" t="s">
        <v>580</v>
      </c>
      <c r="B1364" s="11"/>
      <c r="C1364" s="11"/>
      <c r="D1364" s="17">
        <v>1699.97</v>
      </c>
    </row>
    <row r="1365" spans="1:4" x14ac:dyDescent="0.3">
      <c r="A1365" s="10">
        <v>285</v>
      </c>
      <c r="B1365" s="10" t="s">
        <v>11</v>
      </c>
      <c r="C1365" s="10" t="s">
        <v>25</v>
      </c>
      <c r="D1365" s="17">
        <v>549.99</v>
      </c>
    </row>
    <row r="1366" spans="1:4" x14ac:dyDescent="0.3">
      <c r="A1366" s="12"/>
      <c r="B1366" s="12"/>
      <c r="C1366" s="14" t="s">
        <v>14</v>
      </c>
      <c r="D1366" s="18">
        <v>1199.98</v>
      </c>
    </row>
    <row r="1367" spans="1:4" x14ac:dyDescent="0.3">
      <c r="A1367" s="12"/>
      <c r="B1367" s="12"/>
      <c r="C1367" s="14" t="s">
        <v>22</v>
      </c>
      <c r="D1367" s="18">
        <v>749.99</v>
      </c>
    </row>
    <row r="1368" spans="1:4" x14ac:dyDescent="0.3">
      <c r="A1368" s="12"/>
      <c r="B1368" s="10" t="s">
        <v>1915</v>
      </c>
      <c r="C1368" s="11"/>
      <c r="D1368" s="17">
        <v>2499.96</v>
      </c>
    </row>
    <row r="1369" spans="1:4" x14ac:dyDescent="0.3">
      <c r="A1369" s="10" t="s">
        <v>581</v>
      </c>
      <c r="B1369" s="11"/>
      <c r="C1369" s="11"/>
      <c r="D1369" s="17">
        <v>2499.96</v>
      </c>
    </row>
    <row r="1370" spans="1:4" x14ac:dyDescent="0.3">
      <c r="A1370" s="10">
        <v>286</v>
      </c>
      <c r="B1370" s="10" t="s">
        <v>18</v>
      </c>
      <c r="C1370" s="10" t="s">
        <v>31</v>
      </c>
      <c r="D1370" s="17">
        <v>539.98</v>
      </c>
    </row>
    <row r="1371" spans="1:4" x14ac:dyDescent="0.3">
      <c r="A1371" s="12"/>
      <c r="B1371" s="12"/>
      <c r="C1371" s="14" t="s">
        <v>14</v>
      </c>
      <c r="D1371" s="18">
        <v>2399.96</v>
      </c>
    </row>
    <row r="1372" spans="1:4" x14ac:dyDescent="0.3">
      <c r="A1372" s="12"/>
      <c r="B1372" s="12"/>
      <c r="C1372" s="14" t="s">
        <v>29</v>
      </c>
      <c r="D1372" s="18">
        <v>3999.99</v>
      </c>
    </row>
    <row r="1373" spans="1:4" x14ac:dyDescent="0.3">
      <c r="A1373" s="12"/>
      <c r="B1373" s="10" t="s">
        <v>1916</v>
      </c>
      <c r="C1373" s="11"/>
      <c r="D1373" s="17">
        <v>6939.93</v>
      </c>
    </row>
    <row r="1374" spans="1:4" x14ac:dyDescent="0.3">
      <c r="A1374" s="10" t="s">
        <v>582</v>
      </c>
      <c r="B1374" s="11"/>
      <c r="C1374" s="11"/>
      <c r="D1374" s="17">
        <v>6939.93</v>
      </c>
    </row>
    <row r="1375" spans="1:4" x14ac:dyDescent="0.3">
      <c r="A1375" s="10">
        <v>287</v>
      </c>
      <c r="B1375" s="10" t="s">
        <v>18</v>
      </c>
      <c r="C1375" s="10" t="s">
        <v>10</v>
      </c>
      <c r="D1375" s="17">
        <v>599.99</v>
      </c>
    </row>
    <row r="1376" spans="1:4" x14ac:dyDescent="0.3">
      <c r="A1376" s="12"/>
      <c r="B1376" s="12"/>
      <c r="C1376" s="14" t="s">
        <v>34</v>
      </c>
      <c r="D1376" s="18">
        <v>1320.99</v>
      </c>
    </row>
    <row r="1377" spans="1:4" x14ac:dyDescent="0.3">
      <c r="A1377" s="12"/>
      <c r="B1377" s="12"/>
      <c r="C1377" s="14" t="s">
        <v>22</v>
      </c>
      <c r="D1377" s="18">
        <v>749.99</v>
      </c>
    </row>
    <row r="1378" spans="1:4" x14ac:dyDescent="0.3">
      <c r="A1378" s="12"/>
      <c r="B1378" s="12"/>
      <c r="C1378" s="14" t="s">
        <v>13</v>
      </c>
      <c r="D1378" s="18">
        <v>1549</v>
      </c>
    </row>
    <row r="1379" spans="1:4" x14ac:dyDescent="0.3">
      <c r="A1379" s="12"/>
      <c r="B1379" s="10" t="s">
        <v>1916</v>
      </c>
      <c r="C1379" s="11"/>
      <c r="D1379" s="17">
        <v>4219.97</v>
      </c>
    </row>
    <row r="1380" spans="1:4" x14ac:dyDescent="0.3">
      <c r="A1380" s="10" t="s">
        <v>583</v>
      </c>
      <c r="B1380" s="11"/>
      <c r="C1380" s="11"/>
      <c r="D1380" s="17">
        <v>4219.97</v>
      </c>
    </row>
    <row r="1381" spans="1:4" x14ac:dyDescent="0.3">
      <c r="A1381" s="10">
        <v>288</v>
      </c>
      <c r="B1381" s="10" t="s">
        <v>18</v>
      </c>
      <c r="C1381" s="10" t="s">
        <v>13</v>
      </c>
      <c r="D1381" s="17">
        <v>1549</v>
      </c>
    </row>
    <row r="1382" spans="1:4" x14ac:dyDescent="0.3">
      <c r="A1382" s="12"/>
      <c r="B1382" s="12"/>
      <c r="C1382" s="14" t="s">
        <v>16</v>
      </c>
      <c r="D1382" s="18">
        <v>2899.99</v>
      </c>
    </row>
    <row r="1383" spans="1:4" x14ac:dyDescent="0.3">
      <c r="A1383" s="12"/>
      <c r="B1383" s="12"/>
      <c r="C1383" s="14" t="s">
        <v>29</v>
      </c>
      <c r="D1383" s="18">
        <v>7999.98</v>
      </c>
    </row>
    <row r="1384" spans="1:4" x14ac:dyDescent="0.3">
      <c r="A1384" s="12"/>
      <c r="B1384" s="10" t="s">
        <v>1916</v>
      </c>
      <c r="C1384" s="11"/>
      <c r="D1384" s="17">
        <v>12448.97</v>
      </c>
    </row>
    <row r="1385" spans="1:4" x14ac:dyDescent="0.3">
      <c r="A1385" s="10" t="s">
        <v>584</v>
      </c>
      <c r="B1385" s="11"/>
      <c r="C1385" s="11"/>
      <c r="D1385" s="17">
        <v>12448.97</v>
      </c>
    </row>
    <row r="1386" spans="1:4" x14ac:dyDescent="0.3">
      <c r="A1386" s="10">
        <v>289</v>
      </c>
      <c r="B1386" s="10" t="s">
        <v>18</v>
      </c>
      <c r="C1386" s="10" t="s">
        <v>31</v>
      </c>
      <c r="D1386" s="17">
        <v>269.99</v>
      </c>
    </row>
    <row r="1387" spans="1:4" x14ac:dyDescent="0.3">
      <c r="A1387" s="12"/>
      <c r="B1387" s="12"/>
      <c r="C1387" s="14" t="s">
        <v>25</v>
      </c>
      <c r="D1387" s="18">
        <v>549.99</v>
      </c>
    </row>
    <row r="1388" spans="1:4" x14ac:dyDescent="0.3">
      <c r="A1388" s="12"/>
      <c r="B1388" s="12"/>
      <c r="C1388" s="14" t="s">
        <v>23</v>
      </c>
      <c r="D1388" s="18">
        <v>429</v>
      </c>
    </row>
    <row r="1389" spans="1:4" x14ac:dyDescent="0.3">
      <c r="A1389" s="12"/>
      <c r="B1389" s="10" t="s">
        <v>1916</v>
      </c>
      <c r="C1389" s="11"/>
      <c r="D1389" s="17">
        <v>1248.98</v>
      </c>
    </row>
    <row r="1390" spans="1:4" x14ac:dyDescent="0.3">
      <c r="A1390" s="10" t="s">
        <v>585</v>
      </c>
      <c r="B1390" s="11"/>
      <c r="C1390" s="11"/>
      <c r="D1390" s="17">
        <v>1248.98</v>
      </c>
    </row>
    <row r="1391" spans="1:4" x14ac:dyDescent="0.3">
      <c r="A1391" s="10">
        <v>290</v>
      </c>
      <c r="B1391" s="10" t="s">
        <v>18</v>
      </c>
      <c r="C1391" s="10" t="s">
        <v>31</v>
      </c>
      <c r="D1391" s="17">
        <v>269.99</v>
      </c>
    </row>
    <row r="1392" spans="1:4" x14ac:dyDescent="0.3">
      <c r="A1392" s="12"/>
      <c r="B1392" s="12"/>
      <c r="C1392" s="14" t="s">
        <v>34</v>
      </c>
      <c r="D1392" s="18">
        <v>2641.98</v>
      </c>
    </row>
    <row r="1393" spans="1:4" x14ac:dyDescent="0.3">
      <c r="A1393" s="12"/>
      <c r="B1393" s="12"/>
      <c r="C1393" s="14" t="s">
        <v>22</v>
      </c>
      <c r="D1393" s="18">
        <v>1499.98</v>
      </c>
    </row>
    <row r="1394" spans="1:4" x14ac:dyDescent="0.3">
      <c r="A1394" s="12"/>
      <c r="B1394" s="10" t="s">
        <v>1916</v>
      </c>
      <c r="C1394" s="11"/>
      <c r="D1394" s="17">
        <v>4411.9500000000007</v>
      </c>
    </row>
    <row r="1395" spans="1:4" x14ac:dyDescent="0.3">
      <c r="A1395" s="10" t="s">
        <v>586</v>
      </c>
      <c r="B1395" s="11"/>
      <c r="C1395" s="11"/>
      <c r="D1395" s="17">
        <v>4411.9500000000007</v>
      </c>
    </row>
    <row r="1396" spans="1:4" x14ac:dyDescent="0.3">
      <c r="A1396" s="10">
        <v>291</v>
      </c>
      <c r="B1396" s="10" t="s">
        <v>18</v>
      </c>
      <c r="C1396" s="10" t="s">
        <v>31</v>
      </c>
      <c r="D1396" s="17">
        <v>539.98</v>
      </c>
    </row>
    <row r="1397" spans="1:4" x14ac:dyDescent="0.3">
      <c r="A1397" s="12"/>
      <c r="B1397" s="12"/>
      <c r="C1397" s="14" t="s">
        <v>32</v>
      </c>
      <c r="D1397" s="18">
        <v>939.98</v>
      </c>
    </row>
    <row r="1398" spans="1:4" x14ac:dyDescent="0.3">
      <c r="A1398" s="12"/>
      <c r="B1398" s="10" t="s">
        <v>1916</v>
      </c>
      <c r="C1398" s="11"/>
      <c r="D1398" s="17">
        <v>1479.96</v>
      </c>
    </row>
    <row r="1399" spans="1:4" x14ac:dyDescent="0.3">
      <c r="A1399" s="10" t="s">
        <v>587</v>
      </c>
      <c r="B1399" s="11"/>
      <c r="C1399" s="11"/>
      <c r="D1399" s="17">
        <v>1479.96</v>
      </c>
    </row>
    <row r="1400" spans="1:4" x14ac:dyDescent="0.3">
      <c r="A1400" s="10">
        <v>292</v>
      </c>
      <c r="B1400" s="10" t="s">
        <v>37</v>
      </c>
      <c r="C1400" s="10" t="s">
        <v>24</v>
      </c>
      <c r="D1400" s="17">
        <v>898</v>
      </c>
    </row>
    <row r="1401" spans="1:4" x14ac:dyDescent="0.3">
      <c r="A1401" s="12"/>
      <c r="B1401" s="12"/>
      <c r="C1401" s="14" t="s">
        <v>13</v>
      </c>
      <c r="D1401" s="18">
        <v>3098</v>
      </c>
    </row>
    <row r="1402" spans="1:4" x14ac:dyDescent="0.3">
      <c r="A1402" s="12"/>
      <c r="B1402" s="12"/>
      <c r="C1402" s="14" t="s">
        <v>16</v>
      </c>
      <c r="D1402" s="18">
        <v>2899.99</v>
      </c>
    </row>
    <row r="1403" spans="1:4" x14ac:dyDescent="0.3">
      <c r="A1403" s="12"/>
      <c r="B1403" s="10" t="s">
        <v>1917</v>
      </c>
      <c r="C1403" s="11"/>
      <c r="D1403" s="17">
        <v>6895.99</v>
      </c>
    </row>
    <row r="1404" spans="1:4" x14ac:dyDescent="0.3">
      <c r="A1404" s="10" t="s">
        <v>588</v>
      </c>
      <c r="B1404" s="11"/>
      <c r="C1404" s="11"/>
      <c r="D1404" s="17">
        <v>6895.99</v>
      </c>
    </row>
    <row r="1405" spans="1:4" x14ac:dyDescent="0.3">
      <c r="A1405" s="10">
        <v>293</v>
      </c>
      <c r="B1405" s="10" t="s">
        <v>18</v>
      </c>
      <c r="C1405" s="10" t="s">
        <v>36</v>
      </c>
      <c r="D1405" s="17">
        <v>898</v>
      </c>
    </row>
    <row r="1406" spans="1:4" x14ac:dyDescent="0.3">
      <c r="A1406" s="12"/>
      <c r="B1406" s="12"/>
      <c r="C1406" s="14" t="s">
        <v>32</v>
      </c>
      <c r="D1406" s="18">
        <v>469.99</v>
      </c>
    </row>
    <row r="1407" spans="1:4" x14ac:dyDescent="0.3">
      <c r="A1407" s="12"/>
      <c r="B1407" s="10" t="s">
        <v>1916</v>
      </c>
      <c r="C1407" s="11"/>
      <c r="D1407" s="17">
        <v>1367.99</v>
      </c>
    </row>
    <row r="1408" spans="1:4" x14ac:dyDescent="0.3">
      <c r="A1408" s="10" t="s">
        <v>589</v>
      </c>
      <c r="B1408" s="11"/>
      <c r="C1408" s="11"/>
      <c r="D1408" s="17">
        <v>1367.99</v>
      </c>
    </row>
    <row r="1409" spans="1:4" x14ac:dyDescent="0.3">
      <c r="A1409" s="10">
        <v>294</v>
      </c>
      <c r="B1409" s="10" t="s">
        <v>18</v>
      </c>
      <c r="C1409" s="10" t="s">
        <v>28</v>
      </c>
      <c r="D1409" s="17">
        <v>269.99</v>
      </c>
    </row>
    <row r="1410" spans="1:4" x14ac:dyDescent="0.3">
      <c r="A1410" s="12"/>
      <c r="B1410" s="12"/>
      <c r="C1410" s="14" t="s">
        <v>35</v>
      </c>
      <c r="D1410" s="18">
        <v>999.98</v>
      </c>
    </row>
    <row r="1411" spans="1:4" x14ac:dyDescent="0.3">
      <c r="A1411" s="12"/>
      <c r="B1411" s="12"/>
      <c r="C1411" s="14" t="s">
        <v>24</v>
      </c>
      <c r="D1411" s="18">
        <v>449</v>
      </c>
    </row>
    <row r="1412" spans="1:4" x14ac:dyDescent="0.3">
      <c r="A1412" s="12"/>
      <c r="B1412" s="12"/>
      <c r="C1412" s="14" t="s">
        <v>29</v>
      </c>
      <c r="D1412" s="18">
        <v>7999.98</v>
      </c>
    </row>
    <row r="1413" spans="1:4" x14ac:dyDescent="0.3">
      <c r="A1413" s="12"/>
      <c r="B1413" s="10" t="s">
        <v>1916</v>
      </c>
      <c r="C1413" s="11"/>
      <c r="D1413" s="17">
        <v>9718.9499999999989</v>
      </c>
    </row>
    <row r="1414" spans="1:4" x14ac:dyDescent="0.3">
      <c r="A1414" s="10" t="s">
        <v>590</v>
      </c>
      <c r="B1414" s="11"/>
      <c r="C1414" s="11"/>
      <c r="D1414" s="17">
        <v>9718.9499999999989</v>
      </c>
    </row>
    <row r="1415" spans="1:4" x14ac:dyDescent="0.3">
      <c r="A1415" s="10">
        <v>295</v>
      </c>
      <c r="B1415" s="10" t="s">
        <v>18</v>
      </c>
      <c r="C1415" s="10" t="s">
        <v>28</v>
      </c>
      <c r="D1415" s="17">
        <v>539.98</v>
      </c>
    </row>
    <row r="1416" spans="1:4" x14ac:dyDescent="0.3">
      <c r="A1416" s="12"/>
      <c r="B1416" s="10" t="s">
        <v>1916</v>
      </c>
      <c r="C1416" s="11"/>
      <c r="D1416" s="17">
        <v>539.98</v>
      </c>
    </row>
    <row r="1417" spans="1:4" x14ac:dyDescent="0.3">
      <c r="A1417" s="10" t="s">
        <v>591</v>
      </c>
      <c r="B1417" s="11"/>
      <c r="C1417" s="11"/>
      <c r="D1417" s="17">
        <v>539.98</v>
      </c>
    </row>
    <row r="1418" spans="1:4" x14ac:dyDescent="0.3">
      <c r="A1418" s="10">
        <v>296</v>
      </c>
      <c r="B1418" s="10" t="s">
        <v>18</v>
      </c>
      <c r="C1418" s="10" t="s">
        <v>25</v>
      </c>
      <c r="D1418" s="17">
        <v>1099.98</v>
      </c>
    </row>
    <row r="1419" spans="1:4" x14ac:dyDescent="0.3">
      <c r="A1419" s="12"/>
      <c r="B1419" s="12"/>
      <c r="C1419" s="14" t="s">
        <v>35</v>
      </c>
      <c r="D1419" s="18">
        <v>999.98</v>
      </c>
    </row>
    <row r="1420" spans="1:4" x14ac:dyDescent="0.3">
      <c r="A1420" s="12"/>
      <c r="B1420" s="12"/>
      <c r="C1420" s="14" t="s">
        <v>30</v>
      </c>
      <c r="D1420" s="18">
        <v>3361.98</v>
      </c>
    </row>
    <row r="1421" spans="1:4" x14ac:dyDescent="0.3">
      <c r="A1421" s="12"/>
      <c r="B1421" s="12"/>
      <c r="C1421" s="14" t="s">
        <v>26</v>
      </c>
      <c r="D1421" s="18">
        <v>2999.99</v>
      </c>
    </row>
    <row r="1422" spans="1:4" x14ac:dyDescent="0.3">
      <c r="A1422" s="12"/>
      <c r="B1422" s="10" t="s">
        <v>1916</v>
      </c>
      <c r="C1422" s="11"/>
      <c r="D1422" s="17">
        <v>8461.93</v>
      </c>
    </row>
    <row r="1423" spans="1:4" x14ac:dyDescent="0.3">
      <c r="A1423" s="10" t="s">
        <v>592</v>
      </c>
      <c r="B1423" s="11"/>
      <c r="C1423" s="11"/>
      <c r="D1423" s="17">
        <v>8461.93</v>
      </c>
    </row>
    <row r="1424" spans="1:4" x14ac:dyDescent="0.3">
      <c r="A1424" s="10">
        <v>297</v>
      </c>
      <c r="B1424" s="10" t="s">
        <v>18</v>
      </c>
      <c r="C1424" s="10" t="s">
        <v>16</v>
      </c>
      <c r="D1424" s="17">
        <v>5799.98</v>
      </c>
    </row>
    <row r="1425" spans="1:4" x14ac:dyDescent="0.3">
      <c r="A1425" s="12"/>
      <c r="B1425" s="10" t="s">
        <v>1916</v>
      </c>
      <c r="C1425" s="11"/>
      <c r="D1425" s="17">
        <v>5799.98</v>
      </c>
    </row>
    <row r="1426" spans="1:4" x14ac:dyDescent="0.3">
      <c r="A1426" s="10" t="s">
        <v>593</v>
      </c>
      <c r="B1426" s="11"/>
      <c r="C1426" s="11"/>
      <c r="D1426" s="17">
        <v>5799.98</v>
      </c>
    </row>
    <row r="1427" spans="1:4" x14ac:dyDescent="0.3">
      <c r="A1427" s="10">
        <v>298</v>
      </c>
      <c r="B1427" s="10" t="s">
        <v>37</v>
      </c>
      <c r="C1427" s="10" t="s">
        <v>28</v>
      </c>
      <c r="D1427" s="17">
        <v>809.97</v>
      </c>
    </row>
    <row r="1428" spans="1:4" x14ac:dyDescent="0.3">
      <c r="A1428" s="12"/>
      <c r="B1428" s="12"/>
      <c r="C1428" s="14" t="s">
        <v>33</v>
      </c>
      <c r="D1428" s="18">
        <v>299.99</v>
      </c>
    </row>
    <row r="1429" spans="1:4" x14ac:dyDescent="0.3">
      <c r="A1429" s="12"/>
      <c r="B1429" s="12"/>
      <c r="C1429" s="14" t="s">
        <v>32</v>
      </c>
      <c r="D1429" s="18">
        <v>939.98</v>
      </c>
    </row>
    <row r="1430" spans="1:4" x14ac:dyDescent="0.3">
      <c r="A1430" s="12"/>
      <c r="B1430" s="12"/>
      <c r="C1430" s="14" t="s">
        <v>26</v>
      </c>
      <c r="D1430" s="18">
        <v>2999.99</v>
      </c>
    </row>
    <row r="1431" spans="1:4" x14ac:dyDescent="0.3">
      <c r="A1431" s="12"/>
      <c r="B1431" s="10" t="s">
        <v>1917</v>
      </c>
      <c r="C1431" s="11"/>
      <c r="D1431" s="17">
        <v>5049.93</v>
      </c>
    </row>
    <row r="1432" spans="1:4" x14ac:dyDescent="0.3">
      <c r="A1432" s="10" t="s">
        <v>594</v>
      </c>
      <c r="B1432" s="11"/>
      <c r="C1432" s="11"/>
      <c r="D1432" s="17">
        <v>5049.93</v>
      </c>
    </row>
    <row r="1433" spans="1:4" x14ac:dyDescent="0.3">
      <c r="A1433" s="10">
        <v>299</v>
      </c>
      <c r="B1433" s="10" t="s">
        <v>18</v>
      </c>
      <c r="C1433" s="10" t="s">
        <v>13</v>
      </c>
      <c r="D1433" s="17">
        <v>3098</v>
      </c>
    </row>
    <row r="1434" spans="1:4" x14ac:dyDescent="0.3">
      <c r="A1434" s="12"/>
      <c r="B1434" s="12"/>
      <c r="C1434" s="14" t="s">
        <v>30</v>
      </c>
      <c r="D1434" s="18">
        <v>3361.98</v>
      </c>
    </row>
    <row r="1435" spans="1:4" x14ac:dyDescent="0.3">
      <c r="A1435" s="12"/>
      <c r="B1435" s="10" t="s">
        <v>1916</v>
      </c>
      <c r="C1435" s="11"/>
      <c r="D1435" s="17">
        <v>6459.98</v>
      </c>
    </row>
    <row r="1436" spans="1:4" x14ac:dyDescent="0.3">
      <c r="A1436" s="10" t="s">
        <v>595</v>
      </c>
      <c r="B1436" s="11"/>
      <c r="C1436" s="11"/>
      <c r="D1436" s="17">
        <v>6459.98</v>
      </c>
    </row>
    <row r="1437" spans="1:4" x14ac:dyDescent="0.3">
      <c r="A1437" s="10">
        <v>300</v>
      </c>
      <c r="B1437" s="10" t="s">
        <v>18</v>
      </c>
      <c r="C1437" s="10" t="s">
        <v>14</v>
      </c>
      <c r="D1437" s="17">
        <v>1199.98</v>
      </c>
    </row>
    <row r="1438" spans="1:4" x14ac:dyDescent="0.3">
      <c r="A1438" s="12"/>
      <c r="B1438" s="12"/>
      <c r="C1438" s="14" t="s">
        <v>13</v>
      </c>
      <c r="D1438" s="18">
        <v>1549</v>
      </c>
    </row>
    <row r="1439" spans="1:4" x14ac:dyDescent="0.3">
      <c r="A1439" s="12"/>
      <c r="B1439" s="12"/>
      <c r="C1439" s="14" t="s">
        <v>30</v>
      </c>
      <c r="D1439" s="18">
        <v>3361.98</v>
      </c>
    </row>
    <row r="1440" spans="1:4" x14ac:dyDescent="0.3">
      <c r="A1440" s="12"/>
      <c r="B1440" s="12"/>
      <c r="C1440" s="14" t="s">
        <v>26</v>
      </c>
      <c r="D1440" s="18">
        <v>5999.98</v>
      </c>
    </row>
    <row r="1441" spans="1:4" x14ac:dyDescent="0.3">
      <c r="A1441" s="12"/>
      <c r="B1441" s="10" t="s">
        <v>1916</v>
      </c>
      <c r="C1441" s="11"/>
      <c r="D1441" s="17">
        <v>12110.939999999999</v>
      </c>
    </row>
    <row r="1442" spans="1:4" x14ac:dyDescent="0.3">
      <c r="A1442" s="10" t="s">
        <v>596</v>
      </c>
      <c r="B1442" s="11"/>
      <c r="C1442" s="11"/>
      <c r="D1442" s="17">
        <v>12110.939999999999</v>
      </c>
    </row>
    <row r="1443" spans="1:4" x14ac:dyDescent="0.3">
      <c r="A1443" s="10">
        <v>301</v>
      </c>
      <c r="B1443" s="10" t="s">
        <v>18</v>
      </c>
      <c r="C1443" s="10" t="s">
        <v>28</v>
      </c>
      <c r="D1443" s="17">
        <v>269.99</v>
      </c>
    </row>
    <row r="1444" spans="1:4" x14ac:dyDescent="0.3">
      <c r="A1444" s="12"/>
      <c r="B1444" s="12"/>
      <c r="C1444" s="14" t="s">
        <v>32</v>
      </c>
      <c r="D1444" s="18">
        <v>469.99</v>
      </c>
    </row>
    <row r="1445" spans="1:4" x14ac:dyDescent="0.3">
      <c r="A1445" s="12"/>
      <c r="B1445" s="10" t="s">
        <v>1916</v>
      </c>
      <c r="C1445" s="11"/>
      <c r="D1445" s="17">
        <v>739.98</v>
      </c>
    </row>
    <row r="1446" spans="1:4" x14ac:dyDescent="0.3">
      <c r="A1446" s="10" t="s">
        <v>597</v>
      </c>
      <c r="B1446" s="11"/>
      <c r="C1446" s="11"/>
      <c r="D1446" s="17">
        <v>739.98</v>
      </c>
    </row>
    <row r="1447" spans="1:4" x14ac:dyDescent="0.3">
      <c r="A1447" s="10">
        <v>302</v>
      </c>
      <c r="B1447" s="10" t="s">
        <v>18</v>
      </c>
      <c r="C1447" s="10" t="s">
        <v>25</v>
      </c>
      <c r="D1447" s="17">
        <v>1099.98</v>
      </c>
    </row>
    <row r="1448" spans="1:4" x14ac:dyDescent="0.3">
      <c r="A1448" s="12"/>
      <c r="B1448" s="12"/>
      <c r="C1448" s="14" t="s">
        <v>24</v>
      </c>
      <c r="D1448" s="18">
        <v>898</v>
      </c>
    </row>
    <row r="1449" spans="1:4" x14ac:dyDescent="0.3">
      <c r="A1449" s="12"/>
      <c r="B1449" s="12"/>
      <c r="C1449" s="14" t="s">
        <v>22</v>
      </c>
      <c r="D1449" s="18">
        <v>1499.98</v>
      </c>
    </row>
    <row r="1450" spans="1:4" x14ac:dyDescent="0.3">
      <c r="A1450" s="12"/>
      <c r="B1450" s="10" t="s">
        <v>1916</v>
      </c>
      <c r="C1450" s="11"/>
      <c r="D1450" s="17">
        <v>3497.96</v>
      </c>
    </row>
    <row r="1451" spans="1:4" x14ac:dyDescent="0.3">
      <c r="A1451" s="10" t="s">
        <v>598</v>
      </c>
      <c r="B1451" s="11"/>
      <c r="C1451" s="11"/>
      <c r="D1451" s="17">
        <v>3497.96</v>
      </c>
    </row>
    <row r="1452" spans="1:4" x14ac:dyDescent="0.3">
      <c r="A1452" s="10">
        <v>303</v>
      </c>
      <c r="B1452" s="10" t="s">
        <v>18</v>
      </c>
      <c r="C1452" s="10" t="s">
        <v>25</v>
      </c>
      <c r="D1452" s="17">
        <v>1099.98</v>
      </c>
    </row>
    <row r="1453" spans="1:4" x14ac:dyDescent="0.3">
      <c r="A1453" s="12"/>
      <c r="B1453" s="12"/>
      <c r="C1453" s="14" t="s">
        <v>12</v>
      </c>
      <c r="D1453" s="18">
        <v>3599.98</v>
      </c>
    </row>
    <row r="1454" spans="1:4" x14ac:dyDescent="0.3">
      <c r="A1454" s="12"/>
      <c r="B1454" s="10" t="s">
        <v>1916</v>
      </c>
      <c r="C1454" s="11"/>
      <c r="D1454" s="17">
        <v>4699.96</v>
      </c>
    </row>
    <row r="1455" spans="1:4" x14ac:dyDescent="0.3">
      <c r="A1455" s="10" t="s">
        <v>599</v>
      </c>
      <c r="B1455" s="11"/>
      <c r="C1455" s="11"/>
      <c r="D1455" s="17">
        <v>4699.96</v>
      </c>
    </row>
    <row r="1456" spans="1:4" x14ac:dyDescent="0.3">
      <c r="A1456" s="10">
        <v>304</v>
      </c>
      <c r="B1456" s="10" t="s">
        <v>18</v>
      </c>
      <c r="C1456" s="10" t="s">
        <v>10</v>
      </c>
      <c r="D1456" s="17">
        <v>599.99</v>
      </c>
    </row>
    <row r="1457" spans="1:4" x14ac:dyDescent="0.3">
      <c r="A1457" s="12"/>
      <c r="B1457" s="12"/>
      <c r="C1457" s="14" t="s">
        <v>13</v>
      </c>
      <c r="D1457" s="18">
        <v>1549</v>
      </c>
    </row>
    <row r="1458" spans="1:4" x14ac:dyDescent="0.3">
      <c r="A1458" s="12"/>
      <c r="B1458" s="12"/>
      <c r="C1458" s="14" t="s">
        <v>29</v>
      </c>
      <c r="D1458" s="18">
        <v>7999.98</v>
      </c>
    </row>
    <row r="1459" spans="1:4" x14ac:dyDescent="0.3">
      <c r="A1459" s="12"/>
      <c r="B1459" s="10" t="s">
        <v>1916</v>
      </c>
      <c r="C1459" s="11"/>
      <c r="D1459" s="17">
        <v>10148.969999999999</v>
      </c>
    </row>
    <row r="1460" spans="1:4" x14ac:dyDescent="0.3">
      <c r="A1460" s="10" t="s">
        <v>600</v>
      </c>
      <c r="B1460" s="11"/>
      <c r="C1460" s="11"/>
      <c r="D1460" s="17">
        <v>10148.969999999999</v>
      </c>
    </row>
    <row r="1461" spans="1:4" x14ac:dyDescent="0.3">
      <c r="A1461" s="10">
        <v>305</v>
      </c>
      <c r="B1461" s="10" t="s">
        <v>18</v>
      </c>
      <c r="C1461" s="10" t="s">
        <v>32</v>
      </c>
      <c r="D1461" s="17">
        <v>469.99</v>
      </c>
    </row>
    <row r="1462" spans="1:4" x14ac:dyDescent="0.3">
      <c r="A1462" s="12"/>
      <c r="B1462" s="12"/>
      <c r="C1462" s="14" t="s">
        <v>13</v>
      </c>
      <c r="D1462" s="18">
        <v>1549</v>
      </c>
    </row>
    <row r="1463" spans="1:4" x14ac:dyDescent="0.3">
      <c r="A1463" s="12"/>
      <c r="B1463" s="12"/>
      <c r="C1463" s="14" t="s">
        <v>20</v>
      </c>
      <c r="D1463" s="18">
        <v>1999.98</v>
      </c>
    </row>
    <row r="1464" spans="1:4" x14ac:dyDescent="0.3">
      <c r="A1464" s="12"/>
      <c r="B1464" s="10" t="s">
        <v>1916</v>
      </c>
      <c r="C1464" s="11"/>
      <c r="D1464" s="17">
        <v>4018.9700000000003</v>
      </c>
    </row>
    <row r="1465" spans="1:4" x14ac:dyDescent="0.3">
      <c r="A1465" s="10" t="s">
        <v>601</v>
      </c>
      <c r="B1465" s="11"/>
      <c r="C1465" s="11"/>
      <c r="D1465" s="17">
        <v>4018.9700000000003</v>
      </c>
    </row>
    <row r="1466" spans="1:4" x14ac:dyDescent="0.3">
      <c r="A1466" s="10">
        <v>306</v>
      </c>
      <c r="B1466" s="10" t="s">
        <v>18</v>
      </c>
      <c r="C1466" s="10" t="s">
        <v>28</v>
      </c>
      <c r="D1466" s="17">
        <v>269.99</v>
      </c>
    </row>
    <row r="1467" spans="1:4" x14ac:dyDescent="0.3">
      <c r="A1467" s="12"/>
      <c r="B1467" s="12"/>
      <c r="C1467" s="14" t="s">
        <v>13</v>
      </c>
      <c r="D1467" s="18">
        <v>1549</v>
      </c>
    </row>
    <row r="1468" spans="1:4" x14ac:dyDescent="0.3">
      <c r="A1468" s="12"/>
      <c r="B1468" s="10" t="s">
        <v>1916</v>
      </c>
      <c r="C1468" s="11"/>
      <c r="D1468" s="17">
        <v>1818.99</v>
      </c>
    </row>
    <row r="1469" spans="1:4" x14ac:dyDescent="0.3">
      <c r="A1469" s="10" t="s">
        <v>602</v>
      </c>
      <c r="B1469" s="11"/>
      <c r="C1469" s="11"/>
      <c r="D1469" s="17">
        <v>1818.99</v>
      </c>
    </row>
    <row r="1470" spans="1:4" x14ac:dyDescent="0.3">
      <c r="A1470" s="10">
        <v>307</v>
      </c>
      <c r="B1470" s="10" t="s">
        <v>18</v>
      </c>
      <c r="C1470" s="10" t="s">
        <v>27</v>
      </c>
      <c r="D1470" s="17">
        <v>1059.98</v>
      </c>
    </row>
    <row r="1471" spans="1:4" x14ac:dyDescent="0.3">
      <c r="A1471" s="12"/>
      <c r="B1471" s="10" t="s">
        <v>1916</v>
      </c>
      <c r="C1471" s="11"/>
      <c r="D1471" s="17">
        <v>1059.98</v>
      </c>
    </row>
    <row r="1472" spans="1:4" x14ac:dyDescent="0.3">
      <c r="A1472" s="10" t="s">
        <v>603</v>
      </c>
      <c r="B1472" s="11"/>
      <c r="C1472" s="11"/>
      <c r="D1472" s="17">
        <v>1059.98</v>
      </c>
    </row>
    <row r="1473" spans="1:4" x14ac:dyDescent="0.3">
      <c r="A1473" s="10">
        <v>308</v>
      </c>
      <c r="B1473" s="10" t="s">
        <v>18</v>
      </c>
      <c r="C1473" s="10" t="s">
        <v>28</v>
      </c>
      <c r="D1473" s="17">
        <v>269.99</v>
      </c>
    </row>
    <row r="1474" spans="1:4" x14ac:dyDescent="0.3">
      <c r="A1474" s="12"/>
      <c r="B1474" s="12"/>
      <c r="C1474" s="14" t="s">
        <v>24</v>
      </c>
      <c r="D1474" s="18">
        <v>898</v>
      </c>
    </row>
    <row r="1475" spans="1:4" x14ac:dyDescent="0.3">
      <c r="A1475" s="12"/>
      <c r="B1475" s="12"/>
      <c r="C1475" s="14" t="s">
        <v>29</v>
      </c>
      <c r="D1475" s="18">
        <v>3999.99</v>
      </c>
    </row>
    <row r="1476" spans="1:4" x14ac:dyDescent="0.3">
      <c r="A1476" s="12"/>
      <c r="B1476" s="10" t="s">
        <v>1916</v>
      </c>
      <c r="C1476" s="11"/>
      <c r="D1476" s="17">
        <v>5167.9799999999996</v>
      </c>
    </row>
    <row r="1477" spans="1:4" x14ac:dyDescent="0.3">
      <c r="A1477" s="10" t="s">
        <v>604</v>
      </c>
      <c r="B1477" s="11"/>
      <c r="C1477" s="11"/>
      <c r="D1477" s="17">
        <v>5167.9799999999996</v>
      </c>
    </row>
    <row r="1478" spans="1:4" x14ac:dyDescent="0.3">
      <c r="A1478" s="10">
        <v>309</v>
      </c>
      <c r="B1478" s="10" t="s">
        <v>18</v>
      </c>
      <c r="C1478" s="10" t="s">
        <v>25</v>
      </c>
      <c r="D1478" s="17">
        <v>549.99</v>
      </c>
    </row>
    <row r="1479" spans="1:4" x14ac:dyDescent="0.3">
      <c r="A1479" s="12"/>
      <c r="B1479" s="12"/>
      <c r="C1479" s="14" t="s">
        <v>20</v>
      </c>
      <c r="D1479" s="18">
        <v>999.99</v>
      </c>
    </row>
    <row r="1480" spans="1:4" x14ac:dyDescent="0.3">
      <c r="A1480" s="12"/>
      <c r="B1480" s="10" t="s">
        <v>1916</v>
      </c>
      <c r="C1480" s="11"/>
      <c r="D1480" s="17">
        <v>1549.98</v>
      </c>
    </row>
    <row r="1481" spans="1:4" x14ac:dyDescent="0.3">
      <c r="A1481" s="10" t="s">
        <v>605</v>
      </c>
      <c r="B1481" s="11"/>
      <c r="C1481" s="11"/>
      <c r="D1481" s="17">
        <v>1549.98</v>
      </c>
    </row>
    <row r="1482" spans="1:4" x14ac:dyDescent="0.3">
      <c r="A1482" s="10">
        <v>310</v>
      </c>
      <c r="B1482" s="10" t="s">
        <v>11</v>
      </c>
      <c r="C1482" s="10" t="s">
        <v>28</v>
      </c>
      <c r="D1482" s="17">
        <v>539.98</v>
      </c>
    </row>
    <row r="1483" spans="1:4" x14ac:dyDescent="0.3">
      <c r="A1483" s="12"/>
      <c r="B1483" s="12"/>
      <c r="C1483" s="14" t="s">
        <v>34</v>
      </c>
      <c r="D1483" s="18">
        <v>2641.98</v>
      </c>
    </row>
    <row r="1484" spans="1:4" x14ac:dyDescent="0.3">
      <c r="A1484" s="12"/>
      <c r="B1484" s="12"/>
      <c r="C1484" s="14" t="s">
        <v>12</v>
      </c>
      <c r="D1484" s="18">
        <v>1799.99</v>
      </c>
    </row>
    <row r="1485" spans="1:4" x14ac:dyDescent="0.3">
      <c r="A1485" s="12"/>
      <c r="B1485" s="12"/>
      <c r="C1485" s="14" t="s">
        <v>29</v>
      </c>
      <c r="D1485" s="18">
        <v>7999.98</v>
      </c>
    </row>
    <row r="1486" spans="1:4" x14ac:dyDescent="0.3">
      <c r="A1486" s="12"/>
      <c r="B1486" s="10" t="s">
        <v>1915</v>
      </c>
      <c r="C1486" s="11"/>
      <c r="D1486" s="17">
        <v>12981.93</v>
      </c>
    </row>
    <row r="1487" spans="1:4" x14ac:dyDescent="0.3">
      <c r="A1487" s="10" t="s">
        <v>606</v>
      </c>
      <c r="B1487" s="11"/>
      <c r="C1487" s="11"/>
      <c r="D1487" s="17">
        <v>12981.93</v>
      </c>
    </row>
    <row r="1488" spans="1:4" x14ac:dyDescent="0.3">
      <c r="A1488" s="10">
        <v>311</v>
      </c>
      <c r="B1488" s="10" t="s">
        <v>18</v>
      </c>
      <c r="C1488" s="10" t="s">
        <v>34</v>
      </c>
      <c r="D1488" s="17">
        <v>2641.98</v>
      </c>
    </row>
    <row r="1489" spans="1:4" x14ac:dyDescent="0.3">
      <c r="A1489" s="12"/>
      <c r="B1489" s="12"/>
      <c r="C1489" s="14" t="s">
        <v>23</v>
      </c>
      <c r="D1489" s="18">
        <v>858</v>
      </c>
    </row>
    <row r="1490" spans="1:4" x14ac:dyDescent="0.3">
      <c r="A1490" s="12"/>
      <c r="B1490" s="10" t="s">
        <v>1916</v>
      </c>
      <c r="C1490" s="11"/>
      <c r="D1490" s="17">
        <v>3499.98</v>
      </c>
    </row>
    <row r="1491" spans="1:4" x14ac:dyDescent="0.3">
      <c r="A1491" s="10" t="s">
        <v>607</v>
      </c>
      <c r="B1491" s="11"/>
      <c r="C1491" s="11"/>
      <c r="D1491" s="17">
        <v>3499.98</v>
      </c>
    </row>
    <row r="1492" spans="1:4" x14ac:dyDescent="0.3">
      <c r="A1492" s="10">
        <v>312</v>
      </c>
      <c r="B1492" s="10" t="s">
        <v>18</v>
      </c>
      <c r="C1492" s="10" t="s">
        <v>28</v>
      </c>
      <c r="D1492" s="17">
        <v>539.98</v>
      </c>
    </row>
    <row r="1493" spans="1:4" x14ac:dyDescent="0.3">
      <c r="A1493" s="12"/>
      <c r="B1493" s="12"/>
      <c r="C1493" s="14" t="s">
        <v>25</v>
      </c>
      <c r="D1493" s="18">
        <v>1099.98</v>
      </c>
    </row>
    <row r="1494" spans="1:4" x14ac:dyDescent="0.3">
      <c r="A1494" s="12"/>
      <c r="B1494" s="12"/>
      <c r="C1494" s="14" t="s">
        <v>14</v>
      </c>
      <c r="D1494" s="18">
        <v>1199.98</v>
      </c>
    </row>
    <row r="1495" spans="1:4" x14ac:dyDescent="0.3">
      <c r="A1495" s="12"/>
      <c r="B1495" s="10" t="s">
        <v>1916</v>
      </c>
      <c r="C1495" s="11"/>
      <c r="D1495" s="17">
        <v>2839.94</v>
      </c>
    </row>
    <row r="1496" spans="1:4" x14ac:dyDescent="0.3">
      <c r="A1496" s="10" t="s">
        <v>608</v>
      </c>
      <c r="B1496" s="11"/>
      <c r="C1496" s="11"/>
      <c r="D1496" s="17">
        <v>2839.94</v>
      </c>
    </row>
    <row r="1497" spans="1:4" x14ac:dyDescent="0.3">
      <c r="A1497" s="10">
        <v>313</v>
      </c>
      <c r="B1497" s="10" t="s">
        <v>37</v>
      </c>
      <c r="C1497" s="10" t="s">
        <v>13</v>
      </c>
      <c r="D1497" s="17">
        <v>3098</v>
      </c>
    </row>
    <row r="1498" spans="1:4" x14ac:dyDescent="0.3">
      <c r="A1498" s="12"/>
      <c r="B1498" s="12"/>
      <c r="C1498" s="14" t="s">
        <v>16</v>
      </c>
      <c r="D1498" s="18">
        <v>2899.99</v>
      </c>
    </row>
    <row r="1499" spans="1:4" x14ac:dyDescent="0.3">
      <c r="A1499" s="12"/>
      <c r="B1499" s="10" t="s">
        <v>1917</v>
      </c>
      <c r="C1499" s="11"/>
      <c r="D1499" s="17">
        <v>5997.99</v>
      </c>
    </row>
    <row r="1500" spans="1:4" x14ac:dyDescent="0.3">
      <c r="A1500" s="10" t="s">
        <v>609</v>
      </c>
      <c r="B1500" s="11"/>
      <c r="C1500" s="11"/>
      <c r="D1500" s="17">
        <v>5997.99</v>
      </c>
    </row>
    <row r="1501" spans="1:4" x14ac:dyDescent="0.3">
      <c r="A1501" s="10">
        <v>314</v>
      </c>
      <c r="B1501" s="10" t="s">
        <v>18</v>
      </c>
      <c r="C1501" s="10" t="s">
        <v>28</v>
      </c>
      <c r="D1501" s="17">
        <v>539.98</v>
      </c>
    </row>
    <row r="1502" spans="1:4" x14ac:dyDescent="0.3">
      <c r="A1502" s="12"/>
      <c r="B1502" s="12"/>
      <c r="C1502" s="14" t="s">
        <v>34</v>
      </c>
      <c r="D1502" s="18">
        <v>1320.99</v>
      </c>
    </row>
    <row r="1503" spans="1:4" x14ac:dyDescent="0.3">
      <c r="A1503" s="12"/>
      <c r="B1503" s="12"/>
      <c r="C1503" s="14" t="s">
        <v>26</v>
      </c>
      <c r="D1503" s="18">
        <v>2999.99</v>
      </c>
    </row>
    <row r="1504" spans="1:4" x14ac:dyDescent="0.3">
      <c r="A1504" s="12"/>
      <c r="B1504" s="12"/>
      <c r="C1504" s="14" t="s">
        <v>29</v>
      </c>
      <c r="D1504" s="18">
        <v>7999.98</v>
      </c>
    </row>
    <row r="1505" spans="1:4" x14ac:dyDescent="0.3">
      <c r="A1505" s="12"/>
      <c r="B1505" s="10" t="s">
        <v>1916</v>
      </c>
      <c r="C1505" s="11"/>
      <c r="D1505" s="17">
        <v>12860.939999999999</v>
      </c>
    </row>
    <row r="1506" spans="1:4" x14ac:dyDescent="0.3">
      <c r="A1506" s="10" t="s">
        <v>610</v>
      </c>
      <c r="B1506" s="11"/>
      <c r="C1506" s="11"/>
      <c r="D1506" s="17">
        <v>12860.939999999999</v>
      </c>
    </row>
    <row r="1507" spans="1:4" x14ac:dyDescent="0.3">
      <c r="A1507" s="10">
        <v>315</v>
      </c>
      <c r="B1507" s="10" t="s">
        <v>18</v>
      </c>
      <c r="C1507" s="10" t="s">
        <v>30</v>
      </c>
      <c r="D1507" s="17">
        <v>1680.99</v>
      </c>
    </row>
    <row r="1508" spans="1:4" x14ac:dyDescent="0.3">
      <c r="A1508" s="12"/>
      <c r="B1508" s="12"/>
      <c r="C1508" s="14" t="s">
        <v>26</v>
      </c>
      <c r="D1508" s="18">
        <v>2999.99</v>
      </c>
    </row>
    <row r="1509" spans="1:4" x14ac:dyDescent="0.3">
      <c r="A1509" s="12"/>
      <c r="B1509" s="10" t="s">
        <v>1916</v>
      </c>
      <c r="C1509" s="11"/>
      <c r="D1509" s="17">
        <v>4680.9799999999996</v>
      </c>
    </row>
    <row r="1510" spans="1:4" x14ac:dyDescent="0.3">
      <c r="A1510" s="10" t="s">
        <v>611</v>
      </c>
      <c r="B1510" s="11"/>
      <c r="C1510" s="11"/>
      <c r="D1510" s="17">
        <v>4680.9799999999996</v>
      </c>
    </row>
    <row r="1511" spans="1:4" x14ac:dyDescent="0.3">
      <c r="A1511" s="10">
        <v>316</v>
      </c>
      <c r="B1511" s="10" t="s">
        <v>18</v>
      </c>
      <c r="C1511" s="10" t="s">
        <v>14</v>
      </c>
      <c r="D1511" s="17">
        <v>1199.98</v>
      </c>
    </row>
    <row r="1512" spans="1:4" x14ac:dyDescent="0.3">
      <c r="A1512" s="12"/>
      <c r="B1512" s="12"/>
      <c r="C1512" s="14" t="s">
        <v>10</v>
      </c>
      <c r="D1512" s="18">
        <v>599.99</v>
      </c>
    </row>
    <row r="1513" spans="1:4" x14ac:dyDescent="0.3">
      <c r="A1513" s="12"/>
      <c r="B1513" s="12"/>
      <c r="C1513" s="14" t="s">
        <v>23</v>
      </c>
      <c r="D1513" s="18">
        <v>429</v>
      </c>
    </row>
    <row r="1514" spans="1:4" x14ac:dyDescent="0.3">
      <c r="A1514" s="12"/>
      <c r="B1514" s="12"/>
      <c r="C1514" s="14" t="s">
        <v>36</v>
      </c>
      <c r="D1514" s="18">
        <v>449</v>
      </c>
    </row>
    <row r="1515" spans="1:4" x14ac:dyDescent="0.3">
      <c r="A1515" s="12"/>
      <c r="B1515" s="12"/>
      <c r="C1515" s="14" t="s">
        <v>22</v>
      </c>
      <c r="D1515" s="18">
        <v>1499.98</v>
      </c>
    </row>
    <row r="1516" spans="1:4" x14ac:dyDescent="0.3">
      <c r="A1516" s="12"/>
      <c r="B1516" s="10" t="s">
        <v>1916</v>
      </c>
      <c r="C1516" s="11"/>
      <c r="D1516" s="17">
        <v>4177.9500000000007</v>
      </c>
    </row>
    <row r="1517" spans="1:4" x14ac:dyDescent="0.3">
      <c r="A1517" s="10" t="s">
        <v>612</v>
      </c>
      <c r="B1517" s="11"/>
      <c r="C1517" s="11"/>
      <c r="D1517" s="17">
        <v>4177.9500000000007</v>
      </c>
    </row>
    <row r="1518" spans="1:4" x14ac:dyDescent="0.3">
      <c r="A1518" s="10">
        <v>317</v>
      </c>
      <c r="B1518" s="10" t="s">
        <v>18</v>
      </c>
      <c r="C1518" s="10" t="s">
        <v>31</v>
      </c>
      <c r="D1518" s="17">
        <v>539.98</v>
      </c>
    </row>
    <row r="1519" spans="1:4" x14ac:dyDescent="0.3">
      <c r="A1519" s="12"/>
      <c r="B1519" s="12"/>
      <c r="C1519" s="14" t="s">
        <v>28</v>
      </c>
      <c r="D1519" s="18">
        <v>269.99</v>
      </c>
    </row>
    <row r="1520" spans="1:4" x14ac:dyDescent="0.3">
      <c r="A1520" s="12"/>
      <c r="B1520" s="12"/>
      <c r="C1520" s="14" t="s">
        <v>27</v>
      </c>
      <c r="D1520" s="18">
        <v>529.99</v>
      </c>
    </row>
    <row r="1521" spans="1:4" x14ac:dyDescent="0.3">
      <c r="A1521" s="12"/>
      <c r="B1521" s="12"/>
      <c r="C1521" s="14" t="s">
        <v>13</v>
      </c>
      <c r="D1521" s="18">
        <v>1549</v>
      </c>
    </row>
    <row r="1522" spans="1:4" x14ac:dyDescent="0.3">
      <c r="A1522" s="12"/>
      <c r="B1522" s="10" t="s">
        <v>1916</v>
      </c>
      <c r="C1522" s="11"/>
      <c r="D1522" s="17">
        <v>2888.96</v>
      </c>
    </row>
    <row r="1523" spans="1:4" x14ac:dyDescent="0.3">
      <c r="A1523" s="10" t="s">
        <v>613</v>
      </c>
      <c r="B1523" s="11"/>
      <c r="C1523" s="11"/>
      <c r="D1523" s="17">
        <v>2888.96</v>
      </c>
    </row>
    <row r="1524" spans="1:4" x14ac:dyDescent="0.3">
      <c r="A1524" s="10">
        <v>318</v>
      </c>
      <c r="B1524" s="10" t="s">
        <v>18</v>
      </c>
      <c r="C1524" s="10" t="s">
        <v>31</v>
      </c>
      <c r="D1524" s="17">
        <v>539.98</v>
      </c>
    </row>
    <row r="1525" spans="1:4" x14ac:dyDescent="0.3">
      <c r="A1525" s="12"/>
      <c r="B1525" s="12"/>
      <c r="C1525" s="14" t="s">
        <v>35</v>
      </c>
      <c r="D1525" s="18">
        <v>999.98</v>
      </c>
    </row>
    <row r="1526" spans="1:4" x14ac:dyDescent="0.3">
      <c r="A1526" s="12"/>
      <c r="B1526" s="12"/>
      <c r="C1526" s="14" t="s">
        <v>26</v>
      </c>
      <c r="D1526" s="18">
        <v>2999.99</v>
      </c>
    </row>
    <row r="1527" spans="1:4" x14ac:dyDescent="0.3">
      <c r="A1527" s="12"/>
      <c r="B1527" s="10" t="s">
        <v>1916</v>
      </c>
      <c r="C1527" s="11"/>
      <c r="D1527" s="17">
        <v>4539.95</v>
      </c>
    </row>
    <row r="1528" spans="1:4" x14ac:dyDescent="0.3">
      <c r="A1528" s="10" t="s">
        <v>614</v>
      </c>
      <c r="B1528" s="11"/>
      <c r="C1528" s="11"/>
      <c r="D1528" s="17">
        <v>4539.95</v>
      </c>
    </row>
    <row r="1529" spans="1:4" x14ac:dyDescent="0.3">
      <c r="A1529" s="10">
        <v>319</v>
      </c>
      <c r="B1529" s="10" t="s">
        <v>18</v>
      </c>
      <c r="C1529" s="10" t="s">
        <v>31</v>
      </c>
      <c r="D1529" s="17">
        <v>269.99</v>
      </c>
    </row>
    <row r="1530" spans="1:4" x14ac:dyDescent="0.3">
      <c r="A1530" s="12"/>
      <c r="B1530" s="12"/>
      <c r="C1530" s="14" t="s">
        <v>33</v>
      </c>
      <c r="D1530" s="18">
        <v>299.99</v>
      </c>
    </row>
    <row r="1531" spans="1:4" x14ac:dyDescent="0.3">
      <c r="A1531" s="12"/>
      <c r="B1531" s="12"/>
      <c r="C1531" s="14" t="s">
        <v>27</v>
      </c>
      <c r="D1531" s="18">
        <v>1059.98</v>
      </c>
    </row>
    <row r="1532" spans="1:4" x14ac:dyDescent="0.3">
      <c r="A1532" s="12"/>
      <c r="B1532" s="12"/>
      <c r="C1532" s="14" t="s">
        <v>30</v>
      </c>
      <c r="D1532" s="18">
        <v>1680.99</v>
      </c>
    </row>
    <row r="1533" spans="1:4" x14ac:dyDescent="0.3">
      <c r="A1533" s="12"/>
      <c r="B1533" s="10" t="s">
        <v>1916</v>
      </c>
      <c r="C1533" s="11"/>
      <c r="D1533" s="17">
        <v>3310.95</v>
      </c>
    </row>
    <row r="1534" spans="1:4" x14ac:dyDescent="0.3">
      <c r="A1534" s="10" t="s">
        <v>615</v>
      </c>
      <c r="B1534" s="11"/>
      <c r="C1534" s="11"/>
      <c r="D1534" s="17">
        <v>3310.95</v>
      </c>
    </row>
    <row r="1535" spans="1:4" x14ac:dyDescent="0.3">
      <c r="A1535" s="10">
        <v>320</v>
      </c>
      <c r="B1535" s="10" t="s">
        <v>11</v>
      </c>
      <c r="C1535" s="10" t="s">
        <v>22</v>
      </c>
      <c r="D1535" s="17">
        <v>749.99</v>
      </c>
    </row>
    <row r="1536" spans="1:4" x14ac:dyDescent="0.3">
      <c r="A1536" s="12"/>
      <c r="B1536" s="10" t="s">
        <v>1915</v>
      </c>
      <c r="C1536" s="11"/>
      <c r="D1536" s="17">
        <v>749.99</v>
      </c>
    </row>
    <row r="1537" spans="1:4" x14ac:dyDescent="0.3">
      <c r="A1537" s="10" t="s">
        <v>616</v>
      </c>
      <c r="B1537" s="11"/>
      <c r="C1537" s="11"/>
      <c r="D1537" s="17">
        <v>749.99</v>
      </c>
    </row>
    <row r="1538" spans="1:4" x14ac:dyDescent="0.3">
      <c r="A1538" s="10">
        <v>321</v>
      </c>
      <c r="B1538" s="10" t="s">
        <v>18</v>
      </c>
      <c r="C1538" s="10" t="s">
        <v>33</v>
      </c>
      <c r="D1538" s="17">
        <v>599.98</v>
      </c>
    </row>
    <row r="1539" spans="1:4" x14ac:dyDescent="0.3">
      <c r="A1539" s="12"/>
      <c r="B1539" s="12"/>
      <c r="C1539" s="14" t="s">
        <v>25</v>
      </c>
      <c r="D1539" s="18">
        <v>1099.98</v>
      </c>
    </row>
    <row r="1540" spans="1:4" x14ac:dyDescent="0.3">
      <c r="A1540" s="12"/>
      <c r="B1540" s="12"/>
      <c r="C1540" s="14" t="s">
        <v>14</v>
      </c>
      <c r="D1540" s="18">
        <v>599.99</v>
      </c>
    </row>
    <row r="1541" spans="1:4" x14ac:dyDescent="0.3">
      <c r="A1541" s="12"/>
      <c r="B1541" s="12"/>
      <c r="C1541" s="14" t="s">
        <v>16</v>
      </c>
      <c r="D1541" s="18">
        <v>5799.98</v>
      </c>
    </row>
    <row r="1542" spans="1:4" x14ac:dyDescent="0.3">
      <c r="A1542" s="12"/>
      <c r="B1542" s="10" t="s">
        <v>1916</v>
      </c>
      <c r="C1542" s="11"/>
      <c r="D1542" s="17">
        <v>8099.9299999999994</v>
      </c>
    </row>
    <row r="1543" spans="1:4" x14ac:dyDescent="0.3">
      <c r="A1543" s="10" t="s">
        <v>617</v>
      </c>
      <c r="B1543" s="11"/>
      <c r="C1543" s="11"/>
      <c r="D1543" s="17">
        <v>8099.9299999999994</v>
      </c>
    </row>
    <row r="1544" spans="1:4" x14ac:dyDescent="0.3">
      <c r="A1544" s="10">
        <v>322</v>
      </c>
      <c r="B1544" s="10" t="s">
        <v>18</v>
      </c>
      <c r="C1544" s="10" t="s">
        <v>31</v>
      </c>
      <c r="D1544" s="17">
        <v>809.97</v>
      </c>
    </row>
    <row r="1545" spans="1:4" x14ac:dyDescent="0.3">
      <c r="A1545" s="12"/>
      <c r="B1545" s="10" t="s">
        <v>1916</v>
      </c>
      <c r="C1545" s="11"/>
      <c r="D1545" s="17">
        <v>809.97</v>
      </c>
    </row>
    <row r="1546" spans="1:4" x14ac:dyDescent="0.3">
      <c r="A1546" s="10" t="s">
        <v>618</v>
      </c>
      <c r="B1546" s="11"/>
      <c r="C1546" s="11"/>
      <c r="D1546" s="17">
        <v>809.97</v>
      </c>
    </row>
    <row r="1547" spans="1:4" x14ac:dyDescent="0.3">
      <c r="A1547" s="10">
        <v>323</v>
      </c>
      <c r="B1547" s="10" t="s">
        <v>18</v>
      </c>
      <c r="C1547" s="10" t="s">
        <v>31</v>
      </c>
      <c r="D1547" s="17">
        <v>539.98</v>
      </c>
    </row>
    <row r="1548" spans="1:4" x14ac:dyDescent="0.3">
      <c r="A1548" s="12"/>
      <c r="B1548" s="12"/>
      <c r="C1548" s="14" t="s">
        <v>14</v>
      </c>
      <c r="D1548" s="18">
        <v>1199.98</v>
      </c>
    </row>
    <row r="1549" spans="1:4" x14ac:dyDescent="0.3">
      <c r="A1549" s="12"/>
      <c r="B1549" s="10" t="s">
        <v>1916</v>
      </c>
      <c r="C1549" s="11"/>
      <c r="D1549" s="17">
        <v>1739.96</v>
      </c>
    </row>
    <row r="1550" spans="1:4" x14ac:dyDescent="0.3">
      <c r="A1550" s="10" t="s">
        <v>619</v>
      </c>
      <c r="B1550" s="11"/>
      <c r="C1550" s="11"/>
      <c r="D1550" s="17">
        <v>1739.96</v>
      </c>
    </row>
    <row r="1551" spans="1:4" x14ac:dyDescent="0.3">
      <c r="A1551" s="10">
        <v>324</v>
      </c>
      <c r="B1551" s="10" t="s">
        <v>18</v>
      </c>
      <c r="C1551" s="10" t="s">
        <v>28</v>
      </c>
      <c r="D1551" s="17">
        <v>539.98</v>
      </c>
    </row>
    <row r="1552" spans="1:4" x14ac:dyDescent="0.3">
      <c r="A1552" s="12"/>
      <c r="B1552" s="12"/>
      <c r="C1552" s="14" t="s">
        <v>25</v>
      </c>
      <c r="D1552" s="18">
        <v>549.99</v>
      </c>
    </row>
    <row r="1553" spans="1:4" x14ac:dyDescent="0.3">
      <c r="A1553" s="12"/>
      <c r="B1553" s="12"/>
      <c r="C1553" s="14" t="s">
        <v>23</v>
      </c>
      <c r="D1553" s="18">
        <v>429</v>
      </c>
    </row>
    <row r="1554" spans="1:4" x14ac:dyDescent="0.3">
      <c r="A1554" s="12"/>
      <c r="B1554" s="12"/>
      <c r="C1554" s="14" t="s">
        <v>36</v>
      </c>
      <c r="D1554" s="18">
        <v>449</v>
      </c>
    </row>
    <row r="1555" spans="1:4" x14ac:dyDescent="0.3">
      <c r="A1555" s="12"/>
      <c r="B1555" s="12"/>
      <c r="C1555" s="14" t="s">
        <v>22</v>
      </c>
      <c r="D1555" s="18">
        <v>1499.98</v>
      </c>
    </row>
    <row r="1556" spans="1:4" x14ac:dyDescent="0.3">
      <c r="A1556" s="12"/>
      <c r="B1556" s="10" t="s">
        <v>1916</v>
      </c>
      <c r="C1556" s="11"/>
      <c r="D1556" s="17">
        <v>3467.95</v>
      </c>
    </row>
    <row r="1557" spans="1:4" x14ac:dyDescent="0.3">
      <c r="A1557" s="10" t="s">
        <v>620</v>
      </c>
      <c r="B1557" s="11"/>
      <c r="C1557" s="11"/>
      <c r="D1557" s="17">
        <v>3467.95</v>
      </c>
    </row>
    <row r="1558" spans="1:4" x14ac:dyDescent="0.3">
      <c r="A1558" s="10">
        <v>325</v>
      </c>
      <c r="B1558" s="10" t="s">
        <v>18</v>
      </c>
      <c r="C1558" s="10" t="s">
        <v>25</v>
      </c>
      <c r="D1558" s="17">
        <v>549.99</v>
      </c>
    </row>
    <row r="1559" spans="1:4" x14ac:dyDescent="0.3">
      <c r="A1559" s="12"/>
      <c r="B1559" s="12"/>
      <c r="C1559" s="14" t="s">
        <v>32</v>
      </c>
      <c r="D1559" s="18">
        <v>939.98</v>
      </c>
    </row>
    <row r="1560" spans="1:4" x14ac:dyDescent="0.3">
      <c r="A1560" s="12"/>
      <c r="B1560" s="12"/>
      <c r="C1560" s="14" t="s">
        <v>29</v>
      </c>
      <c r="D1560" s="18">
        <v>3999.99</v>
      </c>
    </row>
    <row r="1561" spans="1:4" x14ac:dyDescent="0.3">
      <c r="A1561" s="12"/>
      <c r="B1561" s="10" t="s">
        <v>1916</v>
      </c>
      <c r="C1561" s="11"/>
      <c r="D1561" s="17">
        <v>5489.96</v>
      </c>
    </row>
    <row r="1562" spans="1:4" x14ac:dyDescent="0.3">
      <c r="A1562" s="10" t="s">
        <v>621</v>
      </c>
      <c r="B1562" s="11"/>
      <c r="C1562" s="11"/>
      <c r="D1562" s="17">
        <v>5489.96</v>
      </c>
    </row>
    <row r="1563" spans="1:4" x14ac:dyDescent="0.3">
      <c r="A1563" s="10">
        <v>326</v>
      </c>
      <c r="B1563" s="10" t="s">
        <v>37</v>
      </c>
      <c r="C1563" s="10" t="s">
        <v>33</v>
      </c>
      <c r="D1563" s="17">
        <v>299.99</v>
      </c>
    </row>
    <row r="1564" spans="1:4" x14ac:dyDescent="0.3">
      <c r="A1564" s="12"/>
      <c r="B1564" s="12"/>
      <c r="C1564" s="14" t="s">
        <v>25</v>
      </c>
      <c r="D1564" s="18">
        <v>549.99</v>
      </c>
    </row>
    <row r="1565" spans="1:4" x14ac:dyDescent="0.3">
      <c r="A1565" s="12"/>
      <c r="B1565" s="10" t="s">
        <v>1917</v>
      </c>
      <c r="C1565" s="11"/>
      <c r="D1565" s="17">
        <v>849.98</v>
      </c>
    </row>
    <row r="1566" spans="1:4" x14ac:dyDescent="0.3">
      <c r="A1566" s="10" t="s">
        <v>622</v>
      </c>
      <c r="B1566" s="11"/>
      <c r="C1566" s="11"/>
      <c r="D1566" s="17">
        <v>849.98</v>
      </c>
    </row>
    <row r="1567" spans="1:4" x14ac:dyDescent="0.3">
      <c r="A1567" s="10">
        <v>327</v>
      </c>
      <c r="B1567" s="10" t="s">
        <v>18</v>
      </c>
      <c r="C1567" s="10" t="s">
        <v>31</v>
      </c>
      <c r="D1567" s="17">
        <v>269.99</v>
      </c>
    </row>
    <row r="1568" spans="1:4" x14ac:dyDescent="0.3">
      <c r="A1568" s="12"/>
      <c r="B1568" s="12"/>
      <c r="C1568" s="14" t="s">
        <v>25</v>
      </c>
      <c r="D1568" s="18">
        <v>1099.98</v>
      </c>
    </row>
    <row r="1569" spans="1:4" x14ac:dyDescent="0.3">
      <c r="A1569" s="12"/>
      <c r="B1569" s="12"/>
      <c r="C1569" s="14" t="s">
        <v>16</v>
      </c>
      <c r="D1569" s="18">
        <v>2899.99</v>
      </c>
    </row>
    <row r="1570" spans="1:4" x14ac:dyDescent="0.3">
      <c r="A1570" s="12"/>
      <c r="B1570" s="10" t="s">
        <v>1916</v>
      </c>
      <c r="C1570" s="11"/>
      <c r="D1570" s="17">
        <v>4269.96</v>
      </c>
    </row>
    <row r="1571" spans="1:4" x14ac:dyDescent="0.3">
      <c r="A1571" s="10" t="s">
        <v>623</v>
      </c>
      <c r="B1571" s="11"/>
      <c r="C1571" s="11"/>
      <c r="D1571" s="17">
        <v>4269.96</v>
      </c>
    </row>
    <row r="1572" spans="1:4" x14ac:dyDescent="0.3">
      <c r="A1572" s="10">
        <v>328</v>
      </c>
      <c r="B1572" s="10" t="s">
        <v>18</v>
      </c>
      <c r="C1572" s="10" t="s">
        <v>32</v>
      </c>
      <c r="D1572" s="17">
        <v>939.98</v>
      </c>
    </row>
    <row r="1573" spans="1:4" x14ac:dyDescent="0.3">
      <c r="A1573" s="12"/>
      <c r="B1573" s="10" t="s">
        <v>1916</v>
      </c>
      <c r="C1573" s="11"/>
      <c r="D1573" s="17">
        <v>939.98</v>
      </c>
    </row>
    <row r="1574" spans="1:4" x14ac:dyDescent="0.3">
      <c r="A1574" s="10" t="s">
        <v>624</v>
      </c>
      <c r="B1574" s="11"/>
      <c r="C1574" s="11"/>
      <c r="D1574" s="17">
        <v>939.98</v>
      </c>
    </row>
    <row r="1575" spans="1:4" x14ac:dyDescent="0.3">
      <c r="A1575" s="10">
        <v>329</v>
      </c>
      <c r="B1575" s="10" t="s">
        <v>18</v>
      </c>
      <c r="C1575" s="10" t="s">
        <v>28</v>
      </c>
      <c r="D1575" s="17">
        <v>539.98</v>
      </c>
    </row>
    <row r="1576" spans="1:4" x14ac:dyDescent="0.3">
      <c r="A1576" s="12"/>
      <c r="B1576" s="12"/>
      <c r="C1576" s="14" t="s">
        <v>33</v>
      </c>
      <c r="D1576" s="18">
        <v>299.99</v>
      </c>
    </row>
    <row r="1577" spans="1:4" x14ac:dyDescent="0.3">
      <c r="A1577" s="12"/>
      <c r="B1577" s="12"/>
      <c r="C1577" s="14" t="s">
        <v>14</v>
      </c>
      <c r="D1577" s="18">
        <v>1199.98</v>
      </c>
    </row>
    <row r="1578" spans="1:4" x14ac:dyDescent="0.3">
      <c r="A1578" s="12"/>
      <c r="B1578" s="12"/>
      <c r="C1578" s="14" t="s">
        <v>23</v>
      </c>
      <c r="D1578" s="18">
        <v>429</v>
      </c>
    </row>
    <row r="1579" spans="1:4" x14ac:dyDescent="0.3">
      <c r="A1579" s="12"/>
      <c r="B1579" s="12"/>
      <c r="C1579" s="14" t="s">
        <v>12</v>
      </c>
      <c r="D1579" s="18">
        <v>3599.98</v>
      </c>
    </row>
    <row r="1580" spans="1:4" x14ac:dyDescent="0.3">
      <c r="A1580" s="12"/>
      <c r="B1580" s="10" t="s">
        <v>1916</v>
      </c>
      <c r="C1580" s="11"/>
      <c r="D1580" s="17">
        <v>6068.93</v>
      </c>
    </row>
    <row r="1581" spans="1:4" x14ac:dyDescent="0.3">
      <c r="A1581" s="10" t="s">
        <v>625</v>
      </c>
      <c r="B1581" s="11"/>
      <c r="C1581" s="11"/>
      <c r="D1581" s="17">
        <v>6068.93</v>
      </c>
    </row>
    <row r="1582" spans="1:4" x14ac:dyDescent="0.3">
      <c r="A1582" s="10">
        <v>330</v>
      </c>
      <c r="B1582" s="10" t="s">
        <v>18</v>
      </c>
      <c r="C1582" s="10" t="s">
        <v>31</v>
      </c>
      <c r="D1582" s="17">
        <v>539.98</v>
      </c>
    </row>
    <row r="1583" spans="1:4" x14ac:dyDescent="0.3">
      <c r="A1583" s="12"/>
      <c r="B1583" s="10" t="s">
        <v>1916</v>
      </c>
      <c r="C1583" s="11"/>
      <c r="D1583" s="17">
        <v>539.98</v>
      </c>
    </row>
    <row r="1584" spans="1:4" x14ac:dyDescent="0.3">
      <c r="A1584" s="10" t="s">
        <v>626</v>
      </c>
      <c r="B1584" s="11"/>
      <c r="C1584" s="11"/>
      <c r="D1584" s="17">
        <v>539.98</v>
      </c>
    </row>
    <row r="1585" spans="1:4" x14ac:dyDescent="0.3">
      <c r="A1585" s="10">
        <v>331</v>
      </c>
      <c r="B1585" s="10" t="s">
        <v>18</v>
      </c>
      <c r="C1585" s="10" t="s">
        <v>23</v>
      </c>
      <c r="D1585" s="17">
        <v>858</v>
      </c>
    </row>
    <row r="1586" spans="1:4" x14ac:dyDescent="0.3">
      <c r="A1586" s="12"/>
      <c r="B1586" s="10" t="s">
        <v>1916</v>
      </c>
      <c r="C1586" s="11"/>
      <c r="D1586" s="17">
        <v>858</v>
      </c>
    </row>
    <row r="1587" spans="1:4" x14ac:dyDescent="0.3">
      <c r="A1587" s="10" t="s">
        <v>627</v>
      </c>
      <c r="B1587" s="11"/>
      <c r="C1587" s="11"/>
      <c r="D1587" s="17">
        <v>858</v>
      </c>
    </row>
    <row r="1588" spans="1:4" x14ac:dyDescent="0.3">
      <c r="A1588" s="10">
        <v>332</v>
      </c>
      <c r="B1588" s="10" t="s">
        <v>18</v>
      </c>
      <c r="C1588" s="10" t="s">
        <v>24</v>
      </c>
      <c r="D1588" s="17">
        <v>898</v>
      </c>
    </row>
    <row r="1589" spans="1:4" x14ac:dyDescent="0.3">
      <c r="A1589" s="12"/>
      <c r="B1589" s="10" t="s">
        <v>1916</v>
      </c>
      <c r="C1589" s="11"/>
      <c r="D1589" s="17">
        <v>898</v>
      </c>
    </row>
    <row r="1590" spans="1:4" x14ac:dyDescent="0.3">
      <c r="A1590" s="10" t="s">
        <v>628</v>
      </c>
      <c r="B1590" s="11"/>
      <c r="C1590" s="11"/>
      <c r="D1590" s="17">
        <v>898</v>
      </c>
    </row>
    <row r="1591" spans="1:4" x14ac:dyDescent="0.3">
      <c r="A1591" s="10">
        <v>333</v>
      </c>
      <c r="B1591" s="10" t="s">
        <v>18</v>
      </c>
      <c r="C1591" s="10" t="s">
        <v>24</v>
      </c>
      <c r="D1591" s="17">
        <v>898</v>
      </c>
    </row>
    <row r="1592" spans="1:4" x14ac:dyDescent="0.3">
      <c r="A1592" s="12"/>
      <c r="B1592" s="12"/>
      <c r="C1592" s="14" t="s">
        <v>20</v>
      </c>
      <c r="D1592" s="18">
        <v>999.99</v>
      </c>
    </row>
    <row r="1593" spans="1:4" x14ac:dyDescent="0.3">
      <c r="A1593" s="12"/>
      <c r="B1593" s="12"/>
      <c r="C1593" s="14" t="s">
        <v>12</v>
      </c>
      <c r="D1593" s="18">
        <v>3599.98</v>
      </c>
    </row>
    <row r="1594" spans="1:4" x14ac:dyDescent="0.3">
      <c r="A1594" s="12"/>
      <c r="B1594" s="10" t="s">
        <v>1916</v>
      </c>
      <c r="C1594" s="11"/>
      <c r="D1594" s="17">
        <v>5497.97</v>
      </c>
    </row>
    <row r="1595" spans="1:4" x14ac:dyDescent="0.3">
      <c r="A1595" s="10" t="s">
        <v>629</v>
      </c>
      <c r="B1595" s="11"/>
      <c r="C1595" s="11"/>
      <c r="D1595" s="17">
        <v>5497.97</v>
      </c>
    </row>
    <row r="1596" spans="1:4" x14ac:dyDescent="0.3">
      <c r="A1596" s="10">
        <v>334</v>
      </c>
      <c r="B1596" s="10" t="s">
        <v>18</v>
      </c>
      <c r="C1596" s="10" t="s">
        <v>14</v>
      </c>
      <c r="D1596" s="17">
        <v>1199.98</v>
      </c>
    </row>
    <row r="1597" spans="1:4" x14ac:dyDescent="0.3">
      <c r="A1597" s="12"/>
      <c r="B1597" s="12"/>
      <c r="C1597" s="14" t="s">
        <v>20</v>
      </c>
      <c r="D1597" s="18">
        <v>1999.98</v>
      </c>
    </row>
    <row r="1598" spans="1:4" x14ac:dyDescent="0.3">
      <c r="A1598" s="12"/>
      <c r="B1598" s="12"/>
      <c r="C1598" s="14" t="s">
        <v>26</v>
      </c>
      <c r="D1598" s="18">
        <v>2999.99</v>
      </c>
    </row>
    <row r="1599" spans="1:4" x14ac:dyDescent="0.3">
      <c r="A1599" s="12"/>
      <c r="B1599" s="10" t="s">
        <v>1916</v>
      </c>
      <c r="C1599" s="11"/>
      <c r="D1599" s="17">
        <v>6199.95</v>
      </c>
    </row>
    <row r="1600" spans="1:4" x14ac:dyDescent="0.3">
      <c r="A1600" s="10" t="s">
        <v>630</v>
      </c>
      <c r="B1600" s="11"/>
      <c r="C1600" s="11"/>
      <c r="D1600" s="17">
        <v>6199.95</v>
      </c>
    </row>
    <row r="1601" spans="1:4" x14ac:dyDescent="0.3">
      <c r="A1601" s="10">
        <v>335</v>
      </c>
      <c r="B1601" s="10" t="s">
        <v>18</v>
      </c>
      <c r="C1601" s="10" t="s">
        <v>31</v>
      </c>
      <c r="D1601" s="17">
        <v>269.99</v>
      </c>
    </row>
    <row r="1602" spans="1:4" x14ac:dyDescent="0.3">
      <c r="A1602" s="12"/>
      <c r="B1602" s="12"/>
      <c r="C1602" s="14" t="s">
        <v>22</v>
      </c>
      <c r="D1602" s="18">
        <v>1499.98</v>
      </c>
    </row>
    <row r="1603" spans="1:4" x14ac:dyDescent="0.3">
      <c r="A1603" s="12"/>
      <c r="B1603" s="12"/>
      <c r="C1603" s="14" t="s">
        <v>32</v>
      </c>
      <c r="D1603" s="18">
        <v>469.99</v>
      </c>
    </row>
    <row r="1604" spans="1:4" x14ac:dyDescent="0.3">
      <c r="A1604" s="12"/>
      <c r="B1604" s="10" t="s">
        <v>1916</v>
      </c>
      <c r="C1604" s="11"/>
      <c r="D1604" s="17">
        <v>2239.96</v>
      </c>
    </row>
    <row r="1605" spans="1:4" x14ac:dyDescent="0.3">
      <c r="A1605" s="10" t="s">
        <v>631</v>
      </c>
      <c r="B1605" s="11"/>
      <c r="C1605" s="11"/>
      <c r="D1605" s="17">
        <v>2239.96</v>
      </c>
    </row>
    <row r="1606" spans="1:4" x14ac:dyDescent="0.3">
      <c r="A1606" s="10">
        <v>336</v>
      </c>
      <c r="B1606" s="10" t="s">
        <v>18</v>
      </c>
      <c r="C1606" s="10" t="s">
        <v>25</v>
      </c>
      <c r="D1606" s="17">
        <v>549.99</v>
      </c>
    </row>
    <row r="1607" spans="1:4" x14ac:dyDescent="0.3">
      <c r="A1607" s="12"/>
      <c r="B1607" s="12"/>
      <c r="C1607" s="14" t="s">
        <v>16</v>
      </c>
      <c r="D1607" s="18">
        <v>2899.99</v>
      </c>
    </row>
    <row r="1608" spans="1:4" x14ac:dyDescent="0.3">
      <c r="A1608" s="12"/>
      <c r="B1608" s="10" t="s">
        <v>1916</v>
      </c>
      <c r="C1608" s="11"/>
      <c r="D1608" s="17">
        <v>3449.9799999999996</v>
      </c>
    </row>
    <row r="1609" spans="1:4" x14ac:dyDescent="0.3">
      <c r="A1609" s="10" t="s">
        <v>632</v>
      </c>
      <c r="B1609" s="11"/>
      <c r="C1609" s="11"/>
      <c r="D1609" s="17">
        <v>3449.9799999999996</v>
      </c>
    </row>
    <row r="1610" spans="1:4" x14ac:dyDescent="0.3">
      <c r="A1610" s="10">
        <v>337</v>
      </c>
      <c r="B1610" s="10" t="s">
        <v>18</v>
      </c>
      <c r="C1610" s="10" t="s">
        <v>24</v>
      </c>
      <c r="D1610" s="17">
        <v>449</v>
      </c>
    </row>
    <row r="1611" spans="1:4" x14ac:dyDescent="0.3">
      <c r="A1611" s="12"/>
      <c r="B1611" s="12"/>
      <c r="C1611" s="14" t="s">
        <v>16</v>
      </c>
      <c r="D1611" s="18">
        <v>2899.99</v>
      </c>
    </row>
    <row r="1612" spans="1:4" x14ac:dyDescent="0.3">
      <c r="A1612" s="12"/>
      <c r="B1612" s="10" t="s">
        <v>1916</v>
      </c>
      <c r="C1612" s="11"/>
      <c r="D1612" s="17">
        <v>3348.99</v>
      </c>
    </row>
    <row r="1613" spans="1:4" x14ac:dyDescent="0.3">
      <c r="A1613" s="10" t="s">
        <v>633</v>
      </c>
      <c r="B1613" s="11"/>
      <c r="C1613" s="11"/>
      <c r="D1613" s="17">
        <v>3348.99</v>
      </c>
    </row>
    <row r="1614" spans="1:4" x14ac:dyDescent="0.3">
      <c r="A1614" s="10">
        <v>338</v>
      </c>
      <c r="B1614" s="10" t="s">
        <v>11</v>
      </c>
      <c r="C1614" s="10" t="s">
        <v>28</v>
      </c>
      <c r="D1614" s="17">
        <v>269.99</v>
      </c>
    </row>
    <row r="1615" spans="1:4" x14ac:dyDescent="0.3">
      <c r="A1615" s="12"/>
      <c r="B1615" s="12"/>
      <c r="C1615" s="14" t="s">
        <v>32</v>
      </c>
      <c r="D1615" s="18">
        <v>939.98</v>
      </c>
    </row>
    <row r="1616" spans="1:4" x14ac:dyDescent="0.3">
      <c r="A1616" s="12"/>
      <c r="B1616" s="12"/>
      <c r="C1616" s="14" t="s">
        <v>13</v>
      </c>
      <c r="D1616" s="18">
        <v>1549</v>
      </c>
    </row>
    <row r="1617" spans="1:4" x14ac:dyDescent="0.3">
      <c r="A1617" s="12"/>
      <c r="B1617" s="12"/>
      <c r="C1617" s="14" t="s">
        <v>30</v>
      </c>
      <c r="D1617" s="18">
        <v>3361.98</v>
      </c>
    </row>
    <row r="1618" spans="1:4" x14ac:dyDescent="0.3">
      <c r="A1618" s="12"/>
      <c r="B1618" s="12"/>
      <c r="C1618" s="14" t="s">
        <v>26</v>
      </c>
      <c r="D1618" s="18">
        <v>2999.99</v>
      </c>
    </row>
    <row r="1619" spans="1:4" x14ac:dyDescent="0.3">
      <c r="A1619" s="12"/>
      <c r="B1619" s="10" t="s">
        <v>1915</v>
      </c>
      <c r="C1619" s="11"/>
      <c r="D1619" s="17">
        <v>9120.94</v>
      </c>
    </row>
    <row r="1620" spans="1:4" x14ac:dyDescent="0.3">
      <c r="A1620" s="10" t="s">
        <v>634</v>
      </c>
      <c r="B1620" s="11"/>
      <c r="C1620" s="11"/>
      <c r="D1620" s="17">
        <v>9120.94</v>
      </c>
    </row>
    <row r="1621" spans="1:4" x14ac:dyDescent="0.3">
      <c r="A1621" s="10">
        <v>339</v>
      </c>
      <c r="B1621" s="10" t="s">
        <v>18</v>
      </c>
      <c r="C1621" s="10" t="s">
        <v>31</v>
      </c>
      <c r="D1621" s="17">
        <v>269.99</v>
      </c>
    </row>
    <row r="1622" spans="1:4" x14ac:dyDescent="0.3">
      <c r="A1622" s="12"/>
      <c r="B1622" s="12"/>
      <c r="C1622" s="14" t="s">
        <v>27</v>
      </c>
      <c r="D1622" s="18">
        <v>1059.98</v>
      </c>
    </row>
    <row r="1623" spans="1:4" x14ac:dyDescent="0.3">
      <c r="A1623" s="12"/>
      <c r="B1623" s="10" t="s">
        <v>1916</v>
      </c>
      <c r="C1623" s="11"/>
      <c r="D1623" s="17">
        <v>1329.97</v>
      </c>
    </row>
    <row r="1624" spans="1:4" x14ac:dyDescent="0.3">
      <c r="A1624" s="10" t="s">
        <v>635</v>
      </c>
      <c r="B1624" s="11"/>
      <c r="C1624" s="11"/>
      <c r="D1624" s="17">
        <v>1329.97</v>
      </c>
    </row>
    <row r="1625" spans="1:4" x14ac:dyDescent="0.3">
      <c r="A1625" s="10">
        <v>340</v>
      </c>
      <c r="B1625" s="10" t="s">
        <v>18</v>
      </c>
      <c r="C1625" s="10" t="s">
        <v>31</v>
      </c>
      <c r="D1625" s="17">
        <v>539.98</v>
      </c>
    </row>
    <row r="1626" spans="1:4" x14ac:dyDescent="0.3">
      <c r="A1626" s="12"/>
      <c r="B1626" s="12"/>
      <c r="C1626" s="14" t="s">
        <v>25</v>
      </c>
      <c r="D1626" s="18">
        <v>1649.97</v>
      </c>
    </row>
    <row r="1627" spans="1:4" x14ac:dyDescent="0.3">
      <c r="A1627" s="12"/>
      <c r="B1627" s="12"/>
      <c r="C1627" s="14" t="s">
        <v>13</v>
      </c>
      <c r="D1627" s="18">
        <v>3098</v>
      </c>
    </row>
    <row r="1628" spans="1:4" x14ac:dyDescent="0.3">
      <c r="A1628" s="12"/>
      <c r="B1628" s="12"/>
      <c r="C1628" s="14" t="s">
        <v>30</v>
      </c>
      <c r="D1628" s="18">
        <v>1680.99</v>
      </c>
    </row>
    <row r="1629" spans="1:4" x14ac:dyDescent="0.3">
      <c r="A1629" s="12"/>
      <c r="B1629" s="10" t="s">
        <v>1916</v>
      </c>
      <c r="C1629" s="11"/>
      <c r="D1629" s="17">
        <v>6968.94</v>
      </c>
    </row>
    <row r="1630" spans="1:4" x14ac:dyDescent="0.3">
      <c r="A1630" s="10" t="s">
        <v>636</v>
      </c>
      <c r="B1630" s="11"/>
      <c r="C1630" s="11"/>
      <c r="D1630" s="17">
        <v>6968.94</v>
      </c>
    </row>
    <row r="1631" spans="1:4" x14ac:dyDescent="0.3">
      <c r="A1631" s="10">
        <v>341</v>
      </c>
      <c r="B1631" s="10" t="s">
        <v>11</v>
      </c>
      <c r="C1631" s="10" t="s">
        <v>33</v>
      </c>
      <c r="D1631" s="17">
        <v>599.98</v>
      </c>
    </row>
    <row r="1632" spans="1:4" x14ac:dyDescent="0.3">
      <c r="A1632" s="12"/>
      <c r="B1632" s="10" t="s">
        <v>1915</v>
      </c>
      <c r="C1632" s="11"/>
      <c r="D1632" s="17">
        <v>599.98</v>
      </c>
    </row>
    <row r="1633" spans="1:4" x14ac:dyDescent="0.3">
      <c r="A1633" s="10" t="s">
        <v>637</v>
      </c>
      <c r="B1633" s="11"/>
      <c r="C1633" s="11"/>
      <c r="D1633" s="17">
        <v>599.98</v>
      </c>
    </row>
    <row r="1634" spans="1:4" x14ac:dyDescent="0.3">
      <c r="A1634" s="10">
        <v>342</v>
      </c>
      <c r="B1634" s="10" t="s">
        <v>18</v>
      </c>
      <c r="C1634" s="10" t="s">
        <v>14</v>
      </c>
      <c r="D1634" s="17">
        <v>1799.97</v>
      </c>
    </row>
    <row r="1635" spans="1:4" x14ac:dyDescent="0.3">
      <c r="A1635" s="12"/>
      <c r="B1635" s="12"/>
      <c r="C1635" s="14" t="s">
        <v>26</v>
      </c>
      <c r="D1635" s="18">
        <v>2999.99</v>
      </c>
    </row>
    <row r="1636" spans="1:4" x14ac:dyDescent="0.3">
      <c r="A1636" s="12"/>
      <c r="B1636" s="10" t="s">
        <v>1916</v>
      </c>
      <c r="C1636" s="11"/>
      <c r="D1636" s="17">
        <v>4799.96</v>
      </c>
    </row>
    <row r="1637" spans="1:4" x14ac:dyDescent="0.3">
      <c r="A1637" s="10" t="s">
        <v>638</v>
      </c>
      <c r="B1637" s="11"/>
      <c r="C1637" s="11"/>
      <c r="D1637" s="17">
        <v>4799.96</v>
      </c>
    </row>
    <row r="1638" spans="1:4" x14ac:dyDescent="0.3">
      <c r="A1638" s="10">
        <v>343</v>
      </c>
      <c r="B1638" s="10" t="s">
        <v>18</v>
      </c>
      <c r="C1638" s="10" t="s">
        <v>35</v>
      </c>
      <c r="D1638" s="17">
        <v>499.99</v>
      </c>
    </row>
    <row r="1639" spans="1:4" x14ac:dyDescent="0.3">
      <c r="A1639" s="12"/>
      <c r="B1639" s="12"/>
      <c r="C1639" s="14" t="s">
        <v>10</v>
      </c>
      <c r="D1639" s="18">
        <v>1199.98</v>
      </c>
    </row>
    <row r="1640" spans="1:4" x14ac:dyDescent="0.3">
      <c r="A1640" s="12"/>
      <c r="B1640" s="12"/>
      <c r="C1640" s="14" t="s">
        <v>34</v>
      </c>
      <c r="D1640" s="18">
        <v>2641.98</v>
      </c>
    </row>
    <row r="1641" spans="1:4" x14ac:dyDescent="0.3">
      <c r="A1641" s="12"/>
      <c r="B1641" s="12"/>
      <c r="C1641" s="14" t="s">
        <v>13</v>
      </c>
      <c r="D1641" s="18">
        <v>1549</v>
      </c>
    </row>
    <row r="1642" spans="1:4" x14ac:dyDescent="0.3">
      <c r="A1642" s="12"/>
      <c r="B1642" s="10" t="s">
        <v>1916</v>
      </c>
      <c r="C1642" s="11"/>
      <c r="D1642" s="17">
        <v>5890.95</v>
      </c>
    </row>
    <row r="1643" spans="1:4" x14ac:dyDescent="0.3">
      <c r="A1643" s="10" t="s">
        <v>639</v>
      </c>
      <c r="B1643" s="11"/>
      <c r="C1643" s="11"/>
      <c r="D1643" s="17">
        <v>5890.95</v>
      </c>
    </row>
    <row r="1644" spans="1:4" x14ac:dyDescent="0.3">
      <c r="A1644" s="10">
        <v>344</v>
      </c>
      <c r="B1644" s="10" t="s">
        <v>18</v>
      </c>
      <c r="C1644" s="10" t="s">
        <v>28</v>
      </c>
      <c r="D1644" s="17">
        <v>539.98</v>
      </c>
    </row>
    <row r="1645" spans="1:4" x14ac:dyDescent="0.3">
      <c r="A1645" s="12"/>
      <c r="B1645" s="12"/>
      <c r="C1645" s="14" t="s">
        <v>24</v>
      </c>
      <c r="D1645" s="18">
        <v>898</v>
      </c>
    </row>
    <row r="1646" spans="1:4" x14ac:dyDescent="0.3">
      <c r="A1646" s="12"/>
      <c r="B1646" s="10" t="s">
        <v>1916</v>
      </c>
      <c r="C1646" s="11"/>
      <c r="D1646" s="17">
        <v>1437.98</v>
      </c>
    </row>
    <row r="1647" spans="1:4" x14ac:dyDescent="0.3">
      <c r="A1647" s="10" t="s">
        <v>640</v>
      </c>
      <c r="B1647" s="11"/>
      <c r="C1647" s="11"/>
      <c r="D1647" s="17">
        <v>1437.98</v>
      </c>
    </row>
    <row r="1648" spans="1:4" x14ac:dyDescent="0.3">
      <c r="A1648" s="10">
        <v>345</v>
      </c>
      <c r="B1648" s="10" t="s">
        <v>18</v>
      </c>
      <c r="C1648" s="10" t="s">
        <v>25</v>
      </c>
      <c r="D1648" s="17">
        <v>1099.98</v>
      </c>
    </row>
    <row r="1649" spans="1:4" x14ac:dyDescent="0.3">
      <c r="A1649" s="12"/>
      <c r="B1649" s="12"/>
      <c r="C1649" s="14" t="s">
        <v>24</v>
      </c>
      <c r="D1649" s="18">
        <v>898</v>
      </c>
    </row>
    <row r="1650" spans="1:4" x14ac:dyDescent="0.3">
      <c r="A1650" s="12"/>
      <c r="B1650" s="10" t="s">
        <v>1916</v>
      </c>
      <c r="C1650" s="11"/>
      <c r="D1650" s="17">
        <v>1997.98</v>
      </c>
    </row>
    <row r="1651" spans="1:4" x14ac:dyDescent="0.3">
      <c r="A1651" s="10" t="s">
        <v>641</v>
      </c>
      <c r="B1651" s="11"/>
      <c r="C1651" s="11"/>
      <c r="D1651" s="17">
        <v>1997.98</v>
      </c>
    </row>
    <row r="1652" spans="1:4" x14ac:dyDescent="0.3">
      <c r="A1652" s="10">
        <v>346</v>
      </c>
      <c r="B1652" s="10" t="s">
        <v>37</v>
      </c>
      <c r="C1652" s="10" t="s">
        <v>31</v>
      </c>
      <c r="D1652" s="17">
        <v>539.98</v>
      </c>
    </row>
    <row r="1653" spans="1:4" x14ac:dyDescent="0.3">
      <c r="A1653" s="12"/>
      <c r="B1653" s="12"/>
      <c r="C1653" s="14" t="s">
        <v>33</v>
      </c>
      <c r="D1653" s="18">
        <v>299.99</v>
      </c>
    </row>
    <row r="1654" spans="1:4" x14ac:dyDescent="0.3">
      <c r="A1654" s="12"/>
      <c r="B1654" s="12"/>
      <c r="C1654" s="14" t="s">
        <v>27</v>
      </c>
      <c r="D1654" s="18">
        <v>529.99</v>
      </c>
    </row>
    <row r="1655" spans="1:4" x14ac:dyDescent="0.3">
      <c r="A1655" s="12"/>
      <c r="B1655" s="12"/>
      <c r="C1655" s="14" t="s">
        <v>24</v>
      </c>
      <c r="D1655" s="18">
        <v>898</v>
      </c>
    </row>
    <row r="1656" spans="1:4" x14ac:dyDescent="0.3">
      <c r="A1656" s="12"/>
      <c r="B1656" s="10" t="s">
        <v>1917</v>
      </c>
      <c r="C1656" s="11"/>
      <c r="D1656" s="17">
        <v>2267.96</v>
      </c>
    </row>
    <row r="1657" spans="1:4" x14ac:dyDescent="0.3">
      <c r="A1657" s="10" t="s">
        <v>642</v>
      </c>
      <c r="B1657" s="11"/>
      <c r="C1657" s="11"/>
      <c r="D1657" s="17">
        <v>2267.96</v>
      </c>
    </row>
    <row r="1658" spans="1:4" x14ac:dyDescent="0.3">
      <c r="A1658" s="10">
        <v>347</v>
      </c>
      <c r="B1658" s="10" t="s">
        <v>18</v>
      </c>
      <c r="C1658" s="10" t="s">
        <v>33</v>
      </c>
      <c r="D1658" s="17">
        <v>299.99</v>
      </c>
    </row>
    <row r="1659" spans="1:4" x14ac:dyDescent="0.3">
      <c r="A1659" s="12"/>
      <c r="B1659" s="10" t="s">
        <v>1916</v>
      </c>
      <c r="C1659" s="11"/>
      <c r="D1659" s="17">
        <v>299.99</v>
      </c>
    </row>
    <row r="1660" spans="1:4" x14ac:dyDescent="0.3">
      <c r="A1660" s="10" t="s">
        <v>643</v>
      </c>
      <c r="B1660" s="11"/>
      <c r="C1660" s="11"/>
      <c r="D1660" s="17">
        <v>299.99</v>
      </c>
    </row>
    <row r="1661" spans="1:4" x14ac:dyDescent="0.3">
      <c r="A1661" s="10">
        <v>348</v>
      </c>
      <c r="B1661" s="10" t="s">
        <v>37</v>
      </c>
      <c r="C1661" s="10" t="s">
        <v>27</v>
      </c>
      <c r="D1661" s="17">
        <v>1059.98</v>
      </c>
    </row>
    <row r="1662" spans="1:4" x14ac:dyDescent="0.3">
      <c r="A1662" s="12"/>
      <c r="B1662" s="12"/>
      <c r="C1662" s="14" t="s">
        <v>34</v>
      </c>
      <c r="D1662" s="18">
        <v>2641.98</v>
      </c>
    </row>
    <row r="1663" spans="1:4" x14ac:dyDescent="0.3">
      <c r="A1663" s="12"/>
      <c r="B1663" s="10" t="s">
        <v>1917</v>
      </c>
      <c r="C1663" s="11"/>
      <c r="D1663" s="17">
        <v>3701.96</v>
      </c>
    </row>
    <row r="1664" spans="1:4" x14ac:dyDescent="0.3">
      <c r="A1664" s="10" t="s">
        <v>644</v>
      </c>
      <c r="B1664" s="11"/>
      <c r="C1664" s="11"/>
      <c r="D1664" s="17">
        <v>3701.96</v>
      </c>
    </row>
    <row r="1665" spans="1:4" x14ac:dyDescent="0.3">
      <c r="A1665" s="10">
        <v>349</v>
      </c>
      <c r="B1665" s="10" t="s">
        <v>11</v>
      </c>
      <c r="C1665" s="10" t="s">
        <v>10</v>
      </c>
      <c r="D1665" s="17">
        <v>1199.98</v>
      </c>
    </row>
    <row r="1666" spans="1:4" x14ac:dyDescent="0.3">
      <c r="A1666" s="12"/>
      <c r="B1666" s="10" t="s">
        <v>1915</v>
      </c>
      <c r="C1666" s="11"/>
      <c r="D1666" s="17">
        <v>1199.98</v>
      </c>
    </row>
    <row r="1667" spans="1:4" x14ac:dyDescent="0.3">
      <c r="A1667" s="10" t="s">
        <v>645</v>
      </c>
      <c r="B1667" s="11"/>
      <c r="C1667" s="11"/>
      <c r="D1667" s="17">
        <v>1199.98</v>
      </c>
    </row>
    <row r="1668" spans="1:4" x14ac:dyDescent="0.3">
      <c r="A1668" s="10">
        <v>350</v>
      </c>
      <c r="B1668" s="10" t="s">
        <v>11</v>
      </c>
      <c r="C1668" s="10" t="s">
        <v>10</v>
      </c>
      <c r="D1668" s="17">
        <v>599.99</v>
      </c>
    </row>
    <row r="1669" spans="1:4" x14ac:dyDescent="0.3">
      <c r="A1669" s="12"/>
      <c r="B1669" s="12"/>
      <c r="C1669" s="14" t="s">
        <v>32</v>
      </c>
      <c r="D1669" s="18">
        <v>939.98</v>
      </c>
    </row>
    <row r="1670" spans="1:4" x14ac:dyDescent="0.3">
      <c r="A1670" s="12"/>
      <c r="B1670" s="12"/>
      <c r="C1670" s="14" t="s">
        <v>20</v>
      </c>
      <c r="D1670" s="18">
        <v>999.99</v>
      </c>
    </row>
    <row r="1671" spans="1:4" x14ac:dyDescent="0.3">
      <c r="A1671" s="12"/>
      <c r="B1671" s="10" t="s">
        <v>1915</v>
      </c>
      <c r="C1671" s="11"/>
      <c r="D1671" s="17">
        <v>2539.96</v>
      </c>
    </row>
    <row r="1672" spans="1:4" x14ac:dyDescent="0.3">
      <c r="A1672" s="10" t="s">
        <v>646</v>
      </c>
      <c r="B1672" s="11"/>
      <c r="C1672" s="11"/>
      <c r="D1672" s="17">
        <v>2539.96</v>
      </c>
    </row>
    <row r="1673" spans="1:4" x14ac:dyDescent="0.3">
      <c r="A1673" s="10">
        <v>351</v>
      </c>
      <c r="B1673" s="10" t="s">
        <v>11</v>
      </c>
      <c r="C1673" s="10" t="s">
        <v>28</v>
      </c>
      <c r="D1673" s="17">
        <v>539.98</v>
      </c>
    </row>
    <row r="1674" spans="1:4" x14ac:dyDescent="0.3">
      <c r="A1674" s="12"/>
      <c r="B1674" s="12"/>
      <c r="C1674" s="14" t="s">
        <v>25</v>
      </c>
      <c r="D1674" s="18">
        <v>1099.98</v>
      </c>
    </row>
    <row r="1675" spans="1:4" x14ac:dyDescent="0.3">
      <c r="A1675" s="12"/>
      <c r="B1675" s="12"/>
      <c r="C1675" s="14" t="s">
        <v>10</v>
      </c>
      <c r="D1675" s="18">
        <v>599.99</v>
      </c>
    </row>
    <row r="1676" spans="1:4" x14ac:dyDescent="0.3">
      <c r="A1676" s="12"/>
      <c r="B1676" s="12"/>
      <c r="C1676" s="14" t="s">
        <v>16</v>
      </c>
      <c r="D1676" s="18">
        <v>5799.98</v>
      </c>
    </row>
    <row r="1677" spans="1:4" x14ac:dyDescent="0.3">
      <c r="A1677" s="12"/>
      <c r="B1677" s="10" t="s">
        <v>1915</v>
      </c>
      <c r="C1677" s="11"/>
      <c r="D1677" s="17">
        <v>8039.9299999999994</v>
      </c>
    </row>
    <row r="1678" spans="1:4" x14ac:dyDescent="0.3">
      <c r="A1678" s="10" t="s">
        <v>647</v>
      </c>
      <c r="B1678" s="11"/>
      <c r="C1678" s="11"/>
      <c r="D1678" s="17">
        <v>8039.9299999999994</v>
      </c>
    </row>
    <row r="1679" spans="1:4" x14ac:dyDescent="0.3">
      <c r="A1679" s="10">
        <v>352</v>
      </c>
      <c r="B1679" s="10" t="s">
        <v>18</v>
      </c>
      <c r="C1679" s="10" t="s">
        <v>28</v>
      </c>
      <c r="D1679" s="17">
        <v>269.99</v>
      </c>
    </row>
    <row r="1680" spans="1:4" x14ac:dyDescent="0.3">
      <c r="A1680" s="12"/>
      <c r="B1680" s="12"/>
      <c r="C1680" s="14" t="s">
        <v>30</v>
      </c>
      <c r="D1680" s="18">
        <v>1680.99</v>
      </c>
    </row>
    <row r="1681" spans="1:4" x14ac:dyDescent="0.3">
      <c r="A1681" s="12"/>
      <c r="B1681" s="10" t="s">
        <v>1916</v>
      </c>
      <c r="C1681" s="11"/>
      <c r="D1681" s="17">
        <v>1950.98</v>
      </c>
    </row>
    <row r="1682" spans="1:4" x14ac:dyDescent="0.3">
      <c r="A1682" s="10" t="s">
        <v>648</v>
      </c>
      <c r="B1682" s="11"/>
      <c r="C1682" s="11"/>
      <c r="D1682" s="17">
        <v>1950.98</v>
      </c>
    </row>
    <row r="1683" spans="1:4" x14ac:dyDescent="0.3">
      <c r="A1683" s="10">
        <v>353</v>
      </c>
      <c r="B1683" s="10" t="s">
        <v>18</v>
      </c>
      <c r="C1683" s="10" t="s">
        <v>22</v>
      </c>
      <c r="D1683" s="17">
        <v>1499.98</v>
      </c>
    </row>
    <row r="1684" spans="1:4" x14ac:dyDescent="0.3">
      <c r="A1684" s="12"/>
      <c r="B1684" s="10" t="s">
        <v>1916</v>
      </c>
      <c r="C1684" s="11"/>
      <c r="D1684" s="17">
        <v>1499.98</v>
      </c>
    </row>
    <row r="1685" spans="1:4" x14ac:dyDescent="0.3">
      <c r="A1685" s="10" t="s">
        <v>649</v>
      </c>
      <c r="B1685" s="11"/>
      <c r="C1685" s="11"/>
      <c r="D1685" s="17">
        <v>1499.98</v>
      </c>
    </row>
    <row r="1686" spans="1:4" x14ac:dyDescent="0.3">
      <c r="A1686" s="10">
        <v>354</v>
      </c>
      <c r="B1686" s="10" t="s">
        <v>37</v>
      </c>
      <c r="C1686" s="10" t="s">
        <v>31</v>
      </c>
      <c r="D1686" s="17">
        <v>269.99</v>
      </c>
    </row>
    <row r="1687" spans="1:4" x14ac:dyDescent="0.3">
      <c r="A1687" s="12"/>
      <c r="B1687" s="12"/>
      <c r="C1687" s="14" t="s">
        <v>36</v>
      </c>
      <c r="D1687" s="18">
        <v>449</v>
      </c>
    </row>
    <row r="1688" spans="1:4" x14ac:dyDescent="0.3">
      <c r="A1688" s="12"/>
      <c r="B1688" s="10" t="s">
        <v>1917</v>
      </c>
      <c r="C1688" s="11"/>
      <c r="D1688" s="17">
        <v>718.99</v>
      </c>
    </row>
    <row r="1689" spans="1:4" x14ac:dyDescent="0.3">
      <c r="A1689" s="10" t="s">
        <v>650</v>
      </c>
      <c r="B1689" s="11"/>
      <c r="C1689" s="11"/>
      <c r="D1689" s="17">
        <v>718.99</v>
      </c>
    </row>
    <row r="1690" spans="1:4" x14ac:dyDescent="0.3">
      <c r="A1690" s="10">
        <v>355</v>
      </c>
      <c r="B1690" s="10" t="s">
        <v>37</v>
      </c>
      <c r="C1690" s="10" t="s">
        <v>28</v>
      </c>
      <c r="D1690" s="17">
        <v>539.98</v>
      </c>
    </row>
    <row r="1691" spans="1:4" x14ac:dyDescent="0.3">
      <c r="A1691" s="12"/>
      <c r="B1691" s="12"/>
      <c r="C1691" s="14" t="s">
        <v>14</v>
      </c>
      <c r="D1691" s="18">
        <v>599.99</v>
      </c>
    </row>
    <row r="1692" spans="1:4" x14ac:dyDescent="0.3">
      <c r="A1692" s="12"/>
      <c r="B1692" s="10" t="s">
        <v>1917</v>
      </c>
      <c r="C1692" s="11"/>
      <c r="D1692" s="17">
        <v>1139.97</v>
      </c>
    </row>
    <row r="1693" spans="1:4" x14ac:dyDescent="0.3">
      <c r="A1693" s="10" t="s">
        <v>651</v>
      </c>
      <c r="B1693" s="11"/>
      <c r="C1693" s="11"/>
      <c r="D1693" s="17">
        <v>1139.97</v>
      </c>
    </row>
    <row r="1694" spans="1:4" x14ac:dyDescent="0.3">
      <c r="A1694" s="10">
        <v>356</v>
      </c>
      <c r="B1694" s="10" t="s">
        <v>18</v>
      </c>
      <c r="C1694" s="10" t="s">
        <v>31</v>
      </c>
      <c r="D1694" s="17">
        <v>269.99</v>
      </c>
    </row>
    <row r="1695" spans="1:4" x14ac:dyDescent="0.3">
      <c r="A1695" s="12"/>
      <c r="B1695" s="12"/>
      <c r="C1695" s="14" t="s">
        <v>33</v>
      </c>
      <c r="D1695" s="18">
        <v>599.98</v>
      </c>
    </row>
    <row r="1696" spans="1:4" x14ac:dyDescent="0.3">
      <c r="A1696" s="12"/>
      <c r="B1696" s="12"/>
      <c r="C1696" s="14" t="s">
        <v>16</v>
      </c>
      <c r="D1696" s="18">
        <v>2899.99</v>
      </c>
    </row>
    <row r="1697" spans="1:4" x14ac:dyDescent="0.3">
      <c r="A1697" s="12"/>
      <c r="B1697" s="10" t="s">
        <v>1916</v>
      </c>
      <c r="C1697" s="11"/>
      <c r="D1697" s="17">
        <v>3769.96</v>
      </c>
    </row>
    <row r="1698" spans="1:4" x14ac:dyDescent="0.3">
      <c r="A1698" s="10" t="s">
        <v>652</v>
      </c>
      <c r="B1698" s="11"/>
      <c r="C1698" s="11"/>
      <c r="D1698" s="17">
        <v>3769.96</v>
      </c>
    </row>
    <row r="1699" spans="1:4" x14ac:dyDescent="0.3">
      <c r="A1699" s="10">
        <v>357</v>
      </c>
      <c r="B1699" s="10" t="s">
        <v>37</v>
      </c>
      <c r="C1699" s="10" t="s">
        <v>31</v>
      </c>
      <c r="D1699" s="17">
        <v>539.98</v>
      </c>
    </row>
    <row r="1700" spans="1:4" x14ac:dyDescent="0.3">
      <c r="A1700" s="12"/>
      <c r="B1700" s="12"/>
      <c r="C1700" s="14" t="s">
        <v>25</v>
      </c>
      <c r="D1700" s="18">
        <v>549.99</v>
      </c>
    </row>
    <row r="1701" spans="1:4" x14ac:dyDescent="0.3">
      <c r="A1701" s="12"/>
      <c r="B1701" s="12"/>
      <c r="C1701" s="14" t="s">
        <v>23</v>
      </c>
      <c r="D1701" s="18">
        <v>858</v>
      </c>
    </row>
    <row r="1702" spans="1:4" x14ac:dyDescent="0.3">
      <c r="A1702" s="12"/>
      <c r="B1702" s="12"/>
      <c r="C1702" s="14" t="s">
        <v>26</v>
      </c>
      <c r="D1702" s="18">
        <v>2999.99</v>
      </c>
    </row>
    <row r="1703" spans="1:4" x14ac:dyDescent="0.3">
      <c r="A1703" s="12"/>
      <c r="B1703" s="10" t="s">
        <v>1917</v>
      </c>
      <c r="C1703" s="11"/>
      <c r="D1703" s="17">
        <v>4947.96</v>
      </c>
    </row>
    <row r="1704" spans="1:4" x14ac:dyDescent="0.3">
      <c r="A1704" s="10" t="s">
        <v>653</v>
      </c>
      <c r="B1704" s="11"/>
      <c r="C1704" s="11"/>
      <c r="D1704" s="17">
        <v>4947.96</v>
      </c>
    </row>
    <row r="1705" spans="1:4" x14ac:dyDescent="0.3">
      <c r="A1705" s="10">
        <v>358</v>
      </c>
      <c r="B1705" s="10" t="s">
        <v>18</v>
      </c>
      <c r="C1705" s="10" t="s">
        <v>31</v>
      </c>
      <c r="D1705" s="17">
        <v>539.98</v>
      </c>
    </row>
    <row r="1706" spans="1:4" x14ac:dyDescent="0.3">
      <c r="A1706" s="12"/>
      <c r="B1706" s="12"/>
      <c r="C1706" s="14" t="s">
        <v>24</v>
      </c>
      <c r="D1706" s="18">
        <v>898</v>
      </c>
    </row>
    <row r="1707" spans="1:4" x14ac:dyDescent="0.3">
      <c r="A1707" s="12"/>
      <c r="B1707" s="12"/>
      <c r="C1707" s="14" t="s">
        <v>32</v>
      </c>
      <c r="D1707" s="18">
        <v>939.98</v>
      </c>
    </row>
    <row r="1708" spans="1:4" x14ac:dyDescent="0.3">
      <c r="A1708" s="12"/>
      <c r="B1708" s="12"/>
      <c r="C1708" s="14" t="s">
        <v>12</v>
      </c>
      <c r="D1708" s="18">
        <v>3599.98</v>
      </c>
    </row>
    <row r="1709" spans="1:4" x14ac:dyDescent="0.3">
      <c r="A1709" s="12"/>
      <c r="B1709" s="10" t="s">
        <v>1916</v>
      </c>
      <c r="C1709" s="11"/>
      <c r="D1709" s="17">
        <v>5977.9400000000005</v>
      </c>
    </row>
    <row r="1710" spans="1:4" x14ac:dyDescent="0.3">
      <c r="A1710" s="10" t="s">
        <v>654</v>
      </c>
      <c r="B1710" s="11"/>
      <c r="C1710" s="11"/>
      <c r="D1710" s="17">
        <v>5977.9400000000005</v>
      </c>
    </row>
    <row r="1711" spans="1:4" x14ac:dyDescent="0.3">
      <c r="A1711" s="10">
        <v>359</v>
      </c>
      <c r="B1711" s="10" t="s">
        <v>18</v>
      </c>
      <c r="C1711" s="10" t="s">
        <v>27</v>
      </c>
      <c r="D1711" s="17">
        <v>1059.98</v>
      </c>
    </row>
    <row r="1712" spans="1:4" x14ac:dyDescent="0.3">
      <c r="A1712" s="12"/>
      <c r="B1712" s="12"/>
      <c r="C1712" s="14" t="s">
        <v>26</v>
      </c>
      <c r="D1712" s="18">
        <v>5999.98</v>
      </c>
    </row>
    <row r="1713" spans="1:4" x14ac:dyDescent="0.3">
      <c r="A1713" s="12"/>
      <c r="B1713" s="12"/>
      <c r="C1713" s="14" t="s">
        <v>29</v>
      </c>
      <c r="D1713" s="18">
        <v>7999.98</v>
      </c>
    </row>
    <row r="1714" spans="1:4" x14ac:dyDescent="0.3">
      <c r="A1714" s="12"/>
      <c r="B1714" s="10" t="s">
        <v>1916</v>
      </c>
      <c r="C1714" s="11"/>
      <c r="D1714" s="17">
        <v>15059.939999999999</v>
      </c>
    </row>
    <row r="1715" spans="1:4" x14ac:dyDescent="0.3">
      <c r="A1715" s="10" t="s">
        <v>655</v>
      </c>
      <c r="B1715" s="11"/>
      <c r="C1715" s="11"/>
      <c r="D1715" s="17">
        <v>15059.939999999999</v>
      </c>
    </row>
    <row r="1716" spans="1:4" x14ac:dyDescent="0.3">
      <c r="A1716" s="10">
        <v>360</v>
      </c>
      <c r="B1716" s="10" t="s">
        <v>18</v>
      </c>
      <c r="C1716" s="10" t="s">
        <v>31</v>
      </c>
      <c r="D1716" s="17">
        <v>539.98</v>
      </c>
    </row>
    <row r="1717" spans="1:4" x14ac:dyDescent="0.3">
      <c r="A1717" s="12"/>
      <c r="B1717" s="12"/>
      <c r="C1717" s="14" t="s">
        <v>35</v>
      </c>
      <c r="D1717" s="18">
        <v>499.99</v>
      </c>
    </row>
    <row r="1718" spans="1:4" x14ac:dyDescent="0.3">
      <c r="A1718" s="12"/>
      <c r="B1718" s="12"/>
      <c r="C1718" s="14" t="s">
        <v>14</v>
      </c>
      <c r="D1718" s="18">
        <v>599.99</v>
      </c>
    </row>
    <row r="1719" spans="1:4" x14ac:dyDescent="0.3">
      <c r="A1719" s="12"/>
      <c r="B1719" s="12"/>
      <c r="C1719" s="14" t="s">
        <v>29</v>
      </c>
      <c r="D1719" s="18">
        <v>7999.98</v>
      </c>
    </row>
    <row r="1720" spans="1:4" x14ac:dyDescent="0.3">
      <c r="A1720" s="12"/>
      <c r="B1720" s="10" t="s">
        <v>1916</v>
      </c>
      <c r="C1720" s="11"/>
      <c r="D1720" s="17">
        <v>9639.9399999999987</v>
      </c>
    </row>
    <row r="1721" spans="1:4" x14ac:dyDescent="0.3">
      <c r="A1721" s="10" t="s">
        <v>656</v>
      </c>
      <c r="B1721" s="11"/>
      <c r="C1721" s="11"/>
      <c r="D1721" s="17">
        <v>9639.9399999999987</v>
      </c>
    </row>
    <row r="1722" spans="1:4" x14ac:dyDescent="0.3">
      <c r="A1722" s="10">
        <v>361</v>
      </c>
      <c r="B1722" s="10" t="s">
        <v>18</v>
      </c>
      <c r="C1722" s="10" t="s">
        <v>25</v>
      </c>
      <c r="D1722" s="17">
        <v>1099.98</v>
      </c>
    </row>
    <row r="1723" spans="1:4" x14ac:dyDescent="0.3">
      <c r="A1723" s="12"/>
      <c r="B1723" s="12"/>
      <c r="C1723" s="14" t="s">
        <v>32</v>
      </c>
      <c r="D1723" s="18">
        <v>939.98</v>
      </c>
    </row>
    <row r="1724" spans="1:4" x14ac:dyDescent="0.3">
      <c r="A1724" s="12"/>
      <c r="B1724" s="12"/>
      <c r="C1724" s="14" t="s">
        <v>30</v>
      </c>
      <c r="D1724" s="18">
        <v>1680.99</v>
      </c>
    </row>
    <row r="1725" spans="1:4" x14ac:dyDescent="0.3">
      <c r="A1725" s="12"/>
      <c r="B1725" s="10" t="s">
        <v>1916</v>
      </c>
      <c r="C1725" s="11"/>
      <c r="D1725" s="17">
        <v>3720.95</v>
      </c>
    </row>
    <row r="1726" spans="1:4" x14ac:dyDescent="0.3">
      <c r="A1726" s="10" t="s">
        <v>657</v>
      </c>
      <c r="B1726" s="11"/>
      <c r="C1726" s="11"/>
      <c r="D1726" s="17">
        <v>3720.95</v>
      </c>
    </row>
    <row r="1727" spans="1:4" x14ac:dyDescent="0.3">
      <c r="A1727" s="10">
        <v>362</v>
      </c>
      <c r="B1727" s="10" t="s">
        <v>11</v>
      </c>
      <c r="C1727" s="10" t="s">
        <v>22</v>
      </c>
      <c r="D1727" s="17">
        <v>749.99</v>
      </c>
    </row>
    <row r="1728" spans="1:4" x14ac:dyDescent="0.3">
      <c r="A1728" s="12"/>
      <c r="B1728" s="10" t="s">
        <v>1915</v>
      </c>
      <c r="C1728" s="11"/>
      <c r="D1728" s="17">
        <v>749.99</v>
      </c>
    </row>
    <row r="1729" spans="1:4" x14ac:dyDescent="0.3">
      <c r="A1729" s="10" t="s">
        <v>658</v>
      </c>
      <c r="B1729" s="11"/>
      <c r="C1729" s="11"/>
      <c r="D1729" s="17">
        <v>749.99</v>
      </c>
    </row>
    <row r="1730" spans="1:4" x14ac:dyDescent="0.3">
      <c r="A1730" s="10">
        <v>363</v>
      </c>
      <c r="B1730" s="10" t="s">
        <v>37</v>
      </c>
      <c r="C1730" s="10" t="s">
        <v>31</v>
      </c>
      <c r="D1730" s="17">
        <v>539.98</v>
      </c>
    </row>
    <row r="1731" spans="1:4" x14ac:dyDescent="0.3">
      <c r="A1731" s="12"/>
      <c r="B1731" s="12"/>
      <c r="C1731" s="14" t="s">
        <v>28</v>
      </c>
      <c r="D1731" s="18">
        <v>269.99</v>
      </c>
    </row>
    <row r="1732" spans="1:4" x14ac:dyDescent="0.3">
      <c r="A1732" s="12"/>
      <c r="B1732" s="12"/>
      <c r="C1732" s="14" t="s">
        <v>27</v>
      </c>
      <c r="D1732" s="18">
        <v>529.99</v>
      </c>
    </row>
    <row r="1733" spans="1:4" x14ac:dyDescent="0.3">
      <c r="A1733" s="12"/>
      <c r="B1733" s="12"/>
      <c r="C1733" s="14" t="s">
        <v>10</v>
      </c>
      <c r="D1733" s="18">
        <v>599.99</v>
      </c>
    </row>
    <row r="1734" spans="1:4" x14ac:dyDescent="0.3">
      <c r="A1734" s="12"/>
      <c r="B1734" s="10" t="s">
        <v>1917</v>
      </c>
      <c r="C1734" s="11"/>
      <c r="D1734" s="17">
        <v>1939.95</v>
      </c>
    </row>
    <row r="1735" spans="1:4" x14ac:dyDescent="0.3">
      <c r="A1735" s="10" t="s">
        <v>659</v>
      </c>
      <c r="B1735" s="11"/>
      <c r="C1735" s="11"/>
      <c r="D1735" s="17">
        <v>1939.95</v>
      </c>
    </row>
    <row r="1736" spans="1:4" x14ac:dyDescent="0.3">
      <c r="A1736" s="10">
        <v>364</v>
      </c>
      <c r="B1736" s="10" t="s">
        <v>18</v>
      </c>
      <c r="C1736" s="10" t="s">
        <v>35</v>
      </c>
      <c r="D1736" s="17">
        <v>999.98</v>
      </c>
    </row>
    <row r="1737" spans="1:4" x14ac:dyDescent="0.3">
      <c r="A1737" s="12"/>
      <c r="B1737" s="10" t="s">
        <v>1916</v>
      </c>
      <c r="C1737" s="11"/>
      <c r="D1737" s="17">
        <v>999.98</v>
      </c>
    </row>
    <row r="1738" spans="1:4" x14ac:dyDescent="0.3">
      <c r="A1738" s="10" t="s">
        <v>660</v>
      </c>
      <c r="B1738" s="11"/>
      <c r="C1738" s="11"/>
      <c r="D1738" s="17">
        <v>999.98</v>
      </c>
    </row>
    <row r="1739" spans="1:4" x14ac:dyDescent="0.3">
      <c r="A1739" s="10">
        <v>365</v>
      </c>
      <c r="B1739" s="10" t="s">
        <v>18</v>
      </c>
      <c r="C1739" s="10" t="s">
        <v>25</v>
      </c>
      <c r="D1739" s="17">
        <v>1099.98</v>
      </c>
    </row>
    <row r="1740" spans="1:4" x14ac:dyDescent="0.3">
      <c r="A1740" s="12"/>
      <c r="B1740" s="10" t="s">
        <v>1916</v>
      </c>
      <c r="C1740" s="11"/>
      <c r="D1740" s="17">
        <v>1099.98</v>
      </c>
    </row>
    <row r="1741" spans="1:4" x14ac:dyDescent="0.3">
      <c r="A1741" s="10" t="s">
        <v>661</v>
      </c>
      <c r="B1741" s="11"/>
      <c r="C1741" s="11"/>
      <c r="D1741" s="17">
        <v>1099.98</v>
      </c>
    </row>
    <row r="1742" spans="1:4" x14ac:dyDescent="0.3">
      <c r="A1742" s="10">
        <v>366</v>
      </c>
      <c r="B1742" s="10" t="s">
        <v>37</v>
      </c>
      <c r="C1742" s="10" t="s">
        <v>31</v>
      </c>
      <c r="D1742" s="17">
        <v>269.99</v>
      </c>
    </row>
    <row r="1743" spans="1:4" x14ac:dyDescent="0.3">
      <c r="A1743" s="12"/>
      <c r="B1743" s="12"/>
      <c r="C1743" s="14" t="s">
        <v>14</v>
      </c>
      <c r="D1743" s="18">
        <v>1199.98</v>
      </c>
    </row>
    <row r="1744" spans="1:4" x14ac:dyDescent="0.3">
      <c r="A1744" s="12"/>
      <c r="B1744" s="12"/>
      <c r="C1744" s="14" t="s">
        <v>16</v>
      </c>
      <c r="D1744" s="18">
        <v>2899.99</v>
      </c>
    </row>
    <row r="1745" spans="1:4" x14ac:dyDescent="0.3">
      <c r="A1745" s="12"/>
      <c r="B1745" s="10" t="s">
        <v>1917</v>
      </c>
      <c r="C1745" s="11"/>
      <c r="D1745" s="17">
        <v>4369.96</v>
      </c>
    </row>
    <row r="1746" spans="1:4" x14ac:dyDescent="0.3">
      <c r="A1746" s="10" t="s">
        <v>662</v>
      </c>
      <c r="B1746" s="11"/>
      <c r="C1746" s="11"/>
      <c r="D1746" s="17">
        <v>4369.96</v>
      </c>
    </row>
    <row r="1747" spans="1:4" x14ac:dyDescent="0.3">
      <c r="A1747" s="10">
        <v>367</v>
      </c>
      <c r="B1747" s="10" t="s">
        <v>18</v>
      </c>
      <c r="C1747" s="10" t="s">
        <v>28</v>
      </c>
      <c r="D1747" s="17">
        <v>269.99</v>
      </c>
    </row>
    <row r="1748" spans="1:4" x14ac:dyDescent="0.3">
      <c r="A1748" s="12"/>
      <c r="B1748" s="12"/>
      <c r="C1748" s="14" t="s">
        <v>14</v>
      </c>
      <c r="D1748" s="18">
        <v>1199.98</v>
      </c>
    </row>
    <row r="1749" spans="1:4" x14ac:dyDescent="0.3">
      <c r="A1749" s="12"/>
      <c r="B1749" s="12"/>
      <c r="C1749" s="14" t="s">
        <v>13</v>
      </c>
      <c r="D1749" s="18">
        <v>3098</v>
      </c>
    </row>
    <row r="1750" spans="1:4" x14ac:dyDescent="0.3">
      <c r="A1750" s="12"/>
      <c r="B1750" s="10" t="s">
        <v>1916</v>
      </c>
      <c r="C1750" s="11"/>
      <c r="D1750" s="17">
        <v>4567.97</v>
      </c>
    </row>
    <row r="1751" spans="1:4" x14ac:dyDescent="0.3">
      <c r="A1751" s="10" t="s">
        <v>663</v>
      </c>
      <c r="B1751" s="11"/>
      <c r="C1751" s="11"/>
      <c r="D1751" s="17">
        <v>4567.97</v>
      </c>
    </row>
    <row r="1752" spans="1:4" x14ac:dyDescent="0.3">
      <c r="A1752" s="10">
        <v>368</v>
      </c>
      <c r="B1752" s="10" t="s">
        <v>18</v>
      </c>
      <c r="C1752" s="10" t="s">
        <v>31</v>
      </c>
      <c r="D1752" s="17">
        <v>539.98</v>
      </c>
    </row>
    <row r="1753" spans="1:4" x14ac:dyDescent="0.3">
      <c r="A1753" s="12"/>
      <c r="B1753" s="12"/>
      <c r="C1753" s="14" t="s">
        <v>34</v>
      </c>
      <c r="D1753" s="18">
        <v>1320.99</v>
      </c>
    </row>
    <row r="1754" spans="1:4" x14ac:dyDescent="0.3">
      <c r="A1754" s="12"/>
      <c r="B1754" s="12"/>
      <c r="C1754" s="14" t="s">
        <v>36</v>
      </c>
      <c r="D1754" s="18">
        <v>449</v>
      </c>
    </row>
    <row r="1755" spans="1:4" x14ac:dyDescent="0.3">
      <c r="A1755" s="12"/>
      <c r="B1755" s="12"/>
      <c r="C1755" s="14" t="s">
        <v>13</v>
      </c>
      <c r="D1755" s="18">
        <v>3098</v>
      </c>
    </row>
    <row r="1756" spans="1:4" x14ac:dyDescent="0.3">
      <c r="A1756" s="12"/>
      <c r="B1756" s="10" t="s">
        <v>1916</v>
      </c>
      <c r="C1756" s="11"/>
      <c r="D1756" s="17">
        <v>5407.97</v>
      </c>
    </row>
    <row r="1757" spans="1:4" x14ac:dyDescent="0.3">
      <c r="A1757" s="10" t="s">
        <v>664</v>
      </c>
      <c r="B1757" s="11"/>
      <c r="C1757" s="11"/>
      <c r="D1757" s="17">
        <v>5407.97</v>
      </c>
    </row>
    <row r="1758" spans="1:4" x14ac:dyDescent="0.3">
      <c r="A1758" s="10">
        <v>369</v>
      </c>
      <c r="B1758" s="10" t="s">
        <v>11</v>
      </c>
      <c r="C1758" s="10" t="s">
        <v>13</v>
      </c>
      <c r="D1758" s="17">
        <v>3098</v>
      </c>
    </row>
    <row r="1759" spans="1:4" x14ac:dyDescent="0.3">
      <c r="A1759" s="12"/>
      <c r="B1759" s="10" t="s">
        <v>1915</v>
      </c>
      <c r="C1759" s="11"/>
      <c r="D1759" s="17">
        <v>3098</v>
      </c>
    </row>
    <row r="1760" spans="1:4" x14ac:dyDescent="0.3">
      <c r="A1760" s="10" t="s">
        <v>665</v>
      </c>
      <c r="B1760" s="11"/>
      <c r="C1760" s="11"/>
      <c r="D1760" s="17">
        <v>3098</v>
      </c>
    </row>
    <row r="1761" spans="1:4" x14ac:dyDescent="0.3">
      <c r="A1761" s="10">
        <v>370</v>
      </c>
      <c r="B1761" s="10" t="s">
        <v>18</v>
      </c>
      <c r="C1761" s="10" t="s">
        <v>35</v>
      </c>
      <c r="D1761" s="17">
        <v>999.98</v>
      </c>
    </row>
    <row r="1762" spans="1:4" x14ac:dyDescent="0.3">
      <c r="A1762" s="12"/>
      <c r="B1762" s="12"/>
      <c r="C1762" s="14" t="s">
        <v>16</v>
      </c>
      <c r="D1762" s="18">
        <v>5799.98</v>
      </c>
    </row>
    <row r="1763" spans="1:4" x14ac:dyDescent="0.3">
      <c r="A1763" s="12"/>
      <c r="B1763" s="10" t="s">
        <v>1916</v>
      </c>
      <c r="C1763" s="11"/>
      <c r="D1763" s="17">
        <v>6799.9599999999991</v>
      </c>
    </row>
    <row r="1764" spans="1:4" x14ac:dyDescent="0.3">
      <c r="A1764" s="10" t="s">
        <v>666</v>
      </c>
      <c r="B1764" s="11"/>
      <c r="C1764" s="11"/>
      <c r="D1764" s="17">
        <v>6799.9599999999991</v>
      </c>
    </row>
    <row r="1765" spans="1:4" x14ac:dyDescent="0.3">
      <c r="A1765" s="10">
        <v>371</v>
      </c>
      <c r="B1765" s="10" t="s">
        <v>18</v>
      </c>
      <c r="C1765" s="10" t="s">
        <v>28</v>
      </c>
      <c r="D1765" s="17">
        <v>269.99</v>
      </c>
    </row>
    <row r="1766" spans="1:4" x14ac:dyDescent="0.3">
      <c r="A1766" s="12"/>
      <c r="B1766" s="12"/>
      <c r="C1766" s="14" t="s">
        <v>25</v>
      </c>
      <c r="D1766" s="18">
        <v>549.99</v>
      </c>
    </row>
    <row r="1767" spans="1:4" x14ac:dyDescent="0.3">
      <c r="A1767" s="12"/>
      <c r="B1767" s="10" t="s">
        <v>1916</v>
      </c>
      <c r="C1767" s="11"/>
      <c r="D1767" s="17">
        <v>819.98</v>
      </c>
    </row>
    <row r="1768" spans="1:4" x14ac:dyDescent="0.3">
      <c r="A1768" s="10" t="s">
        <v>667</v>
      </c>
      <c r="B1768" s="11"/>
      <c r="C1768" s="11"/>
      <c r="D1768" s="17">
        <v>819.98</v>
      </c>
    </row>
    <row r="1769" spans="1:4" x14ac:dyDescent="0.3">
      <c r="A1769" s="10">
        <v>372</v>
      </c>
      <c r="B1769" s="10" t="s">
        <v>18</v>
      </c>
      <c r="C1769" s="10" t="s">
        <v>28</v>
      </c>
      <c r="D1769" s="17">
        <v>539.98</v>
      </c>
    </row>
    <row r="1770" spans="1:4" x14ac:dyDescent="0.3">
      <c r="A1770" s="12"/>
      <c r="B1770" s="12"/>
      <c r="C1770" s="14" t="s">
        <v>34</v>
      </c>
      <c r="D1770" s="18">
        <v>1320.99</v>
      </c>
    </row>
    <row r="1771" spans="1:4" x14ac:dyDescent="0.3">
      <c r="A1771" s="12"/>
      <c r="B1771" s="12"/>
      <c r="C1771" s="14" t="s">
        <v>30</v>
      </c>
      <c r="D1771" s="18">
        <v>1680.99</v>
      </c>
    </row>
    <row r="1772" spans="1:4" x14ac:dyDescent="0.3">
      <c r="A1772" s="12"/>
      <c r="B1772" s="10" t="s">
        <v>1916</v>
      </c>
      <c r="C1772" s="11"/>
      <c r="D1772" s="17">
        <v>3541.96</v>
      </c>
    </row>
    <row r="1773" spans="1:4" x14ac:dyDescent="0.3">
      <c r="A1773" s="10" t="s">
        <v>668</v>
      </c>
      <c r="B1773" s="11"/>
      <c r="C1773" s="11"/>
      <c r="D1773" s="17">
        <v>3541.96</v>
      </c>
    </row>
    <row r="1774" spans="1:4" x14ac:dyDescent="0.3">
      <c r="A1774" s="10">
        <v>373</v>
      </c>
      <c r="B1774" s="10" t="s">
        <v>18</v>
      </c>
      <c r="C1774" s="10" t="s">
        <v>31</v>
      </c>
      <c r="D1774" s="17">
        <v>269.99</v>
      </c>
    </row>
    <row r="1775" spans="1:4" x14ac:dyDescent="0.3">
      <c r="A1775" s="12"/>
      <c r="B1775" s="12"/>
      <c r="C1775" s="14" t="s">
        <v>28</v>
      </c>
      <c r="D1775" s="18">
        <v>269.99</v>
      </c>
    </row>
    <row r="1776" spans="1:4" x14ac:dyDescent="0.3">
      <c r="A1776" s="12"/>
      <c r="B1776" s="12"/>
      <c r="C1776" s="14" t="s">
        <v>25</v>
      </c>
      <c r="D1776" s="18">
        <v>549.99</v>
      </c>
    </row>
    <row r="1777" spans="1:4" x14ac:dyDescent="0.3">
      <c r="A1777" s="12"/>
      <c r="B1777" s="12"/>
      <c r="C1777" s="14" t="s">
        <v>36</v>
      </c>
      <c r="D1777" s="18">
        <v>898</v>
      </c>
    </row>
    <row r="1778" spans="1:4" x14ac:dyDescent="0.3">
      <c r="A1778" s="12"/>
      <c r="B1778" s="12"/>
      <c r="C1778" s="14" t="s">
        <v>12</v>
      </c>
      <c r="D1778" s="18">
        <v>3599.98</v>
      </c>
    </row>
    <row r="1779" spans="1:4" x14ac:dyDescent="0.3">
      <c r="A1779" s="12"/>
      <c r="B1779" s="10" t="s">
        <v>1916</v>
      </c>
      <c r="C1779" s="11"/>
      <c r="D1779" s="17">
        <v>5587.95</v>
      </c>
    </row>
    <row r="1780" spans="1:4" x14ac:dyDescent="0.3">
      <c r="A1780" s="10" t="s">
        <v>669</v>
      </c>
      <c r="B1780" s="11"/>
      <c r="C1780" s="11"/>
      <c r="D1780" s="17">
        <v>5587.95</v>
      </c>
    </row>
    <row r="1781" spans="1:4" x14ac:dyDescent="0.3">
      <c r="A1781" s="10">
        <v>374</v>
      </c>
      <c r="B1781" s="10" t="s">
        <v>11</v>
      </c>
      <c r="C1781" s="10" t="s">
        <v>13</v>
      </c>
      <c r="D1781" s="17">
        <v>1549</v>
      </c>
    </row>
    <row r="1782" spans="1:4" x14ac:dyDescent="0.3">
      <c r="A1782" s="12"/>
      <c r="B1782" s="12"/>
      <c r="C1782" s="14" t="s">
        <v>29</v>
      </c>
      <c r="D1782" s="18">
        <v>3999.99</v>
      </c>
    </row>
    <row r="1783" spans="1:4" x14ac:dyDescent="0.3">
      <c r="A1783" s="12"/>
      <c r="B1783" s="10" t="s">
        <v>1915</v>
      </c>
      <c r="C1783" s="11"/>
      <c r="D1783" s="17">
        <v>5548.99</v>
      </c>
    </row>
    <row r="1784" spans="1:4" x14ac:dyDescent="0.3">
      <c r="A1784" s="10" t="s">
        <v>670</v>
      </c>
      <c r="B1784" s="11"/>
      <c r="C1784" s="11"/>
      <c r="D1784" s="17">
        <v>5548.99</v>
      </c>
    </row>
    <row r="1785" spans="1:4" x14ac:dyDescent="0.3">
      <c r="A1785" s="10">
        <v>375</v>
      </c>
      <c r="B1785" s="10" t="s">
        <v>18</v>
      </c>
      <c r="C1785" s="10" t="s">
        <v>31</v>
      </c>
      <c r="D1785" s="17">
        <v>539.98</v>
      </c>
    </row>
    <row r="1786" spans="1:4" x14ac:dyDescent="0.3">
      <c r="A1786" s="12"/>
      <c r="B1786" s="12"/>
      <c r="C1786" s="14" t="s">
        <v>25</v>
      </c>
      <c r="D1786" s="18">
        <v>1099.98</v>
      </c>
    </row>
    <row r="1787" spans="1:4" x14ac:dyDescent="0.3">
      <c r="A1787" s="12"/>
      <c r="B1787" s="12"/>
      <c r="C1787" s="14" t="s">
        <v>22</v>
      </c>
      <c r="D1787" s="18">
        <v>1499.98</v>
      </c>
    </row>
    <row r="1788" spans="1:4" x14ac:dyDescent="0.3">
      <c r="A1788" s="12"/>
      <c r="B1788" s="12"/>
      <c r="C1788" s="14" t="s">
        <v>16</v>
      </c>
      <c r="D1788" s="18">
        <v>5799.98</v>
      </c>
    </row>
    <row r="1789" spans="1:4" x14ac:dyDescent="0.3">
      <c r="A1789" s="12"/>
      <c r="B1789" s="10" t="s">
        <v>1916</v>
      </c>
      <c r="C1789" s="11"/>
      <c r="D1789" s="17">
        <v>8939.92</v>
      </c>
    </row>
    <row r="1790" spans="1:4" x14ac:dyDescent="0.3">
      <c r="A1790" s="10" t="s">
        <v>671</v>
      </c>
      <c r="B1790" s="11"/>
      <c r="C1790" s="11"/>
      <c r="D1790" s="17">
        <v>8939.92</v>
      </c>
    </row>
    <row r="1791" spans="1:4" x14ac:dyDescent="0.3">
      <c r="A1791" s="10">
        <v>376</v>
      </c>
      <c r="B1791" s="10" t="s">
        <v>18</v>
      </c>
      <c r="C1791" s="10" t="s">
        <v>33</v>
      </c>
      <c r="D1791" s="17">
        <v>599.98</v>
      </c>
    </row>
    <row r="1792" spans="1:4" x14ac:dyDescent="0.3">
      <c r="A1792" s="12"/>
      <c r="B1792" s="12"/>
      <c r="C1792" s="14" t="s">
        <v>22</v>
      </c>
      <c r="D1792" s="18">
        <v>1499.98</v>
      </c>
    </row>
    <row r="1793" spans="1:4" x14ac:dyDescent="0.3">
      <c r="A1793" s="12"/>
      <c r="B1793" s="10" t="s">
        <v>1916</v>
      </c>
      <c r="C1793" s="11"/>
      <c r="D1793" s="17">
        <v>2099.96</v>
      </c>
    </row>
    <row r="1794" spans="1:4" x14ac:dyDescent="0.3">
      <c r="A1794" s="10" t="s">
        <v>672</v>
      </c>
      <c r="B1794" s="11"/>
      <c r="C1794" s="11"/>
      <c r="D1794" s="17">
        <v>2099.96</v>
      </c>
    </row>
    <row r="1795" spans="1:4" x14ac:dyDescent="0.3">
      <c r="A1795" s="10">
        <v>377</v>
      </c>
      <c r="B1795" s="10" t="s">
        <v>18</v>
      </c>
      <c r="C1795" s="10" t="s">
        <v>28</v>
      </c>
      <c r="D1795" s="17">
        <v>269.99</v>
      </c>
    </row>
    <row r="1796" spans="1:4" x14ac:dyDescent="0.3">
      <c r="A1796" s="12"/>
      <c r="B1796" s="12"/>
      <c r="C1796" s="14" t="s">
        <v>12</v>
      </c>
      <c r="D1796" s="18">
        <v>1799.99</v>
      </c>
    </row>
    <row r="1797" spans="1:4" x14ac:dyDescent="0.3">
      <c r="A1797" s="12"/>
      <c r="B1797" s="10" t="s">
        <v>1916</v>
      </c>
      <c r="C1797" s="11"/>
      <c r="D1797" s="17">
        <v>2069.98</v>
      </c>
    </row>
    <row r="1798" spans="1:4" x14ac:dyDescent="0.3">
      <c r="A1798" s="10" t="s">
        <v>673</v>
      </c>
      <c r="B1798" s="11"/>
      <c r="C1798" s="11"/>
      <c r="D1798" s="17">
        <v>2069.98</v>
      </c>
    </row>
    <row r="1799" spans="1:4" x14ac:dyDescent="0.3">
      <c r="A1799" s="10">
        <v>378</v>
      </c>
      <c r="B1799" s="10" t="s">
        <v>37</v>
      </c>
      <c r="C1799" s="10" t="s">
        <v>14</v>
      </c>
      <c r="D1799" s="17">
        <v>1199.98</v>
      </c>
    </row>
    <row r="1800" spans="1:4" x14ac:dyDescent="0.3">
      <c r="A1800" s="12"/>
      <c r="B1800" s="10" t="s">
        <v>1917</v>
      </c>
      <c r="C1800" s="11"/>
      <c r="D1800" s="17">
        <v>1199.98</v>
      </c>
    </row>
    <row r="1801" spans="1:4" x14ac:dyDescent="0.3">
      <c r="A1801" s="10" t="s">
        <v>674</v>
      </c>
      <c r="B1801" s="11"/>
      <c r="C1801" s="11"/>
      <c r="D1801" s="17">
        <v>1199.98</v>
      </c>
    </row>
    <row r="1802" spans="1:4" x14ac:dyDescent="0.3">
      <c r="A1802" s="10">
        <v>379</v>
      </c>
      <c r="B1802" s="10" t="s">
        <v>18</v>
      </c>
      <c r="C1802" s="10" t="s">
        <v>14</v>
      </c>
      <c r="D1802" s="17">
        <v>599.99</v>
      </c>
    </row>
    <row r="1803" spans="1:4" x14ac:dyDescent="0.3">
      <c r="A1803" s="12"/>
      <c r="B1803" s="12"/>
      <c r="C1803" s="14" t="s">
        <v>26</v>
      </c>
      <c r="D1803" s="18">
        <v>2999.99</v>
      </c>
    </row>
    <row r="1804" spans="1:4" x14ac:dyDescent="0.3">
      <c r="A1804" s="12"/>
      <c r="B1804" s="10" t="s">
        <v>1916</v>
      </c>
      <c r="C1804" s="11"/>
      <c r="D1804" s="17">
        <v>3599.9799999999996</v>
      </c>
    </row>
    <row r="1805" spans="1:4" x14ac:dyDescent="0.3">
      <c r="A1805" s="10" t="s">
        <v>675</v>
      </c>
      <c r="B1805" s="11"/>
      <c r="C1805" s="11"/>
      <c r="D1805" s="17">
        <v>3599.9799999999996</v>
      </c>
    </row>
    <row r="1806" spans="1:4" x14ac:dyDescent="0.3">
      <c r="A1806" s="10">
        <v>380</v>
      </c>
      <c r="B1806" s="10" t="s">
        <v>18</v>
      </c>
      <c r="C1806" s="10" t="s">
        <v>14</v>
      </c>
      <c r="D1806" s="17">
        <v>599.99</v>
      </c>
    </row>
    <row r="1807" spans="1:4" x14ac:dyDescent="0.3">
      <c r="A1807" s="12"/>
      <c r="B1807" s="12"/>
      <c r="C1807" s="14" t="s">
        <v>30</v>
      </c>
      <c r="D1807" s="18">
        <v>3361.98</v>
      </c>
    </row>
    <row r="1808" spans="1:4" x14ac:dyDescent="0.3">
      <c r="A1808" s="12"/>
      <c r="B1808" s="10" t="s">
        <v>1916</v>
      </c>
      <c r="C1808" s="11"/>
      <c r="D1808" s="17">
        <v>3961.9700000000003</v>
      </c>
    </row>
    <row r="1809" spans="1:4" x14ac:dyDescent="0.3">
      <c r="A1809" s="10" t="s">
        <v>676</v>
      </c>
      <c r="B1809" s="11"/>
      <c r="C1809" s="11"/>
      <c r="D1809" s="17">
        <v>3961.9700000000003</v>
      </c>
    </row>
    <row r="1810" spans="1:4" x14ac:dyDescent="0.3">
      <c r="A1810" s="10">
        <v>381</v>
      </c>
      <c r="B1810" s="10" t="s">
        <v>18</v>
      </c>
      <c r="C1810" s="10" t="s">
        <v>31</v>
      </c>
      <c r="D1810" s="17">
        <v>539.98</v>
      </c>
    </row>
    <row r="1811" spans="1:4" x14ac:dyDescent="0.3">
      <c r="A1811" s="12"/>
      <c r="B1811" s="10" t="s">
        <v>1916</v>
      </c>
      <c r="C1811" s="11"/>
      <c r="D1811" s="17">
        <v>539.98</v>
      </c>
    </row>
    <row r="1812" spans="1:4" x14ac:dyDescent="0.3">
      <c r="A1812" s="10" t="s">
        <v>677</v>
      </c>
      <c r="B1812" s="11"/>
      <c r="C1812" s="11"/>
      <c r="D1812" s="17">
        <v>539.98</v>
      </c>
    </row>
    <row r="1813" spans="1:4" x14ac:dyDescent="0.3">
      <c r="A1813" s="10">
        <v>382</v>
      </c>
      <c r="B1813" s="10" t="s">
        <v>18</v>
      </c>
      <c r="C1813" s="10" t="s">
        <v>31</v>
      </c>
      <c r="D1813" s="17">
        <v>269.99</v>
      </c>
    </row>
    <row r="1814" spans="1:4" x14ac:dyDescent="0.3">
      <c r="A1814" s="12"/>
      <c r="B1814" s="12"/>
      <c r="C1814" s="14" t="s">
        <v>26</v>
      </c>
      <c r="D1814" s="18">
        <v>2999.99</v>
      </c>
    </row>
    <row r="1815" spans="1:4" x14ac:dyDescent="0.3">
      <c r="A1815" s="12"/>
      <c r="B1815" s="12"/>
      <c r="C1815" s="14" t="s">
        <v>12</v>
      </c>
      <c r="D1815" s="18">
        <v>1799.99</v>
      </c>
    </row>
    <row r="1816" spans="1:4" x14ac:dyDescent="0.3">
      <c r="A1816" s="12"/>
      <c r="B1816" s="10" t="s">
        <v>1916</v>
      </c>
      <c r="C1816" s="11"/>
      <c r="D1816" s="17">
        <v>5069.9699999999993</v>
      </c>
    </row>
    <row r="1817" spans="1:4" x14ac:dyDescent="0.3">
      <c r="A1817" s="10" t="s">
        <v>678</v>
      </c>
      <c r="B1817" s="11"/>
      <c r="C1817" s="11"/>
      <c r="D1817" s="17">
        <v>5069.9699999999993</v>
      </c>
    </row>
    <row r="1818" spans="1:4" x14ac:dyDescent="0.3">
      <c r="A1818" s="10">
        <v>383</v>
      </c>
      <c r="B1818" s="10" t="s">
        <v>18</v>
      </c>
      <c r="C1818" s="10" t="s">
        <v>31</v>
      </c>
      <c r="D1818" s="17">
        <v>809.97</v>
      </c>
    </row>
    <row r="1819" spans="1:4" x14ac:dyDescent="0.3">
      <c r="A1819" s="12"/>
      <c r="B1819" s="12"/>
      <c r="C1819" s="14" t="s">
        <v>28</v>
      </c>
      <c r="D1819" s="18">
        <v>809.97</v>
      </c>
    </row>
    <row r="1820" spans="1:4" x14ac:dyDescent="0.3">
      <c r="A1820" s="12"/>
      <c r="B1820" s="12"/>
      <c r="C1820" s="14" t="s">
        <v>36</v>
      </c>
      <c r="D1820" s="18">
        <v>449</v>
      </c>
    </row>
    <row r="1821" spans="1:4" x14ac:dyDescent="0.3">
      <c r="A1821" s="12"/>
      <c r="B1821" s="10" t="s">
        <v>1916</v>
      </c>
      <c r="C1821" s="11"/>
      <c r="D1821" s="17">
        <v>2068.94</v>
      </c>
    </row>
    <row r="1822" spans="1:4" x14ac:dyDescent="0.3">
      <c r="A1822" s="10" t="s">
        <v>679</v>
      </c>
      <c r="B1822" s="11"/>
      <c r="C1822" s="11"/>
      <c r="D1822" s="17">
        <v>2068.94</v>
      </c>
    </row>
    <row r="1823" spans="1:4" x14ac:dyDescent="0.3">
      <c r="A1823" s="10">
        <v>384</v>
      </c>
      <c r="B1823" s="10" t="s">
        <v>18</v>
      </c>
      <c r="C1823" s="10" t="s">
        <v>31</v>
      </c>
      <c r="D1823" s="17">
        <v>539.98</v>
      </c>
    </row>
    <row r="1824" spans="1:4" x14ac:dyDescent="0.3">
      <c r="A1824" s="12"/>
      <c r="B1824" s="12"/>
      <c r="C1824" s="14" t="s">
        <v>27</v>
      </c>
      <c r="D1824" s="18">
        <v>529.99</v>
      </c>
    </row>
    <row r="1825" spans="1:4" x14ac:dyDescent="0.3">
      <c r="A1825" s="12"/>
      <c r="B1825" s="12"/>
      <c r="C1825" s="14" t="s">
        <v>10</v>
      </c>
      <c r="D1825" s="18">
        <v>599.99</v>
      </c>
    </row>
    <row r="1826" spans="1:4" x14ac:dyDescent="0.3">
      <c r="A1826" s="12"/>
      <c r="B1826" s="12"/>
      <c r="C1826" s="14" t="s">
        <v>16</v>
      </c>
      <c r="D1826" s="18">
        <v>2899.99</v>
      </c>
    </row>
    <row r="1827" spans="1:4" x14ac:dyDescent="0.3">
      <c r="A1827" s="12"/>
      <c r="B1827" s="12"/>
      <c r="C1827" s="14" t="s">
        <v>12</v>
      </c>
      <c r="D1827" s="18">
        <v>1799.99</v>
      </c>
    </row>
    <row r="1828" spans="1:4" x14ac:dyDescent="0.3">
      <c r="A1828" s="12"/>
      <c r="B1828" s="10" t="s">
        <v>1916</v>
      </c>
      <c r="C1828" s="11"/>
      <c r="D1828" s="17">
        <v>6369.94</v>
      </c>
    </row>
    <row r="1829" spans="1:4" x14ac:dyDescent="0.3">
      <c r="A1829" s="10" t="s">
        <v>680</v>
      </c>
      <c r="B1829" s="11"/>
      <c r="C1829" s="11"/>
      <c r="D1829" s="17">
        <v>6369.94</v>
      </c>
    </row>
    <row r="1830" spans="1:4" x14ac:dyDescent="0.3">
      <c r="A1830" s="10">
        <v>385</v>
      </c>
      <c r="B1830" s="10" t="s">
        <v>18</v>
      </c>
      <c r="C1830" s="10" t="s">
        <v>31</v>
      </c>
      <c r="D1830" s="17">
        <v>269.99</v>
      </c>
    </row>
    <row r="1831" spans="1:4" x14ac:dyDescent="0.3">
      <c r="A1831" s="12"/>
      <c r="B1831" s="12"/>
      <c r="C1831" s="14" t="s">
        <v>14</v>
      </c>
      <c r="D1831" s="18">
        <v>1199.98</v>
      </c>
    </row>
    <row r="1832" spans="1:4" x14ac:dyDescent="0.3">
      <c r="A1832" s="12"/>
      <c r="B1832" s="12"/>
      <c r="C1832" s="14" t="s">
        <v>29</v>
      </c>
      <c r="D1832" s="18">
        <v>7999.98</v>
      </c>
    </row>
    <row r="1833" spans="1:4" x14ac:dyDescent="0.3">
      <c r="A1833" s="12"/>
      <c r="B1833" s="10" t="s">
        <v>1916</v>
      </c>
      <c r="C1833" s="11"/>
      <c r="D1833" s="17">
        <v>9469.9499999999989</v>
      </c>
    </row>
    <row r="1834" spans="1:4" x14ac:dyDescent="0.3">
      <c r="A1834" s="10" t="s">
        <v>681</v>
      </c>
      <c r="B1834" s="11"/>
      <c r="C1834" s="11"/>
      <c r="D1834" s="17">
        <v>9469.9499999999989</v>
      </c>
    </row>
    <row r="1835" spans="1:4" x14ac:dyDescent="0.3">
      <c r="A1835" s="10">
        <v>386</v>
      </c>
      <c r="B1835" s="10" t="s">
        <v>18</v>
      </c>
      <c r="C1835" s="10" t="s">
        <v>14</v>
      </c>
      <c r="D1835" s="17">
        <v>1199.98</v>
      </c>
    </row>
    <row r="1836" spans="1:4" x14ac:dyDescent="0.3">
      <c r="A1836" s="12"/>
      <c r="B1836" s="12"/>
      <c r="C1836" s="14" t="s">
        <v>20</v>
      </c>
      <c r="D1836" s="18">
        <v>1999.98</v>
      </c>
    </row>
    <row r="1837" spans="1:4" x14ac:dyDescent="0.3">
      <c r="A1837" s="12"/>
      <c r="B1837" s="12"/>
      <c r="C1837" s="14" t="s">
        <v>12</v>
      </c>
      <c r="D1837" s="18">
        <v>1799.99</v>
      </c>
    </row>
    <row r="1838" spans="1:4" x14ac:dyDescent="0.3">
      <c r="A1838" s="12"/>
      <c r="B1838" s="10" t="s">
        <v>1916</v>
      </c>
      <c r="C1838" s="11"/>
      <c r="D1838" s="17">
        <v>4999.95</v>
      </c>
    </row>
    <row r="1839" spans="1:4" x14ac:dyDescent="0.3">
      <c r="A1839" s="10" t="s">
        <v>682</v>
      </c>
      <c r="B1839" s="11"/>
      <c r="C1839" s="11"/>
      <c r="D1839" s="17">
        <v>4999.95</v>
      </c>
    </row>
    <row r="1840" spans="1:4" x14ac:dyDescent="0.3">
      <c r="A1840" s="10">
        <v>387</v>
      </c>
      <c r="B1840" s="10" t="s">
        <v>37</v>
      </c>
      <c r="C1840" s="10" t="s">
        <v>24</v>
      </c>
      <c r="D1840" s="17">
        <v>449</v>
      </c>
    </row>
    <row r="1841" spans="1:4" x14ac:dyDescent="0.3">
      <c r="A1841" s="12"/>
      <c r="B1841" s="10" t="s">
        <v>1917</v>
      </c>
      <c r="C1841" s="11"/>
      <c r="D1841" s="17">
        <v>449</v>
      </c>
    </row>
    <row r="1842" spans="1:4" x14ac:dyDescent="0.3">
      <c r="A1842" s="10" t="s">
        <v>683</v>
      </c>
      <c r="B1842" s="11"/>
      <c r="C1842" s="11"/>
      <c r="D1842" s="17">
        <v>449</v>
      </c>
    </row>
    <row r="1843" spans="1:4" x14ac:dyDescent="0.3">
      <c r="A1843" s="10">
        <v>388</v>
      </c>
      <c r="B1843" s="10" t="s">
        <v>37</v>
      </c>
      <c r="C1843" s="10" t="s">
        <v>31</v>
      </c>
      <c r="D1843" s="17">
        <v>539.98</v>
      </c>
    </row>
    <row r="1844" spans="1:4" x14ac:dyDescent="0.3">
      <c r="A1844" s="12"/>
      <c r="B1844" s="12"/>
      <c r="C1844" s="14" t="s">
        <v>36</v>
      </c>
      <c r="D1844" s="18">
        <v>898</v>
      </c>
    </row>
    <row r="1845" spans="1:4" x14ac:dyDescent="0.3">
      <c r="A1845" s="12"/>
      <c r="B1845" s="12"/>
      <c r="C1845" s="14" t="s">
        <v>22</v>
      </c>
      <c r="D1845" s="18">
        <v>749.99</v>
      </c>
    </row>
    <row r="1846" spans="1:4" x14ac:dyDescent="0.3">
      <c r="A1846" s="12"/>
      <c r="B1846" s="12"/>
      <c r="C1846" s="14" t="s">
        <v>30</v>
      </c>
      <c r="D1846" s="18">
        <v>1680.99</v>
      </c>
    </row>
    <row r="1847" spans="1:4" x14ac:dyDescent="0.3">
      <c r="A1847" s="12"/>
      <c r="B1847" s="10" t="s">
        <v>1917</v>
      </c>
      <c r="C1847" s="11"/>
      <c r="D1847" s="17">
        <v>3868.96</v>
      </c>
    </row>
    <row r="1848" spans="1:4" x14ac:dyDescent="0.3">
      <c r="A1848" s="10" t="s">
        <v>684</v>
      </c>
      <c r="B1848" s="11"/>
      <c r="C1848" s="11"/>
      <c r="D1848" s="17">
        <v>3868.96</v>
      </c>
    </row>
    <row r="1849" spans="1:4" x14ac:dyDescent="0.3">
      <c r="A1849" s="10">
        <v>389</v>
      </c>
      <c r="B1849" s="10" t="s">
        <v>11</v>
      </c>
      <c r="C1849" s="10" t="s">
        <v>27</v>
      </c>
      <c r="D1849" s="17">
        <v>1059.98</v>
      </c>
    </row>
    <row r="1850" spans="1:4" x14ac:dyDescent="0.3">
      <c r="A1850" s="12"/>
      <c r="B1850" s="12"/>
      <c r="C1850" s="14" t="s">
        <v>34</v>
      </c>
      <c r="D1850" s="18">
        <v>1320.99</v>
      </c>
    </row>
    <row r="1851" spans="1:4" x14ac:dyDescent="0.3">
      <c r="A1851" s="12"/>
      <c r="B1851" s="12"/>
      <c r="C1851" s="14" t="s">
        <v>22</v>
      </c>
      <c r="D1851" s="18">
        <v>749.99</v>
      </c>
    </row>
    <row r="1852" spans="1:4" x14ac:dyDescent="0.3">
      <c r="A1852" s="12"/>
      <c r="B1852" s="12"/>
      <c r="C1852" s="14" t="s">
        <v>13</v>
      </c>
      <c r="D1852" s="18">
        <v>3098</v>
      </c>
    </row>
    <row r="1853" spans="1:4" x14ac:dyDescent="0.3">
      <c r="A1853" s="12"/>
      <c r="B1853" s="12"/>
      <c r="C1853" s="14" t="s">
        <v>26</v>
      </c>
      <c r="D1853" s="18">
        <v>2999.99</v>
      </c>
    </row>
    <row r="1854" spans="1:4" x14ac:dyDescent="0.3">
      <c r="A1854" s="12"/>
      <c r="B1854" s="10" t="s">
        <v>1915</v>
      </c>
      <c r="C1854" s="11"/>
      <c r="D1854" s="17">
        <v>9228.9500000000007</v>
      </c>
    </row>
    <row r="1855" spans="1:4" x14ac:dyDescent="0.3">
      <c r="A1855" s="10" t="s">
        <v>685</v>
      </c>
      <c r="B1855" s="11"/>
      <c r="C1855" s="11"/>
      <c r="D1855" s="17">
        <v>9228.9500000000007</v>
      </c>
    </row>
    <row r="1856" spans="1:4" x14ac:dyDescent="0.3">
      <c r="A1856" s="10">
        <v>390</v>
      </c>
      <c r="B1856" s="10" t="s">
        <v>37</v>
      </c>
      <c r="C1856" s="10" t="s">
        <v>33</v>
      </c>
      <c r="D1856" s="17">
        <v>299.99</v>
      </c>
    </row>
    <row r="1857" spans="1:4" x14ac:dyDescent="0.3">
      <c r="A1857" s="12"/>
      <c r="B1857" s="12"/>
      <c r="C1857" s="14" t="s">
        <v>26</v>
      </c>
      <c r="D1857" s="18">
        <v>2999.99</v>
      </c>
    </row>
    <row r="1858" spans="1:4" x14ac:dyDescent="0.3">
      <c r="A1858" s="12"/>
      <c r="B1858" s="12"/>
      <c r="C1858" s="14" t="s">
        <v>29</v>
      </c>
      <c r="D1858" s="18">
        <v>7999.98</v>
      </c>
    </row>
    <row r="1859" spans="1:4" x14ac:dyDescent="0.3">
      <c r="A1859" s="12"/>
      <c r="B1859" s="10" t="s">
        <v>1917</v>
      </c>
      <c r="C1859" s="11"/>
      <c r="D1859" s="17">
        <v>11299.96</v>
      </c>
    </row>
    <row r="1860" spans="1:4" x14ac:dyDescent="0.3">
      <c r="A1860" s="10" t="s">
        <v>686</v>
      </c>
      <c r="B1860" s="11"/>
      <c r="C1860" s="11"/>
      <c r="D1860" s="17">
        <v>11299.96</v>
      </c>
    </row>
    <row r="1861" spans="1:4" x14ac:dyDescent="0.3">
      <c r="A1861" s="10">
        <v>391</v>
      </c>
      <c r="B1861" s="10" t="s">
        <v>37</v>
      </c>
      <c r="C1861" s="10" t="s">
        <v>25</v>
      </c>
      <c r="D1861" s="17">
        <v>1099.98</v>
      </c>
    </row>
    <row r="1862" spans="1:4" x14ac:dyDescent="0.3">
      <c r="A1862" s="12"/>
      <c r="B1862" s="12"/>
      <c r="C1862" s="14" t="s">
        <v>34</v>
      </c>
      <c r="D1862" s="18">
        <v>2641.98</v>
      </c>
    </row>
    <row r="1863" spans="1:4" x14ac:dyDescent="0.3">
      <c r="A1863" s="12"/>
      <c r="B1863" s="12"/>
      <c r="C1863" s="14" t="s">
        <v>12</v>
      </c>
      <c r="D1863" s="18">
        <v>1799.99</v>
      </c>
    </row>
    <row r="1864" spans="1:4" x14ac:dyDescent="0.3">
      <c r="A1864" s="12"/>
      <c r="B1864" s="10" t="s">
        <v>1917</v>
      </c>
      <c r="C1864" s="11"/>
      <c r="D1864" s="17">
        <v>5541.95</v>
      </c>
    </row>
    <row r="1865" spans="1:4" x14ac:dyDescent="0.3">
      <c r="A1865" s="10" t="s">
        <v>687</v>
      </c>
      <c r="B1865" s="11"/>
      <c r="C1865" s="11"/>
      <c r="D1865" s="17">
        <v>5541.95</v>
      </c>
    </row>
    <row r="1866" spans="1:4" x14ac:dyDescent="0.3">
      <c r="A1866" s="10">
        <v>392</v>
      </c>
      <c r="B1866" s="10" t="s">
        <v>11</v>
      </c>
      <c r="C1866" s="10" t="s">
        <v>28</v>
      </c>
      <c r="D1866" s="17">
        <v>539.98</v>
      </c>
    </row>
    <row r="1867" spans="1:4" x14ac:dyDescent="0.3">
      <c r="A1867" s="12"/>
      <c r="B1867" s="12"/>
      <c r="C1867" s="14" t="s">
        <v>20</v>
      </c>
      <c r="D1867" s="18">
        <v>1999.98</v>
      </c>
    </row>
    <row r="1868" spans="1:4" x14ac:dyDescent="0.3">
      <c r="A1868" s="12"/>
      <c r="B1868" s="10" t="s">
        <v>1915</v>
      </c>
      <c r="C1868" s="11"/>
      <c r="D1868" s="17">
        <v>2539.96</v>
      </c>
    </row>
    <row r="1869" spans="1:4" x14ac:dyDescent="0.3">
      <c r="A1869" s="10" t="s">
        <v>688</v>
      </c>
      <c r="B1869" s="11"/>
      <c r="C1869" s="11"/>
      <c r="D1869" s="17">
        <v>2539.96</v>
      </c>
    </row>
    <row r="1870" spans="1:4" x14ac:dyDescent="0.3">
      <c r="A1870" s="10">
        <v>393</v>
      </c>
      <c r="B1870" s="10" t="s">
        <v>18</v>
      </c>
      <c r="C1870" s="10" t="s">
        <v>32</v>
      </c>
      <c r="D1870" s="17">
        <v>939.98</v>
      </c>
    </row>
    <row r="1871" spans="1:4" x14ac:dyDescent="0.3">
      <c r="A1871" s="12"/>
      <c r="B1871" s="10" t="s">
        <v>1916</v>
      </c>
      <c r="C1871" s="11"/>
      <c r="D1871" s="17">
        <v>939.98</v>
      </c>
    </row>
    <row r="1872" spans="1:4" x14ac:dyDescent="0.3">
      <c r="A1872" s="10" t="s">
        <v>689</v>
      </c>
      <c r="B1872" s="11"/>
      <c r="C1872" s="11"/>
      <c r="D1872" s="17">
        <v>939.98</v>
      </c>
    </row>
    <row r="1873" spans="1:4" x14ac:dyDescent="0.3">
      <c r="A1873" s="10">
        <v>394</v>
      </c>
      <c r="B1873" s="10" t="s">
        <v>11</v>
      </c>
      <c r="C1873" s="10" t="s">
        <v>28</v>
      </c>
      <c r="D1873" s="17">
        <v>539.98</v>
      </c>
    </row>
    <row r="1874" spans="1:4" x14ac:dyDescent="0.3">
      <c r="A1874" s="12"/>
      <c r="B1874" s="12"/>
      <c r="C1874" s="14" t="s">
        <v>33</v>
      </c>
      <c r="D1874" s="18">
        <v>299.99</v>
      </c>
    </row>
    <row r="1875" spans="1:4" x14ac:dyDescent="0.3">
      <c r="A1875" s="12"/>
      <c r="B1875" s="12"/>
      <c r="C1875" s="14" t="s">
        <v>14</v>
      </c>
      <c r="D1875" s="18">
        <v>599.99</v>
      </c>
    </row>
    <row r="1876" spans="1:4" x14ac:dyDescent="0.3">
      <c r="A1876" s="12"/>
      <c r="B1876" s="10" t="s">
        <v>1915</v>
      </c>
      <c r="C1876" s="11"/>
      <c r="D1876" s="17">
        <v>1439.96</v>
      </c>
    </row>
    <row r="1877" spans="1:4" x14ac:dyDescent="0.3">
      <c r="A1877" s="10" t="s">
        <v>690</v>
      </c>
      <c r="B1877" s="11"/>
      <c r="C1877" s="11"/>
      <c r="D1877" s="17">
        <v>1439.96</v>
      </c>
    </row>
    <row r="1878" spans="1:4" x14ac:dyDescent="0.3">
      <c r="A1878" s="10">
        <v>395</v>
      </c>
      <c r="B1878" s="10" t="s">
        <v>18</v>
      </c>
      <c r="C1878" s="10" t="s">
        <v>28</v>
      </c>
      <c r="D1878" s="17">
        <v>269.99</v>
      </c>
    </row>
    <row r="1879" spans="1:4" x14ac:dyDescent="0.3">
      <c r="A1879" s="12"/>
      <c r="B1879" s="10" t="s">
        <v>1916</v>
      </c>
      <c r="C1879" s="11"/>
      <c r="D1879" s="17">
        <v>269.99</v>
      </c>
    </row>
    <row r="1880" spans="1:4" x14ac:dyDescent="0.3">
      <c r="A1880" s="10" t="s">
        <v>691</v>
      </c>
      <c r="B1880" s="11"/>
      <c r="C1880" s="11"/>
      <c r="D1880" s="17">
        <v>269.99</v>
      </c>
    </row>
    <row r="1881" spans="1:4" x14ac:dyDescent="0.3">
      <c r="A1881" s="10">
        <v>396</v>
      </c>
      <c r="B1881" s="10" t="s">
        <v>18</v>
      </c>
      <c r="C1881" s="10" t="s">
        <v>25</v>
      </c>
      <c r="D1881" s="17">
        <v>549.99</v>
      </c>
    </row>
    <row r="1882" spans="1:4" x14ac:dyDescent="0.3">
      <c r="A1882" s="12"/>
      <c r="B1882" s="12"/>
      <c r="C1882" s="14" t="s">
        <v>35</v>
      </c>
      <c r="D1882" s="18">
        <v>999.98</v>
      </c>
    </row>
    <row r="1883" spans="1:4" x14ac:dyDescent="0.3">
      <c r="A1883" s="12"/>
      <c r="B1883" s="12"/>
      <c r="C1883" s="14" t="s">
        <v>34</v>
      </c>
      <c r="D1883" s="18">
        <v>1320.99</v>
      </c>
    </row>
    <row r="1884" spans="1:4" x14ac:dyDescent="0.3">
      <c r="A1884" s="12"/>
      <c r="B1884" s="10" t="s">
        <v>1916</v>
      </c>
      <c r="C1884" s="11"/>
      <c r="D1884" s="17">
        <v>2870.96</v>
      </c>
    </row>
    <row r="1885" spans="1:4" x14ac:dyDescent="0.3">
      <c r="A1885" s="10" t="s">
        <v>692</v>
      </c>
      <c r="B1885" s="11"/>
      <c r="C1885" s="11"/>
      <c r="D1885" s="17">
        <v>2870.96</v>
      </c>
    </row>
    <row r="1886" spans="1:4" x14ac:dyDescent="0.3">
      <c r="A1886" s="10">
        <v>397</v>
      </c>
      <c r="B1886" s="10" t="s">
        <v>18</v>
      </c>
      <c r="C1886" s="10" t="s">
        <v>29</v>
      </c>
      <c r="D1886" s="17">
        <v>3999.99</v>
      </c>
    </row>
    <row r="1887" spans="1:4" x14ac:dyDescent="0.3">
      <c r="A1887" s="12"/>
      <c r="B1887" s="10" t="s">
        <v>1916</v>
      </c>
      <c r="C1887" s="11"/>
      <c r="D1887" s="17">
        <v>3999.99</v>
      </c>
    </row>
    <row r="1888" spans="1:4" x14ac:dyDescent="0.3">
      <c r="A1888" s="10" t="s">
        <v>693</v>
      </c>
      <c r="B1888" s="11"/>
      <c r="C1888" s="11"/>
      <c r="D1888" s="17">
        <v>3999.99</v>
      </c>
    </row>
    <row r="1889" spans="1:4" x14ac:dyDescent="0.3">
      <c r="A1889" s="10">
        <v>398</v>
      </c>
      <c r="B1889" s="10" t="s">
        <v>11</v>
      </c>
      <c r="C1889" s="10" t="s">
        <v>35</v>
      </c>
      <c r="D1889" s="17">
        <v>499.99</v>
      </c>
    </row>
    <row r="1890" spans="1:4" x14ac:dyDescent="0.3">
      <c r="A1890" s="12"/>
      <c r="B1890" s="12"/>
      <c r="C1890" s="14" t="s">
        <v>23</v>
      </c>
      <c r="D1890" s="18">
        <v>429</v>
      </c>
    </row>
    <row r="1891" spans="1:4" x14ac:dyDescent="0.3">
      <c r="A1891" s="12"/>
      <c r="B1891" s="12"/>
      <c r="C1891" s="14" t="s">
        <v>24</v>
      </c>
      <c r="D1891" s="18">
        <v>898</v>
      </c>
    </row>
    <row r="1892" spans="1:4" x14ac:dyDescent="0.3">
      <c r="A1892" s="12"/>
      <c r="B1892" s="12"/>
      <c r="C1892" s="14" t="s">
        <v>12</v>
      </c>
      <c r="D1892" s="18">
        <v>3599.98</v>
      </c>
    </row>
    <row r="1893" spans="1:4" x14ac:dyDescent="0.3">
      <c r="A1893" s="12"/>
      <c r="B1893" s="10" t="s">
        <v>1915</v>
      </c>
      <c r="C1893" s="11"/>
      <c r="D1893" s="17">
        <v>5426.97</v>
      </c>
    </row>
    <row r="1894" spans="1:4" x14ac:dyDescent="0.3">
      <c r="A1894" s="10" t="s">
        <v>694</v>
      </c>
      <c r="B1894" s="11"/>
      <c r="C1894" s="11"/>
      <c r="D1894" s="17">
        <v>5426.97</v>
      </c>
    </row>
    <row r="1895" spans="1:4" x14ac:dyDescent="0.3">
      <c r="A1895" s="10">
        <v>399</v>
      </c>
      <c r="B1895" s="10" t="s">
        <v>18</v>
      </c>
      <c r="C1895" s="10" t="s">
        <v>28</v>
      </c>
      <c r="D1895" s="17">
        <v>269.99</v>
      </c>
    </row>
    <row r="1896" spans="1:4" x14ac:dyDescent="0.3">
      <c r="A1896" s="12"/>
      <c r="B1896" s="12"/>
      <c r="C1896" s="14" t="s">
        <v>35</v>
      </c>
      <c r="D1896" s="18">
        <v>499.99</v>
      </c>
    </row>
    <row r="1897" spans="1:4" x14ac:dyDescent="0.3">
      <c r="A1897" s="12"/>
      <c r="B1897" s="12"/>
      <c r="C1897" s="14" t="s">
        <v>30</v>
      </c>
      <c r="D1897" s="18">
        <v>3361.98</v>
      </c>
    </row>
    <row r="1898" spans="1:4" x14ac:dyDescent="0.3">
      <c r="A1898" s="12"/>
      <c r="B1898" s="10" t="s">
        <v>1916</v>
      </c>
      <c r="C1898" s="11"/>
      <c r="D1898" s="17">
        <v>4131.96</v>
      </c>
    </row>
    <row r="1899" spans="1:4" x14ac:dyDescent="0.3">
      <c r="A1899" s="10" t="s">
        <v>695</v>
      </c>
      <c r="B1899" s="11"/>
      <c r="C1899" s="11"/>
      <c r="D1899" s="17">
        <v>4131.96</v>
      </c>
    </row>
    <row r="1900" spans="1:4" x14ac:dyDescent="0.3">
      <c r="A1900" s="10">
        <v>400</v>
      </c>
      <c r="B1900" s="10" t="s">
        <v>18</v>
      </c>
      <c r="C1900" s="10" t="s">
        <v>25</v>
      </c>
      <c r="D1900" s="17">
        <v>1099.98</v>
      </c>
    </row>
    <row r="1901" spans="1:4" x14ac:dyDescent="0.3">
      <c r="A1901" s="12"/>
      <c r="B1901" s="12"/>
      <c r="C1901" s="14" t="s">
        <v>20</v>
      </c>
      <c r="D1901" s="18">
        <v>1999.98</v>
      </c>
    </row>
    <row r="1902" spans="1:4" x14ac:dyDescent="0.3">
      <c r="A1902" s="12"/>
      <c r="B1902" s="12"/>
      <c r="C1902" s="14" t="s">
        <v>26</v>
      </c>
      <c r="D1902" s="18">
        <v>2999.99</v>
      </c>
    </row>
    <row r="1903" spans="1:4" x14ac:dyDescent="0.3">
      <c r="A1903" s="12"/>
      <c r="B1903" s="10" t="s">
        <v>1916</v>
      </c>
      <c r="C1903" s="11"/>
      <c r="D1903" s="17">
        <v>6099.95</v>
      </c>
    </row>
    <row r="1904" spans="1:4" x14ac:dyDescent="0.3">
      <c r="A1904" s="10" t="s">
        <v>696</v>
      </c>
      <c r="B1904" s="11"/>
      <c r="C1904" s="11"/>
      <c r="D1904" s="17">
        <v>6099.95</v>
      </c>
    </row>
    <row r="1905" spans="1:4" x14ac:dyDescent="0.3">
      <c r="A1905" s="10">
        <v>401</v>
      </c>
      <c r="B1905" s="10" t="s">
        <v>18</v>
      </c>
      <c r="C1905" s="10" t="s">
        <v>33</v>
      </c>
      <c r="D1905" s="17">
        <v>299.99</v>
      </c>
    </row>
    <row r="1906" spans="1:4" x14ac:dyDescent="0.3">
      <c r="A1906" s="12"/>
      <c r="B1906" s="12"/>
      <c r="C1906" s="14" t="s">
        <v>13</v>
      </c>
      <c r="D1906" s="18">
        <v>3098</v>
      </c>
    </row>
    <row r="1907" spans="1:4" x14ac:dyDescent="0.3">
      <c r="A1907" s="12"/>
      <c r="B1907" s="10" t="s">
        <v>1916</v>
      </c>
      <c r="C1907" s="11"/>
      <c r="D1907" s="17">
        <v>3397.99</v>
      </c>
    </row>
    <row r="1908" spans="1:4" x14ac:dyDescent="0.3">
      <c r="A1908" s="10" t="s">
        <v>697</v>
      </c>
      <c r="B1908" s="11"/>
      <c r="C1908" s="11"/>
      <c r="D1908" s="17">
        <v>3397.99</v>
      </c>
    </row>
    <row r="1909" spans="1:4" x14ac:dyDescent="0.3">
      <c r="A1909" s="10">
        <v>402</v>
      </c>
      <c r="B1909" s="10" t="s">
        <v>18</v>
      </c>
      <c r="C1909" s="10" t="s">
        <v>14</v>
      </c>
      <c r="D1909" s="17">
        <v>599.99</v>
      </c>
    </row>
    <row r="1910" spans="1:4" x14ac:dyDescent="0.3">
      <c r="A1910" s="12"/>
      <c r="B1910" s="12"/>
      <c r="C1910" s="14" t="s">
        <v>34</v>
      </c>
      <c r="D1910" s="18">
        <v>1320.99</v>
      </c>
    </row>
    <row r="1911" spans="1:4" x14ac:dyDescent="0.3">
      <c r="A1911" s="12"/>
      <c r="B1911" s="12"/>
      <c r="C1911" s="14" t="s">
        <v>32</v>
      </c>
      <c r="D1911" s="18">
        <v>939.98</v>
      </c>
    </row>
    <row r="1912" spans="1:4" x14ac:dyDescent="0.3">
      <c r="A1912" s="12"/>
      <c r="B1912" s="10" t="s">
        <v>1916</v>
      </c>
      <c r="C1912" s="11"/>
      <c r="D1912" s="17">
        <v>2860.96</v>
      </c>
    </row>
    <row r="1913" spans="1:4" x14ac:dyDescent="0.3">
      <c r="A1913" s="10" t="s">
        <v>698</v>
      </c>
      <c r="B1913" s="11"/>
      <c r="C1913" s="11"/>
      <c r="D1913" s="17">
        <v>2860.96</v>
      </c>
    </row>
    <row r="1914" spans="1:4" x14ac:dyDescent="0.3">
      <c r="A1914" s="10">
        <v>403</v>
      </c>
      <c r="B1914" s="10" t="s">
        <v>11</v>
      </c>
      <c r="C1914" s="10" t="s">
        <v>28</v>
      </c>
      <c r="D1914" s="17">
        <v>539.98</v>
      </c>
    </row>
    <row r="1915" spans="1:4" x14ac:dyDescent="0.3">
      <c r="A1915" s="12"/>
      <c r="B1915" s="12"/>
      <c r="C1915" s="14" t="s">
        <v>25</v>
      </c>
      <c r="D1915" s="18">
        <v>1649.97</v>
      </c>
    </row>
    <row r="1916" spans="1:4" x14ac:dyDescent="0.3">
      <c r="A1916" s="12"/>
      <c r="B1916" s="12"/>
      <c r="C1916" s="14" t="s">
        <v>29</v>
      </c>
      <c r="D1916" s="18">
        <v>7999.98</v>
      </c>
    </row>
    <row r="1917" spans="1:4" x14ac:dyDescent="0.3">
      <c r="A1917" s="12"/>
      <c r="B1917" s="10" t="s">
        <v>1915</v>
      </c>
      <c r="C1917" s="11"/>
      <c r="D1917" s="17">
        <v>10189.93</v>
      </c>
    </row>
    <row r="1918" spans="1:4" x14ac:dyDescent="0.3">
      <c r="A1918" s="10" t="s">
        <v>699</v>
      </c>
      <c r="B1918" s="11"/>
      <c r="C1918" s="11"/>
      <c r="D1918" s="17">
        <v>10189.93</v>
      </c>
    </row>
    <row r="1919" spans="1:4" x14ac:dyDescent="0.3">
      <c r="A1919" s="10">
        <v>404</v>
      </c>
      <c r="B1919" s="10" t="s">
        <v>18</v>
      </c>
      <c r="C1919" s="10" t="s">
        <v>35</v>
      </c>
      <c r="D1919" s="17">
        <v>999.98</v>
      </c>
    </row>
    <row r="1920" spans="1:4" x14ac:dyDescent="0.3">
      <c r="A1920" s="12"/>
      <c r="B1920" s="12"/>
      <c r="C1920" s="14" t="s">
        <v>14</v>
      </c>
      <c r="D1920" s="18">
        <v>1199.98</v>
      </c>
    </row>
    <row r="1921" spans="1:4" x14ac:dyDescent="0.3">
      <c r="A1921" s="12"/>
      <c r="B1921" s="12"/>
      <c r="C1921" s="14" t="s">
        <v>26</v>
      </c>
      <c r="D1921" s="18">
        <v>2999.99</v>
      </c>
    </row>
    <row r="1922" spans="1:4" x14ac:dyDescent="0.3">
      <c r="A1922" s="12"/>
      <c r="B1922" s="10" t="s">
        <v>1916</v>
      </c>
      <c r="C1922" s="11"/>
      <c r="D1922" s="17">
        <v>5199.95</v>
      </c>
    </row>
    <row r="1923" spans="1:4" x14ac:dyDescent="0.3">
      <c r="A1923" s="10" t="s">
        <v>700</v>
      </c>
      <c r="B1923" s="11"/>
      <c r="C1923" s="11"/>
      <c r="D1923" s="17">
        <v>5199.95</v>
      </c>
    </row>
    <row r="1924" spans="1:4" x14ac:dyDescent="0.3">
      <c r="A1924" s="10">
        <v>405</v>
      </c>
      <c r="B1924" s="10" t="s">
        <v>18</v>
      </c>
      <c r="C1924" s="10" t="s">
        <v>28</v>
      </c>
      <c r="D1924" s="17">
        <v>539.98</v>
      </c>
    </row>
    <row r="1925" spans="1:4" x14ac:dyDescent="0.3">
      <c r="A1925" s="12"/>
      <c r="B1925" s="12"/>
      <c r="C1925" s="14" t="s">
        <v>13</v>
      </c>
      <c r="D1925" s="18">
        <v>3098</v>
      </c>
    </row>
    <row r="1926" spans="1:4" x14ac:dyDescent="0.3">
      <c r="A1926" s="12"/>
      <c r="B1926" s="12"/>
      <c r="C1926" s="14" t="s">
        <v>20</v>
      </c>
      <c r="D1926" s="18">
        <v>1999.98</v>
      </c>
    </row>
    <row r="1927" spans="1:4" x14ac:dyDescent="0.3">
      <c r="A1927" s="12"/>
      <c r="B1927" s="10" t="s">
        <v>1916</v>
      </c>
      <c r="C1927" s="11"/>
      <c r="D1927" s="17">
        <v>5637.96</v>
      </c>
    </row>
    <row r="1928" spans="1:4" x14ac:dyDescent="0.3">
      <c r="A1928" s="10" t="s">
        <v>701</v>
      </c>
      <c r="B1928" s="11"/>
      <c r="C1928" s="11"/>
      <c r="D1928" s="17">
        <v>5637.96</v>
      </c>
    </row>
    <row r="1929" spans="1:4" x14ac:dyDescent="0.3">
      <c r="A1929" s="10">
        <v>406</v>
      </c>
      <c r="B1929" s="10" t="s">
        <v>18</v>
      </c>
      <c r="C1929" s="10" t="s">
        <v>16</v>
      </c>
      <c r="D1929" s="17">
        <v>2899.99</v>
      </c>
    </row>
    <row r="1930" spans="1:4" x14ac:dyDescent="0.3">
      <c r="A1930" s="12"/>
      <c r="B1930" s="10" t="s">
        <v>1916</v>
      </c>
      <c r="C1930" s="11"/>
      <c r="D1930" s="17">
        <v>2899.99</v>
      </c>
    </row>
    <row r="1931" spans="1:4" x14ac:dyDescent="0.3">
      <c r="A1931" s="10" t="s">
        <v>702</v>
      </c>
      <c r="B1931" s="11"/>
      <c r="C1931" s="11"/>
      <c r="D1931" s="17">
        <v>2899.99</v>
      </c>
    </row>
    <row r="1932" spans="1:4" x14ac:dyDescent="0.3">
      <c r="A1932" s="10">
        <v>407</v>
      </c>
      <c r="B1932" s="10" t="s">
        <v>37</v>
      </c>
      <c r="C1932" s="10" t="s">
        <v>10</v>
      </c>
      <c r="D1932" s="17">
        <v>599.99</v>
      </c>
    </row>
    <row r="1933" spans="1:4" x14ac:dyDescent="0.3">
      <c r="A1933" s="12"/>
      <c r="B1933" s="12"/>
      <c r="C1933" s="14" t="s">
        <v>34</v>
      </c>
      <c r="D1933" s="18">
        <v>1320.99</v>
      </c>
    </row>
    <row r="1934" spans="1:4" x14ac:dyDescent="0.3">
      <c r="A1934" s="12"/>
      <c r="B1934" s="10" t="s">
        <v>1917</v>
      </c>
      <c r="C1934" s="11"/>
      <c r="D1934" s="17">
        <v>1920.98</v>
      </c>
    </row>
    <row r="1935" spans="1:4" x14ac:dyDescent="0.3">
      <c r="A1935" s="10" t="s">
        <v>703</v>
      </c>
      <c r="B1935" s="11"/>
      <c r="C1935" s="11"/>
      <c r="D1935" s="17">
        <v>1920.98</v>
      </c>
    </row>
    <row r="1936" spans="1:4" x14ac:dyDescent="0.3">
      <c r="A1936" s="10">
        <v>408</v>
      </c>
      <c r="B1936" s="10" t="s">
        <v>11</v>
      </c>
      <c r="C1936" s="10" t="s">
        <v>23</v>
      </c>
      <c r="D1936" s="17">
        <v>858</v>
      </c>
    </row>
    <row r="1937" spans="1:4" x14ac:dyDescent="0.3">
      <c r="A1937" s="12"/>
      <c r="B1937" s="12"/>
      <c r="C1937" s="14" t="s">
        <v>24</v>
      </c>
      <c r="D1937" s="18">
        <v>449</v>
      </c>
    </row>
    <row r="1938" spans="1:4" x14ac:dyDescent="0.3">
      <c r="A1938" s="12"/>
      <c r="B1938" s="12"/>
      <c r="C1938" s="14" t="s">
        <v>22</v>
      </c>
      <c r="D1938" s="18">
        <v>1499.98</v>
      </c>
    </row>
    <row r="1939" spans="1:4" x14ac:dyDescent="0.3">
      <c r="A1939" s="12"/>
      <c r="B1939" s="12"/>
      <c r="C1939" s="14" t="s">
        <v>20</v>
      </c>
      <c r="D1939" s="18">
        <v>999.99</v>
      </c>
    </row>
    <row r="1940" spans="1:4" x14ac:dyDescent="0.3">
      <c r="A1940" s="12"/>
      <c r="B1940" s="10" t="s">
        <v>1915</v>
      </c>
      <c r="C1940" s="11"/>
      <c r="D1940" s="17">
        <v>3806.9700000000003</v>
      </c>
    </row>
    <row r="1941" spans="1:4" x14ac:dyDescent="0.3">
      <c r="A1941" s="10" t="s">
        <v>704</v>
      </c>
      <c r="B1941" s="11"/>
      <c r="C1941" s="11"/>
      <c r="D1941" s="17">
        <v>3806.9700000000003</v>
      </c>
    </row>
    <row r="1942" spans="1:4" x14ac:dyDescent="0.3">
      <c r="A1942" s="10">
        <v>409</v>
      </c>
      <c r="B1942" s="10" t="s">
        <v>18</v>
      </c>
      <c r="C1942" s="10" t="s">
        <v>31</v>
      </c>
      <c r="D1942" s="17">
        <v>269.99</v>
      </c>
    </row>
    <row r="1943" spans="1:4" x14ac:dyDescent="0.3">
      <c r="A1943" s="12"/>
      <c r="B1943" s="12"/>
      <c r="C1943" s="14" t="s">
        <v>27</v>
      </c>
      <c r="D1943" s="18">
        <v>529.99</v>
      </c>
    </row>
    <row r="1944" spans="1:4" x14ac:dyDescent="0.3">
      <c r="A1944" s="12"/>
      <c r="B1944" s="12"/>
      <c r="C1944" s="14" t="s">
        <v>14</v>
      </c>
      <c r="D1944" s="18">
        <v>1199.98</v>
      </c>
    </row>
    <row r="1945" spans="1:4" x14ac:dyDescent="0.3">
      <c r="A1945" s="12"/>
      <c r="B1945" s="10" t="s">
        <v>1916</v>
      </c>
      <c r="C1945" s="11"/>
      <c r="D1945" s="17">
        <v>1999.96</v>
      </c>
    </row>
    <row r="1946" spans="1:4" x14ac:dyDescent="0.3">
      <c r="A1946" s="10" t="s">
        <v>705</v>
      </c>
      <c r="B1946" s="11"/>
      <c r="C1946" s="11"/>
      <c r="D1946" s="17">
        <v>1999.96</v>
      </c>
    </row>
    <row r="1947" spans="1:4" x14ac:dyDescent="0.3">
      <c r="A1947" s="10">
        <v>410</v>
      </c>
      <c r="B1947" s="10" t="s">
        <v>18</v>
      </c>
      <c r="C1947" s="10" t="s">
        <v>25</v>
      </c>
      <c r="D1947" s="17">
        <v>1099.98</v>
      </c>
    </row>
    <row r="1948" spans="1:4" x14ac:dyDescent="0.3">
      <c r="A1948" s="12"/>
      <c r="B1948" s="12"/>
      <c r="C1948" s="14" t="s">
        <v>35</v>
      </c>
      <c r="D1948" s="18">
        <v>499.99</v>
      </c>
    </row>
    <row r="1949" spans="1:4" x14ac:dyDescent="0.3">
      <c r="A1949" s="12"/>
      <c r="B1949" s="12"/>
      <c r="C1949" s="14" t="s">
        <v>26</v>
      </c>
      <c r="D1949" s="18">
        <v>5999.98</v>
      </c>
    </row>
    <row r="1950" spans="1:4" x14ac:dyDescent="0.3">
      <c r="A1950" s="12"/>
      <c r="B1950" s="10" t="s">
        <v>1916</v>
      </c>
      <c r="C1950" s="11"/>
      <c r="D1950" s="17">
        <v>7599.95</v>
      </c>
    </row>
    <row r="1951" spans="1:4" x14ac:dyDescent="0.3">
      <c r="A1951" s="10" t="s">
        <v>706</v>
      </c>
      <c r="B1951" s="11"/>
      <c r="C1951" s="11"/>
      <c r="D1951" s="17">
        <v>7599.95</v>
      </c>
    </row>
    <row r="1952" spans="1:4" x14ac:dyDescent="0.3">
      <c r="A1952" s="10">
        <v>411</v>
      </c>
      <c r="B1952" s="10" t="s">
        <v>11</v>
      </c>
      <c r="C1952" s="10" t="s">
        <v>14</v>
      </c>
      <c r="D1952" s="17">
        <v>1199.98</v>
      </c>
    </row>
    <row r="1953" spans="1:4" x14ac:dyDescent="0.3">
      <c r="A1953" s="12"/>
      <c r="B1953" s="12"/>
      <c r="C1953" s="14" t="s">
        <v>22</v>
      </c>
      <c r="D1953" s="18">
        <v>749.99</v>
      </c>
    </row>
    <row r="1954" spans="1:4" x14ac:dyDescent="0.3">
      <c r="A1954" s="12"/>
      <c r="B1954" s="10" t="s">
        <v>1915</v>
      </c>
      <c r="C1954" s="11"/>
      <c r="D1954" s="17">
        <v>1949.97</v>
      </c>
    </row>
    <row r="1955" spans="1:4" x14ac:dyDescent="0.3">
      <c r="A1955" s="10" t="s">
        <v>707</v>
      </c>
      <c r="B1955" s="11"/>
      <c r="C1955" s="11"/>
      <c r="D1955" s="17">
        <v>1949.97</v>
      </c>
    </row>
    <row r="1956" spans="1:4" x14ac:dyDescent="0.3">
      <c r="A1956" s="10">
        <v>412</v>
      </c>
      <c r="B1956" s="10" t="s">
        <v>11</v>
      </c>
      <c r="C1956" s="10" t="s">
        <v>25</v>
      </c>
      <c r="D1956" s="17">
        <v>549.99</v>
      </c>
    </row>
    <row r="1957" spans="1:4" x14ac:dyDescent="0.3">
      <c r="A1957" s="12"/>
      <c r="B1957" s="12"/>
      <c r="C1957" s="14" t="s">
        <v>23</v>
      </c>
      <c r="D1957" s="18">
        <v>429</v>
      </c>
    </row>
    <row r="1958" spans="1:4" x14ac:dyDescent="0.3">
      <c r="A1958" s="12"/>
      <c r="B1958" s="12"/>
      <c r="C1958" s="14" t="s">
        <v>29</v>
      </c>
      <c r="D1958" s="18">
        <v>3999.99</v>
      </c>
    </row>
    <row r="1959" spans="1:4" x14ac:dyDescent="0.3">
      <c r="A1959" s="12"/>
      <c r="B1959" s="10" t="s">
        <v>1915</v>
      </c>
      <c r="C1959" s="11"/>
      <c r="D1959" s="17">
        <v>4978.9799999999996</v>
      </c>
    </row>
    <row r="1960" spans="1:4" x14ac:dyDescent="0.3">
      <c r="A1960" s="10" t="s">
        <v>708</v>
      </c>
      <c r="B1960" s="11"/>
      <c r="C1960" s="11"/>
      <c r="D1960" s="17">
        <v>4978.9799999999996</v>
      </c>
    </row>
    <row r="1961" spans="1:4" x14ac:dyDescent="0.3">
      <c r="A1961" s="10">
        <v>413</v>
      </c>
      <c r="B1961" s="10" t="s">
        <v>18</v>
      </c>
      <c r="C1961" s="10" t="s">
        <v>35</v>
      </c>
      <c r="D1961" s="17">
        <v>499.99</v>
      </c>
    </row>
    <row r="1962" spans="1:4" x14ac:dyDescent="0.3">
      <c r="A1962" s="12"/>
      <c r="B1962" s="12"/>
      <c r="C1962" s="14" t="s">
        <v>26</v>
      </c>
      <c r="D1962" s="18">
        <v>2999.99</v>
      </c>
    </row>
    <row r="1963" spans="1:4" x14ac:dyDescent="0.3">
      <c r="A1963" s="12"/>
      <c r="B1963" s="12"/>
      <c r="C1963" s="14" t="s">
        <v>12</v>
      </c>
      <c r="D1963" s="18">
        <v>3599.98</v>
      </c>
    </row>
    <row r="1964" spans="1:4" x14ac:dyDescent="0.3">
      <c r="A1964" s="12"/>
      <c r="B1964" s="10" t="s">
        <v>1916</v>
      </c>
      <c r="C1964" s="11"/>
      <c r="D1964" s="17">
        <v>7099.9599999999991</v>
      </c>
    </row>
    <row r="1965" spans="1:4" x14ac:dyDescent="0.3">
      <c r="A1965" s="10" t="s">
        <v>709</v>
      </c>
      <c r="B1965" s="11"/>
      <c r="C1965" s="11"/>
      <c r="D1965" s="17">
        <v>7099.9599999999991</v>
      </c>
    </row>
    <row r="1966" spans="1:4" x14ac:dyDescent="0.3">
      <c r="A1966" s="10">
        <v>414</v>
      </c>
      <c r="B1966" s="10" t="s">
        <v>18</v>
      </c>
      <c r="C1966" s="10" t="s">
        <v>16</v>
      </c>
      <c r="D1966" s="17">
        <v>5799.98</v>
      </c>
    </row>
    <row r="1967" spans="1:4" x14ac:dyDescent="0.3">
      <c r="A1967" s="12"/>
      <c r="B1967" s="10" t="s">
        <v>1916</v>
      </c>
      <c r="C1967" s="11"/>
      <c r="D1967" s="17">
        <v>5799.98</v>
      </c>
    </row>
    <row r="1968" spans="1:4" x14ac:dyDescent="0.3">
      <c r="A1968" s="10" t="s">
        <v>710</v>
      </c>
      <c r="B1968" s="11"/>
      <c r="C1968" s="11"/>
      <c r="D1968" s="17">
        <v>5799.98</v>
      </c>
    </row>
    <row r="1969" spans="1:4" x14ac:dyDescent="0.3">
      <c r="A1969" s="10">
        <v>415</v>
      </c>
      <c r="B1969" s="10" t="s">
        <v>18</v>
      </c>
      <c r="C1969" s="10" t="s">
        <v>33</v>
      </c>
      <c r="D1969" s="17">
        <v>599.98</v>
      </c>
    </row>
    <row r="1970" spans="1:4" x14ac:dyDescent="0.3">
      <c r="A1970" s="12"/>
      <c r="B1970" s="12"/>
      <c r="C1970" s="14" t="s">
        <v>34</v>
      </c>
      <c r="D1970" s="18">
        <v>1320.99</v>
      </c>
    </row>
    <row r="1971" spans="1:4" x14ac:dyDescent="0.3">
      <c r="A1971" s="12"/>
      <c r="B1971" s="12"/>
      <c r="C1971" s="14" t="s">
        <v>32</v>
      </c>
      <c r="D1971" s="18">
        <v>939.98</v>
      </c>
    </row>
    <row r="1972" spans="1:4" x14ac:dyDescent="0.3">
      <c r="A1972" s="12"/>
      <c r="B1972" s="12"/>
      <c r="C1972" s="14" t="s">
        <v>20</v>
      </c>
      <c r="D1972" s="18">
        <v>999.99</v>
      </c>
    </row>
    <row r="1973" spans="1:4" x14ac:dyDescent="0.3">
      <c r="A1973" s="12"/>
      <c r="B1973" s="10" t="s">
        <v>1916</v>
      </c>
      <c r="C1973" s="11"/>
      <c r="D1973" s="17">
        <v>3860.9399999999996</v>
      </c>
    </row>
    <row r="1974" spans="1:4" x14ac:dyDescent="0.3">
      <c r="A1974" s="10" t="s">
        <v>711</v>
      </c>
      <c r="B1974" s="11"/>
      <c r="C1974" s="11"/>
      <c r="D1974" s="17">
        <v>3860.9399999999996</v>
      </c>
    </row>
    <row r="1975" spans="1:4" x14ac:dyDescent="0.3">
      <c r="A1975" s="10">
        <v>416</v>
      </c>
      <c r="B1975" s="10" t="s">
        <v>18</v>
      </c>
      <c r="C1975" s="10" t="s">
        <v>28</v>
      </c>
      <c r="D1975" s="17">
        <v>539.98</v>
      </c>
    </row>
    <row r="1976" spans="1:4" x14ac:dyDescent="0.3">
      <c r="A1976" s="12"/>
      <c r="B1976" s="12"/>
      <c r="C1976" s="14" t="s">
        <v>25</v>
      </c>
      <c r="D1976" s="18">
        <v>549.99</v>
      </c>
    </row>
    <row r="1977" spans="1:4" x14ac:dyDescent="0.3">
      <c r="A1977" s="12"/>
      <c r="B1977" s="10" t="s">
        <v>1916</v>
      </c>
      <c r="C1977" s="11"/>
      <c r="D1977" s="17">
        <v>1089.97</v>
      </c>
    </row>
    <row r="1978" spans="1:4" x14ac:dyDescent="0.3">
      <c r="A1978" s="10" t="s">
        <v>712</v>
      </c>
      <c r="B1978" s="11"/>
      <c r="C1978" s="11"/>
      <c r="D1978" s="17">
        <v>1089.97</v>
      </c>
    </row>
    <row r="1979" spans="1:4" x14ac:dyDescent="0.3">
      <c r="A1979" s="10">
        <v>417</v>
      </c>
      <c r="B1979" s="10" t="s">
        <v>11</v>
      </c>
      <c r="C1979" s="10" t="s">
        <v>14</v>
      </c>
      <c r="D1979" s="17">
        <v>1199.98</v>
      </c>
    </row>
    <row r="1980" spans="1:4" x14ac:dyDescent="0.3">
      <c r="A1980" s="12"/>
      <c r="B1980" s="12"/>
      <c r="C1980" s="14" t="s">
        <v>32</v>
      </c>
      <c r="D1980" s="18">
        <v>939.98</v>
      </c>
    </row>
    <row r="1981" spans="1:4" x14ac:dyDescent="0.3">
      <c r="A1981" s="12"/>
      <c r="B1981" s="10" t="s">
        <v>1915</v>
      </c>
      <c r="C1981" s="11"/>
      <c r="D1981" s="17">
        <v>2139.96</v>
      </c>
    </row>
    <row r="1982" spans="1:4" x14ac:dyDescent="0.3">
      <c r="A1982" s="10" t="s">
        <v>713</v>
      </c>
      <c r="B1982" s="11"/>
      <c r="C1982" s="11"/>
      <c r="D1982" s="17">
        <v>2139.96</v>
      </c>
    </row>
    <row r="1983" spans="1:4" x14ac:dyDescent="0.3">
      <c r="A1983" s="10">
        <v>418</v>
      </c>
      <c r="B1983" s="10" t="s">
        <v>18</v>
      </c>
      <c r="C1983" s="10" t="s">
        <v>25</v>
      </c>
      <c r="D1983" s="17">
        <v>549.99</v>
      </c>
    </row>
    <row r="1984" spans="1:4" x14ac:dyDescent="0.3">
      <c r="A1984" s="12"/>
      <c r="B1984" s="12"/>
      <c r="C1984" s="14" t="s">
        <v>10</v>
      </c>
      <c r="D1984" s="18">
        <v>599.99</v>
      </c>
    </row>
    <row r="1985" spans="1:4" x14ac:dyDescent="0.3">
      <c r="A1985" s="12"/>
      <c r="B1985" s="10" t="s">
        <v>1916</v>
      </c>
      <c r="C1985" s="11"/>
      <c r="D1985" s="17">
        <v>1149.98</v>
      </c>
    </row>
    <row r="1986" spans="1:4" x14ac:dyDescent="0.3">
      <c r="A1986" s="10" t="s">
        <v>714</v>
      </c>
      <c r="B1986" s="11"/>
      <c r="C1986" s="11"/>
      <c r="D1986" s="17">
        <v>1149.98</v>
      </c>
    </row>
    <row r="1987" spans="1:4" x14ac:dyDescent="0.3">
      <c r="A1987" s="10">
        <v>419</v>
      </c>
      <c r="B1987" s="10" t="s">
        <v>37</v>
      </c>
      <c r="C1987" s="10" t="s">
        <v>26</v>
      </c>
      <c r="D1987" s="17">
        <v>2999.99</v>
      </c>
    </row>
    <row r="1988" spans="1:4" x14ac:dyDescent="0.3">
      <c r="A1988" s="12"/>
      <c r="B1988" s="10" t="s">
        <v>1917</v>
      </c>
      <c r="C1988" s="11"/>
      <c r="D1988" s="17">
        <v>2999.99</v>
      </c>
    </row>
    <row r="1989" spans="1:4" x14ac:dyDescent="0.3">
      <c r="A1989" s="10" t="s">
        <v>715</v>
      </c>
      <c r="B1989" s="11"/>
      <c r="C1989" s="11"/>
      <c r="D1989" s="17">
        <v>2999.99</v>
      </c>
    </row>
    <row r="1990" spans="1:4" x14ac:dyDescent="0.3">
      <c r="A1990" s="10">
        <v>420</v>
      </c>
      <c r="B1990" s="10" t="s">
        <v>11</v>
      </c>
      <c r="C1990" s="10" t="s">
        <v>27</v>
      </c>
      <c r="D1990" s="17">
        <v>1059.98</v>
      </c>
    </row>
    <row r="1991" spans="1:4" x14ac:dyDescent="0.3">
      <c r="A1991" s="12"/>
      <c r="B1991" s="12"/>
      <c r="C1991" s="14" t="s">
        <v>23</v>
      </c>
      <c r="D1991" s="18">
        <v>858</v>
      </c>
    </row>
    <row r="1992" spans="1:4" x14ac:dyDescent="0.3">
      <c r="A1992" s="12"/>
      <c r="B1992" s="12"/>
      <c r="C1992" s="14" t="s">
        <v>20</v>
      </c>
      <c r="D1992" s="18">
        <v>1999.98</v>
      </c>
    </row>
    <row r="1993" spans="1:4" x14ac:dyDescent="0.3">
      <c r="A1993" s="12"/>
      <c r="B1993" s="10" t="s">
        <v>1915</v>
      </c>
      <c r="C1993" s="11"/>
      <c r="D1993" s="17">
        <v>3917.96</v>
      </c>
    </row>
    <row r="1994" spans="1:4" x14ac:dyDescent="0.3">
      <c r="A1994" s="10" t="s">
        <v>716</v>
      </c>
      <c r="B1994" s="11"/>
      <c r="C1994" s="11"/>
      <c r="D1994" s="17">
        <v>3917.96</v>
      </c>
    </row>
    <row r="1995" spans="1:4" x14ac:dyDescent="0.3">
      <c r="A1995" s="10">
        <v>421</v>
      </c>
      <c r="B1995" s="10" t="s">
        <v>11</v>
      </c>
      <c r="C1995" s="10" t="s">
        <v>33</v>
      </c>
      <c r="D1995" s="17">
        <v>599.98</v>
      </c>
    </row>
    <row r="1996" spans="1:4" x14ac:dyDescent="0.3">
      <c r="A1996" s="12"/>
      <c r="B1996" s="12"/>
      <c r="C1996" s="14" t="s">
        <v>10</v>
      </c>
      <c r="D1996" s="18">
        <v>1199.98</v>
      </c>
    </row>
    <row r="1997" spans="1:4" x14ac:dyDescent="0.3">
      <c r="A1997" s="12"/>
      <c r="B1997" s="12"/>
      <c r="C1997" s="14" t="s">
        <v>32</v>
      </c>
      <c r="D1997" s="18">
        <v>939.98</v>
      </c>
    </row>
    <row r="1998" spans="1:4" x14ac:dyDescent="0.3">
      <c r="A1998" s="12"/>
      <c r="B1998" s="12"/>
      <c r="C1998" s="14" t="s">
        <v>20</v>
      </c>
      <c r="D1998" s="18">
        <v>1999.98</v>
      </c>
    </row>
    <row r="1999" spans="1:4" x14ac:dyDescent="0.3">
      <c r="A1999" s="12"/>
      <c r="B1999" s="12"/>
      <c r="C1999" s="14" t="s">
        <v>16</v>
      </c>
      <c r="D1999" s="18">
        <v>2899.99</v>
      </c>
    </row>
    <row r="2000" spans="1:4" x14ac:dyDescent="0.3">
      <c r="A2000" s="12"/>
      <c r="B2000" s="10" t="s">
        <v>1915</v>
      </c>
      <c r="C2000" s="11"/>
      <c r="D2000" s="17">
        <v>7639.91</v>
      </c>
    </row>
    <row r="2001" spans="1:4" x14ac:dyDescent="0.3">
      <c r="A2001" s="10" t="s">
        <v>717</v>
      </c>
      <c r="B2001" s="11"/>
      <c r="C2001" s="11"/>
      <c r="D2001" s="17">
        <v>7639.91</v>
      </c>
    </row>
    <row r="2002" spans="1:4" x14ac:dyDescent="0.3">
      <c r="A2002" s="10">
        <v>422</v>
      </c>
      <c r="B2002" s="10" t="s">
        <v>18</v>
      </c>
      <c r="C2002" s="10" t="s">
        <v>10</v>
      </c>
      <c r="D2002" s="17">
        <v>1199.98</v>
      </c>
    </row>
    <row r="2003" spans="1:4" x14ac:dyDescent="0.3">
      <c r="A2003" s="12"/>
      <c r="B2003" s="10" t="s">
        <v>1916</v>
      </c>
      <c r="C2003" s="11"/>
      <c r="D2003" s="17">
        <v>1199.98</v>
      </c>
    </row>
    <row r="2004" spans="1:4" x14ac:dyDescent="0.3">
      <c r="A2004" s="10" t="s">
        <v>718</v>
      </c>
      <c r="B2004" s="11"/>
      <c r="C2004" s="11"/>
      <c r="D2004" s="17">
        <v>1199.98</v>
      </c>
    </row>
    <row r="2005" spans="1:4" x14ac:dyDescent="0.3">
      <c r="A2005" s="10">
        <v>423</v>
      </c>
      <c r="B2005" s="10" t="s">
        <v>18</v>
      </c>
      <c r="C2005" s="10" t="s">
        <v>33</v>
      </c>
      <c r="D2005" s="17">
        <v>599.98</v>
      </c>
    </row>
    <row r="2006" spans="1:4" x14ac:dyDescent="0.3">
      <c r="A2006" s="12"/>
      <c r="B2006" s="12"/>
      <c r="C2006" s="14" t="s">
        <v>23</v>
      </c>
      <c r="D2006" s="18">
        <v>429</v>
      </c>
    </row>
    <row r="2007" spans="1:4" x14ac:dyDescent="0.3">
      <c r="A2007" s="12"/>
      <c r="B2007" s="12"/>
      <c r="C2007" s="14" t="s">
        <v>22</v>
      </c>
      <c r="D2007" s="18">
        <v>749.99</v>
      </c>
    </row>
    <row r="2008" spans="1:4" x14ac:dyDescent="0.3">
      <c r="A2008" s="12"/>
      <c r="B2008" s="12"/>
      <c r="C2008" s="14" t="s">
        <v>12</v>
      </c>
      <c r="D2008" s="18">
        <v>3599.98</v>
      </c>
    </row>
    <row r="2009" spans="1:4" x14ac:dyDescent="0.3">
      <c r="A2009" s="12"/>
      <c r="B2009" s="10" t="s">
        <v>1916</v>
      </c>
      <c r="C2009" s="11"/>
      <c r="D2009" s="17">
        <v>5378.95</v>
      </c>
    </row>
    <row r="2010" spans="1:4" x14ac:dyDescent="0.3">
      <c r="A2010" s="10" t="s">
        <v>719</v>
      </c>
      <c r="B2010" s="11"/>
      <c r="C2010" s="11"/>
      <c r="D2010" s="17">
        <v>5378.95</v>
      </c>
    </row>
    <row r="2011" spans="1:4" x14ac:dyDescent="0.3">
      <c r="A2011" s="10">
        <v>424</v>
      </c>
      <c r="B2011" s="10" t="s">
        <v>11</v>
      </c>
      <c r="C2011" s="10" t="s">
        <v>28</v>
      </c>
      <c r="D2011" s="17">
        <v>269.99</v>
      </c>
    </row>
    <row r="2012" spans="1:4" x14ac:dyDescent="0.3">
      <c r="A2012" s="12"/>
      <c r="B2012" s="12"/>
      <c r="C2012" s="14" t="s">
        <v>32</v>
      </c>
      <c r="D2012" s="18">
        <v>469.99</v>
      </c>
    </row>
    <row r="2013" spans="1:4" x14ac:dyDescent="0.3">
      <c r="A2013" s="12"/>
      <c r="B2013" s="10" t="s">
        <v>1915</v>
      </c>
      <c r="C2013" s="11"/>
      <c r="D2013" s="17">
        <v>739.98</v>
      </c>
    </row>
    <row r="2014" spans="1:4" x14ac:dyDescent="0.3">
      <c r="A2014" s="10" t="s">
        <v>720</v>
      </c>
      <c r="B2014" s="11"/>
      <c r="C2014" s="11"/>
      <c r="D2014" s="17">
        <v>739.98</v>
      </c>
    </row>
    <row r="2015" spans="1:4" x14ac:dyDescent="0.3">
      <c r="A2015" s="10">
        <v>425</v>
      </c>
      <c r="B2015" s="10" t="s">
        <v>18</v>
      </c>
      <c r="C2015" s="10" t="s">
        <v>31</v>
      </c>
      <c r="D2015" s="17">
        <v>539.98</v>
      </c>
    </row>
    <row r="2016" spans="1:4" x14ac:dyDescent="0.3">
      <c r="A2016" s="12"/>
      <c r="B2016" s="12"/>
      <c r="C2016" s="14" t="s">
        <v>36</v>
      </c>
      <c r="D2016" s="18">
        <v>449</v>
      </c>
    </row>
    <row r="2017" spans="1:4" x14ac:dyDescent="0.3">
      <c r="A2017" s="12"/>
      <c r="B2017" s="12"/>
      <c r="C2017" s="14" t="s">
        <v>32</v>
      </c>
      <c r="D2017" s="18">
        <v>469.99</v>
      </c>
    </row>
    <row r="2018" spans="1:4" x14ac:dyDescent="0.3">
      <c r="A2018" s="12"/>
      <c r="B2018" s="10" t="s">
        <v>1916</v>
      </c>
      <c r="C2018" s="11"/>
      <c r="D2018" s="17">
        <v>1458.97</v>
      </c>
    </row>
    <row r="2019" spans="1:4" x14ac:dyDescent="0.3">
      <c r="A2019" s="10" t="s">
        <v>721</v>
      </c>
      <c r="B2019" s="11"/>
      <c r="C2019" s="11"/>
      <c r="D2019" s="17">
        <v>1458.97</v>
      </c>
    </row>
    <row r="2020" spans="1:4" x14ac:dyDescent="0.3">
      <c r="A2020" s="10">
        <v>426</v>
      </c>
      <c r="B2020" s="10" t="s">
        <v>18</v>
      </c>
      <c r="C2020" s="10" t="s">
        <v>33</v>
      </c>
      <c r="D2020" s="17">
        <v>599.98</v>
      </c>
    </row>
    <row r="2021" spans="1:4" x14ac:dyDescent="0.3">
      <c r="A2021" s="12"/>
      <c r="B2021" s="12"/>
      <c r="C2021" s="14" t="s">
        <v>13</v>
      </c>
      <c r="D2021" s="18">
        <v>1549</v>
      </c>
    </row>
    <row r="2022" spans="1:4" x14ac:dyDescent="0.3">
      <c r="A2022" s="12"/>
      <c r="B2022" s="10" t="s">
        <v>1916</v>
      </c>
      <c r="C2022" s="11"/>
      <c r="D2022" s="17">
        <v>2148.98</v>
      </c>
    </row>
    <row r="2023" spans="1:4" x14ac:dyDescent="0.3">
      <c r="A2023" s="10" t="s">
        <v>722</v>
      </c>
      <c r="B2023" s="11"/>
      <c r="C2023" s="11"/>
      <c r="D2023" s="17">
        <v>2148.98</v>
      </c>
    </row>
    <row r="2024" spans="1:4" x14ac:dyDescent="0.3">
      <c r="A2024" s="10">
        <v>427</v>
      </c>
      <c r="B2024" s="10" t="s">
        <v>11</v>
      </c>
      <c r="C2024" s="10" t="s">
        <v>27</v>
      </c>
      <c r="D2024" s="17">
        <v>1059.98</v>
      </c>
    </row>
    <row r="2025" spans="1:4" x14ac:dyDescent="0.3">
      <c r="A2025" s="12"/>
      <c r="B2025" s="12"/>
      <c r="C2025" s="14" t="s">
        <v>25</v>
      </c>
      <c r="D2025" s="18">
        <v>1099.98</v>
      </c>
    </row>
    <row r="2026" spans="1:4" x14ac:dyDescent="0.3">
      <c r="A2026" s="12"/>
      <c r="B2026" s="12"/>
      <c r="C2026" s="14" t="s">
        <v>14</v>
      </c>
      <c r="D2026" s="18">
        <v>1199.98</v>
      </c>
    </row>
    <row r="2027" spans="1:4" x14ac:dyDescent="0.3">
      <c r="A2027" s="12"/>
      <c r="B2027" s="10" t="s">
        <v>1915</v>
      </c>
      <c r="C2027" s="11"/>
      <c r="D2027" s="17">
        <v>3359.94</v>
      </c>
    </row>
    <row r="2028" spans="1:4" x14ac:dyDescent="0.3">
      <c r="A2028" s="10" t="s">
        <v>723</v>
      </c>
      <c r="B2028" s="11"/>
      <c r="C2028" s="11"/>
      <c r="D2028" s="17">
        <v>3359.94</v>
      </c>
    </row>
    <row r="2029" spans="1:4" x14ac:dyDescent="0.3">
      <c r="A2029" s="10">
        <v>428</v>
      </c>
      <c r="B2029" s="10" t="s">
        <v>18</v>
      </c>
      <c r="C2029" s="10" t="s">
        <v>28</v>
      </c>
      <c r="D2029" s="17">
        <v>269.99</v>
      </c>
    </row>
    <row r="2030" spans="1:4" x14ac:dyDescent="0.3">
      <c r="A2030" s="12"/>
      <c r="B2030" s="12"/>
      <c r="C2030" s="14" t="s">
        <v>34</v>
      </c>
      <c r="D2030" s="18">
        <v>2641.98</v>
      </c>
    </row>
    <row r="2031" spans="1:4" x14ac:dyDescent="0.3">
      <c r="A2031" s="12"/>
      <c r="B2031" s="10" t="s">
        <v>1916</v>
      </c>
      <c r="C2031" s="11"/>
      <c r="D2031" s="17">
        <v>2911.9700000000003</v>
      </c>
    </row>
    <row r="2032" spans="1:4" x14ac:dyDescent="0.3">
      <c r="A2032" s="10" t="s">
        <v>724</v>
      </c>
      <c r="B2032" s="11"/>
      <c r="C2032" s="11"/>
      <c r="D2032" s="17">
        <v>2911.9700000000003</v>
      </c>
    </row>
    <row r="2033" spans="1:4" x14ac:dyDescent="0.3">
      <c r="A2033" s="10">
        <v>429</v>
      </c>
      <c r="B2033" s="10" t="s">
        <v>37</v>
      </c>
      <c r="C2033" s="10" t="s">
        <v>34</v>
      </c>
      <c r="D2033" s="17">
        <v>2641.98</v>
      </c>
    </row>
    <row r="2034" spans="1:4" x14ac:dyDescent="0.3">
      <c r="A2034" s="12"/>
      <c r="B2034" s="12"/>
      <c r="C2034" s="14" t="s">
        <v>22</v>
      </c>
      <c r="D2034" s="18">
        <v>749.99</v>
      </c>
    </row>
    <row r="2035" spans="1:4" x14ac:dyDescent="0.3">
      <c r="A2035" s="12"/>
      <c r="B2035" s="12"/>
      <c r="C2035" s="14" t="s">
        <v>32</v>
      </c>
      <c r="D2035" s="18">
        <v>469.99</v>
      </c>
    </row>
    <row r="2036" spans="1:4" x14ac:dyDescent="0.3">
      <c r="A2036" s="12"/>
      <c r="B2036" s="12"/>
      <c r="C2036" s="14" t="s">
        <v>30</v>
      </c>
      <c r="D2036" s="18">
        <v>1680.99</v>
      </c>
    </row>
    <row r="2037" spans="1:4" x14ac:dyDescent="0.3">
      <c r="A2037" s="12"/>
      <c r="B2037" s="12"/>
      <c r="C2037" s="14" t="s">
        <v>16</v>
      </c>
      <c r="D2037" s="18">
        <v>5799.98</v>
      </c>
    </row>
    <row r="2038" spans="1:4" x14ac:dyDescent="0.3">
      <c r="A2038" s="12"/>
      <c r="B2038" s="10" t="s">
        <v>1917</v>
      </c>
      <c r="C2038" s="11"/>
      <c r="D2038" s="17">
        <v>11342.93</v>
      </c>
    </row>
    <row r="2039" spans="1:4" x14ac:dyDescent="0.3">
      <c r="A2039" s="10" t="s">
        <v>725</v>
      </c>
      <c r="B2039" s="11"/>
      <c r="C2039" s="11"/>
      <c r="D2039" s="17">
        <v>11342.93</v>
      </c>
    </row>
    <row r="2040" spans="1:4" x14ac:dyDescent="0.3">
      <c r="A2040" s="10">
        <v>430</v>
      </c>
      <c r="B2040" s="10" t="s">
        <v>18</v>
      </c>
      <c r="C2040" s="10" t="s">
        <v>31</v>
      </c>
      <c r="D2040" s="17">
        <v>539.98</v>
      </c>
    </row>
    <row r="2041" spans="1:4" x14ac:dyDescent="0.3">
      <c r="A2041" s="12"/>
      <c r="B2041" s="12"/>
      <c r="C2041" s="14" t="s">
        <v>28</v>
      </c>
      <c r="D2041" s="18">
        <v>539.98</v>
      </c>
    </row>
    <row r="2042" spans="1:4" x14ac:dyDescent="0.3">
      <c r="A2042" s="12"/>
      <c r="B2042" s="12"/>
      <c r="C2042" s="14" t="s">
        <v>30</v>
      </c>
      <c r="D2042" s="18">
        <v>1680.99</v>
      </c>
    </row>
    <row r="2043" spans="1:4" x14ac:dyDescent="0.3">
      <c r="A2043" s="12"/>
      <c r="B2043" s="12"/>
      <c r="C2043" s="14" t="s">
        <v>16</v>
      </c>
      <c r="D2043" s="18">
        <v>5799.98</v>
      </c>
    </row>
    <row r="2044" spans="1:4" x14ac:dyDescent="0.3">
      <c r="A2044" s="12"/>
      <c r="B2044" s="12"/>
      <c r="C2044" s="14" t="s">
        <v>12</v>
      </c>
      <c r="D2044" s="18">
        <v>1799.99</v>
      </c>
    </row>
    <row r="2045" spans="1:4" x14ac:dyDescent="0.3">
      <c r="A2045" s="12"/>
      <c r="B2045" s="10" t="s">
        <v>1916</v>
      </c>
      <c r="C2045" s="11"/>
      <c r="D2045" s="17">
        <v>10360.92</v>
      </c>
    </row>
    <row r="2046" spans="1:4" x14ac:dyDescent="0.3">
      <c r="A2046" s="10" t="s">
        <v>726</v>
      </c>
      <c r="B2046" s="11"/>
      <c r="C2046" s="11"/>
      <c r="D2046" s="17">
        <v>10360.92</v>
      </c>
    </row>
    <row r="2047" spans="1:4" x14ac:dyDescent="0.3">
      <c r="A2047" s="10">
        <v>431</v>
      </c>
      <c r="B2047" s="10" t="s">
        <v>18</v>
      </c>
      <c r="C2047" s="10" t="s">
        <v>31</v>
      </c>
      <c r="D2047" s="17">
        <v>539.98</v>
      </c>
    </row>
    <row r="2048" spans="1:4" x14ac:dyDescent="0.3">
      <c r="A2048" s="12"/>
      <c r="B2048" s="12"/>
      <c r="C2048" s="14" t="s">
        <v>28</v>
      </c>
      <c r="D2048" s="18">
        <v>539.98</v>
      </c>
    </row>
    <row r="2049" spans="1:4" x14ac:dyDescent="0.3">
      <c r="A2049" s="12"/>
      <c r="B2049" s="12"/>
      <c r="C2049" s="14" t="s">
        <v>24</v>
      </c>
      <c r="D2049" s="18">
        <v>449</v>
      </c>
    </row>
    <row r="2050" spans="1:4" x14ac:dyDescent="0.3">
      <c r="A2050" s="12"/>
      <c r="B2050" s="12"/>
      <c r="C2050" s="14" t="s">
        <v>36</v>
      </c>
      <c r="D2050" s="18">
        <v>449</v>
      </c>
    </row>
    <row r="2051" spans="1:4" x14ac:dyDescent="0.3">
      <c r="A2051" s="12"/>
      <c r="B2051" s="12"/>
      <c r="C2051" s="14" t="s">
        <v>32</v>
      </c>
      <c r="D2051" s="18">
        <v>469.99</v>
      </c>
    </row>
    <row r="2052" spans="1:4" x14ac:dyDescent="0.3">
      <c r="A2052" s="12"/>
      <c r="B2052" s="10" t="s">
        <v>1916</v>
      </c>
      <c r="C2052" s="11"/>
      <c r="D2052" s="17">
        <v>2447.9499999999998</v>
      </c>
    </row>
    <row r="2053" spans="1:4" x14ac:dyDescent="0.3">
      <c r="A2053" s="10" t="s">
        <v>727</v>
      </c>
      <c r="B2053" s="11"/>
      <c r="C2053" s="11"/>
      <c r="D2053" s="17">
        <v>2447.9499999999998</v>
      </c>
    </row>
    <row r="2054" spans="1:4" x14ac:dyDescent="0.3">
      <c r="A2054" s="10">
        <v>432</v>
      </c>
      <c r="B2054" s="10" t="s">
        <v>11</v>
      </c>
      <c r="C2054" s="10" t="s">
        <v>13</v>
      </c>
      <c r="D2054" s="17">
        <v>3098</v>
      </c>
    </row>
    <row r="2055" spans="1:4" x14ac:dyDescent="0.3">
      <c r="A2055" s="12"/>
      <c r="B2055" s="12"/>
      <c r="C2055" s="14" t="s">
        <v>29</v>
      </c>
      <c r="D2055" s="18">
        <v>7999.98</v>
      </c>
    </row>
    <row r="2056" spans="1:4" x14ac:dyDescent="0.3">
      <c r="A2056" s="12"/>
      <c r="B2056" s="10" t="s">
        <v>1915</v>
      </c>
      <c r="C2056" s="11"/>
      <c r="D2056" s="17">
        <v>11097.98</v>
      </c>
    </row>
    <row r="2057" spans="1:4" x14ac:dyDescent="0.3">
      <c r="A2057" s="10" t="s">
        <v>728</v>
      </c>
      <c r="B2057" s="11"/>
      <c r="C2057" s="11"/>
      <c r="D2057" s="17">
        <v>11097.98</v>
      </c>
    </row>
    <row r="2058" spans="1:4" x14ac:dyDescent="0.3">
      <c r="A2058" s="10">
        <v>433</v>
      </c>
      <c r="B2058" s="10" t="s">
        <v>18</v>
      </c>
      <c r="C2058" s="10" t="s">
        <v>25</v>
      </c>
      <c r="D2058" s="17">
        <v>549.99</v>
      </c>
    </row>
    <row r="2059" spans="1:4" x14ac:dyDescent="0.3">
      <c r="A2059" s="12"/>
      <c r="B2059" s="12"/>
      <c r="C2059" s="14" t="s">
        <v>32</v>
      </c>
      <c r="D2059" s="18">
        <v>469.99</v>
      </c>
    </row>
    <row r="2060" spans="1:4" x14ac:dyDescent="0.3">
      <c r="A2060" s="12"/>
      <c r="B2060" s="12"/>
      <c r="C2060" s="14" t="s">
        <v>13</v>
      </c>
      <c r="D2060" s="18">
        <v>1549</v>
      </c>
    </row>
    <row r="2061" spans="1:4" x14ac:dyDescent="0.3">
      <c r="A2061" s="12"/>
      <c r="B2061" s="12"/>
      <c r="C2061" s="14" t="s">
        <v>16</v>
      </c>
      <c r="D2061" s="18">
        <v>2899.99</v>
      </c>
    </row>
    <row r="2062" spans="1:4" x14ac:dyDescent="0.3">
      <c r="A2062" s="12"/>
      <c r="B2062" s="10" t="s">
        <v>1916</v>
      </c>
      <c r="C2062" s="11"/>
      <c r="D2062" s="17">
        <v>5468.9699999999993</v>
      </c>
    </row>
    <row r="2063" spans="1:4" x14ac:dyDescent="0.3">
      <c r="A2063" s="10" t="s">
        <v>729</v>
      </c>
      <c r="B2063" s="11"/>
      <c r="C2063" s="11"/>
      <c r="D2063" s="17">
        <v>5468.9699999999993</v>
      </c>
    </row>
    <row r="2064" spans="1:4" x14ac:dyDescent="0.3">
      <c r="A2064" s="10">
        <v>434</v>
      </c>
      <c r="B2064" s="10" t="s">
        <v>18</v>
      </c>
      <c r="C2064" s="10" t="s">
        <v>31</v>
      </c>
      <c r="D2064" s="17">
        <v>269.99</v>
      </c>
    </row>
    <row r="2065" spans="1:4" x14ac:dyDescent="0.3">
      <c r="A2065" s="12"/>
      <c r="B2065" s="12"/>
      <c r="C2065" s="14" t="s">
        <v>10</v>
      </c>
      <c r="D2065" s="18">
        <v>599.99</v>
      </c>
    </row>
    <row r="2066" spans="1:4" x14ac:dyDescent="0.3">
      <c r="A2066" s="12"/>
      <c r="B2066" s="12"/>
      <c r="C2066" s="14" t="s">
        <v>24</v>
      </c>
      <c r="D2066" s="18">
        <v>898</v>
      </c>
    </row>
    <row r="2067" spans="1:4" x14ac:dyDescent="0.3">
      <c r="A2067" s="12"/>
      <c r="B2067" s="12"/>
      <c r="C2067" s="14" t="s">
        <v>30</v>
      </c>
      <c r="D2067" s="18">
        <v>3361.98</v>
      </c>
    </row>
    <row r="2068" spans="1:4" x14ac:dyDescent="0.3">
      <c r="A2068" s="12"/>
      <c r="B2068" s="12"/>
      <c r="C2068" s="14" t="s">
        <v>26</v>
      </c>
      <c r="D2068" s="18">
        <v>2999.99</v>
      </c>
    </row>
    <row r="2069" spans="1:4" x14ac:dyDescent="0.3">
      <c r="A2069" s="12"/>
      <c r="B2069" s="10" t="s">
        <v>1916</v>
      </c>
      <c r="C2069" s="11"/>
      <c r="D2069" s="17">
        <v>8129.95</v>
      </c>
    </row>
    <row r="2070" spans="1:4" x14ac:dyDescent="0.3">
      <c r="A2070" s="10" t="s">
        <v>730</v>
      </c>
      <c r="B2070" s="11"/>
      <c r="C2070" s="11"/>
      <c r="D2070" s="17">
        <v>8129.95</v>
      </c>
    </row>
    <row r="2071" spans="1:4" x14ac:dyDescent="0.3">
      <c r="A2071" s="10">
        <v>435</v>
      </c>
      <c r="B2071" s="10" t="s">
        <v>37</v>
      </c>
      <c r="C2071" s="10" t="s">
        <v>28</v>
      </c>
      <c r="D2071" s="17">
        <v>269.99</v>
      </c>
    </row>
    <row r="2072" spans="1:4" x14ac:dyDescent="0.3">
      <c r="A2072" s="12"/>
      <c r="B2072" s="12"/>
      <c r="C2072" s="14" t="s">
        <v>24</v>
      </c>
      <c r="D2072" s="18">
        <v>449</v>
      </c>
    </row>
    <row r="2073" spans="1:4" x14ac:dyDescent="0.3">
      <c r="A2073" s="12"/>
      <c r="B2073" s="12"/>
      <c r="C2073" s="14" t="s">
        <v>26</v>
      </c>
      <c r="D2073" s="18">
        <v>2999.99</v>
      </c>
    </row>
    <row r="2074" spans="1:4" x14ac:dyDescent="0.3">
      <c r="A2074" s="12"/>
      <c r="B2074" s="10" t="s">
        <v>1917</v>
      </c>
      <c r="C2074" s="11"/>
      <c r="D2074" s="17">
        <v>3718.9799999999996</v>
      </c>
    </row>
    <row r="2075" spans="1:4" x14ac:dyDescent="0.3">
      <c r="A2075" s="10" t="s">
        <v>731</v>
      </c>
      <c r="B2075" s="11"/>
      <c r="C2075" s="11"/>
      <c r="D2075" s="17">
        <v>3718.9799999999996</v>
      </c>
    </row>
    <row r="2076" spans="1:4" x14ac:dyDescent="0.3">
      <c r="A2076" s="10">
        <v>436</v>
      </c>
      <c r="B2076" s="10" t="s">
        <v>18</v>
      </c>
      <c r="C2076" s="10" t="s">
        <v>33</v>
      </c>
      <c r="D2076" s="17">
        <v>299.99</v>
      </c>
    </row>
    <row r="2077" spans="1:4" x14ac:dyDescent="0.3">
      <c r="A2077" s="12"/>
      <c r="B2077" s="12"/>
      <c r="C2077" s="14" t="s">
        <v>20</v>
      </c>
      <c r="D2077" s="18">
        <v>999.99</v>
      </c>
    </row>
    <row r="2078" spans="1:4" x14ac:dyDescent="0.3">
      <c r="A2078" s="12"/>
      <c r="B2078" s="10" t="s">
        <v>1916</v>
      </c>
      <c r="C2078" s="11"/>
      <c r="D2078" s="17">
        <v>1299.98</v>
      </c>
    </row>
    <row r="2079" spans="1:4" x14ac:dyDescent="0.3">
      <c r="A2079" s="10" t="s">
        <v>732</v>
      </c>
      <c r="B2079" s="11"/>
      <c r="C2079" s="11"/>
      <c r="D2079" s="17">
        <v>1299.98</v>
      </c>
    </row>
    <row r="2080" spans="1:4" x14ac:dyDescent="0.3">
      <c r="A2080" s="10">
        <v>437</v>
      </c>
      <c r="B2080" s="10" t="s">
        <v>18</v>
      </c>
      <c r="C2080" s="10" t="s">
        <v>13</v>
      </c>
      <c r="D2080" s="17">
        <v>1549</v>
      </c>
    </row>
    <row r="2081" spans="1:4" x14ac:dyDescent="0.3">
      <c r="A2081" s="12"/>
      <c r="B2081" s="12"/>
      <c r="C2081" s="14" t="s">
        <v>20</v>
      </c>
      <c r="D2081" s="18">
        <v>999.99</v>
      </c>
    </row>
    <row r="2082" spans="1:4" x14ac:dyDescent="0.3">
      <c r="A2082" s="12"/>
      <c r="B2082" s="12"/>
      <c r="C2082" s="14" t="s">
        <v>12</v>
      </c>
      <c r="D2082" s="18">
        <v>3599.98</v>
      </c>
    </row>
    <row r="2083" spans="1:4" x14ac:dyDescent="0.3">
      <c r="A2083" s="12"/>
      <c r="B2083" s="10" t="s">
        <v>1916</v>
      </c>
      <c r="C2083" s="11"/>
      <c r="D2083" s="17">
        <v>6148.9699999999993</v>
      </c>
    </row>
    <row r="2084" spans="1:4" x14ac:dyDescent="0.3">
      <c r="A2084" s="10" t="s">
        <v>733</v>
      </c>
      <c r="B2084" s="11"/>
      <c r="C2084" s="11"/>
      <c r="D2084" s="17">
        <v>6148.9699999999993</v>
      </c>
    </row>
    <row r="2085" spans="1:4" x14ac:dyDescent="0.3">
      <c r="A2085" s="10">
        <v>438</v>
      </c>
      <c r="B2085" s="10" t="s">
        <v>37</v>
      </c>
      <c r="C2085" s="10" t="s">
        <v>31</v>
      </c>
      <c r="D2085" s="17">
        <v>539.98</v>
      </c>
    </row>
    <row r="2086" spans="1:4" x14ac:dyDescent="0.3">
      <c r="A2086" s="12"/>
      <c r="B2086" s="12"/>
      <c r="C2086" s="14" t="s">
        <v>28</v>
      </c>
      <c r="D2086" s="18">
        <v>269.99</v>
      </c>
    </row>
    <row r="2087" spans="1:4" x14ac:dyDescent="0.3">
      <c r="A2087" s="12"/>
      <c r="B2087" s="12"/>
      <c r="C2087" s="14" t="s">
        <v>16</v>
      </c>
      <c r="D2087" s="18">
        <v>2899.99</v>
      </c>
    </row>
    <row r="2088" spans="1:4" x14ac:dyDescent="0.3">
      <c r="A2088" s="12"/>
      <c r="B2088" s="12"/>
      <c r="C2088" s="14" t="s">
        <v>12</v>
      </c>
      <c r="D2088" s="18">
        <v>3599.98</v>
      </c>
    </row>
    <row r="2089" spans="1:4" x14ac:dyDescent="0.3">
      <c r="A2089" s="12"/>
      <c r="B2089" s="10" t="s">
        <v>1917</v>
      </c>
      <c r="C2089" s="11"/>
      <c r="D2089" s="17">
        <v>7309.9400000000005</v>
      </c>
    </row>
    <row r="2090" spans="1:4" x14ac:dyDescent="0.3">
      <c r="A2090" s="10" t="s">
        <v>734</v>
      </c>
      <c r="B2090" s="11"/>
      <c r="C2090" s="11"/>
      <c r="D2090" s="17">
        <v>7309.9400000000005</v>
      </c>
    </row>
    <row r="2091" spans="1:4" x14ac:dyDescent="0.3">
      <c r="A2091" s="10">
        <v>439</v>
      </c>
      <c r="B2091" s="10" t="s">
        <v>18</v>
      </c>
      <c r="C2091" s="10" t="s">
        <v>32</v>
      </c>
      <c r="D2091" s="17">
        <v>939.98</v>
      </c>
    </row>
    <row r="2092" spans="1:4" x14ac:dyDescent="0.3">
      <c r="A2092" s="12"/>
      <c r="B2092" s="12"/>
      <c r="C2092" s="14" t="s">
        <v>29</v>
      </c>
      <c r="D2092" s="18">
        <v>7999.98</v>
      </c>
    </row>
    <row r="2093" spans="1:4" x14ac:dyDescent="0.3">
      <c r="A2093" s="12"/>
      <c r="B2093" s="10" t="s">
        <v>1916</v>
      </c>
      <c r="C2093" s="11"/>
      <c r="D2093" s="17">
        <v>8939.9599999999991</v>
      </c>
    </row>
    <row r="2094" spans="1:4" x14ac:dyDescent="0.3">
      <c r="A2094" s="10" t="s">
        <v>735</v>
      </c>
      <c r="B2094" s="11"/>
      <c r="C2094" s="11"/>
      <c r="D2094" s="17">
        <v>8939.9599999999991</v>
      </c>
    </row>
    <row r="2095" spans="1:4" x14ac:dyDescent="0.3">
      <c r="A2095" s="10">
        <v>440</v>
      </c>
      <c r="B2095" s="10" t="s">
        <v>18</v>
      </c>
      <c r="C2095" s="10" t="s">
        <v>36</v>
      </c>
      <c r="D2095" s="17">
        <v>898</v>
      </c>
    </row>
    <row r="2096" spans="1:4" x14ac:dyDescent="0.3">
      <c r="A2096" s="12"/>
      <c r="B2096" s="12"/>
      <c r="C2096" s="14" t="s">
        <v>16</v>
      </c>
      <c r="D2096" s="18">
        <v>5799.98</v>
      </c>
    </row>
    <row r="2097" spans="1:4" x14ac:dyDescent="0.3">
      <c r="A2097" s="12"/>
      <c r="B2097" s="10" t="s">
        <v>1916</v>
      </c>
      <c r="C2097" s="11"/>
      <c r="D2097" s="17">
        <v>6697.98</v>
      </c>
    </row>
    <row r="2098" spans="1:4" x14ac:dyDescent="0.3">
      <c r="A2098" s="10" t="s">
        <v>736</v>
      </c>
      <c r="B2098" s="11"/>
      <c r="C2098" s="11"/>
      <c r="D2098" s="17">
        <v>6697.98</v>
      </c>
    </row>
    <row r="2099" spans="1:4" x14ac:dyDescent="0.3">
      <c r="A2099" s="10">
        <v>441</v>
      </c>
      <c r="B2099" s="10" t="s">
        <v>11</v>
      </c>
      <c r="C2099" s="10" t="s">
        <v>27</v>
      </c>
      <c r="D2099" s="17">
        <v>529.99</v>
      </c>
    </row>
    <row r="2100" spans="1:4" x14ac:dyDescent="0.3">
      <c r="A2100" s="12"/>
      <c r="B2100" s="12"/>
      <c r="C2100" s="14" t="s">
        <v>25</v>
      </c>
      <c r="D2100" s="18">
        <v>549.99</v>
      </c>
    </row>
    <row r="2101" spans="1:4" x14ac:dyDescent="0.3">
      <c r="A2101" s="12"/>
      <c r="B2101" s="10" t="s">
        <v>1915</v>
      </c>
      <c r="C2101" s="11"/>
      <c r="D2101" s="17">
        <v>1079.98</v>
      </c>
    </row>
    <row r="2102" spans="1:4" x14ac:dyDescent="0.3">
      <c r="A2102" s="10" t="s">
        <v>737</v>
      </c>
      <c r="B2102" s="11"/>
      <c r="C2102" s="11"/>
      <c r="D2102" s="17">
        <v>1079.98</v>
      </c>
    </row>
    <row r="2103" spans="1:4" x14ac:dyDescent="0.3">
      <c r="A2103" s="10">
        <v>442</v>
      </c>
      <c r="B2103" s="10" t="s">
        <v>18</v>
      </c>
      <c r="C2103" s="10" t="s">
        <v>14</v>
      </c>
      <c r="D2103" s="17">
        <v>2399.96</v>
      </c>
    </row>
    <row r="2104" spans="1:4" x14ac:dyDescent="0.3">
      <c r="A2104" s="12"/>
      <c r="B2104" s="12"/>
      <c r="C2104" s="14" t="s">
        <v>32</v>
      </c>
      <c r="D2104" s="18">
        <v>939.98</v>
      </c>
    </row>
    <row r="2105" spans="1:4" x14ac:dyDescent="0.3">
      <c r="A2105" s="12"/>
      <c r="B2105" s="10" t="s">
        <v>1916</v>
      </c>
      <c r="C2105" s="11"/>
      <c r="D2105" s="17">
        <v>3339.94</v>
      </c>
    </row>
    <row r="2106" spans="1:4" x14ac:dyDescent="0.3">
      <c r="A2106" s="10" t="s">
        <v>738</v>
      </c>
      <c r="B2106" s="11"/>
      <c r="C2106" s="11"/>
      <c r="D2106" s="17">
        <v>3339.94</v>
      </c>
    </row>
    <row r="2107" spans="1:4" x14ac:dyDescent="0.3">
      <c r="A2107" s="10">
        <v>443</v>
      </c>
      <c r="B2107" s="10" t="s">
        <v>18</v>
      </c>
      <c r="C2107" s="10" t="s">
        <v>14</v>
      </c>
      <c r="D2107" s="17">
        <v>599.99</v>
      </c>
    </row>
    <row r="2108" spans="1:4" x14ac:dyDescent="0.3">
      <c r="A2108" s="12"/>
      <c r="B2108" s="12"/>
      <c r="C2108" s="14" t="s">
        <v>34</v>
      </c>
      <c r="D2108" s="18">
        <v>1320.99</v>
      </c>
    </row>
    <row r="2109" spans="1:4" x14ac:dyDescent="0.3">
      <c r="A2109" s="12"/>
      <c r="B2109" s="10" t="s">
        <v>1916</v>
      </c>
      <c r="C2109" s="11"/>
      <c r="D2109" s="17">
        <v>1920.98</v>
      </c>
    </row>
    <row r="2110" spans="1:4" x14ac:dyDescent="0.3">
      <c r="A2110" s="10" t="s">
        <v>739</v>
      </c>
      <c r="B2110" s="11"/>
      <c r="C2110" s="11"/>
      <c r="D2110" s="17">
        <v>1920.98</v>
      </c>
    </row>
    <row r="2111" spans="1:4" x14ac:dyDescent="0.3">
      <c r="A2111" s="10">
        <v>444</v>
      </c>
      <c r="B2111" s="10" t="s">
        <v>11</v>
      </c>
      <c r="C2111" s="10" t="s">
        <v>28</v>
      </c>
      <c r="D2111" s="17">
        <v>269.99</v>
      </c>
    </row>
    <row r="2112" spans="1:4" x14ac:dyDescent="0.3">
      <c r="A2112" s="12"/>
      <c r="B2112" s="12"/>
      <c r="C2112" s="14" t="s">
        <v>27</v>
      </c>
      <c r="D2112" s="18">
        <v>1059.98</v>
      </c>
    </row>
    <row r="2113" spans="1:4" x14ac:dyDescent="0.3">
      <c r="A2113" s="12"/>
      <c r="B2113" s="12"/>
      <c r="C2113" s="14" t="s">
        <v>14</v>
      </c>
      <c r="D2113" s="18">
        <v>599.99</v>
      </c>
    </row>
    <row r="2114" spans="1:4" x14ac:dyDescent="0.3">
      <c r="A2114" s="12"/>
      <c r="B2114" s="12"/>
      <c r="C2114" s="14" t="s">
        <v>10</v>
      </c>
      <c r="D2114" s="18">
        <v>1199.98</v>
      </c>
    </row>
    <row r="2115" spans="1:4" x14ac:dyDescent="0.3">
      <c r="A2115" s="12"/>
      <c r="B2115" s="12"/>
      <c r="C2115" s="14" t="s">
        <v>13</v>
      </c>
      <c r="D2115" s="18">
        <v>3098</v>
      </c>
    </row>
    <row r="2116" spans="1:4" x14ac:dyDescent="0.3">
      <c r="A2116" s="12"/>
      <c r="B2116" s="10" t="s">
        <v>1915</v>
      </c>
      <c r="C2116" s="11"/>
      <c r="D2116" s="17">
        <v>6227.9400000000005</v>
      </c>
    </row>
    <row r="2117" spans="1:4" x14ac:dyDescent="0.3">
      <c r="A2117" s="10" t="s">
        <v>740</v>
      </c>
      <c r="B2117" s="11"/>
      <c r="C2117" s="11"/>
      <c r="D2117" s="17">
        <v>6227.9400000000005</v>
      </c>
    </row>
    <row r="2118" spans="1:4" x14ac:dyDescent="0.3">
      <c r="A2118" s="10">
        <v>445</v>
      </c>
      <c r="B2118" s="10" t="s">
        <v>18</v>
      </c>
      <c r="C2118" s="10" t="s">
        <v>33</v>
      </c>
      <c r="D2118" s="17">
        <v>299.99</v>
      </c>
    </row>
    <row r="2119" spans="1:4" x14ac:dyDescent="0.3">
      <c r="A2119" s="12"/>
      <c r="B2119" s="12"/>
      <c r="C2119" s="14" t="s">
        <v>14</v>
      </c>
      <c r="D2119" s="18">
        <v>599.99</v>
      </c>
    </row>
    <row r="2120" spans="1:4" x14ac:dyDescent="0.3">
      <c r="A2120" s="12"/>
      <c r="B2120" s="12"/>
      <c r="C2120" s="14" t="s">
        <v>29</v>
      </c>
      <c r="D2120" s="18">
        <v>3999.99</v>
      </c>
    </row>
    <row r="2121" spans="1:4" x14ac:dyDescent="0.3">
      <c r="A2121" s="12"/>
      <c r="B2121" s="10" t="s">
        <v>1916</v>
      </c>
      <c r="C2121" s="11"/>
      <c r="D2121" s="17">
        <v>4899.9699999999993</v>
      </c>
    </row>
    <row r="2122" spans="1:4" x14ac:dyDescent="0.3">
      <c r="A2122" s="10" t="s">
        <v>741</v>
      </c>
      <c r="B2122" s="11"/>
      <c r="C2122" s="11"/>
      <c r="D2122" s="17">
        <v>4899.9699999999993</v>
      </c>
    </row>
    <row r="2123" spans="1:4" x14ac:dyDescent="0.3">
      <c r="A2123" s="10">
        <v>446</v>
      </c>
      <c r="B2123" s="10" t="s">
        <v>18</v>
      </c>
      <c r="C2123" s="10" t="s">
        <v>28</v>
      </c>
      <c r="D2123" s="17">
        <v>269.99</v>
      </c>
    </row>
    <row r="2124" spans="1:4" x14ac:dyDescent="0.3">
      <c r="A2124" s="12"/>
      <c r="B2124" s="12"/>
      <c r="C2124" s="14" t="s">
        <v>14</v>
      </c>
      <c r="D2124" s="18">
        <v>1199.98</v>
      </c>
    </row>
    <row r="2125" spans="1:4" x14ac:dyDescent="0.3">
      <c r="A2125" s="12"/>
      <c r="B2125" s="10" t="s">
        <v>1916</v>
      </c>
      <c r="C2125" s="11"/>
      <c r="D2125" s="17">
        <v>1469.97</v>
      </c>
    </row>
    <row r="2126" spans="1:4" x14ac:dyDescent="0.3">
      <c r="A2126" s="10" t="s">
        <v>742</v>
      </c>
      <c r="B2126" s="11"/>
      <c r="C2126" s="11"/>
      <c r="D2126" s="17">
        <v>1469.97</v>
      </c>
    </row>
    <row r="2127" spans="1:4" x14ac:dyDescent="0.3">
      <c r="A2127" s="10">
        <v>447</v>
      </c>
      <c r="B2127" s="10" t="s">
        <v>37</v>
      </c>
      <c r="C2127" s="10" t="s">
        <v>20</v>
      </c>
      <c r="D2127" s="17">
        <v>999.99</v>
      </c>
    </row>
    <row r="2128" spans="1:4" x14ac:dyDescent="0.3">
      <c r="A2128" s="12"/>
      <c r="B2128" s="12"/>
      <c r="C2128" s="14" t="s">
        <v>16</v>
      </c>
      <c r="D2128" s="18">
        <v>5799.98</v>
      </c>
    </row>
    <row r="2129" spans="1:4" x14ac:dyDescent="0.3">
      <c r="A2129" s="12"/>
      <c r="B2129" s="12"/>
      <c r="C2129" s="14" t="s">
        <v>12</v>
      </c>
      <c r="D2129" s="18">
        <v>1799.99</v>
      </c>
    </row>
    <row r="2130" spans="1:4" x14ac:dyDescent="0.3">
      <c r="A2130" s="12"/>
      <c r="B2130" s="10" t="s">
        <v>1917</v>
      </c>
      <c r="C2130" s="11"/>
      <c r="D2130" s="17">
        <v>8599.9599999999991</v>
      </c>
    </row>
    <row r="2131" spans="1:4" x14ac:dyDescent="0.3">
      <c r="A2131" s="10" t="s">
        <v>743</v>
      </c>
      <c r="B2131" s="11"/>
      <c r="C2131" s="11"/>
      <c r="D2131" s="17">
        <v>8599.9599999999991</v>
      </c>
    </row>
    <row r="2132" spans="1:4" x14ac:dyDescent="0.3">
      <c r="A2132" s="10">
        <v>448</v>
      </c>
      <c r="B2132" s="10" t="s">
        <v>18</v>
      </c>
      <c r="C2132" s="10" t="s">
        <v>31</v>
      </c>
      <c r="D2132" s="17">
        <v>539.98</v>
      </c>
    </row>
    <row r="2133" spans="1:4" x14ac:dyDescent="0.3">
      <c r="A2133" s="12"/>
      <c r="B2133" s="12"/>
      <c r="C2133" s="14" t="s">
        <v>32</v>
      </c>
      <c r="D2133" s="18">
        <v>939.98</v>
      </c>
    </row>
    <row r="2134" spans="1:4" x14ac:dyDescent="0.3">
      <c r="A2134" s="12"/>
      <c r="B2134" s="10" t="s">
        <v>1916</v>
      </c>
      <c r="C2134" s="11"/>
      <c r="D2134" s="17">
        <v>1479.96</v>
      </c>
    </row>
    <row r="2135" spans="1:4" x14ac:dyDescent="0.3">
      <c r="A2135" s="10" t="s">
        <v>744</v>
      </c>
      <c r="B2135" s="11"/>
      <c r="C2135" s="11"/>
      <c r="D2135" s="17">
        <v>1479.96</v>
      </c>
    </row>
    <row r="2136" spans="1:4" x14ac:dyDescent="0.3">
      <c r="A2136" s="10">
        <v>449</v>
      </c>
      <c r="B2136" s="10" t="s">
        <v>18</v>
      </c>
      <c r="C2136" s="10" t="s">
        <v>14</v>
      </c>
      <c r="D2136" s="17">
        <v>1199.98</v>
      </c>
    </row>
    <row r="2137" spans="1:4" x14ac:dyDescent="0.3">
      <c r="A2137" s="12"/>
      <c r="B2137" s="12"/>
      <c r="C2137" s="14" t="s">
        <v>23</v>
      </c>
      <c r="D2137" s="18">
        <v>858</v>
      </c>
    </row>
    <row r="2138" spans="1:4" x14ac:dyDescent="0.3">
      <c r="A2138" s="12"/>
      <c r="B2138" s="12"/>
      <c r="C2138" s="14" t="s">
        <v>22</v>
      </c>
      <c r="D2138" s="18">
        <v>749.99</v>
      </c>
    </row>
    <row r="2139" spans="1:4" x14ac:dyDescent="0.3">
      <c r="A2139" s="12"/>
      <c r="B2139" s="12"/>
      <c r="C2139" s="14" t="s">
        <v>29</v>
      </c>
      <c r="D2139" s="18">
        <v>7999.98</v>
      </c>
    </row>
    <row r="2140" spans="1:4" x14ac:dyDescent="0.3">
      <c r="A2140" s="12"/>
      <c r="B2140" s="10" t="s">
        <v>1916</v>
      </c>
      <c r="C2140" s="11"/>
      <c r="D2140" s="17">
        <v>10807.95</v>
      </c>
    </row>
    <row r="2141" spans="1:4" x14ac:dyDescent="0.3">
      <c r="A2141" s="10" t="s">
        <v>745</v>
      </c>
      <c r="B2141" s="11"/>
      <c r="C2141" s="11"/>
      <c r="D2141" s="17">
        <v>10807.95</v>
      </c>
    </row>
    <row r="2142" spans="1:4" x14ac:dyDescent="0.3">
      <c r="A2142" s="10">
        <v>450</v>
      </c>
      <c r="B2142" s="10" t="s">
        <v>18</v>
      </c>
      <c r="C2142" s="10" t="s">
        <v>25</v>
      </c>
      <c r="D2142" s="17">
        <v>1099.98</v>
      </c>
    </row>
    <row r="2143" spans="1:4" x14ac:dyDescent="0.3">
      <c r="A2143" s="12"/>
      <c r="B2143" s="12"/>
      <c r="C2143" s="14" t="s">
        <v>34</v>
      </c>
      <c r="D2143" s="18">
        <v>1320.99</v>
      </c>
    </row>
    <row r="2144" spans="1:4" x14ac:dyDescent="0.3">
      <c r="A2144" s="12"/>
      <c r="B2144" s="10" t="s">
        <v>1916</v>
      </c>
      <c r="C2144" s="11"/>
      <c r="D2144" s="17">
        <v>2420.9700000000003</v>
      </c>
    </row>
    <row r="2145" spans="1:4" x14ac:dyDescent="0.3">
      <c r="A2145" s="10" t="s">
        <v>746</v>
      </c>
      <c r="B2145" s="11"/>
      <c r="C2145" s="11"/>
      <c r="D2145" s="17">
        <v>2420.9700000000003</v>
      </c>
    </row>
    <row r="2146" spans="1:4" x14ac:dyDescent="0.3">
      <c r="A2146" s="10">
        <v>451</v>
      </c>
      <c r="B2146" s="10" t="s">
        <v>18</v>
      </c>
      <c r="C2146" s="10" t="s">
        <v>28</v>
      </c>
      <c r="D2146" s="17">
        <v>539.98</v>
      </c>
    </row>
    <row r="2147" spans="1:4" x14ac:dyDescent="0.3">
      <c r="A2147" s="12"/>
      <c r="B2147" s="10" t="s">
        <v>1916</v>
      </c>
      <c r="C2147" s="11"/>
      <c r="D2147" s="17">
        <v>539.98</v>
      </c>
    </row>
    <row r="2148" spans="1:4" x14ac:dyDescent="0.3">
      <c r="A2148" s="10" t="s">
        <v>747</v>
      </c>
      <c r="B2148" s="11"/>
      <c r="C2148" s="11"/>
      <c r="D2148" s="17">
        <v>539.98</v>
      </c>
    </row>
    <row r="2149" spans="1:4" x14ac:dyDescent="0.3">
      <c r="A2149" s="10">
        <v>452</v>
      </c>
      <c r="B2149" s="10" t="s">
        <v>18</v>
      </c>
      <c r="C2149" s="10" t="s">
        <v>14</v>
      </c>
      <c r="D2149" s="17">
        <v>599.99</v>
      </c>
    </row>
    <row r="2150" spans="1:4" x14ac:dyDescent="0.3">
      <c r="A2150" s="12"/>
      <c r="B2150" s="12"/>
      <c r="C2150" s="14" t="s">
        <v>30</v>
      </c>
      <c r="D2150" s="18">
        <v>1680.99</v>
      </c>
    </row>
    <row r="2151" spans="1:4" x14ac:dyDescent="0.3">
      <c r="A2151" s="12"/>
      <c r="B2151" s="12"/>
      <c r="C2151" s="14" t="s">
        <v>12</v>
      </c>
      <c r="D2151" s="18">
        <v>1799.99</v>
      </c>
    </row>
    <row r="2152" spans="1:4" x14ac:dyDescent="0.3">
      <c r="A2152" s="12"/>
      <c r="B2152" s="12"/>
      <c r="C2152" s="14" t="s">
        <v>29</v>
      </c>
      <c r="D2152" s="18">
        <v>7999.98</v>
      </c>
    </row>
    <row r="2153" spans="1:4" x14ac:dyDescent="0.3">
      <c r="A2153" s="12"/>
      <c r="B2153" s="10" t="s">
        <v>1916</v>
      </c>
      <c r="C2153" s="11"/>
      <c r="D2153" s="17">
        <v>12080.95</v>
      </c>
    </row>
    <row r="2154" spans="1:4" x14ac:dyDescent="0.3">
      <c r="A2154" s="10" t="s">
        <v>748</v>
      </c>
      <c r="B2154" s="11"/>
      <c r="C2154" s="11"/>
      <c r="D2154" s="17">
        <v>12080.95</v>
      </c>
    </row>
    <row r="2155" spans="1:4" x14ac:dyDescent="0.3">
      <c r="A2155" s="10">
        <v>453</v>
      </c>
      <c r="B2155" s="10" t="s">
        <v>18</v>
      </c>
      <c r="C2155" s="10" t="s">
        <v>33</v>
      </c>
      <c r="D2155" s="17">
        <v>299.99</v>
      </c>
    </row>
    <row r="2156" spans="1:4" x14ac:dyDescent="0.3">
      <c r="A2156" s="12"/>
      <c r="B2156" s="12"/>
      <c r="C2156" s="14" t="s">
        <v>10</v>
      </c>
      <c r="D2156" s="18">
        <v>1199.98</v>
      </c>
    </row>
    <row r="2157" spans="1:4" x14ac:dyDescent="0.3">
      <c r="A2157" s="12"/>
      <c r="B2157" s="12"/>
      <c r="C2157" s="14" t="s">
        <v>16</v>
      </c>
      <c r="D2157" s="18">
        <v>2899.99</v>
      </c>
    </row>
    <row r="2158" spans="1:4" x14ac:dyDescent="0.3">
      <c r="A2158" s="12"/>
      <c r="B2158" s="10" t="s">
        <v>1916</v>
      </c>
      <c r="C2158" s="11"/>
      <c r="D2158" s="17">
        <v>4399.96</v>
      </c>
    </row>
    <row r="2159" spans="1:4" x14ac:dyDescent="0.3">
      <c r="A2159" s="10" t="s">
        <v>749</v>
      </c>
      <c r="B2159" s="11"/>
      <c r="C2159" s="11"/>
      <c r="D2159" s="17">
        <v>4399.96</v>
      </c>
    </row>
    <row r="2160" spans="1:4" x14ac:dyDescent="0.3">
      <c r="A2160" s="10">
        <v>454</v>
      </c>
      <c r="B2160" s="10" t="s">
        <v>18</v>
      </c>
      <c r="C2160" s="10" t="s">
        <v>31</v>
      </c>
      <c r="D2160" s="17">
        <v>539.98</v>
      </c>
    </row>
    <row r="2161" spans="1:4" x14ac:dyDescent="0.3">
      <c r="A2161" s="12"/>
      <c r="B2161" s="12"/>
      <c r="C2161" s="14" t="s">
        <v>25</v>
      </c>
      <c r="D2161" s="18">
        <v>1099.98</v>
      </c>
    </row>
    <row r="2162" spans="1:4" x14ac:dyDescent="0.3">
      <c r="A2162" s="12"/>
      <c r="B2162" s="12"/>
      <c r="C2162" s="14" t="s">
        <v>35</v>
      </c>
      <c r="D2162" s="18">
        <v>999.98</v>
      </c>
    </row>
    <row r="2163" spans="1:4" x14ac:dyDescent="0.3">
      <c r="A2163" s="12"/>
      <c r="B2163" s="10" t="s">
        <v>1916</v>
      </c>
      <c r="C2163" s="11"/>
      <c r="D2163" s="17">
        <v>2639.94</v>
      </c>
    </row>
    <row r="2164" spans="1:4" x14ac:dyDescent="0.3">
      <c r="A2164" s="10" t="s">
        <v>750</v>
      </c>
      <c r="B2164" s="11"/>
      <c r="C2164" s="11"/>
      <c r="D2164" s="17">
        <v>2639.94</v>
      </c>
    </row>
    <row r="2165" spans="1:4" x14ac:dyDescent="0.3">
      <c r="A2165" s="10">
        <v>455</v>
      </c>
      <c r="B2165" s="10" t="s">
        <v>18</v>
      </c>
      <c r="C2165" s="10" t="s">
        <v>26</v>
      </c>
      <c r="D2165" s="17">
        <v>2999.99</v>
      </c>
    </row>
    <row r="2166" spans="1:4" x14ac:dyDescent="0.3">
      <c r="A2166" s="12"/>
      <c r="B2166" s="10" t="s">
        <v>1916</v>
      </c>
      <c r="C2166" s="11"/>
      <c r="D2166" s="17">
        <v>2999.99</v>
      </c>
    </row>
    <row r="2167" spans="1:4" x14ac:dyDescent="0.3">
      <c r="A2167" s="10" t="s">
        <v>751</v>
      </c>
      <c r="B2167" s="11"/>
      <c r="C2167" s="11"/>
      <c r="D2167" s="17">
        <v>2999.99</v>
      </c>
    </row>
    <row r="2168" spans="1:4" x14ac:dyDescent="0.3">
      <c r="A2168" s="10">
        <v>456</v>
      </c>
      <c r="B2168" s="10" t="s">
        <v>37</v>
      </c>
      <c r="C2168" s="10" t="s">
        <v>33</v>
      </c>
      <c r="D2168" s="17">
        <v>299.99</v>
      </c>
    </row>
    <row r="2169" spans="1:4" x14ac:dyDescent="0.3">
      <c r="A2169" s="12"/>
      <c r="B2169" s="12"/>
      <c r="C2169" s="14" t="s">
        <v>23</v>
      </c>
      <c r="D2169" s="18">
        <v>858</v>
      </c>
    </row>
    <row r="2170" spans="1:4" x14ac:dyDescent="0.3">
      <c r="A2170" s="12"/>
      <c r="B2170" s="10" t="s">
        <v>1917</v>
      </c>
      <c r="C2170" s="11"/>
      <c r="D2170" s="17">
        <v>1157.99</v>
      </c>
    </row>
    <row r="2171" spans="1:4" x14ac:dyDescent="0.3">
      <c r="A2171" s="10" t="s">
        <v>752</v>
      </c>
      <c r="B2171" s="11"/>
      <c r="C2171" s="11"/>
      <c r="D2171" s="17">
        <v>1157.99</v>
      </c>
    </row>
    <row r="2172" spans="1:4" x14ac:dyDescent="0.3">
      <c r="A2172" s="10">
        <v>457</v>
      </c>
      <c r="B2172" s="10" t="s">
        <v>11</v>
      </c>
      <c r="C2172" s="10" t="s">
        <v>25</v>
      </c>
      <c r="D2172" s="17">
        <v>1099.98</v>
      </c>
    </row>
    <row r="2173" spans="1:4" x14ac:dyDescent="0.3">
      <c r="A2173" s="12"/>
      <c r="B2173" s="12"/>
      <c r="C2173" s="14" t="s">
        <v>23</v>
      </c>
      <c r="D2173" s="18">
        <v>429</v>
      </c>
    </row>
    <row r="2174" spans="1:4" x14ac:dyDescent="0.3">
      <c r="A2174" s="12"/>
      <c r="B2174" s="12"/>
      <c r="C2174" s="14" t="s">
        <v>22</v>
      </c>
      <c r="D2174" s="18">
        <v>749.99</v>
      </c>
    </row>
    <row r="2175" spans="1:4" x14ac:dyDescent="0.3">
      <c r="A2175" s="12"/>
      <c r="B2175" s="12"/>
      <c r="C2175" s="14" t="s">
        <v>29</v>
      </c>
      <c r="D2175" s="18">
        <v>7999.98</v>
      </c>
    </row>
    <row r="2176" spans="1:4" x14ac:dyDescent="0.3">
      <c r="A2176" s="12"/>
      <c r="B2176" s="10" t="s">
        <v>1915</v>
      </c>
      <c r="C2176" s="11"/>
      <c r="D2176" s="17">
        <v>10278.950000000001</v>
      </c>
    </row>
    <row r="2177" spans="1:4" x14ac:dyDescent="0.3">
      <c r="A2177" s="10" t="s">
        <v>753</v>
      </c>
      <c r="B2177" s="11"/>
      <c r="C2177" s="11"/>
      <c r="D2177" s="17">
        <v>10278.950000000001</v>
      </c>
    </row>
    <row r="2178" spans="1:4" x14ac:dyDescent="0.3">
      <c r="A2178" s="10">
        <v>458</v>
      </c>
      <c r="B2178" s="10" t="s">
        <v>18</v>
      </c>
      <c r="C2178" s="10" t="s">
        <v>31</v>
      </c>
      <c r="D2178" s="17">
        <v>539.98</v>
      </c>
    </row>
    <row r="2179" spans="1:4" x14ac:dyDescent="0.3">
      <c r="A2179" s="12"/>
      <c r="B2179" s="12"/>
      <c r="C2179" s="14" t="s">
        <v>25</v>
      </c>
      <c r="D2179" s="18">
        <v>549.99</v>
      </c>
    </row>
    <row r="2180" spans="1:4" x14ac:dyDescent="0.3">
      <c r="A2180" s="12"/>
      <c r="B2180" s="12"/>
      <c r="C2180" s="14" t="s">
        <v>22</v>
      </c>
      <c r="D2180" s="18">
        <v>749.99</v>
      </c>
    </row>
    <row r="2181" spans="1:4" x14ac:dyDescent="0.3">
      <c r="A2181" s="12"/>
      <c r="B2181" s="12"/>
      <c r="C2181" s="14" t="s">
        <v>30</v>
      </c>
      <c r="D2181" s="18">
        <v>1680.99</v>
      </c>
    </row>
    <row r="2182" spans="1:4" x14ac:dyDescent="0.3">
      <c r="A2182" s="12"/>
      <c r="B2182" s="12"/>
      <c r="C2182" s="14" t="s">
        <v>20</v>
      </c>
      <c r="D2182" s="18">
        <v>1999.98</v>
      </c>
    </row>
    <row r="2183" spans="1:4" x14ac:dyDescent="0.3">
      <c r="A2183" s="12"/>
      <c r="B2183" s="10" t="s">
        <v>1916</v>
      </c>
      <c r="C2183" s="11"/>
      <c r="D2183" s="17">
        <v>5520.93</v>
      </c>
    </row>
    <row r="2184" spans="1:4" x14ac:dyDescent="0.3">
      <c r="A2184" s="10" t="s">
        <v>754</v>
      </c>
      <c r="B2184" s="11"/>
      <c r="C2184" s="11"/>
      <c r="D2184" s="17">
        <v>5520.93</v>
      </c>
    </row>
    <row r="2185" spans="1:4" x14ac:dyDescent="0.3">
      <c r="A2185" s="10">
        <v>459</v>
      </c>
      <c r="B2185" s="10" t="s">
        <v>18</v>
      </c>
      <c r="C2185" s="10" t="s">
        <v>30</v>
      </c>
      <c r="D2185" s="17">
        <v>1680.99</v>
      </c>
    </row>
    <row r="2186" spans="1:4" x14ac:dyDescent="0.3">
      <c r="A2186" s="12"/>
      <c r="B2186" s="10" t="s">
        <v>1916</v>
      </c>
      <c r="C2186" s="11"/>
      <c r="D2186" s="17">
        <v>1680.99</v>
      </c>
    </row>
    <row r="2187" spans="1:4" x14ac:dyDescent="0.3">
      <c r="A2187" s="10" t="s">
        <v>755</v>
      </c>
      <c r="B2187" s="11"/>
      <c r="C2187" s="11"/>
      <c r="D2187" s="17">
        <v>1680.99</v>
      </c>
    </row>
    <row r="2188" spans="1:4" x14ac:dyDescent="0.3">
      <c r="A2188" s="10">
        <v>460</v>
      </c>
      <c r="B2188" s="10" t="s">
        <v>37</v>
      </c>
      <c r="C2188" s="10" t="s">
        <v>28</v>
      </c>
      <c r="D2188" s="17">
        <v>539.98</v>
      </c>
    </row>
    <row r="2189" spans="1:4" x14ac:dyDescent="0.3">
      <c r="A2189" s="12"/>
      <c r="B2189" s="12"/>
      <c r="C2189" s="14" t="s">
        <v>24</v>
      </c>
      <c r="D2189" s="18">
        <v>898</v>
      </c>
    </row>
    <row r="2190" spans="1:4" x14ac:dyDescent="0.3">
      <c r="A2190" s="12"/>
      <c r="B2190" s="12"/>
      <c r="C2190" s="14" t="s">
        <v>36</v>
      </c>
      <c r="D2190" s="18">
        <v>449</v>
      </c>
    </row>
    <row r="2191" spans="1:4" x14ac:dyDescent="0.3">
      <c r="A2191" s="12"/>
      <c r="B2191" s="12"/>
      <c r="C2191" s="14" t="s">
        <v>16</v>
      </c>
      <c r="D2191" s="18">
        <v>2899.99</v>
      </c>
    </row>
    <row r="2192" spans="1:4" x14ac:dyDescent="0.3">
      <c r="A2192" s="12"/>
      <c r="B2192" s="10" t="s">
        <v>1917</v>
      </c>
      <c r="C2192" s="11"/>
      <c r="D2192" s="17">
        <v>4786.9699999999993</v>
      </c>
    </row>
    <row r="2193" spans="1:4" x14ac:dyDescent="0.3">
      <c r="A2193" s="10" t="s">
        <v>756</v>
      </c>
      <c r="B2193" s="11"/>
      <c r="C2193" s="11"/>
      <c r="D2193" s="17">
        <v>4786.9699999999993</v>
      </c>
    </row>
    <row r="2194" spans="1:4" x14ac:dyDescent="0.3">
      <c r="A2194" s="10">
        <v>461</v>
      </c>
      <c r="B2194" s="10" t="s">
        <v>18</v>
      </c>
      <c r="C2194" s="10" t="s">
        <v>25</v>
      </c>
      <c r="D2194" s="17">
        <v>549.99</v>
      </c>
    </row>
    <row r="2195" spans="1:4" x14ac:dyDescent="0.3">
      <c r="A2195" s="12"/>
      <c r="B2195" s="12"/>
      <c r="C2195" s="14" t="s">
        <v>14</v>
      </c>
      <c r="D2195" s="18">
        <v>599.99</v>
      </c>
    </row>
    <row r="2196" spans="1:4" x14ac:dyDescent="0.3">
      <c r="A2196" s="12"/>
      <c r="B2196" s="12"/>
      <c r="C2196" s="14" t="s">
        <v>24</v>
      </c>
      <c r="D2196" s="18">
        <v>898</v>
      </c>
    </row>
    <row r="2197" spans="1:4" x14ac:dyDescent="0.3">
      <c r="A2197" s="12"/>
      <c r="B2197" s="12"/>
      <c r="C2197" s="14" t="s">
        <v>16</v>
      </c>
      <c r="D2197" s="18">
        <v>2899.99</v>
      </c>
    </row>
    <row r="2198" spans="1:4" x14ac:dyDescent="0.3">
      <c r="A2198" s="12"/>
      <c r="B2198" s="12"/>
      <c r="C2198" s="14" t="s">
        <v>12</v>
      </c>
      <c r="D2198" s="18">
        <v>3599.98</v>
      </c>
    </row>
    <row r="2199" spans="1:4" x14ac:dyDescent="0.3">
      <c r="A2199" s="12"/>
      <c r="B2199" s="10" t="s">
        <v>1916</v>
      </c>
      <c r="C2199" s="11"/>
      <c r="D2199" s="17">
        <v>8547.9499999999989</v>
      </c>
    </row>
    <row r="2200" spans="1:4" x14ac:dyDescent="0.3">
      <c r="A2200" s="10" t="s">
        <v>757</v>
      </c>
      <c r="B2200" s="11"/>
      <c r="C2200" s="11"/>
      <c r="D2200" s="17">
        <v>8547.9499999999989</v>
      </c>
    </row>
    <row r="2201" spans="1:4" x14ac:dyDescent="0.3">
      <c r="A2201" s="10">
        <v>462</v>
      </c>
      <c r="B2201" s="10" t="s">
        <v>18</v>
      </c>
      <c r="C2201" s="10" t="s">
        <v>25</v>
      </c>
      <c r="D2201" s="17">
        <v>1099.98</v>
      </c>
    </row>
    <row r="2202" spans="1:4" x14ac:dyDescent="0.3">
      <c r="A2202" s="12"/>
      <c r="B2202" s="10" t="s">
        <v>1916</v>
      </c>
      <c r="C2202" s="11"/>
      <c r="D2202" s="17">
        <v>1099.98</v>
      </c>
    </row>
    <row r="2203" spans="1:4" x14ac:dyDescent="0.3">
      <c r="A2203" s="10" t="s">
        <v>758</v>
      </c>
      <c r="B2203" s="11"/>
      <c r="C2203" s="11"/>
      <c r="D2203" s="17">
        <v>1099.98</v>
      </c>
    </row>
    <row r="2204" spans="1:4" x14ac:dyDescent="0.3">
      <c r="A2204" s="10">
        <v>463</v>
      </c>
      <c r="B2204" s="10" t="s">
        <v>37</v>
      </c>
      <c r="C2204" s="10" t="s">
        <v>31</v>
      </c>
      <c r="D2204" s="17">
        <v>539.98</v>
      </c>
    </row>
    <row r="2205" spans="1:4" x14ac:dyDescent="0.3">
      <c r="A2205" s="12"/>
      <c r="B2205" s="10" t="s">
        <v>1917</v>
      </c>
      <c r="C2205" s="11"/>
      <c r="D2205" s="17">
        <v>539.98</v>
      </c>
    </row>
    <row r="2206" spans="1:4" x14ac:dyDescent="0.3">
      <c r="A2206" s="10" t="s">
        <v>759</v>
      </c>
      <c r="B2206" s="11"/>
      <c r="C2206" s="11"/>
      <c r="D2206" s="17">
        <v>539.98</v>
      </c>
    </row>
    <row r="2207" spans="1:4" x14ac:dyDescent="0.3">
      <c r="A2207" s="10">
        <v>464</v>
      </c>
      <c r="B2207" s="10" t="s">
        <v>18</v>
      </c>
      <c r="C2207" s="10" t="s">
        <v>29</v>
      </c>
      <c r="D2207" s="17">
        <v>3999.99</v>
      </c>
    </row>
    <row r="2208" spans="1:4" x14ac:dyDescent="0.3">
      <c r="A2208" s="12"/>
      <c r="B2208" s="10" t="s">
        <v>1916</v>
      </c>
      <c r="C2208" s="11"/>
      <c r="D2208" s="17">
        <v>3999.99</v>
      </c>
    </row>
    <row r="2209" spans="1:4" x14ac:dyDescent="0.3">
      <c r="A2209" s="10" t="s">
        <v>760</v>
      </c>
      <c r="B2209" s="11"/>
      <c r="C2209" s="11"/>
      <c r="D2209" s="17">
        <v>3999.99</v>
      </c>
    </row>
    <row r="2210" spans="1:4" x14ac:dyDescent="0.3">
      <c r="A2210" s="10">
        <v>465</v>
      </c>
      <c r="B2210" s="10" t="s">
        <v>18</v>
      </c>
      <c r="C2210" s="10" t="s">
        <v>35</v>
      </c>
      <c r="D2210" s="17">
        <v>999.98</v>
      </c>
    </row>
    <row r="2211" spans="1:4" x14ac:dyDescent="0.3">
      <c r="A2211" s="12"/>
      <c r="B2211" s="12"/>
      <c r="C2211" s="14" t="s">
        <v>32</v>
      </c>
      <c r="D2211" s="18">
        <v>939.98</v>
      </c>
    </row>
    <row r="2212" spans="1:4" x14ac:dyDescent="0.3">
      <c r="A2212" s="12"/>
      <c r="B2212" s="10" t="s">
        <v>1916</v>
      </c>
      <c r="C2212" s="11"/>
      <c r="D2212" s="17">
        <v>1939.96</v>
      </c>
    </row>
    <row r="2213" spans="1:4" x14ac:dyDescent="0.3">
      <c r="A2213" s="10" t="s">
        <v>761</v>
      </c>
      <c r="B2213" s="11"/>
      <c r="C2213" s="11"/>
      <c r="D2213" s="17">
        <v>1939.96</v>
      </c>
    </row>
    <row r="2214" spans="1:4" x14ac:dyDescent="0.3">
      <c r="A2214" s="10">
        <v>466</v>
      </c>
      <c r="B2214" s="10" t="s">
        <v>18</v>
      </c>
      <c r="C2214" s="10" t="s">
        <v>27</v>
      </c>
      <c r="D2214" s="17">
        <v>529.99</v>
      </c>
    </row>
    <row r="2215" spans="1:4" x14ac:dyDescent="0.3">
      <c r="A2215" s="12"/>
      <c r="B2215" s="12"/>
      <c r="C2215" s="14" t="s">
        <v>34</v>
      </c>
      <c r="D2215" s="18">
        <v>1320.99</v>
      </c>
    </row>
    <row r="2216" spans="1:4" x14ac:dyDescent="0.3">
      <c r="A2216" s="12"/>
      <c r="B2216" s="12"/>
      <c r="C2216" s="14" t="s">
        <v>36</v>
      </c>
      <c r="D2216" s="18">
        <v>898</v>
      </c>
    </row>
    <row r="2217" spans="1:4" x14ac:dyDescent="0.3">
      <c r="A2217" s="12"/>
      <c r="B2217" s="12"/>
      <c r="C2217" s="14" t="s">
        <v>32</v>
      </c>
      <c r="D2217" s="18">
        <v>469.99</v>
      </c>
    </row>
    <row r="2218" spans="1:4" x14ac:dyDescent="0.3">
      <c r="A2218" s="12"/>
      <c r="B2218" s="12"/>
      <c r="C2218" s="14" t="s">
        <v>29</v>
      </c>
      <c r="D2218" s="18">
        <v>7999.98</v>
      </c>
    </row>
    <row r="2219" spans="1:4" x14ac:dyDescent="0.3">
      <c r="A2219" s="12"/>
      <c r="B2219" s="10" t="s">
        <v>1916</v>
      </c>
      <c r="C2219" s="11"/>
      <c r="D2219" s="17">
        <v>11218.95</v>
      </c>
    </row>
    <row r="2220" spans="1:4" x14ac:dyDescent="0.3">
      <c r="A2220" s="10" t="s">
        <v>762</v>
      </c>
      <c r="B2220" s="11"/>
      <c r="C2220" s="11"/>
      <c r="D2220" s="17">
        <v>11218.95</v>
      </c>
    </row>
    <row r="2221" spans="1:4" x14ac:dyDescent="0.3">
      <c r="A2221" s="10">
        <v>467</v>
      </c>
      <c r="B2221" s="10" t="s">
        <v>37</v>
      </c>
      <c r="C2221" s="10" t="s">
        <v>28</v>
      </c>
      <c r="D2221" s="17">
        <v>539.98</v>
      </c>
    </row>
    <row r="2222" spans="1:4" x14ac:dyDescent="0.3">
      <c r="A2222" s="12"/>
      <c r="B2222" s="12"/>
      <c r="C2222" s="14" t="s">
        <v>23</v>
      </c>
      <c r="D2222" s="18">
        <v>858</v>
      </c>
    </row>
    <row r="2223" spans="1:4" x14ac:dyDescent="0.3">
      <c r="A2223" s="12"/>
      <c r="B2223" s="12"/>
      <c r="C2223" s="14" t="s">
        <v>36</v>
      </c>
      <c r="D2223" s="18">
        <v>449</v>
      </c>
    </row>
    <row r="2224" spans="1:4" x14ac:dyDescent="0.3">
      <c r="A2224" s="12"/>
      <c r="B2224" s="12"/>
      <c r="C2224" s="14" t="s">
        <v>13</v>
      </c>
      <c r="D2224" s="18">
        <v>1549</v>
      </c>
    </row>
    <row r="2225" spans="1:4" x14ac:dyDescent="0.3">
      <c r="A2225" s="12"/>
      <c r="B2225" s="12"/>
      <c r="C2225" s="14" t="s">
        <v>30</v>
      </c>
      <c r="D2225" s="18">
        <v>1680.99</v>
      </c>
    </row>
    <row r="2226" spans="1:4" x14ac:dyDescent="0.3">
      <c r="A2226" s="12"/>
      <c r="B2226" s="10" t="s">
        <v>1917</v>
      </c>
      <c r="C2226" s="11"/>
      <c r="D2226" s="17">
        <v>5076.97</v>
      </c>
    </row>
    <row r="2227" spans="1:4" x14ac:dyDescent="0.3">
      <c r="A2227" s="10" t="s">
        <v>763</v>
      </c>
      <c r="B2227" s="11"/>
      <c r="C2227" s="11"/>
      <c r="D2227" s="17">
        <v>5076.97</v>
      </c>
    </row>
    <row r="2228" spans="1:4" x14ac:dyDescent="0.3">
      <c r="A2228" s="10">
        <v>468</v>
      </c>
      <c r="B2228" s="10" t="s">
        <v>11</v>
      </c>
      <c r="C2228" s="10" t="s">
        <v>35</v>
      </c>
      <c r="D2228" s="17">
        <v>499.99</v>
      </c>
    </row>
    <row r="2229" spans="1:4" x14ac:dyDescent="0.3">
      <c r="A2229" s="12"/>
      <c r="B2229" s="12"/>
      <c r="C2229" s="14" t="s">
        <v>36</v>
      </c>
      <c r="D2229" s="18">
        <v>449</v>
      </c>
    </row>
    <row r="2230" spans="1:4" x14ac:dyDescent="0.3">
      <c r="A2230" s="12"/>
      <c r="B2230" s="12"/>
      <c r="C2230" s="14" t="s">
        <v>13</v>
      </c>
      <c r="D2230" s="18">
        <v>3098</v>
      </c>
    </row>
    <row r="2231" spans="1:4" x14ac:dyDescent="0.3">
      <c r="A2231" s="12"/>
      <c r="B2231" s="12"/>
      <c r="C2231" s="14" t="s">
        <v>26</v>
      </c>
      <c r="D2231" s="18">
        <v>5999.98</v>
      </c>
    </row>
    <row r="2232" spans="1:4" x14ac:dyDescent="0.3">
      <c r="A2232" s="12"/>
      <c r="B2232" s="10" t="s">
        <v>1915</v>
      </c>
      <c r="C2232" s="11"/>
      <c r="D2232" s="17">
        <v>10046.969999999999</v>
      </c>
    </row>
    <row r="2233" spans="1:4" x14ac:dyDescent="0.3">
      <c r="A2233" s="10" t="s">
        <v>764</v>
      </c>
      <c r="B2233" s="11"/>
      <c r="C2233" s="11"/>
      <c r="D2233" s="17">
        <v>10046.969999999999</v>
      </c>
    </row>
    <row r="2234" spans="1:4" x14ac:dyDescent="0.3">
      <c r="A2234" s="10">
        <v>469</v>
      </c>
      <c r="B2234" s="10" t="s">
        <v>18</v>
      </c>
      <c r="C2234" s="10" t="s">
        <v>27</v>
      </c>
      <c r="D2234" s="17">
        <v>1059.98</v>
      </c>
    </row>
    <row r="2235" spans="1:4" x14ac:dyDescent="0.3">
      <c r="A2235" s="12"/>
      <c r="B2235" s="12"/>
      <c r="C2235" s="14" t="s">
        <v>16</v>
      </c>
      <c r="D2235" s="18">
        <v>2899.99</v>
      </c>
    </row>
    <row r="2236" spans="1:4" x14ac:dyDescent="0.3">
      <c r="A2236" s="12"/>
      <c r="B2236" s="12"/>
      <c r="C2236" s="14" t="s">
        <v>12</v>
      </c>
      <c r="D2236" s="18">
        <v>3599.98</v>
      </c>
    </row>
    <row r="2237" spans="1:4" x14ac:dyDescent="0.3">
      <c r="A2237" s="12"/>
      <c r="B2237" s="10" t="s">
        <v>1916</v>
      </c>
      <c r="C2237" s="11"/>
      <c r="D2237" s="17">
        <v>7559.95</v>
      </c>
    </row>
    <row r="2238" spans="1:4" x14ac:dyDescent="0.3">
      <c r="A2238" s="10" t="s">
        <v>765</v>
      </c>
      <c r="B2238" s="11"/>
      <c r="C2238" s="11"/>
      <c r="D2238" s="17">
        <v>7559.95</v>
      </c>
    </row>
    <row r="2239" spans="1:4" x14ac:dyDescent="0.3">
      <c r="A2239" s="10">
        <v>470</v>
      </c>
      <c r="B2239" s="10" t="s">
        <v>11</v>
      </c>
      <c r="C2239" s="10" t="s">
        <v>31</v>
      </c>
      <c r="D2239" s="17">
        <v>269.99</v>
      </c>
    </row>
    <row r="2240" spans="1:4" x14ac:dyDescent="0.3">
      <c r="A2240" s="12"/>
      <c r="B2240" s="12"/>
      <c r="C2240" s="14" t="s">
        <v>24</v>
      </c>
      <c r="D2240" s="18">
        <v>449</v>
      </c>
    </row>
    <row r="2241" spans="1:4" x14ac:dyDescent="0.3">
      <c r="A2241" s="12"/>
      <c r="B2241" s="12"/>
      <c r="C2241" s="14" t="s">
        <v>12</v>
      </c>
      <c r="D2241" s="18">
        <v>3599.98</v>
      </c>
    </row>
    <row r="2242" spans="1:4" x14ac:dyDescent="0.3">
      <c r="A2242" s="12"/>
      <c r="B2242" s="10" t="s">
        <v>1915</v>
      </c>
      <c r="C2242" s="11"/>
      <c r="D2242" s="17">
        <v>4318.97</v>
      </c>
    </row>
    <row r="2243" spans="1:4" x14ac:dyDescent="0.3">
      <c r="A2243" s="10" t="s">
        <v>766</v>
      </c>
      <c r="B2243" s="11"/>
      <c r="C2243" s="11"/>
      <c r="D2243" s="17">
        <v>4318.97</v>
      </c>
    </row>
    <row r="2244" spans="1:4" x14ac:dyDescent="0.3">
      <c r="A2244" s="10">
        <v>471</v>
      </c>
      <c r="B2244" s="10" t="s">
        <v>11</v>
      </c>
      <c r="C2244" s="10" t="s">
        <v>31</v>
      </c>
      <c r="D2244" s="17">
        <v>539.98</v>
      </c>
    </row>
    <row r="2245" spans="1:4" x14ac:dyDescent="0.3">
      <c r="A2245" s="12"/>
      <c r="B2245" s="12"/>
      <c r="C2245" s="14" t="s">
        <v>28</v>
      </c>
      <c r="D2245" s="18">
        <v>269.99</v>
      </c>
    </row>
    <row r="2246" spans="1:4" x14ac:dyDescent="0.3">
      <c r="A2246" s="12"/>
      <c r="B2246" s="10" t="s">
        <v>1915</v>
      </c>
      <c r="C2246" s="11"/>
      <c r="D2246" s="17">
        <v>809.97</v>
      </c>
    </row>
    <row r="2247" spans="1:4" x14ac:dyDescent="0.3">
      <c r="A2247" s="10" t="s">
        <v>767</v>
      </c>
      <c r="B2247" s="11"/>
      <c r="C2247" s="11"/>
      <c r="D2247" s="17">
        <v>809.97</v>
      </c>
    </row>
    <row r="2248" spans="1:4" x14ac:dyDescent="0.3">
      <c r="A2248" s="10">
        <v>472</v>
      </c>
      <c r="B2248" s="10" t="s">
        <v>18</v>
      </c>
      <c r="C2248" s="10" t="s">
        <v>31</v>
      </c>
      <c r="D2248" s="17">
        <v>539.98</v>
      </c>
    </row>
    <row r="2249" spans="1:4" x14ac:dyDescent="0.3">
      <c r="A2249" s="12"/>
      <c r="B2249" s="12"/>
      <c r="C2249" s="14" t="s">
        <v>27</v>
      </c>
      <c r="D2249" s="18">
        <v>529.99</v>
      </c>
    </row>
    <row r="2250" spans="1:4" x14ac:dyDescent="0.3">
      <c r="A2250" s="12"/>
      <c r="B2250" s="10" t="s">
        <v>1916</v>
      </c>
      <c r="C2250" s="11"/>
      <c r="D2250" s="17">
        <v>1069.97</v>
      </c>
    </row>
    <row r="2251" spans="1:4" x14ac:dyDescent="0.3">
      <c r="A2251" s="10" t="s">
        <v>768</v>
      </c>
      <c r="B2251" s="11"/>
      <c r="C2251" s="11"/>
      <c r="D2251" s="17">
        <v>1069.97</v>
      </c>
    </row>
    <row r="2252" spans="1:4" x14ac:dyDescent="0.3">
      <c r="A2252" s="10">
        <v>473</v>
      </c>
      <c r="B2252" s="10" t="s">
        <v>18</v>
      </c>
      <c r="C2252" s="10" t="s">
        <v>14</v>
      </c>
      <c r="D2252" s="17">
        <v>599.99</v>
      </c>
    </row>
    <row r="2253" spans="1:4" x14ac:dyDescent="0.3">
      <c r="A2253" s="12"/>
      <c r="B2253" s="10" t="s">
        <v>1916</v>
      </c>
      <c r="C2253" s="11"/>
      <c r="D2253" s="17">
        <v>599.99</v>
      </c>
    </row>
    <row r="2254" spans="1:4" x14ac:dyDescent="0.3">
      <c r="A2254" s="10" t="s">
        <v>769</v>
      </c>
      <c r="B2254" s="11"/>
      <c r="C2254" s="11"/>
      <c r="D2254" s="17">
        <v>599.99</v>
      </c>
    </row>
    <row r="2255" spans="1:4" x14ac:dyDescent="0.3">
      <c r="A2255" s="10">
        <v>474</v>
      </c>
      <c r="B2255" s="10" t="s">
        <v>11</v>
      </c>
      <c r="C2255" s="10" t="s">
        <v>36</v>
      </c>
      <c r="D2255" s="17">
        <v>898</v>
      </c>
    </row>
    <row r="2256" spans="1:4" x14ac:dyDescent="0.3">
      <c r="A2256" s="12"/>
      <c r="B2256" s="12"/>
      <c r="C2256" s="14" t="s">
        <v>30</v>
      </c>
      <c r="D2256" s="18">
        <v>1680.99</v>
      </c>
    </row>
    <row r="2257" spans="1:4" x14ac:dyDescent="0.3">
      <c r="A2257" s="12"/>
      <c r="B2257" s="10" t="s">
        <v>1915</v>
      </c>
      <c r="C2257" s="11"/>
      <c r="D2257" s="17">
        <v>2578.9899999999998</v>
      </c>
    </row>
    <row r="2258" spans="1:4" x14ac:dyDescent="0.3">
      <c r="A2258" s="10" t="s">
        <v>770</v>
      </c>
      <c r="B2258" s="11"/>
      <c r="C2258" s="11"/>
      <c r="D2258" s="17">
        <v>2578.9899999999998</v>
      </c>
    </row>
    <row r="2259" spans="1:4" x14ac:dyDescent="0.3">
      <c r="A2259" s="10">
        <v>475</v>
      </c>
      <c r="B2259" s="10" t="s">
        <v>18</v>
      </c>
      <c r="C2259" s="10" t="s">
        <v>35</v>
      </c>
      <c r="D2259" s="17">
        <v>499.99</v>
      </c>
    </row>
    <row r="2260" spans="1:4" x14ac:dyDescent="0.3">
      <c r="A2260" s="12"/>
      <c r="B2260" s="12"/>
      <c r="C2260" s="14" t="s">
        <v>14</v>
      </c>
      <c r="D2260" s="18">
        <v>1199.98</v>
      </c>
    </row>
    <row r="2261" spans="1:4" x14ac:dyDescent="0.3">
      <c r="A2261" s="12"/>
      <c r="B2261" s="12"/>
      <c r="C2261" s="14" t="s">
        <v>23</v>
      </c>
      <c r="D2261" s="18">
        <v>858</v>
      </c>
    </row>
    <row r="2262" spans="1:4" x14ac:dyDescent="0.3">
      <c r="A2262" s="12"/>
      <c r="B2262" s="10" t="s">
        <v>1916</v>
      </c>
      <c r="C2262" s="11"/>
      <c r="D2262" s="17">
        <v>2557.9700000000003</v>
      </c>
    </row>
    <row r="2263" spans="1:4" x14ac:dyDescent="0.3">
      <c r="A2263" s="10" t="s">
        <v>771</v>
      </c>
      <c r="B2263" s="11"/>
      <c r="C2263" s="11"/>
      <c r="D2263" s="17">
        <v>2557.9700000000003</v>
      </c>
    </row>
    <row r="2264" spans="1:4" x14ac:dyDescent="0.3">
      <c r="A2264" s="10">
        <v>476</v>
      </c>
      <c r="B2264" s="10" t="s">
        <v>18</v>
      </c>
      <c r="C2264" s="10" t="s">
        <v>28</v>
      </c>
      <c r="D2264" s="17">
        <v>539.98</v>
      </c>
    </row>
    <row r="2265" spans="1:4" x14ac:dyDescent="0.3">
      <c r="A2265" s="12"/>
      <c r="B2265" s="12"/>
      <c r="C2265" s="14" t="s">
        <v>10</v>
      </c>
      <c r="D2265" s="18">
        <v>1199.98</v>
      </c>
    </row>
    <row r="2266" spans="1:4" x14ac:dyDescent="0.3">
      <c r="A2266" s="12"/>
      <c r="B2266" s="12"/>
      <c r="C2266" s="14" t="s">
        <v>30</v>
      </c>
      <c r="D2266" s="18">
        <v>3361.98</v>
      </c>
    </row>
    <row r="2267" spans="1:4" x14ac:dyDescent="0.3">
      <c r="A2267" s="12"/>
      <c r="B2267" s="12"/>
      <c r="C2267" s="14" t="s">
        <v>16</v>
      </c>
      <c r="D2267" s="18">
        <v>5799.98</v>
      </c>
    </row>
    <row r="2268" spans="1:4" x14ac:dyDescent="0.3">
      <c r="A2268" s="12"/>
      <c r="B2268" s="10" t="s">
        <v>1916</v>
      </c>
      <c r="C2268" s="11"/>
      <c r="D2268" s="17">
        <v>10901.92</v>
      </c>
    </row>
    <row r="2269" spans="1:4" x14ac:dyDescent="0.3">
      <c r="A2269" s="10" t="s">
        <v>772</v>
      </c>
      <c r="B2269" s="11"/>
      <c r="C2269" s="11"/>
      <c r="D2269" s="17">
        <v>10901.92</v>
      </c>
    </row>
    <row r="2270" spans="1:4" x14ac:dyDescent="0.3">
      <c r="A2270" s="10">
        <v>477</v>
      </c>
      <c r="B2270" s="10" t="s">
        <v>11</v>
      </c>
      <c r="C2270" s="10" t="s">
        <v>32</v>
      </c>
      <c r="D2270" s="17">
        <v>469.99</v>
      </c>
    </row>
    <row r="2271" spans="1:4" x14ac:dyDescent="0.3">
      <c r="A2271" s="12"/>
      <c r="B2271" s="12"/>
      <c r="C2271" s="14" t="s">
        <v>13</v>
      </c>
      <c r="D2271" s="18">
        <v>1549</v>
      </c>
    </row>
    <row r="2272" spans="1:4" x14ac:dyDescent="0.3">
      <c r="A2272" s="12"/>
      <c r="B2272" s="10" t="s">
        <v>1915</v>
      </c>
      <c r="C2272" s="11"/>
      <c r="D2272" s="17">
        <v>2018.99</v>
      </c>
    </row>
    <row r="2273" spans="1:4" x14ac:dyDescent="0.3">
      <c r="A2273" s="10" t="s">
        <v>773</v>
      </c>
      <c r="B2273" s="11"/>
      <c r="C2273" s="11"/>
      <c r="D2273" s="17">
        <v>2018.99</v>
      </c>
    </row>
    <row r="2274" spans="1:4" x14ac:dyDescent="0.3">
      <c r="A2274" s="10">
        <v>478</v>
      </c>
      <c r="B2274" s="10" t="s">
        <v>18</v>
      </c>
      <c r="C2274" s="10" t="s">
        <v>31</v>
      </c>
      <c r="D2274" s="17">
        <v>539.98</v>
      </c>
    </row>
    <row r="2275" spans="1:4" x14ac:dyDescent="0.3">
      <c r="A2275" s="12"/>
      <c r="B2275" s="10" t="s">
        <v>1916</v>
      </c>
      <c r="C2275" s="11"/>
      <c r="D2275" s="17">
        <v>539.98</v>
      </c>
    </row>
    <row r="2276" spans="1:4" x14ac:dyDescent="0.3">
      <c r="A2276" s="10" t="s">
        <v>774</v>
      </c>
      <c r="B2276" s="11"/>
      <c r="C2276" s="11"/>
      <c r="D2276" s="17">
        <v>539.98</v>
      </c>
    </row>
    <row r="2277" spans="1:4" x14ac:dyDescent="0.3">
      <c r="A2277" s="10">
        <v>479</v>
      </c>
      <c r="B2277" s="10" t="s">
        <v>18</v>
      </c>
      <c r="C2277" s="10" t="s">
        <v>31</v>
      </c>
      <c r="D2277" s="17">
        <v>269.99</v>
      </c>
    </row>
    <row r="2278" spans="1:4" x14ac:dyDescent="0.3">
      <c r="A2278" s="12"/>
      <c r="B2278" s="12"/>
      <c r="C2278" s="14" t="s">
        <v>25</v>
      </c>
      <c r="D2278" s="18">
        <v>549.99</v>
      </c>
    </row>
    <row r="2279" spans="1:4" x14ac:dyDescent="0.3">
      <c r="A2279" s="12"/>
      <c r="B2279" s="12"/>
      <c r="C2279" s="14" t="s">
        <v>14</v>
      </c>
      <c r="D2279" s="18">
        <v>599.99</v>
      </c>
    </row>
    <row r="2280" spans="1:4" x14ac:dyDescent="0.3">
      <c r="A2280" s="12"/>
      <c r="B2280" s="12"/>
      <c r="C2280" s="14" t="s">
        <v>13</v>
      </c>
      <c r="D2280" s="18">
        <v>1549</v>
      </c>
    </row>
    <row r="2281" spans="1:4" x14ac:dyDescent="0.3">
      <c r="A2281" s="12"/>
      <c r="B2281" s="12"/>
      <c r="C2281" s="14" t="s">
        <v>29</v>
      </c>
      <c r="D2281" s="18">
        <v>3999.99</v>
      </c>
    </row>
    <row r="2282" spans="1:4" x14ac:dyDescent="0.3">
      <c r="A2282" s="12"/>
      <c r="B2282" s="10" t="s">
        <v>1916</v>
      </c>
      <c r="C2282" s="11"/>
      <c r="D2282" s="17">
        <v>6968.96</v>
      </c>
    </row>
    <row r="2283" spans="1:4" x14ac:dyDescent="0.3">
      <c r="A2283" s="10" t="s">
        <v>775</v>
      </c>
      <c r="B2283" s="11"/>
      <c r="C2283" s="11"/>
      <c r="D2283" s="17">
        <v>6968.96</v>
      </c>
    </row>
    <row r="2284" spans="1:4" x14ac:dyDescent="0.3">
      <c r="A2284" s="10">
        <v>480</v>
      </c>
      <c r="B2284" s="10" t="s">
        <v>11</v>
      </c>
      <c r="C2284" s="10" t="s">
        <v>33</v>
      </c>
      <c r="D2284" s="17">
        <v>599.98</v>
      </c>
    </row>
    <row r="2285" spans="1:4" x14ac:dyDescent="0.3">
      <c r="A2285" s="12"/>
      <c r="B2285" s="12"/>
      <c r="C2285" s="14" t="s">
        <v>27</v>
      </c>
      <c r="D2285" s="18">
        <v>529.99</v>
      </c>
    </row>
    <row r="2286" spans="1:4" x14ac:dyDescent="0.3">
      <c r="A2286" s="12"/>
      <c r="B2286" s="12"/>
      <c r="C2286" s="14" t="s">
        <v>16</v>
      </c>
      <c r="D2286" s="18">
        <v>2899.99</v>
      </c>
    </row>
    <row r="2287" spans="1:4" x14ac:dyDescent="0.3">
      <c r="A2287" s="12"/>
      <c r="B2287" s="10" t="s">
        <v>1915</v>
      </c>
      <c r="C2287" s="11"/>
      <c r="D2287" s="17">
        <v>4029.96</v>
      </c>
    </row>
    <row r="2288" spans="1:4" x14ac:dyDescent="0.3">
      <c r="A2288" s="10" t="s">
        <v>776</v>
      </c>
      <c r="B2288" s="11"/>
      <c r="C2288" s="11"/>
      <c r="D2288" s="17">
        <v>4029.96</v>
      </c>
    </row>
    <row r="2289" spans="1:4" x14ac:dyDescent="0.3">
      <c r="A2289" s="10">
        <v>481</v>
      </c>
      <c r="B2289" s="10" t="s">
        <v>37</v>
      </c>
      <c r="C2289" s="10" t="s">
        <v>31</v>
      </c>
      <c r="D2289" s="17">
        <v>539.98</v>
      </c>
    </row>
    <row r="2290" spans="1:4" x14ac:dyDescent="0.3">
      <c r="A2290" s="12"/>
      <c r="B2290" s="12"/>
      <c r="C2290" s="14" t="s">
        <v>14</v>
      </c>
      <c r="D2290" s="18">
        <v>1199.98</v>
      </c>
    </row>
    <row r="2291" spans="1:4" x14ac:dyDescent="0.3">
      <c r="A2291" s="12"/>
      <c r="B2291" s="12"/>
      <c r="C2291" s="14" t="s">
        <v>26</v>
      </c>
      <c r="D2291" s="18">
        <v>5999.98</v>
      </c>
    </row>
    <row r="2292" spans="1:4" x14ac:dyDescent="0.3">
      <c r="A2292" s="12"/>
      <c r="B2292" s="10" t="s">
        <v>1917</v>
      </c>
      <c r="C2292" s="11"/>
      <c r="D2292" s="17">
        <v>7739.94</v>
      </c>
    </row>
    <row r="2293" spans="1:4" x14ac:dyDescent="0.3">
      <c r="A2293" s="10" t="s">
        <v>777</v>
      </c>
      <c r="B2293" s="11"/>
      <c r="C2293" s="11"/>
      <c r="D2293" s="17">
        <v>7739.94</v>
      </c>
    </row>
    <row r="2294" spans="1:4" x14ac:dyDescent="0.3">
      <c r="A2294" s="10">
        <v>482</v>
      </c>
      <c r="B2294" s="10" t="s">
        <v>18</v>
      </c>
      <c r="C2294" s="10" t="s">
        <v>31</v>
      </c>
      <c r="D2294" s="17">
        <v>269.99</v>
      </c>
    </row>
    <row r="2295" spans="1:4" x14ac:dyDescent="0.3">
      <c r="A2295" s="12"/>
      <c r="B2295" s="12"/>
      <c r="C2295" s="14" t="s">
        <v>28</v>
      </c>
      <c r="D2295" s="18">
        <v>269.99</v>
      </c>
    </row>
    <row r="2296" spans="1:4" x14ac:dyDescent="0.3">
      <c r="A2296" s="12"/>
      <c r="B2296" s="10" t="s">
        <v>1916</v>
      </c>
      <c r="C2296" s="11"/>
      <c r="D2296" s="17">
        <v>539.98</v>
      </c>
    </row>
    <row r="2297" spans="1:4" x14ac:dyDescent="0.3">
      <c r="A2297" s="10" t="s">
        <v>778</v>
      </c>
      <c r="B2297" s="11"/>
      <c r="C2297" s="11"/>
      <c r="D2297" s="17">
        <v>539.98</v>
      </c>
    </row>
    <row r="2298" spans="1:4" x14ac:dyDescent="0.3">
      <c r="A2298" s="10">
        <v>483</v>
      </c>
      <c r="B2298" s="10" t="s">
        <v>11</v>
      </c>
      <c r="C2298" s="10" t="s">
        <v>23</v>
      </c>
      <c r="D2298" s="17">
        <v>429</v>
      </c>
    </row>
    <row r="2299" spans="1:4" x14ac:dyDescent="0.3">
      <c r="A2299" s="12"/>
      <c r="B2299" s="10" t="s">
        <v>1915</v>
      </c>
      <c r="C2299" s="11"/>
      <c r="D2299" s="17">
        <v>429</v>
      </c>
    </row>
    <row r="2300" spans="1:4" x14ac:dyDescent="0.3">
      <c r="A2300" s="10" t="s">
        <v>779</v>
      </c>
      <c r="B2300" s="11"/>
      <c r="C2300" s="11"/>
      <c r="D2300" s="17">
        <v>429</v>
      </c>
    </row>
    <row r="2301" spans="1:4" x14ac:dyDescent="0.3">
      <c r="A2301" s="10">
        <v>484</v>
      </c>
      <c r="B2301" s="10" t="s">
        <v>18</v>
      </c>
      <c r="C2301" s="10" t="s">
        <v>25</v>
      </c>
      <c r="D2301" s="17">
        <v>549.99</v>
      </c>
    </row>
    <row r="2302" spans="1:4" x14ac:dyDescent="0.3">
      <c r="A2302" s="12"/>
      <c r="B2302" s="12"/>
      <c r="C2302" s="14" t="s">
        <v>32</v>
      </c>
      <c r="D2302" s="18">
        <v>469.99</v>
      </c>
    </row>
    <row r="2303" spans="1:4" x14ac:dyDescent="0.3">
      <c r="A2303" s="12"/>
      <c r="B2303" s="12"/>
      <c r="C2303" s="14" t="s">
        <v>26</v>
      </c>
      <c r="D2303" s="18">
        <v>5999.98</v>
      </c>
    </row>
    <row r="2304" spans="1:4" x14ac:dyDescent="0.3">
      <c r="A2304" s="12"/>
      <c r="B2304" s="12"/>
      <c r="C2304" s="14" t="s">
        <v>12</v>
      </c>
      <c r="D2304" s="18">
        <v>3599.98</v>
      </c>
    </row>
    <row r="2305" spans="1:4" x14ac:dyDescent="0.3">
      <c r="A2305" s="12"/>
      <c r="B2305" s="10" t="s">
        <v>1916</v>
      </c>
      <c r="C2305" s="11"/>
      <c r="D2305" s="17">
        <v>10619.939999999999</v>
      </c>
    </row>
    <row r="2306" spans="1:4" x14ac:dyDescent="0.3">
      <c r="A2306" s="10" t="s">
        <v>780</v>
      </c>
      <c r="B2306" s="11"/>
      <c r="C2306" s="11"/>
      <c r="D2306" s="17">
        <v>10619.939999999999</v>
      </c>
    </row>
    <row r="2307" spans="1:4" x14ac:dyDescent="0.3">
      <c r="A2307" s="10">
        <v>485</v>
      </c>
      <c r="B2307" s="10" t="s">
        <v>18</v>
      </c>
      <c r="C2307" s="10" t="s">
        <v>31</v>
      </c>
      <c r="D2307" s="17">
        <v>269.99</v>
      </c>
    </row>
    <row r="2308" spans="1:4" x14ac:dyDescent="0.3">
      <c r="A2308" s="12"/>
      <c r="B2308" s="12"/>
      <c r="C2308" s="14" t="s">
        <v>14</v>
      </c>
      <c r="D2308" s="18">
        <v>1199.98</v>
      </c>
    </row>
    <row r="2309" spans="1:4" x14ac:dyDescent="0.3">
      <c r="A2309" s="12"/>
      <c r="B2309" s="10" t="s">
        <v>1916</v>
      </c>
      <c r="C2309" s="11"/>
      <c r="D2309" s="17">
        <v>1469.97</v>
      </c>
    </row>
    <row r="2310" spans="1:4" x14ac:dyDescent="0.3">
      <c r="A2310" s="10" t="s">
        <v>781</v>
      </c>
      <c r="B2310" s="11"/>
      <c r="C2310" s="11"/>
      <c r="D2310" s="17">
        <v>1469.97</v>
      </c>
    </row>
    <row r="2311" spans="1:4" x14ac:dyDescent="0.3">
      <c r="A2311" s="10">
        <v>486</v>
      </c>
      <c r="B2311" s="10" t="s">
        <v>18</v>
      </c>
      <c r="C2311" s="10" t="s">
        <v>33</v>
      </c>
      <c r="D2311" s="17">
        <v>599.98</v>
      </c>
    </row>
    <row r="2312" spans="1:4" x14ac:dyDescent="0.3">
      <c r="A2312" s="12"/>
      <c r="B2312" s="12"/>
      <c r="C2312" s="14" t="s">
        <v>26</v>
      </c>
      <c r="D2312" s="18">
        <v>2999.99</v>
      </c>
    </row>
    <row r="2313" spans="1:4" x14ac:dyDescent="0.3">
      <c r="A2313" s="12"/>
      <c r="B2313" s="10" t="s">
        <v>1916</v>
      </c>
      <c r="C2313" s="11"/>
      <c r="D2313" s="17">
        <v>3599.97</v>
      </c>
    </row>
    <row r="2314" spans="1:4" x14ac:dyDescent="0.3">
      <c r="A2314" s="10" t="s">
        <v>782</v>
      </c>
      <c r="B2314" s="11"/>
      <c r="C2314" s="11"/>
      <c r="D2314" s="17">
        <v>3599.97</v>
      </c>
    </row>
    <row r="2315" spans="1:4" x14ac:dyDescent="0.3">
      <c r="A2315" s="10">
        <v>487</v>
      </c>
      <c r="B2315" s="10" t="s">
        <v>18</v>
      </c>
      <c r="C2315" s="10" t="s">
        <v>32</v>
      </c>
      <c r="D2315" s="17">
        <v>469.99</v>
      </c>
    </row>
    <row r="2316" spans="1:4" x14ac:dyDescent="0.3">
      <c r="A2316" s="12"/>
      <c r="B2316" s="10" t="s">
        <v>1916</v>
      </c>
      <c r="C2316" s="11"/>
      <c r="D2316" s="17">
        <v>469.99</v>
      </c>
    </row>
    <row r="2317" spans="1:4" x14ac:dyDescent="0.3">
      <c r="A2317" s="10" t="s">
        <v>783</v>
      </c>
      <c r="B2317" s="11"/>
      <c r="C2317" s="11"/>
      <c r="D2317" s="17">
        <v>469.99</v>
      </c>
    </row>
    <row r="2318" spans="1:4" x14ac:dyDescent="0.3">
      <c r="A2318" s="10">
        <v>488</v>
      </c>
      <c r="B2318" s="10" t="s">
        <v>18</v>
      </c>
      <c r="C2318" s="10" t="s">
        <v>31</v>
      </c>
      <c r="D2318" s="17">
        <v>539.98</v>
      </c>
    </row>
    <row r="2319" spans="1:4" x14ac:dyDescent="0.3">
      <c r="A2319" s="12"/>
      <c r="B2319" s="12"/>
      <c r="C2319" s="14" t="s">
        <v>28</v>
      </c>
      <c r="D2319" s="18">
        <v>269.99</v>
      </c>
    </row>
    <row r="2320" spans="1:4" x14ac:dyDescent="0.3">
      <c r="A2320" s="12"/>
      <c r="B2320" s="12"/>
      <c r="C2320" s="14" t="s">
        <v>33</v>
      </c>
      <c r="D2320" s="18">
        <v>599.98</v>
      </c>
    </row>
    <row r="2321" spans="1:4" x14ac:dyDescent="0.3">
      <c r="A2321" s="12"/>
      <c r="B2321" s="10" t="s">
        <v>1916</v>
      </c>
      <c r="C2321" s="11"/>
      <c r="D2321" s="17">
        <v>1409.95</v>
      </c>
    </row>
    <row r="2322" spans="1:4" x14ac:dyDescent="0.3">
      <c r="A2322" s="10" t="s">
        <v>784</v>
      </c>
      <c r="B2322" s="11"/>
      <c r="C2322" s="11"/>
      <c r="D2322" s="17">
        <v>1409.95</v>
      </c>
    </row>
    <row r="2323" spans="1:4" x14ac:dyDescent="0.3">
      <c r="A2323" s="10">
        <v>489</v>
      </c>
      <c r="B2323" s="10" t="s">
        <v>37</v>
      </c>
      <c r="C2323" s="10" t="s">
        <v>12</v>
      </c>
      <c r="D2323" s="17">
        <v>3599.98</v>
      </c>
    </row>
    <row r="2324" spans="1:4" x14ac:dyDescent="0.3">
      <c r="A2324" s="12"/>
      <c r="B2324" s="10" t="s">
        <v>1917</v>
      </c>
      <c r="C2324" s="11"/>
      <c r="D2324" s="17">
        <v>3599.98</v>
      </c>
    </row>
    <row r="2325" spans="1:4" x14ac:dyDescent="0.3">
      <c r="A2325" s="10" t="s">
        <v>785</v>
      </c>
      <c r="B2325" s="11"/>
      <c r="C2325" s="11"/>
      <c r="D2325" s="17">
        <v>3599.98</v>
      </c>
    </row>
    <row r="2326" spans="1:4" x14ac:dyDescent="0.3">
      <c r="A2326" s="10">
        <v>490</v>
      </c>
      <c r="B2326" s="10" t="s">
        <v>18</v>
      </c>
      <c r="C2326" s="10" t="s">
        <v>31</v>
      </c>
      <c r="D2326" s="17">
        <v>539.98</v>
      </c>
    </row>
    <row r="2327" spans="1:4" x14ac:dyDescent="0.3">
      <c r="A2327" s="12"/>
      <c r="B2327" s="12"/>
      <c r="C2327" s="14" t="s">
        <v>28</v>
      </c>
      <c r="D2327" s="18">
        <v>269.99</v>
      </c>
    </row>
    <row r="2328" spans="1:4" x14ac:dyDescent="0.3">
      <c r="A2328" s="12"/>
      <c r="B2328" s="12"/>
      <c r="C2328" s="14" t="s">
        <v>33</v>
      </c>
      <c r="D2328" s="18">
        <v>299.99</v>
      </c>
    </row>
    <row r="2329" spans="1:4" x14ac:dyDescent="0.3">
      <c r="A2329" s="12"/>
      <c r="B2329" s="12"/>
      <c r="C2329" s="14" t="s">
        <v>25</v>
      </c>
      <c r="D2329" s="18">
        <v>549.99</v>
      </c>
    </row>
    <row r="2330" spans="1:4" x14ac:dyDescent="0.3">
      <c r="A2330" s="12"/>
      <c r="B2330" s="10" t="s">
        <v>1916</v>
      </c>
      <c r="C2330" s="11"/>
      <c r="D2330" s="17">
        <v>1659.95</v>
      </c>
    </row>
    <row r="2331" spans="1:4" x14ac:dyDescent="0.3">
      <c r="A2331" s="10" t="s">
        <v>786</v>
      </c>
      <c r="B2331" s="11"/>
      <c r="C2331" s="11"/>
      <c r="D2331" s="17">
        <v>1659.95</v>
      </c>
    </row>
    <row r="2332" spans="1:4" x14ac:dyDescent="0.3">
      <c r="A2332" s="10">
        <v>491</v>
      </c>
      <c r="B2332" s="10" t="s">
        <v>11</v>
      </c>
      <c r="C2332" s="10" t="s">
        <v>31</v>
      </c>
      <c r="D2332" s="17">
        <v>539.98</v>
      </c>
    </row>
    <row r="2333" spans="1:4" x14ac:dyDescent="0.3">
      <c r="A2333" s="12"/>
      <c r="B2333" s="12"/>
      <c r="C2333" s="14" t="s">
        <v>27</v>
      </c>
      <c r="D2333" s="18">
        <v>1059.98</v>
      </c>
    </row>
    <row r="2334" spans="1:4" x14ac:dyDescent="0.3">
      <c r="A2334" s="12"/>
      <c r="B2334" s="12"/>
      <c r="C2334" s="14" t="s">
        <v>26</v>
      </c>
      <c r="D2334" s="18">
        <v>5999.98</v>
      </c>
    </row>
    <row r="2335" spans="1:4" x14ac:dyDescent="0.3">
      <c r="A2335" s="12"/>
      <c r="B2335" s="10" t="s">
        <v>1915</v>
      </c>
      <c r="C2335" s="11"/>
      <c r="D2335" s="17">
        <v>7599.94</v>
      </c>
    </row>
    <row r="2336" spans="1:4" x14ac:dyDescent="0.3">
      <c r="A2336" s="10" t="s">
        <v>787</v>
      </c>
      <c r="B2336" s="11"/>
      <c r="C2336" s="11"/>
      <c r="D2336" s="17">
        <v>7599.94</v>
      </c>
    </row>
    <row r="2337" spans="1:4" x14ac:dyDescent="0.3">
      <c r="A2337" s="10">
        <v>492</v>
      </c>
      <c r="B2337" s="10" t="s">
        <v>11</v>
      </c>
      <c r="C2337" s="10" t="s">
        <v>28</v>
      </c>
      <c r="D2337" s="17">
        <v>539.98</v>
      </c>
    </row>
    <row r="2338" spans="1:4" x14ac:dyDescent="0.3">
      <c r="A2338" s="12"/>
      <c r="B2338" s="12"/>
      <c r="C2338" s="14" t="s">
        <v>14</v>
      </c>
      <c r="D2338" s="18">
        <v>599.99</v>
      </c>
    </row>
    <row r="2339" spans="1:4" x14ac:dyDescent="0.3">
      <c r="A2339" s="12"/>
      <c r="B2339" s="12"/>
      <c r="C2339" s="14" t="s">
        <v>32</v>
      </c>
      <c r="D2339" s="18">
        <v>469.99</v>
      </c>
    </row>
    <row r="2340" spans="1:4" x14ac:dyDescent="0.3">
      <c r="A2340" s="12"/>
      <c r="B2340" s="10" t="s">
        <v>1915</v>
      </c>
      <c r="C2340" s="11"/>
      <c r="D2340" s="17">
        <v>1609.96</v>
      </c>
    </row>
    <row r="2341" spans="1:4" x14ac:dyDescent="0.3">
      <c r="A2341" s="10" t="s">
        <v>788</v>
      </c>
      <c r="B2341" s="11"/>
      <c r="C2341" s="11"/>
      <c r="D2341" s="17">
        <v>1609.96</v>
      </c>
    </row>
    <row r="2342" spans="1:4" x14ac:dyDescent="0.3">
      <c r="A2342" s="10">
        <v>493</v>
      </c>
      <c r="B2342" s="10" t="s">
        <v>11</v>
      </c>
      <c r="C2342" s="10" t="s">
        <v>27</v>
      </c>
      <c r="D2342" s="17">
        <v>529.99</v>
      </c>
    </row>
    <row r="2343" spans="1:4" x14ac:dyDescent="0.3">
      <c r="A2343" s="12"/>
      <c r="B2343" s="12"/>
      <c r="C2343" s="14" t="s">
        <v>14</v>
      </c>
      <c r="D2343" s="18">
        <v>599.99</v>
      </c>
    </row>
    <row r="2344" spans="1:4" x14ac:dyDescent="0.3">
      <c r="A2344" s="12"/>
      <c r="B2344" s="12"/>
      <c r="C2344" s="14" t="s">
        <v>24</v>
      </c>
      <c r="D2344" s="18">
        <v>898</v>
      </c>
    </row>
    <row r="2345" spans="1:4" x14ac:dyDescent="0.3">
      <c r="A2345" s="12"/>
      <c r="B2345" s="10" t="s">
        <v>1915</v>
      </c>
      <c r="C2345" s="11"/>
      <c r="D2345" s="17">
        <v>2027.98</v>
      </c>
    </row>
    <row r="2346" spans="1:4" x14ac:dyDescent="0.3">
      <c r="A2346" s="10" t="s">
        <v>789</v>
      </c>
      <c r="B2346" s="11"/>
      <c r="C2346" s="11"/>
      <c r="D2346" s="17">
        <v>2027.98</v>
      </c>
    </row>
    <row r="2347" spans="1:4" x14ac:dyDescent="0.3">
      <c r="A2347" s="10">
        <v>494</v>
      </c>
      <c r="B2347" s="10" t="s">
        <v>18</v>
      </c>
      <c r="C2347" s="10" t="s">
        <v>33</v>
      </c>
      <c r="D2347" s="17">
        <v>299.99</v>
      </c>
    </row>
    <row r="2348" spans="1:4" x14ac:dyDescent="0.3">
      <c r="A2348" s="12"/>
      <c r="B2348" s="10" t="s">
        <v>1916</v>
      </c>
      <c r="C2348" s="11"/>
      <c r="D2348" s="17">
        <v>299.99</v>
      </c>
    </row>
    <row r="2349" spans="1:4" x14ac:dyDescent="0.3">
      <c r="A2349" s="10" t="s">
        <v>790</v>
      </c>
      <c r="B2349" s="11"/>
      <c r="C2349" s="11"/>
      <c r="D2349" s="17">
        <v>299.99</v>
      </c>
    </row>
    <row r="2350" spans="1:4" x14ac:dyDescent="0.3">
      <c r="A2350" s="10">
        <v>495</v>
      </c>
      <c r="B2350" s="10" t="s">
        <v>11</v>
      </c>
      <c r="C2350" s="10" t="s">
        <v>28</v>
      </c>
      <c r="D2350" s="17">
        <v>269.99</v>
      </c>
    </row>
    <row r="2351" spans="1:4" x14ac:dyDescent="0.3">
      <c r="A2351" s="12"/>
      <c r="B2351" s="12"/>
      <c r="C2351" s="14" t="s">
        <v>26</v>
      </c>
      <c r="D2351" s="18">
        <v>2999.99</v>
      </c>
    </row>
    <row r="2352" spans="1:4" x14ac:dyDescent="0.3">
      <c r="A2352" s="12"/>
      <c r="B2352" s="10" t="s">
        <v>1915</v>
      </c>
      <c r="C2352" s="11"/>
      <c r="D2352" s="17">
        <v>3269.9799999999996</v>
      </c>
    </row>
    <row r="2353" spans="1:4" x14ac:dyDescent="0.3">
      <c r="A2353" s="10" t="s">
        <v>791</v>
      </c>
      <c r="B2353" s="11"/>
      <c r="C2353" s="11"/>
      <c r="D2353" s="17">
        <v>3269.9799999999996</v>
      </c>
    </row>
    <row r="2354" spans="1:4" x14ac:dyDescent="0.3">
      <c r="A2354" s="10">
        <v>496</v>
      </c>
      <c r="B2354" s="10" t="s">
        <v>18</v>
      </c>
      <c r="C2354" s="10" t="s">
        <v>31</v>
      </c>
      <c r="D2354" s="17">
        <v>809.97</v>
      </c>
    </row>
    <row r="2355" spans="1:4" x14ac:dyDescent="0.3">
      <c r="A2355" s="12"/>
      <c r="B2355" s="12"/>
      <c r="C2355" s="14" t="s">
        <v>33</v>
      </c>
      <c r="D2355" s="18">
        <v>299.99</v>
      </c>
    </row>
    <row r="2356" spans="1:4" x14ac:dyDescent="0.3">
      <c r="A2356" s="12"/>
      <c r="B2356" s="10" t="s">
        <v>1916</v>
      </c>
      <c r="C2356" s="11"/>
      <c r="D2356" s="17">
        <v>1109.96</v>
      </c>
    </row>
    <row r="2357" spans="1:4" x14ac:dyDescent="0.3">
      <c r="A2357" s="10" t="s">
        <v>792</v>
      </c>
      <c r="B2357" s="11"/>
      <c r="C2357" s="11"/>
      <c r="D2357" s="17">
        <v>1109.96</v>
      </c>
    </row>
    <row r="2358" spans="1:4" x14ac:dyDescent="0.3">
      <c r="A2358" s="10">
        <v>497</v>
      </c>
      <c r="B2358" s="10" t="s">
        <v>18</v>
      </c>
      <c r="C2358" s="10" t="s">
        <v>35</v>
      </c>
      <c r="D2358" s="17">
        <v>999.98</v>
      </c>
    </row>
    <row r="2359" spans="1:4" x14ac:dyDescent="0.3">
      <c r="A2359" s="12"/>
      <c r="B2359" s="10" t="s">
        <v>1916</v>
      </c>
      <c r="C2359" s="11"/>
      <c r="D2359" s="17">
        <v>999.98</v>
      </c>
    </row>
    <row r="2360" spans="1:4" x14ac:dyDescent="0.3">
      <c r="A2360" s="10" t="s">
        <v>793</v>
      </c>
      <c r="B2360" s="11"/>
      <c r="C2360" s="11"/>
      <c r="D2360" s="17">
        <v>999.98</v>
      </c>
    </row>
    <row r="2361" spans="1:4" x14ac:dyDescent="0.3">
      <c r="A2361" s="10">
        <v>498</v>
      </c>
      <c r="B2361" s="10" t="s">
        <v>18</v>
      </c>
      <c r="C2361" s="10" t="s">
        <v>31</v>
      </c>
      <c r="D2361" s="17">
        <v>269.99</v>
      </c>
    </row>
    <row r="2362" spans="1:4" x14ac:dyDescent="0.3">
      <c r="A2362" s="12"/>
      <c r="B2362" s="12"/>
      <c r="C2362" s="14" t="s">
        <v>25</v>
      </c>
      <c r="D2362" s="18">
        <v>549.99</v>
      </c>
    </row>
    <row r="2363" spans="1:4" x14ac:dyDescent="0.3">
      <c r="A2363" s="12"/>
      <c r="B2363" s="12"/>
      <c r="C2363" s="14" t="s">
        <v>13</v>
      </c>
      <c r="D2363" s="18">
        <v>1549</v>
      </c>
    </row>
    <row r="2364" spans="1:4" x14ac:dyDescent="0.3">
      <c r="A2364" s="12"/>
      <c r="B2364" s="10" t="s">
        <v>1916</v>
      </c>
      <c r="C2364" s="11"/>
      <c r="D2364" s="17">
        <v>2368.98</v>
      </c>
    </row>
    <row r="2365" spans="1:4" x14ac:dyDescent="0.3">
      <c r="A2365" s="10" t="s">
        <v>794</v>
      </c>
      <c r="B2365" s="11"/>
      <c r="C2365" s="11"/>
      <c r="D2365" s="17">
        <v>2368.98</v>
      </c>
    </row>
    <row r="2366" spans="1:4" x14ac:dyDescent="0.3">
      <c r="A2366" s="10">
        <v>499</v>
      </c>
      <c r="B2366" s="10" t="s">
        <v>11</v>
      </c>
      <c r="C2366" s="10" t="s">
        <v>28</v>
      </c>
      <c r="D2366" s="17">
        <v>539.98</v>
      </c>
    </row>
    <row r="2367" spans="1:4" x14ac:dyDescent="0.3">
      <c r="A2367" s="12"/>
      <c r="B2367" s="12"/>
      <c r="C2367" s="14" t="s">
        <v>27</v>
      </c>
      <c r="D2367" s="18">
        <v>529.99</v>
      </c>
    </row>
    <row r="2368" spans="1:4" x14ac:dyDescent="0.3">
      <c r="A2368" s="12"/>
      <c r="B2368" s="12"/>
      <c r="C2368" s="14" t="s">
        <v>10</v>
      </c>
      <c r="D2368" s="18">
        <v>1199.98</v>
      </c>
    </row>
    <row r="2369" spans="1:4" x14ac:dyDescent="0.3">
      <c r="A2369" s="12"/>
      <c r="B2369" s="12"/>
      <c r="C2369" s="14" t="s">
        <v>30</v>
      </c>
      <c r="D2369" s="18">
        <v>1680.99</v>
      </c>
    </row>
    <row r="2370" spans="1:4" x14ac:dyDescent="0.3">
      <c r="A2370" s="12"/>
      <c r="B2370" s="10" t="s">
        <v>1915</v>
      </c>
      <c r="C2370" s="11"/>
      <c r="D2370" s="17">
        <v>3950.9399999999996</v>
      </c>
    </row>
    <row r="2371" spans="1:4" x14ac:dyDescent="0.3">
      <c r="A2371" s="10" t="s">
        <v>795</v>
      </c>
      <c r="B2371" s="11"/>
      <c r="C2371" s="11"/>
      <c r="D2371" s="17">
        <v>3950.9399999999996</v>
      </c>
    </row>
    <row r="2372" spans="1:4" x14ac:dyDescent="0.3">
      <c r="A2372" s="10">
        <v>500</v>
      </c>
      <c r="B2372" s="10" t="s">
        <v>18</v>
      </c>
      <c r="C2372" s="10" t="s">
        <v>28</v>
      </c>
      <c r="D2372" s="17">
        <v>269.99</v>
      </c>
    </row>
    <row r="2373" spans="1:4" x14ac:dyDescent="0.3">
      <c r="A2373" s="12"/>
      <c r="B2373" s="12"/>
      <c r="C2373" s="14" t="s">
        <v>25</v>
      </c>
      <c r="D2373" s="18">
        <v>1099.98</v>
      </c>
    </row>
    <row r="2374" spans="1:4" x14ac:dyDescent="0.3">
      <c r="A2374" s="12"/>
      <c r="B2374" s="10" t="s">
        <v>1916</v>
      </c>
      <c r="C2374" s="11"/>
      <c r="D2374" s="17">
        <v>1369.97</v>
      </c>
    </row>
    <row r="2375" spans="1:4" x14ac:dyDescent="0.3">
      <c r="A2375" s="10" t="s">
        <v>796</v>
      </c>
      <c r="B2375" s="11"/>
      <c r="C2375" s="11"/>
      <c r="D2375" s="17">
        <v>1369.97</v>
      </c>
    </row>
    <row r="2376" spans="1:4" x14ac:dyDescent="0.3">
      <c r="A2376" s="10">
        <v>501</v>
      </c>
      <c r="B2376" s="10" t="s">
        <v>18</v>
      </c>
      <c r="C2376" s="10" t="s">
        <v>28</v>
      </c>
      <c r="D2376" s="17">
        <v>269.99</v>
      </c>
    </row>
    <row r="2377" spans="1:4" x14ac:dyDescent="0.3">
      <c r="A2377" s="12"/>
      <c r="B2377" s="12"/>
      <c r="C2377" s="14" t="s">
        <v>33</v>
      </c>
      <c r="D2377" s="18">
        <v>599.98</v>
      </c>
    </row>
    <row r="2378" spans="1:4" x14ac:dyDescent="0.3">
      <c r="A2378" s="12"/>
      <c r="B2378" s="12"/>
      <c r="C2378" s="14" t="s">
        <v>36</v>
      </c>
      <c r="D2378" s="18">
        <v>898</v>
      </c>
    </row>
    <row r="2379" spans="1:4" x14ac:dyDescent="0.3">
      <c r="A2379" s="12"/>
      <c r="B2379" s="12"/>
      <c r="C2379" s="14" t="s">
        <v>12</v>
      </c>
      <c r="D2379" s="18">
        <v>1799.99</v>
      </c>
    </row>
    <row r="2380" spans="1:4" x14ac:dyDescent="0.3">
      <c r="A2380" s="12"/>
      <c r="B2380" s="10" t="s">
        <v>1916</v>
      </c>
      <c r="C2380" s="11"/>
      <c r="D2380" s="17">
        <v>3567.96</v>
      </c>
    </row>
    <row r="2381" spans="1:4" x14ac:dyDescent="0.3">
      <c r="A2381" s="10" t="s">
        <v>797</v>
      </c>
      <c r="B2381" s="11"/>
      <c r="C2381" s="11"/>
      <c r="D2381" s="17">
        <v>3567.96</v>
      </c>
    </row>
    <row r="2382" spans="1:4" x14ac:dyDescent="0.3">
      <c r="A2382" s="10">
        <v>502</v>
      </c>
      <c r="B2382" s="10" t="s">
        <v>37</v>
      </c>
      <c r="C2382" s="10" t="s">
        <v>31</v>
      </c>
      <c r="D2382" s="17">
        <v>269.99</v>
      </c>
    </row>
    <row r="2383" spans="1:4" x14ac:dyDescent="0.3">
      <c r="A2383" s="12"/>
      <c r="B2383" s="10" t="s">
        <v>1917</v>
      </c>
      <c r="C2383" s="11"/>
      <c r="D2383" s="17">
        <v>269.99</v>
      </c>
    </row>
    <row r="2384" spans="1:4" x14ac:dyDescent="0.3">
      <c r="A2384" s="10" t="s">
        <v>798</v>
      </c>
      <c r="B2384" s="11"/>
      <c r="C2384" s="11"/>
      <c r="D2384" s="17">
        <v>269.99</v>
      </c>
    </row>
    <row r="2385" spans="1:4" x14ac:dyDescent="0.3">
      <c r="A2385" s="10">
        <v>503</v>
      </c>
      <c r="B2385" s="10" t="s">
        <v>18</v>
      </c>
      <c r="C2385" s="10" t="s">
        <v>31</v>
      </c>
      <c r="D2385" s="17">
        <v>539.98</v>
      </c>
    </row>
    <row r="2386" spans="1:4" x14ac:dyDescent="0.3">
      <c r="A2386" s="12"/>
      <c r="B2386" s="12"/>
      <c r="C2386" s="14" t="s">
        <v>13</v>
      </c>
      <c r="D2386" s="18">
        <v>1549</v>
      </c>
    </row>
    <row r="2387" spans="1:4" x14ac:dyDescent="0.3">
      <c r="A2387" s="12"/>
      <c r="B2387" s="10" t="s">
        <v>1916</v>
      </c>
      <c r="C2387" s="11"/>
      <c r="D2387" s="17">
        <v>2088.98</v>
      </c>
    </row>
    <row r="2388" spans="1:4" x14ac:dyDescent="0.3">
      <c r="A2388" s="10" t="s">
        <v>799</v>
      </c>
      <c r="B2388" s="11"/>
      <c r="C2388" s="11"/>
      <c r="D2388" s="17">
        <v>2088.98</v>
      </c>
    </row>
    <row r="2389" spans="1:4" x14ac:dyDescent="0.3">
      <c r="A2389" s="10">
        <v>504</v>
      </c>
      <c r="B2389" s="10" t="s">
        <v>11</v>
      </c>
      <c r="C2389" s="10" t="s">
        <v>25</v>
      </c>
      <c r="D2389" s="17">
        <v>1099.98</v>
      </c>
    </row>
    <row r="2390" spans="1:4" x14ac:dyDescent="0.3">
      <c r="A2390" s="12"/>
      <c r="B2390" s="12"/>
      <c r="C2390" s="14" t="s">
        <v>22</v>
      </c>
      <c r="D2390" s="18">
        <v>1499.98</v>
      </c>
    </row>
    <row r="2391" spans="1:4" x14ac:dyDescent="0.3">
      <c r="A2391" s="12"/>
      <c r="B2391" s="10" t="s">
        <v>1915</v>
      </c>
      <c r="C2391" s="11"/>
      <c r="D2391" s="17">
        <v>2599.96</v>
      </c>
    </row>
    <row r="2392" spans="1:4" x14ac:dyDescent="0.3">
      <c r="A2392" s="10" t="s">
        <v>800</v>
      </c>
      <c r="B2392" s="11"/>
      <c r="C2392" s="11"/>
      <c r="D2392" s="17">
        <v>2599.96</v>
      </c>
    </row>
    <row r="2393" spans="1:4" x14ac:dyDescent="0.3">
      <c r="A2393" s="10">
        <v>505</v>
      </c>
      <c r="B2393" s="10" t="s">
        <v>18</v>
      </c>
      <c r="C2393" s="10" t="s">
        <v>14</v>
      </c>
      <c r="D2393" s="17">
        <v>599.99</v>
      </c>
    </row>
    <row r="2394" spans="1:4" x14ac:dyDescent="0.3">
      <c r="A2394" s="12"/>
      <c r="B2394" s="10" t="s">
        <v>1916</v>
      </c>
      <c r="C2394" s="11"/>
      <c r="D2394" s="17">
        <v>599.99</v>
      </c>
    </row>
    <row r="2395" spans="1:4" x14ac:dyDescent="0.3">
      <c r="A2395" s="10" t="s">
        <v>801</v>
      </c>
      <c r="B2395" s="11"/>
      <c r="C2395" s="11"/>
      <c r="D2395" s="17">
        <v>599.99</v>
      </c>
    </row>
    <row r="2396" spans="1:4" x14ac:dyDescent="0.3">
      <c r="A2396" s="10">
        <v>506</v>
      </c>
      <c r="B2396" s="10" t="s">
        <v>18</v>
      </c>
      <c r="C2396" s="10" t="s">
        <v>35</v>
      </c>
      <c r="D2396" s="17">
        <v>499.99</v>
      </c>
    </row>
    <row r="2397" spans="1:4" x14ac:dyDescent="0.3">
      <c r="A2397" s="12"/>
      <c r="B2397" s="12"/>
      <c r="C2397" s="14" t="s">
        <v>29</v>
      </c>
      <c r="D2397" s="18">
        <v>3999.99</v>
      </c>
    </row>
    <row r="2398" spans="1:4" x14ac:dyDescent="0.3">
      <c r="A2398" s="12"/>
      <c r="B2398" s="10" t="s">
        <v>1916</v>
      </c>
      <c r="C2398" s="11"/>
      <c r="D2398" s="17">
        <v>4499.9799999999996</v>
      </c>
    </row>
    <row r="2399" spans="1:4" x14ac:dyDescent="0.3">
      <c r="A2399" s="10" t="s">
        <v>802</v>
      </c>
      <c r="B2399" s="11"/>
      <c r="C2399" s="11"/>
      <c r="D2399" s="17">
        <v>4499.9799999999996</v>
      </c>
    </row>
    <row r="2400" spans="1:4" x14ac:dyDescent="0.3">
      <c r="A2400" s="10">
        <v>507</v>
      </c>
      <c r="B2400" s="10" t="s">
        <v>11</v>
      </c>
      <c r="C2400" s="10" t="s">
        <v>31</v>
      </c>
      <c r="D2400" s="17">
        <v>539.98</v>
      </c>
    </row>
    <row r="2401" spans="1:4" x14ac:dyDescent="0.3">
      <c r="A2401" s="12"/>
      <c r="B2401" s="12"/>
      <c r="C2401" s="14" t="s">
        <v>10</v>
      </c>
      <c r="D2401" s="18">
        <v>1199.98</v>
      </c>
    </row>
    <row r="2402" spans="1:4" x14ac:dyDescent="0.3">
      <c r="A2402" s="12"/>
      <c r="B2402" s="12"/>
      <c r="C2402" s="14" t="s">
        <v>30</v>
      </c>
      <c r="D2402" s="18">
        <v>3361.98</v>
      </c>
    </row>
    <row r="2403" spans="1:4" x14ac:dyDescent="0.3">
      <c r="A2403" s="12"/>
      <c r="B2403" s="10" t="s">
        <v>1915</v>
      </c>
      <c r="C2403" s="11"/>
      <c r="D2403" s="17">
        <v>5101.9400000000005</v>
      </c>
    </row>
    <row r="2404" spans="1:4" x14ac:dyDescent="0.3">
      <c r="A2404" s="10" t="s">
        <v>803</v>
      </c>
      <c r="B2404" s="11"/>
      <c r="C2404" s="11"/>
      <c r="D2404" s="17">
        <v>5101.9400000000005</v>
      </c>
    </row>
    <row r="2405" spans="1:4" x14ac:dyDescent="0.3">
      <c r="A2405" s="10">
        <v>508</v>
      </c>
      <c r="B2405" s="10" t="s">
        <v>18</v>
      </c>
      <c r="C2405" s="10" t="s">
        <v>35</v>
      </c>
      <c r="D2405" s="17">
        <v>499.99</v>
      </c>
    </row>
    <row r="2406" spans="1:4" x14ac:dyDescent="0.3">
      <c r="A2406" s="12"/>
      <c r="B2406" s="12"/>
      <c r="C2406" s="14" t="s">
        <v>22</v>
      </c>
      <c r="D2406" s="18">
        <v>1499.98</v>
      </c>
    </row>
    <row r="2407" spans="1:4" x14ac:dyDescent="0.3">
      <c r="A2407" s="12"/>
      <c r="B2407" s="12"/>
      <c r="C2407" s="14" t="s">
        <v>13</v>
      </c>
      <c r="D2407" s="18">
        <v>3098</v>
      </c>
    </row>
    <row r="2408" spans="1:4" x14ac:dyDescent="0.3">
      <c r="A2408" s="12"/>
      <c r="B2408" s="12"/>
      <c r="C2408" s="14" t="s">
        <v>12</v>
      </c>
      <c r="D2408" s="18">
        <v>1799.99</v>
      </c>
    </row>
    <row r="2409" spans="1:4" x14ac:dyDescent="0.3">
      <c r="A2409" s="12"/>
      <c r="B2409" s="10" t="s">
        <v>1916</v>
      </c>
      <c r="C2409" s="11"/>
      <c r="D2409" s="17">
        <v>6897.96</v>
      </c>
    </row>
    <row r="2410" spans="1:4" x14ac:dyDescent="0.3">
      <c r="A2410" s="10" t="s">
        <v>804</v>
      </c>
      <c r="B2410" s="11"/>
      <c r="C2410" s="11"/>
      <c r="D2410" s="17">
        <v>6897.96</v>
      </c>
    </row>
    <row r="2411" spans="1:4" x14ac:dyDescent="0.3">
      <c r="A2411" s="10">
        <v>509</v>
      </c>
      <c r="B2411" s="10" t="s">
        <v>18</v>
      </c>
      <c r="C2411" s="10" t="s">
        <v>33</v>
      </c>
      <c r="D2411" s="17">
        <v>599.98</v>
      </c>
    </row>
    <row r="2412" spans="1:4" x14ac:dyDescent="0.3">
      <c r="A2412" s="12"/>
      <c r="B2412" s="12"/>
      <c r="C2412" s="14" t="s">
        <v>16</v>
      </c>
      <c r="D2412" s="18">
        <v>5799.98</v>
      </c>
    </row>
    <row r="2413" spans="1:4" x14ac:dyDescent="0.3">
      <c r="A2413" s="12"/>
      <c r="B2413" s="10" t="s">
        <v>1916</v>
      </c>
      <c r="C2413" s="11"/>
      <c r="D2413" s="17">
        <v>6399.9599999999991</v>
      </c>
    </row>
    <row r="2414" spans="1:4" x14ac:dyDescent="0.3">
      <c r="A2414" s="10" t="s">
        <v>805</v>
      </c>
      <c r="B2414" s="11"/>
      <c r="C2414" s="11"/>
      <c r="D2414" s="17">
        <v>6399.9599999999991</v>
      </c>
    </row>
    <row r="2415" spans="1:4" x14ac:dyDescent="0.3">
      <c r="A2415" s="10">
        <v>510</v>
      </c>
      <c r="B2415" s="10" t="s">
        <v>18</v>
      </c>
      <c r="C2415" s="10" t="s">
        <v>23</v>
      </c>
      <c r="D2415" s="17">
        <v>429</v>
      </c>
    </row>
    <row r="2416" spans="1:4" x14ac:dyDescent="0.3">
      <c r="A2416" s="12"/>
      <c r="B2416" s="10" t="s">
        <v>1916</v>
      </c>
      <c r="C2416" s="11"/>
      <c r="D2416" s="17">
        <v>429</v>
      </c>
    </row>
    <row r="2417" spans="1:4" x14ac:dyDescent="0.3">
      <c r="A2417" s="10" t="s">
        <v>806</v>
      </c>
      <c r="B2417" s="11"/>
      <c r="C2417" s="11"/>
      <c r="D2417" s="17">
        <v>429</v>
      </c>
    </row>
    <row r="2418" spans="1:4" x14ac:dyDescent="0.3">
      <c r="A2418" s="10">
        <v>511</v>
      </c>
      <c r="B2418" s="10" t="s">
        <v>18</v>
      </c>
      <c r="C2418" s="10" t="s">
        <v>31</v>
      </c>
      <c r="D2418" s="17">
        <v>269.99</v>
      </c>
    </row>
    <row r="2419" spans="1:4" x14ac:dyDescent="0.3">
      <c r="A2419" s="12"/>
      <c r="B2419" s="12"/>
      <c r="C2419" s="14" t="s">
        <v>28</v>
      </c>
      <c r="D2419" s="18">
        <v>539.98</v>
      </c>
    </row>
    <row r="2420" spans="1:4" x14ac:dyDescent="0.3">
      <c r="A2420" s="12"/>
      <c r="B2420" s="10" t="s">
        <v>1916</v>
      </c>
      <c r="C2420" s="11"/>
      <c r="D2420" s="17">
        <v>809.97</v>
      </c>
    </row>
    <row r="2421" spans="1:4" x14ac:dyDescent="0.3">
      <c r="A2421" s="10" t="s">
        <v>807</v>
      </c>
      <c r="B2421" s="11"/>
      <c r="C2421" s="11"/>
      <c r="D2421" s="17">
        <v>809.97</v>
      </c>
    </row>
    <row r="2422" spans="1:4" x14ac:dyDescent="0.3">
      <c r="A2422" s="10">
        <v>512</v>
      </c>
      <c r="B2422" s="10" t="s">
        <v>18</v>
      </c>
      <c r="C2422" s="10" t="s">
        <v>31</v>
      </c>
      <c r="D2422" s="17">
        <v>269.99</v>
      </c>
    </row>
    <row r="2423" spans="1:4" x14ac:dyDescent="0.3">
      <c r="A2423" s="12"/>
      <c r="B2423" s="10" t="s">
        <v>1916</v>
      </c>
      <c r="C2423" s="11"/>
      <c r="D2423" s="17">
        <v>269.99</v>
      </c>
    </row>
    <row r="2424" spans="1:4" x14ac:dyDescent="0.3">
      <c r="A2424" s="10" t="s">
        <v>808</v>
      </c>
      <c r="B2424" s="11"/>
      <c r="C2424" s="11"/>
      <c r="D2424" s="17">
        <v>269.99</v>
      </c>
    </row>
    <row r="2425" spans="1:4" x14ac:dyDescent="0.3">
      <c r="A2425" s="10">
        <v>513</v>
      </c>
      <c r="B2425" s="10" t="s">
        <v>18</v>
      </c>
      <c r="C2425" s="10" t="s">
        <v>31</v>
      </c>
      <c r="D2425" s="17">
        <v>269.99</v>
      </c>
    </row>
    <row r="2426" spans="1:4" x14ac:dyDescent="0.3">
      <c r="A2426" s="12"/>
      <c r="B2426" s="12"/>
      <c r="C2426" s="14" t="s">
        <v>33</v>
      </c>
      <c r="D2426" s="18">
        <v>299.99</v>
      </c>
    </row>
    <row r="2427" spans="1:4" x14ac:dyDescent="0.3">
      <c r="A2427" s="12"/>
      <c r="B2427" s="12"/>
      <c r="C2427" s="14" t="s">
        <v>29</v>
      </c>
      <c r="D2427" s="18">
        <v>3999.99</v>
      </c>
    </row>
    <row r="2428" spans="1:4" x14ac:dyDescent="0.3">
      <c r="A2428" s="12"/>
      <c r="B2428" s="10" t="s">
        <v>1916</v>
      </c>
      <c r="C2428" s="11"/>
      <c r="D2428" s="17">
        <v>4569.9699999999993</v>
      </c>
    </row>
    <row r="2429" spans="1:4" x14ac:dyDescent="0.3">
      <c r="A2429" s="10" t="s">
        <v>809</v>
      </c>
      <c r="B2429" s="11"/>
      <c r="C2429" s="11"/>
      <c r="D2429" s="17">
        <v>4569.9699999999993</v>
      </c>
    </row>
    <row r="2430" spans="1:4" x14ac:dyDescent="0.3">
      <c r="A2430" s="10">
        <v>514</v>
      </c>
      <c r="B2430" s="10" t="s">
        <v>18</v>
      </c>
      <c r="C2430" s="10" t="s">
        <v>23</v>
      </c>
      <c r="D2430" s="17">
        <v>858</v>
      </c>
    </row>
    <row r="2431" spans="1:4" x14ac:dyDescent="0.3">
      <c r="A2431" s="12"/>
      <c r="B2431" s="12"/>
      <c r="C2431" s="14" t="s">
        <v>24</v>
      </c>
      <c r="D2431" s="18">
        <v>898</v>
      </c>
    </row>
    <row r="2432" spans="1:4" x14ac:dyDescent="0.3">
      <c r="A2432" s="12"/>
      <c r="B2432" s="10" t="s">
        <v>1916</v>
      </c>
      <c r="C2432" s="11"/>
      <c r="D2432" s="17">
        <v>1756</v>
      </c>
    </row>
    <row r="2433" spans="1:4" x14ac:dyDescent="0.3">
      <c r="A2433" s="10" t="s">
        <v>810</v>
      </c>
      <c r="B2433" s="11"/>
      <c r="C2433" s="11"/>
      <c r="D2433" s="17">
        <v>1756</v>
      </c>
    </row>
    <row r="2434" spans="1:4" x14ac:dyDescent="0.3">
      <c r="A2434" s="10">
        <v>515</v>
      </c>
      <c r="B2434" s="10" t="s">
        <v>18</v>
      </c>
      <c r="C2434" s="10" t="s">
        <v>35</v>
      </c>
      <c r="D2434" s="17">
        <v>999.98</v>
      </c>
    </row>
    <row r="2435" spans="1:4" x14ac:dyDescent="0.3">
      <c r="A2435" s="12"/>
      <c r="B2435" s="12"/>
      <c r="C2435" s="14" t="s">
        <v>34</v>
      </c>
      <c r="D2435" s="18">
        <v>1320.99</v>
      </c>
    </row>
    <row r="2436" spans="1:4" x14ac:dyDescent="0.3">
      <c r="A2436" s="12"/>
      <c r="B2436" s="12"/>
      <c r="C2436" s="14" t="s">
        <v>32</v>
      </c>
      <c r="D2436" s="18">
        <v>939.98</v>
      </c>
    </row>
    <row r="2437" spans="1:4" x14ac:dyDescent="0.3">
      <c r="A2437" s="12"/>
      <c r="B2437" s="12"/>
      <c r="C2437" s="14" t="s">
        <v>12</v>
      </c>
      <c r="D2437" s="18">
        <v>1799.99</v>
      </c>
    </row>
    <row r="2438" spans="1:4" x14ac:dyDescent="0.3">
      <c r="A2438" s="12"/>
      <c r="B2438" s="10" t="s">
        <v>1916</v>
      </c>
      <c r="C2438" s="11"/>
      <c r="D2438" s="17">
        <v>5060.9400000000005</v>
      </c>
    </row>
    <row r="2439" spans="1:4" x14ac:dyDescent="0.3">
      <c r="A2439" s="10" t="s">
        <v>811</v>
      </c>
      <c r="B2439" s="11"/>
      <c r="C2439" s="11"/>
      <c r="D2439" s="17">
        <v>5060.9400000000005</v>
      </c>
    </row>
    <row r="2440" spans="1:4" x14ac:dyDescent="0.3">
      <c r="A2440" s="10">
        <v>516</v>
      </c>
      <c r="B2440" s="10" t="s">
        <v>18</v>
      </c>
      <c r="C2440" s="10" t="s">
        <v>34</v>
      </c>
      <c r="D2440" s="17">
        <v>2641.98</v>
      </c>
    </row>
    <row r="2441" spans="1:4" x14ac:dyDescent="0.3">
      <c r="A2441" s="12"/>
      <c r="B2441" s="12"/>
      <c r="C2441" s="14" t="s">
        <v>29</v>
      </c>
      <c r="D2441" s="18">
        <v>3999.99</v>
      </c>
    </row>
    <row r="2442" spans="1:4" x14ac:dyDescent="0.3">
      <c r="A2442" s="12"/>
      <c r="B2442" s="10" t="s">
        <v>1916</v>
      </c>
      <c r="C2442" s="11"/>
      <c r="D2442" s="17">
        <v>6641.9699999999993</v>
      </c>
    </row>
    <row r="2443" spans="1:4" x14ac:dyDescent="0.3">
      <c r="A2443" s="10" t="s">
        <v>812</v>
      </c>
      <c r="B2443" s="11"/>
      <c r="C2443" s="11"/>
      <c r="D2443" s="17">
        <v>6641.9699999999993</v>
      </c>
    </row>
    <row r="2444" spans="1:4" x14ac:dyDescent="0.3">
      <c r="A2444" s="10">
        <v>517</v>
      </c>
      <c r="B2444" s="10" t="s">
        <v>18</v>
      </c>
      <c r="C2444" s="10" t="s">
        <v>31</v>
      </c>
      <c r="D2444" s="17">
        <v>539.98</v>
      </c>
    </row>
    <row r="2445" spans="1:4" x14ac:dyDescent="0.3">
      <c r="A2445" s="12"/>
      <c r="B2445" s="10" t="s">
        <v>1916</v>
      </c>
      <c r="C2445" s="11"/>
      <c r="D2445" s="17">
        <v>539.98</v>
      </c>
    </row>
    <row r="2446" spans="1:4" x14ac:dyDescent="0.3">
      <c r="A2446" s="10" t="s">
        <v>813</v>
      </c>
      <c r="B2446" s="11"/>
      <c r="C2446" s="11"/>
      <c r="D2446" s="17">
        <v>539.98</v>
      </c>
    </row>
    <row r="2447" spans="1:4" x14ac:dyDescent="0.3">
      <c r="A2447" s="10">
        <v>518</v>
      </c>
      <c r="B2447" s="10" t="s">
        <v>11</v>
      </c>
      <c r="C2447" s="10" t="s">
        <v>27</v>
      </c>
      <c r="D2447" s="17">
        <v>1059.98</v>
      </c>
    </row>
    <row r="2448" spans="1:4" x14ac:dyDescent="0.3">
      <c r="A2448" s="12"/>
      <c r="B2448" s="12"/>
      <c r="C2448" s="14" t="s">
        <v>35</v>
      </c>
      <c r="D2448" s="18">
        <v>999.98</v>
      </c>
    </row>
    <row r="2449" spans="1:4" x14ac:dyDescent="0.3">
      <c r="A2449" s="12"/>
      <c r="B2449" s="12"/>
      <c r="C2449" s="14" t="s">
        <v>14</v>
      </c>
      <c r="D2449" s="18">
        <v>1199.98</v>
      </c>
    </row>
    <row r="2450" spans="1:4" x14ac:dyDescent="0.3">
      <c r="A2450" s="12"/>
      <c r="B2450" s="12"/>
      <c r="C2450" s="14" t="s">
        <v>34</v>
      </c>
      <c r="D2450" s="18">
        <v>2641.98</v>
      </c>
    </row>
    <row r="2451" spans="1:4" x14ac:dyDescent="0.3">
      <c r="A2451" s="12"/>
      <c r="B2451" s="12"/>
      <c r="C2451" s="14" t="s">
        <v>30</v>
      </c>
      <c r="D2451" s="18">
        <v>3361.98</v>
      </c>
    </row>
    <row r="2452" spans="1:4" x14ac:dyDescent="0.3">
      <c r="A2452" s="12"/>
      <c r="B2452" s="10" t="s">
        <v>1915</v>
      </c>
      <c r="C2452" s="11"/>
      <c r="D2452" s="17">
        <v>9263.9</v>
      </c>
    </row>
    <row r="2453" spans="1:4" x14ac:dyDescent="0.3">
      <c r="A2453" s="10" t="s">
        <v>814</v>
      </c>
      <c r="B2453" s="11"/>
      <c r="C2453" s="11"/>
      <c r="D2453" s="17">
        <v>9263.9</v>
      </c>
    </row>
    <row r="2454" spans="1:4" x14ac:dyDescent="0.3">
      <c r="A2454" s="10">
        <v>519</v>
      </c>
      <c r="B2454" s="10" t="s">
        <v>18</v>
      </c>
      <c r="C2454" s="10" t="s">
        <v>33</v>
      </c>
      <c r="D2454" s="17">
        <v>599.98</v>
      </c>
    </row>
    <row r="2455" spans="1:4" x14ac:dyDescent="0.3">
      <c r="A2455" s="12"/>
      <c r="B2455" s="12"/>
      <c r="C2455" s="14" t="s">
        <v>14</v>
      </c>
      <c r="D2455" s="18">
        <v>599.99</v>
      </c>
    </row>
    <row r="2456" spans="1:4" x14ac:dyDescent="0.3">
      <c r="A2456" s="12"/>
      <c r="B2456" s="12"/>
      <c r="C2456" s="14" t="s">
        <v>24</v>
      </c>
      <c r="D2456" s="18">
        <v>898</v>
      </c>
    </row>
    <row r="2457" spans="1:4" x14ac:dyDescent="0.3">
      <c r="A2457" s="12"/>
      <c r="B2457" s="12"/>
      <c r="C2457" s="14" t="s">
        <v>32</v>
      </c>
      <c r="D2457" s="18">
        <v>469.99</v>
      </c>
    </row>
    <row r="2458" spans="1:4" x14ac:dyDescent="0.3">
      <c r="A2458" s="12"/>
      <c r="B2458" s="12"/>
      <c r="C2458" s="14" t="s">
        <v>29</v>
      </c>
      <c r="D2458" s="18">
        <v>3999.99</v>
      </c>
    </row>
    <row r="2459" spans="1:4" x14ac:dyDescent="0.3">
      <c r="A2459" s="12"/>
      <c r="B2459" s="10" t="s">
        <v>1916</v>
      </c>
      <c r="C2459" s="11"/>
      <c r="D2459" s="17">
        <v>6567.95</v>
      </c>
    </row>
    <row r="2460" spans="1:4" x14ac:dyDescent="0.3">
      <c r="A2460" s="10" t="s">
        <v>815</v>
      </c>
      <c r="B2460" s="11"/>
      <c r="C2460" s="11"/>
      <c r="D2460" s="17">
        <v>6567.95</v>
      </c>
    </row>
    <row r="2461" spans="1:4" x14ac:dyDescent="0.3">
      <c r="A2461" s="10">
        <v>520</v>
      </c>
      <c r="B2461" s="10" t="s">
        <v>18</v>
      </c>
      <c r="C2461" s="10" t="s">
        <v>25</v>
      </c>
      <c r="D2461" s="17">
        <v>549.99</v>
      </c>
    </row>
    <row r="2462" spans="1:4" x14ac:dyDescent="0.3">
      <c r="A2462" s="12"/>
      <c r="B2462" s="12"/>
      <c r="C2462" s="14" t="s">
        <v>14</v>
      </c>
      <c r="D2462" s="18">
        <v>599.99</v>
      </c>
    </row>
    <row r="2463" spans="1:4" x14ac:dyDescent="0.3">
      <c r="A2463" s="12"/>
      <c r="B2463" s="12"/>
      <c r="C2463" s="14" t="s">
        <v>13</v>
      </c>
      <c r="D2463" s="18">
        <v>1549</v>
      </c>
    </row>
    <row r="2464" spans="1:4" x14ac:dyDescent="0.3">
      <c r="A2464" s="12"/>
      <c r="B2464" s="10" t="s">
        <v>1916</v>
      </c>
      <c r="C2464" s="11"/>
      <c r="D2464" s="17">
        <v>2698.98</v>
      </c>
    </row>
    <row r="2465" spans="1:4" x14ac:dyDescent="0.3">
      <c r="A2465" s="10" t="s">
        <v>816</v>
      </c>
      <c r="B2465" s="11"/>
      <c r="C2465" s="11"/>
      <c r="D2465" s="17">
        <v>2698.98</v>
      </c>
    </row>
    <row r="2466" spans="1:4" x14ac:dyDescent="0.3">
      <c r="A2466" s="10">
        <v>521</v>
      </c>
      <c r="B2466" s="10" t="s">
        <v>18</v>
      </c>
      <c r="C2466" s="10" t="s">
        <v>28</v>
      </c>
      <c r="D2466" s="17">
        <v>269.99</v>
      </c>
    </row>
    <row r="2467" spans="1:4" x14ac:dyDescent="0.3">
      <c r="A2467" s="12"/>
      <c r="B2467" s="12"/>
      <c r="C2467" s="14" t="s">
        <v>34</v>
      </c>
      <c r="D2467" s="18">
        <v>1320.99</v>
      </c>
    </row>
    <row r="2468" spans="1:4" x14ac:dyDescent="0.3">
      <c r="A2468" s="12"/>
      <c r="B2468" s="10" t="s">
        <v>1916</v>
      </c>
      <c r="C2468" s="11"/>
      <c r="D2468" s="17">
        <v>1590.98</v>
      </c>
    </row>
    <row r="2469" spans="1:4" x14ac:dyDescent="0.3">
      <c r="A2469" s="10" t="s">
        <v>817</v>
      </c>
      <c r="B2469" s="11"/>
      <c r="C2469" s="11"/>
      <c r="D2469" s="17">
        <v>1590.98</v>
      </c>
    </row>
    <row r="2470" spans="1:4" x14ac:dyDescent="0.3">
      <c r="A2470" s="10">
        <v>522</v>
      </c>
      <c r="B2470" s="10" t="s">
        <v>18</v>
      </c>
      <c r="C2470" s="10" t="s">
        <v>31</v>
      </c>
      <c r="D2470" s="17">
        <v>269.99</v>
      </c>
    </row>
    <row r="2471" spans="1:4" x14ac:dyDescent="0.3">
      <c r="A2471" s="12"/>
      <c r="B2471" s="12"/>
      <c r="C2471" s="14" t="s">
        <v>28</v>
      </c>
      <c r="D2471" s="18">
        <v>539.98</v>
      </c>
    </row>
    <row r="2472" spans="1:4" x14ac:dyDescent="0.3">
      <c r="A2472" s="12"/>
      <c r="B2472" s="12"/>
      <c r="C2472" s="14" t="s">
        <v>16</v>
      </c>
      <c r="D2472" s="18">
        <v>5799.98</v>
      </c>
    </row>
    <row r="2473" spans="1:4" x14ac:dyDescent="0.3">
      <c r="A2473" s="12"/>
      <c r="B2473" s="10" t="s">
        <v>1916</v>
      </c>
      <c r="C2473" s="11"/>
      <c r="D2473" s="17">
        <v>6609.95</v>
      </c>
    </row>
    <row r="2474" spans="1:4" x14ac:dyDescent="0.3">
      <c r="A2474" s="10" t="s">
        <v>818</v>
      </c>
      <c r="B2474" s="11"/>
      <c r="C2474" s="11"/>
      <c r="D2474" s="17">
        <v>6609.95</v>
      </c>
    </row>
    <row r="2475" spans="1:4" x14ac:dyDescent="0.3">
      <c r="A2475" s="10">
        <v>523</v>
      </c>
      <c r="B2475" s="10" t="s">
        <v>18</v>
      </c>
      <c r="C2475" s="10" t="s">
        <v>25</v>
      </c>
      <c r="D2475" s="17">
        <v>549.99</v>
      </c>
    </row>
    <row r="2476" spans="1:4" x14ac:dyDescent="0.3">
      <c r="A2476" s="12"/>
      <c r="B2476" s="12"/>
      <c r="C2476" s="14" t="s">
        <v>14</v>
      </c>
      <c r="D2476" s="18">
        <v>1199.98</v>
      </c>
    </row>
    <row r="2477" spans="1:4" x14ac:dyDescent="0.3">
      <c r="A2477" s="12"/>
      <c r="B2477" s="12"/>
      <c r="C2477" s="14" t="s">
        <v>10</v>
      </c>
      <c r="D2477" s="18">
        <v>599.99</v>
      </c>
    </row>
    <row r="2478" spans="1:4" x14ac:dyDescent="0.3">
      <c r="A2478" s="12"/>
      <c r="B2478" s="12"/>
      <c r="C2478" s="14" t="s">
        <v>34</v>
      </c>
      <c r="D2478" s="18">
        <v>2641.98</v>
      </c>
    </row>
    <row r="2479" spans="1:4" x14ac:dyDescent="0.3">
      <c r="A2479" s="12"/>
      <c r="B2479" s="10" t="s">
        <v>1916</v>
      </c>
      <c r="C2479" s="11"/>
      <c r="D2479" s="17">
        <v>4991.9400000000005</v>
      </c>
    </row>
    <row r="2480" spans="1:4" x14ac:dyDescent="0.3">
      <c r="A2480" s="10" t="s">
        <v>819</v>
      </c>
      <c r="B2480" s="11"/>
      <c r="C2480" s="11"/>
      <c r="D2480" s="17">
        <v>4991.9400000000005</v>
      </c>
    </row>
    <row r="2481" spans="1:4" x14ac:dyDescent="0.3">
      <c r="A2481" s="10">
        <v>524</v>
      </c>
      <c r="B2481" s="10" t="s">
        <v>11</v>
      </c>
      <c r="C2481" s="10" t="s">
        <v>14</v>
      </c>
      <c r="D2481" s="17">
        <v>599.99</v>
      </c>
    </row>
    <row r="2482" spans="1:4" x14ac:dyDescent="0.3">
      <c r="A2482" s="12"/>
      <c r="B2482" s="12"/>
      <c r="C2482" s="14" t="s">
        <v>22</v>
      </c>
      <c r="D2482" s="18">
        <v>749.99</v>
      </c>
    </row>
    <row r="2483" spans="1:4" x14ac:dyDescent="0.3">
      <c r="A2483" s="12"/>
      <c r="B2483" s="12"/>
      <c r="C2483" s="14" t="s">
        <v>30</v>
      </c>
      <c r="D2483" s="18">
        <v>1680.99</v>
      </c>
    </row>
    <row r="2484" spans="1:4" x14ac:dyDescent="0.3">
      <c r="A2484" s="12"/>
      <c r="B2484" s="12"/>
      <c r="C2484" s="14" t="s">
        <v>20</v>
      </c>
      <c r="D2484" s="18">
        <v>1999.98</v>
      </c>
    </row>
    <row r="2485" spans="1:4" x14ac:dyDescent="0.3">
      <c r="A2485" s="12"/>
      <c r="B2485" s="12"/>
      <c r="C2485" s="14" t="s">
        <v>26</v>
      </c>
      <c r="D2485" s="18">
        <v>2999.99</v>
      </c>
    </row>
    <row r="2486" spans="1:4" x14ac:dyDescent="0.3">
      <c r="A2486" s="12"/>
      <c r="B2486" s="10" t="s">
        <v>1915</v>
      </c>
      <c r="C2486" s="11"/>
      <c r="D2486" s="17">
        <v>8030.9400000000005</v>
      </c>
    </row>
    <row r="2487" spans="1:4" x14ac:dyDescent="0.3">
      <c r="A2487" s="10" t="s">
        <v>820</v>
      </c>
      <c r="B2487" s="11"/>
      <c r="C2487" s="11"/>
      <c r="D2487" s="17">
        <v>8030.9400000000005</v>
      </c>
    </row>
    <row r="2488" spans="1:4" x14ac:dyDescent="0.3">
      <c r="A2488" s="10">
        <v>525</v>
      </c>
      <c r="B2488" s="10" t="s">
        <v>11</v>
      </c>
      <c r="C2488" s="10" t="s">
        <v>32</v>
      </c>
      <c r="D2488" s="17">
        <v>939.98</v>
      </c>
    </row>
    <row r="2489" spans="1:4" x14ac:dyDescent="0.3">
      <c r="A2489" s="12"/>
      <c r="B2489" s="12"/>
      <c r="C2489" s="14" t="s">
        <v>13</v>
      </c>
      <c r="D2489" s="18">
        <v>1549</v>
      </c>
    </row>
    <row r="2490" spans="1:4" x14ac:dyDescent="0.3">
      <c r="A2490" s="12"/>
      <c r="B2490" s="12"/>
      <c r="C2490" s="14" t="s">
        <v>26</v>
      </c>
      <c r="D2490" s="18">
        <v>5999.98</v>
      </c>
    </row>
    <row r="2491" spans="1:4" x14ac:dyDescent="0.3">
      <c r="A2491" s="12"/>
      <c r="B2491" s="10" t="s">
        <v>1915</v>
      </c>
      <c r="C2491" s="11"/>
      <c r="D2491" s="17">
        <v>8488.9599999999991</v>
      </c>
    </row>
    <row r="2492" spans="1:4" x14ac:dyDescent="0.3">
      <c r="A2492" s="10" t="s">
        <v>821</v>
      </c>
      <c r="B2492" s="11"/>
      <c r="C2492" s="11"/>
      <c r="D2492" s="17">
        <v>8488.9599999999991</v>
      </c>
    </row>
    <row r="2493" spans="1:4" x14ac:dyDescent="0.3">
      <c r="A2493" s="10">
        <v>526</v>
      </c>
      <c r="B2493" s="10" t="s">
        <v>18</v>
      </c>
      <c r="C2493" s="10" t="s">
        <v>31</v>
      </c>
      <c r="D2493" s="17">
        <v>269.99</v>
      </c>
    </row>
    <row r="2494" spans="1:4" x14ac:dyDescent="0.3">
      <c r="A2494" s="12"/>
      <c r="B2494" s="12"/>
      <c r="C2494" s="14" t="s">
        <v>27</v>
      </c>
      <c r="D2494" s="18">
        <v>529.99</v>
      </c>
    </row>
    <row r="2495" spans="1:4" x14ac:dyDescent="0.3">
      <c r="A2495" s="12"/>
      <c r="B2495" s="12"/>
      <c r="C2495" s="14" t="s">
        <v>20</v>
      </c>
      <c r="D2495" s="18">
        <v>1999.98</v>
      </c>
    </row>
    <row r="2496" spans="1:4" x14ac:dyDescent="0.3">
      <c r="A2496" s="12"/>
      <c r="B2496" s="12"/>
      <c r="C2496" s="14" t="s">
        <v>12</v>
      </c>
      <c r="D2496" s="18">
        <v>1799.99</v>
      </c>
    </row>
    <row r="2497" spans="1:4" x14ac:dyDescent="0.3">
      <c r="A2497" s="12"/>
      <c r="B2497" s="10" t="s">
        <v>1916</v>
      </c>
      <c r="C2497" s="11"/>
      <c r="D2497" s="17">
        <v>4599.95</v>
      </c>
    </row>
    <row r="2498" spans="1:4" x14ac:dyDescent="0.3">
      <c r="A2498" s="10" t="s">
        <v>822</v>
      </c>
      <c r="B2498" s="11"/>
      <c r="C2498" s="11"/>
      <c r="D2498" s="17">
        <v>4599.95</v>
      </c>
    </row>
    <row r="2499" spans="1:4" x14ac:dyDescent="0.3">
      <c r="A2499" s="10">
        <v>527</v>
      </c>
      <c r="B2499" s="10" t="s">
        <v>11</v>
      </c>
      <c r="C2499" s="10" t="s">
        <v>24</v>
      </c>
      <c r="D2499" s="17">
        <v>898</v>
      </c>
    </row>
    <row r="2500" spans="1:4" x14ac:dyDescent="0.3">
      <c r="A2500" s="12"/>
      <c r="B2500" s="12"/>
      <c r="C2500" s="14" t="s">
        <v>36</v>
      </c>
      <c r="D2500" s="18">
        <v>449</v>
      </c>
    </row>
    <row r="2501" spans="1:4" x14ac:dyDescent="0.3">
      <c r="A2501" s="12"/>
      <c r="B2501" s="12"/>
      <c r="C2501" s="14" t="s">
        <v>26</v>
      </c>
      <c r="D2501" s="18">
        <v>5999.98</v>
      </c>
    </row>
    <row r="2502" spans="1:4" x14ac:dyDescent="0.3">
      <c r="A2502" s="12"/>
      <c r="B2502" s="12"/>
      <c r="C2502" s="14" t="s">
        <v>16</v>
      </c>
      <c r="D2502" s="18">
        <v>2899.99</v>
      </c>
    </row>
    <row r="2503" spans="1:4" x14ac:dyDescent="0.3">
      <c r="A2503" s="12"/>
      <c r="B2503" s="10" t="s">
        <v>1915</v>
      </c>
      <c r="C2503" s="11"/>
      <c r="D2503" s="17">
        <v>10246.969999999999</v>
      </c>
    </row>
    <row r="2504" spans="1:4" x14ac:dyDescent="0.3">
      <c r="A2504" s="10" t="s">
        <v>823</v>
      </c>
      <c r="B2504" s="11"/>
      <c r="C2504" s="11"/>
      <c r="D2504" s="17">
        <v>10246.969999999999</v>
      </c>
    </row>
    <row r="2505" spans="1:4" x14ac:dyDescent="0.3">
      <c r="A2505" s="10">
        <v>528</v>
      </c>
      <c r="B2505" s="10" t="s">
        <v>18</v>
      </c>
      <c r="C2505" s="10" t="s">
        <v>31</v>
      </c>
      <c r="D2505" s="17">
        <v>539.98</v>
      </c>
    </row>
    <row r="2506" spans="1:4" x14ac:dyDescent="0.3">
      <c r="A2506" s="12"/>
      <c r="B2506" s="10" t="s">
        <v>1916</v>
      </c>
      <c r="C2506" s="11"/>
      <c r="D2506" s="17">
        <v>539.98</v>
      </c>
    </row>
    <row r="2507" spans="1:4" x14ac:dyDescent="0.3">
      <c r="A2507" s="10" t="s">
        <v>824</v>
      </c>
      <c r="B2507" s="11"/>
      <c r="C2507" s="11"/>
      <c r="D2507" s="17">
        <v>539.98</v>
      </c>
    </row>
    <row r="2508" spans="1:4" x14ac:dyDescent="0.3">
      <c r="A2508" s="10">
        <v>529</v>
      </c>
      <c r="B2508" s="10" t="s">
        <v>18</v>
      </c>
      <c r="C2508" s="10" t="s">
        <v>25</v>
      </c>
      <c r="D2508" s="17">
        <v>1099.98</v>
      </c>
    </row>
    <row r="2509" spans="1:4" x14ac:dyDescent="0.3">
      <c r="A2509" s="12"/>
      <c r="B2509" s="10" t="s">
        <v>1916</v>
      </c>
      <c r="C2509" s="11"/>
      <c r="D2509" s="17">
        <v>1099.98</v>
      </c>
    </row>
    <row r="2510" spans="1:4" x14ac:dyDescent="0.3">
      <c r="A2510" s="10" t="s">
        <v>825</v>
      </c>
      <c r="B2510" s="11"/>
      <c r="C2510" s="11"/>
      <c r="D2510" s="17">
        <v>1099.98</v>
      </c>
    </row>
    <row r="2511" spans="1:4" x14ac:dyDescent="0.3">
      <c r="A2511" s="10">
        <v>530</v>
      </c>
      <c r="B2511" s="10" t="s">
        <v>18</v>
      </c>
      <c r="C2511" s="10" t="s">
        <v>22</v>
      </c>
      <c r="D2511" s="17">
        <v>1499.98</v>
      </c>
    </row>
    <row r="2512" spans="1:4" x14ac:dyDescent="0.3">
      <c r="A2512" s="12"/>
      <c r="B2512" s="12"/>
      <c r="C2512" s="14" t="s">
        <v>32</v>
      </c>
      <c r="D2512" s="18">
        <v>939.98</v>
      </c>
    </row>
    <row r="2513" spans="1:4" x14ac:dyDescent="0.3">
      <c r="A2513" s="12"/>
      <c r="B2513" s="12"/>
      <c r="C2513" s="14" t="s">
        <v>16</v>
      </c>
      <c r="D2513" s="18">
        <v>2899.99</v>
      </c>
    </row>
    <row r="2514" spans="1:4" x14ac:dyDescent="0.3">
      <c r="A2514" s="12"/>
      <c r="B2514" s="10" t="s">
        <v>1916</v>
      </c>
      <c r="C2514" s="11"/>
      <c r="D2514" s="17">
        <v>5339.95</v>
      </c>
    </row>
    <row r="2515" spans="1:4" x14ac:dyDescent="0.3">
      <c r="A2515" s="10" t="s">
        <v>826</v>
      </c>
      <c r="B2515" s="11"/>
      <c r="C2515" s="11"/>
      <c r="D2515" s="17">
        <v>5339.95</v>
      </c>
    </row>
    <row r="2516" spans="1:4" x14ac:dyDescent="0.3">
      <c r="A2516" s="10">
        <v>531</v>
      </c>
      <c r="B2516" s="10" t="s">
        <v>37</v>
      </c>
      <c r="C2516" s="10" t="s">
        <v>25</v>
      </c>
      <c r="D2516" s="17">
        <v>1099.98</v>
      </c>
    </row>
    <row r="2517" spans="1:4" x14ac:dyDescent="0.3">
      <c r="A2517" s="12"/>
      <c r="B2517" s="12"/>
      <c r="C2517" s="14" t="s">
        <v>35</v>
      </c>
      <c r="D2517" s="18">
        <v>499.99</v>
      </c>
    </row>
    <row r="2518" spans="1:4" x14ac:dyDescent="0.3">
      <c r="A2518" s="12"/>
      <c r="B2518" s="12"/>
      <c r="C2518" s="14" t="s">
        <v>32</v>
      </c>
      <c r="D2518" s="18">
        <v>469.99</v>
      </c>
    </row>
    <row r="2519" spans="1:4" x14ac:dyDescent="0.3">
      <c r="A2519" s="12"/>
      <c r="B2519" s="10" t="s">
        <v>1917</v>
      </c>
      <c r="C2519" s="11"/>
      <c r="D2519" s="17">
        <v>2069.96</v>
      </c>
    </row>
    <row r="2520" spans="1:4" x14ac:dyDescent="0.3">
      <c r="A2520" s="10" t="s">
        <v>827</v>
      </c>
      <c r="B2520" s="11"/>
      <c r="C2520" s="11"/>
      <c r="D2520" s="17">
        <v>2069.96</v>
      </c>
    </row>
    <row r="2521" spans="1:4" x14ac:dyDescent="0.3">
      <c r="A2521" s="10">
        <v>532</v>
      </c>
      <c r="B2521" s="10" t="s">
        <v>18</v>
      </c>
      <c r="C2521" s="10" t="s">
        <v>25</v>
      </c>
      <c r="D2521" s="17">
        <v>549.99</v>
      </c>
    </row>
    <row r="2522" spans="1:4" x14ac:dyDescent="0.3">
      <c r="A2522" s="12"/>
      <c r="B2522" s="12"/>
      <c r="C2522" s="14" t="s">
        <v>14</v>
      </c>
      <c r="D2522" s="18">
        <v>1199.98</v>
      </c>
    </row>
    <row r="2523" spans="1:4" x14ac:dyDescent="0.3">
      <c r="A2523" s="12"/>
      <c r="B2523" s="12"/>
      <c r="C2523" s="14" t="s">
        <v>23</v>
      </c>
      <c r="D2523" s="18">
        <v>858</v>
      </c>
    </row>
    <row r="2524" spans="1:4" x14ac:dyDescent="0.3">
      <c r="A2524" s="12"/>
      <c r="B2524" s="10" t="s">
        <v>1916</v>
      </c>
      <c r="C2524" s="11"/>
      <c r="D2524" s="17">
        <v>2607.9700000000003</v>
      </c>
    </row>
    <row r="2525" spans="1:4" x14ac:dyDescent="0.3">
      <c r="A2525" s="10" t="s">
        <v>828</v>
      </c>
      <c r="B2525" s="11"/>
      <c r="C2525" s="11"/>
      <c r="D2525" s="17">
        <v>2607.9700000000003</v>
      </c>
    </row>
    <row r="2526" spans="1:4" x14ac:dyDescent="0.3">
      <c r="A2526" s="10">
        <v>533</v>
      </c>
      <c r="B2526" s="10" t="s">
        <v>18</v>
      </c>
      <c r="C2526" s="10" t="s">
        <v>25</v>
      </c>
      <c r="D2526" s="17">
        <v>1099.98</v>
      </c>
    </row>
    <row r="2527" spans="1:4" x14ac:dyDescent="0.3">
      <c r="A2527" s="12"/>
      <c r="B2527" s="12"/>
      <c r="C2527" s="14" t="s">
        <v>35</v>
      </c>
      <c r="D2527" s="18">
        <v>499.99</v>
      </c>
    </row>
    <row r="2528" spans="1:4" x14ac:dyDescent="0.3">
      <c r="A2528" s="12"/>
      <c r="B2528" s="12"/>
      <c r="C2528" s="14" t="s">
        <v>13</v>
      </c>
      <c r="D2528" s="18">
        <v>1549</v>
      </c>
    </row>
    <row r="2529" spans="1:4" x14ac:dyDescent="0.3">
      <c r="A2529" s="12"/>
      <c r="B2529" s="12"/>
      <c r="C2529" s="14" t="s">
        <v>16</v>
      </c>
      <c r="D2529" s="18">
        <v>2899.99</v>
      </c>
    </row>
    <row r="2530" spans="1:4" x14ac:dyDescent="0.3">
      <c r="A2530" s="12"/>
      <c r="B2530" s="10" t="s">
        <v>1916</v>
      </c>
      <c r="C2530" s="11"/>
      <c r="D2530" s="17">
        <v>6048.96</v>
      </c>
    </row>
    <row r="2531" spans="1:4" x14ac:dyDescent="0.3">
      <c r="A2531" s="10" t="s">
        <v>829</v>
      </c>
      <c r="B2531" s="11"/>
      <c r="C2531" s="11"/>
      <c r="D2531" s="17">
        <v>6048.96</v>
      </c>
    </row>
    <row r="2532" spans="1:4" x14ac:dyDescent="0.3">
      <c r="A2532" s="10">
        <v>534</v>
      </c>
      <c r="B2532" s="10" t="s">
        <v>18</v>
      </c>
      <c r="C2532" s="10" t="s">
        <v>31</v>
      </c>
      <c r="D2532" s="17">
        <v>539.98</v>
      </c>
    </row>
    <row r="2533" spans="1:4" x14ac:dyDescent="0.3">
      <c r="A2533" s="12"/>
      <c r="B2533" s="12"/>
      <c r="C2533" s="14" t="s">
        <v>25</v>
      </c>
      <c r="D2533" s="18">
        <v>1099.98</v>
      </c>
    </row>
    <row r="2534" spans="1:4" x14ac:dyDescent="0.3">
      <c r="A2534" s="12"/>
      <c r="B2534" s="12"/>
      <c r="C2534" s="14" t="s">
        <v>22</v>
      </c>
      <c r="D2534" s="18">
        <v>749.99</v>
      </c>
    </row>
    <row r="2535" spans="1:4" x14ac:dyDescent="0.3">
      <c r="A2535" s="12"/>
      <c r="B2535" s="12"/>
      <c r="C2535" s="14" t="s">
        <v>26</v>
      </c>
      <c r="D2535" s="18">
        <v>5999.98</v>
      </c>
    </row>
    <row r="2536" spans="1:4" x14ac:dyDescent="0.3">
      <c r="A2536" s="12"/>
      <c r="B2536" s="10" t="s">
        <v>1916</v>
      </c>
      <c r="C2536" s="11"/>
      <c r="D2536" s="17">
        <v>8389.93</v>
      </c>
    </row>
    <row r="2537" spans="1:4" x14ac:dyDescent="0.3">
      <c r="A2537" s="10" t="s">
        <v>830</v>
      </c>
      <c r="B2537" s="11"/>
      <c r="C2537" s="11"/>
      <c r="D2537" s="17">
        <v>8389.93</v>
      </c>
    </row>
    <row r="2538" spans="1:4" x14ac:dyDescent="0.3">
      <c r="A2538" s="10">
        <v>535</v>
      </c>
      <c r="B2538" s="10" t="s">
        <v>37</v>
      </c>
      <c r="C2538" s="10" t="s">
        <v>28</v>
      </c>
      <c r="D2538" s="17">
        <v>539.98</v>
      </c>
    </row>
    <row r="2539" spans="1:4" x14ac:dyDescent="0.3">
      <c r="A2539" s="12"/>
      <c r="B2539" s="12"/>
      <c r="C2539" s="14" t="s">
        <v>27</v>
      </c>
      <c r="D2539" s="18">
        <v>529.99</v>
      </c>
    </row>
    <row r="2540" spans="1:4" x14ac:dyDescent="0.3">
      <c r="A2540" s="12"/>
      <c r="B2540" s="12"/>
      <c r="C2540" s="14" t="s">
        <v>25</v>
      </c>
      <c r="D2540" s="18">
        <v>549.99</v>
      </c>
    </row>
    <row r="2541" spans="1:4" x14ac:dyDescent="0.3">
      <c r="A2541" s="12"/>
      <c r="B2541" s="10" t="s">
        <v>1917</v>
      </c>
      <c r="C2541" s="11"/>
      <c r="D2541" s="17">
        <v>1619.96</v>
      </c>
    </row>
    <row r="2542" spans="1:4" x14ac:dyDescent="0.3">
      <c r="A2542" s="10" t="s">
        <v>831</v>
      </c>
      <c r="B2542" s="11"/>
      <c r="C2542" s="11"/>
      <c r="D2542" s="17">
        <v>1619.96</v>
      </c>
    </row>
    <row r="2543" spans="1:4" x14ac:dyDescent="0.3">
      <c r="A2543" s="10">
        <v>536</v>
      </c>
      <c r="B2543" s="10" t="s">
        <v>11</v>
      </c>
      <c r="C2543" s="10" t="s">
        <v>28</v>
      </c>
      <c r="D2543" s="17">
        <v>539.98</v>
      </c>
    </row>
    <row r="2544" spans="1:4" x14ac:dyDescent="0.3">
      <c r="A2544" s="12"/>
      <c r="B2544" s="12"/>
      <c r="C2544" s="14" t="s">
        <v>25</v>
      </c>
      <c r="D2544" s="18">
        <v>1099.98</v>
      </c>
    </row>
    <row r="2545" spans="1:4" x14ac:dyDescent="0.3">
      <c r="A2545" s="12"/>
      <c r="B2545" s="12"/>
      <c r="C2545" s="14" t="s">
        <v>22</v>
      </c>
      <c r="D2545" s="18">
        <v>749.99</v>
      </c>
    </row>
    <row r="2546" spans="1:4" x14ac:dyDescent="0.3">
      <c r="A2546" s="12"/>
      <c r="B2546" s="10" t="s">
        <v>1915</v>
      </c>
      <c r="C2546" s="11"/>
      <c r="D2546" s="17">
        <v>2389.9499999999998</v>
      </c>
    </row>
    <row r="2547" spans="1:4" x14ac:dyDescent="0.3">
      <c r="A2547" s="10" t="s">
        <v>832</v>
      </c>
      <c r="B2547" s="11"/>
      <c r="C2547" s="11"/>
      <c r="D2547" s="17">
        <v>2389.9499999999998</v>
      </c>
    </row>
    <row r="2548" spans="1:4" x14ac:dyDescent="0.3">
      <c r="A2548" s="10">
        <v>537</v>
      </c>
      <c r="B2548" s="10" t="s">
        <v>11</v>
      </c>
      <c r="C2548" s="10" t="s">
        <v>35</v>
      </c>
      <c r="D2548" s="17">
        <v>999.98</v>
      </c>
    </row>
    <row r="2549" spans="1:4" x14ac:dyDescent="0.3">
      <c r="A2549" s="12"/>
      <c r="B2549" s="12"/>
      <c r="C2549" s="14" t="s">
        <v>14</v>
      </c>
      <c r="D2549" s="18">
        <v>599.99</v>
      </c>
    </row>
    <row r="2550" spans="1:4" x14ac:dyDescent="0.3">
      <c r="A2550" s="12"/>
      <c r="B2550" s="12"/>
      <c r="C2550" s="14" t="s">
        <v>23</v>
      </c>
      <c r="D2550" s="18">
        <v>858</v>
      </c>
    </row>
    <row r="2551" spans="1:4" x14ac:dyDescent="0.3">
      <c r="A2551" s="12"/>
      <c r="B2551" s="12"/>
      <c r="C2551" s="14" t="s">
        <v>13</v>
      </c>
      <c r="D2551" s="18">
        <v>1549</v>
      </c>
    </row>
    <row r="2552" spans="1:4" x14ac:dyDescent="0.3">
      <c r="A2552" s="12"/>
      <c r="B2552" s="10" t="s">
        <v>1915</v>
      </c>
      <c r="C2552" s="11"/>
      <c r="D2552" s="17">
        <v>4006.9700000000003</v>
      </c>
    </row>
    <row r="2553" spans="1:4" x14ac:dyDescent="0.3">
      <c r="A2553" s="10" t="s">
        <v>833</v>
      </c>
      <c r="B2553" s="11"/>
      <c r="C2553" s="11"/>
      <c r="D2553" s="17">
        <v>4006.9700000000003</v>
      </c>
    </row>
    <row r="2554" spans="1:4" x14ac:dyDescent="0.3">
      <c r="A2554" s="10">
        <v>538</v>
      </c>
      <c r="B2554" s="10" t="s">
        <v>18</v>
      </c>
      <c r="C2554" s="10" t="s">
        <v>22</v>
      </c>
      <c r="D2554" s="17">
        <v>1499.98</v>
      </c>
    </row>
    <row r="2555" spans="1:4" x14ac:dyDescent="0.3">
      <c r="A2555" s="12"/>
      <c r="B2555" s="10" t="s">
        <v>1916</v>
      </c>
      <c r="C2555" s="11"/>
      <c r="D2555" s="17">
        <v>1499.98</v>
      </c>
    </row>
    <row r="2556" spans="1:4" x14ac:dyDescent="0.3">
      <c r="A2556" s="10" t="s">
        <v>834</v>
      </c>
      <c r="B2556" s="11"/>
      <c r="C2556" s="11"/>
      <c r="D2556" s="17">
        <v>1499.98</v>
      </c>
    </row>
    <row r="2557" spans="1:4" x14ac:dyDescent="0.3">
      <c r="A2557" s="10">
        <v>539</v>
      </c>
      <c r="B2557" s="10" t="s">
        <v>18</v>
      </c>
      <c r="C2557" s="10" t="s">
        <v>31</v>
      </c>
      <c r="D2557" s="17">
        <v>539.98</v>
      </c>
    </row>
    <row r="2558" spans="1:4" x14ac:dyDescent="0.3">
      <c r="A2558" s="12"/>
      <c r="B2558" s="12"/>
      <c r="C2558" s="14" t="s">
        <v>33</v>
      </c>
      <c r="D2558" s="18">
        <v>299.99</v>
      </c>
    </row>
    <row r="2559" spans="1:4" x14ac:dyDescent="0.3">
      <c r="A2559" s="12"/>
      <c r="B2559" s="12"/>
      <c r="C2559" s="14" t="s">
        <v>26</v>
      </c>
      <c r="D2559" s="18">
        <v>5999.98</v>
      </c>
    </row>
    <row r="2560" spans="1:4" x14ac:dyDescent="0.3">
      <c r="A2560" s="12"/>
      <c r="B2560" s="10" t="s">
        <v>1916</v>
      </c>
      <c r="C2560" s="11"/>
      <c r="D2560" s="17">
        <v>6839.95</v>
      </c>
    </row>
    <row r="2561" spans="1:4" x14ac:dyDescent="0.3">
      <c r="A2561" s="10" t="s">
        <v>835</v>
      </c>
      <c r="B2561" s="11"/>
      <c r="C2561" s="11"/>
      <c r="D2561" s="17">
        <v>6839.95</v>
      </c>
    </row>
    <row r="2562" spans="1:4" x14ac:dyDescent="0.3">
      <c r="A2562" s="10">
        <v>540</v>
      </c>
      <c r="B2562" s="10" t="s">
        <v>11</v>
      </c>
      <c r="C2562" s="10" t="s">
        <v>33</v>
      </c>
      <c r="D2562" s="17">
        <v>599.98</v>
      </c>
    </row>
    <row r="2563" spans="1:4" x14ac:dyDescent="0.3">
      <c r="A2563" s="12"/>
      <c r="B2563" s="12"/>
      <c r="C2563" s="14" t="s">
        <v>14</v>
      </c>
      <c r="D2563" s="18">
        <v>1199.98</v>
      </c>
    </row>
    <row r="2564" spans="1:4" x14ac:dyDescent="0.3">
      <c r="A2564" s="12"/>
      <c r="B2564" s="12"/>
      <c r="C2564" s="14" t="s">
        <v>36</v>
      </c>
      <c r="D2564" s="18">
        <v>449</v>
      </c>
    </row>
    <row r="2565" spans="1:4" x14ac:dyDescent="0.3">
      <c r="A2565" s="12"/>
      <c r="B2565" s="10" t="s">
        <v>1915</v>
      </c>
      <c r="C2565" s="11"/>
      <c r="D2565" s="17">
        <v>2248.96</v>
      </c>
    </row>
    <row r="2566" spans="1:4" x14ac:dyDescent="0.3">
      <c r="A2566" s="10" t="s">
        <v>836</v>
      </c>
      <c r="B2566" s="11"/>
      <c r="C2566" s="11"/>
      <c r="D2566" s="17">
        <v>2248.96</v>
      </c>
    </row>
    <row r="2567" spans="1:4" x14ac:dyDescent="0.3">
      <c r="A2567" s="10">
        <v>541</v>
      </c>
      <c r="B2567" s="10" t="s">
        <v>11</v>
      </c>
      <c r="C2567" s="10" t="s">
        <v>28</v>
      </c>
      <c r="D2567" s="17">
        <v>539.98</v>
      </c>
    </row>
    <row r="2568" spans="1:4" x14ac:dyDescent="0.3">
      <c r="A2568" s="12"/>
      <c r="B2568" s="10" t="s">
        <v>1915</v>
      </c>
      <c r="C2568" s="11"/>
      <c r="D2568" s="17">
        <v>539.98</v>
      </c>
    </row>
    <row r="2569" spans="1:4" x14ac:dyDescent="0.3">
      <c r="A2569" s="10" t="s">
        <v>837</v>
      </c>
      <c r="B2569" s="11"/>
      <c r="C2569" s="11"/>
      <c r="D2569" s="17">
        <v>539.98</v>
      </c>
    </row>
    <row r="2570" spans="1:4" x14ac:dyDescent="0.3">
      <c r="A2570" s="10">
        <v>542</v>
      </c>
      <c r="B2570" s="10" t="s">
        <v>18</v>
      </c>
      <c r="C2570" s="10" t="s">
        <v>14</v>
      </c>
      <c r="D2570" s="17">
        <v>1199.98</v>
      </c>
    </row>
    <row r="2571" spans="1:4" x14ac:dyDescent="0.3">
      <c r="A2571" s="12"/>
      <c r="B2571" s="12"/>
      <c r="C2571" s="14" t="s">
        <v>10</v>
      </c>
      <c r="D2571" s="18">
        <v>599.99</v>
      </c>
    </row>
    <row r="2572" spans="1:4" x14ac:dyDescent="0.3">
      <c r="A2572" s="12"/>
      <c r="B2572" s="12"/>
      <c r="C2572" s="14" t="s">
        <v>36</v>
      </c>
      <c r="D2572" s="18">
        <v>898</v>
      </c>
    </row>
    <row r="2573" spans="1:4" x14ac:dyDescent="0.3">
      <c r="A2573" s="12"/>
      <c r="B2573" s="12"/>
      <c r="C2573" s="14" t="s">
        <v>26</v>
      </c>
      <c r="D2573" s="18">
        <v>2999.99</v>
      </c>
    </row>
    <row r="2574" spans="1:4" x14ac:dyDescent="0.3">
      <c r="A2574" s="12"/>
      <c r="B2574" s="10" t="s">
        <v>1916</v>
      </c>
      <c r="C2574" s="11"/>
      <c r="D2574" s="17">
        <v>5697.96</v>
      </c>
    </row>
    <row r="2575" spans="1:4" x14ac:dyDescent="0.3">
      <c r="A2575" s="10" t="s">
        <v>838</v>
      </c>
      <c r="B2575" s="11"/>
      <c r="C2575" s="11"/>
      <c r="D2575" s="17">
        <v>5697.96</v>
      </c>
    </row>
    <row r="2576" spans="1:4" x14ac:dyDescent="0.3">
      <c r="A2576" s="10">
        <v>543</v>
      </c>
      <c r="B2576" s="10" t="s">
        <v>18</v>
      </c>
      <c r="C2576" s="10" t="s">
        <v>35</v>
      </c>
      <c r="D2576" s="17">
        <v>499.99</v>
      </c>
    </row>
    <row r="2577" spans="1:4" x14ac:dyDescent="0.3">
      <c r="A2577" s="12"/>
      <c r="B2577" s="12"/>
      <c r="C2577" s="14" t="s">
        <v>14</v>
      </c>
      <c r="D2577" s="18">
        <v>1199.98</v>
      </c>
    </row>
    <row r="2578" spans="1:4" x14ac:dyDescent="0.3">
      <c r="A2578" s="12"/>
      <c r="B2578" s="12"/>
      <c r="C2578" s="14" t="s">
        <v>24</v>
      </c>
      <c r="D2578" s="18">
        <v>449</v>
      </c>
    </row>
    <row r="2579" spans="1:4" x14ac:dyDescent="0.3">
      <c r="A2579" s="12"/>
      <c r="B2579" s="10" t="s">
        <v>1916</v>
      </c>
      <c r="C2579" s="11"/>
      <c r="D2579" s="17">
        <v>2148.9700000000003</v>
      </c>
    </row>
    <row r="2580" spans="1:4" x14ac:dyDescent="0.3">
      <c r="A2580" s="10" t="s">
        <v>839</v>
      </c>
      <c r="B2580" s="11"/>
      <c r="C2580" s="11"/>
      <c r="D2580" s="17">
        <v>2148.9700000000003</v>
      </c>
    </row>
    <row r="2581" spans="1:4" x14ac:dyDescent="0.3">
      <c r="A2581" s="10">
        <v>544</v>
      </c>
      <c r="B2581" s="10" t="s">
        <v>18</v>
      </c>
      <c r="C2581" s="10" t="s">
        <v>31</v>
      </c>
      <c r="D2581" s="17">
        <v>269.99</v>
      </c>
    </row>
    <row r="2582" spans="1:4" x14ac:dyDescent="0.3">
      <c r="A2582" s="12"/>
      <c r="B2582" s="12"/>
      <c r="C2582" s="14" t="s">
        <v>25</v>
      </c>
      <c r="D2582" s="18">
        <v>549.99</v>
      </c>
    </row>
    <row r="2583" spans="1:4" x14ac:dyDescent="0.3">
      <c r="A2583" s="12"/>
      <c r="B2583" s="12"/>
      <c r="C2583" s="14" t="s">
        <v>23</v>
      </c>
      <c r="D2583" s="18">
        <v>429</v>
      </c>
    </row>
    <row r="2584" spans="1:4" x14ac:dyDescent="0.3">
      <c r="A2584" s="12"/>
      <c r="B2584" s="10" t="s">
        <v>1916</v>
      </c>
      <c r="C2584" s="11"/>
      <c r="D2584" s="17">
        <v>1248.98</v>
      </c>
    </row>
    <row r="2585" spans="1:4" x14ac:dyDescent="0.3">
      <c r="A2585" s="10" t="s">
        <v>840</v>
      </c>
      <c r="B2585" s="11"/>
      <c r="C2585" s="11"/>
      <c r="D2585" s="17">
        <v>1248.98</v>
      </c>
    </row>
    <row r="2586" spans="1:4" x14ac:dyDescent="0.3">
      <c r="A2586" s="10">
        <v>545</v>
      </c>
      <c r="B2586" s="10" t="s">
        <v>37</v>
      </c>
      <c r="C2586" s="10" t="s">
        <v>25</v>
      </c>
      <c r="D2586" s="17">
        <v>549.99</v>
      </c>
    </row>
    <row r="2587" spans="1:4" x14ac:dyDescent="0.3">
      <c r="A2587" s="12"/>
      <c r="B2587" s="12"/>
      <c r="C2587" s="14" t="s">
        <v>35</v>
      </c>
      <c r="D2587" s="18">
        <v>999.98</v>
      </c>
    </row>
    <row r="2588" spans="1:4" x14ac:dyDescent="0.3">
      <c r="A2588" s="12"/>
      <c r="B2588" s="12"/>
      <c r="C2588" s="14" t="s">
        <v>10</v>
      </c>
      <c r="D2588" s="18">
        <v>1199.98</v>
      </c>
    </row>
    <row r="2589" spans="1:4" x14ac:dyDescent="0.3">
      <c r="A2589" s="12"/>
      <c r="B2589" s="12"/>
      <c r="C2589" s="14" t="s">
        <v>32</v>
      </c>
      <c r="D2589" s="18">
        <v>469.99</v>
      </c>
    </row>
    <row r="2590" spans="1:4" x14ac:dyDescent="0.3">
      <c r="A2590" s="12"/>
      <c r="B2590" s="10" t="s">
        <v>1917</v>
      </c>
      <c r="C2590" s="11"/>
      <c r="D2590" s="17">
        <v>3219.9399999999996</v>
      </c>
    </row>
    <row r="2591" spans="1:4" x14ac:dyDescent="0.3">
      <c r="A2591" s="10" t="s">
        <v>841</v>
      </c>
      <c r="B2591" s="11"/>
      <c r="C2591" s="11"/>
      <c r="D2591" s="17">
        <v>3219.9399999999996</v>
      </c>
    </row>
    <row r="2592" spans="1:4" x14ac:dyDescent="0.3">
      <c r="A2592" s="10">
        <v>546</v>
      </c>
      <c r="B2592" s="10" t="s">
        <v>18</v>
      </c>
      <c r="C2592" s="10" t="s">
        <v>23</v>
      </c>
      <c r="D2592" s="17">
        <v>858</v>
      </c>
    </row>
    <row r="2593" spans="1:4" x14ac:dyDescent="0.3">
      <c r="A2593" s="12"/>
      <c r="B2593" s="12"/>
      <c r="C2593" s="14" t="s">
        <v>24</v>
      </c>
      <c r="D2593" s="18">
        <v>898</v>
      </c>
    </row>
    <row r="2594" spans="1:4" x14ac:dyDescent="0.3">
      <c r="A2594" s="12"/>
      <c r="B2594" s="12"/>
      <c r="C2594" s="14" t="s">
        <v>12</v>
      </c>
      <c r="D2594" s="18">
        <v>1799.99</v>
      </c>
    </row>
    <row r="2595" spans="1:4" x14ac:dyDescent="0.3">
      <c r="A2595" s="12"/>
      <c r="B2595" s="10" t="s">
        <v>1916</v>
      </c>
      <c r="C2595" s="11"/>
      <c r="D2595" s="17">
        <v>3555.99</v>
      </c>
    </row>
    <row r="2596" spans="1:4" x14ac:dyDescent="0.3">
      <c r="A2596" s="10" t="s">
        <v>842</v>
      </c>
      <c r="B2596" s="11"/>
      <c r="C2596" s="11"/>
      <c r="D2596" s="17">
        <v>3555.99</v>
      </c>
    </row>
    <row r="2597" spans="1:4" x14ac:dyDescent="0.3">
      <c r="A2597" s="10">
        <v>547</v>
      </c>
      <c r="B2597" s="10" t="s">
        <v>37</v>
      </c>
      <c r="C2597" s="10" t="s">
        <v>34</v>
      </c>
      <c r="D2597" s="17">
        <v>1320.99</v>
      </c>
    </row>
    <row r="2598" spans="1:4" x14ac:dyDescent="0.3">
      <c r="A2598" s="12"/>
      <c r="B2598" s="12"/>
      <c r="C2598" s="14" t="s">
        <v>30</v>
      </c>
      <c r="D2598" s="18">
        <v>3361.98</v>
      </c>
    </row>
    <row r="2599" spans="1:4" x14ac:dyDescent="0.3">
      <c r="A2599" s="12"/>
      <c r="B2599" s="12"/>
      <c r="C2599" s="14" t="s">
        <v>26</v>
      </c>
      <c r="D2599" s="18">
        <v>2999.99</v>
      </c>
    </row>
    <row r="2600" spans="1:4" x14ac:dyDescent="0.3">
      <c r="A2600" s="12"/>
      <c r="B2600" s="10" t="s">
        <v>1917</v>
      </c>
      <c r="C2600" s="11"/>
      <c r="D2600" s="17">
        <v>7682.96</v>
      </c>
    </row>
    <row r="2601" spans="1:4" x14ac:dyDescent="0.3">
      <c r="A2601" s="10" t="s">
        <v>843</v>
      </c>
      <c r="B2601" s="11"/>
      <c r="C2601" s="11"/>
      <c r="D2601" s="17">
        <v>7682.96</v>
      </c>
    </row>
    <row r="2602" spans="1:4" x14ac:dyDescent="0.3">
      <c r="A2602" s="10">
        <v>548</v>
      </c>
      <c r="B2602" s="10" t="s">
        <v>18</v>
      </c>
      <c r="C2602" s="10" t="s">
        <v>30</v>
      </c>
      <c r="D2602" s="17">
        <v>3361.98</v>
      </c>
    </row>
    <row r="2603" spans="1:4" x14ac:dyDescent="0.3">
      <c r="A2603" s="12"/>
      <c r="B2603" s="12"/>
      <c r="C2603" s="14" t="s">
        <v>12</v>
      </c>
      <c r="D2603" s="18">
        <v>1799.99</v>
      </c>
    </row>
    <row r="2604" spans="1:4" x14ac:dyDescent="0.3">
      <c r="A2604" s="12"/>
      <c r="B2604" s="10" t="s">
        <v>1916</v>
      </c>
      <c r="C2604" s="11"/>
      <c r="D2604" s="17">
        <v>5161.97</v>
      </c>
    </row>
    <row r="2605" spans="1:4" x14ac:dyDescent="0.3">
      <c r="A2605" s="10" t="s">
        <v>844</v>
      </c>
      <c r="B2605" s="11"/>
      <c r="C2605" s="11"/>
      <c r="D2605" s="17">
        <v>5161.97</v>
      </c>
    </row>
    <row r="2606" spans="1:4" x14ac:dyDescent="0.3">
      <c r="A2606" s="10">
        <v>549</v>
      </c>
      <c r="B2606" s="10" t="s">
        <v>37</v>
      </c>
      <c r="C2606" s="10" t="s">
        <v>31</v>
      </c>
      <c r="D2606" s="17">
        <v>539.98</v>
      </c>
    </row>
    <row r="2607" spans="1:4" x14ac:dyDescent="0.3">
      <c r="A2607" s="12"/>
      <c r="B2607" s="12"/>
      <c r="C2607" s="14" t="s">
        <v>27</v>
      </c>
      <c r="D2607" s="18">
        <v>529.99</v>
      </c>
    </row>
    <row r="2608" spans="1:4" x14ac:dyDescent="0.3">
      <c r="A2608" s="12"/>
      <c r="B2608" s="12"/>
      <c r="C2608" s="14" t="s">
        <v>14</v>
      </c>
      <c r="D2608" s="18">
        <v>599.99</v>
      </c>
    </row>
    <row r="2609" spans="1:4" x14ac:dyDescent="0.3">
      <c r="A2609" s="12"/>
      <c r="B2609" s="12"/>
      <c r="C2609" s="14" t="s">
        <v>20</v>
      </c>
      <c r="D2609" s="18">
        <v>999.99</v>
      </c>
    </row>
    <row r="2610" spans="1:4" x14ac:dyDescent="0.3">
      <c r="A2610" s="12"/>
      <c r="B2610" s="12"/>
      <c r="C2610" s="14" t="s">
        <v>29</v>
      </c>
      <c r="D2610" s="18">
        <v>3999.99</v>
      </c>
    </row>
    <row r="2611" spans="1:4" x14ac:dyDescent="0.3">
      <c r="A2611" s="12"/>
      <c r="B2611" s="10" t="s">
        <v>1917</v>
      </c>
      <c r="C2611" s="11"/>
      <c r="D2611" s="17">
        <v>6669.94</v>
      </c>
    </row>
    <row r="2612" spans="1:4" x14ac:dyDescent="0.3">
      <c r="A2612" s="10" t="s">
        <v>845</v>
      </c>
      <c r="B2612" s="11"/>
      <c r="C2612" s="11"/>
      <c r="D2612" s="17">
        <v>6669.94</v>
      </c>
    </row>
    <row r="2613" spans="1:4" x14ac:dyDescent="0.3">
      <c r="A2613" s="10">
        <v>550</v>
      </c>
      <c r="B2613" s="10" t="s">
        <v>18</v>
      </c>
      <c r="C2613" s="10" t="s">
        <v>16</v>
      </c>
      <c r="D2613" s="17">
        <v>2899.99</v>
      </c>
    </row>
    <row r="2614" spans="1:4" x14ac:dyDescent="0.3">
      <c r="A2614" s="12"/>
      <c r="B2614" s="10" t="s">
        <v>1916</v>
      </c>
      <c r="C2614" s="11"/>
      <c r="D2614" s="17">
        <v>2899.99</v>
      </c>
    </row>
    <row r="2615" spans="1:4" x14ac:dyDescent="0.3">
      <c r="A2615" s="10" t="s">
        <v>846</v>
      </c>
      <c r="B2615" s="11"/>
      <c r="C2615" s="11"/>
      <c r="D2615" s="17">
        <v>2899.99</v>
      </c>
    </row>
    <row r="2616" spans="1:4" x14ac:dyDescent="0.3">
      <c r="A2616" s="10">
        <v>551</v>
      </c>
      <c r="B2616" s="10" t="s">
        <v>18</v>
      </c>
      <c r="C2616" s="10" t="s">
        <v>27</v>
      </c>
      <c r="D2616" s="17">
        <v>1059.98</v>
      </c>
    </row>
    <row r="2617" spans="1:4" x14ac:dyDescent="0.3">
      <c r="A2617" s="12"/>
      <c r="B2617" s="12"/>
      <c r="C2617" s="14" t="s">
        <v>14</v>
      </c>
      <c r="D2617" s="18">
        <v>1199.98</v>
      </c>
    </row>
    <row r="2618" spans="1:4" x14ac:dyDescent="0.3">
      <c r="A2618" s="12"/>
      <c r="B2618" s="12"/>
      <c r="C2618" s="14" t="s">
        <v>30</v>
      </c>
      <c r="D2618" s="18">
        <v>3361.98</v>
      </c>
    </row>
    <row r="2619" spans="1:4" x14ac:dyDescent="0.3">
      <c r="A2619" s="12"/>
      <c r="B2619" s="10" t="s">
        <v>1916</v>
      </c>
      <c r="C2619" s="11"/>
      <c r="D2619" s="17">
        <v>5621.9400000000005</v>
      </c>
    </row>
    <row r="2620" spans="1:4" x14ac:dyDescent="0.3">
      <c r="A2620" s="10" t="s">
        <v>847</v>
      </c>
      <c r="B2620" s="11"/>
      <c r="C2620" s="11"/>
      <c r="D2620" s="17">
        <v>5621.9400000000005</v>
      </c>
    </row>
    <row r="2621" spans="1:4" x14ac:dyDescent="0.3">
      <c r="A2621" s="10">
        <v>552</v>
      </c>
      <c r="B2621" s="10" t="s">
        <v>18</v>
      </c>
      <c r="C2621" s="10" t="s">
        <v>33</v>
      </c>
      <c r="D2621" s="17">
        <v>299.99</v>
      </c>
    </row>
    <row r="2622" spans="1:4" x14ac:dyDescent="0.3">
      <c r="A2622" s="12"/>
      <c r="B2622" s="12"/>
      <c r="C2622" s="14" t="s">
        <v>25</v>
      </c>
      <c r="D2622" s="18">
        <v>549.99</v>
      </c>
    </row>
    <row r="2623" spans="1:4" x14ac:dyDescent="0.3">
      <c r="A2623" s="12"/>
      <c r="B2623" s="12"/>
      <c r="C2623" s="14" t="s">
        <v>24</v>
      </c>
      <c r="D2623" s="18">
        <v>449</v>
      </c>
    </row>
    <row r="2624" spans="1:4" x14ac:dyDescent="0.3">
      <c r="A2624" s="12"/>
      <c r="B2624" s="12"/>
      <c r="C2624" s="14" t="s">
        <v>36</v>
      </c>
      <c r="D2624" s="18">
        <v>898</v>
      </c>
    </row>
    <row r="2625" spans="1:4" x14ac:dyDescent="0.3">
      <c r="A2625" s="12"/>
      <c r="B2625" s="12"/>
      <c r="C2625" s="14" t="s">
        <v>22</v>
      </c>
      <c r="D2625" s="18">
        <v>749.99</v>
      </c>
    </row>
    <row r="2626" spans="1:4" x14ac:dyDescent="0.3">
      <c r="A2626" s="12"/>
      <c r="B2626" s="10" t="s">
        <v>1916</v>
      </c>
      <c r="C2626" s="11"/>
      <c r="D2626" s="17">
        <v>2946.9700000000003</v>
      </c>
    </row>
    <row r="2627" spans="1:4" x14ac:dyDescent="0.3">
      <c r="A2627" s="10" t="s">
        <v>848</v>
      </c>
      <c r="B2627" s="11"/>
      <c r="C2627" s="11"/>
      <c r="D2627" s="17">
        <v>2946.9700000000003</v>
      </c>
    </row>
    <row r="2628" spans="1:4" x14ac:dyDescent="0.3">
      <c r="A2628" s="10">
        <v>553</v>
      </c>
      <c r="B2628" s="10" t="s">
        <v>37</v>
      </c>
      <c r="C2628" s="10" t="s">
        <v>25</v>
      </c>
      <c r="D2628" s="17">
        <v>1099.98</v>
      </c>
    </row>
    <row r="2629" spans="1:4" x14ac:dyDescent="0.3">
      <c r="A2629" s="12"/>
      <c r="B2629" s="12"/>
      <c r="C2629" s="14" t="s">
        <v>24</v>
      </c>
      <c r="D2629" s="18">
        <v>898</v>
      </c>
    </row>
    <row r="2630" spans="1:4" x14ac:dyDescent="0.3">
      <c r="A2630" s="12"/>
      <c r="B2630" s="10" t="s">
        <v>1917</v>
      </c>
      <c r="C2630" s="11"/>
      <c r="D2630" s="17">
        <v>1997.98</v>
      </c>
    </row>
    <row r="2631" spans="1:4" x14ac:dyDescent="0.3">
      <c r="A2631" s="10" t="s">
        <v>849</v>
      </c>
      <c r="B2631" s="11"/>
      <c r="C2631" s="11"/>
      <c r="D2631" s="17">
        <v>1997.98</v>
      </c>
    </row>
    <row r="2632" spans="1:4" x14ac:dyDescent="0.3">
      <c r="A2632" s="10">
        <v>554</v>
      </c>
      <c r="B2632" s="10" t="s">
        <v>11</v>
      </c>
      <c r="C2632" s="10" t="s">
        <v>28</v>
      </c>
      <c r="D2632" s="17">
        <v>269.99</v>
      </c>
    </row>
    <row r="2633" spans="1:4" x14ac:dyDescent="0.3">
      <c r="A2633" s="12"/>
      <c r="B2633" s="12"/>
      <c r="C2633" s="14" t="s">
        <v>20</v>
      </c>
      <c r="D2633" s="18">
        <v>1999.98</v>
      </c>
    </row>
    <row r="2634" spans="1:4" x14ac:dyDescent="0.3">
      <c r="A2634" s="12"/>
      <c r="B2634" s="12"/>
      <c r="C2634" s="14" t="s">
        <v>16</v>
      </c>
      <c r="D2634" s="18">
        <v>5799.98</v>
      </c>
    </row>
    <row r="2635" spans="1:4" x14ac:dyDescent="0.3">
      <c r="A2635" s="12"/>
      <c r="B2635" s="10" t="s">
        <v>1915</v>
      </c>
      <c r="C2635" s="11"/>
      <c r="D2635" s="17">
        <v>8069.95</v>
      </c>
    </row>
    <row r="2636" spans="1:4" x14ac:dyDescent="0.3">
      <c r="A2636" s="10" t="s">
        <v>850</v>
      </c>
      <c r="B2636" s="11"/>
      <c r="C2636" s="11"/>
      <c r="D2636" s="17">
        <v>8069.95</v>
      </c>
    </row>
    <row r="2637" spans="1:4" x14ac:dyDescent="0.3">
      <c r="A2637" s="10">
        <v>555</v>
      </c>
      <c r="B2637" s="10" t="s">
        <v>18</v>
      </c>
      <c r="C2637" s="10" t="s">
        <v>10</v>
      </c>
      <c r="D2637" s="17">
        <v>1199.98</v>
      </c>
    </row>
    <row r="2638" spans="1:4" x14ac:dyDescent="0.3">
      <c r="A2638" s="12"/>
      <c r="B2638" s="12"/>
      <c r="C2638" s="14" t="s">
        <v>12</v>
      </c>
      <c r="D2638" s="18">
        <v>1799.99</v>
      </c>
    </row>
    <row r="2639" spans="1:4" x14ac:dyDescent="0.3">
      <c r="A2639" s="12"/>
      <c r="B2639" s="12"/>
      <c r="C2639" s="14" t="s">
        <v>29</v>
      </c>
      <c r="D2639" s="18">
        <v>3999.99</v>
      </c>
    </row>
    <row r="2640" spans="1:4" x14ac:dyDescent="0.3">
      <c r="A2640" s="12"/>
      <c r="B2640" s="10" t="s">
        <v>1916</v>
      </c>
      <c r="C2640" s="11"/>
      <c r="D2640" s="17">
        <v>6999.96</v>
      </c>
    </row>
    <row r="2641" spans="1:4" x14ac:dyDescent="0.3">
      <c r="A2641" s="10" t="s">
        <v>851</v>
      </c>
      <c r="B2641" s="11"/>
      <c r="C2641" s="11"/>
      <c r="D2641" s="17">
        <v>6999.96</v>
      </c>
    </row>
    <row r="2642" spans="1:4" x14ac:dyDescent="0.3">
      <c r="A2642" s="10">
        <v>556</v>
      </c>
      <c r="B2642" s="10" t="s">
        <v>37</v>
      </c>
      <c r="C2642" s="10" t="s">
        <v>14</v>
      </c>
      <c r="D2642" s="17">
        <v>599.99</v>
      </c>
    </row>
    <row r="2643" spans="1:4" x14ac:dyDescent="0.3">
      <c r="A2643" s="12"/>
      <c r="B2643" s="12"/>
      <c r="C2643" s="14" t="s">
        <v>16</v>
      </c>
      <c r="D2643" s="18">
        <v>5799.98</v>
      </c>
    </row>
    <row r="2644" spans="1:4" x14ac:dyDescent="0.3">
      <c r="A2644" s="12"/>
      <c r="B2644" s="10" t="s">
        <v>1917</v>
      </c>
      <c r="C2644" s="11"/>
      <c r="D2644" s="17">
        <v>6399.9699999999993</v>
      </c>
    </row>
    <row r="2645" spans="1:4" x14ac:dyDescent="0.3">
      <c r="A2645" s="10" t="s">
        <v>852</v>
      </c>
      <c r="B2645" s="11"/>
      <c r="C2645" s="11"/>
      <c r="D2645" s="17">
        <v>6399.9699999999993</v>
      </c>
    </row>
    <row r="2646" spans="1:4" x14ac:dyDescent="0.3">
      <c r="A2646" s="10">
        <v>557</v>
      </c>
      <c r="B2646" s="10" t="s">
        <v>18</v>
      </c>
      <c r="C2646" s="10" t="s">
        <v>13</v>
      </c>
      <c r="D2646" s="17">
        <v>1549</v>
      </c>
    </row>
    <row r="2647" spans="1:4" x14ac:dyDescent="0.3">
      <c r="A2647" s="12"/>
      <c r="B2647" s="12"/>
      <c r="C2647" s="14" t="s">
        <v>26</v>
      </c>
      <c r="D2647" s="18">
        <v>5999.98</v>
      </c>
    </row>
    <row r="2648" spans="1:4" x14ac:dyDescent="0.3">
      <c r="A2648" s="12"/>
      <c r="B2648" s="10" t="s">
        <v>1916</v>
      </c>
      <c r="C2648" s="11"/>
      <c r="D2648" s="17">
        <v>7548.98</v>
      </c>
    </row>
    <row r="2649" spans="1:4" x14ac:dyDescent="0.3">
      <c r="A2649" s="10" t="s">
        <v>853</v>
      </c>
      <c r="B2649" s="11"/>
      <c r="C2649" s="11"/>
      <c r="D2649" s="17">
        <v>7548.98</v>
      </c>
    </row>
    <row r="2650" spans="1:4" x14ac:dyDescent="0.3">
      <c r="A2650" s="10">
        <v>558</v>
      </c>
      <c r="B2650" s="10" t="s">
        <v>18</v>
      </c>
      <c r="C2650" s="10" t="s">
        <v>31</v>
      </c>
      <c r="D2650" s="17">
        <v>539.98</v>
      </c>
    </row>
    <row r="2651" spans="1:4" x14ac:dyDescent="0.3">
      <c r="A2651" s="12"/>
      <c r="B2651" s="12"/>
      <c r="C2651" s="14" t="s">
        <v>14</v>
      </c>
      <c r="D2651" s="18">
        <v>599.99</v>
      </c>
    </row>
    <row r="2652" spans="1:4" x14ac:dyDescent="0.3">
      <c r="A2652" s="12"/>
      <c r="B2652" s="12"/>
      <c r="C2652" s="14" t="s">
        <v>13</v>
      </c>
      <c r="D2652" s="18">
        <v>3098</v>
      </c>
    </row>
    <row r="2653" spans="1:4" x14ac:dyDescent="0.3">
      <c r="A2653" s="12"/>
      <c r="B2653" s="12"/>
      <c r="C2653" s="14" t="s">
        <v>26</v>
      </c>
      <c r="D2653" s="18">
        <v>2999.99</v>
      </c>
    </row>
    <row r="2654" spans="1:4" x14ac:dyDescent="0.3">
      <c r="A2654" s="12"/>
      <c r="B2654" s="12"/>
      <c r="C2654" s="14" t="s">
        <v>29</v>
      </c>
      <c r="D2654" s="18">
        <v>3999.99</v>
      </c>
    </row>
    <row r="2655" spans="1:4" x14ac:dyDescent="0.3">
      <c r="A2655" s="12"/>
      <c r="B2655" s="10" t="s">
        <v>1916</v>
      </c>
      <c r="C2655" s="11"/>
      <c r="D2655" s="17">
        <v>11237.95</v>
      </c>
    </row>
    <row r="2656" spans="1:4" x14ac:dyDescent="0.3">
      <c r="A2656" s="10" t="s">
        <v>854</v>
      </c>
      <c r="B2656" s="11"/>
      <c r="C2656" s="11"/>
      <c r="D2656" s="17">
        <v>11237.95</v>
      </c>
    </row>
    <row r="2657" spans="1:4" x14ac:dyDescent="0.3">
      <c r="A2657" s="10">
        <v>559</v>
      </c>
      <c r="B2657" s="10" t="s">
        <v>11</v>
      </c>
      <c r="C2657" s="10" t="s">
        <v>27</v>
      </c>
      <c r="D2657" s="17">
        <v>1059.98</v>
      </c>
    </row>
    <row r="2658" spans="1:4" x14ac:dyDescent="0.3">
      <c r="A2658" s="12"/>
      <c r="B2658" s="12"/>
      <c r="C2658" s="14" t="s">
        <v>32</v>
      </c>
      <c r="D2658" s="18">
        <v>469.99</v>
      </c>
    </row>
    <row r="2659" spans="1:4" x14ac:dyDescent="0.3">
      <c r="A2659" s="12"/>
      <c r="B2659" s="12"/>
      <c r="C2659" s="14" t="s">
        <v>29</v>
      </c>
      <c r="D2659" s="18">
        <v>7999.98</v>
      </c>
    </row>
    <row r="2660" spans="1:4" x14ac:dyDescent="0.3">
      <c r="A2660" s="12"/>
      <c r="B2660" s="10" t="s">
        <v>1915</v>
      </c>
      <c r="C2660" s="11"/>
      <c r="D2660" s="17">
        <v>9529.9499999999989</v>
      </c>
    </row>
    <row r="2661" spans="1:4" x14ac:dyDescent="0.3">
      <c r="A2661" s="10" t="s">
        <v>855</v>
      </c>
      <c r="B2661" s="11"/>
      <c r="C2661" s="11"/>
      <c r="D2661" s="17">
        <v>9529.9499999999989</v>
      </c>
    </row>
    <row r="2662" spans="1:4" x14ac:dyDescent="0.3">
      <c r="A2662" s="10">
        <v>560</v>
      </c>
      <c r="B2662" s="10" t="s">
        <v>18</v>
      </c>
      <c r="C2662" s="10" t="s">
        <v>14</v>
      </c>
      <c r="D2662" s="17">
        <v>1799.97</v>
      </c>
    </row>
    <row r="2663" spans="1:4" x14ac:dyDescent="0.3">
      <c r="A2663" s="12"/>
      <c r="B2663" s="10" t="s">
        <v>1916</v>
      </c>
      <c r="C2663" s="11"/>
      <c r="D2663" s="17">
        <v>1799.97</v>
      </c>
    </row>
    <row r="2664" spans="1:4" x14ac:dyDescent="0.3">
      <c r="A2664" s="10" t="s">
        <v>856</v>
      </c>
      <c r="B2664" s="11"/>
      <c r="C2664" s="11"/>
      <c r="D2664" s="17">
        <v>1799.97</v>
      </c>
    </row>
    <row r="2665" spans="1:4" x14ac:dyDescent="0.3">
      <c r="A2665" s="10">
        <v>561</v>
      </c>
      <c r="B2665" s="10" t="s">
        <v>18</v>
      </c>
      <c r="C2665" s="10" t="s">
        <v>27</v>
      </c>
      <c r="D2665" s="17">
        <v>1059.98</v>
      </c>
    </row>
    <row r="2666" spans="1:4" x14ac:dyDescent="0.3">
      <c r="A2666" s="12"/>
      <c r="B2666" s="12"/>
      <c r="C2666" s="14" t="s">
        <v>34</v>
      </c>
      <c r="D2666" s="18">
        <v>1320.99</v>
      </c>
    </row>
    <row r="2667" spans="1:4" x14ac:dyDescent="0.3">
      <c r="A2667" s="12"/>
      <c r="B2667" s="12"/>
      <c r="C2667" s="14" t="s">
        <v>23</v>
      </c>
      <c r="D2667" s="18">
        <v>858</v>
      </c>
    </row>
    <row r="2668" spans="1:4" x14ac:dyDescent="0.3">
      <c r="A2668" s="12"/>
      <c r="B2668" s="12"/>
      <c r="C2668" s="14" t="s">
        <v>24</v>
      </c>
      <c r="D2668" s="18">
        <v>449</v>
      </c>
    </row>
    <row r="2669" spans="1:4" x14ac:dyDescent="0.3">
      <c r="A2669" s="12"/>
      <c r="B2669" s="10" t="s">
        <v>1916</v>
      </c>
      <c r="C2669" s="11"/>
      <c r="D2669" s="17">
        <v>3687.9700000000003</v>
      </c>
    </row>
    <row r="2670" spans="1:4" x14ac:dyDescent="0.3">
      <c r="A2670" s="10" t="s">
        <v>857</v>
      </c>
      <c r="B2670" s="11"/>
      <c r="C2670" s="11"/>
      <c r="D2670" s="17">
        <v>3687.9700000000003</v>
      </c>
    </row>
    <row r="2671" spans="1:4" x14ac:dyDescent="0.3">
      <c r="A2671" s="10">
        <v>562</v>
      </c>
      <c r="B2671" s="10" t="s">
        <v>18</v>
      </c>
      <c r="C2671" s="10" t="s">
        <v>35</v>
      </c>
      <c r="D2671" s="17">
        <v>999.98</v>
      </c>
    </row>
    <row r="2672" spans="1:4" x14ac:dyDescent="0.3">
      <c r="A2672" s="12"/>
      <c r="B2672" s="12"/>
      <c r="C2672" s="14" t="s">
        <v>14</v>
      </c>
      <c r="D2672" s="18">
        <v>599.99</v>
      </c>
    </row>
    <row r="2673" spans="1:4" x14ac:dyDescent="0.3">
      <c r="A2673" s="12"/>
      <c r="B2673" s="10" t="s">
        <v>1916</v>
      </c>
      <c r="C2673" s="11"/>
      <c r="D2673" s="17">
        <v>1599.97</v>
      </c>
    </row>
    <row r="2674" spans="1:4" x14ac:dyDescent="0.3">
      <c r="A2674" s="10" t="s">
        <v>858</v>
      </c>
      <c r="B2674" s="11"/>
      <c r="C2674" s="11"/>
      <c r="D2674" s="17">
        <v>1599.97</v>
      </c>
    </row>
    <row r="2675" spans="1:4" x14ac:dyDescent="0.3">
      <c r="A2675" s="10">
        <v>563</v>
      </c>
      <c r="B2675" s="10" t="s">
        <v>18</v>
      </c>
      <c r="C2675" s="10" t="s">
        <v>31</v>
      </c>
      <c r="D2675" s="17">
        <v>539.98</v>
      </c>
    </row>
    <row r="2676" spans="1:4" x14ac:dyDescent="0.3">
      <c r="A2676" s="12"/>
      <c r="B2676" s="12"/>
      <c r="C2676" s="14" t="s">
        <v>36</v>
      </c>
      <c r="D2676" s="18">
        <v>449</v>
      </c>
    </row>
    <row r="2677" spans="1:4" x14ac:dyDescent="0.3">
      <c r="A2677" s="12"/>
      <c r="B2677" s="12"/>
      <c r="C2677" s="14" t="s">
        <v>32</v>
      </c>
      <c r="D2677" s="18">
        <v>939.98</v>
      </c>
    </row>
    <row r="2678" spans="1:4" x14ac:dyDescent="0.3">
      <c r="A2678" s="12"/>
      <c r="B2678" s="10" t="s">
        <v>1916</v>
      </c>
      <c r="C2678" s="11"/>
      <c r="D2678" s="17">
        <v>1928.96</v>
      </c>
    </row>
    <row r="2679" spans="1:4" x14ac:dyDescent="0.3">
      <c r="A2679" s="10" t="s">
        <v>859</v>
      </c>
      <c r="B2679" s="11"/>
      <c r="C2679" s="11"/>
      <c r="D2679" s="17">
        <v>1928.96</v>
      </c>
    </row>
    <row r="2680" spans="1:4" x14ac:dyDescent="0.3">
      <c r="A2680" s="10">
        <v>564</v>
      </c>
      <c r="B2680" s="10" t="s">
        <v>18</v>
      </c>
      <c r="C2680" s="10" t="s">
        <v>27</v>
      </c>
      <c r="D2680" s="17">
        <v>529.99</v>
      </c>
    </row>
    <row r="2681" spans="1:4" x14ac:dyDescent="0.3">
      <c r="A2681" s="12"/>
      <c r="B2681" s="12"/>
      <c r="C2681" s="14" t="s">
        <v>16</v>
      </c>
      <c r="D2681" s="18">
        <v>2899.99</v>
      </c>
    </row>
    <row r="2682" spans="1:4" x14ac:dyDescent="0.3">
      <c r="A2682" s="12"/>
      <c r="B2682" s="10" t="s">
        <v>1916</v>
      </c>
      <c r="C2682" s="11"/>
      <c r="D2682" s="17">
        <v>3429.9799999999996</v>
      </c>
    </row>
    <row r="2683" spans="1:4" x14ac:dyDescent="0.3">
      <c r="A2683" s="10" t="s">
        <v>860</v>
      </c>
      <c r="B2683" s="11"/>
      <c r="C2683" s="11"/>
      <c r="D2683" s="17">
        <v>3429.9799999999996</v>
      </c>
    </row>
    <row r="2684" spans="1:4" x14ac:dyDescent="0.3">
      <c r="A2684" s="10">
        <v>565</v>
      </c>
      <c r="B2684" s="10" t="s">
        <v>18</v>
      </c>
      <c r="C2684" s="10" t="s">
        <v>35</v>
      </c>
      <c r="D2684" s="17">
        <v>999.98</v>
      </c>
    </row>
    <row r="2685" spans="1:4" x14ac:dyDescent="0.3">
      <c r="A2685" s="12"/>
      <c r="B2685" s="12"/>
      <c r="C2685" s="14" t="s">
        <v>23</v>
      </c>
      <c r="D2685" s="18">
        <v>429</v>
      </c>
    </row>
    <row r="2686" spans="1:4" x14ac:dyDescent="0.3">
      <c r="A2686" s="12"/>
      <c r="B2686" s="12"/>
      <c r="C2686" s="14" t="s">
        <v>24</v>
      </c>
      <c r="D2686" s="18">
        <v>449</v>
      </c>
    </row>
    <row r="2687" spans="1:4" x14ac:dyDescent="0.3">
      <c r="A2687" s="12"/>
      <c r="B2687" s="12"/>
      <c r="C2687" s="14" t="s">
        <v>26</v>
      </c>
      <c r="D2687" s="18">
        <v>2999.99</v>
      </c>
    </row>
    <row r="2688" spans="1:4" x14ac:dyDescent="0.3">
      <c r="A2688" s="12"/>
      <c r="B2688" s="10" t="s">
        <v>1916</v>
      </c>
      <c r="C2688" s="11"/>
      <c r="D2688" s="17">
        <v>4877.9699999999993</v>
      </c>
    </row>
    <row r="2689" spans="1:4" x14ac:dyDescent="0.3">
      <c r="A2689" s="10" t="s">
        <v>861</v>
      </c>
      <c r="B2689" s="11"/>
      <c r="C2689" s="11"/>
      <c r="D2689" s="17">
        <v>4877.9699999999993</v>
      </c>
    </row>
    <row r="2690" spans="1:4" x14ac:dyDescent="0.3">
      <c r="A2690" s="10">
        <v>566</v>
      </c>
      <c r="B2690" s="10" t="s">
        <v>11</v>
      </c>
      <c r="C2690" s="10" t="s">
        <v>31</v>
      </c>
      <c r="D2690" s="17">
        <v>539.98</v>
      </c>
    </row>
    <row r="2691" spans="1:4" x14ac:dyDescent="0.3">
      <c r="A2691" s="12"/>
      <c r="B2691" s="12"/>
      <c r="C2691" s="14" t="s">
        <v>25</v>
      </c>
      <c r="D2691" s="18">
        <v>1099.98</v>
      </c>
    </row>
    <row r="2692" spans="1:4" x14ac:dyDescent="0.3">
      <c r="A2692" s="12"/>
      <c r="B2692" s="12"/>
      <c r="C2692" s="14" t="s">
        <v>12</v>
      </c>
      <c r="D2692" s="18">
        <v>1799.99</v>
      </c>
    </row>
    <row r="2693" spans="1:4" x14ac:dyDescent="0.3">
      <c r="A2693" s="12"/>
      <c r="B2693" s="12"/>
      <c r="C2693" s="14" t="s">
        <v>29</v>
      </c>
      <c r="D2693" s="18">
        <v>7999.98</v>
      </c>
    </row>
    <row r="2694" spans="1:4" x14ac:dyDescent="0.3">
      <c r="A2694" s="12"/>
      <c r="B2694" s="10" t="s">
        <v>1915</v>
      </c>
      <c r="C2694" s="11"/>
      <c r="D2694" s="17">
        <v>11439.93</v>
      </c>
    </row>
    <row r="2695" spans="1:4" x14ac:dyDescent="0.3">
      <c r="A2695" s="10" t="s">
        <v>862</v>
      </c>
      <c r="B2695" s="11"/>
      <c r="C2695" s="11"/>
      <c r="D2695" s="17">
        <v>11439.93</v>
      </c>
    </row>
    <row r="2696" spans="1:4" x14ac:dyDescent="0.3">
      <c r="A2696" s="10">
        <v>567</v>
      </c>
      <c r="B2696" s="10" t="s">
        <v>11</v>
      </c>
      <c r="C2696" s="10" t="s">
        <v>34</v>
      </c>
      <c r="D2696" s="17">
        <v>1320.99</v>
      </c>
    </row>
    <row r="2697" spans="1:4" x14ac:dyDescent="0.3">
      <c r="A2697" s="12"/>
      <c r="B2697" s="12"/>
      <c r="C2697" s="14" t="s">
        <v>26</v>
      </c>
      <c r="D2697" s="18">
        <v>2999.99</v>
      </c>
    </row>
    <row r="2698" spans="1:4" x14ac:dyDescent="0.3">
      <c r="A2698" s="12"/>
      <c r="B2698" s="10" t="s">
        <v>1915</v>
      </c>
      <c r="C2698" s="11"/>
      <c r="D2698" s="17">
        <v>4320.9799999999996</v>
      </c>
    </row>
    <row r="2699" spans="1:4" x14ac:dyDescent="0.3">
      <c r="A2699" s="10" t="s">
        <v>863</v>
      </c>
      <c r="B2699" s="11"/>
      <c r="C2699" s="11"/>
      <c r="D2699" s="17">
        <v>4320.9799999999996</v>
      </c>
    </row>
    <row r="2700" spans="1:4" x14ac:dyDescent="0.3">
      <c r="A2700" s="10">
        <v>568</v>
      </c>
      <c r="B2700" s="10" t="s">
        <v>11</v>
      </c>
      <c r="C2700" s="10" t="s">
        <v>34</v>
      </c>
      <c r="D2700" s="17">
        <v>1320.99</v>
      </c>
    </row>
    <row r="2701" spans="1:4" x14ac:dyDescent="0.3">
      <c r="A2701" s="12"/>
      <c r="B2701" s="12"/>
      <c r="C2701" s="14" t="s">
        <v>13</v>
      </c>
      <c r="D2701" s="18">
        <v>1549</v>
      </c>
    </row>
    <row r="2702" spans="1:4" x14ac:dyDescent="0.3">
      <c r="A2702" s="12"/>
      <c r="B2702" s="10" t="s">
        <v>1915</v>
      </c>
      <c r="C2702" s="11"/>
      <c r="D2702" s="17">
        <v>2869.99</v>
      </c>
    </row>
    <row r="2703" spans="1:4" x14ac:dyDescent="0.3">
      <c r="A2703" s="10" t="s">
        <v>864</v>
      </c>
      <c r="B2703" s="11"/>
      <c r="C2703" s="11"/>
      <c r="D2703" s="17">
        <v>2869.99</v>
      </c>
    </row>
    <row r="2704" spans="1:4" x14ac:dyDescent="0.3">
      <c r="A2704" s="10">
        <v>569</v>
      </c>
      <c r="B2704" s="10" t="s">
        <v>18</v>
      </c>
      <c r="C2704" s="10" t="s">
        <v>25</v>
      </c>
      <c r="D2704" s="17">
        <v>1099.98</v>
      </c>
    </row>
    <row r="2705" spans="1:4" x14ac:dyDescent="0.3">
      <c r="A2705" s="12"/>
      <c r="B2705" s="12"/>
      <c r="C2705" s="14" t="s">
        <v>14</v>
      </c>
      <c r="D2705" s="18">
        <v>599.99</v>
      </c>
    </row>
    <row r="2706" spans="1:4" x14ac:dyDescent="0.3">
      <c r="A2706" s="12"/>
      <c r="B2706" s="10" t="s">
        <v>1916</v>
      </c>
      <c r="C2706" s="11"/>
      <c r="D2706" s="17">
        <v>1699.97</v>
      </c>
    </row>
    <row r="2707" spans="1:4" x14ac:dyDescent="0.3">
      <c r="A2707" s="10" t="s">
        <v>865</v>
      </c>
      <c r="B2707" s="11"/>
      <c r="C2707" s="11"/>
      <c r="D2707" s="17">
        <v>1699.97</v>
      </c>
    </row>
    <row r="2708" spans="1:4" x14ac:dyDescent="0.3">
      <c r="A2708" s="10">
        <v>570</v>
      </c>
      <c r="B2708" s="10" t="s">
        <v>18</v>
      </c>
      <c r="C2708" s="10" t="s">
        <v>25</v>
      </c>
      <c r="D2708" s="17">
        <v>1099.98</v>
      </c>
    </row>
    <row r="2709" spans="1:4" x14ac:dyDescent="0.3">
      <c r="A2709" s="12"/>
      <c r="B2709" s="12"/>
      <c r="C2709" s="14" t="s">
        <v>14</v>
      </c>
      <c r="D2709" s="18">
        <v>599.99</v>
      </c>
    </row>
    <row r="2710" spans="1:4" x14ac:dyDescent="0.3">
      <c r="A2710" s="12"/>
      <c r="B2710" s="12"/>
      <c r="C2710" s="14" t="s">
        <v>24</v>
      </c>
      <c r="D2710" s="18">
        <v>449</v>
      </c>
    </row>
    <row r="2711" spans="1:4" x14ac:dyDescent="0.3">
      <c r="A2711" s="12"/>
      <c r="B2711" s="12"/>
      <c r="C2711" s="14" t="s">
        <v>30</v>
      </c>
      <c r="D2711" s="18">
        <v>1680.99</v>
      </c>
    </row>
    <row r="2712" spans="1:4" x14ac:dyDescent="0.3">
      <c r="A2712" s="12"/>
      <c r="B2712" s="12"/>
      <c r="C2712" s="14" t="s">
        <v>20</v>
      </c>
      <c r="D2712" s="18">
        <v>1999.98</v>
      </c>
    </row>
    <row r="2713" spans="1:4" x14ac:dyDescent="0.3">
      <c r="A2713" s="12"/>
      <c r="B2713" s="10" t="s">
        <v>1916</v>
      </c>
      <c r="C2713" s="11"/>
      <c r="D2713" s="17">
        <v>5829.9400000000005</v>
      </c>
    </row>
    <row r="2714" spans="1:4" x14ac:dyDescent="0.3">
      <c r="A2714" s="10" t="s">
        <v>866</v>
      </c>
      <c r="B2714" s="11"/>
      <c r="C2714" s="11"/>
      <c r="D2714" s="17">
        <v>5829.9400000000005</v>
      </c>
    </row>
    <row r="2715" spans="1:4" x14ac:dyDescent="0.3">
      <c r="A2715" s="10">
        <v>571</v>
      </c>
      <c r="B2715" s="10" t="s">
        <v>11</v>
      </c>
      <c r="C2715" s="10" t="s">
        <v>26</v>
      </c>
      <c r="D2715" s="17">
        <v>2999.99</v>
      </c>
    </row>
    <row r="2716" spans="1:4" x14ac:dyDescent="0.3">
      <c r="A2716" s="12"/>
      <c r="B2716" s="12"/>
      <c r="C2716" s="14" t="s">
        <v>16</v>
      </c>
      <c r="D2716" s="18">
        <v>2899.99</v>
      </c>
    </row>
    <row r="2717" spans="1:4" x14ac:dyDescent="0.3">
      <c r="A2717" s="12"/>
      <c r="B2717" s="10" t="s">
        <v>1915</v>
      </c>
      <c r="C2717" s="11"/>
      <c r="D2717" s="17">
        <v>5899.98</v>
      </c>
    </row>
    <row r="2718" spans="1:4" x14ac:dyDescent="0.3">
      <c r="A2718" s="10" t="s">
        <v>867</v>
      </c>
      <c r="B2718" s="11"/>
      <c r="C2718" s="11"/>
      <c r="D2718" s="17">
        <v>5899.98</v>
      </c>
    </row>
    <row r="2719" spans="1:4" x14ac:dyDescent="0.3">
      <c r="A2719" s="10">
        <v>572</v>
      </c>
      <c r="B2719" s="10" t="s">
        <v>18</v>
      </c>
      <c r="C2719" s="10" t="s">
        <v>31</v>
      </c>
      <c r="D2719" s="17">
        <v>539.98</v>
      </c>
    </row>
    <row r="2720" spans="1:4" x14ac:dyDescent="0.3">
      <c r="A2720" s="12"/>
      <c r="B2720" s="12"/>
      <c r="C2720" s="14" t="s">
        <v>30</v>
      </c>
      <c r="D2720" s="18">
        <v>3361.98</v>
      </c>
    </row>
    <row r="2721" spans="1:4" x14ac:dyDescent="0.3">
      <c r="A2721" s="12"/>
      <c r="B2721" s="12"/>
      <c r="C2721" s="14" t="s">
        <v>20</v>
      </c>
      <c r="D2721" s="18">
        <v>999.99</v>
      </c>
    </row>
    <row r="2722" spans="1:4" x14ac:dyDescent="0.3">
      <c r="A2722" s="12"/>
      <c r="B2722" s="10" t="s">
        <v>1916</v>
      </c>
      <c r="C2722" s="11"/>
      <c r="D2722" s="17">
        <v>4901.95</v>
      </c>
    </row>
    <row r="2723" spans="1:4" x14ac:dyDescent="0.3">
      <c r="A2723" s="10" t="s">
        <v>868</v>
      </c>
      <c r="B2723" s="11"/>
      <c r="C2723" s="11"/>
      <c r="D2723" s="17">
        <v>4901.95</v>
      </c>
    </row>
    <row r="2724" spans="1:4" x14ac:dyDescent="0.3">
      <c r="A2724" s="10">
        <v>573</v>
      </c>
      <c r="B2724" s="10" t="s">
        <v>18</v>
      </c>
      <c r="C2724" s="10" t="s">
        <v>22</v>
      </c>
      <c r="D2724" s="17">
        <v>749.99</v>
      </c>
    </row>
    <row r="2725" spans="1:4" x14ac:dyDescent="0.3">
      <c r="A2725" s="12"/>
      <c r="B2725" s="10" t="s">
        <v>1916</v>
      </c>
      <c r="C2725" s="11"/>
      <c r="D2725" s="17">
        <v>749.99</v>
      </c>
    </row>
    <row r="2726" spans="1:4" x14ac:dyDescent="0.3">
      <c r="A2726" s="10" t="s">
        <v>869</v>
      </c>
      <c r="B2726" s="11"/>
      <c r="C2726" s="11"/>
      <c r="D2726" s="17">
        <v>749.99</v>
      </c>
    </row>
    <row r="2727" spans="1:4" x14ac:dyDescent="0.3">
      <c r="A2727" s="10">
        <v>574</v>
      </c>
      <c r="B2727" s="10" t="s">
        <v>18</v>
      </c>
      <c r="C2727" s="10" t="s">
        <v>31</v>
      </c>
      <c r="D2727" s="17">
        <v>539.98</v>
      </c>
    </row>
    <row r="2728" spans="1:4" x14ac:dyDescent="0.3">
      <c r="A2728" s="12"/>
      <c r="B2728" s="12"/>
      <c r="C2728" s="14" t="s">
        <v>33</v>
      </c>
      <c r="D2728" s="18">
        <v>599.98</v>
      </c>
    </row>
    <row r="2729" spans="1:4" x14ac:dyDescent="0.3">
      <c r="A2729" s="12"/>
      <c r="B2729" s="12"/>
      <c r="C2729" s="14" t="s">
        <v>25</v>
      </c>
      <c r="D2729" s="18">
        <v>1099.98</v>
      </c>
    </row>
    <row r="2730" spans="1:4" x14ac:dyDescent="0.3">
      <c r="A2730" s="12"/>
      <c r="B2730" s="12"/>
      <c r="C2730" s="14" t="s">
        <v>14</v>
      </c>
      <c r="D2730" s="18">
        <v>599.99</v>
      </c>
    </row>
    <row r="2731" spans="1:4" x14ac:dyDescent="0.3">
      <c r="A2731" s="12"/>
      <c r="B2731" s="12"/>
      <c r="C2731" s="14" t="s">
        <v>30</v>
      </c>
      <c r="D2731" s="18">
        <v>3361.98</v>
      </c>
    </row>
    <row r="2732" spans="1:4" x14ac:dyDescent="0.3">
      <c r="A2732" s="12"/>
      <c r="B2732" s="10" t="s">
        <v>1916</v>
      </c>
      <c r="C2732" s="11"/>
      <c r="D2732" s="17">
        <v>6201.91</v>
      </c>
    </row>
    <row r="2733" spans="1:4" x14ac:dyDescent="0.3">
      <c r="A2733" s="10" t="s">
        <v>870</v>
      </c>
      <c r="B2733" s="11"/>
      <c r="C2733" s="11"/>
      <c r="D2733" s="17">
        <v>6201.91</v>
      </c>
    </row>
    <row r="2734" spans="1:4" x14ac:dyDescent="0.3">
      <c r="A2734" s="10">
        <v>575</v>
      </c>
      <c r="B2734" s="10" t="s">
        <v>11</v>
      </c>
      <c r="C2734" s="10" t="s">
        <v>25</v>
      </c>
      <c r="D2734" s="17">
        <v>549.99</v>
      </c>
    </row>
    <row r="2735" spans="1:4" x14ac:dyDescent="0.3">
      <c r="A2735" s="12"/>
      <c r="B2735" s="12"/>
      <c r="C2735" s="14" t="s">
        <v>16</v>
      </c>
      <c r="D2735" s="18">
        <v>5799.98</v>
      </c>
    </row>
    <row r="2736" spans="1:4" x14ac:dyDescent="0.3">
      <c r="A2736" s="12"/>
      <c r="B2736" s="10" t="s">
        <v>1915</v>
      </c>
      <c r="C2736" s="11"/>
      <c r="D2736" s="17">
        <v>6349.9699999999993</v>
      </c>
    </row>
    <row r="2737" spans="1:4" x14ac:dyDescent="0.3">
      <c r="A2737" s="10" t="s">
        <v>871</v>
      </c>
      <c r="B2737" s="11"/>
      <c r="C2737" s="11"/>
      <c r="D2737" s="17">
        <v>6349.9699999999993</v>
      </c>
    </row>
    <row r="2738" spans="1:4" x14ac:dyDescent="0.3">
      <c r="A2738" s="10">
        <v>576</v>
      </c>
      <c r="B2738" s="10" t="s">
        <v>11</v>
      </c>
      <c r="C2738" s="10" t="s">
        <v>26</v>
      </c>
      <c r="D2738" s="17">
        <v>2999.99</v>
      </c>
    </row>
    <row r="2739" spans="1:4" x14ac:dyDescent="0.3">
      <c r="A2739" s="12"/>
      <c r="B2739" s="10" t="s">
        <v>1915</v>
      </c>
      <c r="C2739" s="11"/>
      <c r="D2739" s="17">
        <v>2999.99</v>
      </c>
    </row>
    <row r="2740" spans="1:4" x14ac:dyDescent="0.3">
      <c r="A2740" s="10" t="s">
        <v>872</v>
      </c>
      <c r="B2740" s="11"/>
      <c r="C2740" s="11"/>
      <c r="D2740" s="17">
        <v>2999.99</v>
      </c>
    </row>
    <row r="2741" spans="1:4" x14ac:dyDescent="0.3">
      <c r="A2741" s="10">
        <v>577</v>
      </c>
      <c r="B2741" s="10" t="s">
        <v>18</v>
      </c>
      <c r="C2741" s="10" t="s">
        <v>20</v>
      </c>
      <c r="D2741" s="17">
        <v>1999.98</v>
      </c>
    </row>
    <row r="2742" spans="1:4" x14ac:dyDescent="0.3">
      <c r="A2742" s="12"/>
      <c r="B2742" s="10" t="s">
        <v>1916</v>
      </c>
      <c r="C2742" s="11"/>
      <c r="D2742" s="17">
        <v>1999.98</v>
      </c>
    </row>
    <row r="2743" spans="1:4" x14ac:dyDescent="0.3">
      <c r="A2743" s="10" t="s">
        <v>873</v>
      </c>
      <c r="B2743" s="11"/>
      <c r="C2743" s="11"/>
      <c r="D2743" s="17">
        <v>1999.98</v>
      </c>
    </row>
    <row r="2744" spans="1:4" x14ac:dyDescent="0.3">
      <c r="A2744" s="10">
        <v>578</v>
      </c>
      <c r="B2744" s="10" t="s">
        <v>18</v>
      </c>
      <c r="C2744" s="10" t="s">
        <v>31</v>
      </c>
      <c r="D2744" s="17">
        <v>269.99</v>
      </c>
    </row>
    <row r="2745" spans="1:4" x14ac:dyDescent="0.3">
      <c r="A2745" s="12"/>
      <c r="B2745" s="12"/>
      <c r="C2745" s="14" t="s">
        <v>35</v>
      </c>
      <c r="D2745" s="18">
        <v>999.98</v>
      </c>
    </row>
    <row r="2746" spans="1:4" x14ac:dyDescent="0.3">
      <c r="A2746" s="12"/>
      <c r="B2746" s="12"/>
      <c r="C2746" s="14" t="s">
        <v>24</v>
      </c>
      <c r="D2746" s="18">
        <v>898</v>
      </c>
    </row>
    <row r="2747" spans="1:4" x14ac:dyDescent="0.3">
      <c r="A2747" s="12"/>
      <c r="B2747" s="12"/>
      <c r="C2747" s="14" t="s">
        <v>12</v>
      </c>
      <c r="D2747" s="18">
        <v>3599.98</v>
      </c>
    </row>
    <row r="2748" spans="1:4" x14ac:dyDescent="0.3">
      <c r="A2748" s="12"/>
      <c r="B2748" s="10" t="s">
        <v>1916</v>
      </c>
      <c r="C2748" s="11"/>
      <c r="D2748" s="17">
        <v>5767.9500000000007</v>
      </c>
    </row>
    <row r="2749" spans="1:4" x14ac:dyDescent="0.3">
      <c r="A2749" s="10" t="s">
        <v>874</v>
      </c>
      <c r="B2749" s="11"/>
      <c r="C2749" s="11"/>
      <c r="D2749" s="17">
        <v>5767.9500000000007</v>
      </c>
    </row>
    <row r="2750" spans="1:4" x14ac:dyDescent="0.3">
      <c r="A2750" s="10">
        <v>579</v>
      </c>
      <c r="B2750" s="10" t="s">
        <v>37</v>
      </c>
      <c r="C2750" s="10" t="s">
        <v>32</v>
      </c>
      <c r="D2750" s="17">
        <v>469.99</v>
      </c>
    </row>
    <row r="2751" spans="1:4" x14ac:dyDescent="0.3">
      <c r="A2751" s="12"/>
      <c r="B2751" s="12"/>
      <c r="C2751" s="14" t="s">
        <v>29</v>
      </c>
      <c r="D2751" s="18">
        <v>7999.98</v>
      </c>
    </row>
    <row r="2752" spans="1:4" x14ac:dyDescent="0.3">
      <c r="A2752" s="12"/>
      <c r="B2752" s="10" t="s">
        <v>1917</v>
      </c>
      <c r="C2752" s="11"/>
      <c r="D2752" s="17">
        <v>8469.9699999999993</v>
      </c>
    </row>
    <row r="2753" spans="1:4" x14ac:dyDescent="0.3">
      <c r="A2753" s="10" t="s">
        <v>875</v>
      </c>
      <c r="B2753" s="11"/>
      <c r="C2753" s="11"/>
      <c r="D2753" s="17">
        <v>8469.9699999999993</v>
      </c>
    </row>
    <row r="2754" spans="1:4" x14ac:dyDescent="0.3">
      <c r="A2754" s="10">
        <v>580</v>
      </c>
      <c r="B2754" s="10" t="s">
        <v>11</v>
      </c>
      <c r="C2754" s="10" t="s">
        <v>31</v>
      </c>
      <c r="D2754" s="17">
        <v>539.98</v>
      </c>
    </row>
    <row r="2755" spans="1:4" x14ac:dyDescent="0.3">
      <c r="A2755" s="12"/>
      <c r="B2755" s="12"/>
      <c r="C2755" s="14" t="s">
        <v>27</v>
      </c>
      <c r="D2755" s="18">
        <v>529.99</v>
      </c>
    </row>
    <row r="2756" spans="1:4" x14ac:dyDescent="0.3">
      <c r="A2756" s="12"/>
      <c r="B2756" s="12"/>
      <c r="C2756" s="14" t="s">
        <v>14</v>
      </c>
      <c r="D2756" s="18">
        <v>1199.98</v>
      </c>
    </row>
    <row r="2757" spans="1:4" x14ac:dyDescent="0.3">
      <c r="A2757" s="12"/>
      <c r="B2757" s="12"/>
      <c r="C2757" s="14" t="s">
        <v>36</v>
      </c>
      <c r="D2757" s="18">
        <v>449</v>
      </c>
    </row>
    <row r="2758" spans="1:4" x14ac:dyDescent="0.3">
      <c r="A2758" s="12"/>
      <c r="B2758" s="12"/>
      <c r="C2758" s="14" t="s">
        <v>26</v>
      </c>
      <c r="D2758" s="18">
        <v>5999.98</v>
      </c>
    </row>
    <row r="2759" spans="1:4" x14ac:dyDescent="0.3">
      <c r="A2759" s="12"/>
      <c r="B2759" s="10" t="s">
        <v>1915</v>
      </c>
      <c r="C2759" s="11"/>
      <c r="D2759" s="17">
        <v>8718.93</v>
      </c>
    </row>
    <row r="2760" spans="1:4" x14ac:dyDescent="0.3">
      <c r="A2760" s="10" t="s">
        <v>876</v>
      </c>
      <c r="B2760" s="11"/>
      <c r="C2760" s="11"/>
      <c r="D2760" s="17">
        <v>8718.93</v>
      </c>
    </row>
    <row r="2761" spans="1:4" x14ac:dyDescent="0.3">
      <c r="A2761" s="10">
        <v>581</v>
      </c>
      <c r="B2761" s="10" t="s">
        <v>11</v>
      </c>
      <c r="C2761" s="10" t="s">
        <v>12</v>
      </c>
      <c r="D2761" s="17">
        <v>3599.98</v>
      </c>
    </row>
    <row r="2762" spans="1:4" x14ac:dyDescent="0.3">
      <c r="A2762" s="12"/>
      <c r="B2762" s="10" t="s">
        <v>1915</v>
      </c>
      <c r="C2762" s="11"/>
      <c r="D2762" s="17">
        <v>3599.98</v>
      </c>
    </row>
    <row r="2763" spans="1:4" x14ac:dyDescent="0.3">
      <c r="A2763" s="10" t="s">
        <v>877</v>
      </c>
      <c r="B2763" s="11"/>
      <c r="C2763" s="11"/>
      <c r="D2763" s="17">
        <v>3599.98</v>
      </c>
    </row>
    <row r="2764" spans="1:4" x14ac:dyDescent="0.3">
      <c r="A2764" s="10">
        <v>582</v>
      </c>
      <c r="B2764" s="10" t="s">
        <v>11</v>
      </c>
      <c r="C2764" s="10" t="s">
        <v>23</v>
      </c>
      <c r="D2764" s="17">
        <v>858</v>
      </c>
    </row>
    <row r="2765" spans="1:4" x14ac:dyDescent="0.3">
      <c r="A2765" s="12"/>
      <c r="B2765" s="12"/>
      <c r="C2765" s="14" t="s">
        <v>13</v>
      </c>
      <c r="D2765" s="18">
        <v>3098</v>
      </c>
    </row>
    <row r="2766" spans="1:4" x14ac:dyDescent="0.3">
      <c r="A2766" s="12"/>
      <c r="B2766" s="10" t="s">
        <v>1915</v>
      </c>
      <c r="C2766" s="11"/>
      <c r="D2766" s="17">
        <v>3956</v>
      </c>
    </row>
    <row r="2767" spans="1:4" x14ac:dyDescent="0.3">
      <c r="A2767" s="10" t="s">
        <v>878</v>
      </c>
      <c r="B2767" s="11"/>
      <c r="C2767" s="11"/>
      <c r="D2767" s="17">
        <v>3956</v>
      </c>
    </row>
    <row r="2768" spans="1:4" x14ac:dyDescent="0.3">
      <c r="A2768" s="10">
        <v>583</v>
      </c>
      <c r="B2768" s="10" t="s">
        <v>18</v>
      </c>
      <c r="C2768" s="10" t="s">
        <v>27</v>
      </c>
      <c r="D2768" s="17">
        <v>1059.98</v>
      </c>
    </row>
    <row r="2769" spans="1:4" x14ac:dyDescent="0.3">
      <c r="A2769" s="12"/>
      <c r="B2769" s="10" t="s">
        <v>1916</v>
      </c>
      <c r="C2769" s="11"/>
      <c r="D2769" s="17">
        <v>1059.98</v>
      </c>
    </row>
    <row r="2770" spans="1:4" x14ac:dyDescent="0.3">
      <c r="A2770" s="10" t="s">
        <v>879</v>
      </c>
      <c r="B2770" s="11"/>
      <c r="C2770" s="11"/>
      <c r="D2770" s="17">
        <v>1059.98</v>
      </c>
    </row>
    <row r="2771" spans="1:4" x14ac:dyDescent="0.3">
      <c r="A2771" s="10">
        <v>584</v>
      </c>
      <c r="B2771" s="10" t="s">
        <v>18</v>
      </c>
      <c r="C2771" s="10" t="s">
        <v>28</v>
      </c>
      <c r="D2771" s="17">
        <v>269.99</v>
      </c>
    </row>
    <row r="2772" spans="1:4" x14ac:dyDescent="0.3">
      <c r="A2772" s="12"/>
      <c r="B2772" s="12"/>
      <c r="C2772" s="14" t="s">
        <v>33</v>
      </c>
      <c r="D2772" s="18">
        <v>299.99</v>
      </c>
    </row>
    <row r="2773" spans="1:4" x14ac:dyDescent="0.3">
      <c r="A2773" s="12"/>
      <c r="B2773" s="12"/>
      <c r="C2773" s="14" t="s">
        <v>27</v>
      </c>
      <c r="D2773" s="18">
        <v>529.99</v>
      </c>
    </row>
    <row r="2774" spans="1:4" x14ac:dyDescent="0.3">
      <c r="A2774" s="12"/>
      <c r="B2774" s="12"/>
      <c r="C2774" s="14" t="s">
        <v>36</v>
      </c>
      <c r="D2774" s="18">
        <v>449</v>
      </c>
    </row>
    <row r="2775" spans="1:4" x14ac:dyDescent="0.3">
      <c r="A2775" s="12"/>
      <c r="B2775" s="12"/>
      <c r="C2775" s="14" t="s">
        <v>12</v>
      </c>
      <c r="D2775" s="18">
        <v>3599.98</v>
      </c>
    </row>
    <row r="2776" spans="1:4" x14ac:dyDescent="0.3">
      <c r="A2776" s="12"/>
      <c r="B2776" s="10" t="s">
        <v>1916</v>
      </c>
      <c r="C2776" s="11"/>
      <c r="D2776" s="17">
        <v>5148.95</v>
      </c>
    </row>
    <row r="2777" spans="1:4" x14ac:dyDescent="0.3">
      <c r="A2777" s="10" t="s">
        <v>880</v>
      </c>
      <c r="B2777" s="11"/>
      <c r="C2777" s="11"/>
      <c r="D2777" s="17">
        <v>5148.95</v>
      </c>
    </row>
    <row r="2778" spans="1:4" x14ac:dyDescent="0.3">
      <c r="A2778" s="10">
        <v>585</v>
      </c>
      <c r="B2778" s="10" t="s">
        <v>18</v>
      </c>
      <c r="C2778" s="10" t="s">
        <v>27</v>
      </c>
      <c r="D2778" s="17">
        <v>529.99</v>
      </c>
    </row>
    <row r="2779" spans="1:4" x14ac:dyDescent="0.3">
      <c r="A2779" s="12"/>
      <c r="B2779" s="12"/>
      <c r="C2779" s="14" t="s">
        <v>25</v>
      </c>
      <c r="D2779" s="18">
        <v>1099.98</v>
      </c>
    </row>
    <row r="2780" spans="1:4" x14ac:dyDescent="0.3">
      <c r="A2780" s="12"/>
      <c r="B2780" s="12"/>
      <c r="C2780" s="14" t="s">
        <v>24</v>
      </c>
      <c r="D2780" s="18">
        <v>898</v>
      </c>
    </row>
    <row r="2781" spans="1:4" x14ac:dyDescent="0.3">
      <c r="A2781" s="12"/>
      <c r="B2781" s="12"/>
      <c r="C2781" s="14" t="s">
        <v>13</v>
      </c>
      <c r="D2781" s="18">
        <v>1549</v>
      </c>
    </row>
    <row r="2782" spans="1:4" x14ac:dyDescent="0.3">
      <c r="A2782" s="12"/>
      <c r="B2782" s="10" t="s">
        <v>1916</v>
      </c>
      <c r="C2782" s="11"/>
      <c r="D2782" s="17">
        <v>4076.9700000000003</v>
      </c>
    </row>
    <row r="2783" spans="1:4" x14ac:dyDescent="0.3">
      <c r="A2783" s="10" t="s">
        <v>881</v>
      </c>
      <c r="B2783" s="11"/>
      <c r="C2783" s="11"/>
      <c r="D2783" s="17">
        <v>4076.9700000000003</v>
      </c>
    </row>
    <row r="2784" spans="1:4" x14ac:dyDescent="0.3">
      <c r="A2784" s="10">
        <v>586</v>
      </c>
      <c r="B2784" s="10" t="s">
        <v>18</v>
      </c>
      <c r="C2784" s="10" t="s">
        <v>33</v>
      </c>
      <c r="D2784" s="17">
        <v>599.98</v>
      </c>
    </row>
    <row r="2785" spans="1:4" x14ac:dyDescent="0.3">
      <c r="A2785" s="12"/>
      <c r="B2785" s="12"/>
      <c r="C2785" s="14" t="s">
        <v>30</v>
      </c>
      <c r="D2785" s="18">
        <v>3361.98</v>
      </c>
    </row>
    <row r="2786" spans="1:4" x14ac:dyDescent="0.3">
      <c r="A2786" s="12"/>
      <c r="B2786" s="10" t="s">
        <v>1916</v>
      </c>
      <c r="C2786" s="11"/>
      <c r="D2786" s="17">
        <v>3961.96</v>
      </c>
    </row>
    <row r="2787" spans="1:4" x14ac:dyDescent="0.3">
      <c r="A2787" s="10" t="s">
        <v>882</v>
      </c>
      <c r="B2787" s="11"/>
      <c r="C2787" s="11"/>
      <c r="D2787" s="17">
        <v>3961.96</v>
      </c>
    </row>
    <row r="2788" spans="1:4" x14ac:dyDescent="0.3">
      <c r="A2788" s="10">
        <v>587</v>
      </c>
      <c r="B2788" s="10" t="s">
        <v>11</v>
      </c>
      <c r="C2788" s="10" t="s">
        <v>31</v>
      </c>
      <c r="D2788" s="17">
        <v>269.99</v>
      </c>
    </row>
    <row r="2789" spans="1:4" x14ac:dyDescent="0.3">
      <c r="A2789" s="12"/>
      <c r="B2789" s="12"/>
      <c r="C2789" s="14" t="s">
        <v>33</v>
      </c>
      <c r="D2789" s="18">
        <v>299.99</v>
      </c>
    </row>
    <row r="2790" spans="1:4" x14ac:dyDescent="0.3">
      <c r="A2790" s="12"/>
      <c r="B2790" s="12"/>
      <c r="C2790" s="14" t="s">
        <v>25</v>
      </c>
      <c r="D2790" s="18">
        <v>549.99</v>
      </c>
    </row>
    <row r="2791" spans="1:4" x14ac:dyDescent="0.3">
      <c r="A2791" s="12"/>
      <c r="B2791" s="12"/>
      <c r="C2791" s="14" t="s">
        <v>24</v>
      </c>
      <c r="D2791" s="18">
        <v>449</v>
      </c>
    </row>
    <row r="2792" spans="1:4" x14ac:dyDescent="0.3">
      <c r="A2792" s="12"/>
      <c r="B2792" s="10" t="s">
        <v>1915</v>
      </c>
      <c r="C2792" s="11"/>
      <c r="D2792" s="17">
        <v>1568.97</v>
      </c>
    </row>
    <row r="2793" spans="1:4" x14ac:dyDescent="0.3">
      <c r="A2793" s="10" t="s">
        <v>883</v>
      </c>
      <c r="B2793" s="11"/>
      <c r="C2793" s="11"/>
      <c r="D2793" s="17">
        <v>1568.97</v>
      </c>
    </row>
    <row r="2794" spans="1:4" x14ac:dyDescent="0.3">
      <c r="A2794" s="10">
        <v>588</v>
      </c>
      <c r="B2794" s="10" t="s">
        <v>18</v>
      </c>
      <c r="C2794" s="10" t="s">
        <v>33</v>
      </c>
      <c r="D2794" s="17">
        <v>299.99</v>
      </c>
    </row>
    <row r="2795" spans="1:4" x14ac:dyDescent="0.3">
      <c r="A2795" s="12"/>
      <c r="B2795" s="12"/>
      <c r="C2795" s="14" t="s">
        <v>13</v>
      </c>
      <c r="D2795" s="18">
        <v>3098</v>
      </c>
    </row>
    <row r="2796" spans="1:4" x14ac:dyDescent="0.3">
      <c r="A2796" s="12"/>
      <c r="B2796" s="10" t="s">
        <v>1916</v>
      </c>
      <c r="C2796" s="11"/>
      <c r="D2796" s="17">
        <v>3397.99</v>
      </c>
    </row>
    <row r="2797" spans="1:4" x14ac:dyDescent="0.3">
      <c r="A2797" s="10" t="s">
        <v>884</v>
      </c>
      <c r="B2797" s="11"/>
      <c r="C2797" s="11"/>
      <c r="D2797" s="17">
        <v>3397.99</v>
      </c>
    </row>
    <row r="2798" spans="1:4" x14ac:dyDescent="0.3">
      <c r="A2798" s="10">
        <v>589</v>
      </c>
      <c r="B2798" s="10" t="s">
        <v>18</v>
      </c>
      <c r="C2798" s="10" t="s">
        <v>27</v>
      </c>
      <c r="D2798" s="17">
        <v>1059.98</v>
      </c>
    </row>
    <row r="2799" spans="1:4" x14ac:dyDescent="0.3">
      <c r="A2799" s="12"/>
      <c r="B2799" s="10" t="s">
        <v>1916</v>
      </c>
      <c r="C2799" s="11"/>
      <c r="D2799" s="17">
        <v>1059.98</v>
      </c>
    </row>
    <row r="2800" spans="1:4" x14ac:dyDescent="0.3">
      <c r="A2800" s="10" t="s">
        <v>885</v>
      </c>
      <c r="B2800" s="11"/>
      <c r="C2800" s="11"/>
      <c r="D2800" s="17">
        <v>1059.98</v>
      </c>
    </row>
    <row r="2801" spans="1:4" x14ac:dyDescent="0.3">
      <c r="A2801" s="10">
        <v>590</v>
      </c>
      <c r="B2801" s="10" t="s">
        <v>18</v>
      </c>
      <c r="C2801" s="10" t="s">
        <v>25</v>
      </c>
      <c r="D2801" s="17">
        <v>549.99</v>
      </c>
    </row>
    <row r="2802" spans="1:4" x14ac:dyDescent="0.3">
      <c r="A2802" s="12"/>
      <c r="B2802" s="12"/>
      <c r="C2802" s="14" t="s">
        <v>10</v>
      </c>
      <c r="D2802" s="18">
        <v>599.99</v>
      </c>
    </row>
    <row r="2803" spans="1:4" x14ac:dyDescent="0.3">
      <c r="A2803" s="12"/>
      <c r="B2803" s="12"/>
      <c r="C2803" s="14" t="s">
        <v>34</v>
      </c>
      <c r="D2803" s="18">
        <v>2641.98</v>
      </c>
    </row>
    <row r="2804" spans="1:4" x14ac:dyDescent="0.3">
      <c r="A2804" s="12"/>
      <c r="B2804" s="12"/>
      <c r="C2804" s="14" t="s">
        <v>22</v>
      </c>
      <c r="D2804" s="18">
        <v>1499.98</v>
      </c>
    </row>
    <row r="2805" spans="1:4" x14ac:dyDescent="0.3">
      <c r="A2805" s="12"/>
      <c r="B2805" s="12"/>
      <c r="C2805" s="14" t="s">
        <v>12</v>
      </c>
      <c r="D2805" s="18">
        <v>3599.98</v>
      </c>
    </row>
    <row r="2806" spans="1:4" x14ac:dyDescent="0.3">
      <c r="A2806" s="12"/>
      <c r="B2806" s="10" t="s">
        <v>1916</v>
      </c>
      <c r="C2806" s="11"/>
      <c r="D2806" s="17">
        <v>8891.92</v>
      </c>
    </row>
    <row r="2807" spans="1:4" x14ac:dyDescent="0.3">
      <c r="A2807" s="10" t="s">
        <v>886</v>
      </c>
      <c r="B2807" s="11"/>
      <c r="C2807" s="11"/>
      <c r="D2807" s="17">
        <v>8891.92</v>
      </c>
    </row>
    <row r="2808" spans="1:4" x14ac:dyDescent="0.3">
      <c r="A2808" s="10">
        <v>591</v>
      </c>
      <c r="B2808" s="10" t="s">
        <v>18</v>
      </c>
      <c r="C2808" s="10" t="s">
        <v>35</v>
      </c>
      <c r="D2808" s="17">
        <v>999.98</v>
      </c>
    </row>
    <row r="2809" spans="1:4" x14ac:dyDescent="0.3">
      <c r="A2809" s="12"/>
      <c r="B2809" s="12"/>
      <c r="C2809" s="14" t="s">
        <v>14</v>
      </c>
      <c r="D2809" s="18">
        <v>1199.98</v>
      </c>
    </row>
    <row r="2810" spans="1:4" x14ac:dyDescent="0.3">
      <c r="A2810" s="12"/>
      <c r="B2810" s="12"/>
      <c r="C2810" s="14" t="s">
        <v>22</v>
      </c>
      <c r="D2810" s="18">
        <v>1499.98</v>
      </c>
    </row>
    <row r="2811" spans="1:4" x14ac:dyDescent="0.3">
      <c r="A2811" s="12"/>
      <c r="B2811" s="10" t="s">
        <v>1916</v>
      </c>
      <c r="C2811" s="11"/>
      <c r="D2811" s="17">
        <v>3699.94</v>
      </c>
    </row>
    <row r="2812" spans="1:4" x14ac:dyDescent="0.3">
      <c r="A2812" s="10" t="s">
        <v>887</v>
      </c>
      <c r="B2812" s="11"/>
      <c r="C2812" s="11"/>
      <c r="D2812" s="17">
        <v>3699.94</v>
      </c>
    </row>
    <row r="2813" spans="1:4" x14ac:dyDescent="0.3">
      <c r="A2813" s="10">
        <v>592</v>
      </c>
      <c r="B2813" s="10" t="s">
        <v>18</v>
      </c>
      <c r="C2813" s="10" t="s">
        <v>31</v>
      </c>
      <c r="D2813" s="17">
        <v>539.98</v>
      </c>
    </row>
    <row r="2814" spans="1:4" x14ac:dyDescent="0.3">
      <c r="A2814" s="12"/>
      <c r="B2814" s="12"/>
      <c r="C2814" s="14" t="s">
        <v>14</v>
      </c>
      <c r="D2814" s="18">
        <v>599.99</v>
      </c>
    </row>
    <row r="2815" spans="1:4" x14ac:dyDescent="0.3">
      <c r="A2815" s="12"/>
      <c r="B2815" s="12"/>
      <c r="C2815" s="14" t="s">
        <v>24</v>
      </c>
      <c r="D2815" s="18">
        <v>898</v>
      </c>
    </row>
    <row r="2816" spans="1:4" x14ac:dyDescent="0.3">
      <c r="A2816" s="12"/>
      <c r="B2816" s="10" t="s">
        <v>1916</v>
      </c>
      <c r="C2816" s="11"/>
      <c r="D2816" s="17">
        <v>2037.97</v>
      </c>
    </row>
    <row r="2817" spans="1:4" x14ac:dyDescent="0.3">
      <c r="A2817" s="10" t="s">
        <v>888</v>
      </c>
      <c r="B2817" s="11"/>
      <c r="C2817" s="11"/>
      <c r="D2817" s="17">
        <v>2037.97</v>
      </c>
    </row>
    <row r="2818" spans="1:4" x14ac:dyDescent="0.3">
      <c r="A2818" s="10">
        <v>593</v>
      </c>
      <c r="B2818" s="10" t="s">
        <v>37</v>
      </c>
      <c r="C2818" s="10" t="s">
        <v>35</v>
      </c>
      <c r="D2818" s="17">
        <v>499.99</v>
      </c>
    </row>
    <row r="2819" spans="1:4" x14ac:dyDescent="0.3">
      <c r="A2819" s="12"/>
      <c r="B2819" s="12"/>
      <c r="C2819" s="14" t="s">
        <v>20</v>
      </c>
      <c r="D2819" s="18">
        <v>1999.98</v>
      </c>
    </row>
    <row r="2820" spans="1:4" x14ac:dyDescent="0.3">
      <c r="A2820" s="12"/>
      <c r="B2820" s="10" t="s">
        <v>1917</v>
      </c>
      <c r="C2820" s="11"/>
      <c r="D2820" s="17">
        <v>2499.9700000000003</v>
      </c>
    </row>
    <row r="2821" spans="1:4" x14ac:dyDescent="0.3">
      <c r="A2821" s="10" t="s">
        <v>889</v>
      </c>
      <c r="B2821" s="11"/>
      <c r="C2821" s="11"/>
      <c r="D2821" s="17">
        <v>2499.9700000000003</v>
      </c>
    </row>
    <row r="2822" spans="1:4" x14ac:dyDescent="0.3">
      <c r="A2822" s="10">
        <v>594</v>
      </c>
      <c r="B2822" s="10" t="s">
        <v>37</v>
      </c>
      <c r="C2822" s="10" t="s">
        <v>31</v>
      </c>
      <c r="D2822" s="17">
        <v>539.98</v>
      </c>
    </row>
    <row r="2823" spans="1:4" x14ac:dyDescent="0.3">
      <c r="A2823" s="12"/>
      <c r="B2823" s="12"/>
      <c r="C2823" s="14" t="s">
        <v>14</v>
      </c>
      <c r="D2823" s="18">
        <v>599.99</v>
      </c>
    </row>
    <row r="2824" spans="1:4" x14ac:dyDescent="0.3">
      <c r="A2824" s="12"/>
      <c r="B2824" s="10" t="s">
        <v>1917</v>
      </c>
      <c r="C2824" s="11"/>
      <c r="D2824" s="17">
        <v>1139.97</v>
      </c>
    </row>
    <row r="2825" spans="1:4" x14ac:dyDescent="0.3">
      <c r="A2825" s="10" t="s">
        <v>890</v>
      </c>
      <c r="B2825" s="11"/>
      <c r="C2825" s="11"/>
      <c r="D2825" s="17">
        <v>1139.97</v>
      </c>
    </row>
    <row r="2826" spans="1:4" x14ac:dyDescent="0.3">
      <c r="A2826" s="10">
        <v>595</v>
      </c>
      <c r="B2826" s="10" t="s">
        <v>11</v>
      </c>
      <c r="C2826" s="10" t="s">
        <v>14</v>
      </c>
      <c r="D2826" s="17">
        <v>1199.98</v>
      </c>
    </row>
    <row r="2827" spans="1:4" x14ac:dyDescent="0.3">
      <c r="A2827" s="12"/>
      <c r="B2827" s="12"/>
      <c r="C2827" s="14" t="s">
        <v>36</v>
      </c>
      <c r="D2827" s="18">
        <v>898</v>
      </c>
    </row>
    <row r="2828" spans="1:4" x14ac:dyDescent="0.3">
      <c r="A2828" s="12"/>
      <c r="B2828" s="12"/>
      <c r="C2828" s="14" t="s">
        <v>13</v>
      </c>
      <c r="D2828" s="18">
        <v>1549</v>
      </c>
    </row>
    <row r="2829" spans="1:4" x14ac:dyDescent="0.3">
      <c r="A2829" s="12"/>
      <c r="B2829" s="12"/>
      <c r="C2829" s="14" t="s">
        <v>20</v>
      </c>
      <c r="D2829" s="18">
        <v>999.99</v>
      </c>
    </row>
    <row r="2830" spans="1:4" x14ac:dyDescent="0.3">
      <c r="A2830" s="12"/>
      <c r="B2830" s="12"/>
      <c r="C2830" s="14" t="s">
        <v>16</v>
      </c>
      <c r="D2830" s="18">
        <v>2899.99</v>
      </c>
    </row>
    <row r="2831" spans="1:4" x14ac:dyDescent="0.3">
      <c r="A2831" s="12"/>
      <c r="B2831" s="10" t="s">
        <v>1915</v>
      </c>
      <c r="C2831" s="11"/>
      <c r="D2831" s="17">
        <v>7546.96</v>
      </c>
    </row>
    <row r="2832" spans="1:4" x14ac:dyDescent="0.3">
      <c r="A2832" s="10" t="s">
        <v>891</v>
      </c>
      <c r="B2832" s="11"/>
      <c r="C2832" s="11"/>
      <c r="D2832" s="17">
        <v>7546.96</v>
      </c>
    </row>
    <row r="2833" spans="1:4" x14ac:dyDescent="0.3">
      <c r="A2833" s="10">
        <v>596</v>
      </c>
      <c r="B2833" s="10" t="s">
        <v>11</v>
      </c>
      <c r="C2833" s="10" t="s">
        <v>33</v>
      </c>
      <c r="D2833" s="17">
        <v>599.98</v>
      </c>
    </row>
    <row r="2834" spans="1:4" x14ac:dyDescent="0.3">
      <c r="A2834" s="12"/>
      <c r="B2834" s="12"/>
      <c r="C2834" s="14" t="s">
        <v>34</v>
      </c>
      <c r="D2834" s="18">
        <v>1320.99</v>
      </c>
    </row>
    <row r="2835" spans="1:4" x14ac:dyDescent="0.3">
      <c r="A2835" s="12"/>
      <c r="B2835" s="12"/>
      <c r="C2835" s="14" t="s">
        <v>26</v>
      </c>
      <c r="D2835" s="18">
        <v>2999.99</v>
      </c>
    </row>
    <row r="2836" spans="1:4" x14ac:dyDescent="0.3">
      <c r="A2836" s="12"/>
      <c r="B2836" s="10" t="s">
        <v>1915</v>
      </c>
      <c r="C2836" s="11"/>
      <c r="D2836" s="17">
        <v>4920.96</v>
      </c>
    </row>
    <row r="2837" spans="1:4" x14ac:dyDescent="0.3">
      <c r="A2837" s="10" t="s">
        <v>892</v>
      </c>
      <c r="B2837" s="11"/>
      <c r="C2837" s="11"/>
      <c r="D2837" s="17">
        <v>4920.96</v>
      </c>
    </row>
    <row r="2838" spans="1:4" x14ac:dyDescent="0.3">
      <c r="A2838" s="10">
        <v>597</v>
      </c>
      <c r="B2838" s="10" t="s">
        <v>18</v>
      </c>
      <c r="C2838" s="10" t="s">
        <v>23</v>
      </c>
      <c r="D2838" s="17">
        <v>858</v>
      </c>
    </row>
    <row r="2839" spans="1:4" x14ac:dyDescent="0.3">
      <c r="A2839" s="12"/>
      <c r="B2839" s="12"/>
      <c r="C2839" s="14" t="s">
        <v>12</v>
      </c>
      <c r="D2839" s="18">
        <v>1799.99</v>
      </c>
    </row>
    <row r="2840" spans="1:4" x14ac:dyDescent="0.3">
      <c r="A2840" s="12"/>
      <c r="B2840" s="10" t="s">
        <v>1916</v>
      </c>
      <c r="C2840" s="11"/>
      <c r="D2840" s="17">
        <v>2657.99</v>
      </c>
    </row>
    <row r="2841" spans="1:4" x14ac:dyDescent="0.3">
      <c r="A2841" s="10" t="s">
        <v>893</v>
      </c>
      <c r="B2841" s="11"/>
      <c r="C2841" s="11"/>
      <c r="D2841" s="17">
        <v>2657.99</v>
      </c>
    </row>
    <row r="2842" spans="1:4" x14ac:dyDescent="0.3">
      <c r="A2842" s="10">
        <v>598</v>
      </c>
      <c r="B2842" s="10" t="s">
        <v>11</v>
      </c>
      <c r="C2842" s="10" t="s">
        <v>28</v>
      </c>
      <c r="D2842" s="17">
        <v>269.99</v>
      </c>
    </row>
    <row r="2843" spans="1:4" x14ac:dyDescent="0.3">
      <c r="A2843" s="12"/>
      <c r="B2843" s="12"/>
      <c r="C2843" s="14" t="s">
        <v>14</v>
      </c>
      <c r="D2843" s="18">
        <v>1199.98</v>
      </c>
    </row>
    <row r="2844" spans="1:4" x14ac:dyDescent="0.3">
      <c r="A2844" s="12"/>
      <c r="B2844" s="12"/>
      <c r="C2844" s="14" t="s">
        <v>16</v>
      </c>
      <c r="D2844" s="18">
        <v>5799.98</v>
      </c>
    </row>
    <row r="2845" spans="1:4" x14ac:dyDescent="0.3">
      <c r="A2845" s="12"/>
      <c r="B2845" s="10" t="s">
        <v>1915</v>
      </c>
      <c r="C2845" s="11"/>
      <c r="D2845" s="17">
        <v>7269.95</v>
      </c>
    </row>
    <row r="2846" spans="1:4" x14ac:dyDescent="0.3">
      <c r="A2846" s="10" t="s">
        <v>894</v>
      </c>
      <c r="B2846" s="11"/>
      <c r="C2846" s="11"/>
      <c r="D2846" s="17">
        <v>7269.95</v>
      </c>
    </row>
    <row r="2847" spans="1:4" x14ac:dyDescent="0.3">
      <c r="A2847" s="10">
        <v>599</v>
      </c>
      <c r="B2847" s="10" t="s">
        <v>18</v>
      </c>
      <c r="C2847" s="10" t="s">
        <v>28</v>
      </c>
      <c r="D2847" s="17">
        <v>539.98</v>
      </c>
    </row>
    <row r="2848" spans="1:4" x14ac:dyDescent="0.3">
      <c r="A2848" s="12"/>
      <c r="B2848" s="12"/>
      <c r="C2848" s="14" t="s">
        <v>33</v>
      </c>
      <c r="D2848" s="18">
        <v>299.99</v>
      </c>
    </row>
    <row r="2849" spans="1:4" x14ac:dyDescent="0.3">
      <c r="A2849" s="12"/>
      <c r="B2849" s="12"/>
      <c r="C2849" s="14" t="s">
        <v>13</v>
      </c>
      <c r="D2849" s="18">
        <v>3098</v>
      </c>
    </row>
    <row r="2850" spans="1:4" x14ac:dyDescent="0.3">
      <c r="A2850" s="12"/>
      <c r="B2850" s="12"/>
      <c r="C2850" s="14" t="s">
        <v>26</v>
      </c>
      <c r="D2850" s="18">
        <v>5999.98</v>
      </c>
    </row>
    <row r="2851" spans="1:4" x14ac:dyDescent="0.3">
      <c r="A2851" s="12"/>
      <c r="B2851" s="10" t="s">
        <v>1916</v>
      </c>
      <c r="C2851" s="11"/>
      <c r="D2851" s="17">
        <v>9937.9500000000007</v>
      </c>
    </row>
    <row r="2852" spans="1:4" x14ac:dyDescent="0.3">
      <c r="A2852" s="10" t="s">
        <v>895</v>
      </c>
      <c r="B2852" s="11"/>
      <c r="C2852" s="11"/>
      <c r="D2852" s="17">
        <v>9937.9500000000007</v>
      </c>
    </row>
    <row r="2853" spans="1:4" x14ac:dyDescent="0.3">
      <c r="A2853" s="10">
        <v>600</v>
      </c>
      <c r="B2853" s="10" t="s">
        <v>18</v>
      </c>
      <c r="C2853" s="10" t="s">
        <v>14</v>
      </c>
      <c r="D2853" s="17">
        <v>1199.98</v>
      </c>
    </row>
    <row r="2854" spans="1:4" x14ac:dyDescent="0.3">
      <c r="A2854" s="12"/>
      <c r="B2854" s="12"/>
      <c r="C2854" s="14" t="s">
        <v>24</v>
      </c>
      <c r="D2854" s="18">
        <v>898</v>
      </c>
    </row>
    <row r="2855" spans="1:4" x14ac:dyDescent="0.3">
      <c r="A2855" s="12"/>
      <c r="B2855" s="12"/>
      <c r="C2855" s="14" t="s">
        <v>16</v>
      </c>
      <c r="D2855" s="18">
        <v>2899.99</v>
      </c>
    </row>
    <row r="2856" spans="1:4" x14ac:dyDescent="0.3">
      <c r="A2856" s="12"/>
      <c r="B2856" s="10" t="s">
        <v>1916</v>
      </c>
      <c r="C2856" s="11"/>
      <c r="D2856" s="17">
        <v>4997.9699999999993</v>
      </c>
    </row>
    <row r="2857" spans="1:4" x14ac:dyDescent="0.3">
      <c r="A2857" s="10" t="s">
        <v>896</v>
      </c>
      <c r="B2857" s="11"/>
      <c r="C2857" s="11"/>
      <c r="D2857" s="17">
        <v>4997.9699999999993</v>
      </c>
    </row>
    <row r="2858" spans="1:4" x14ac:dyDescent="0.3">
      <c r="A2858" s="10">
        <v>601</v>
      </c>
      <c r="B2858" s="10" t="s">
        <v>18</v>
      </c>
      <c r="C2858" s="10" t="s">
        <v>25</v>
      </c>
      <c r="D2858" s="17">
        <v>1099.98</v>
      </c>
    </row>
    <row r="2859" spans="1:4" x14ac:dyDescent="0.3">
      <c r="A2859" s="12"/>
      <c r="B2859" s="10" t="s">
        <v>1916</v>
      </c>
      <c r="C2859" s="11"/>
      <c r="D2859" s="17">
        <v>1099.98</v>
      </c>
    </row>
    <row r="2860" spans="1:4" x14ac:dyDescent="0.3">
      <c r="A2860" s="10" t="s">
        <v>897</v>
      </c>
      <c r="B2860" s="11"/>
      <c r="C2860" s="11"/>
      <c r="D2860" s="17">
        <v>1099.98</v>
      </c>
    </row>
    <row r="2861" spans="1:4" x14ac:dyDescent="0.3">
      <c r="A2861" s="10">
        <v>602</v>
      </c>
      <c r="B2861" s="10" t="s">
        <v>18</v>
      </c>
      <c r="C2861" s="10" t="s">
        <v>27</v>
      </c>
      <c r="D2861" s="17">
        <v>1059.98</v>
      </c>
    </row>
    <row r="2862" spans="1:4" x14ac:dyDescent="0.3">
      <c r="A2862" s="12"/>
      <c r="B2862" s="12"/>
      <c r="C2862" s="14" t="s">
        <v>34</v>
      </c>
      <c r="D2862" s="18">
        <v>2641.98</v>
      </c>
    </row>
    <row r="2863" spans="1:4" x14ac:dyDescent="0.3">
      <c r="A2863" s="12"/>
      <c r="B2863" s="10" t="s">
        <v>1916</v>
      </c>
      <c r="C2863" s="11"/>
      <c r="D2863" s="17">
        <v>3701.96</v>
      </c>
    </row>
    <row r="2864" spans="1:4" x14ac:dyDescent="0.3">
      <c r="A2864" s="10" t="s">
        <v>898</v>
      </c>
      <c r="B2864" s="11"/>
      <c r="C2864" s="11"/>
      <c r="D2864" s="17">
        <v>3701.96</v>
      </c>
    </row>
    <row r="2865" spans="1:4" x14ac:dyDescent="0.3">
      <c r="A2865" s="10">
        <v>603</v>
      </c>
      <c r="B2865" s="10" t="s">
        <v>18</v>
      </c>
      <c r="C2865" s="10" t="s">
        <v>25</v>
      </c>
      <c r="D2865" s="17">
        <v>549.99</v>
      </c>
    </row>
    <row r="2866" spans="1:4" x14ac:dyDescent="0.3">
      <c r="A2866" s="12"/>
      <c r="B2866" s="12"/>
      <c r="C2866" s="14" t="s">
        <v>16</v>
      </c>
      <c r="D2866" s="18">
        <v>2899.99</v>
      </c>
    </row>
    <row r="2867" spans="1:4" x14ac:dyDescent="0.3">
      <c r="A2867" s="12"/>
      <c r="B2867" s="10" t="s">
        <v>1916</v>
      </c>
      <c r="C2867" s="11"/>
      <c r="D2867" s="17">
        <v>3449.9799999999996</v>
      </c>
    </row>
    <row r="2868" spans="1:4" x14ac:dyDescent="0.3">
      <c r="A2868" s="10" t="s">
        <v>899</v>
      </c>
      <c r="B2868" s="11"/>
      <c r="C2868" s="11"/>
      <c r="D2868" s="17">
        <v>3449.9799999999996</v>
      </c>
    </row>
    <row r="2869" spans="1:4" x14ac:dyDescent="0.3">
      <c r="A2869" s="10">
        <v>604</v>
      </c>
      <c r="B2869" s="10" t="s">
        <v>18</v>
      </c>
      <c r="C2869" s="10" t="s">
        <v>13</v>
      </c>
      <c r="D2869" s="17">
        <v>3098</v>
      </c>
    </row>
    <row r="2870" spans="1:4" x14ac:dyDescent="0.3">
      <c r="A2870" s="12"/>
      <c r="B2870" s="12"/>
      <c r="C2870" s="14" t="s">
        <v>26</v>
      </c>
      <c r="D2870" s="18">
        <v>5999.98</v>
      </c>
    </row>
    <row r="2871" spans="1:4" x14ac:dyDescent="0.3">
      <c r="A2871" s="12"/>
      <c r="B2871" s="10" t="s">
        <v>1916</v>
      </c>
      <c r="C2871" s="11"/>
      <c r="D2871" s="17">
        <v>9097.98</v>
      </c>
    </row>
    <row r="2872" spans="1:4" x14ac:dyDescent="0.3">
      <c r="A2872" s="10" t="s">
        <v>900</v>
      </c>
      <c r="B2872" s="11"/>
      <c r="C2872" s="11"/>
      <c r="D2872" s="17">
        <v>9097.98</v>
      </c>
    </row>
    <row r="2873" spans="1:4" x14ac:dyDescent="0.3">
      <c r="A2873" s="10">
        <v>605</v>
      </c>
      <c r="B2873" s="10" t="s">
        <v>18</v>
      </c>
      <c r="C2873" s="10" t="s">
        <v>31</v>
      </c>
      <c r="D2873" s="17">
        <v>539.98</v>
      </c>
    </row>
    <row r="2874" spans="1:4" x14ac:dyDescent="0.3">
      <c r="A2874" s="12"/>
      <c r="B2874" s="12"/>
      <c r="C2874" s="14" t="s">
        <v>35</v>
      </c>
      <c r="D2874" s="18">
        <v>999.98</v>
      </c>
    </row>
    <row r="2875" spans="1:4" x14ac:dyDescent="0.3">
      <c r="A2875" s="12"/>
      <c r="B2875" s="12"/>
      <c r="C2875" s="14" t="s">
        <v>36</v>
      </c>
      <c r="D2875" s="18">
        <v>449</v>
      </c>
    </row>
    <row r="2876" spans="1:4" x14ac:dyDescent="0.3">
      <c r="A2876" s="12"/>
      <c r="B2876" s="12"/>
      <c r="C2876" s="14" t="s">
        <v>30</v>
      </c>
      <c r="D2876" s="18">
        <v>1680.99</v>
      </c>
    </row>
    <row r="2877" spans="1:4" x14ac:dyDescent="0.3">
      <c r="A2877" s="12"/>
      <c r="B2877" s="10" t="s">
        <v>1916</v>
      </c>
      <c r="C2877" s="11"/>
      <c r="D2877" s="17">
        <v>3669.95</v>
      </c>
    </row>
    <row r="2878" spans="1:4" x14ac:dyDescent="0.3">
      <c r="A2878" s="10" t="s">
        <v>901</v>
      </c>
      <c r="B2878" s="11"/>
      <c r="C2878" s="11"/>
      <c r="D2878" s="17">
        <v>3669.95</v>
      </c>
    </row>
    <row r="2879" spans="1:4" x14ac:dyDescent="0.3">
      <c r="A2879" s="10">
        <v>606</v>
      </c>
      <c r="B2879" s="10" t="s">
        <v>18</v>
      </c>
      <c r="C2879" s="10" t="s">
        <v>24</v>
      </c>
      <c r="D2879" s="17">
        <v>898</v>
      </c>
    </row>
    <row r="2880" spans="1:4" x14ac:dyDescent="0.3">
      <c r="A2880" s="12"/>
      <c r="B2880" s="12"/>
      <c r="C2880" s="14" t="s">
        <v>32</v>
      </c>
      <c r="D2880" s="18">
        <v>939.98</v>
      </c>
    </row>
    <row r="2881" spans="1:4" x14ac:dyDescent="0.3">
      <c r="A2881" s="12"/>
      <c r="B2881" s="10" t="s">
        <v>1916</v>
      </c>
      <c r="C2881" s="11"/>
      <c r="D2881" s="17">
        <v>1837.98</v>
      </c>
    </row>
    <row r="2882" spans="1:4" x14ac:dyDescent="0.3">
      <c r="A2882" s="10" t="s">
        <v>902</v>
      </c>
      <c r="B2882" s="11"/>
      <c r="C2882" s="11"/>
      <c r="D2882" s="17">
        <v>1837.98</v>
      </c>
    </row>
    <row r="2883" spans="1:4" x14ac:dyDescent="0.3">
      <c r="A2883" s="10">
        <v>607</v>
      </c>
      <c r="B2883" s="10" t="s">
        <v>18</v>
      </c>
      <c r="C2883" s="10" t="s">
        <v>28</v>
      </c>
      <c r="D2883" s="17">
        <v>269.99</v>
      </c>
    </row>
    <row r="2884" spans="1:4" x14ac:dyDescent="0.3">
      <c r="A2884" s="12"/>
      <c r="B2884" s="12"/>
      <c r="C2884" s="14" t="s">
        <v>14</v>
      </c>
      <c r="D2884" s="18">
        <v>1199.98</v>
      </c>
    </row>
    <row r="2885" spans="1:4" x14ac:dyDescent="0.3">
      <c r="A2885" s="12"/>
      <c r="B2885" s="12"/>
      <c r="C2885" s="14" t="s">
        <v>30</v>
      </c>
      <c r="D2885" s="18">
        <v>3361.98</v>
      </c>
    </row>
    <row r="2886" spans="1:4" x14ac:dyDescent="0.3">
      <c r="A2886" s="12"/>
      <c r="B2886" s="10" t="s">
        <v>1916</v>
      </c>
      <c r="C2886" s="11"/>
      <c r="D2886" s="17">
        <v>4831.95</v>
      </c>
    </row>
    <row r="2887" spans="1:4" x14ac:dyDescent="0.3">
      <c r="A2887" s="10" t="s">
        <v>903</v>
      </c>
      <c r="B2887" s="11"/>
      <c r="C2887" s="11"/>
      <c r="D2887" s="17">
        <v>4831.95</v>
      </c>
    </row>
    <row r="2888" spans="1:4" x14ac:dyDescent="0.3">
      <c r="A2888" s="10">
        <v>608</v>
      </c>
      <c r="B2888" s="10" t="s">
        <v>11</v>
      </c>
      <c r="C2888" s="10" t="s">
        <v>25</v>
      </c>
      <c r="D2888" s="17">
        <v>549.99</v>
      </c>
    </row>
    <row r="2889" spans="1:4" x14ac:dyDescent="0.3">
      <c r="A2889" s="12"/>
      <c r="B2889" s="12"/>
      <c r="C2889" s="14" t="s">
        <v>16</v>
      </c>
      <c r="D2889" s="18">
        <v>5799.98</v>
      </c>
    </row>
    <row r="2890" spans="1:4" x14ac:dyDescent="0.3">
      <c r="A2890" s="12"/>
      <c r="B2890" s="12"/>
      <c r="C2890" s="14" t="s">
        <v>29</v>
      </c>
      <c r="D2890" s="18">
        <v>7999.98</v>
      </c>
    </row>
    <row r="2891" spans="1:4" x14ac:dyDescent="0.3">
      <c r="A2891" s="12"/>
      <c r="B2891" s="10" t="s">
        <v>1915</v>
      </c>
      <c r="C2891" s="11"/>
      <c r="D2891" s="17">
        <v>14349.949999999999</v>
      </c>
    </row>
    <row r="2892" spans="1:4" x14ac:dyDescent="0.3">
      <c r="A2892" s="10" t="s">
        <v>904</v>
      </c>
      <c r="B2892" s="11"/>
      <c r="C2892" s="11"/>
      <c r="D2892" s="17">
        <v>14349.949999999999</v>
      </c>
    </row>
    <row r="2893" spans="1:4" x14ac:dyDescent="0.3">
      <c r="A2893" s="10">
        <v>609</v>
      </c>
      <c r="B2893" s="10" t="s">
        <v>18</v>
      </c>
      <c r="C2893" s="10" t="s">
        <v>28</v>
      </c>
      <c r="D2893" s="17">
        <v>539.98</v>
      </c>
    </row>
    <row r="2894" spans="1:4" x14ac:dyDescent="0.3">
      <c r="A2894" s="12"/>
      <c r="B2894" s="12"/>
      <c r="C2894" s="14" t="s">
        <v>34</v>
      </c>
      <c r="D2894" s="18">
        <v>1320.99</v>
      </c>
    </row>
    <row r="2895" spans="1:4" x14ac:dyDescent="0.3">
      <c r="A2895" s="12"/>
      <c r="B2895" s="12"/>
      <c r="C2895" s="14" t="s">
        <v>13</v>
      </c>
      <c r="D2895" s="18">
        <v>1549</v>
      </c>
    </row>
    <row r="2896" spans="1:4" x14ac:dyDescent="0.3">
      <c r="A2896" s="12"/>
      <c r="B2896" s="12"/>
      <c r="C2896" s="14" t="s">
        <v>29</v>
      </c>
      <c r="D2896" s="18">
        <v>3999.99</v>
      </c>
    </row>
    <row r="2897" spans="1:4" x14ac:dyDescent="0.3">
      <c r="A2897" s="12"/>
      <c r="B2897" s="10" t="s">
        <v>1916</v>
      </c>
      <c r="C2897" s="11"/>
      <c r="D2897" s="17">
        <v>7409.96</v>
      </c>
    </row>
    <row r="2898" spans="1:4" x14ac:dyDescent="0.3">
      <c r="A2898" s="10" t="s">
        <v>905</v>
      </c>
      <c r="B2898" s="11"/>
      <c r="C2898" s="11"/>
      <c r="D2898" s="17">
        <v>7409.96</v>
      </c>
    </row>
    <row r="2899" spans="1:4" x14ac:dyDescent="0.3">
      <c r="A2899" s="10">
        <v>610</v>
      </c>
      <c r="B2899" s="10" t="s">
        <v>18</v>
      </c>
      <c r="C2899" s="10" t="s">
        <v>25</v>
      </c>
      <c r="D2899" s="17">
        <v>549.99</v>
      </c>
    </row>
    <row r="2900" spans="1:4" x14ac:dyDescent="0.3">
      <c r="A2900" s="12"/>
      <c r="B2900" s="12"/>
      <c r="C2900" s="14" t="s">
        <v>14</v>
      </c>
      <c r="D2900" s="18">
        <v>599.99</v>
      </c>
    </row>
    <row r="2901" spans="1:4" x14ac:dyDescent="0.3">
      <c r="A2901" s="12"/>
      <c r="B2901" s="12"/>
      <c r="C2901" s="14" t="s">
        <v>24</v>
      </c>
      <c r="D2901" s="18">
        <v>898</v>
      </c>
    </row>
    <row r="2902" spans="1:4" x14ac:dyDescent="0.3">
      <c r="A2902" s="12"/>
      <c r="B2902" s="12"/>
      <c r="C2902" s="14" t="s">
        <v>20</v>
      </c>
      <c r="D2902" s="18">
        <v>999.99</v>
      </c>
    </row>
    <row r="2903" spans="1:4" x14ac:dyDescent="0.3">
      <c r="A2903" s="12"/>
      <c r="B2903" s="12"/>
      <c r="C2903" s="14" t="s">
        <v>12</v>
      </c>
      <c r="D2903" s="18">
        <v>1799.99</v>
      </c>
    </row>
    <row r="2904" spans="1:4" x14ac:dyDescent="0.3">
      <c r="A2904" s="12"/>
      <c r="B2904" s="10" t="s">
        <v>1916</v>
      </c>
      <c r="C2904" s="11"/>
      <c r="D2904" s="17">
        <v>4847.96</v>
      </c>
    </row>
    <row r="2905" spans="1:4" x14ac:dyDescent="0.3">
      <c r="A2905" s="10" t="s">
        <v>906</v>
      </c>
      <c r="B2905" s="11"/>
      <c r="C2905" s="11"/>
      <c r="D2905" s="17">
        <v>4847.96</v>
      </c>
    </row>
    <row r="2906" spans="1:4" x14ac:dyDescent="0.3">
      <c r="A2906" s="10">
        <v>611</v>
      </c>
      <c r="B2906" s="10" t="s">
        <v>18</v>
      </c>
      <c r="C2906" s="10" t="s">
        <v>14</v>
      </c>
      <c r="D2906" s="17">
        <v>1199.98</v>
      </c>
    </row>
    <row r="2907" spans="1:4" x14ac:dyDescent="0.3">
      <c r="A2907" s="12"/>
      <c r="B2907" s="10" t="s">
        <v>1916</v>
      </c>
      <c r="C2907" s="11"/>
      <c r="D2907" s="17">
        <v>1199.98</v>
      </c>
    </row>
    <row r="2908" spans="1:4" x14ac:dyDescent="0.3">
      <c r="A2908" s="10" t="s">
        <v>907</v>
      </c>
      <c r="B2908" s="11"/>
      <c r="C2908" s="11"/>
      <c r="D2908" s="17">
        <v>1199.98</v>
      </c>
    </row>
    <row r="2909" spans="1:4" x14ac:dyDescent="0.3">
      <c r="A2909" s="10">
        <v>612</v>
      </c>
      <c r="B2909" s="10" t="s">
        <v>18</v>
      </c>
      <c r="C2909" s="10" t="s">
        <v>31</v>
      </c>
      <c r="D2909" s="17">
        <v>269.99</v>
      </c>
    </row>
    <row r="2910" spans="1:4" x14ac:dyDescent="0.3">
      <c r="A2910" s="12"/>
      <c r="B2910" s="12"/>
      <c r="C2910" s="14" t="s">
        <v>28</v>
      </c>
      <c r="D2910" s="18">
        <v>269.99</v>
      </c>
    </row>
    <row r="2911" spans="1:4" x14ac:dyDescent="0.3">
      <c r="A2911" s="12"/>
      <c r="B2911" s="12"/>
      <c r="C2911" s="14" t="s">
        <v>10</v>
      </c>
      <c r="D2911" s="18">
        <v>599.99</v>
      </c>
    </row>
    <row r="2912" spans="1:4" x14ac:dyDescent="0.3">
      <c r="A2912" s="12"/>
      <c r="B2912" s="12"/>
      <c r="C2912" s="14" t="s">
        <v>23</v>
      </c>
      <c r="D2912" s="18">
        <v>429</v>
      </c>
    </row>
    <row r="2913" spans="1:4" x14ac:dyDescent="0.3">
      <c r="A2913" s="12"/>
      <c r="B2913" s="10" t="s">
        <v>1916</v>
      </c>
      <c r="C2913" s="11"/>
      <c r="D2913" s="17">
        <v>1568.97</v>
      </c>
    </row>
    <row r="2914" spans="1:4" x14ac:dyDescent="0.3">
      <c r="A2914" s="10" t="s">
        <v>908</v>
      </c>
      <c r="B2914" s="11"/>
      <c r="C2914" s="11"/>
      <c r="D2914" s="17">
        <v>1568.97</v>
      </c>
    </row>
    <row r="2915" spans="1:4" x14ac:dyDescent="0.3">
      <c r="A2915" s="10">
        <v>613</v>
      </c>
      <c r="B2915" s="10" t="s">
        <v>18</v>
      </c>
      <c r="C2915" s="10" t="s">
        <v>25</v>
      </c>
      <c r="D2915" s="17">
        <v>549.99</v>
      </c>
    </row>
    <row r="2916" spans="1:4" x14ac:dyDescent="0.3">
      <c r="A2916" s="12"/>
      <c r="B2916" s="12"/>
      <c r="C2916" s="14" t="s">
        <v>24</v>
      </c>
      <c r="D2916" s="18">
        <v>898</v>
      </c>
    </row>
    <row r="2917" spans="1:4" x14ac:dyDescent="0.3">
      <c r="A2917" s="12"/>
      <c r="B2917" s="12"/>
      <c r="C2917" s="14" t="s">
        <v>26</v>
      </c>
      <c r="D2917" s="18">
        <v>5999.98</v>
      </c>
    </row>
    <row r="2918" spans="1:4" x14ac:dyDescent="0.3">
      <c r="A2918" s="12"/>
      <c r="B2918" s="10" t="s">
        <v>1916</v>
      </c>
      <c r="C2918" s="11"/>
      <c r="D2918" s="17">
        <v>7447.9699999999993</v>
      </c>
    </row>
    <row r="2919" spans="1:4" x14ac:dyDescent="0.3">
      <c r="A2919" s="10" t="s">
        <v>909</v>
      </c>
      <c r="B2919" s="11"/>
      <c r="C2919" s="11"/>
      <c r="D2919" s="17">
        <v>7447.9699999999993</v>
      </c>
    </row>
    <row r="2920" spans="1:4" x14ac:dyDescent="0.3">
      <c r="A2920" s="10">
        <v>614</v>
      </c>
      <c r="B2920" s="10" t="s">
        <v>11</v>
      </c>
      <c r="C2920" s="10" t="s">
        <v>31</v>
      </c>
      <c r="D2920" s="17">
        <v>269.99</v>
      </c>
    </row>
    <row r="2921" spans="1:4" x14ac:dyDescent="0.3">
      <c r="A2921" s="12"/>
      <c r="B2921" s="12"/>
      <c r="C2921" s="14" t="s">
        <v>24</v>
      </c>
      <c r="D2921" s="18">
        <v>449</v>
      </c>
    </row>
    <row r="2922" spans="1:4" x14ac:dyDescent="0.3">
      <c r="A2922" s="12"/>
      <c r="B2922" s="10" t="s">
        <v>1915</v>
      </c>
      <c r="C2922" s="11"/>
      <c r="D2922" s="17">
        <v>718.99</v>
      </c>
    </row>
    <row r="2923" spans="1:4" x14ac:dyDescent="0.3">
      <c r="A2923" s="10" t="s">
        <v>910</v>
      </c>
      <c r="B2923" s="11"/>
      <c r="C2923" s="11"/>
      <c r="D2923" s="17">
        <v>718.99</v>
      </c>
    </row>
    <row r="2924" spans="1:4" x14ac:dyDescent="0.3">
      <c r="A2924" s="10">
        <v>615</v>
      </c>
      <c r="B2924" s="10" t="s">
        <v>37</v>
      </c>
      <c r="C2924" s="10" t="s">
        <v>33</v>
      </c>
      <c r="D2924" s="17">
        <v>299.99</v>
      </c>
    </row>
    <row r="2925" spans="1:4" x14ac:dyDescent="0.3">
      <c r="A2925" s="12"/>
      <c r="B2925" s="12"/>
      <c r="C2925" s="14" t="s">
        <v>36</v>
      </c>
      <c r="D2925" s="18">
        <v>898</v>
      </c>
    </row>
    <row r="2926" spans="1:4" x14ac:dyDescent="0.3">
      <c r="A2926" s="12"/>
      <c r="B2926" s="12"/>
      <c r="C2926" s="14" t="s">
        <v>32</v>
      </c>
      <c r="D2926" s="18">
        <v>939.98</v>
      </c>
    </row>
    <row r="2927" spans="1:4" x14ac:dyDescent="0.3">
      <c r="A2927" s="12"/>
      <c r="B2927" s="12"/>
      <c r="C2927" s="14" t="s">
        <v>30</v>
      </c>
      <c r="D2927" s="18">
        <v>1680.99</v>
      </c>
    </row>
    <row r="2928" spans="1:4" x14ac:dyDescent="0.3">
      <c r="A2928" s="12"/>
      <c r="B2928" s="10" t="s">
        <v>1917</v>
      </c>
      <c r="C2928" s="11"/>
      <c r="D2928" s="17">
        <v>3818.96</v>
      </c>
    </row>
    <row r="2929" spans="1:4" x14ac:dyDescent="0.3">
      <c r="A2929" s="10" t="s">
        <v>911</v>
      </c>
      <c r="B2929" s="11"/>
      <c r="C2929" s="11"/>
      <c r="D2929" s="17">
        <v>3818.96</v>
      </c>
    </row>
    <row r="2930" spans="1:4" x14ac:dyDescent="0.3">
      <c r="A2930" s="10">
        <v>616</v>
      </c>
      <c r="B2930" s="10" t="s">
        <v>18</v>
      </c>
      <c r="C2930" s="10" t="s">
        <v>25</v>
      </c>
      <c r="D2930" s="17">
        <v>549.99</v>
      </c>
    </row>
    <row r="2931" spans="1:4" x14ac:dyDescent="0.3">
      <c r="A2931" s="12"/>
      <c r="B2931" s="12"/>
      <c r="C2931" s="14" t="s">
        <v>14</v>
      </c>
      <c r="D2931" s="18">
        <v>1199.98</v>
      </c>
    </row>
    <row r="2932" spans="1:4" x14ac:dyDescent="0.3">
      <c r="A2932" s="12"/>
      <c r="B2932" s="10" t="s">
        <v>1916</v>
      </c>
      <c r="C2932" s="11"/>
      <c r="D2932" s="17">
        <v>1749.97</v>
      </c>
    </row>
    <row r="2933" spans="1:4" x14ac:dyDescent="0.3">
      <c r="A2933" s="10" t="s">
        <v>912</v>
      </c>
      <c r="B2933" s="11"/>
      <c r="C2933" s="11"/>
      <c r="D2933" s="17">
        <v>1749.97</v>
      </c>
    </row>
    <row r="2934" spans="1:4" x14ac:dyDescent="0.3">
      <c r="A2934" s="10">
        <v>617</v>
      </c>
      <c r="B2934" s="10" t="s">
        <v>18</v>
      </c>
      <c r="C2934" s="10" t="s">
        <v>27</v>
      </c>
      <c r="D2934" s="17">
        <v>1059.98</v>
      </c>
    </row>
    <row r="2935" spans="1:4" x14ac:dyDescent="0.3">
      <c r="A2935" s="12"/>
      <c r="B2935" s="12"/>
      <c r="C2935" s="14" t="s">
        <v>30</v>
      </c>
      <c r="D2935" s="18">
        <v>3361.98</v>
      </c>
    </row>
    <row r="2936" spans="1:4" x14ac:dyDescent="0.3">
      <c r="A2936" s="12"/>
      <c r="B2936" s="10" t="s">
        <v>1916</v>
      </c>
      <c r="C2936" s="11"/>
      <c r="D2936" s="17">
        <v>4421.96</v>
      </c>
    </row>
    <row r="2937" spans="1:4" x14ac:dyDescent="0.3">
      <c r="A2937" s="10" t="s">
        <v>913</v>
      </c>
      <c r="B2937" s="11"/>
      <c r="C2937" s="11"/>
      <c r="D2937" s="17">
        <v>4421.96</v>
      </c>
    </row>
    <row r="2938" spans="1:4" x14ac:dyDescent="0.3">
      <c r="A2938" s="10">
        <v>618</v>
      </c>
      <c r="B2938" s="10" t="s">
        <v>18</v>
      </c>
      <c r="C2938" s="10" t="s">
        <v>23</v>
      </c>
      <c r="D2938" s="17">
        <v>858</v>
      </c>
    </row>
    <row r="2939" spans="1:4" x14ac:dyDescent="0.3">
      <c r="A2939" s="12"/>
      <c r="B2939" s="12"/>
      <c r="C2939" s="14" t="s">
        <v>30</v>
      </c>
      <c r="D2939" s="18">
        <v>1680.99</v>
      </c>
    </row>
    <row r="2940" spans="1:4" x14ac:dyDescent="0.3">
      <c r="A2940" s="12"/>
      <c r="B2940" s="10" t="s">
        <v>1916</v>
      </c>
      <c r="C2940" s="11"/>
      <c r="D2940" s="17">
        <v>2538.9899999999998</v>
      </c>
    </row>
    <row r="2941" spans="1:4" x14ac:dyDescent="0.3">
      <c r="A2941" s="10" t="s">
        <v>914</v>
      </c>
      <c r="B2941" s="11"/>
      <c r="C2941" s="11"/>
      <c r="D2941" s="17">
        <v>2538.9899999999998</v>
      </c>
    </row>
    <row r="2942" spans="1:4" x14ac:dyDescent="0.3">
      <c r="A2942" s="10">
        <v>619</v>
      </c>
      <c r="B2942" s="10" t="s">
        <v>18</v>
      </c>
      <c r="C2942" s="10" t="s">
        <v>35</v>
      </c>
      <c r="D2942" s="17">
        <v>499.99</v>
      </c>
    </row>
    <row r="2943" spans="1:4" x14ac:dyDescent="0.3">
      <c r="A2943" s="12"/>
      <c r="B2943" s="10" t="s">
        <v>1916</v>
      </c>
      <c r="C2943" s="11"/>
      <c r="D2943" s="17">
        <v>499.99</v>
      </c>
    </row>
    <row r="2944" spans="1:4" x14ac:dyDescent="0.3">
      <c r="A2944" s="10" t="s">
        <v>915</v>
      </c>
      <c r="B2944" s="11"/>
      <c r="C2944" s="11"/>
      <c r="D2944" s="17">
        <v>499.99</v>
      </c>
    </row>
    <row r="2945" spans="1:4" x14ac:dyDescent="0.3">
      <c r="A2945" s="10">
        <v>620</v>
      </c>
      <c r="B2945" s="10" t="s">
        <v>18</v>
      </c>
      <c r="C2945" s="10" t="s">
        <v>34</v>
      </c>
      <c r="D2945" s="17">
        <v>2641.98</v>
      </c>
    </row>
    <row r="2946" spans="1:4" x14ac:dyDescent="0.3">
      <c r="A2946" s="12"/>
      <c r="B2946" s="10" t="s">
        <v>1916</v>
      </c>
      <c r="C2946" s="11"/>
      <c r="D2946" s="17">
        <v>2641.98</v>
      </c>
    </row>
    <row r="2947" spans="1:4" x14ac:dyDescent="0.3">
      <c r="A2947" s="10" t="s">
        <v>916</v>
      </c>
      <c r="B2947" s="11"/>
      <c r="C2947" s="11"/>
      <c r="D2947" s="17">
        <v>2641.98</v>
      </c>
    </row>
    <row r="2948" spans="1:4" x14ac:dyDescent="0.3">
      <c r="A2948" s="10">
        <v>621</v>
      </c>
      <c r="B2948" s="10" t="s">
        <v>18</v>
      </c>
      <c r="C2948" s="10" t="s">
        <v>23</v>
      </c>
      <c r="D2948" s="17">
        <v>858</v>
      </c>
    </row>
    <row r="2949" spans="1:4" x14ac:dyDescent="0.3">
      <c r="A2949" s="12"/>
      <c r="B2949" s="10" t="s">
        <v>1916</v>
      </c>
      <c r="C2949" s="11"/>
      <c r="D2949" s="17">
        <v>858</v>
      </c>
    </row>
    <row r="2950" spans="1:4" x14ac:dyDescent="0.3">
      <c r="A2950" s="10" t="s">
        <v>917</v>
      </c>
      <c r="B2950" s="11"/>
      <c r="C2950" s="11"/>
      <c r="D2950" s="17">
        <v>858</v>
      </c>
    </row>
    <row r="2951" spans="1:4" x14ac:dyDescent="0.3">
      <c r="A2951" s="10">
        <v>622</v>
      </c>
      <c r="B2951" s="10" t="s">
        <v>18</v>
      </c>
      <c r="C2951" s="10" t="s">
        <v>35</v>
      </c>
      <c r="D2951" s="17">
        <v>499.99</v>
      </c>
    </row>
    <row r="2952" spans="1:4" x14ac:dyDescent="0.3">
      <c r="A2952" s="12"/>
      <c r="B2952" s="12"/>
      <c r="C2952" s="14" t="s">
        <v>24</v>
      </c>
      <c r="D2952" s="18">
        <v>449</v>
      </c>
    </row>
    <row r="2953" spans="1:4" x14ac:dyDescent="0.3">
      <c r="A2953" s="12"/>
      <c r="B2953" s="12"/>
      <c r="C2953" s="14" t="s">
        <v>13</v>
      </c>
      <c r="D2953" s="18">
        <v>1549</v>
      </c>
    </row>
    <row r="2954" spans="1:4" x14ac:dyDescent="0.3">
      <c r="A2954" s="12"/>
      <c r="B2954" s="12"/>
      <c r="C2954" s="14" t="s">
        <v>26</v>
      </c>
      <c r="D2954" s="18">
        <v>5999.98</v>
      </c>
    </row>
    <row r="2955" spans="1:4" x14ac:dyDescent="0.3">
      <c r="A2955" s="12"/>
      <c r="B2955" s="10" t="s">
        <v>1916</v>
      </c>
      <c r="C2955" s="11"/>
      <c r="D2955" s="17">
        <v>8497.9699999999993</v>
      </c>
    </row>
    <row r="2956" spans="1:4" x14ac:dyDescent="0.3">
      <c r="A2956" s="10" t="s">
        <v>918</v>
      </c>
      <c r="B2956" s="11"/>
      <c r="C2956" s="11"/>
      <c r="D2956" s="17">
        <v>8497.9699999999993</v>
      </c>
    </row>
    <row r="2957" spans="1:4" x14ac:dyDescent="0.3">
      <c r="A2957" s="10">
        <v>623</v>
      </c>
      <c r="B2957" s="10" t="s">
        <v>18</v>
      </c>
      <c r="C2957" s="10" t="s">
        <v>12</v>
      </c>
      <c r="D2957" s="17">
        <v>1799.99</v>
      </c>
    </row>
    <row r="2958" spans="1:4" x14ac:dyDescent="0.3">
      <c r="A2958" s="12"/>
      <c r="B2958" s="10" t="s">
        <v>1916</v>
      </c>
      <c r="C2958" s="11"/>
      <c r="D2958" s="17">
        <v>1799.99</v>
      </c>
    </row>
    <row r="2959" spans="1:4" x14ac:dyDescent="0.3">
      <c r="A2959" s="10" t="s">
        <v>919</v>
      </c>
      <c r="B2959" s="11"/>
      <c r="C2959" s="11"/>
      <c r="D2959" s="17">
        <v>1799.99</v>
      </c>
    </row>
    <row r="2960" spans="1:4" x14ac:dyDescent="0.3">
      <c r="A2960" s="10">
        <v>624</v>
      </c>
      <c r="B2960" s="10" t="s">
        <v>18</v>
      </c>
      <c r="C2960" s="10" t="s">
        <v>31</v>
      </c>
      <c r="D2960" s="17">
        <v>539.98</v>
      </c>
    </row>
    <row r="2961" spans="1:4" x14ac:dyDescent="0.3">
      <c r="A2961" s="12"/>
      <c r="B2961" s="12"/>
      <c r="C2961" s="14" t="s">
        <v>28</v>
      </c>
      <c r="D2961" s="18">
        <v>809.97</v>
      </c>
    </row>
    <row r="2962" spans="1:4" x14ac:dyDescent="0.3">
      <c r="A2962" s="12"/>
      <c r="B2962" s="12"/>
      <c r="C2962" s="14" t="s">
        <v>14</v>
      </c>
      <c r="D2962" s="18">
        <v>599.99</v>
      </c>
    </row>
    <row r="2963" spans="1:4" x14ac:dyDescent="0.3">
      <c r="A2963" s="12"/>
      <c r="B2963" s="10" t="s">
        <v>1916</v>
      </c>
      <c r="C2963" s="11"/>
      <c r="D2963" s="17">
        <v>1949.94</v>
      </c>
    </row>
    <row r="2964" spans="1:4" x14ac:dyDescent="0.3">
      <c r="A2964" s="10" t="s">
        <v>920</v>
      </c>
      <c r="B2964" s="11"/>
      <c r="C2964" s="11"/>
      <c r="D2964" s="17">
        <v>1949.94</v>
      </c>
    </row>
    <row r="2965" spans="1:4" x14ac:dyDescent="0.3">
      <c r="A2965" s="10">
        <v>625</v>
      </c>
      <c r="B2965" s="10" t="s">
        <v>11</v>
      </c>
      <c r="C2965" s="10" t="s">
        <v>33</v>
      </c>
      <c r="D2965" s="17">
        <v>599.98</v>
      </c>
    </row>
    <row r="2966" spans="1:4" x14ac:dyDescent="0.3">
      <c r="A2966" s="12"/>
      <c r="B2966" s="12"/>
      <c r="C2966" s="14" t="s">
        <v>14</v>
      </c>
      <c r="D2966" s="18">
        <v>599.99</v>
      </c>
    </row>
    <row r="2967" spans="1:4" x14ac:dyDescent="0.3">
      <c r="A2967" s="12"/>
      <c r="B2967" s="12"/>
      <c r="C2967" s="14" t="s">
        <v>23</v>
      </c>
      <c r="D2967" s="18">
        <v>429</v>
      </c>
    </row>
    <row r="2968" spans="1:4" x14ac:dyDescent="0.3">
      <c r="A2968" s="12"/>
      <c r="B2968" s="12"/>
      <c r="C2968" s="14" t="s">
        <v>30</v>
      </c>
      <c r="D2968" s="18">
        <v>3361.98</v>
      </c>
    </row>
    <row r="2969" spans="1:4" x14ac:dyDescent="0.3">
      <c r="A2969" s="12"/>
      <c r="B2969" s="10" t="s">
        <v>1915</v>
      </c>
      <c r="C2969" s="11"/>
      <c r="D2969" s="17">
        <v>4990.95</v>
      </c>
    </row>
    <row r="2970" spans="1:4" x14ac:dyDescent="0.3">
      <c r="A2970" s="10" t="s">
        <v>921</v>
      </c>
      <c r="B2970" s="11"/>
      <c r="C2970" s="11"/>
      <c r="D2970" s="17">
        <v>4990.95</v>
      </c>
    </row>
    <row r="2971" spans="1:4" x14ac:dyDescent="0.3">
      <c r="A2971" s="10">
        <v>626</v>
      </c>
      <c r="B2971" s="10" t="s">
        <v>18</v>
      </c>
      <c r="C2971" s="10" t="s">
        <v>27</v>
      </c>
      <c r="D2971" s="17">
        <v>529.99</v>
      </c>
    </row>
    <row r="2972" spans="1:4" x14ac:dyDescent="0.3">
      <c r="A2972" s="12"/>
      <c r="B2972" s="10" t="s">
        <v>1916</v>
      </c>
      <c r="C2972" s="11"/>
      <c r="D2972" s="17">
        <v>529.99</v>
      </c>
    </row>
    <row r="2973" spans="1:4" x14ac:dyDescent="0.3">
      <c r="A2973" s="10" t="s">
        <v>922</v>
      </c>
      <c r="B2973" s="11"/>
      <c r="C2973" s="11"/>
      <c r="D2973" s="17">
        <v>529.99</v>
      </c>
    </row>
    <row r="2974" spans="1:4" x14ac:dyDescent="0.3">
      <c r="A2974" s="10">
        <v>627</v>
      </c>
      <c r="B2974" s="10" t="s">
        <v>18</v>
      </c>
      <c r="C2974" s="10" t="s">
        <v>14</v>
      </c>
      <c r="D2974" s="17">
        <v>599.99</v>
      </c>
    </row>
    <row r="2975" spans="1:4" x14ac:dyDescent="0.3">
      <c r="A2975" s="12"/>
      <c r="B2975" s="12"/>
      <c r="C2975" s="14" t="s">
        <v>36</v>
      </c>
      <c r="D2975" s="18">
        <v>449</v>
      </c>
    </row>
    <row r="2976" spans="1:4" x14ac:dyDescent="0.3">
      <c r="A2976" s="12"/>
      <c r="B2976" s="12"/>
      <c r="C2976" s="14" t="s">
        <v>26</v>
      </c>
      <c r="D2976" s="18">
        <v>5999.98</v>
      </c>
    </row>
    <row r="2977" spans="1:4" x14ac:dyDescent="0.3">
      <c r="A2977" s="12"/>
      <c r="B2977" s="10" t="s">
        <v>1916</v>
      </c>
      <c r="C2977" s="11"/>
      <c r="D2977" s="17">
        <v>7048.9699999999993</v>
      </c>
    </row>
    <row r="2978" spans="1:4" x14ac:dyDescent="0.3">
      <c r="A2978" s="10" t="s">
        <v>923</v>
      </c>
      <c r="B2978" s="11"/>
      <c r="C2978" s="11"/>
      <c r="D2978" s="17">
        <v>7048.9699999999993</v>
      </c>
    </row>
    <row r="2979" spans="1:4" x14ac:dyDescent="0.3">
      <c r="A2979" s="10">
        <v>628</v>
      </c>
      <c r="B2979" s="10" t="s">
        <v>11</v>
      </c>
      <c r="C2979" s="10" t="s">
        <v>27</v>
      </c>
      <c r="D2979" s="17">
        <v>1059.98</v>
      </c>
    </row>
    <row r="2980" spans="1:4" x14ac:dyDescent="0.3">
      <c r="A2980" s="12"/>
      <c r="B2980" s="10" t="s">
        <v>1915</v>
      </c>
      <c r="C2980" s="11"/>
      <c r="D2980" s="17">
        <v>1059.98</v>
      </c>
    </row>
    <row r="2981" spans="1:4" x14ac:dyDescent="0.3">
      <c r="A2981" s="10" t="s">
        <v>924</v>
      </c>
      <c r="B2981" s="11"/>
      <c r="C2981" s="11"/>
      <c r="D2981" s="17">
        <v>1059.98</v>
      </c>
    </row>
    <row r="2982" spans="1:4" x14ac:dyDescent="0.3">
      <c r="A2982" s="10">
        <v>629</v>
      </c>
      <c r="B2982" s="10" t="s">
        <v>11</v>
      </c>
      <c r="C2982" s="10" t="s">
        <v>28</v>
      </c>
      <c r="D2982" s="17">
        <v>539.98</v>
      </c>
    </row>
    <row r="2983" spans="1:4" x14ac:dyDescent="0.3">
      <c r="A2983" s="12"/>
      <c r="B2983" s="12"/>
      <c r="C2983" s="14" t="s">
        <v>33</v>
      </c>
      <c r="D2983" s="18">
        <v>599.98</v>
      </c>
    </row>
    <row r="2984" spans="1:4" x14ac:dyDescent="0.3">
      <c r="A2984" s="12"/>
      <c r="B2984" s="12"/>
      <c r="C2984" s="14" t="s">
        <v>34</v>
      </c>
      <c r="D2984" s="18">
        <v>2641.98</v>
      </c>
    </row>
    <row r="2985" spans="1:4" x14ac:dyDescent="0.3">
      <c r="A2985" s="12"/>
      <c r="B2985" s="12"/>
      <c r="C2985" s="14" t="s">
        <v>36</v>
      </c>
      <c r="D2985" s="18">
        <v>449</v>
      </c>
    </row>
    <row r="2986" spans="1:4" x14ac:dyDescent="0.3">
      <c r="A2986" s="12"/>
      <c r="B2986" s="12"/>
      <c r="C2986" s="14" t="s">
        <v>32</v>
      </c>
      <c r="D2986" s="18">
        <v>939.98</v>
      </c>
    </row>
    <row r="2987" spans="1:4" x14ac:dyDescent="0.3">
      <c r="A2987" s="12"/>
      <c r="B2987" s="10" t="s">
        <v>1915</v>
      </c>
      <c r="C2987" s="11"/>
      <c r="D2987" s="17">
        <v>5170.92</v>
      </c>
    </row>
    <row r="2988" spans="1:4" x14ac:dyDescent="0.3">
      <c r="A2988" s="10" t="s">
        <v>925</v>
      </c>
      <c r="B2988" s="11"/>
      <c r="C2988" s="11"/>
      <c r="D2988" s="17">
        <v>5170.92</v>
      </c>
    </row>
    <row r="2989" spans="1:4" x14ac:dyDescent="0.3">
      <c r="A2989" s="10">
        <v>630</v>
      </c>
      <c r="B2989" s="10" t="s">
        <v>18</v>
      </c>
      <c r="C2989" s="10" t="s">
        <v>31</v>
      </c>
      <c r="D2989" s="17">
        <v>539.98</v>
      </c>
    </row>
    <row r="2990" spans="1:4" x14ac:dyDescent="0.3">
      <c r="A2990" s="12"/>
      <c r="B2990" s="12"/>
      <c r="C2990" s="14" t="s">
        <v>35</v>
      </c>
      <c r="D2990" s="18">
        <v>499.99</v>
      </c>
    </row>
    <row r="2991" spans="1:4" x14ac:dyDescent="0.3">
      <c r="A2991" s="12"/>
      <c r="B2991" s="12"/>
      <c r="C2991" s="14" t="s">
        <v>34</v>
      </c>
      <c r="D2991" s="18">
        <v>1320.99</v>
      </c>
    </row>
    <row r="2992" spans="1:4" x14ac:dyDescent="0.3">
      <c r="A2992" s="12"/>
      <c r="B2992" s="12"/>
      <c r="C2992" s="14" t="s">
        <v>24</v>
      </c>
      <c r="D2992" s="18">
        <v>898</v>
      </c>
    </row>
    <row r="2993" spans="1:4" x14ac:dyDescent="0.3">
      <c r="A2993" s="12"/>
      <c r="B2993" s="10" t="s">
        <v>1916</v>
      </c>
      <c r="C2993" s="11"/>
      <c r="D2993" s="17">
        <v>3258.96</v>
      </c>
    </row>
    <row r="2994" spans="1:4" x14ac:dyDescent="0.3">
      <c r="A2994" s="10" t="s">
        <v>926</v>
      </c>
      <c r="B2994" s="11"/>
      <c r="C2994" s="11"/>
      <c r="D2994" s="17">
        <v>3258.96</v>
      </c>
    </row>
    <row r="2995" spans="1:4" x14ac:dyDescent="0.3">
      <c r="A2995" s="10">
        <v>631</v>
      </c>
      <c r="B2995" s="10" t="s">
        <v>11</v>
      </c>
      <c r="C2995" s="10" t="s">
        <v>27</v>
      </c>
      <c r="D2995" s="17">
        <v>1059.98</v>
      </c>
    </row>
    <row r="2996" spans="1:4" x14ac:dyDescent="0.3">
      <c r="A2996" s="12"/>
      <c r="B2996" s="12"/>
      <c r="C2996" s="14" t="s">
        <v>25</v>
      </c>
      <c r="D2996" s="18">
        <v>1099.98</v>
      </c>
    </row>
    <row r="2997" spans="1:4" x14ac:dyDescent="0.3">
      <c r="A2997" s="12"/>
      <c r="B2997" s="10" t="s">
        <v>1915</v>
      </c>
      <c r="C2997" s="11"/>
      <c r="D2997" s="17">
        <v>2159.96</v>
      </c>
    </row>
    <row r="2998" spans="1:4" x14ac:dyDescent="0.3">
      <c r="A2998" s="10" t="s">
        <v>927</v>
      </c>
      <c r="B2998" s="11"/>
      <c r="C2998" s="11"/>
      <c r="D2998" s="17">
        <v>2159.96</v>
      </c>
    </row>
    <row r="2999" spans="1:4" x14ac:dyDescent="0.3">
      <c r="A2999" s="10">
        <v>632</v>
      </c>
      <c r="B2999" s="10" t="s">
        <v>18</v>
      </c>
      <c r="C2999" s="10" t="s">
        <v>28</v>
      </c>
      <c r="D2999" s="17">
        <v>539.98</v>
      </c>
    </row>
    <row r="3000" spans="1:4" x14ac:dyDescent="0.3">
      <c r="A3000" s="12"/>
      <c r="B3000" s="12"/>
      <c r="C3000" s="14" t="s">
        <v>27</v>
      </c>
      <c r="D3000" s="18">
        <v>529.99</v>
      </c>
    </row>
    <row r="3001" spans="1:4" x14ac:dyDescent="0.3">
      <c r="A3001" s="12"/>
      <c r="B3001" s="12"/>
      <c r="C3001" s="14" t="s">
        <v>35</v>
      </c>
      <c r="D3001" s="18">
        <v>499.99</v>
      </c>
    </row>
    <row r="3002" spans="1:4" x14ac:dyDescent="0.3">
      <c r="A3002" s="12"/>
      <c r="B3002" s="12"/>
      <c r="C3002" s="14" t="s">
        <v>32</v>
      </c>
      <c r="D3002" s="18">
        <v>469.99</v>
      </c>
    </row>
    <row r="3003" spans="1:4" x14ac:dyDescent="0.3">
      <c r="A3003" s="12"/>
      <c r="B3003" s="12"/>
      <c r="C3003" s="14" t="s">
        <v>30</v>
      </c>
      <c r="D3003" s="18">
        <v>3361.98</v>
      </c>
    </row>
    <row r="3004" spans="1:4" x14ac:dyDescent="0.3">
      <c r="A3004" s="12"/>
      <c r="B3004" s="10" t="s">
        <v>1916</v>
      </c>
      <c r="C3004" s="11"/>
      <c r="D3004" s="17">
        <v>5401.93</v>
      </c>
    </row>
    <row r="3005" spans="1:4" x14ac:dyDescent="0.3">
      <c r="A3005" s="10" t="s">
        <v>928</v>
      </c>
      <c r="B3005" s="11"/>
      <c r="C3005" s="11"/>
      <c r="D3005" s="17">
        <v>5401.93</v>
      </c>
    </row>
    <row r="3006" spans="1:4" x14ac:dyDescent="0.3">
      <c r="A3006" s="10">
        <v>633</v>
      </c>
      <c r="B3006" s="10" t="s">
        <v>37</v>
      </c>
      <c r="C3006" s="10" t="s">
        <v>31</v>
      </c>
      <c r="D3006" s="17">
        <v>539.98</v>
      </c>
    </row>
    <row r="3007" spans="1:4" x14ac:dyDescent="0.3">
      <c r="A3007" s="12"/>
      <c r="B3007" s="12"/>
      <c r="C3007" s="14" t="s">
        <v>25</v>
      </c>
      <c r="D3007" s="18">
        <v>1099.98</v>
      </c>
    </row>
    <row r="3008" spans="1:4" x14ac:dyDescent="0.3">
      <c r="A3008" s="12"/>
      <c r="B3008" s="12"/>
      <c r="C3008" s="14" t="s">
        <v>34</v>
      </c>
      <c r="D3008" s="18">
        <v>2641.98</v>
      </c>
    </row>
    <row r="3009" spans="1:4" x14ac:dyDescent="0.3">
      <c r="A3009" s="12"/>
      <c r="B3009" s="12"/>
      <c r="C3009" s="14" t="s">
        <v>13</v>
      </c>
      <c r="D3009" s="18">
        <v>3098</v>
      </c>
    </row>
    <row r="3010" spans="1:4" x14ac:dyDescent="0.3">
      <c r="A3010" s="12"/>
      <c r="B3010" s="10" t="s">
        <v>1917</v>
      </c>
      <c r="C3010" s="11"/>
      <c r="D3010" s="17">
        <v>7379.9400000000005</v>
      </c>
    </row>
    <row r="3011" spans="1:4" x14ac:dyDescent="0.3">
      <c r="A3011" s="10" t="s">
        <v>929</v>
      </c>
      <c r="B3011" s="11"/>
      <c r="C3011" s="11"/>
      <c r="D3011" s="17">
        <v>7379.9400000000005</v>
      </c>
    </row>
    <row r="3012" spans="1:4" x14ac:dyDescent="0.3">
      <c r="A3012" s="10">
        <v>634</v>
      </c>
      <c r="B3012" s="10" t="s">
        <v>18</v>
      </c>
      <c r="C3012" s="10" t="s">
        <v>25</v>
      </c>
      <c r="D3012" s="17">
        <v>549.99</v>
      </c>
    </row>
    <row r="3013" spans="1:4" x14ac:dyDescent="0.3">
      <c r="A3013" s="12"/>
      <c r="B3013" s="12"/>
      <c r="C3013" s="14" t="s">
        <v>16</v>
      </c>
      <c r="D3013" s="18">
        <v>5799.98</v>
      </c>
    </row>
    <row r="3014" spans="1:4" x14ac:dyDescent="0.3">
      <c r="A3014" s="12"/>
      <c r="B3014" s="10" t="s">
        <v>1916</v>
      </c>
      <c r="C3014" s="11"/>
      <c r="D3014" s="17">
        <v>6349.9699999999993</v>
      </c>
    </row>
    <row r="3015" spans="1:4" x14ac:dyDescent="0.3">
      <c r="A3015" s="10" t="s">
        <v>930</v>
      </c>
      <c r="B3015" s="11"/>
      <c r="C3015" s="11"/>
      <c r="D3015" s="17">
        <v>6349.9699999999993</v>
      </c>
    </row>
    <row r="3016" spans="1:4" x14ac:dyDescent="0.3">
      <c r="A3016" s="10">
        <v>635</v>
      </c>
      <c r="B3016" s="10" t="s">
        <v>18</v>
      </c>
      <c r="C3016" s="10" t="s">
        <v>16</v>
      </c>
      <c r="D3016" s="17">
        <v>2899.99</v>
      </c>
    </row>
    <row r="3017" spans="1:4" x14ac:dyDescent="0.3">
      <c r="A3017" s="12"/>
      <c r="B3017" s="10" t="s">
        <v>1916</v>
      </c>
      <c r="C3017" s="11"/>
      <c r="D3017" s="17">
        <v>2899.99</v>
      </c>
    </row>
    <row r="3018" spans="1:4" x14ac:dyDescent="0.3">
      <c r="A3018" s="10" t="s">
        <v>931</v>
      </c>
      <c r="B3018" s="11"/>
      <c r="C3018" s="11"/>
      <c r="D3018" s="17">
        <v>2899.99</v>
      </c>
    </row>
    <row r="3019" spans="1:4" x14ac:dyDescent="0.3">
      <c r="A3019" s="10">
        <v>636</v>
      </c>
      <c r="B3019" s="10" t="s">
        <v>11</v>
      </c>
      <c r="C3019" s="10" t="s">
        <v>38</v>
      </c>
      <c r="D3019" s="17">
        <v>659.98</v>
      </c>
    </row>
    <row r="3020" spans="1:4" x14ac:dyDescent="0.3">
      <c r="A3020" s="12"/>
      <c r="B3020" s="10" t="s">
        <v>1915</v>
      </c>
      <c r="C3020" s="11"/>
      <c r="D3020" s="17">
        <v>659.98</v>
      </c>
    </row>
    <row r="3021" spans="1:4" x14ac:dyDescent="0.3">
      <c r="A3021" s="10" t="s">
        <v>932</v>
      </c>
      <c r="B3021" s="11"/>
      <c r="C3021" s="11"/>
      <c r="D3021" s="17">
        <v>659.98</v>
      </c>
    </row>
    <row r="3022" spans="1:4" x14ac:dyDescent="0.3">
      <c r="A3022" s="10">
        <v>637</v>
      </c>
      <c r="B3022" s="10" t="s">
        <v>18</v>
      </c>
      <c r="C3022" s="10" t="s">
        <v>39</v>
      </c>
      <c r="D3022" s="17">
        <v>899.98</v>
      </c>
    </row>
    <row r="3023" spans="1:4" x14ac:dyDescent="0.3">
      <c r="A3023" s="12"/>
      <c r="B3023" s="12"/>
      <c r="C3023" s="14" t="s">
        <v>26</v>
      </c>
      <c r="D3023" s="18">
        <v>2999.99</v>
      </c>
    </row>
    <row r="3024" spans="1:4" x14ac:dyDescent="0.3">
      <c r="A3024" s="12"/>
      <c r="B3024" s="10" t="s">
        <v>1916</v>
      </c>
      <c r="C3024" s="11"/>
      <c r="D3024" s="17">
        <v>3899.97</v>
      </c>
    </row>
    <row r="3025" spans="1:4" x14ac:dyDescent="0.3">
      <c r="A3025" s="10" t="s">
        <v>933</v>
      </c>
      <c r="B3025" s="11"/>
      <c r="C3025" s="11"/>
      <c r="D3025" s="17">
        <v>3899.97</v>
      </c>
    </row>
    <row r="3026" spans="1:4" x14ac:dyDescent="0.3">
      <c r="A3026" s="10">
        <v>638</v>
      </c>
      <c r="B3026" s="10" t="s">
        <v>18</v>
      </c>
      <c r="C3026" s="10" t="s">
        <v>40</v>
      </c>
      <c r="D3026" s="17">
        <v>551.99</v>
      </c>
    </row>
    <row r="3027" spans="1:4" x14ac:dyDescent="0.3">
      <c r="A3027" s="12"/>
      <c r="B3027" s="12"/>
      <c r="C3027" s="14" t="s">
        <v>42</v>
      </c>
      <c r="D3027" s="18">
        <v>1499.98</v>
      </c>
    </row>
    <row r="3028" spans="1:4" x14ac:dyDescent="0.3">
      <c r="A3028" s="12"/>
      <c r="B3028" s="12"/>
      <c r="C3028" s="14" t="s">
        <v>41</v>
      </c>
      <c r="D3028" s="18">
        <v>5499.99</v>
      </c>
    </row>
    <row r="3029" spans="1:4" x14ac:dyDescent="0.3">
      <c r="A3029" s="12"/>
      <c r="B3029" s="10" t="s">
        <v>1916</v>
      </c>
      <c r="C3029" s="11"/>
      <c r="D3029" s="17">
        <v>7551.96</v>
      </c>
    </row>
    <row r="3030" spans="1:4" x14ac:dyDescent="0.3">
      <c r="A3030" s="10" t="s">
        <v>934</v>
      </c>
      <c r="B3030" s="11"/>
      <c r="C3030" s="11"/>
      <c r="D3030" s="17">
        <v>7551.96</v>
      </c>
    </row>
    <row r="3031" spans="1:4" x14ac:dyDescent="0.3">
      <c r="A3031" s="10">
        <v>639</v>
      </c>
      <c r="B3031" s="10" t="s">
        <v>18</v>
      </c>
      <c r="C3031" s="10" t="s">
        <v>27</v>
      </c>
      <c r="D3031" s="17">
        <v>529.99</v>
      </c>
    </row>
    <row r="3032" spans="1:4" x14ac:dyDescent="0.3">
      <c r="A3032" s="12"/>
      <c r="B3032" s="12"/>
      <c r="C3032" s="14" t="s">
        <v>44</v>
      </c>
      <c r="D3032" s="18">
        <v>619.99</v>
      </c>
    </row>
    <row r="3033" spans="1:4" x14ac:dyDescent="0.3">
      <c r="A3033" s="12"/>
      <c r="B3033" s="12"/>
      <c r="C3033" s="14" t="s">
        <v>43</v>
      </c>
      <c r="D3033" s="18">
        <v>749.99</v>
      </c>
    </row>
    <row r="3034" spans="1:4" x14ac:dyDescent="0.3">
      <c r="A3034" s="12"/>
      <c r="B3034" s="12"/>
      <c r="C3034" s="14" t="s">
        <v>45</v>
      </c>
      <c r="D3034" s="18">
        <v>9999.98</v>
      </c>
    </row>
    <row r="3035" spans="1:4" x14ac:dyDescent="0.3">
      <c r="A3035" s="12"/>
      <c r="B3035" s="10" t="s">
        <v>1916</v>
      </c>
      <c r="C3035" s="11"/>
      <c r="D3035" s="17">
        <v>11899.949999999999</v>
      </c>
    </row>
    <row r="3036" spans="1:4" x14ac:dyDescent="0.3">
      <c r="A3036" s="10" t="s">
        <v>935</v>
      </c>
      <c r="B3036" s="11"/>
      <c r="C3036" s="11"/>
      <c r="D3036" s="17">
        <v>11899.949999999999</v>
      </c>
    </row>
    <row r="3037" spans="1:4" x14ac:dyDescent="0.3">
      <c r="A3037" s="10">
        <v>640</v>
      </c>
      <c r="B3037" s="10" t="s">
        <v>18</v>
      </c>
      <c r="C3037" s="10" t="s">
        <v>48</v>
      </c>
      <c r="D3037" s="17">
        <v>599.98</v>
      </c>
    </row>
    <row r="3038" spans="1:4" x14ac:dyDescent="0.3">
      <c r="A3038" s="12"/>
      <c r="B3038" s="12"/>
      <c r="C3038" s="14" t="s">
        <v>39</v>
      </c>
      <c r="D3038" s="18">
        <v>899.98</v>
      </c>
    </row>
    <row r="3039" spans="1:4" x14ac:dyDescent="0.3">
      <c r="A3039" s="12"/>
      <c r="B3039" s="12"/>
      <c r="C3039" s="14" t="s">
        <v>49</v>
      </c>
      <c r="D3039" s="18">
        <v>833.98</v>
      </c>
    </row>
    <row r="3040" spans="1:4" x14ac:dyDescent="0.3">
      <c r="A3040" s="12"/>
      <c r="B3040" s="12"/>
      <c r="C3040" s="14" t="s">
        <v>47</v>
      </c>
      <c r="D3040" s="18">
        <v>999.99</v>
      </c>
    </row>
    <row r="3041" spans="1:4" x14ac:dyDescent="0.3">
      <c r="A3041" s="12"/>
      <c r="B3041" s="12"/>
      <c r="C3041" s="14" t="s">
        <v>46</v>
      </c>
      <c r="D3041" s="18">
        <v>469.99</v>
      </c>
    </row>
    <row r="3042" spans="1:4" x14ac:dyDescent="0.3">
      <c r="A3042" s="12"/>
      <c r="B3042" s="10" t="s">
        <v>1916</v>
      </c>
      <c r="C3042" s="11"/>
      <c r="D3042" s="17">
        <v>3803.92</v>
      </c>
    </row>
    <row r="3043" spans="1:4" x14ac:dyDescent="0.3">
      <c r="A3043" s="10" t="s">
        <v>936</v>
      </c>
      <c r="B3043" s="11"/>
      <c r="C3043" s="11"/>
      <c r="D3043" s="17">
        <v>3803.92</v>
      </c>
    </row>
    <row r="3044" spans="1:4" x14ac:dyDescent="0.3">
      <c r="A3044" s="10">
        <v>641</v>
      </c>
      <c r="B3044" s="10" t="s">
        <v>11</v>
      </c>
      <c r="C3044" s="10" t="s">
        <v>27</v>
      </c>
      <c r="D3044" s="17">
        <v>529.99</v>
      </c>
    </row>
    <row r="3045" spans="1:4" x14ac:dyDescent="0.3">
      <c r="A3045" s="12"/>
      <c r="B3045" s="12"/>
      <c r="C3045" s="14" t="s">
        <v>51</v>
      </c>
      <c r="D3045" s="18">
        <v>489.99</v>
      </c>
    </row>
    <row r="3046" spans="1:4" x14ac:dyDescent="0.3">
      <c r="A3046" s="12"/>
      <c r="B3046" s="12"/>
      <c r="C3046" s="14" t="s">
        <v>50</v>
      </c>
      <c r="D3046" s="18">
        <v>3499.99</v>
      </c>
    </row>
    <row r="3047" spans="1:4" x14ac:dyDescent="0.3">
      <c r="A3047" s="12"/>
      <c r="B3047" s="10" t="s">
        <v>1915</v>
      </c>
      <c r="C3047" s="11"/>
      <c r="D3047" s="17">
        <v>4519.9699999999993</v>
      </c>
    </row>
    <row r="3048" spans="1:4" x14ac:dyDescent="0.3">
      <c r="A3048" s="10" t="s">
        <v>937</v>
      </c>
      <c r="B3048" s="11"/>
      <c r="C3048" s="11"/>
      <c r="D3048" s="17">
        <v>4519.9699999999993</v>
      </c>
    </row>
    <row r="3049" spans="1:4" x14ac:dyDescent="0.3">
      <c r="A3049" s="10">
        <v>642</v>
      </c>
      <c r="B3049" s="10" t="s">
        <v>18</v>
      </c>
      <c r="C3049" s="10" t="s">
        <v>39</v>
      </c>
      <c r="D3049" s="17">
        <v>899.98</v>
      </c>
    </row>
    <row r="3050" spans="1:4" x14ac:dyDescent="0.3">
      <c r="A3050" s="12"/>
      <c r="B3050" s="10" t="s">
        <v>1916</v>
      </c>
      <c r="C3050" s="11"/>
      <c r="D3050" s="17">
        <v>899.98</v>
      </c>
    </row>
    <row r="3051" spans="1:4" x14ac:dyDescent="0.3">
      <c r="A3051" s="10" t="s">
        <v>938</v>
      </c>
      <c r="B3051" s="11"/>
      <c r="C3051" s="11"/>
      <c r="D3051" s="17">
        <v>899.98</v>
      </c>
    </row>
    <row r="3052" spans="1:4" x14ac:dyDescent="0.3">
      <c r="A3052" s="10">
        <v>643</v>
      </c>
      <c r="B3052" s="10" t="s">
        <v>11</v>
      </c>
      <c r="C3052" s="10" t="s">
        <v>42</v>
      </c>
      <c r="D3052" s="17">
        <v>749.99</v>
      </c>
    </row>
    <row r="3053" spans="1:4" x14ac:dyDescent="0.3">
      <c r="A3053" s="12"/>
      <c r="B3053" s="10" t="s">
        <v>1915</v>
      </c>
      <c r="C3053" s="11"/>
      <c r="D3053" s="17">
        <v>749.99</v>
      </c>
    </row>
    <row r="3054" spans="1:4" x14ac:dyDescent="0.3">
      <c r="A3054" s="10" t="s">
        <v>939</v>
      </c>
      <c r="B3054" s="11"/>
      <c r="C3054" s="11"/>
      <c r="D3054" s="17">
        <v>749.99</v>
      </c>
    </row>
    <row r="3055" spans="1:4" x14ac:dyDescent="0.3">
      <c r="A3055" s="10">
        <v>644</v>
      </c>
      <c r="B3055" s="10" t="s">
        <v>18</v>
      </c>
      <c r="C3055" s="10" t="s">
        <v>26</v>
      </c>
      <c r="D3055" s="17">
        <v>2999.99</v>
      </c>
    </row>
    <row r="3056" spans="1:4" x14ac:dyDescent="0.3">
      <c r="A3056" s="12"/>
      <c r="B3056" s="10" t="s">
        <v>1916</v>
      </c>
      <c r="C3056" s="11"/>
      <c r="D3056" s="17">
        <v>2999.99</v>
      </c>
    </row>
    <row r="3057" spans="1:4" x14ac:dyDescent="0.3">
      <c r="A3057" s="10" t="s">
        <v>940</v>
      </c>
      <c r="B3057" s="11"/>
      <c r="C3057" s="11"/>
      <c r="D3057" s="17">
        <v>2999.99</v>
      </c>
    </row>
    <row r="3058" spans="1:4" x14ac:dyDescent="0.3">
      <c r="A3058" s="10">
        <v>645</v>
      </c>
      <c r="B3058" s="10" t="s">
        <v>18</v>
      </c>
      <c r="C3058" s="10" t="s">
        <v>31</v>
      </c>
      <c r="D3058" s="17">
        <v>539.98</v>
      </c>
    </row>
    <row r="3059" spans="1:4" x14ac:dyDescent="0.3">
      <c r="A3059" s="12"/>
      <c r="B3059" s="12"/>
      <c r="C3059" s="14" t="s">
        <v>52</v>
      </c>
      <c r="D3059" s="18">
        <v>299.99</v>
      </c>
    </row>
    <row r="3060" spans="1:4" x14ac:dyDescent="0.3">
      <c r="A3060" s="12"/>
      <c r="B3060" s="12"/>
      <c r="C3060" s="14" t="s">
        <v>32</v>
      </c>
      <c r="D3060" s="18">
        <v>469.99</v>
      </c>
    </row>
    <row r="3061" spans="1:4" x14ac:dyDescent="0.3">
      <c r="A3061" s="12"/>
      <c r="B3061" s="12"/>
      <c r="C3061" s="14" t="s">
        <v>53</v>
      </c>
      <c r="D3061" s="18">
        <v>4599.9799999999996</v>
      </c>
    </row>
    <row r="3062" spans="1:4" x14ac:dyDescent="0.3">
      <c r="A3062" s="12"/>
      <c r="B3062" s="12"/>
      <c r="C3062" s="14" t="s">
        <v>54</v>
      </c>
      <c r="D3062" s="18">
        <v>10599.98</v>
      </c>
    </row>
    <row r="3063" spans="1:4" x14ac:dyDescent="0.3">
      <c r="A3063" s="12"/>
      <c r="B3063" s="10" t="s">
        <v>1916</v>
      </c>
      <c r="C3063" s="11"/>
      <c r="D3063" s="17">
        <v>16509.919999999998</v>
      </c>
    </row>
    <row r="3064" spans="1:4" x14ac:dyDescent="0.3">
      <c r="A3064" s="10" t="s">
        <v>941</v>
      </c>
      <c r="B3064" s="11"/>
      <c r="C3064" s="11"/>
      <c r="D3064" s="17">
        <v>16509.919999999998</v>
      </c>
    </row>
    <row r="3065" spans="1:4" x14ac:dyDescent="0.3">
      <c r="A3065" s="10">
        <v>646</v>
      </c>
      <c r="B3065" s="10" t="s">
        <v>11</v>
      </c>
      <c r="C3065" s="10" t="s">
        <v>48</v>
      </c>
      <c r="D3065" s="17">
        <v>299.99</v>
      </c>
    </row>
    <row r="3066" spans="1:4" x14ac:dyDescent="0.3">
      <c r="A3066" s="12"/>
      <c r="B3066" s="12"/>
      <c r="C3066" s="14" t="s">
        <v>27</v>
      </c>
      <c r="D3066" s="18">
        <v>1059.98</v>
      </c>
    </row>
    <row r="3067" spans="1:4" x14ac:dyDescent="0.3">
      <c r="A3067" s="12"/>
      <c r="B3067" s="12"/>
      <c r="C3067" s="14" t="s">
        <v>25</v>
      </c>
      <c r="D3067" s="18">
        <v>549.99</v>
      </c>
    </row>
    <row r="3068" spans="1:4" x14ac:dyDescent="0.3">
      <c r="A3068" s="12"/>
      <c r="B3068" s="12"/>
      <c r="C3068" s="14" t="s">
        <v>16</v>
      </c>
      <c r="D3068" s="18">
        <v>2899.99</v>
      </c>
    </row>
    <row r="3069" spans="1:4" x14ac:dyDescent="0.3">
      <c r="A3069" s="12"/>
      <c r="B3069" s="10" t="s">
        <v>1915</v>
      </c>
      <c r="C3069" s="11"/>
      <c r="D3069" s="17">
        <v>4809.95</v>
      </c>
    </row>
    <row r="3070" spans="1:4" x14ac:dyDescent="0.3">
      <c r="A3070" s="10" t="s">
        <v>942</v>
      </c>
      <c r="B3070" s="11"/>
      <c r="C3070" s="11"/>
      <c r="D3070" s="17">
        <v>4809.95</v>
      </c>
    </row>
    <row r="3071" spans="1:4" x14ac:dyDescent="0.3">
      <c r="A3071" s="10">
        <v>647</v>
      </c>
      <c r="B3071" s="10" t="s">
        <v>18</v>
      </c>
      <c r="C3071" s="10" t="s">
        <v>31</v>
      </c>
      <c r="D3071" s="17">
        <v>269.99</v>
      </c>
    </row>
    <row r="3072" spans="1:4" x14ac:dyDescent="0.3">
      <c r="A3072" s="12"/>
      <c r="B3072" s="12"/>
      <c r="C3072" s="14" t="s">
        <v>35</v>
      </c>
      <c r="D3072" s="18">
        <v>999.98</v>
      </c>
    </row>
    <row r="3073" spans="1:4" x14ac:dyDescent="0.3">
      <c r="A3073" s="12"/>
      <c r="B3073" s="10" t="s">
        <v>1916</v>
      </c>
      <c r="C3073" s="11"/>
      <c r="D3073" s="17">
        <v>1269.97</v>
      </c>
    </row>
    <row r="3074" spans="1:4" x14ac:dyDescent="0.3">
      <c r="A3074" s="10" t="s">
        <v>943</v>
      </c>
      <c r="B3074" s="11"/>
      <c r="C3074" s="11"/>
      <c r="D3074" s="17">
        <v>1269.97</v>
      </c>
    </row>
    <row r="3075" spans="1:4" x14ac:dyDescent="0.3">
      <c r="A3075" s="10">
        <v>648</v>
      </c>
      <c r="B3075" s="10" t="s">
        <v>18</v>
      </c>
      <c r="C3075" s="10" t="s">
        <v>25</v>
      </c>
      <c r="D3075" s="17">
        <v>549.99</v>
      </c>
    </row>
    <row r="3076" spans="1:4" x14ac:dyDescent="0.3">
      <c r="A3076" s="12"/>
      <c r="B3076" s="10" t="s">
        <v>1916</v>
      </c>
      <c r="C3076" s="11"/>
      <c r="D3076" s="17">
        <v>549.99</v>
      </c>
    </row>
    <row r="3077" spans="1:4" x14ac:dyDescent="0.3">
      <c r="A3077" s="10" t="s">
        <v>944</v>
      </c>
      <c r="B3077" s="11"/>
      <c r="C3077" s="11"/>
      <c r="D3077" s="17">
        <v>549.99</v>
      </c>
    </row>
    <row r="3078" spans="1:4" x14ac:dyDescent="0.3">
      <c r="A3078" s="10">
        <v>649</v>
      </c>
      <c r="B3078" s="10" t="s">
        <v>11</v>
      </c>
      <c r="C3078" s="10" t="s">
        <v>55</v>
      </c>
      <c r="D3078" s="17">
        <v>699.98</v>
      </c>
    </row>
    <row r="3079" spans="1:4" x14ac:dyDescent="0.3">
      <c r="A3079" s="12"/>
      <c r="B3079" s="12"/>
      <c r="C3079" s="14" t="s">
        <v>57</v>
      </c>
      <c r="D3079" s="18">
        <v>647.99</v>
      </c>
    </row>
    <row r="3080" spans="1:4" x14ac:dyDescent="0.3">
      <c r="A3080" s="12"/>
      <c r="B3080" s="12"/>
      <c r="C3080" s="14" t="s">
        <v>30</v>
      </c>
      <c r="D3080" s="18">
        <v>3361.98</v>
      </c>
    </row>
    <row r="3081" spans="1:4" x14ac:dyDescent="0.3">
      <c r="A3081" s="12"/>
      <c r="B3081" s="12"/>
      <c r="C3081" s="14" t="s">
        <v>56</v>
      </c>
      <c r="D3081" s="18">
        <v>209.99</v>
      </c>
    </row>
    <row r="3082" spans="1:4" x14ac:dyDescent="0.3">
      <c r="A3082" s="12"/>
      <c r="B3082" s="10" t="s">
        <v>1915</v>
      </c>
      <c r="C3082" s="11"/>
      <c r="D3082" s="17">
        <v>4919.9399999999996</v>
      </c>
    </row>
    <row r="3083" spans="1:4" x14ac:dyDescent="0.3">
      <c r="A3083" s="10" t="s">
        <v>945</v>
      </c>
      <c r="B3083" s="11"/>
      <c r="C3083" s="11"/>
      <c r="D3083" s="17">
        <v>4919.9399999999996</v>
      </c>
    </row>
    <row r="3084" spans="1:4" x14ac:dyDescent="0.3">
      <c r="A3084" s="10">
        <v>650</v>
      </c>
      <c r="B3084" s="10" t="s">
        <v>11</v>
      </c>
      <c r="C3084" s="10" t="s">
        <v>20</v>
      </c>
      <c r="D3084" s="17">
        <v>999.99</v>
      </c>
    </row>
    <row r="3085" spans="1:4" x14ac:dyDescent="0.3">
      <c r="A3085" s="12"/>
      <c r="B3085" s="10" t="s">
        <v>1915</v>
      </c>
      <c r="C3085" s="11"/>
      <c r="D3085" s="17">
        <v>999.99</v>
      </c>
    </row>
    <row r="3086" spans="1:4" x14ac:dyDescent="0.3">
      <c r="A3086" s="10" t="s">
        <v>946</v>
      </c>
      <c r="B3086" s="11"/>
      <c r="C3086" s="11"/>
      <c r="D3086" s="17">
        <v>999.99</v>
      </c>
    </row>
    <row r="3087" spans="1:4" x14ac:dyDescent="0.3">
      <c r="A3087" s="10">
        <v>651</v>
      </c>
      <c r="B3087" s="10" t="s">
        <v>18</v>
      </c>
      <c r="C3087" s="10" t="s">
        <v>51</v>
      </c>
      <c r="D3087" s="17">
        <v>979.98</v>
      </c>
    </row>
    <row r="3088" spans="1:4" x14ac:dyDescent="0.3">
      <c r="A3088" s="12"/>
      <c r="B3088" s="12"/>
      <c r="C3088" s="14" t="s">
        <v>38</v>
      </c>
      <c r="D3088" s="18">
        <v>329.99</v>
      </c>
    </row>
    <row r="3089" spans="1:4" x14ac:dyDescent="0.3">
      <c r="A3089" s="12"/>
      <c r="B3089" s="12"/>
      <c r="C3089" s="14" t="s">
        <v>59</v>
      </c>
      <c r="D3089" s="18">
        <v>499.98</v>
      </c>
    </row>
    <row r="3090" spans="1:4" x14ac:dyDescent="0.3">
      <c r="A3090" s="12"/>
      <c r="B3090" s="12"/>
      <c r="C3090" s="14" t="s">
        <v>58</v>
      </c>
      <c r="D3090" s="18">
        <v>402.99</v>
      </c>
    </row>
    <row r="3091" spans="1:4" x14ac:dyDescent="0.3">
      <c r="A3091" s="12"/>
      <c r="B3091" s="10" t="s">
        <v>1916</v>
      </c>
      <c r="C3091" s="11"/>
      <c r="D3091" s="17">
        <v>2212.94</v>
      </c>
    </row>
    <row r="3092" spans="1:4" x14ac:dyDescent="0.3">
      <c r="A3092" s="10" t="s">
        <v>947</v>
      </c>
      <c r="B3092" s="11"/>
      <c r="C3092" s="11"/>
      <c r="D3092" s="17">
        <v>2212.94</v>
      </c>
    </row>
    <row r="3093" spans="1:4" x14ac:dyDescent="0.3">
      <c r="A3093" s="10">
        <v>652</v>
      </c>
      <c r="B3093" s="10" t="s">
        <v>37</v>
      </c>
      <c r="C3093" s="10" t="s">
        <v>61</v>
      </c>
      <c r="D3093" s="17">
        <v>439.99</v>
      </c>
    </row>
    <row r="3094" spans="1:4" x14ac:dyDescent="0.3">
      <c r="A3094" s="12"/>
      <c r="B3094" s="12"/>
      <c r="C3094" s="14" t="s">
        <v>33</v>
      </c>
      <c r="D3094" s="18">
        <v>299.99</v>
      </c>
    </row>
    <row r="3095" spans="1:4" x14ac:dyDescent="0.3">
      <c r="A3095" s="12"/>
      <c r="B3095" s="12"/>
      <c r="C3095" s="14" t="s">
        <v>51</v>
      </c>
      <c r="D3095" s="18">
        <v>489.99</v>
      </c>
    </row>
    <row r="3096" spans="1:4" x14ac:dyDescent="0.3">
      <c r="A3096" s="12"/>
      <c r="B3096" s="12"/>
      <c r="C3096" s="14" t="s">
        <v>60</v>
      </c>
      <c r="D3096" s="18">
        <v>501.98</v>
      </c>
    </row>
    <row r="3097" spans="1:4" x14ac:dyDescent="0.3">
      <c r="A3097" s="12"/>
      <c r="B3097" s="12"/>
      <c r="C3097" s="14" t="s">
        <v>50</v>
      </c>
      <c r="D3097" s="18">
        <v>6999.98</v>
      </c>
    </row>
    <row r="3098" spans="1:4" x14ac:dyDescent="0.3">
      <c r="A3098" s="12"/>
      <c r="B3098" s="10" t="s">
        <v>1917</v>
      </c>
      <c r="C3098" s="11"/>
      <c r="D3098" s="17">
        <v>8731.93</v>
      </c>
    </row>
    <row r="3099" spans="1:4" x14ac:dyDescent="0.3">
      <c r="A3099" s="10" t="s">
        <v>948</v>
      </c>
      <c r="B3099" s="11"/>
      <c r="C3099" s="11"/>
      <c r="D3099" s="17">
        <v>8731.93</v>
      </c>
    </row>
    <row r="3100" spans="1:4" x14ac:dyDescent="0.3">
      <c r="A3100" s="10">
        <v>653</v>
      </c>
      <c r="B3100" s="10" t="s">
        <v>11</v>
      </c>
      <c r="C3100" s="10" t="s">
        <v>22</v>
      </c>
      <c r="D3100" s="17">
        <v>1499.98</v>
      </c>
    </row>
    <row r="3101" spans="1:4" x14ac:dyDescent="0.3">
      <c r="A3101" s="12"/>
      <c r="B3101" s="12"/>
      <c r="C3101" s="14" t="s">
        <v>63</v>
      </c>
      <c r="D3101" s="18">
        <v>761.99</v>
      </c>
    </row>
    <row r="3102" spans="1:4" x14ac:dyDescent="0.3">
      <c r="A3102" s="12"/>
      <c r="B3102" s="12"/>
      <c r="C3102" s="14" t="s">
        <v>32</v>
      </c>
      <c r="D3102" s="18">
        <v>469.99</v>
      </c>
    </row>
    <row r="3103" spans="1:4" x14ac:dyDescent="0.3">
      <c r="A3103" s="12"/>
      <c r="B3103" s="12"/>
      <c r="C3103" s="14" t="s">
        <v>62</v>
      </c>
      <c r="D3103" s="18">
        <v>5299.99</v>
      </c>
    </row>
    <row r="3104" spans="1:4" x14ac:dyDescent="0.3">
      <c r="A3104" s="12"/>
      <c r="B3104" s="12"/>
      <c r="C3104" s="14" t="s">
        <v>64</v>
      </c>
      <c r="D3104" s="18">
        <v>379.98</v>
      </c>
    </row>
    <row r="3105" spans="1:4" x14ac:dyDescent="0.3">
      <c r="A3105" s="12"/>
      <c r="B3105" s="10" t="s">
        <v>1915</v>
      </c>
      <c r="C3105" s="11"/>
      <c r="D3105" s="17">
        <v>8411.93</v>
      </c>
    </row>
    <row r="3106" spans="1:4" x14ac:dyDescent="0.3">
      <c r="A3106" s="10" t="s">
        <v>949</v>
      </c>
      <c r="B3106" s="11"/>
      <c r="C3106" s="11"/>
      <c r="D3106" s="17">
        <v>8411.93</v>
      </c>
    </row>
    <row r="3107" spans="1:4" x14ac:dyDescent="0.3">
      <c r="A3107" s="10">
        <v>654</v>
      </c>
      <c r="B3107" s="10" t="s">
        <v>18</v>
      </c>
      <c r="C3107" s="10" t="s">
        <v>48</v>
      </c>
      <c r="D3107" s="17">
        <v>299.99</v>
      </c>
    </row>
    <row r="3108" spans="1:4" x14ac:dyDescent="0.3">
      <c r="A3108" s="12"/>
      <c r="B3108" s="12"/>
      <c r="C3108" s="14" t="s">
        <v>55</v>
      </c>
      <c r="D3108" s="18">
        <v>699.98</v>
      </c>
    </row>
    <row r="3109" spans="1:4" x14ac:dyDescent="0.3">
      <c r="A3109" s="12"/>
      <c r="B3109" s="12"/>
      <c r="C3109" s="14" t="s">
        <v>65</v>
      </c>
      <c r="D3109" s="18">
        <v>941.98</v>
      </c>
    </row>
    <row r="3110" spans="1:4" x14ac:dyDescent="0.3">
      <c r="A3110" s="12"/>
      <c r="B3110" s="12"/>
      <c r="C3110" s="14" t="s">
        <v>26</v>
      </c>
      <c r="D3110" s="18">
        <v>2999.99</v>
      </c>
    </row>
    <row r="3111" spans="1:4" x14ac:dyDescent="0.3">
      <c r="A3111" s="12"/>
      <c r="B3111" s="10" t="s">
        <v>1916</v>
      </c>
      <c r="C3111" s="11"/>
      <c r="D3111" s="17">
        <v>4941.9399999999996</v>
      </c>
    </row>
    <row r="3112" spans="1:4" x14ac:dyDescent="0.3">
      <c r="A3112" s="10" t="s">
        <v>950</v>
      </c>
      <c r="B3112" s="11"/>
      <c r="C3112" s="11"/>
      <c r="D3112" s="17">
        <v>4941.9399999999996</v>
      </c>
    </row>
    <row r="3113" spans="1:4" x14ac:dyDescent="0.3">
      <c r="A3113" s="10">
        <v>655</v>
      </c>
      <c r="B3113" s="10" t="s">
        <v>11</v>
      </c>
      <c r="C3113" s="10" t="s">
        <v>60</v>
      </c>
      <c r="D3113" s="17">
        <v>250.99</v>
      </c>
    </row>
    <row r="3114" spans="1:4" x14ac:dyDescent="0.3">
      <c r="A3114" s="12"/>
      <c r="B3114" s="10" t="s">
        <v>1915</v>
      </c>
      <c r="C3114" s="11"/>
      <c r="D3114" s="17">
        <v>250.99</v>
      </c>
    </row>
    <row r="3115" spans="1:4" x14ac:dyDescent="0.3">
      <c r="A3115" s="10" t="s">
        <v>951</v>
      </c>
      <c r="B3115" s="11"/>
      <c r="C3115" s="11"/>
      <c r="D3115" s="17">
        <v>250.99</v>
      </c>
    </row>
    <row r="3116" spans="1:4" x14ac:dyDescent="0.3">
      <c r="A3116" s="10">
        <v>656</v>
      </c>
      <c r="B3116" s="10" t="s">
        <v>18</v>
      </c>
      <c r="C3116" s="10" t="s">
        <v>28</v>
      </c>
      <c r="D3116" s="17">
        <v>269.99</v>
      </c>
    </row>
    <row r="3117" spans="1:4" x14ac:dyDescent="0.3">
      <c r="A3117" s="12"/>
      <c r="B3117" s="12"/>
      <c r="C3117" s="14" t="s">
        <v>67</v>
      </c>
      <c r="D3117" s="18">
        <v>939.98</v>
      </c>
    </row>
    <row r="3118" spans="1:4" x14ac:dyDescent="0.3">
      <c r="A3118" s="12"/>
      <c r="B3118" s="12"/>
      <c r="C3118" s="14" t="s">
        <v>66</v>
      </c>
      <c r="D3118" s="18">
        <v>149.99</v>
      </c>
    </row>
    <row r="3119" spans="1:4" x14ac:dyDescent="0.3">
      <c r="A3119" s="12"/>
      <c r="B3119" s="10" t="s">
        <v>1916</v>
      </c>
      <c r="C3119" s="11"/>
      <c r="D3119" s="17">
        <v>1359.96</v>
      </c>
    </row>
    <row r="3120" spans="1:4" x14ac:dyDescent="0.3">
      <c r="A3120" s="10" t="s">
        <v>952</v>
      </c>
      <c r="B3120" s="11"/>
      <c r="C3120" s="11"/>
      <c r="D3120" s="17">
        <v>1359.96</v>
      </c>
    </row>
    <row r="3121" spans="1:4" x14ac:dyDescent="0.3">
      <c r="A3121" s="10">
        <v>657</v>
      </c>
      <c r="B3121" s="10" t="s">
        <v>11</v>
      </c>
      <c r="C3121" s="10" t="s">
        <v>68</v>
      </c>
      <c r="D3121" s="17">
        <v>875.99</v>
      </c>
    </row>
    <row r="3122" spans="1:4" x14ac:dyDescent="0.3">
      <c r="A3122" s="12"/>
      <c r="B3122" s="12"/>
      <c r="C3122" s="14" t="s">
        <v>69</v>
      </c>
      <c r="D3122" s="18">
        <v>6399.98</v>
      </c>
    </row>
    <row r="3123" spans="1:4" x14ac:dyDescent="0.3">
      <c r="A3123" s="12"/>
      <c r="B3123" s="10" t="s">
        <v>1915</v>
      </c>
      <c r="C3123" s="11"/>
      <c r="D3123" s="17">
        <v>7275.9699999999993</v>
      </c>
    </row>
    <row r="3124" spans="1:4" x14ac:dyDescent="0.3">
      <c r="A3124" s="10" t="s">
        <v>953</v>
      </c>
      <c r="B3124" s="11"/>
      <c r="C3124" s="11"/>
      <c r="D3124" s="17">
        <v>7275.9699999999993</v>
      </c>
    </row>
    <row r="3125" spans="1:4" x14ac:dyDescent="0.3">
      <c r="A3125" s="10">
        <v>658</v>
      </c>
      <c r="B3125" s="10" t="s">
        <v>18</v>
      </c>
      <c r="C3125" s="10" t="s">
        <v>26</v>
      </c>
      <c r="D3125" s="17">
        <v>2999.99</v>
      </c>
    </row>
    <row r="3126" spans="1:4" x14ac:dyDescent="0.3">
      <c r="A3126" s="12"/>
      <c r="B3126" s="12"/>
      <c r="C3126" s="14" t="s">
        <v>70</v>
      </c>
      <c r="D3126" s="18">
        <v>6999.98</v>
      </c>
    </row>
    <row r="3127" spans="1:4" x14ac:dyDescent="0.3">
      <c r="A3127" s="12"/>
      <c r="B3127" s="12"/>
      <c r="C3127" s="14" t="s">
        <v>71</v>
      </c>
      <c r="D3127" s="18">
        <v>999.99</v>
      </c>
    </row>
    <row r="3128" spans="1:4" x14ac:dyDescent="0.3">
      <c r="A3128" s="12"/>
      <c r="B3128" s="10" t="s">
        <v>1916</v>
      </c>
      <c r="C3128" s="11"/>
      <c r="D3128" s="17">
        <v>10999.96</v>
      </c>
    </row>
    <row r="3129" spans="1:4" x14ac:dyDescent="0.3">
      <c r="A3129" s="10" t="s">
        <v>954</v>
      </c>
      <c r="B3129" s="11"/>
      <c r="C3129" s="11"/>
      <c r="D3129" s="17">
        <v>10999.96</v>
      </c>
    </row>
    <row r="3130" spans="1:4" x14ac:dyDescent="0.3">
      <c r="A3130" s="10">
        <v>659</v>
      </c>
      <c r="B3130" s="10" t="s">
        <v>18</v>
      </c>
      <c r="C3130" s="10" t="s">
        <v>73</v>
      </c>
      <c r="D3130" s="17">
        <v>659.99</v>
      </c>
    </row>
    <row r="3131" spans="1:4" x14ac:dyDescent="0.3">
      <c r="A3131" s="12"/>
      <c r="B3131" s="12"/>
      <c r="C3131" s="14" t="s">
        <v>53</v>
      </c>
      <c r="D3131" s="18">
        <v>4599.9799999999996</v>
      </c>
    </row>
    <row r="3132" spans="1:4" x14ac:dyDescent="0.3">
      <c r="A3132" s="12"/>
      <c r="B3132" s="12"/>
      <c r="C3132" s="14" t="s">
        <v>45</v>
      </c>
      <c r="D3132" s="18">
        <v>9999.98</v>
      </c>
    </row>
    <row r="3133" spans="1:4" x14ac:dyDescent="0.3">
      <c r="A3133" s="12"/>
      <c r="B3133" s="12"/>
      <c r="C3133" s="14" t="s">
        <v>72</v>
      </c>
      <c r="D3133" s="18">
        <v>2999.98</v>
      </c>
    </row>
    <row r="3134" spans="1:4" x14ac:dyDescent="0.3">
      <c r="A3134" s="12"/>
      <c r="B3134" s="10" t="s">
        <v>1916</v>
      </c>
      <c r="C3134" s="11"/>
      <c r="D3134" s="17">
        <v>18259.93</v>
      </c>
    </row>
    <row r="3135" spans="1:4" x14ac:dyDescent="0.3">
      <c r="A3135" s="10" t="s">
        <v>955</v>
      </c>
      <c r="B3135" s="11"/>
      <c r="C3135" s="11"/>
      <c r="D3135" s="17">
        <v>18259.93</v>
      </c>
    </row>
    <row r="3136" spans="1:4" x14ac:dyDescent="0.3">
      <c r="A3136" s="10">
        <v>660</v>
      </c>
      <c r="B3136" s="10" t="s">
        <v>18</v>
      </c>
      <c r="C3136" s="10" t="s">
        <v>47</v>
      </c>
      <c r="D3136" s="17">
        <v>999.99</v>
      </c>
    </row>
    <row r="3137" spans="1:4" x14ac:dyDescent="0.3">
      <c r="A3137" s="12"/>
      <c r="B3137" s="12"/>
      <c r="C3137" s="14" t="s">
        <v>74</v>
      </c>
      <c r="D3137" s="18">
        <v>5199.9799999999996</v>
      </c>
    </row>
    <row r="3138" spans="1:4" x14ac:dyDescent="0.3">
      <c r="A3138" s="12"/>
      <c r="B3138" s="12"/>
      <c r="C3138" s="14" t="s">
        <v>54</v>
      </c>
      <c r="D3138" s="18">
        <v>10599.98</v>
      </c>
    </row>
    <row r="3139" spans="1:4" x14ac:dyDescent="0.3">
      <c r="A3139" s="12"/>
      <c r="B3139" s="12"/>
      <c r="C3139" s="14" t="s">
        <v>71</v>
      </c>
      <c r="D3139" s="18">
        <v>1999.98</v>
      </c>
    </row>
    <row r="3140" spans="1:4" x14ac:dyDescent="0.3">
      <c r="A3140" s="12"/>
      <c r="B3140" s="10" t="s">
        <v>1916</v>
      </c>
      <c r="C3140" s="11"/>
      <c r="D3140" s="17">
        <v>18799.929999999997</v>
      </c>
    </row>
    <row r="3141" spans="1:4" x14ac:dyDescent="0.3">
      <c r="A3141" s="10" t="s">
        <v>956</v>
      </c>
      <c r="B3141" s="11"/>
      <c r="C3141" s="11"/>
      <c r="D3141" s="17">
        <v>18799.929999999997</v>
      </c>
    </row>
    <row r="3142" spans="1:4" x14ac:dyDescent="0.3">
      <c r="A3142" s="10">
        <v>661</v>
      </c>
      <c r="B3142" s="10" t="s">
        <v>18</v>
      </c>
      <c r="C3142" s="10" t="s">
        <v>28</v>
      </c>
      <c r="D3142" s="17">
        <v>539.98</v>
      </c>
    </row>
    <row r="3143" spans="1:4" x14ac:dyDescent="0.3">
      <c r="A3143" s="12"/>
      <c r="B3143" s="12"/>
      <c r="C3143" s="14" t="s">
        <v>75</v>
      </c>
      <c r="D3143" s="18">
        <v>6999.98</v>
      </c>
    </row>
    <row r="3144" spans="1:4" x14ac:dyDescent="0.3">
      <c r="A3144" s="12"/>
      <c r="B3144" s="10" t="s">
        <v>1916</v>
      </c>
      <c r="C3144" s="11"/>
      <c r="D3144" s="17">
        <v>7539.9599999999991</v>
      </c>
    </row>
    <row r="3145" spans="1:4" x14ac:dyDescent="0.3">
      <c r="A3145" s="10" t="s">
        <v>957</v>
      </c>
      <c r="B3145" s="11"/>
      <c r="C3145" s="11"/>
      <c r="D3145" s="17">
        <v>7539.9599999999991</v>
      </c>
    </row>
    <row r="3146" spans="1:4" x14ac:dyDescent="0.3">
      <c r="A3146" s="10">
        <v>662</v>
      </c>
      <c r="B3146" s="10" t="s">
        <v>11</v>
      </c>
      <c r="C3146" s="10" t="s">
        <v>28</v>
      </c>
      <c r="D3146" s="17">
        <v>269.99</v>
      </c>
    </row>
    <row r="3147" spans="1:4" x14ac:dyDescent="0.3">
      <c r="A3147" s="12"/>
      <c r="B3147" s="12"/>
      <c r="C3147" s="14" t="s">
        <v>48</v>
      </c>
      <c r="D3147" s="18">
        <v>599.98</v>
      </c>
    </row>
    <row r="3148" spans="1:4" x14ac:dyDescent="0.3">
      <c r="A3148" s="12"/>
      <c r="B3148" s="12"/>
      <c r="C3148" s="14" t="s">
        <v>51</v>
      </c>
      <c r="D3148" s="18">
        <v>979.98</v>
      </c>
    </row>
    <row r="3149" spans="1:4" x14ac:dyDescent="0.3">
      <c r="A3149" s="12"/>
      <c r="B3149" s="12"/>
      <c r="C3149" s="14" t="s">
        <v>39</v>
      </c>
      <c r="D3149" s="18">
        <v>899.98</v>
      </c>
    </row>
    <row r="3150" spans="1:4" x14ac:dyDescent="0.3">
      <c r="A3150" s="12"/>
      <c r="B3150" s="12"/>
      <c r="C3150" s="14" t="s">
        <v>76</v>
      </c>
      <c r="D3150" s="18">
        <v>5399.98</v>
      </c>
    </row>
    <row r="3151" spans="1:4" x14ac:dyDescent="0.3">
      <c r="A3151" s="12"/>
      <c r="B3151" s="10" t="s">
        <v>1915</v>
      </c>
      <c r="C3151" s="11"/>
      <c r="D3151" s="17">
        <v>8149.91</v>
      </c>
    </row>
    <row r="3152" spans="1:4" x14ac:dyDescent="0.3">
      <c r="A3152" s="10" t="s">
        <v>958</v>
      </c>
      <c r="B3152" s="11"/>
      <c r="C3152" s="11"/>
      <c r="D3152" s="17">
        <v>8149.91</v>
      </c>
    </row>
    <row r="3153" spans="1:4" x14ac:dyDescent="0.3">
      <c r="A3153" s="10">
        <v>663</v>
      </c>
      <c r="B3153" s="10" t="s">
        <v>11</v>
      </c>
      <c r="C3153" s="10" t="s">
        <v>77</v>
      </c>
      <c r="D3153" s="17">
        <v>2939.98</v>
      </c>
    </row>
    <row r="3154" spans="1:4" x14ac:dyDescent="0.3">
      <c r="A3154" s="12"/>
      <c r="B3154" s="12"/>
      <c r="C3154" s="14" t="s">
        <v>59</v>
      </c>
      <c r="D3154" s="18">
        <v>249.99</v>
      </c>
    </row>
    <row r="3155" spans="1:4" x14ac:dyDescent="0.3">
      <c r="A3155" s="12"/>
      <c r="B3155" s="12"/>
      <c r="C3155" s="14" t="s">
        <v>23</v>
      </c>
      <c r="D3155" s="18">
        <v>858</v>
      </c>
    </row>
    <row r="3156" spans="1:4" x14ac:dyDescent="0.3">
      <c r="A3156" s="12"/>
      <c r="B3156" s="12"/>
      <c r="C3156" s="14" t="s">
        <v>78</v>
      </c>
      <c r="D3156" s="18">
        <v>416.99</v>
      </c>
    </row>
    <row r="3157" spans="1:4" x14ac:dyDescent="0.3">
      <c r="A3157" s="12"/>
      <c r="B3157" s="12"/>
      <c r="C3157" s="14" t="s">
        <v>39</v>
      </c>
      <c r="D3157" s="18">
        <v>449.99</v>
      </c>
    </row>
    <row r="3158" spans="1:4" x14ac:dyDescent="0.3">
      <c r="A3158" s="12"/>
      <c r="B3158" s="10" t="s">
        <v>1915</v>
      </c>
      <c r="C3158" s="11"/>
      <c r="D3158" s="17">
        <v>4914.95</v>
      </c>
    </row>
    <row r="3159" spans="1:4" x14ac:dyDescent="0.3">
      <c r="A3159" s="10" t="s">
        <v>959</v>
      </c>
      <c r="B3159" s="11"/>
      <c r="C3159" s="11"/>
      <c r="D3159" s="17">
        <v>4914.95</v>
      </c>
    </row>
    <row r="3160" spans="1:4" x14ac:dyDescent="0.3">
      <c r="A3160" s="10">
        <v>664</v>
      </c>
      <c r="B3160" s="10" t="s">
        <v>18</v>
      </c>
      <c r="C3160" s="10" t="s">
        <v>80</v>
      </c>
      <c r="D3160" s="17">
        <v>679.98</v>
      </c>
    </row>
    <row r="3161" spans="1:4" x14ac:dyDescent="0.3">
      <c r="A3161" s="12"/>
      <c r="B3161" s="12"/>
      <c r="C3161" s="14" t="s">
        <v>34</v>
      </c>
      <c r="D3161" s="18">
        <v>1320.99</v>
      </c>
    </row>
    <row r="3162" spans="1:4" x14ac:dyDescent="0.3">
      <c r="A3162" s="12"/>
      <c r="B3162" s="12"/>
      <c r="C3162" s="14" t="s">
        <v>68</v>
      </c>
      <c r="D3162" s="18">
        <v>1751.98</v>
      </c>
    </row>
    <row r="3163" spans="1:4" x14ac:dyDescent="0.3">
      <c r="A3163" s="12"/>
      <c r="B3163" s="12"/>
      <c r="C3163" s="14" t="s">
        <v>54</v>
      </c>
      <c r="D3163" s="18">
        <v>5299.99</v>
      </c>
    </row>
    <row r="3164" spans="1:4" x14ac:dyDescent="0.3">
      <c r="A3164" s="12"/>
      <c r="B3164" s="12"/>
      <c r="C3164" s="14" t="s">
        <v>79</v>
      </c>
      <c r="D3164" s="18">
        <v>5999.99</v>
      </c>
    </row>
    <row r="3165" spans="1:4" x14ac:dyDescent="0.3">
      <c r="A3165" s="12"/>
      <c r="B3165" s="10" t="s">
        <v>1916</v>
      </c>
      <c r="C3165" s="11"/>
      <c r="D3165" s="17">
        <v>15052.929999999998</v>
      </c>
    </row>
    <row r="3166" spans="1:4" x14ac:dyDescent="0.3">
      <c r="A3166" s="10" t="s">
        <v>960</v>
      </c>
      <c r="B3166" s="11"/>
      <c r="C3166" s="11"/>
      <c r="D3166" s="17">
        <v>15052.929999999998</v>
      </c>
    </row>
    <row r="3167" spans="1:4" x14ac:dyDescent="0.3">
      <c r="A3167" s="10">
        <v>665</v>
      </c>
      <c r="B3167" s="10" t="s">
        <v>18</v>
      </c>
      <c r="C3167" s="10" t="s">
        <v>35</v>
      </c>
      <c r="D3167" s="17">
        <v>999.98</v>
      </c>
    </row>
    <row r="3168" spans="1:4" x14ac:dyDescent="0.3">
      <c r="A3168" s="12"/>
      <c r="B3168" s="12"/>
      <c r="C3168" s="14" t="s">
        <v>53</v>
      </c>
      <c r="D3168" s="18">
        <v>4599.9799999999996</v>
      </c>
    </row>
    <row r="3169" spans="1:4" x14ac:dyDescent="0.3">
      <c r="A3169" s="12"/>
      <c r="B3169" s="12"/>
      <c r="C3169" s="14" t="s">
        <v>81</v>
      </c>
      <c r="D3169" s="18">
        <v>4999.99</v>
      </c>
    </row>
    <row r="3170" spans="1:4" x14ac:dyDescent="0.3">
      <c r="A3170" s="12"/>
      <c r="B3170" s="10" t="s">
        <v>1916</v>
      </c>
      <c r="C3170" s="11"/>
      <c r="D3170" s="17">
        <v>10599.949999999999</v>
      </c>
    </row>
    <row r="3171" spans="1:4" x14ac:dyDescent="0.3">
      <c r="A3171" s="10" t="s">
        <v>961</v>
      </c>
      <c r="B3171" s="11"/>
      <c r="C3171" s="11"/>
      <c r="D3171" s="17">
        <v>10599.949999999999</v>
      </c>
    </row>
    <row r="3172" spans="1:4" x14ac:dyDescent="0.3">
      <c r="A3172" s="10">
        <v>666</v>
      </c>
      <c r="B3172" s="10" t="s">
        <v>18</v>
      </c>
      <c r="C3172" s="10" t="s">
        <v>82</v>
      </c>
      <c r="D3172" s="17">
        <v>979.98</v>
      </c>
    </row>
    <row r="3173" spans="1:4" x14ac:dyDescent="0.3">
      <c r="A3173" s="12"/>
      <c r="B3173" s="12"/>
      <c r="C3173" s="14" t="s">
        <v>72</v>
      </c>
      <c r="D3173" s="18">
        <v>1499.99</v>
      </c>
    </row>
    <row r="3174" spans="1:4" x14ac:dyDescent="0.3">
      <c r="A3174" s="12"/>
      <c r="B3174" s="10" t="s">
        <v>1916</v>
      </c>
      <c r="C3174" s="11"/>
      <c r="D3174" s="17">
        <v>2479.9700000000003</v>
      </c>
    </row>
    <row r="3175" spans="1:4" x14ac:dyDescent="0.3">
      <c r="A3175" s="10" t="s">
        <v>962</v>
      </c>
      <c r="B3175" s="11"/>
      <c r="C3175" s="11"/>
      <c r="D3175" s="17">
        <v>2479.9700000000003</v>
      </c>
    </row>
    <row r="3176" spans="1:4" x14ac:dyDescent="0.3">
      <c r="A3176" s="10">
        <v>667</v>
      </c>
      <c r="B3176" s="10" t="s">
        <v>18</v>
      </c>
      <c r="C3176" s="10" t="s">
        <v>52</v>
      </c>
      <c r="D3176" s="17">
        <v>299.99</v>
      </c>
    </row>
    <row r="3177" spans="1:4" x14ac:dyDescent="0.3">
      <c r="A3177" s="12"/>
      <c r="B3177" s="12"/>
      <c r="C3177" s="14" t="s">
        <v>38</v>
      </c>
      <c r="D3177" s="18">
        <v>329.99</v>
      </c>
    </row>
    <row r="3178" spans="1:4" x14ac:dyDescent="0.3">
      <c r="A3178" s="12"/>
      <c r="B3178" s="12"/>
      <c r="C3178" s="14" t="s">
        <v>58</v>
      </c>
      <c r="D3178" s="18">
        <v>402.99</v>
      </c>
    </row>
    <row r="3179" spans="1:4" x14ac:dyDescent="0.3">
      <c r="A3179" s="12"/>
      <c r="B3179" s="12"/>
      <c r="C3179" s="14" t="s">
        <v>83</v>
      </c>
      <c r="D3179" s="18">
        <v>109.99</v>
      </c>
    </row>
    <row r="3180" spans="1:4" x14ac:dyDescent="0.3">
      <c r="A3180" s="12"/>
      <c r="B3180" s="12"/>
      <c r="C3180" s="14" t="s">
        <v>20</v>
      </c>
      <c r="D3180" s="18">
        <v>999.99</v>
      </c>
    </row>
    <row r="3181" spans="1:4" x14ac:dyDescent="0.3">
      <c r="A3181" s="12"/>
      <c r="B3181" s="10" t="s">
        <v>1916</v>
      </c>
      <c r="C3181" s="11"/>
      <c r="D3181" s="17">
        <v>2142.9499999999998</v>
      </c>
    </row>
    <row r="3182" spans="1:4" x14ac:dyDescent="0.3">
      <c r="A3182" s="10" t="s">
        <v>963</v>
      </c>
      <c r="B3182" s="11"/>
      <c r="C3182" s="11"/>
      <c r="D3182" s="17">
        <v>2142.9499999999998</v>
      </c>
    </row>
    <row r="3183" spans="1:4" x14ac:dyDescent="0.3">
      <c r="A3183" s="10">
        <v>668</v>
      </c>
      <c r="B3183" s="10" t="s">
        <v>37</v>
      </c>
      <c r="C3183" s="10" t="s">
        <v>36</v>
      </c>
      <c r="D3183" s="17">
        <v>898</v>
      </c>
    </row>
    <row r="3184" spans="1:4" x14ac:dyDescent="0.3">
      <c r="A3184" s="12"/>
      <c r="B3184" s="12"/>
      <c r="C3184" s="14" t="s">
        <v>84</v>
      </c>
      <c r="D3184" s="18">
        <v>2999.98</v>
      </c>
    </row>
    <row r="3185" spans="1:4" x14ac:dyDescent="0.3">
      <c r="A3185" s="12"/>
      <c r="B3185" s="10" t="s">
        <v>1917</v>
      </c>
      <c r="C3185" s="11"/>
      <c r="D3185" s="17">
        <v>3897.98</v>
      </c>
    </row>
    <row r="3186" spans="1:4" x14ac:dyDescent="0.3">
      <c r="A3186" s="10" t="s">
        <v>964</v>
      </c>
      <c r="B3186" s="11"/>
      <c r="C3186" s="11"/>
      <c r="D3186" s="17">
        <v>3897.98</v>
      </c>
    </row>
    <row r="3187" spans="1:4" x14ac:dyDescent="0.3">
      <c r="A3187" s="10">
        <v>669</v>
      </c>
      <c r="B3187" s="10" t="s">
        <v>18</v>
      </c>
      <c r="C3187" s="10" t="s">
        <v>14</v>
      </c>
      <c r="D3187" s="17">
        <v>1199.98</v>
      </c>
    </row>
    <row r="3188" spans="1:4" x14ac:dyDescent="0.3">
      <c r="A3188" s="12"/>
      <c r="B3188" s="12"/>
      <c r="C3188" s="14" t="s">
        <v>44</v>
      </c>
      <c r="D3188" s="18">
        <v>619.99</v>
      </c>
    </row>
    <row r="3189" spans="1:4" x14ac:dyDescent="0.3">
      <c r="A3189" s="12"/>
      <c r="B3189" s="10" t="s">
        <v>1916</v>
      </c>
      <c r="C3189" s="11"/>
      <c r="D3189" s="17">
        <v>1819.97</v>
      </c>
    </row>
    <row r="3190" spans="1:4" x14ac:dyDescent="0.3">
      <c r="A3190" s="10" t="s">
        <v>965</v>
      </c>
      <c r="B3190" s="11"/>
      <c r="C3190" s="11"/>
      <c r="D3190" s="17">
        <v>1819.97</v>
      </c>
    </row>
    <row r="3191" spans="1:4" x14ac:dyDescent="0.3">
      <c r="A3191" s="10">
        <v>670</v>
      </c>
      <c r="B3191" s="10" t="s">
        <v>18</v>
      </c>
      <c r="C3191" s="10" t="s">
        <v>88</v>
      </c>
      <c r="D3191" s="17">
        <v>1739.98</v>
      </c>
    </row>
    <row r="3192" spans="1:4" x14ac:dyDescent="0.3">
      <c r="A3192" s="12"/>
      <c r="B3192" s="12"/>
      <c r="C3192" s="14" t="s">
        <v>85</v>
      </c>
      <c r="D3192" s="18">
        <v>449.99</v>
      </c>
    </row>
    <row r="3193" spans="1:4" x14ac:dyDescent="0.3">
      <c r="A3193" s="12"/>
      <c r="B3193" s="12"/>
      <c r="C3193" s="14" t="s">
        <v>87</v>
      </c>
      <c r="D3193" s="18">
        <v>963.98</v>
      </c>
    </row>
    <row r="3194" spans="1:4" x14ac:dyDescent="0.3">
      <c r="A3194" s="12"/>
      <c r="B3194" s="12"/>
      <c r="C3194" s="14" t="s">
        <v>86</v>
      </c>
      <c r="D3194" s="18">
        <v>2499.9899999999998</v>
      </c>
    </row>
    <row r="3195" spans="1:4" x14ac:dyDescent="0.3">
      <c r="A3195" s="12"/>
      <c r="B3195" s="10" t="s">
        <v>1916</v>
      </c>
      <c r="C3195" s="11"/>
      <c r="D3195" s="17">
        <v>5653.9400000000005</v>
      </c>
    </row>
    <row r="3196" spans="1:4" x14ac:dyDescent="0.3">
      <c r="A3196" s="10" t="s">
        <v>966</v>
      </c>
      <c r="B3196" s="11"/>
      <c r="C3196" s="11"/>
      <c r="D3196" s="17">
        <v>5653.9400000000005</v>
      </c>
    </row>
    <row r="3197" spans="1:4" x14ac:dyDescent="0.3">
      <c r="A3197" s="10">
        <v>671</v>
      </c>
      <c r="B3197" s="10" t="s">
        <v>18</v>
      </c>
      <c r="C3197" s="10" t="s">
        <v>89</v>
      </c>
      <c r="D3197" s="17">
        <v>416.99</v>
      </c>
    </row>
    <row r="3198" spans="1:4" x14ac:dyDescent="0.3">
      <c r="A3198" s="12"/>
      <c r="B3198" s="12"/>
      <c r="C3198" s="14" t="s">
        <v>49</v>
      </c>
      <c r="D3198" s="18">
        <v>833.98</v>
      </c>
    </row>
    <row r="3199" spans="1:4" x14ac:dyDescent="0.3">
      <c r="A3199" s="12"/>
      <c r="B3199" s="12"/>
      <c r="C3199" s="14" t="s">
        <v>47</v>
      </c>
      <c r="D3199" s="18">
        <v>999.99</v>
      </c>
    </row>
    <row r="3200" spans="1:4" x14ac:dyDescent="0.3">
      <c r="A3200" s="12"/>
      <c r="B3200" s="12"/>
      <c r="C3200" s="14" t="s">
        <v>76</v>
      </c>
      <c r="D3200" s="18">
        <v>2699.99</v>
      </c>
    </row>
    <row r="3201" spans="1:4" x14ac:dyDescent="0.3">
      <c r="A3201" s="12"/>
      <c r="B3201" s="12"/>
      <c r="C3201" s="14" t="s">
        <v>16</v>
      </c>
      <c r="D3201" s="18">
        <v>2899.99</v>
      </c>
    </row>
    <row r="3202" spans="1:4" x14ac:dyDescent="0.3">
      <c r="A3202" s="12"/>
      <c r="B3202" s="10" t="s">
        <v>1916</v>
      </c>
      <c r="C3202" s="11"/>
      <c r="D3202" s="17">
        <v>7850.94</v>
      </c>
    </row>
    <row r="3203" spans="1:4" x14ac:dyDescent="0.3">
      <c r="A3203" s="10" t="s">
        <v>967</v>
      </c>
      <c r="B3203" s="11"/>
      <c r="C3203" s="11"/>
      <c r="D3203" s="17">
        <v>7850.94</v>
      </c>
    </row>
    <row r="3204" spans="1:4" x14ac:dyDescent="0.3">
      <c r="A3204" s="10">
        <v>672</v>
      </c>
      <c r="B3204" s="10" t="s">
        <v>18</v>
      </c>
      <c r="C3204" s="10" t="s">
        <v>91</v>
      </c>
      <c r="D3204" s="17">
        <v>699.98</v>
      </c>
    </row>
    <row r="3205" spans="1:4" x14ac:dyDescent="0.3">
      <c r="A3205" s="12"/>
      <c r="B3205" s="12"/>
      <c r="C3205" s="14" t="s">
        <v>84</v>
      </c>
      <c r="D3205" s="18">
        <v>2999.98</v>
      </c>
    </row>
    <row r="3206" spans="1:4" x14ac:dyDescent="0.3">
      <c r="A3206" s="12"/>
      <c r="B3206" s="12"/>
      <c r="C3206" s="14" t="s">
        <v>90</v>
      </c>
      <c r="D3206" s="18">
        <v>12999.98</v>
      </c>
    </row>
    <row r="3207" spans="1:4" x14ac:dyDescent="0.3">
      <c r="A3207" s="12"/>
      <c r="B3207" s="10" t="s">
        <v>1916</v>
      </c>
      <c r="C3207" s="11"/>
      <c r="D3207" s="17">
        <v>16699.939999999999</v>
      </c>
    </row>
    <row r="3208" spans="1:4" x14ac:dyDescent="0.3">
      <c r="A3208" s="10" t="s">
        <v>968</v>
      </c>
      <c r="B3208" s="11"/>
      <c r="C3208" s="11"/>
      <c r="D3208" s="17">
        <v>16699.939999999999</v>
      </c>
    </row>
    <row r="3209" spans="1:4" x14ac:dyDescent="0.3">
      <c r="A3209" s="10">
        <v>673</v>
      </c>
      <c r="B3209" s="10" t="s">
        <v>37</v>
      </c>
      <c r="C3209" s="10" t="s">
        <v>31</v>
      </c>
      <c r="D3209" s="17">
        <v>269.99</v>
      </c>
    </row>
    <row r="3210" spans="1:4" x14ac:dyDescent="0.3">
      <c r="A3210" s="12"/>
      <c r="B3210" s="12"/>
      <c r="C3210" s="14" t="s">
        <v>93</v>
      </c>
      <c r="D3210" s="18">
        <v>549.99</v>
      </c>
    </row>
    <row r="3211" spans="1:4" x14ac:dyDescent="0.3">
      <c r="A3211" s="12"/>
      <c r="B3211" s="12"/>
      <c r="C3211" s="14" t="s">
        <v>34</v>
      </c>
      <c r="D3211" s="18">
        <v>1320.99</v>
      </c>
    </row>
    <row r="3212" spans="1:4" x14ac:dyDescent="0.3">
      <c r="A3212" s="12"/>
      <c r="B3212" s="12"/>
      <c r="C3212" s="14" t="s">
        <v>92</v>
      </c>
      <c r="D3212" s="18">
        <v>250.99</v>
      </c>
    </row>
    <row r="3213" spans="1:4" x14ac:dyDescent="0.3">
      <c r="A3213" s="12"/>
      <c r="B3213" s="10" t="s">
        <v>1917</v>
      </c>
      <c r="C3213" s="11"/>
      <c r="D3213" s="17">
        <v>2391.96</v>
      </c>
    </row>
    <row r="3214" spans="1:4" x14ac:dyDescent="0.3">
      <c r="A3214" s="10" t="s">
        <v>969</v>
      </c>
      <c r="B3214" s="11"/>
      <c r="C3214" s="11"/>
      <c r="D3214" s="17">
        <v>2391.96</v>
      </c>
    </row>
    <row r="3215" spans="1:4" x14ac:dyDescent="0.3">
      <c r="A3215" s="10">
        <v>674</v>
      </c>
      <c r="B3215" s="10" t="s">
        <v>18</v>
      </c>
      <c r="C3215" s="10" t="s">
        <v>14</v>
      </c>
      <c r="D3215" s="17">
        <v>1199.98</v>
      </c>
    </row>
    <row r="3216" spans="1:4" x14ac:dyDescent="0.3">
      <c r="A3216" s="12"/>
      <c r="B3216" s="10" t="s">
        <v>1916</v>
      </c>
      <c r="C3216" s="11"/>
      <c r="D3216" s="17">
        <v>1199.98</v>
      </c>
    </row>
    <row r="3217" spans="1:4" x14ac:dyDescent="0.3">
      <c r="A3217" s="10" t="s">
        <v>970</v>
      </c>
      <c r="B3217" s="11"/>
      <c r="C3217" s="11"/>
      <c r="D3217" s="17">
        <v>1199.98</v>
      </c>
    </row>
    <row r="3218" spans="1:4" x14ac:dyDescent="0.3">
      <c r="A3218" s="10">
        <v>675</v>
      </c>
      <c r="B3218" s="10" t="s">
        <v>18</v>
      </c>
      <c r="C3218" s="10" t="s">
        <v>23</v>
      </c>
      <c r="D3218" s="17">
        <v>429</v>
      </c>
    </row>
    <row r="3219" spans="1:4" x14ac:dyDescent="0.3">
      <c r="A3219" s="12"/>
      <c r="B3219" s="12"/>
      <c r="C3219" s="14" t="s">
        <v>36</v>
      </c>
      <c r="D3219" s="18">
        <v>449</v>
      </c>
    </row>
    <row r="3220" spans="1:4" x14ac:dyDescent="0.3">
      <c r="A3220" s="12"/>
      <c r="B3220" s="12"/>
      <c r="C3220" s="14" t="s">
        <v>46</v>
      </c>
      <c r="D3220" s="18">
        <v>469.99</v>
      </c>
    </row>
    <row r="3221" spans="1:4" x14ac:dyDescent="0.3">
      <c r="A3221" s="12"/>
      <c r="B3221" s="12"/>
      <c r="C3221" s="14" t="s">
        <v>94</v>
      </c>
      <c r="D3221" s="18">
        <v>419.98</v>
      </c>
    </row>
    <row r="3222" spans="1:4" x14ac:dyDescent="0.3">
      <c r="A3222" s="12"/>
      <c r="B3222" s="10" t="s">
        <v>1916</v>
      </c>
      <c r="C3222" s="11"/>
      <c r="D3222" s="17">
        <v>1767.97</v>
      </c>
    </row>
    <row r="3223" spans="1:4" x14ac:dyDescent="0.3">
      <c r="A3223" s="10" t="s">
        <v>971</v>
      </c>
      <c r="B3223" s="11"/>
      <c r="C3223" s="11"/>
      <c r="D3223" s="17">
        <v>1767.97</v>
      </c>
    </row>
    <row r="3224" spans="1:4" x14ac:dyDescent="0.3">
      <c r="A3224" s="10">
        <v>676</v>
      </c>
      <c r="B3224" s="10" t="s">
        <v>18</v>
      </c>
      <c r="C3224" s="10" t="s">
        <v>73</v>
      </c>
      <c r="D3224" s="17">
        <v>659.99</v>
      </c>
    </row>
    <row r="3225" spans="1:4" x14ac:dyDescent="0.3">
      <c r="A3225" s="12"/>
      <c r="B3225" s="12"/>
      <c r="C3225" s="14" t="s">
        <v>25</v>
      </c>
      <c r="D3225" s="18">
        <v>549.99</v>
      </c>
    </row>
    <row r="3226" spans="1:4" x14ac:dyDescent="0.3">
      <c r="A3226" s="12"/>
      <c r="B3226" s="12"/>
      <c r="C3226" s="14" t="s">
        <v>87</v>
      </c>
      <c r="D3226" s="18">
        <v>963.98</v>
      </c>
    </row>
    <row r="3227" spans="1:4" x14ac:dyDescent="0.3">
      <c r="A3227" s="12"/>
      <c r="B3227" s="12"/>
      <c r="C3227" s="14" t="s">
        <v>71</v>
      </c>
      <c r="D3227" s="18">
        <v>999.99</v>
      </c>
    </row>
    <row r="3228" spans="1:4" x14ac:dyDescent="0.3">
      <c r="A3228" s="12"/>
      <c r="B3228" s="10" t="s">
        <v>1916</v>
      </c>
      <c r="C3228" s="11"/>
      <c r="D3228" s="17">
        <v>3173.95</v>
      </c>
    </row>
    <row r="3229" spans="1:4" x14ac:dyDescent="0.3">
      <c r="A3229" s="10" t="s">
        <v>972</v>
      </c>
      <c r="B3229" s="11"/>
      <c r="C3229" s="11"/>
      <c r="D3229" s="17">
        <v>3173.95</v>
      </c>
    </row>
    <row r="3230" spans="1:4" x14ac:dyDescent="0.3">
      <c r="A3230" s="10">
        <v>677</v>
      </c>
      <c r="B3230" s="10" t="s">
        <v>18</v>
      </c>
      <c r="C3230" s="10" t="s">
        <v>95</v>
      </c>
      <c r="D3230" s="17">
        <v>599.99</v>
      </c>
    </row>
    <row r="3231" spans="1:4" x14ac:dyDescent="0.3">
      <c r="A3231" s="12"/>
      <c r="B3231" s="12"/>
      <c r="C3231" s="14" t="s">
        <v>96</v>
      </c>
      <c r="D3231" s="18">
        <v>1067.98</v>
      </c>
    </row>
    <row r="3232" spans="1:4" x14ac:dyDescent="0.3">
      <c r="A3232" s="12"/>
      <c r="B3232" s="12"/>
      <c r="C3232" s="14" t="s">
        <v>69</v>
      </c>
      <c r="D3232" s="18">
        <v>6399.98</v>
      </c>
    </row>
    <row r="3233" spans="1:4" x14ac:dyDescent="0.3">
      <c r="A3233" s="12"/>
      <c r="B3233" s="12"/>
      <c r="C3233" s="14" t="s">
        <v>97</v>
      </c>
      <c r="D3233" s="18">
        <v>699.98</v>
      </c>
    </row>
    <row r="3234" spans="1:4" x14ac:dyDescent="0.3">
      <c r="A3234" s="12"/>
      <c r="B3234" s="12"/>
      <c r="C3234" s="14" t="s">
        <v>29</v>
      </c>
      <c r="D3234" s="18">
        <v>7999.98</v>
      </c>
    </row>
    <row r="3235" spans="1:4" x14ac:dyDescent="0.3">
      <c r="A3235" s="12"/>
      <c r="B3235" s="10" t="s">
        <v>1916</v>
      </c>
      <c r="C3235" s="11"/>
      <c r="D3235" s="17">
        <v>16767.91</v>
      </c>
    </row>
    <row r="3236" spans="1:4" x14ac:dyDescent="0.3">
      <c r="A3236" s="10" t="s">
        <v>973</v>
      </c>
      <c r="B3236" s="11"/>
      <c r="C3236" s="11"/>
      <c r="D3236" s="17">
        <v>16767.91</v>
      </c>
    </row>
    <row r="3237" spans="1:4" x14ac:dyDescent="0.3">
      <c r="A3237" s="10">
        <v>678</v>
      </c>
      <c r="B3237" s="10" t="s">
        <v>37</v>
      </c>
      <c r="C3237" s="10" t="s">
        <v>98</v>
      </c>
      <c r="D3237" s="17">
        <v>759.98</v>
      </c>
    </row>
    <row r="3238" spans="1:4" x14ac:dyDescent="0.3">
      <c r="A3238" s="12"/>
      <c r="B3238" s="12"/>
      <c r="C3238" s="14" t="s">
        <v>68</v>
      </c>
      <c r="D3238" s="18">
        <v>1751.98</v>
      </c>
    </row>
    <row r="3239" spans="1:4" x14ac:dyDescent="0.3">
      <c r="A3239" s="12"/>
      <c r="B3239" s="10" t="s">
        <v>1917</v>
      </c>
      <c r="C3239" s="11"/>
      <c r="D3239" s="17">
        <v>2511.96</v>
      </c>
    </row>
    <row r="3240" spans="1:4" x14ac:dyDescent="0.3">
      <c r="A3240" s="10" t="s">
        <v>974</v>
      </c>
      <c r="B3240" s="11"/>
      <c r="C3240" s="11"/>
      <c r="D3240" s="17">
        <v>2511.96</v>
      </c>
    </row>
    <row r="3241" spans="1:4" x14ac:dyDescent="0.3">
      <c r="A3241" s="10">
        <v>679</v>
      </c>
      <c r="B3241" s="10" t="s">
        <v>11</v>
      </c>
      <c r="C3241" s="10" t="s">
        <v>27</v>
      </c>
      <c r="D3241" s="17">
        <v>1059.98</v>
      </c>
    </row>
    <row r="3242" spans="1:4" x14ac:dyDescent="0.3">
      <c r="A3242" s="12"/>
      <c r="B3242" s="12"/>
      <c r="C3242" s="14" t="s">
        <v>66</v>
      </c>
      <c r="D3242" s="18">
        <v>299.98</v>
      </c>
    </row>
    <row r="3243" spans="1:4" x14ac:dyDescent="0.3">
      <c r="A3243" s="12"/>
      <c r="B3243" s="10" t="s">
        <v>1915</v>
      </c>
      <c r="C3243" s="11"/>
      <c r="D3243" s="17">
        <v>1359.96</v>
      </c>
    </row>
    <row r="3244" spans="1:4" x14ac:dyDescent="0.3">
      <c r="A3244" s="10" t="s">
        <v>975</v>
      </c>
      <c r="B3244" s="11"/>
      <c r="C3244" s="11"/>
      <c r="D3244" s="17">
        <v>1359.96</v>
      </c>
    </row>
    <row r="3245" spans="1:4" x14ac:dyDescent="0.3">
      <c r="A3245" s="10">
        <v>680</v>
      </c>
      <c r="B3245" s="10" t="s">
        <v>11</v>
      </c>
      <c r="C3245" s="10" t="s">
        <v>99</v>
      </c>
      <c r="D3245" s="17">
        <v>2199.98</v>
      </c>
    </row>
    <row r="3246" spans="1:4" x14ac:dyDescent="0.3">
      <c r="A3246" s="12"/>
      <c r="B3246" s="12"/>
      <c r="C3246" s="14" t="s">
        <v>79</v>
      </c>
      <c r="D3246" s="18">
        <v>5999.99</v>
      </c>
    </row>
    <row r="3247" spans="1:4" x14ac:dyDescent="0.3">
      <c r="A3247" s="12"/>
      <c r="B3247" s="12"/>
      <c r="C3247" s="14" t="s">
        <v>29</v>
      </c>
      <c r="D3247" s="18">
        <v>3999.99</v>
      </c>
    </row>
    <row r="3248" spans="1:4" x14ac:dyDescent="0.3">
      <c r="A3248" s="12"/>
      <c r="B3248" s="10" t="s">
        <v>1915</v>
      </c>
      <c r="C3248" s="11"/>
      <c r="D3248" s="17">
        <v>12199.96</v>
      </c>
    </row>
    <row r="3249" spans="1:4" x14ac:dyDescent="0.3">
      <c r="A3249" s="10" t="s">
        <v>976</v>
      </c>
      <c r="B3249" s="11"/>
      <c r="C3249" s="11"/>
      <c r="D3249" s="17">
        <v>12199.96</v>
      </c>
    </row>
    <row r="3250" spans="1:4" x14ac:dyDescent="0.3">
      <c r="A3250" s="10">
        <v>681</v>
      </c>
      <c r="B3250" s="10" t="s">
        <v>18</v>
      </c>
      <c r="C3250" s="10" t="s">
        <v>100</v>
      </c>
      <c r="D3250" s="17">
        <v>659.99</v>
      </c>
    </row>
    <row r="3251" spans="1:4" x14ac:dyDescent="0.3">
      <c r="A3251" s="12"/>
      <c r="B3251" s="12"/>
      <c r="C3251" s="14" t="s">
        <v>32</v>
      </c>
      <c r="D3251" s="18">
        <v>939.98</v>
      </c>
    </row>
    <row r="3252" spans="1:4" x14ac:dyDescent="0.3">
      <c r="A3252" s="12"/>
      <c r="B3252" s="12"/>
      <c r="C3252" s="14" t="s">
        <v>47</v>
      </c>
      <c r="D3252" s="18">
        <v>999.99</v>
      </c>
    </row>
    <row r="3253" spans="1:4" x14ac:dyDescent="0.3">
      <c r="A3253" s="12"/>
      <c r="B3253" s="12"/>
      <c r="C3253" s="14" t="s">
        <v>75</v>
      </c>
      <c r="D3253" s="18">
        <v>3499.99</v>
      </c>
    </row>
    <row r="3254" spans="1:4" x14ac:dyDescent="0.3">
      <c r="A3254" s="12"/>
      <c r="B3254" s="12"/>
      <c r="C3254" s="14" t="s">
        <v>45</v>
      </c>
      <c r="D3254" s="18">
        <v>4999.99</v>
      </c>
    </row>
    <row r="3255" spans="1:4" x14ac:dyDescent="0.3">
      <c r="A3255" s="12"/>
      <c r="B3255" s="10" t="s">
        <v>1916</v>
      </c>
      <c r="C3255" s="11"/>
      <c r="D3255" s="17">
        <v>11099.939999999999</v>
      </c>
    </row>
    <row r="3256" spans="1:4" x14ac:dyDescent="0.3">
      <c r="A3256" s="10" t="s">
        <v>977</v>
      </c>
      <c r="B3256" s="11"/>
      <c r="C3256" s="11"/>
      <c r="D3256" s="17">
        <v>11099.939999999999</v>
      </c>
    </row>
    <row r="3257" spans="1:4" x14ac:dyDescent="0.3">
      <c r="A3257" s="10">
        <v>682</v>
      </c>
      <c r="B3257" s="10" t="s">
        <v>18</v>
      </c>
      <c r="C3257" s="10" t="s">
        <v>52</v>
      </c>
      <c r="D3257" s="17">
        <v>299.99</v>
      </c>
    </row>
    <row r="3258" spans="1:4" x14ac:dyDescent="0.3">
      <c r="A3258" s="12"/>
      <c r="B3258" s="12"/>
      <c r="C3258" s="14" t="s">
        <v>101</v>
      </c>
      <c r="D3258" s="18">
        <v>3119.98</v>
      </c>
    </row>
    <row r="3259" spans="1:4" x14ac:dyDescent="0.3">
      <c r="A3259" s="12"/>
      <c r="B3259" s="12"/>
      <c r="C3259" s="14" t="s">
        <v>72</v>
      </c>
      <c r="D3259" s="18">
        <v>1499.99</v>
      </c>
    </row>
    <row r="3260" spans="1:4" x14ac:dyDescent="0.3">
      <c r="A3260" s="12"/>
      <c r="B3260" s="10" t="s">
        <v>1916</v>
      </c>
      <c r="C3260" s="11"/>
      <c r="D3260" s="17">
        <v>4919.96</v>
      </c>
    </row>
    <row r="3261" spans="1:4" x14ac:dyDescent="0.3">
      <c r="A3261" s="10" t="s">
        <v>978</v>
      </c>
      <c r="B3261" s="11"/>
      <c r="C3261" s="11"/>
      <c r="D3261" s="17">
        <v>4919.96</v>
      </c>
    </row>
    <row r="3262" spans="1:4" x14ac:dyDescent="0.3">
      <c r="A3262" s="10">
        <v>683</v>
      </c>
      <c r="B3262" s="10" t="s">
        <v>18</v>
      </c>
      <c r="C3262" s="10" t="s">
        <v>22</v>
      </c>
      <c r="D3262" s="17">
        <v>1499.98</v>
      </c>
    </row>
    <row r="3263" spans="1:4" x14ac:dyDescent="0.3">
      <c r="A3263" s="12"/>
      <c r="B3263" s="10" t="s">
        <v>1916</v>
      </c>
      <c r="C3263" s="11"/>
      <c r="D3263" s="17">
        <v>1499.98</v>
      </c>
    </row>
    <row r="3264" spans="1:4" x14ac:dyDescent="0.3">
      <c r="A3264" s="10" t="s">
        <v>979</v>
      </c>
      <c r="B3264" s="11"/>
      <c r="C3264" s="11"/>
      <c r="D3264" s="17">
        <v>1499.98</v>
      </c>
    </row>
    <row r="3265" spans="1:4" x14ac:dyDescent="0.3">
      <c r="A3265" s="10">
        <v>684</v>
      </c>
      <c r="B3265" s="10" t="s">
        <v>18</v>
      </c>
      <c r="C3265" s="10" t="s">
        <v>67</v>
      </c>
      <c r="D3265" s="17">
        <v>469.99</v>
      </c>
    </row>
    <row r="3266" spans="1:4" x14ac:dyDescent="0.3">
      <c r="A3266" s="12"/>
      <c r="B3266" s="12"/>
      <c r="C3266" s="14" t="s">
        <v>41</v>
      </c>
      <c r="D3266" s="18">
        <v>5499.99</v>
      </c>
    </row>
    <row r="3267" spans="1:4" x14ac:dyDescent="0.3">
      <c r="A3267" s="12"/>
      <c r="B3267" s="10" t="s">
        <v>1916</v>
      </c>
      <c r="C3267" s="11"/>
      <c r="D3267" s="17">
        <v>5969.98</v>
      </c>
    </row>
    <row r="3268" spans="1:4" x14ac:dyDescent="0.3">
      <c r="A3268" s="10" t="s">
        <v>980</v>
      </c>
      <c r="B3268" s="11"/>
      <c r="C3268" s="11"/>
      <c r="D3268" s="17">
        <v>5969.98</v>
      </c>
    </row>
    <row r="3269" spans="1:4" x14ac:dyDescent="0.3">
      <c r="A3269" s="10">
        <v>685</v>
      </c>
      <c r="B3269" s="10" t="s">
        <v>18</v>
      </c>
      <c r="C3269" s="10" t="s">
        <v>82</v>
      </c>
      <c r="D3269" s="17">
        <v>979.98</v>
      </c>
    </row>
    <row r="3270" spans="1:4" x14ac:dyDescent="0.3">
      <c r="A3270" s="12"/>
      <c r="B3270" s="12"/>
      <c r="C3270" s="14" t="s">
        <v>89</v>
      </c>
      <c r="D3270" s="18">
        <v>416.99</v>
      </c>
    </row>
    <row r="3271" spans="1:4" x14ac:dyDescent="0.3">
      <c r="A3271" s="12"/>
      <c r="B3271" s="12"/>
      <c r="C3271" s="14" t="s">
        <v>74</v>
      </c>
      <c r="D3271" s="18">
        <v>2599.9899999999998</v>
      </c>
    </row>
    <row r="3272" spans="1:4" x14ac:dyDescent="0.3">
      <c r="A3272" s="12"/>
      <c r="B3272" s="12"/>
      <c r="C3272" s="14" t="s">
        <v>41</v>
      </c>
      <c r="D3272" s="18">
        <v>10999.98</v>
      </c>
    </row>
    <row r="3273" spans="1:4" x14ac:dyDescent="0.3">
      <c r="A3273" s="12"/>
      <c r="B3273" s="12"/>
      <c r="C3273" s="14" t="s">
        <v>84</v>
      </c>
      <c r="D3273" s="18">
        <v>2999.98</v>
      </c>
    </row>
    <row r="3274" spans="1:4" x14ac:dyDescent="0.3">
      <c r="A3274" s="12"/>
      <c r="B3274" s="10" t="s">
        <v>1916</v>
      </c>
      <c r="C3274" s="11"/>
      <c r="D3274" s="17">
        <v>17996.919999999998</v>
      </c>
    </row>
    <row r="3275" spans="1:4" x14ac:dyDescent="0.3">
      <c r="A3275" s="10" t="s">
        <v>981</v>
      </c>
      <c r="B3275" s="11"/>
      <c r="C3275" s="11"/>
      <c r="D3275" s="17">
        <v>17996.919999999998</v>
      </c>
    </row>
    <row r="3276" spans="1:4" x14ac:dyDescent="0.3">
      <c r="A3276" s="10">
        <v>686</v>
      </c>
      <c r="B3276" s="10" t="s">
        <v>18</v>
      </c>
      <c r="C3276" s="10" t="s">
        <v>14</v>
      </c>
      <c r="D3276" s="17">
        <v>599.99</v>
      </c>
    </row>
    <row r="3277" spans="1:4" x14ac:dyDescent="0.3">
      <c r="A3277" s="12"/>
      <c r="B3277" s="12"/>
      <c r="C3277" s="14" t="s">
        <v>36</v>
      </c>
      <c r="D3277" s="18">
        <v>898</v>
      </c>
    </row>
    <row r="3278" spans="1:4" x14ac:dyDescent="0.3">
      <c r="A3278" s="12"/>
      <c r="B3278" s="12"/>
      <c r="C3278" s="14" t="s">
        <v>87</v>
      </c>
      <c r="D3278" s="18">
        <v>481.99</v>
      </c>
    </row>
    <row r="3279" spans="1:4" x14ac:dyDescent="0.3">
      <c r="A3279" s="12"/>
      <c r="B3279" s="12"/>
      <c r="C3279" s="14" t="s">
        <v>47</v>
      </c>
      <c r="D3279" s="18">
        <v>999.99</v>
      </c>
    </row>
    <row r="3280" spans="1:4" x14ac:dyDescent="0.3">
      <c r="A3280" s="12"/>
      <c r="B3280" s="12"/>
      <c r="C3280" s="14" t="s">
        <v>64</v>
      </c>
      <c r="D3280" s="18">
        <v>379.98</v>
      </c>
    </row>
    <row r="3281" spans="1:4" x14ac:dyDescent="0.3">
      <c r="A3281" s="12"/>
      <c r="B3281" s="10" t="s">
        <v>1916</v>
      </c>
      <c r="C3281" s="11"/>
      <c r="D3281" s="17">
        <v>3359.9500000000003</v>
      </c>
    </row>
    <row r="3282" spans="1:4" x14ac:dyDescent="0.3">
      <c r="A3282" s="10" t="s">
        <v>982</v>
      </c>
      <c r="B3282" s="11"/>
      <c r="C3282" s="11"/>
      <c r="D3282" s="17">
        <v>3359.9500000000003</v>
      </c>
    </row>
    <row r="3283" spans="1:4" x14ac:dyDescent="0.3">
      <c r="A3283" s="10">
        <v>687</v>
      </c>
      <c r="B3283" s="10" t="s">
        <v>11</v>
      </c>
      <c r="C3283" s="10" t="s">
        <v>48</v>
      </c>
      <c r="D3283" s="17">
        <v>299.99</v>
      </c>
    </row>
    <row r="3284" spans="1:4" x14ac:dyDescent="0.3">
      <c r="A3284" s="12"/>
      <c r="B3284" s="12"/>
      <c r="C3284" s="14" t="s">
        <v>34</v>
      </c>
      <c r="D3284" s="18">
        <v>2641.98</v>
      </c>
    </row>
    <row r="3285" spans="1:4" x14ac:dyDescent="0.3">
      <c r="A3285" s="12"/>
      <c r="B3285" s="12"/>
      <c r="C3285" s="14" t="s">
        <v>66</v>
      </c>
      <c r="D3285" s="18">
        <v>149.99</v>
      </c>
    </row>
    <row r="3286" spans="1:4" x14ac:dyDescent="0.3">
      <c r="A3286" s="12"/>
      <c r="B3286" s="12"/>
      <c r="C3286" s="14" t="s">
        <v>84</v>
      </c>
      <c r="D3286" s="18">
        <v>2999.98</v>
      </c>
    </row>
    <row r="3287" spans="1:4" x14ac:dyDescent="0.3">
      <c r="A3287" s="12"/>
      <c r="B3287" s="10" t="s">
        <v>1915</v>
      </c>
      <c r="C3287" s="11"/>
      <c r="D3287" s="17">
        <v>6091.9400000000005</v>
      </c>
    </row>
    <row r="3288" spans="1:4" x14ac:dyDescent="0.3">
      <c r="A3288" s="10" t="s">
        <v>983</v>
      </c>
      <c r="B3288" s="11"/>
      <c r="C3288" s="11"/>
      <c r="D3288" s="17">
        <v>6091.9400000000005</v>
      </c>
    </row>
    <row r="3289" spans="1:4" x14ac:dyDescent="0.3">
      <c r="A3289" s="10">
        <v>688</v>
      </c>
      <c r="B3289" s="10" t="s">
        <v>18</v>
      </c>
      <c r="C3289" s="10" t="s">
        <v>64</v>
      </c>
      <c r="D3289" s="17">
        <v>189.99</v>
      </c>
    </row>
    <row r="3290" spans="1:4" x14ac:dyDescent="0.3">
      <c r="A3290" s="12"/>
      <c r="B3290" s="12"/>
      <c r="C3290" s="14" t="s">
        <v>12</v>
      </c>
      <c r="D3290" s="18">
        <v>1799.99</v>
      </c>
    </row>
    <row r="3291" spans="1:4" x14ac:dyDescent="0.3">
      <c r="A3291" s="12"/>
      <c r="B3291" s="10" t="s">
        <v>1916</v>
      </c>
      <c r="C3291" s="11"/>
      <c r="D3291" s="17">
        <v>1989.98</v>
      </c>
    </row>
    <row r="3292" spans="1:4" x14ac:dyDescent="0.3">
      <c r="A3292" s="10" t="s">
        <v>984</v>
      </c>
      <c r="B3292" s="11"/>
      <c r="C3292" s="11"/>
      <c r="D3292" s="17">
        <v>1989.98</v>
      </c>
    </row>
    <row r="3293" spans="1:4" x14ac:dyDescent="0.3">
      <c r="A3293" s="10">
        <v>689</v>
      </c>
      <c r="B3293" s="10" t="s">
        <v>18</v>
      </c>
      <c r="C3293" s="10" t="s">
        <v>67</v>
      </c>
      <c r="D3293" s="17">
        <v>939.98</v>
      </c>
    </row>
    <row r="3294" spans="1:4" x14ac:dyDescent="0.3">
      <c r="A3294" s="12"/>
      <c r="B3294" s="10" t="s">
        <v>1916</v>
      </c>
      <c r="C3294" s="11"/>
      <c r="D3294" s="17">
        <v>939.98</v>
      </c>
    </row>
    <row r="3295" spans="1:4" x14ac:dyDescent="0.3">
      <c r="A3295" s="10" t="s">
        <v>985</v>
      </c>
      <c r="B3295" s="11"/>
      <c r="C3295" s="11"/>
      <c r="D3295" s="17">
        <v>939.98</v>
      </c>
    </row>
    <row r="3296" spans="1:4" x14ac:dyDescent="0.3">
      <c r="A3296" s="10">
        <v>690</v>
      </c>
      <c r="B3296" s="10" t="s">
        <v>11</v>
      </c>
      <c r="C3296" s="10" t="s">
        <v>38</v>
      </c>
      <c r="D3296" s="17">
        <v>329.99</v>
      </c>
    </row>
    <row r="3297" spans="1:4" x14ac:dyDescent="0.3">
      <c r="A3297" s="12"/>
      <c r="B3297" s="12"/>
      <c r="C3297" s="14" t="s">
        <v>49</v>
      </c>
      <c r="D3297" s="18">
        <v>833.98</v>
      </c>
    </row>
    <row r="3298" spans="1:4" x14ac:dyDescent="0.3">
      <c r="A3298" s="12"/>
      <c r="B3298" s="12"/>
      <c r="C3298" s="14" t="s">
        <v>83</v>
      </c>
      <c r="D3298" s="18">
        <v>109.99</v>
      </c>
    </row>
    <row r="3299" spans="1:4" x14ac:dyDescent="0.3">
      <c r="A3299" s="12"/>
      <c r="B3299" s="12"/>
      <c r="C3299" s="14" t="s">
        <v>30</v>
      </c>
      <c r="D3299" s="18">
        <v>3361.98</v>
      </c>
    </row>
    <row r="3300" spans="1:4" x14ac:dyDescent="0.3">
      <c r="A3300" s="12"/>
      <c r="B3300" s="10" t="s">
        <v>1915</v>
      </c>
      <c r="C3300" s="11"/>
      <c r="D3300" s="17">
        <v>4635.9400000000005</v>
      </c>
    </row>
    <row r="3301" spans="1:4" x14ac:dyDescent="0.3">
      <c r="A3301" s="10" t="s">
        <v>986</v>
      </c>
      <c r="B3301" s="11"/>
      <c r="C3301" s="11"/>
      <c r="D3301" s="17">
        <v>4635.9400000000005</v>
      </c>
    </row>
    <row r="3302" spans="1:4" x14ac:dyDescent="0.3">
      <c r="A3302" s="10">
        <v>691</v>
      </c>
      <c r="B3302" s="10" t="s">
        <v>18</v>
      </c>
      <c r="C3302" s="10" t="s">
        <v>33</v>
      </c>
      <c r="D3302" s="17">
        <v>599.98</v>
      </c>
    </row>
    <row r="3303" spans="1:4" x14ac:dyDescent="0.3">
      <c r="A3303" s="12"/>
      <c r="B3303" s="12"/>
      <c r="C3303" s="14" t="s">
        <v>10</v>
      </c>
      <c r="D3303" s="18">
        <v>599.99</v>
      </c>
    </row>
    <row r="3304" spans="1:4" x14ac:dyDescent="0.3">
      <c r="A3304" s="12"/>
      <c r="B3304" s="12"/>
      <c r="C3304" s="14" t="s">
        <v>34</v>
      </c>
      <c r="D3304" s="18">
        <v>2641.98</v>
      </c>
    </row>
    <row r="3305" spans="1:4" x14ac:dyDescent="0.3">
      <c r="A3305" s="12"/>
      <c r="B3305" s="12"/>
      <c r="C3305" s="14" t="s">
        <v>76</v>
      </c>
      <c r="D3305" s="18">
        <v>5399.98</v>
      </c>
    </row>
    <row r="3306" spans="1:4" x14ac:dyDescent="0.3">
      <c r="A3306" s="12"/>
      <c r="B3306" s="10" t="s">
        <v>1916</v>
      </c>
      <c r="C3306" s="11"/>
      <c r="D3306" s="17">
        <v>9241.93</v>
      </c>
    </row>
    <row r="3307" spans="1:4" x14ac:dyDescent="0.3">
      <c r="A3307" s="10" t="s">
        <v>987</v>
      </c>
      <c r="B3307" s="11"/>
      <c r="C3307" s="11"/>
      <c r="D3307" s="17">
        <v>9241.93</v>
      </c>
    </row>
    <row r="3308" spans="1:4" x14ac:dyDescent="0.3">
      <c r="A3308" s="10">
        <v>692</v>
      </c>
      <c r="B3308" s="10" t="s">
        <v>11</v>
      </c>
      <c r="C3308" s="10" t="s">
        <v>95</v>
      </c>
      <c r="D3308" s="17">
        <v>599.99</v>
      </c>
    </row>
    <row r="3309" spans="1:4" x14ac:dyDescent="0.3">
      <c r="A3309" s="12"/>
      <c r="B3309" s="12"/>
      <c r="C3309" s="14" t="s">
        <v>27</v>
      </c>
      <c r="D3309" s="18">
        <v>1059.98</v>
      </c>
    </row>
    <row r="3310" spans="1:4" x14ac:dyDescent="0.3">
      <c r="A3310" s="12"/>
      <c r="B3310" s="12"/>
      <c r="C3310" s="14" t="s">
        <v>74</v>
      </c>
      <c r="D3310" s="18">
        <v>2599.9899999999998</v>
      </c>
    </row>
    <row r="3311" spans="1:4" x14ac:dyDescent="0.3">
      <c r="A3311" s="12"/>
      <c r="B3311" s="12"/>
      <c r="C3311" s="14" t="s">
        <v>41</v>
      </c>
      <c r="D3311" s="18">
        <v>10999.98</v>
      </c>
    </row>
    <row r="3312" spans="1:4" x14ac:dyDescent="0.3">
      <c r="A3312" s="12"/>
      <c r="B3312" s="10" t="s">
        <v>1915</v>
      </c>
      <c r="C3312" s="11"/>
      <c r="D3312" s="17">
        <v>15259.939999999999</v>
      </c>
    </row>
    <row r="3313" spans="1:4" x14ac:dyDescent="0.3">
      <c r="A3313" s="10" t="s">
        <v>988</v>
      </c>
      <c r="B3313" s="11"/>
      <c r="C3313" s="11"/>
      <c r="D3313" s="17">
        <v>15259.939999999999</v>
      </c>
    </row>
    <row r="3314" spans="1:4" x14ac:dyDescent="0.3">
      <c r="A3314" s="10">
        <v>693</v>
      </c>
      <c r="B3314" s="10" t="s">
        <v>11</v>
      </c>
      <c r="C3314" s="10" t="s">
        <v>31</v>
      </c>
      <c r="D3314" s="17">
        <v>269.99</v>
      </c>
    </row>
    <row r="3315" spans="1:4" x14ac:dyDescent="0.3">
      <c r="A3315" s="12"/>
      <c r="B3315" s="12"/>
      <c r="C3315" s="14" t="s">
        <v>34</v>
      </c>
      <c r="D3315" s="18">
        <v>2641.98</v>
      </c>
    </row>
    <row r="3316" spans="1:4" x14ac:dyDescent="0.3">
      <c r="A3316" s="12"/>
      <c r="B3316" s="12"/>
      <c r="C3316" s="14" t="s">
        <v>87</v>
      </c>
      <c r="D3316" s="18">
        <v>963.98</v>
      </c>
    </row>
    <row r="3317" spans="1:4" x14ac:dyDescent="0.3">
      <c r="A3317" s="12"/>
      <c r="B3317" s="12"/>
      <c r="C3317" s="14" t="s">
        <v>102</v>
      </c>
      <c r="D3317" s="18">
        <v>1632.99</v>
      </c>
    </row>
    <row r="3318" spans="1:4" x14ac:dyDescent="0.3">
      <c r="A3318" s="12"/>
      <c r="B3318" s="10" t="s">
        <v>1915</v>
      </c>
      <c r="C3318" s="11"/>
      <c r="D3318" s="17">
        <v>5508.9400000000005</v>
      </c>
    </row>
    <row r="3319" spans="1:4" x14ac:dyDescent="0.3">
      <c r="A3319" s="10" t="s">
        <v>989</v>
      </c>
      <c r="B3319" s="11"/>
      <c r="C3319" s="11"/>
      <c r="D3319" s="17">
        <v>5508.9400000000005</v>
      </c>
    </row>
    <row r="3320" spans="1:4" x14ac:dyDescent="0.3">
      <c r="A3320" s="10">
        <v>694</v>
      </c>
      <c r="B3320" s="10" t="s">
        <v>18</v>
      </c>
      <c r="C3320" s="10" t="s">
        <v>88</v>
      </c>
      <c r="D3320" s="17">
        <v>1739.98</v>
      </c>
    </row>
    <row r="3321" spans="1:4" x14ac:dyDescent="0.3">
      <c r="A3321" s="12"/>
      <c r="B3321" s="12"/>
      <c r="C3321" s="14" t="s">
        <v>40</v>
      </c>
      <c r="D3321" s="18">
        <v>1103.98</v>
      </c>
    </row>
    <row r="3322" spans="1:4" x14ac:dyDescent="0.3">
      <c r="A3322" s="12"/>
      <c r="B3322" s="12"/>
      <c r="C3322" s="14" t="s">
        <v>76</v>
      </c>
      <c r="D3322" s="18">
        <v>5399.98</v>
      </c>
    </row>
    <row r="3323" spans="1:4" x14ac:dyDescent="0.3">
      <c r="A3323" s="12"/>
      <c r="B3323" s="12"/>
      <c r="C3323" s="14" t="s">
        <v>84</v>
      </c>
      <c r="D3323" s="18">
        <v>1499.99</v>
      </c>
    </row>
    <row r="3324" spans="1:4" x14ac:dyDescent="0.3">
      <c r="A3324" s="12"/>
      <c r="B3324" s="12"/>
      <c r="C3324" s="14" t="s">
        <v>72</v>
      </c>
      <c r="D3324" s="18">
        <v>1499.99</v>
      </c>
    </row>
    <row r="3325" spans="1:4" x14ac:dyDescent="0.3">
      <c r="A3325" s="12"/>
      <c r="B3325" s="10" t="s">
        <v>1916</v>
      </c>
      <c r="C3325" s="11"/>
      <c r="D3325" s="17">
        <v>11243.919999999998</v>
      </c>
    </row>
    <row r="3326" spans="1:4" x14ac:dyDescent="0.3">
      <c r="A3326" s="10" t="s">
        <v>990</v>
      </c>
      <c r="B3326" s="11"/>
      <c r="C3326" s="11"/>
      <c r="D3326" s="17">
        <v>11243.919999999998</v>
      </c>
    </row>
    <row r="3327" spans="1:4" x14ac:dyDescent="0.3">
      <c r="A3327" s="10">
        <v>695</v>
      </c>
      <c r="B3327" s="10" t="s">
        <v>18</v>
      </c>
      <c r="C3327" s="10" t="s">
        <v>100</v>
      </c>
      <c r="D3327" s="17">
        <v>1319.98</v>
      </c>
    </row>
    <row r="3328" spans="1:4" x14ac:dyDescent="0.3">
      <c r="A3328" s="12"/>
      <c r="B3328" s="12"/>
      <c r="C3328" s="14" t="s">
        <v>103</v>
      </c>
      <c r="D3328" s="18">
        <v>3999.98</v>
      </c>
    </row>
    <row r="3329" spans="1:4" x14ac:dyDescent="0.3">
      <c r="A3329" s="12"/>
      <c r="B3329" s="10" t="s">
        <v>1916</v>
      </c>
      <c r="C3329" s="11"/>
      <c r="D3329" s="17">
        <v>5319.96</v>
      </c>
    </row>
    <row r="3330" spans="1:4" x14ac:dyDescent="0.3">
      <c r="A3330" s="10" t="s">
        <v>991</v>
      </c>
      <c r="B3330" s="11"/>
      <c r="C3330" s="11"/>
      <c r="D3330" s="17">
        <v>5319.96</v>
      </c>
    </row>
    <row r="3331" spans="1:4" x14ac:dyDescent="0.3">
      <c r="A3331" s="10">
        <v>696</v>
      </c>
      <c r="B3331" s="10" t="s">
        <v>18</v>
      </c>
      <c r="C3331" s="10" t="s">
        <v>88</v>
      </c>
      <c r="D3331" s="17">
        <v>869.99</v>
      </c>
    </row>
    <row r="3332" spans="1:4" x14ac:dyDescent="0.3">
      <c r="A3332" s="12"/>
      <c r="B3332" s="12"/>
      <c r="C3332" s="14" t="s">
        <v>64</v>
      </c>
      <c r="D3332" s="18">
        <v>379.98</v>
      </c>
    </row>
    <row r="3333" spans="1:4" x14ac:dyDescent="0.3">
      <c r="A3333" s="12"/>
      <c r="B3333" s="12"/>
      <c r="C3333" s="14" t="s">
        <v>29</v>
      </c>
      <c r="D3333" s="18">
        <v>3999.99</v>
      </c>
    </row>
    <row r="3334" spans="1:4" x14ac:dyDescent="0.3">
      <c r="A3334" s="12"/>
      <c r="B3334" s="10" t="s">
        <v>1916</v>
      </c>
      <c r="C3334" s="11"/>
      <c r="D3334" s="17">
        <v>5249.96</v>
      </c>
    </row>
    <row r="3335" spans="1:4" x14ac:dyDescent="0.3">
      <c r="A3335" s="10" t="s">
        <v>992</v>
      </c>
      <c r="B3335" s="11"/>
      <c r="C3335" s="11"/>
      <c r="D3335" s="17">
        <v>5249.96</v>
      </c>
    </row>
    <row r="3336" spans="1:4" x14ac:dyDescent="0.3">
      <c r="A3336" s="10">
        <v>697</v>
      </c>
      <c r="B3336" s="10" t="s">
        <v>11</v>
      </c>
      <c r="C3336" s="10" t="s">
        <v>34</v>
      </c>
      <c r="D3336" s="17">
        <v>2641.98</v>
      </c>
    </row>
    <row r="3337" spans="1:4" x14ac:dyDescent="0.3">
      <c r="A3337" s="12"/>
      <c r="B3337" s="10" t="s">
        <v>1915</v>
      </c>
      <c r="C3337" s="11"/>
      <c r="D3337" s="17">
        <v>2641.98</v>
      </c>
    </row>
    <row r="3338" spans="1:4" x14ac:dyDescent="0.3">
      <c r="A3338" s="10" t="s">
        <v>993</v>
      </c>
      <c r="B3338" s="11"/>
      <c r="C3338" s="11"/>
      <c r="D3338" s="17">
        <v>2641.98</v>
      </c>
    </row>
    <row r="3339" spans="1:4" x14ac:dyDescent="0.3">
      <c r="A3339" s="10">
        <v>698</v>
      </c>
      <c r="B3339" s="10" t="s">
        <v>37</v>
      </c>
      <c r="C3339" s="10" t="s">
        <v>91</v>
      </c>
      <c r="D3339" s="17">
        <v>349.99</v>
      </c>
    </row>
    <row r="3340" spans="1:4" x14ac:dyDescent="0.3">
      <c r="A3340" s="12"/>
      <c r="B3340" s="12"/>
      <c r="C3340" s="14" t="s">
        <v>25</v>
      </c>
      <c r="D3340" s="18">
        <v>549.99</v>
      </c>
    </row>
    <row r="3341" spans="1:4" x14ac:dyDescent="0.3">
      <c r="A3341" s="12"/>
      <c r="B3341" s="12"/>
      <c r="C3341" s="14" t="s">
        <v>104</v>
      </c>
      <c r="D3341" s="18">
        <v>9999.98</v>
      </c>
    </row>
    <row r="3342" spans="1:4" x14ac:dyDescent="0.3">
      <c r="A3342" s="12"/>
      <c r="B3342" s="10" t="s">
        <v>1917</v>
      </c>
      <c r="C3342" s="11"/>
      <c r="D3342" s="17">
        <v>10899.96</v>
      </c>
    </row>
    <row r="3343" spans="1:4" x14ac:dyDescent="0.3">
      <c r="A3343" s="10" t="s">
        <v>994</v>
      </c>
      <c r="B3343" s="11"/>
      <c r="C3343" s="11"/>
      <c r="D3343" s="17">
        <v>10899.96</v>
      </c>
    </row>
    <row r="3344" spans="1:4" x14ac:dyDescent="0.3">
      <c r="A3344" s="10">
        <v>699</v>
      </c>
      <c r="B3344" s="10" t="s">
        <v>37</v>
      </c>
      <c r="C3344" s="10" t="s">
        <v>100</v>
      </c>
      <c r="D3344" s="17">
        <v>1319.98</v>
      </c>
    </row>
    <row r="3345" spans="1:4" x14ac:dyDescent="0.3">
      <c r="A3345" s="12"/>
      <c r="B3345" s="12"/>
      <c r="C3345" s="14" t="s">
        <v>25</v>
      </c>
      <c r="D3345" s="18">
        <v>1099.98</v>
      </c>
    </row>
    <row r="3346" spans="1:4" x14ac:dyDescent="0.3">
      <c r="A3346" s="12"/>
      <c r="B3346" s="12"/>
      <c r="C3346" s="14" t="s">
        <v>39</v>
      </c>
      <c r="D3346" s="18">
        <v>899.98</v>
      </c>
    </row>
    <row r="3347" spans="1:4" x14ac:dyDescent="0.3">
      <c r="A3347" s="12"/>
      <c r="B3347" s="12"/>
      <c r="C3347" s="14" t="s">
        <v>102</v>
      </c>
      <c r="D3347" s="18">
        <v>1632.99</v>
      </c>
    </row>
    <row r="3348" spans="1:4" x14ac:dyDescent="0.3">
      <c r="A3348" s="12"/>
      <c r="B3348" s="12"/>
      <c r="C3348" s="14" t="s">
        <v>84</v>
      </c>
      <c r="D3348" s="18">
        <v>1499.99</v>
      </c>
    </row>
    <row r="3349" spans="1:4" x14ac:dyDescent="0.3">
      <c r="A3349" s="12"/>
      <c r="B3349" s="10" t="s">
        <v>1917</v>
      </c>
      <c r="C3349" s="11"/>
      <c r="D3349" s="17">
        <v>6452.92</v>
      </c>
    </row>
    <row r="3350" spans="1:4" x14ac:dyDescent="0.3">
      <c r="A3350" s="10" t="s">
        <v>995</v>
      </c>
      <c r="B3350" s="11"/>
      <c r="C3350" s="11"/>
      <c r="D3350" s="17">
        <v>6452.92</v>
      </c>
    </row>
    <row r="3351" spans="1:4" x14ac:dyDescent="0.3">
      <c r="A3351" s="10">
        <v>700</v>
      </c>
      <c r="B3351" s="10" t="s">
        <v>18</v>
      </c>
      <c r="C3351" s="10" t="s">
        <v>75</v>
      </c>
      <c r="D3351" s="17">
        <v>3499.99</v>
      </c>
    </row>
    <row r="3352" spans="1:4" x14ac:dyDescent="0.3">
      <c r="A3352" s="12"/>
      <c r="B3352" s="12"/>
      <c r="C3352" s="14" t="s">
        <v>29</v>
      </c>
      <c r="D3352" s="18">
        <v>7999.98</v>
      </c>
    </row>
    <row r="3353" spans="1:4" x14ac:dyDescent="0.3">
      <c r="A3353" s="12"/>
      <c r="B3353" s="10" t="s">
        <v>1916</v>
      </c>
      <c r="C3353" s="11"/>
      <c r="D3353" s="17">
        <v>11499.97</v>
      </c>
    </row>
    <row r="3354" spans="1:4" x14ac:dyDescent="0.3">
      <c r="A3354" s="10" t="s">
        <v>996</v>
      </c>
      <c r="B3354" s="11"/>
      <c r="C3354" s="11"/>
      <c r="D3354" s="17">
        <v>11499.97</v>
      </c>
    </row>
    <row r="3355" spans="1:4" x14ac:dyDescent="0.3">
      <c r="A3355" s="10">
        <v>701</v>
      </c>
      <c r="B3355" s="10" t="s">
        <v>37</v>
      </c>
      <c r="C3355" s="10" t="s">
        <v>83</v>
      </c>
      <c r="D3355" s="17">
        <v>109.99</v>
      </c>
    </row>
    <row r="3356" spans="1:4" x14ac:dyDescent="0.3">
      <c r="A3356" s="12"/>
      <c r="B3356" s="10" t="s">
        <v>1917</v>
      </c>
      <c r="C3356" s="11"/>
      <c r="D3356" s="17">
        <v>109.99</v>
      </c>
    </row>
    <row r="3357" spans="1:4" x14ac:dyDescent="0.3">
      <c r="A3357" s="10" t="s">
        <v>997</v>
      </c>
      <c r="B3357" s="11"/>
      <c r="C3357" s="11"/>
      <c r="D3357" s="17">
        <v>109.99</v>
      </c>
    </row>
    <row r="3358" spans="1:4" x14ac:dyDescent="0.3">
      <c r="A3358" s="10">
        <v>702</v>
      </c>
      <c r="B3358" s="10" t="s">
        <v>11</v>
      </c>
      <c r="C3358" s="10" t="s">
        <v>35</v>
      </c>
      <c r="D3358" s="17">
        <v>999.98</v>
      </c>
    </row>
    <row r="3359" spans="1:4" x14ac:dyDescent="0.3">
      <c r="A3359" s="12"/>
      <c r="B3359" s="12"/>
      <c r="C3359" s="14" t="s">
        <v>87</v>
      </c>
      <c r="D3359" s="18">
        <v>481.99</v>
      </c>
    </row>
    <row r="3360" spans="1:4" x14ac:dyDescent="0.3">
      <c r="A3360" s="12"/>
      <c r="B3360" s="12"/>
      <c r="C3360" s="14" t="s">
        <v>20</v>
      </c>
      <c r="D3360" s="18">
        <v>1999.98</v>
      </c>
    </row>
    <row r="3361" spans="1:4" x14ac:dyDescent="0.3">
      <c r="A3361" s="12"/>
      <c r="B3361" s="10" t="s">
        <v>1915</v>
      </c>
      <c r="C3361" s="11"/>
      <c r="D3361" s="17">
        <v>3481.95</v>
      </c>
    </row>
    <row r="3362" spans="1:4" x14ac:dyDescent="0.3">
      <c r="A3362" s="10" t="s">
        <v>998</v>
      </c>
      <c r="B3362" s="11"/>
      <c r="C3362" s="11"/>
      <c r="D3362" s="17">
        <v>3481.95</v>
      </c>
    </row>
    <row r="3363" spans="1:4" x14ac:dyDescent="0.3">
      <c r="A3363" s="10">
        <v>703</v>
      </c>
      <c r="B3363" s="10" t="s">
        <v>18</v>
      </c>
      <c r="C3363" s="10" t="s">
        <v>88</v>
      </c>
      <c r="D3363" s="17">
        <v>1739.98</v>
      </c>
    </row>
    <row r="3364" spans="1:4" x14ac:dyDescent="0.3">
      <c r="A3364" s="12"/>
      <c r="B3364" s="12"/>
      <c r="C3364" s="14" t="s">
        <v>44</v>
      </c>
      <c r="D3364" s="18">
        <v>619.99</v>
      </c>
    </row>
    <row r="3365" spans="1:4" x14ac:dyDescent="0.3">
      <c r="A3365" s="12"/>
      <c r="B3365" s="12"/>
      <c r="C3365" s="14" t="s">
        <v>92</v>
      </c>
      <c r="D3365" s="18">
        <v>501.98</v>
      </c>
    </row>
    <row r="3366" spans="1:4" x14ac:dyDescent="0.3">
      <c r="A3366" s="12"/>
      <c r="B3366" s="12"/>
      <c r="C3366" s="14" t="s">
        <v>16</v>
      </c>
      <c r="D3366" s="18">
        <v>5799.98</v>
      </c>
    </row>
    <row r="3367" spans="1:4" x14ac:dyDescent="0.3">
      <c r="A3367" s="12"/>
      <c r="B3367" s="10" t="s">
        <v>1916</v>
      </c>
      <c r="C3367" s="11"/>
      <c r="D3367" s="17">
        <v>8661.93</v>
      </c>
    </row>
    <row r="3368" spans="1:4" x14ac:dyDescent="0.3">
      <c r="A3368" s="10" t="s">
        <v>999</v>
      </c>
      <c r="B3368" s="11"/>
      <c r="C3368" s="11"/>
      <c r="D3368" s="17">
        <v>8661.93</v>
      </c>
    </row>
    <row r="3369" spans="1:4" x14ac:dyDescent="0.3">
      <c r="A3369" s="10">
        <v>704</v>
      </c>
      <c r="B3369" s="10" t="s">
        <v>18</v>
      </c>
      <c r="C3369" s="10" t="s">
        <v>105</v>
      </c>
      <c r="D3369" s="17">
        <v>979.98</v>
      </c>
    </row>
    <row r="3370" spans="1:4" x14ac:dyDescent="0.3">
      <c r="A3370" s="12"/>
      <c r="B3370" s="12"/>
      <c r="C3370" s="14" t="s">
        <v>13</v>
      </c>
      <c r="D3370" s="18">
        <v>3098</v>
      </c>
    </row>
    <row r="3371" spans="1:4" x14ac:dyDescent="0.3">
      <c r="A3371" s="12"/>
      <c r="B3371" s="12"/>
      <c r="C3371" s="14" t="s">
        <v>50</v>
      </c>
      <c r="D3371" s="18">
        <v>3499.99</v>
      </c>
    </row>
    <row r="3372" spans="1:4" x14ac:dyDescent="0.3">
      <c r="A3372" s="12"/>
      <c r="B3372" s="10" t="s">
        <v>1916</v>
      </c>
      <c r="C3372" s="11"/>
      <c r="D3372" s="17">
        <v>7577.9699999999993</v>
      </c>
    </row>
    <row r="3373" spans="1:4" x14ac:dyDescent="0.3">
      <c r="A3373" s="10" t="s">
        <v>1000</v>
      </c>
      <c r="B3373" s="11"/>
      <c r="C3373" s="11"/>
      <c r="D3373" s="17">
        <v>7577.9699999999993</v>
      </c>
    </row>
    <row r="3374" spans="1:4" x14ac:dyDescent="0.3">
      <c r="A3374" s="10">
        <v>705</v>
      </c>
      <c r="B3374" s="10" t="s">
        <v>18</v>
      </c>
      <c r="C3374" s="10" t="s">
        <v>45</v>
      </c>
      <c r="D3374" s="17">
        <v>4999.99</v>
      </c>
    </row>
    <row r="3375" spans="1:4" x14ac:dyDescent="0.3">
      <c r="A3375" s="12"/>
      <c r="B3375" s="10" t="s">
        <v>1916</v>
      </c>
      <c r="C3375" s="11"/>
      <c r="D3375" s="17">
        <v>4999.99</v>
      </c>
    </row>
    <row r="3376" spans="1:4" x14ac:dyDescent="0.3">
      <c r="A3376" s="10" t="s">
        <v>1001</v>
      </c>
      <c r="B3376" s="11"/>
      <c r="C3376" s="11"/>
      <c r="D3376" s="17">
        <v>4999.99</v>
      </c>
    </row>
    <row r="3377" spans="1:4" x14ac:dyDescent="0.3">
      <c r="A3377" s="10">
        <v>706</v>
      </c>
      <c r="B3377" s="10" t="s">
        <v>11</v>
      </c>
      <c r="C3377" s="10" t="s">
        <v>33</v>
      </c>
      <c r="D3377" s="17">
        <v>599.98</v>
      </c>
    </row>
    <row r="3378" spans="1:4" x14ac:dyDescent="0.3">
      <c r="A3378" s="12"/>
      <c r="B3378" s="12"/>
      <c r="C3378" s="14" t="s">
        <v>101</v>
      </c>
      <c r="D3378" s="18">
        <v>1559.99</v>
      </c>
    </row>
    <row r="3379" spans="1:4" x14ac:dyDescent="0.3">
      <c r="A3379" s="12"/>
      <c r="B3379" s="12"/>
      <c r="C3379" s="14" t="s">
        <v>106</v>
      </c>
      <c r="D3379" s="18">
        <v>999.99</v>
      </c>
    </row>
    <row r="3380" spans="1:4" x14ac:dyDescent="0.3">
      <c r="A3380" s="12"/>
      <c r="B3380" s="10" t="s">
        <v>1915</v>
      </c>
      <c r="C3380" s="11"/>
      <c r="D3380" s="17">
        <v>3159.96</v>
      </c>
    </row>
    <row r="3381" spans="1:4" x14ac:dyDescent="0.3">
      <c r="A3381" s="10" t="s">
        <v>1002</v>
      </c>
      <c r="B3381" s="11"/>
      <c r="C3381" s="11"/>
      <c r="D3381" s="17">
        <v>3159.96</v>
      </c>
    </row>
    <row r="3382" spans="1:4" x14ac:dyDescent="0.3">
      <c r="A3382" s="10">
        <v>707</v>
      </c>
      <c r="B3382" s="10" t="s">
        <v>18</v>
      </c>
      <c r="C3382" s="10" t="s">
        <v>105</v>
      </c>
      <c r="D3382" s="17">
        <v>489.99</v>
      </c>
    </row>
    <row r="3383" spans="1:4" x14ac:dyDescent="0.3">
      <c r="A3383" s="12"/>
      <c r="B3383" s="12"/>
      <c r="C3383" s="14" t="s">
        <v>14</v>
      </c>
      <c r="D3383" s="18">
        <v>1199.98</v>
      </c>
    </row>
    <row r="3384" spans="1:4" x14ac:dyDescent="0.3">
      <c r="A3384" s="12"/>
      <c r="B3384" s="12"/>
      <c r="C3384" s="14" t="s">
        <v>39</v>
      </c>
      <c r="D3384" s="18">
        <v>899.98</v>
      </c>
    </row>
    <row r="3385" spans="1:4" x14ac:dyDescent="0.3">
      <c r="A3385" s="12"/>
      <c r="B3385" s="12"/>
      <c r="C3385" s="14" t="s">
        <v>30</v>
      </c>
      <c r="D3385" s="18">
        <v>3361.98</v>
      </c>
    </row>
    <row r="3386" spans="1:4" x14ac:dyDescent="0.3">
      <c r="A3386" s="12"/>
      <c r="B3386" s="10" t="s">
        <v>1916</v>
      </c>
      <c r="C3386" s="11"/>
      <c r="D3386" s="17">
        <v>5951.93</v>
      </c>
    </row>
    <row r="3387" spans="1:4" x14ac:dyDescent="0.3">
      <c r="A3387" s="10" t="s">
        <v>1003</v>
      </c>
      <c r="B3387" s="11"/>
      <c r="C3387" s="11"/>
      <c r="D3387" s="17">
        <v>5951.93</v>
      </c>
    </row>
    <row r="3388" spans="1:4" x14ac:dyDescent="0.3">
      <c r="A3388" s="10">
        <v>708</v>
      </c>
      <c r="B3388" s="10" t="s">
        <v>11</v>
      </c>
      <c r="C3388" s="10" t="s">
        <v>32</v>
      </c>
      <c r="D3388" s="17">
        <v>469.99</v>
      </c>
    </row>
    <row r="3389" spans="1:4" x14ac:dyDescent="0.3">
      <c r="A3389" s="12"/>
      <c r="B3389" s="12"/>
      <c r="C3389" s="14" t="s">
        <v>54</v>
      </c>
      <c r="D3389" s="18">
        <v>5299.99</v>
      </c>
    </row>
    <row r="3390" spans="1:4" x14ac:dyDescent="0.3">
      <c r="A3390" s="12"/>
      <c r="B3390" s="12"/>
      <c r="C3390" s="14" t="s">
        <v>107</v>
      </c>
      <c r="D3390" s="18">
        <v>939.98</v>
      </c>
    </row>
    <row r="3391" spans="1:4" x14ac:dyDescent="0.3">
      <c r="A3391" s="12"/>
      <c r="B3391" s="10" t="s">
        <v>1915</v>
      </c>
      <c r="C3391" s="11"/>
      <c r="D3391" s="17">
        <v>6709.9599999999991</v>
      </c>
    </row>
    <row r="3392" spans="1:4" x14ac:dyDescent="0.3">
      <c r="A3392" s="10" t="s">
        <v>1004</v>
      </c>
      <c r="B3392" s="11"/>
      <c r="C3392" s="11"/>
      <c r="D3392" s="17">
        <v>6709.9599999999991</v>
      </c>
    </row>
    <row r="3393" spans="1:4" x14ac:dyDescent="0.3">
      <c r="A3393" s="10">
        <v>709</v>
      </c>
      <c r="B3393" s="10" t="s">
        <v>18</v>
      </c>
      <c r="C3393" s="10" t="s">
        <v>80</v>
      </c>
      <c r="D3393" s="17">
        <v>679.98</v>
      </c>
    </row>
    <row r="3394" spans="1:4" x14ac:dyDescent="0.3">
      <c r="A3394" s="12"/>
      <c r="B3394" s="12"/>
      <c r="C3394" s="14" t="s">
        <v>76</v>
      </c>
      <c r="D3394" s="18">
        <v>5399.98</v>
      </c>
    </row>
    <row r="3395" spans="1:4" x14ac:dyDescent="0.3">
      <c r="A3395" s="12"/>
      <c r="B3395" s="12"/>
      <c r="C3395" s="14" t="s">
        <v>84</v>
      </c>
      <c r="D3395" s="18">
        <v>1499.99</v>
      </c>
    </row>
    <row r="3396" spans="1:4" x14ac:dyDescent="0.3">
      <c r="A3396" s="12"/>
      <c r="B3396" s="10" t="s">
        <v>1916</v>
      </c>
      <c r="C3396" s="11"/>
      <c r="D3396" s="17">
        <v>7579.9499999999989</v>
      </c>
    </row>
    <row r="3397" spans="1:4" x14ac:dyDescent="0.3">
      <c r="A3397" s="10" t="s">
        <v>1005</v>
      </c>
      <c r="B3397" s="11"/>
      <c r="C3397" s="11"/>
      <c r="D3397" s="17">
        <v>7579.9499999999989</v>
      </c>
    </row>
    <row r="3398" spans="1:4" x14ac:dyDescent="0.3">
      <c r="A3398" s="10">
        <v>710</v>
      </c>
      <c r="B3398" s="10" t="s">
        <v>18</v>
      </c>
      <c r="C3398" s="10" t="s">
        <v>101</v>
      </c>
      <c r="D3398" s="17">
        <v>3119.98</v>
      </c>
    </row>
    <row r="3399" spans="1:4" x14ac:dyDescent="0.3">
      <c r="A3399" s="12"/>
      <c r="B3399" s="12"/>
      <c r="C3399" s="14" t="s">
        <v>86</v>
      </c>
      <c r="D3399" s="18">
        <v>2499.9899999999998</v>
      </c>
    </row>
    <row r="3400" spans="1:4" x14ac:dyDescent="0.3">
      <c r="A3400" s="12"/>
      <c r="B3400" s="12"/>
      <c r="C3400" s="14" t="s">
        <v>103</v>
      </c>
      <c r="D3400" s="18">
        <v>1999.99</v>
      </c>
    </row>
    <row r="3401" spans="1:4" x14ac:dyDescent="0.3">
      <c r="A3401" s="12"/>
      <c r="B3401" s="12"/>
      <c r="C3401" s="14" t="s">
        <v>53</v>
      </c>
      <c r="D3401" s="18">
        <v>2299.9899999999998</v>
      </c>
    </row>
    <row r="3402" spans="1:4" x14ac:dyDescent="0.3">
      <c r="A3402" s="12"/>
      <c r="B3402" s="12"/>
      <c r="C3402" s="14" t="s">
        <v>72</v>
      </c>
      <c r="D3402" s="18">
        <v>2999.98</v>
      </c>
    </row>
    <row r="3403" spans="1:4" x14ac:dyDescent="0.3">
      <c r="A3403" s="12"/>
      <c r="B3403" s="10" t="s">
        <v>1916</v>
      </c>
      <c r="C3403" s="11"/>
      <c r="D3403" s="17">
        <v>12919.929999999998</v>
      </c>
    </row>
    <row r="3404" spans="1:4" x14ac:dyDescent="0.3">
      <c r="A3404" s="10" t="s">
        <v>1006</v>
      </c>
      <c r="B3404" s="11"/>
      <c r="C3404" s="11"/>
      <c r="D3404" s="17">
        <v>12919.929999999998</v>
      </c>
    </row>
    <row r="3405" spans="1:4" x14ac:dyDescent="0.3">
      <c r="A3405" s="10">
        <v>711</v>
      </c>
      <c r="B3405" s="10" t="s">
        <v>18</v>
      </c>
      <c r="C3405" s="10" t="s">
        <v>48</v>
      </c>
      <c r="D3405" s="17">
        <v>599.98</v>
      </c>
    </row>
    <row r="3406" spans="1:4" x14ac:dyDescent="0.3">
      <c r="A3406" s="12"/>
      <c r="B3406" s="12"/>
      <c r="C3406" s="14" t="s">
        <v>34</v>
      </c>
      <c r="D3406" s="18">
        <v>2641.98</v>
      </c>
    </row>
    <row r="3407" spans="1:4" x14ac:dyDescent="0.3">
      <c r="A3407" s="12"/>
      <c r="B3407" s="12"/>
      <c r="C3407" s="14" t="s">
        <v>44</v>
      </c>
      <c r="D3407" s="18">
        <v>1239.98</v>
      </c>
    </row>
    <row r="3408" spans="1:4" x14ac:dyDescent="0.3">
      <c r="A3408" s="12"/>
      <c r="B3408" s="10" t="s">
        <v>1916</v>
      </c>
      <c r="C3408" s="11"/>
      <c r="D3408" s="17">
        <v>4481.9400000000005</v>
      </c>
    </row>
    <row r="3409" spans="1:4" x14ac:dyDescent="0.3">
      <c r="A3409" s="10" t="s">
        <v>1007</v>
      </c>
      <c r="B3409" s="11"/>
      <c r="C3409" s="11"/>
      <c r="D3409" s="17">
        <v>4481.9400000000005</v>
      </c>
    </row>
    <row r="3410" spans="1:4" x14ac:dyDescent="0.3">
      <c r="A3410" s="10">
        <v>712</v>
      </c>
      <c r="B3410" s="10" t="s">
        <v>37</v>
      </c>
      <c r="C3410" s="10" t="s">
        <v>61</v>
      </c>
      <c r="D3410" s="17">
        <v>879.98</v>
      </c>
    </row>
    <row r="3411" spans="1:4" x14ac:dyDescent="0.3">
      <c r="A3411" s="12"/>
      <c r="B3411" s="12"/>
      <c r="C3411" s="14" t="s">
        <v>48</v>
      </c>
      <c r="D3411" s="18">
        <v>299.99</v>
      </c>
    </row>
    <row r="3412" spans="1:4" x14ac:dyDescent="0.3">
      <c r="A3412" s="12"/>
      <c r="B3412" s="12"/>
      <c r="C3412" s="14" t="s">
        <v>108</v>
      </c>
      <c r="D3412" s="18">
        <v>1079.98</v>
      </c>
    </row>
    <row r="3413" spans="1:4" x14ac:dyDescent="0.3">
      <c r="A3413" s="12"/>
      <c r="B3413" s="12"/>
      <c r="C3413" s="14" t="s">
        <v>109</v>
      </c>
      <c r="D3413" s="18">
        <v>832.99</v>
      </c>
    </row>
    <row r="3414" spans="1:4" x14ac:dyDescent="0.3">
      <c r="A3414" s="12"/>
      <c r="B3414" s="12"/>
      <c r="C3414" s="14" t="s">
        <v>16</v>
      </c>
      <c r="D3414" s="18">
        <v>5799.98</v>
      </c>
    </row>
    <row r="3415" spans="1:4" x14ac:dyDescent="0.3">
      <c r="A3415" s="12"/>
      <c r="B3415" s="10" t="s">
        <v>1917</v>
      </c>
      <c r="C3415" s="11"/>
      <c r="D3415" s="17">
        <v>8892.9199999999983</v>
      </c>
    </row>
    <row r="3416" spans="1:4" x14ac:dyDescent="0.3">
      <c r="A3416" s="10" t="s">
        <v>1008</v>
      </c>
      <c r="B3416" s="11"/>
      <c r="C3416" s="11"/>
      <c r="D3416" s="17">
        <v>8892.9199999999983</v>
      </c>
    </row>
    <row r="3417" spans="1:4" x14ac:dyDescent="0.3">
      <c r="A3417" s="10">
        <v>713</v>
      </c>
      <c r="B3417" s="10" t="s">
        <v>37</v>
      </c>
      <c r="C3417" s="10" t="s">
        <v>55</v>
      </c>
      <c r="D3417" s="17">
        <v>699.98</v>
      </c>
    </row>
    <row r="3418" spans="1:4" x14ac:dyDescent="0.3">
      <c r="A3418" s="12"/>
      <c r="B3418" s="12"/>
      <c r="C3418" s="14" t="s">
        <v>110</v>
      </c>
      <c r="D3418" s="18">
        <v>419.98</v>
      </c>
    </row>
    <row r="3419" spans="1:4" x14ac:dyDescent="0.3">
      <c r="A3419" s="12"/>
      <c r="B3419" s="12"/>
      <c r="C3419" s="14" t="s">
        <v>85</v>
      </c>
      <c r="D3419" s="18">
        <v>899.98</v>
      </c>
    </row>
    <row r="3420" spans="1:4" x14ac:dyDescent="0.3">
      <c r="A3420" s="12"/>
      <c r="B3420" s="12"/>
      <c r="C3420" s="14" t="s">
        <v>42</v>
      </c>
      <c r="D3420" s="18">
        <v>749.99</v>
      </c>
    </row>
    <row r="3421" spans="1:4" x14ac:dyDescent="0.3">
      <c r="A3421" s="12"/>
      <c r="B3421" s="10" t="s">
        <v>1917</v>
      </c>
      <c r="C3421" s="11"/>
      <c r="D3421" s="17">
        <v>2769.9300000000003</v>
      </c>
    </row>
    <row r="3422" spans="1:4" x14ac:dyDescent="0.3">
      <c r="A3422" s="10" t="s">
        <v>1009</v>
      </c>
      <c r="B3422" s="11"/>
      <c r="C3422" s="11"/>
      <c r="D3422" s="17">
        <v>2769.9300000000003</v>
      </c>
    </row>
    <row r="3423" spans="1:4" x14ac:dyDescent="0.3">
      <c r="A3423" s="10">
        <v>714</v>
      </c>
      <c r="B3423" s="10" t="s">
        <v>18</v>
      </c>
      <c r="C3423" s="10" t="s">
        <v>111</v>
      </c>
      <c r="D3423" s="17">
        <v>419.98</v>
      </c>
    </row>
    <row r="3424" spans="1:4" x14ac:dyDescent="0.3">
      <c r="A3424" s="12"/>
      <c r="B3424" s="10" t="s">
        <v>1916</v>
      </c>
      <c r="C3424" s="11"/>
      <c r="D3424" s="17">
        <v>419.98</v>
      </c>
    </row>
    <row r="3425" spans="1:4" x14ac:dyDescent="0.3">
      <c r="A3425" s="10" t="s">
        <v>1010</v>
      </c>
      <c r="B3425" s="11"/>
      <c r="C3425" s="11"/>
      <c r="D3425" s="17">
        <v>419.98</v>
      </c>
    </row>
    <row r="3426" spans="1:4" x14ac:dyDescent="0.3">
      <c r="A3426" s="10">
        <v>715</v>
      </c>
      <c r="B3426" s="10" t="s">
        <v>18</v>
      </c>
      <c r="C3426" s="10" t="s">
        <v>45</v>
      </c>
      <c r="D3426" s="17">
        <v>9999.98</v>
      </c>
    </row>
    <row r="3427" spans="1:4" x14ac:dyDescent="0.3">
      <c r="A3427" s="12"/>
      <c r="B3427" s="12"/>
      <c r="C3427" s="14" t="s">
        <v>79</v>
      </c>
      <c r="D3427" s="18">
        <v>5999.99</v>
      </c>
    </row>
    <row r="3428" spans="1:4" x14ac:dyDescent="0.3">
      <c r="A3428" s="12"/>
      <c r="B3428" s="10" t="s">
        <v>1916</v>
      </c>
      <c r="C3428" s="11"/>
      <c r="D3428" s="17">
        <v>15999.97</v>
      </c>
    </row>
    <row r="3429" spans="1:4" x14ac:dyDescent="0.3">
      <c r="A3429" s="10" t="s">
        <v>1011</v>
      </c>
      <c r="B3429" s="11"/>
      <c r="C3429" s="11"/>
      <c r="D3429" s="17">
        <v>15999.97</v>
      </c>
    </row>
    <row r="3430" spans="1:4" x14ac:dyDescent="0.3">
      <c r="A3430" s="10">
        <v>716</v>
      </c>
      <c r="B3430" s="10" t="s">
        <v>18</v>
      </c>
      <c r="C3430" s="10" t="s">
        <v>110</v>
      </c>
      <c r="D3430" s="17">
        <v>419.98</v>
      </c>
    </row>
    <row r="3431" spans="1:4" x14ac:dyDescent="0.3">
      <c r="A3431" s="12"/>
      <c r="B3431" s="12"/>
      <c r="C3431" s="14" t="s">
        <v>58</v>
      </c>
      <c r="D3431" s="18">
        <v>402.99</v>
      </c>
    </row>
    <row r="3432" spans="1:4" x14ac:dyDescent="0.3">
      <c r="A3432" s="12"/>
      <c r="B3432" s="12"/>
      <c r="C3432" s="14" t="s">
        <v>112</v>
      </c>
      <c r="D3432" s="18">
        <v>941.98</v>
      </c>
    </row>
    <row r="3433" spans="1:4" x14ac:dyDescent="0.3">
      <c r="A3433" s="12"/>
      <c r="B3433" s="12"/>
      <c r="C3433" s="14" t="s">
        <v>16</v>
      </c>
      <c r="D3433" s="18">
        <v>5799.98</v>
      </c>
    </row>
    <row r="3434" spans="1:4" x14ac:dyDescent="0.3">
      <c r="A3434" s="12"/>
      <c r="B3434" s="10" t="s">
        <v>1916</v>
      </c>
      <c r="C3434" s="11"/>
      <c r="D3434" s="17">
        <v>7564.9299999999994</v>
      </c>
    </row>
    <row r="3435" spans="1:4" x14ac:dyDescent="0.3">
      <c r="A3435" s="10" t="s">
        <v>1012</v>
      </c>
      <c r="B3435" s="11"/>
      <c r="C3435" s="11"/>
      <c r="D3435" s="17">
        <v>7564.9299999999994</v>
      </c>
    </row>
    <row r="3436" spans="1:4" x14ac:dyDescent="0.3">
      <c r="A3436" s="10">
        <v>717</v>
      </c>
      <c r="B3436" s="10" t="s">
        <v>18</v>
      </c>
      <c r="C3436" s="10" t="s">
        <v>110</v>
      </c>
      <c r="D3436" s="17">
        <v>209.99</v>
      </c>
    </row>
    <row r="3437" spans="1:4" x14ac:dyDescent="0.3">
      <c r="A3437" s="12"/>
      <c r="B3437" s="12"/>
      <c r="C3437" s="14" t="s">
        <v>41</v>
      </c>
      <c r="D3437" s="18">
        <v>10999.98</v>
      </c>
    </row>
    <row r="3438" spans="1:4" x14ac:dyDescent="0.3">
      <c r="A3438" s="12"/>
      <c r="B3438" s="10" t="s">
        <v>1916</v>
      </c>
      <c r="C3438" s="11"/>
      <c r="D3438" s="17">
        <v>11209.97</v>
      </c>
    </row>
    <row r="3439" spans="1:4" x14ac:dyDescent="0.3">
      <c r="A3439" s="10" t="s">
        <v>1013</v>
      </c>
      <c r="B3439" s="11"/>
      <c r="C3439" s="11"/>
      <c r="D3439" s="17">
        <v>11209.97</v>
      </c>
    </row>
    <row r="3440" spans="1:4" x14ac:dyDescent="0.3">
      <c r="A3440" s="10">
        <v>718</v>
      </c>
      <c r="B3440" s="10" t="s">
        <v>18</v>
      </c>
      <c r="C3440" s="10" t="s">
        <v>51</v>
      </c>
      <c r="D3440" s="17">
        <v>979.98</v>
      </c>
    </row>
    <row r="3441" spans="1:4" x14ac:dyDescent="0.3">
      <c r="A3441" s="12"/>
      <c r="B3441" s="12"/>
      <c r="C3441" s="14" t="s">
        <v>111</v>
      </c>
      <c r="D3441" s="18">
        <v>419.98</v>
      </c>
    </row>
    <row r="3442" spans="1:4" x14ac:dyDescent="0.3">
      <c r="A3442" s="12"/>
      <c r="B3442" s="12"/>
      <c r="C3442" s="14" t="s">
        <v>104</v>
      </c>
      <c r="D3442" s="18">
        <v>9999.98</v>
      </c>
    </row>
    <row r="3443" spans="1:4" x14ac:dyDescent="0.3">
      <c r="A3443" s="12"/>
      <c r="B3443" s="10" t="s">
        <v>1916</v>
      </c>
      <c r="C3443" s="11"/>
      <c r="D3443" s="17">
        <v>11399.939999999999</v>
      </c>
    </row>
    <row r="3444" spans="1:4" x14ac:dyDescent="0.3">
      <c r="A3444" s="10" t="s">
        <v>1014</v>
      </c>
      <c r="B3444" s="11"/>
      <c r="C3444" s="11"/>
      <c r="D3444" s="17">
        <v>11399.939999999999</v>
      </c>
    </row>
    <row r="3445" spans="1:4" x14ac:dyDescent="0.3">
      <c r="A3445" s="10">
        <v>719</v>
      </c>
      <c r="B3445" s="10" t="s">
        <v>18</v>
      </c>
      <c r="C3445" s="10" t="s">
        <v>105</v>
      </c>
      <c r="D3445" s="17">
        <v>489.99</v>
      </c>
    </row>
    <row r="3446" spans="1:4" x14ac:dyDescent="0.3">
      <c r="A3446" s="12"/>
      <c r="B3446" s="10" t="s">
        <v>1916</v>
      </c>
      <c r="C3446" s="11"/>
      <c r="D3446" s="17">
        <v>489.99</v>
      </c>
    </row>
    <row r="3447" spans="1:4" x14ac:dyDescent="0.3">
      <c r="A3447" s="10" t="s">
        <v>1015</v>
      </c>
      <c r="B3447" s="11"/>
      <c r="C3447" s="11"/>
      <c r="D3447" s="17">
        <v>489.99</v>
      </c>
    </row>
    <row r="3448" spans="1:4" x14ac:dyDescent="0.3">
      <c r="A3448" s="10">
        <v>720</v>
      </c>
      <c r="B3448" s="10" t="s">
        <v>18</v>
      </c>
      <c r="C3448" s="10" t="s">
        <v>112</v>
      </c>
      <c r="D3448" s="17">
        <v>470.99</v>
      </c>
    </row>
    <row r="3449" spans="1:4" x14ac:dyDescent="0.3">
      <c r="A3449" s="12"/>
      <c r="B3449" s="12"/>
      <c r="C3449" s="14" t="s">
        <v>32</v>
      </c>
      <c r="D3449" s="18">
        <v>469.99</v>
      </c>
    </row>
    <row r="3450" spans="1:4" x14ac:dyDescent="0.3">
      <c r="A3450" s="12"/>
      <c r="B3450" s="10" t="s">
        <v>1916</v>
      </c>
      <c r="C3450" s="11"/>
      <c r="D3450" s="17">
        <v>940.98</v>
      </c>
    </row>
    <row r="3451" spans="1:4" x14ac:dyDescent="0.3">
      <c r="A3451" s="10" t="s">
        <v>1016</v>
      </c>
      <c r="B3451" s="11"/>
      <c r="C3451" s="11"/>
      <c r="D3451" s="17">
        <v>940.98</v>
      </c>
    </row>
    <row r="3452" spans="1:4" x14ac:dyDescent="0.3">
      <c r="A3452" s="10">
        <v>721</v>
      </c>
      <c r="B3452" s="10" t="s">
        <v>18</v>
      </c>
      <c r="C3452" s="10" t="s">
        <v>51</v>
      </c>
      <c r="D3452" s="17">
        <v>489.99</v>
      </c>
    </row>
    <row r="3453" spans="1:4" x14ac:dyDescent="0.3">
      <c r="A3453" s="12"/>
      <c r="B3453" s="12"/>
      <c r="C3453" s="14" t="s">
        <v>88</v>
      </c>
      <c r="D3453" s="18">
        <v>1739.98</v>
      </c>
    </row>
    <row r="3454" spans="1:4" x14ac:dyDescent="0.3">
      <c r="A3454" s="12"/>
      <c r="B3454" s="12"/>
      <c r="C3454" s="14" t="s">
        <v>43</v>
      </c>
      <c r="D3454" s="18">
        <v>1499.98</v>
      </c>
    </row>
    <row r="3455" spans="1:4" x14ac:dyDescent="0.3">
      <c r="A3455" s="12"/>
      <c r="B3455" s="12"/>
      <c r="C3455" s="14" t="s">
        <v>67</v>
      </c>
      <c r="D3455" s="18">
        <v>469.99</v>
      </c>
    </row>
    <row r="3456" spans="1:4" x14ac:dyDescent="0.3">
      <c r="A3456" s="12"/>
      <c r="B3456" s="10" t="s">
        <v>1916</v>
      </c>
      <c r="C3456" s="11"/>
      <c r="D3456" s="17">
        <v>4199.9400000000005</v>
      </c>
    </row>
    <row r="3457" spans="1:4" x14ac:dyDescent="0.3">
      <c r="A3457" s="10" t="s">
        <v>1017</v>
      </c>
      <c r="B3457" s="11"/>
      <c r="C3457" s="11"/>
      <c r="D3457" s="17">
        <v>4199.9400000000005</v>
      </c>
    </row>
    <row r="3458" spans="1:4" x14ac:dyDescent="0.3">
      <c r="A3458" s="10">
        <v>722</v>
      </c>
      <c r="B3458" s="10" t="s">
        <v>18</v>
      </c>
      <c r="C3458" s="10" t="s">
        <v>28</v>
      </c>
      <c r="D3458" s="17">
        <v>539.98</v>
      </c>
    </row>
    <row r="3459" spans="1:4" x14ac:dyDescent="0.3">
      <c r="A3459" s="12"/>
      <c r="B3459" s="12"/>
      <c r="C3459" s="14" t="s">
        <v>87</v>
      </c>
      <c r="D3459" s="18">
        <v>963.98</v>
      </c>
    </row>
    <row r="3460" spans="1:4" x14ac:dyDescent="0.3">
      <c r="A3460" s="12"/>
      <c r="B3460" s="12"/>
      <c r="C3460" s="14" t="s">
        <v>20</v>
      </c>
      <c r="D3460" s="18">
        <v>999.99</v>
      </c>
    </row>
    <row r="3461" spans="1:4" x14ac:dyDescent="0.3">
      <c r="A3461" s="12"/>
      <c r="B3461" s="10" t="s">
        <v>1916</v>
      </c>
      <c r="C3461" s="11"/>
      <c r="D3461" s="17">
        <v>2503.9499999999998</v>
      </c>
    </row>
    <row r="3462" spans="1:4" x14ac:dyDescent="0.3">
      <c r="A3462" s="10" t="s">
        <v>1018</v>
      </c>
      <c r="B3462" s="11"/>
      <c r="C3462" s="11"/>
      <c r="D3462" s="17">
        <v>2503.9499999999998</v>
      </c>
    </row>
    <row r="3463" spans="1:4" x14ac:dyDescent="0.3">
      <c r="A3463" s="10">
        <v>723</v>
      </c>
      <c r="B3463" s="10" t="s">
        <v>18</v>
      </c>
      <c r="C3463" s="10" t="s">
        <v>25</v>
      </c>
      <c r="D3463" s="17">
        <v>1099.98</v>
      </c>
    </row>
    <row r="3464" spans="1:4" x14ac:dyDescent="0.3">
      <c r="A3464" s="12"/>
      <c r="B3464" s="12"/>
      <c r="C3464" s="14" t="s">
        <v>14</v>
      </c>
      <c r="D3464" s="18">
        <v>599.99</v>
      </c>
    </row>
    <row r="3465" spans="1:4" x14ac:dyDescent="0.3">
      <c r="A3465" s="12"/>
      <c r="B3465" s="12"/>
      <c r="C3465" s="14" t="s">
        <v>85</v>
      </c>
      <c r="D3465" s="18">
        <v>449.99</v>
      </c>
    </row>
    <row r="3466" spans="1:4" x14ac:dyDescent="0.3">
      <c r="A3466" s="12"/>
      <c r="B3466" s="10" t="s">
        <v>1916</v>
      </c>
      <c r="C3466" s="11"/>
      <c r="D3466" s="17">
        <v>2149.96</v>
      </c>
    </row>
    <row r="3467" spans="1:4" x14ac:dyDescent="0.3">
      <c r="A3467" s="10" t="s">
        <v>1019</v>
      </c>
      <c r="B3467" s="11"/>
      <c r="C3467" s="11"/>
      <c r="D3467" s="17">
        <v>2149.96</v>
      </c>
    </row>
    <row r="3468" spans="1:4" x14ac:dyDescent="0.3">
      <c r="A3468" s="10">
        <v>724</v>
      </c>
      <c r="B3468" s="10" t="s">
        <v>18</v>
      </c>
      <c r="C3468" s="10" t="s">
        <v>95</v>
      </c>
      <c r="D3468" s="17">
        <v>599.99</v>
      </c>
    </row>
    <row r="3469" spans="1:4" x14ac:dyDescent="0.3">
      <c r="A3469" s="12"/>
      <c r="B3469" s="12"/>
      <c r="C3469" s="14" t="s">
        <v>33</v>
      </c>
      <c r="D3469" s="18">
        <v>299.99</v>
      </c>
    </row>
    <row r="3470" spans="1:4" x14ac:dyDescent="0.3">
      <c r="A3470" s="12"/>
      <c r="B3470" s="12"/>
      <c r="C3470" s="14" t="s">
        <v>51</v>
      </c>
      <c r="D3470" s="18">
        <v>489.99</v>
      </c>
    </row>
    <row r="3471" spans="1:4" x14ac:dyDescent="0.3">
      <c r="A3471" s="12"/>
      <c r="B3471" s="12"/>
      <c r="C3471" s="14" t="s">
        <v>76</v>
      </c>
      <c r="D3471" s="18">
        <v>2699.99</v>
      </c>
    </row>
    <row r="3472" spans="1:4" x14ac:dyDescent="0.3">
      <c r="A3472" s="12"/>
      <c r="B3472" s="10" t="s">
        <v>1916</v>
      </c>
      <c r="C3472" s="11"/>
      <c r="D3472" s="17">
        <v>4089.96</v>
      </c>
    </row>
    <row r="3473" spans="1:4" x14ac:dyDescent="0.3">
      <c r="A3473" s="10" t="s">
        <v>1020</v>
      </c>
      <c r="B3473" s="11"/>
      <c r="C3473" s="11"/>
      <c r="D3473" s="17">
        <v>4089.96</v>
      </c>
    </row>
    <row r="3474" spans="1:4" x14ac:dyDescent="0.3">
      <c r="A3474" s="10">
        <v>725</v>
      </c>
      <c r="B3474" s="10" t="s">
        <v>18</v>
      </c>
      <c r="C3474" s="10" t="s">
        <v>113</v>
      </c>
      <c r="D3474" s="17">
        <v>1599.98</v>
      </c>
    </row>
    <row r="3475" spans="1:4" x14ac:dyDescent="0.3">
      <c r="A3475" s="12"/>
      <c r="B3475" s="12"/>
      <c r="C3475" s="14" t="s">
        <v>50</v>
      </c>
      <c r="D3475" s="18">
        <v>6999.98</v>
      </c>
    </row>
    <row r="3476" spans="1:4" x14ac:dyDescent="0.3">
      <c r="A3476" s="12"/>
      <c r="B3476" s="12"/>
      <c r="C3476" s="14" t="s">
        <v>56</v>
      </c>
      <c r="D3476" s="18">
        <v>209.99</v>
      </c>
    </row>
    <row r="3477" spans="1:4" x14ac:dyDescent="0.3">
      <c r="A3477" s="12"/>
      <c r="B3477" s="12"/>
      <c r="C3477" s="14" t="s">
        <v>97</v>
      </c>
      <c r="D3477" s="18">
        <v>349.99</v>
      </c>
    </row>
    <row r="3478" spans="1:4" x14ac:dyDescent="0.3">
      <c r="A3478" s="12"/>
      <c r="B3478" s="10" t="s">
        <v>1916</v>
      </c>
      <c r="C3478" s="11"/>
      <c r="D3478" s="17">
        <v>9159.9399999999987</v>
      </c>
    </row>
    <row r="3479" spans="1:4" x14ac:dyDescent="0.3">
      <c r="A3479" s="10" t="s">
        <v>1021</v>
      </c>
      <c r="B3479" s="11"/>
      <c r="C3479" s="11"/>
      <c r="D3479" s="17">
        <v>9159.9399999999987</v>
      </c>
    </row>
    <row r="3480" spans="1:4" x14ac:dyDescent="0.3">
      <c r="A3480" s="10">
        <v>726</v>
      </c>
      <c r="B3480" s="10" t="s">
        <v>18</v>
      </c>
      <c r="C3480" s="10" t="s">
        <v>51</v>
      </c>
      <c r="D3480" s="17">
        <v>489.99</v>
      </c>
    </row>
    <row r="3481" spans="1:4" x14ac:dyDescent="0.3">
      <c r="A3481" s="12"/>
      <c r="B3481" s="10" t="s">
        <v>1916</v>
      </c>
      <c r="C3481" s="11"/>
      <c r="D3481" s="17">
        <v>489.99</v>
      </c>
    </row>
    <row r="3482" spans="1:4" x14ac:dyDescent="0.3">
      <c r="A3482" s="10" t="s">
        <v>1022</v>
      </c>
      <c r="B3482" s="11"/>
      <c r="C3482" s="11"/>
      <c r="D3482" s="17">
        <v>489.99</v>
      </c>
    </row>
    <row r="3483" spans="1:4" x14ac:dyDescent="0.3">
      <c r="A3483" s="10">
        <v>727</v>
      </c>
      <c r="B3483" s="10" t="s">
        <v>37</v>
      </c>
      <c r="C3483" s="10" t="s">
        <v>100</v>
      </c>
      <c r="D3483" s="17">
        <v>1319.98</v>
      </c>
    </row>
    <row r="3484" spans="1:4" x14ac:dyDescent="0.3">
      <c r="A3484" s="12"/>
      <c r="B3484" s="12"/>
      <c r="C3484" s="14" t="s">
        <v>57</v>
      </c>
      <c r="D3484" s="18">
        <v>647.99</v>
      </c>
    </row>
    <row r="3485" spans="1:4" x14ac:dyDescent="0.3">
      <c r="A3485" s="12"/>
      <c r="B3485" s="10" t="s">
        <v>1917</v>
      </c>
      <c r="C3485" s="11"/>
      <c r="D3485" s="17">
        <v>1967.97</v>
      </c>
    </row>
    <row r="3486" spans="1:4" x14ac:dyDescent="0.3">
      <c r="A3486" s="10" t="s">
        <v>1023</v>
      </c>
      <c r="B3486" s="11"/>
      <c r="C3486" s="11"/>
      <c r="D3486" s="17">
        <v>1967.97</v>
      </c>
    </row>
    <row r="3487" spans="1:4" x14ac:dyDescent="0.3">
      <c r="A3487" s="10">
        <v>728</v>
      </c>
      <c r="B3487" s="10" t="s">
        <v>11</v>
      </c>
      <c r="C3487" s="10" t="s">
        <v>73</v>
      </c>
      <c r="D3487" s="17">
        <v>659.99</v>
      </c>
    </row>
    <row r="3488" spans="1:4" x14ac:dyDescent="0.3">
      <c r="A3488" s="12"/>
      <c r="B3488" s="12"/>
      <c r="C3488" s="14" t="s">
        <v>41</v>
      </c>
      <c r="D3488" s="18">
        <v>5499.99</v>
      </c>
    </row>
    <row r="3489" spans="1:4" x14ac:dyDescent="0.3">
      <c r="A3489" s="12"/>
      <c r="B3489" s="12"/>
      <c r="C3489" s="14" t="s">
        <v>81</v>
      </c>
      <c r="D3489" s="18">
        <v>4999.99</v>
      </c>
    </row>
    <row r="3490" spans="1:4" x14ac:dyDescent="0.3">
      <c r="A3490" s="12"/>
      <c r="B3490" s="12"/>
      <c r="C3490" s="14" t="s">
        <v>97</v>
      </c>
      <c r="D3490" s="18">
        <v>349.99</v>
      </c>
    </row>
    <row r="3491" spans="1:4" x14ac:dyDescent="0.3">
      <c r="A3491" s="12"/>
      <c r="B3491" s="10" t="s">
        <v>1915</v>
      </c>
      <c r="C3491" s="11"/>
      <c r="D3491" s="17">
        <v>11509.96</v>
      </c>
    </row>
    <row r="3492" spans="1:4" x14ac:dyDescent="0.3">
      <c r="A3492" s="10" t="s">
        <v>1024</v>
      </c>
      <c r="B3492" s="11"/>
      <c r="C3492" s="11"/>
      <c r="D3492" s="17">
        <v>11509.96</v>
      </c>
    </row>
    <row r="3493" spans="1:4" x14ac:dyDescent="0.3">
      <c r="A3493" s="10">
        <v>729</v>
      </c>
      <c r="B3493" s="10" t="s">
        <v>18</v>
      </c>
      <c r="C3493" s="10" t="s">
        <v>80</v>
      </c>
      <c r="D3493" s="17">
        <v>679.98</v>
      </c>
    </row>
    <row r="3494" spans="1:4" x14ac:dyDescent="0.3">
      <c r="A3494" s="12"/>
      <c r="B3494" s="10" t="s">
        <v>1916</v>
      </c>
      <c r="C3494" s="11"/>
      <c r="D3494" s="17">
        <v>679.98</v>
      </c>
    </row>
    <row r="3495" spans="1:4" x14ac:dyDescent="0.3">
      <c r="A3495" s="10" t="s">
        <v>1025</v>
      </c>
      <c r="B3495" s="11"/>
      <c r="C3495" s="11"/>
      <c r="D3495" s="17">
        <v>679.98</v>
      </c>
    </row>
    <row r="3496" spans="1:4" x14ac:dyDescent="0.3">
      <c r="A3496" s="10">
        <v>730</v>
      </c>
      <c r="B3496" s="10" t="s">
        <v>18</v>
      </c>
      <c r="C3496" s="10" t="s">
        <v>31</v>
      </c>
      <c r="D3496" s="17">
        <v>269.99</v>
      </c>
    </row>
    <row r="3497" spans="1:4" x14ac:dyDescent="0.3">
      <c r="A3497" s="12"/>
      <c r="B3497" s="12"/>
      <c r="C3497" s="14" t="s">
        <v>91</v>
      </c>
      <c r="D3497" s="18">
        <v>699.98</v>
      </c>
    </row>
    <row r="3498" spans="1:4" x14ac:dyDescent="0.3">
      <c r="A3498" s="12"/>
      <c r="B3498" s="12"/>
      <c r="C3498" s="14" t="s">
        <v>58</v>
      </c>
      <c r="D3498" s="18">
        <v>402.99</v>
      </c>
    </row>
    <row r="3499" spans="1:4" x14ac:dyDescent="0.3">
      <c r="A3499" s="12"/>
      <c r="B3499" s="12"/>
      <c r="C3499" s="14" t="s">
        <v>74</v>
      </c>
      <c r="D3499" s="18">
        <v>5199.9799999999996</v>
      </c>
    </row>
    <row r="3500" spans="1:4" x14ac:dyDescent="0.3">
      <c r="A3500" s="12"/>
      <c r="B3500" s="10" t="s">
        <v>1916</v>
      </c>
      <c r="C3500" s="11"/>
      <c r="D3500" s="17">
        <v>6572.94</v>
      </c>
    </row>
    <row r="3501" spans="1:4" x14ac:dyDescent="0.3">
      <c r="A3501" s="10" t="s">
        <v>1026</v>
      </c>
      <c r="B3501" s="11"/>
      <c r="C3501" s="11"/>
      <c r="D3501" s="17">
        <v>6572.94</v>
      </c>
    </row>
    <row r="3502" spans="1:4" x14ac:dyDescent="0.3">
      <c r="A3502" s="10">
        <v>731</v>
      </c>
      <c r="B3502" s="10" t="s">
        <v>37</v>
      </c>
      <c r="C3502" s="10" t="s">
        <v>60</v>
      </c>
      <c r="D3502" s="17">
        <v>501.98</v>
      </c>
    </row>
    <row r="3503" spans="1:4" x14ac:dyDescent="0.3">
      <c r="A3503" s="12"/>
      <c r="B3503" s="12"/>
      <c r="C3503" s="14" t="s">
        <v>70</v>
      </c>
      <c r="D3503" s="18">
        <v>3499.99</v>
      </c>
    </row>
    <row r="3504" spans="1:4" x14ac:dyDescent="0.3">
      <c r="A3504" s="12"/>
      <c r="B3504" s="12"/>
      <c r="C3504" s="14" t="s">
        <v>97</v>
      </c>
      <c r="D3504" s="18">
        <v>349.99</v>
      </c>
    </row>
    <row r="3505" spans="1:4" x14ac:dyDescent="0.3">
      <c r="A3505" s="12"/>
      <c r="B3505" s="12"/>
      <c r="C3505" s="14" t="s">
        <v>71</v>
      </c>
      <c r="D3505" s="18">
        <v>999.99</v>
      </c>
    </row>
    <row r="3506" spans="1:4" x14ac:dyDescent="0.3">
      <c r="A3506" s="12"/>
      <c r="B3506" s="10" t="s">
        <v>1917</v>
      </c>
      <c r="C3506" s="11"/>
      <c r="D3506" s="17">
        <v>5351.95</v>
      </c>
    </row>
    <row r="3507" spans="1:4" x14ac:dyDescent="0.3">
      <c r="A3507" s="10" t="s">
        <v>1027</v>
      </c>
      <c r="B3507" s="11"/>
      <c r="C3507" s="11"/>
      <c r="D3507" s="17">
        <v>5351.95</v>
      </c>
    </row>
    <row r="3508" spans="1:4" x14ac:dyDescent="0.3">
      <c r="A3508" s="10">
        <v>732</v>
      </c>
      <c r="B3508" s="10" t="s">
        <v>18</v>
      </c>
      <c r="C3508" s="10" t="s">
        <v>16</v>
      </c>
      <c r="D3508" s="17">
        <v>5799.98</v>
      </c>
    </row>
    <row r="3509" spans="1:4" x14ac:dyDescent="0.3">
      <c r="A3509" s="12"/>
      <c r="B3509" s="12"/>
      <c r="C3509" s="14" t="s">
        <v>54</v>
      </c>
      <c r="D3509" s="18">
        <v>5299.99</v>
      </c>
    </row>
    <row r="3510" spans="1:4" x14ac:dyDescent="0.3">
      <c r="A3510" s="12"/>
      <c r="B3510" s="10" t="s">
        <v>1916</v>
      </c>
      <c r="C3510" s="11"/>
      <c r="D3510" s="17">
        <v>11099.97</v>
      </c>
    </row>
    <row r="3511" spans="1:4" x14ac:dyDescent="0.3">
      <c r="A3511" s="10" t="s">
        <v>1028</v>
      </c>
      <c r="B3511" s="11"/>
      <c r="C3511" s="11"/>
      <c r="D3511" s="17">
        <v>11099.97</v>
      </c>
    </row>
    <row r="3512" spans="1:4" x14ac:dyDescent="0.3">
      <c r="A3512" s="10">
        <v>733</v>
      </c>
      <c r="B3512" s="10" t="s">
        <v>18</v>
      </c>
      <c r="C3512" s="10" t="s">
        <v>51</v>
      </c>
      <c r="D3512" s="17">
        <v>979.98</v>
      </c>
    </row>
    <row r="3513" spans="1:4" x14ac:dyDescent="0.3">
      <c r="A3513" s="12"/>
      <c r="B3513" s="12"/>
      <c r="C3513" s="14" t="s">
        <v>83</v>
      </c>
      <c r="D3513" s="18">
        <v>109.99</v>
      </c>
    </row>
    <row r="3514" spans="1:4" x14ac:dyDescent="0.3">
      <c r="A3514" s="12"/>
      <c r="B3514" s="12"/>
      <c r="C3514" s="14" t="s">
        <v>76</v>
      </c>
      <c r="D3514" s="18">
        <v>2699.99</v>
      </c>
    </row>
    <row r="3515" spans="1:4" x14ac:dyDescent="0.3">
      <c r="A3515" s="12"/>
      <c r="B3515" s="10" t="s">
        <v>1916</v>
      </c>
      <c r="C3515" s="11"/>
      <c r="D3515" s="17">
        <v>3789.96</v>
      </c>
    </row>
    <row r="3516" spans="1:4" x14ac:dyDescent="0.3">
      <c r="A3516" s="10" t="s">
        <v>1029</v>
      </c>
      <c r="B3516" s="11"/>
      <c r="C3516" s="11"/>
      <c r="D3516" s="17">
        <v>3789.96</v>
      </c>
    </row>
    <row r="3517" spans="1:4" x14ac:dyDescent="0.3">
      <c r="A3517" s="10">
        <v>734</v>
      </c>
      <c r="B3517" s="10" t="s">
        <v>37</v>
      </c>
      <c r="C3517" s="10" t="s">
        <v>14</v>
      </c>
      <c r="D3517" s="17">
        <v>599.99</v>
      </c>
    </row>
    <row r="3518" spans="1:4" x14ac:dyDescent="0.3">
      <c r="A3518" s="12"/>
      <c r="B3518" s="12"/>
      <c r="C3518" s="14" t="s">
        <v>114</v>
      </c>
      <c r="D3518" s="18">
        <v>693.98</v>
      </c>
    </row>
    <row r="3519" spans="1:4" x14ac:dyDescent="0.3">
      <c r="A3519" s="12"/>
      <c r="B3519" s="12"/>
      <c r="C3519" s="14" t="s">
        <v>83</v>
      </c>
      <c r="D3519" s="18">
        <v>219.98</v>
      </c>
    </row>
    <row r="3520" spans="1:4" x14ac:dyDescent="0.3">
      <c r="A3520" s="12"/>
      <c r="B3520" s="12"/>
      <c r="C3520" s="14" t="s">
        <v>20</v>
      </c>
      <c r="D3520" s="18">
        <v>999.99</v>
      </c>
    </row>
    <row r="3521" spans="1:4" x14ac:dyDescent="0.3">
      <c r="A3521" s="12"/>
      <c r="B3521" s="10" t="s">
        <v>1917</v>
      </c>
      <c r="C3521" s="11"/>
      <c r="D3521" s="17">
        <v>2513.94</v>
      </c>
    </row>
    <row r="3522" spans="1:4" x14ac:dyDescent="0.3">
      <c r="A3522" s="10" t="s">
        <v>1030</v>
      </c>
      <c r="B3522" s="11"/>
      <c r="C3522" s="11"/>
      <c r="D3522" s="17">
        <v>2513.94</v>
      </c>
    </row>
    <row r="3523" spans="1:4" x14ac:dyDescent="0.3">
      <c r="A3523" s="10">
        <v>735</v>
      </c>
      <c r="B3523" s="10" t="s">
        <v>37</v>
      </c>
      <c r="C3523" s="10" t="s">
        <v>78</v>
      </c>
      <c r="D3523" s="17">
        <v>833.98</v>
      </c>
    </row>
    <row r="3524" spans="1:4" x14ac:dyDescent="0.3">
      <c r="A3524" s="12"/>
      <c r="B3524" s="12"/>
      <c r="C3524" s="14" t="s">
        <v>13</v>
      </c>
      <c r="D3524" s="18">
        <v>3098</v>
      </c>
    </row>
    <row r="3525" spans="1:4" x14ac:dyDescent="0.3">
      <c r="A3525" s="12"/>
      <c r="B3525" s="10" t="s">
        <v>1917</v>
      </c>
      <c r="C3525" s="11"/>
      <c r="D3525" s="17">
        <v>3931.98</v>
      </c>
    </row>
    <row r="3526" spans="1:4" x14ac:dyDescent="0.3">
      <c r="A3526" s="10" t="s">
        <v>1031</v>
      </c>
      <c r="B3526" s="11"/>
      <c r="C3526" s="11"/>
      <c r="D3526" s="17">
        <v>3931.98</v>
      </c>
    </row>
    <row r="3527" spans="1:4" x14ac:dyDescent="0.3">
      <c r="A3527" s="10">
        <v>736</v>
      </c>
      <c r="B3527" s="10" t="s">
        <v>18</v>
      </c>
      <c r="C3527" s="10" t="s">
        <v>23</v>
      </c>
      <c r="D3527" s="17">
        <v>429</v>
      </c>
    </row>
    <row r="3528" spans="1:4" x14ac:dyDescent="0.3">
      <c r="A3528" s="12"/>
      <c r="B3528" s="12"/>
      <c r="C3528" s="14" t="s">
        <v>50</v>
      </c>
      <c r="D3528" s="18">
        <v>6999.98</v>
      </c>
    </row>
    <row r="3529" spans="1:4" x14ac:dyDescent="0.3">
      <c r="A3529" s="12"/>
      <c r="B3529" s="12"/>
      <c r="C3529" s="14" t="s">
        <v>41</v>
      </c>
      <c r="D3529" s="18">
        <v>10999.98</v>
      </c>
    </row>
    <row r="3530" spans="1:4" x14ac:dyDescent="0.3">
      <c r="A3530" s="12"/>
      <c r="B3530" s="10" t="s">
        <v>1916</v>
      </c>
      <c r="C3530" s="11"/>
      <c r="D3530" s="17">
        <v>18428.96</v>
      </c>
    </row>
    <row r="3531" spans="1:4" x14ac:dyDescent="0.3">
      <c r="A3531" s="10" t="s">
        <v>1032</v>
      </c>
      <c r="B3531" s="11"/>
      <c r="C3531" s="11"/>
      <c r="D3531" s="17">
        <v>18428.96</v>
      </c>
    </row>
    <row r="3532" spans="1:4" x14ac:dyDescent="0.3">
      <c r="A3532" s="10">
        <v>737</v>
      </c>
      <c r="B3532" s="10" t="s">
        <v>18</v>
      </c>
      <c r="C3532" s="10" t="s">
        <v>113</v>
      </c>
      <c r="D3532" s="17">
        <v>1599.98</v>
      </c>
    </row>
    <row r="3533" spans="1:4" x14ac:dyDescent="0.3">
      <c r="A3533" s="12"/>
      <c r="B3533" s="12"/>
      <c r="C3533" s="14" t="s">
        <v>36</v>
      </c>
      <c r="D3533" s="18">
        <v>898</v>
      </c>
    </row>
    <row r="3534" spans="1:4" x14ac:dyDescent="0.3">
      <c r="A3534" s="12"/>
      <c r="B3534" s="12"/>
      <c r="C3534" s="14" t="s">
        <v>68</v>
      </c>
      <c r="D3534" s="18">
        <v>875.99</v>
      </c>
    </row>
    <row r="3535" spans="1:4" x14ac:dyDescent="0.3">
      <c r="A3535" s="12"/>
      <c r="B3535" s="12"/>
      <c r="C3535" s="14" t="s">
        <v>107</v>
      </c>
      <c r="D3535" s="18">
        <v>469.99</v>
      </c>
    </row>
    <row r="3536" spans="1:4" x14ac:dyDescent="0.3">
      <c r="A3536" s="12"/>
      <c r="B3536" s="10" t="s">
        <v>1916</v>
      </c>
      <c r="C3536" s="11"/>
      <c r="D3536" s="17">
        <v>3843.96</v>
      </c>
    </row>
    <row r="3537" spans="1:4" x14ac:dyDescent="0.3">
      <c r="A3537" s="10" t="s">
        <v>1033</v>
      </c>
      <c r="B3537" s="11"/>
      <c r="C3537" s="11"/>
      <c r="D3537" s="17">
        <v>3843.96</v>
      </c>
    </row>
    <row r="3538" spans="1:4" x14ac:dyDescent="0.3">
      <c r="A3538" s="10">
        <v>738</v>
      </c>
      <c r="B3538" s="10" t="s">
        <v>11</v>
      </c>
      <c r="C3538" s="10" t="s">
        <v>100</v>
      </c>
      <c r="D3538" s="17">
        <v>1319.98</v>
      </c>
    </row>
    <row r="3539" spans="1:4" x14ac:dyDescent="0.3">
      <c r="A3539" s="12"/>
      <c r="B3539" s="12"/>
      <c r="C3539" s="14" t="s">
        <v>35</v>
      </c>
      <c r="D3539" s="18">
        <v>499.99</v>
      </c>
    </row>
    <row r="3540" spans="1:4" x14ac:dyDescent="0.3">
      <c r="A3540" s="12"/>
      <c r="B3540" s="12"/>
      <c r="C3540" s="14" t="s">
        <v>93</v>
      </c>
      <c r="D3540" s="18">
        <v>1099.98</v>
      </c>
    </row>
    <row r="3541" spans="1:4" x14ac:dyDescent="0.3">
      <c r="A3541" s="12"/>
      <c r="B3541" s="12"/>
      <c r="C3541" s="14" t="s">
        <v>75</v>
      </c>
      <c r="D3541" s="18">
        <v>3499.99</v>
      </c>
    </row>
    <row r="3542" spans="1:4" x14ac:dyDescent="0.3">
      <c r="A3542" s="12"/>
      <c r="B3542" s="10" t="s">
        <v>1915</v>
      </c>
      <c r="C3542" s="11"/>
      <c r="D3542" s="17">
        <v>6419.94</v>
      </c>
    </row>
    <row r="3543" spans="1:4" x14ac:dyDescent="0.3">
      <c r="A3543" s="10" t="s">
        <v>1034</v>
      </c>
      <c r="B3543" s="11"/>
      <c r="C3543" s="11"/>
      <c r="D3543" s="17">
        <v>6419.94</v>
      </c>
    </row>
    <row r="3544" spans="1:4" x14ac:dyDescent="0.3">
      <c r="A3544" s="10">
        <v>739</v>
      </c>
      <c r="B3544" s="10" t="s">
        <v>18</v>
      </c>
      <c r="C3544" s="10" t="s">
        <v>20</v>
      </c>
      <c r="D3544" s="17">
        <v>999.99</v>
      </c>
    </row>
    <row r="3545" spans="1:4" x14ac:dyDescent="0.3">
      <c r="A3545" s="12"/>
      <c r="B3545" s="10" t="s">
        <v>1916</v>
      </c>
      <c r="C3545" s="11"/>
      <c r="D3545" s="17">
        <v>999.99</v>
      </c>
    </row>
    <row r="3546" spans="1:4" x14ac:dyDescent="0.3">
      <c r="A3546" s="10" t="s">
        <v>1035</v>
      </c>
      <c r="B3546" s="11"/>
      <c r="C3546" s="11"/>
      <c r="D3546" s="17">
        <v>999.99</v>
      </c>
    </row>
    <row r="3547" spans="1:4" x14ac:dyDescent="0.3">
      <c r="A3547" s="10">
        <v>740</v>
      </c>
      <c r="B3547" s="10" t="s">
        <v>18</v>
      </c>
      <c r="C3547" s="10" t="s">
        <v>99</v>
      </c>
      <c r="D3547" s="17">
        <v>1099.99</v>
      </c>
    </row>
    <row r="3548" spans="1:4" x14ac:dyDescent="0.3">
      <c r="A3548" s="12"/>
      <c r="B3548" s="12"/>
      <c r="C3548" s="14" t="s">
        <v>25</v>
      </c>
      <c r="D3548" s="18">
        <v>1099.98</v>
      </c>
    </row>
    <row r="3549" spans="1:4" x14ac:dyDescent="0.3">
      <c r="A3549" s="12"/>
      <c r="B3549" s="12"/>
      <c r="C3549" s="14" t="s">
        <v>59</v>
      </c>
      <c r="D3549" s="18">
        <v>499.98</v>
      </c>
    </row>
    <row r="3550" spans="1:4" x14ac:dyDescent="0.3">
      <c r="A3550" s="12"/>
      <c r="B3550" s="12"/>
      <c r="C3550" s="14" t="s">
        <v>36</v>
      </c>
      <c r="D3550" s="18">
        <v>449</v>
      </c>
    </row>
    <row r="3551" spans="1:4" x14ac:dyDescent="0.3">
      <c r="A3551" s="12"/>
      <c r="B3551" s="12"/>
      <c r="C3551" s="14" t="s">
        <v>30</v>
      </c>
      <c r="D3551" s="18">
        <v>1680.99</v>
      </c>
    </row>
    <row r="3552" spans="1:4" x14ac:dyDescent="0.3">
      <c r="A3552" s="12"/>
      <c r="B3552" s="10" t="s">
        <v>1916</v>
      </c>
      <c r="C3552" s="11"/>
      <c r="D3552" s="17">
        <v>4829.9400000000005</v>
      </c>
    </row>
    <row r="3553" spans="1:4" x14ac:dyDescent="0.3">
      <c r="A3553" s="10" t="s">
        <v>1036</v>
      </c>
      <c r="B3553" s="11"/>
      <c r="C3553" s="11"/>
      <c r="D3553" s="17">
        <v>4829.9400000000005</v>
      </c>
    </row>
    <row r="3554" spans="1:4" x14ac:dyDescent="0.3">
      <c r="A3554" s="10">
        <v>741</v>
      </c>
      <c r="B3554" s="10" t="s">
        <v>37</v>
      </c>
      <c r="C3554" s="10" t="s">
        <v>31</v>
      </c>
      <c r="D3554" s="17">
        <v>539.98</v>
      </c>
    </row>
    <row r="3555" spans="1:4" x14ac:dyDescent="0.3">
      <c r="A3555" s="12"/>
      <c r="B3555" s="12"/>
      <c r="C3555" s="14" t="s">
        <v>48</v>
      </c>
      <c r="D3555" s="18">
        <v>299.99</v>
      </c>
    </row>
    <row r="3556" spans="1:4" x14ac:dyDescent="0.3">
      <c r="A3556" s="12"/>
      <c r="B3556" s="12"/>
      <c r="C3556" s="14" t="s">
        <v>41</v>
      </c>
      <c r="D3556" s="18">
        <v>10999.98</v>
      </c>
    </row>
    <row r="3557" spans="1:4" x14ac:dyDescent="0.3">
      <c r="A3557" s="12"/>
      <c r="B3557" s="12"/>
      <c r="C3557" s="14" t="s">
        <v>81</v>
      </c>
      <c r="D3557" s="18">
        <v>4999.99</v>
      </c>
    </row>
    <row r="3558" spans="1:4" x14ac:dyDescent="0.3">
      <c r="A3558" s="12"/>
      <c r="B3558" s="10" t="s">
        <v>1917</v>
      </c>
      <c r="C3558" s="11"/>
      <c r="D3558" s="17">
        <v>16839.939999999999</v>
      </c>
    </row>
    <row r="3559" spans="1:4" x14ac:dyDescent="0.3">
      <c r="A3559" s="10" t="s">
        <v>1037</v>
      </c>
      <c r="B3559" s="11"/>
      <c r="C3559" s="11"/>
      <c r="D3559" s="17">
        <v>16839.939999999999</v>
      </c>
    </row>
    <row r="3560" spans="1:4" x14ac:dyDescent="0.3">
      <c r="A3560" s="10">
        <v>742</v>
      </c>
      <c r="B3560" s="10" t="s">
        <v>37</v>
      </c>
      <c r="C3560" s="10" t="s">
        <v>88</v>
      </c>
      <c r="D3560" s="17">
        <v>869.99</v>
      </c>
    </row>
    <row r="3561" spans="1:4" x14ac:dyDescent="0.3">
      <c r="A3561" s="12"/>
      <c r="B3561" s="12"/>
      <c r="C3561" s="14" t="s">
        <v>89</v>
      </c>
      <c r="D3561" s="18">
        <v>833.98</v>
      </c>
    </row>
    <row r="3562" spans="1:4" x14ac:dyDescent="0.3">
      <c r="A3562" s="12"/>
      <c r="B3562" s="10" t="s">
        <v>1917</v>
      </c>
      <c r="C3562" s="11"/>
      <c r="D3562" s="17">
        <v>1703.97</v>
      </c>
    </row>
    <row r="3563" spans="1:4" x14ac:dyDescent="0.3">
      <c r="A3563" s="10" t="s">
        <v>1038</v>
      </c>
      <c r="B3563" s="11"/>
      <c r="C3563" s="11"/>
      <c r="D3563" s="17">
        <v>1703.97</v>
      </c>
    </row>
    <row r="3564" spans="1:4" x14ac:dyDescent="0.3">
      <c r="A3564" s="10">
        <v>743</v>
      </c>
      <c r="B3564" s="10" t="s">
        <v>18</v>
      </c>
      <c r="C3564" s="10" t="s">
        <v>63</v>
      </c>
      <c r="D3564" s="17">
        <v>761.99</v>
      </c>
    </row>
    <row r="3565" spans="1:4" x14ac:dyDescent="0.3">
      <c r="A3565" s="12"/>
      <c r="B3565" s="10" t="s">
        <v>1916</v>
      </c>
      <c r="C3565" s="11"/>
      <c r="D3565" s="17">
        <v>761.99</v>
      </c>
    </row>
    <row r="3566" spans="1:4" x14ac:dyDescent="0.3">
      <c r="A3566" s="10" t="s">
        <v>1039</v>
      </c>
      <c r="B3566" s="11"/>
      <c r="C3566" s="11"/>
      <c r="D3566" s="17">
        <v>761.99</v>
      </c>
    </row>
    <row r="3567" spans="1:4" x14ac:dyDescent="0.3">
      <c r="A3567" s="10">
        <v>744</v>
      </c>
      <c r="B3567" s="10" t="s">
        <v>18</v>
      </c>
      <c r="C3567" s="10" t="s">
        <v>67</v>
      </c>
      <c r="D3567" s="17">
        <v>939.98</v>
      </c>
    </row>
    <row r="3568" spans="1:4" x14ac:dyDescent="0.3">
      <c r="A3568" s="12"/>
      <c r="B3568" s="10" t="s">
        <v>1916</v>
      </c>
      <c r="C3568" s="11"/>
      <c r="D3568" s="17">
        <v>939.98</v>
      </c>
    </row>
    <row r="3569" spans="1:4" x14ac:dyDescent="0.3">
      <c r="A3569" s="10" t="s">
        <v>1040</v>
      </c>
      <c r="B3569" s="11"/>
      <c r="C3569" s="11"/>
      <c r="D3569" s="17">
        <v>939.98</v>
      </c>
    </row>
    <row r="3570" spans="1:4" x14ac:dyDescent="0.3">
      <c r="A3570" s="10">
        <v>745</v>
      </c>
      <c r="B3570" s="10" t="s">
        <v>18</v>
      </c>
      <c r="C3570" s="10" t="s">
        <v>28</v>
      </c>
      <c r="D3570" s="17">
        <v>539.98</v>
      </c>
    </row>
    <row r="3571" spans="1:4" x14ac:dyDescent="0.3">
      <c r="A3571" s="12"/>
      <c r="B3571" s="12"/>
      <c r="C3571" s="14" t="s">
        <v>48</v>
      </c>
      <c r="D3571" s="18">
        <v>599.98</v>
      </c>
    </row>
    <row r="3572" spans="1:4" x14ac:dyDescent="0.3">
      <c r="A3572" s="12"/>
      <c r="B3572" s="12"/>
      <c r="C3572" s="14" t="s">
        <v>57</v>
      </c>
      <c r="D3572" s="18">
        <v>647.99</v>
      </c>
    </row>
    <row r="3573" spans="1:4" x14ac:dyDescent="0.3">
      <c r="A3573" s="12"/>
      <c r="B3573" s="10" t="s">
        <v>1916</v>
      </c>
      <c r="C3573" s="11"/>
      <c r="D3573" s="17">
        <v>1787.95</v>
      </c>
    </row>
    <row r="3574" spans="1:4" x14ac:dyDescent="0.3">
      <c r="A3574" s="10" t="s">
        <v>1041</v>
      </c>
      <c r="B3574" s="11"/>
      <c r="C3574" s="11"/>
      <c r="D3574" s="17">
        <v>1787.95</v>
      </c>
    </row>
    <row r="3575" spans="1:4" x14ac:dyDescent="0.3">
      <c r="A3575" s="10">
        <v>746</v>
      </c>
      <c r="B3575" s="10" t="s">
        <v>11</v>
      </c>
      <c r="C3575" s="10" t="s">
        <v>52</v>
      </c>
      <c r="D3575" s="17">
        <v>299.99</v>
      </c>
    </row>
    <row r="3576" spans="1:4" x14ac:dyDescent="0.3">
      <c r="A3576" s="12"/>
      <c r="B3576" s="10" t="s">
        <v>1915</v>
      </c>
      <c r="C3576" s="11"/>
      <c r="D3576" s="17">
        <v>299.99</v>
      </c>
    </row>
    <row r="3577" spans="1:4" x14ac:dyDescent="0.3">
      <c r="A3577" s="10" t="s">
        <v>1042</v>
      </c>
      <c r="B3577" s="11"/>
      <c r="C3577" s="11"/>
      <c r="D3577" s="17">
        <v>299.99</v>
      </c>
    </row>
    <row r="3578" spans="1:4" x14ac:dyDescent="0.3">
      <c r="A3578" s="10">
        <v>747</v>
      </c>
      <c r="B3578" s="10" t="s">
        <v>11</v>
      </c>
      <c r="C3578" s="10" t="s">
        <v>99</v>
      </c>
      <c r="D3578" s="17">
        <v>1099.99</v>
      </c>
    </row>
    <row r="3579" spans="1:4" x14ac:dyDescent="0.3">
      <c r="A3579" s="12"/>
      <c r="B3579" s="12"/>
      <c r="C3579" s="14" t="s">
        <v>65</v>
      </c>
      <c r="D3579" s="18">
        <v>470.99</v>
      </c>
    </row>
    <row r="3580" spans="1:4" x14ac:dyDescent="0.3">
      <c r="A3580" s="12"/>
      <c r="B3580" s="12"/>
      <c r="C3580" s="14" t="s">
        <v>67</v>
      </c>
      <c r="D3580" s="18">
        <v>939.98</v>
      </c>
    </row>
    <row r="3581" spans="1:4" x14ac:dyDescent="0.3">
      <c r="A3581" s="12"/>
      <c r="B3581" s="12"/>
      <c r="C3581" s="14" t="s">
        <v>115</v>
      </c>
      <c r="D3581" s="18">
        <v>149.99</v>
      </c>
    </row>
    <row r="3582" spans="1:4" x14ac:dyDescent="0.3">
      <c r="A3582" s="12"/>
      <c r="B3582" s="10" t="s">
        <v>1915</v>
      </c>
      <c r="C3582" s="11"/>
      <c r="D3582" s="17">
        <v>2660.95</v>
      </c>
    </row>
    <row r="3583" spans="1:4" x14ac:dyDescent="0.3">
      <c r="A3583" s="10" t="s">
        <v>1043</v>
      </c>
      <c r="B3583" s="11"/>
      <c r="C3583" s="11"/>
      <c r="D3583" s="17">
        <v>2660.95</v>
      </c>
    </row>
    <row r="3584" spans="1:4" x14ac:dyDescent="0.3">
      <c r="A3584" s="10">
        <v>748</v>
      </c>
      <c r="B3584" s="10" t="s">
        <v>37</v>
      </c>
      <c r="C3584" s="10" t="s">
        <v>14</v>
      </c>
      <c r="D3584" s="17">
        <v>1199.98</v>
      </c>
    </row>
    <row r="3585" spans="1:4" x14ac:dyDescent="0.3">
      <c r="A3585" s="12"/>
      <c r="B3585" s="12"/>
      <c r="C3585" s="14" t="s">
        <v>77</v>
      </c>
      <c r="D3585" s="18">
        <v>1469.99</v>
      </c>
    </row>
    <row r="3586" spans="1:4" x14ac:dyDescent="0.3">
      <c r="A3586" s="12"/>
      <c r="B3586" s="12"/>
      <c r="C3586" s="14" t="s">
        <v>109</v>
      </c>
      <c r="D3586" s="18">
        <v>1665.98</v>
      </c>
    </row>
    <row r="3587" spans="1:4" x14ac:dyDescent="0.3">
      <c r="A3587" s="12"/>
      <c r="B3587" s="12"/>
      <c r="C3587" s="14" t="s">
        <v>66</v>
      </c>
      <c r="D3587" s="18">
        <v>299.98</v>
      </c>
    </row>
    <row r="3588" spans="1:4" x14ac:dyDescent="0.3">
      <c r="A3588" s="12"/>
      <c r="B3588" s="10" t="s">
        <v>1917</v>
      </c>
      <c r="C3588" s="11"/>
      <c r="D3588" s="17">
        <v>4635.93</v>
      </c>
    </row>
    <row r="3589" spans="1:4" x14ac:dyDescent="0.3">
      <c r="A3589" s="10" t="s">
        <v>1044</v>
      </c>
      <c r="B3589" s="11"/>
      <c r="C3589" s="11"/>
      <c r="D3589" s="17">
        <v>4635.93</v>
      </c>
    </row>
    <row r="3590" spans="1:4" x14ac:dyDescent="0.3">
      <c r="A3590" s="10">
        <v>749</v>
      </c>
      <c r="B3590" s="10" t="s">
        <v>18</v>
      </c>
      <c r="C3590" s="10" t="s">
        <v>25</v>
      </c>
      <c r="D3590" s="17">
        <v>549.99</v>
      </c>
    </row>
    <row r="3591" spans="1:4" x14ac:dyDescent="0.3">
      <c r="A3591" s="12"/>
      <c r="B3591" s="12"/>
      <c r="C3591" s="14" t="s">
        <v>58</v>
      </c>
      <c r="D3591" s="18">
        <v>402.99</v>
      </c>
    </row>
    <row r="3592" spans="1:4" x14ac:dyDescent="0.3">
      <c r="A3592" s="12"/>
      <c r="B3592" s="12"/>
      <c r="C3592" s="14" t="s">
        <v>86</v>
      </c>
      <c r="D3592" s="18">
        <v>2499.9899999999998</v>
      </c>
    </row>
    <row r="3593" spans="1:4" x14ac:dyDescent="0.3">
      <c r="A3593" s="12"/>
      <c r="B3593" s="12"/>
      <c r="C3593" s="14" t="s">
        <v>26</v>
      </c>
      <c r="D3593" s="18">
        <v>2999.99</v>
      </c>
    </row>
    <row r="3594" spans="1:4" x14ac:dyDescent="0.3">
      <c r="A3594" s="12"/>
      <c r="B3594" s="12"/>
      <c r="C3594" s="14" t="s">
        <v>104</v>
      </c>
      <c r="D3594" s="18">
        <v>4999.99</v>
      </c>
    </row>
    <row r="3595" spans="1:4" x14ac:dyDescent="0.3">
      <c r="A3595" s="12"/>
      <c r="B3595" s="10" t="s">
        <v>1916</v>
      </c>
      <c r="C3595" s="11"/>
      <c r="D3595" s="17">
        <v>11452.949999999999</v>
      </c>
    </row>
    <row r="3596" spans="1:4" x14ac:dyDescent="0.3">
      <c r="A3596" s="10" t="s">
        <v>1045</v>
      </c>
      <c r="B3596" s="11"/>
      <c r="C3596" s="11"/>
      <c r="D3596" s="17">
        <v>11452.949999999999</v>
      </c>
    </row>
    <row r="3597" spans="1:4" x14ac:dyDescent="0.3">
      <c r="A3597" s="10">
        <v>750</v>
      </c>
      <c r="B3597" s="10" t="s">
        <v>37</v>
      </c>
      <c r="C3597" s="10" t="s">
        <v>44</v>
      </c>
      <c r="D3597" s="17">
        <v>619.99</v>
      </c>
    </row>
    <row r="3598" spans="1:4" x14ac:dyDescent="0.3">
      <c r="A3598" s="12"/>
      <c r="B3598" s="12"/>
      <c r="C3598" s="14" t="s">
        <v>57</v>
      </c>
      <c r="D3598" s="18">
        <v>1295.98</v>
      </c>
    </row>
    <row r="3599" spans="1:4" x14ac:dyDescent="0.3">
      <c r="A3599" s="12"/>
      <c r="B3599" s="10" t="s">
        <v>1917</v>
      </c>
      <c r="C3599" s="11"/>
      <c r="D3599" s="17">
        <v>1915.97</v>
      </c>
    </row>
    <row r="3600" spans="1:4" x14ac:dyDescent="0.3">
      <c r="A3600" s="10" t="s">
        <v>1046</v>
      </c>
      <c r="B3600" s="11"/>
      <c r="C3600" s="11"/>
      <c r="D3600" s="17">
        <v>1915.97</v>
      </c>
    </row>
    <row r="3601" spans="1:4" x14ac:dyDescent="0.3">
      <c r="A3601" s="10">
        <v>751</v>
      </c>
      <c r="B3601" s="10" t="s">
        <v>11</v>
      </c>
      <c r="C3601" s="10" t="s">
        <v>88</v>
      </c>
      <c r="D3601" s="17">
        <v>1739.98</v>
      </c>
    </row>
    <row r="3602" spans="1:4" x14ac:dyDescent="0.3">
      <c r="A3602" s="12"/>
      <c r="B3602" s="10" t="s">
        <v>1915</v>
      </c>
      <c r="C3602" s="11"/>
      <c r="D3602" s="17">
        <v>1739.98</v>
      </c>
    </row>
    <row r="3603" spans="1:4" x14ac:dyDescent="0.3">
      <c r="A3603" s="10" t="s">
        <v>1047</v>
      </c>
      <c r="B3603" s="11"/>
      <c r="C3603" s="11"/>
      <c r="D3603" s="17">
        <v>1739.98</v>
      </c>
    </row>
    <row r="3604" spans="1:4" x14ac:dyDescent="0.3">
      <c r="A3604" s="10">
        <v>752</v>
      </c>
      <c r="B3604" s="10" t="s">
        <v>18</v>
      </c>
      <c r="C3604" s="10" t="s">
        <v>25</v>
      </c>
      <c r="D3604" s="17">
        <v>1099.98</v>
      </c>
    </row>
    <row r="3605" spans="1:4" x14ac:dyDescent="0.3">
      <c r="A3605" s="12"/>
      <c r="B3605" s="12"/>
      <c r="C3605" s="14" t="s">
        <v>102</v>
      </c>
      <c r="D3605" s="18">
        <v>3265.98</v>
      </c>
    </row>
    <row r="3606" spans="1:4" x14ac:dyDescent="0.3">
      <c r="A3606" s="12"/>
      <c r="B3606" s="10" t="s">
        <v>1916</v>
      </c>
      <c r="C3606" s="11"/>
      <c r="D3606" s="17">
        <v>4365.96</v>
      </c>
    </row>
    <row r="3607" spans="1:4" x14ac:dyDescent="0.3">
      <c r="A3607" s="10" t="s">
        <v>1048</v>
      </c>
      <c r="B3607" s="11"/>
      <c r="C3607" s="11"/>
      <c r="D3607" s="17">
        <v>4365.96</v>
      </c>
    </row>
    <row r="3608" spans="1:4" x14ac:dyDescent="0.3">
      <c r="A3608" s="10">
        <v>753</v>
      </c>
      <c r="B3608" s="10" t="s">
        <v>18</v>
      </c>
      <c r="C3608" s="10" t="s">
        <v>48</v>
      </c>
      <c r="D3608" s="17">
        <v>299.99</v>
      </c>
    </row>
    <row r="3609" spans="1:4" x14ac:dyDescent="0.3">
      <c r="A3609" s="12"/>
      <c r="B3609" s="12"/>
      <c r="C3609" s="14" t="s">
        <v>92</v>
      </c>
      <c r="D3609" s="18">
        <v>250.99</v>
      </c>
    </row>
    <row r="3610" spans="1:4" x14ac:dyDescent="0.3">
      <c r="A3610" s="12"/>
      <c r="B3610" s="12"/>
      <c r="C3610" s="14" t="s">
        <v>96</v>
      </c>
      <c r="D3610" s="18">
        <v>1067.98</v>
      </c>
    </row>
    <row r="3611" spans="1:4" x14ac:dyDescent="0.3">
      <c r="A3611" s="12"/>
      <c r="B3611" s="12"/>
      <c r="C3611" s="14" t="s">
        <v>116</v>
      </c>
      <c r="D3611" s="18">
        <v>1665.98</v>
      </c>
    </row>
    <row r="3612" spans="1:4" x14ac:dyDescent="0.3">
      <c r="A3612" s="12"/>
      <c r="B3612" s="12"/>
      <c r="C3612" s="14" t="s">
        <v>29</v>
      </c>
      <c r="D3612" s="18">
        <v>7999.98</v>
      </c>
    </row>
    <row r="3613" spans="1:4" x14ac:dyDescent="0.3">
      <c r="A3613" s="12"/>
      <c r="B3613" s="10" t="s">
        <v>1916</v>
      </c>
      <c r="C3613" s="11"/>
      <c r="D3613" s="17">
        <v>11284.92</v>
      </c>
    </row>
    <row r="3614" spans="1:4" x14ac:dyDescent="0.3">
      <c r="A3614" s="10" t="s">
        <v>1049</v>
      </c>
      <c r="B3614" s="11"/>
      <c r="C3614" s="11"/>
      <c r="D3614" s="17">
        <v>11284.92</v>
      </c>
    </row>
    <row r="3615" spans="1:4" x14ac:dyDescent="0.3">
      <c r="A3615" s="10">
        <v>754</v>
      </c>
      <c r="B3615" s="10" t="s">
        <v>11</v>
      </c>
      <c r="C3615" s="10" t="s">
        <v>61</v>
      </c>
      <c r="D3615" s="17">
        <v>879.98</v>
      </c>
    </row>
    <row r="3616" spans="1:4" x14ac:dyDescent="0.3">
      <c r="A3616" s="12"/>
      <c r="B3616" s="12"/>
      <c r="C3616" s="14" t="s">
        <v>25</v>
      </c>
      <c r="D3616" s="18">
        <v>1099.98</v>
      </c>
    </row>
    <row r="3617" spans="1:4" x14ac:dyDescent="0.3">
      <c r="A3617" s="12"/>
      <c r="B3617" s="12"/>
      <c r="C3617" s="14" t="s">
        <v>60</v>
      </c>
      <c r="D3617" s="18">
        <v>501.98</v>
      </c>
    </row>
    <row r="3618" spans="1:4" x14ac:dyDescent="0.3">
      <c r="A3618" s="12"/>
      <c r="B3618" s="12"/>
      <c r="C3618" s="14" t="s">
        <v>20</v>
      </c>
      <c r="D3618" s="18">
        <v>999.99</v>
      </c>
    </row>
    <row r="3619" spans="1:4" x14ac:dyDescent="0.3">
      <c r="A3619" s="12"/>
      <c r="B3619" s="12"/>
      <c r="C3619" s="14" t="s">
        <v>29</v>
      </c>
      <c r="D3619" s="18">
        <v>3999.99</v>
      </c>
    </row>
    <row r="3620" spans="1:4" x14ac:dyDescent="0.3">
      <c r="A3620" s="12"/>
      <c r="B3620" s="10" t="s">
        <v>1915</v>
      </c>
      <c r="C3620" s="11"/>
      <c r="D3620" s="17">
        <v>7481.92</v>
      </c>
    </row>
    <row r="3621" spans="1:4" x14ac:dyDescent="0.3">
      <c r="A3621" s="10" t="s">
        <v>1050</v>
      </c>
      <c r="B3621" s="11"/>
      <c r="C3621" s="11"/>
      <c r="D3621" s="17">
        <v>7481.92</v>
      </c>
    </row>
    <row r="3622" spans="1:4" x14ac:dyDescent="0.3">
      <c r="A3622" s="10">
        <v>755</v>
      </c>
      <c r="B3622" s="10" t="s">
        <v>18</v>
      </c>
      <c r="C3622" s="10" t="s">
        <v>63</v>
      </c>
      <c r="D3622" s="17">
        <v>1523.98</v>
      </c>
    </row>
    <row r="3623" spans="1:4" x14ac:dyDescent="0.3">
      <c r="A3623" s="12"/>
      <c r="B3623" s="12"/>
      <c r="C3623" s="14" t="s">
        <v>103</v>
      </c>
      <c r="D3623" s="18">
        <v>3999.98</v>
      </c>
    </row>
    <row r="3624" spans="1:4" x14ac:dyDescent="0.3">
      <c r="A3624" s="12"/>
      <c r="B3624" s="12"/>
      <c r="C3624" s="14" t="s">
        <v>62</v>
      </c>
      <c r="D3624" s="18">
        <v>10599.98</v>
      </c>
    </row>
    <row r="3625" spans="1:4" x14ac:dyDescent="0.3">
      <c r="A3625" s="12"/>
      <c r="B3625" s="10" t="s">
        <v>1916</v>
      </c>
      <c r="C3625" s="11"/>
      <c r="D3625" s="17">
        <v>16123.939999999999</v>
      </c>
    </row>
    <row r="3626" spans="1:4" x14ac:dyDescent="0.3">
      <c r="A3626" s="10" t="s">
        <v>1051</v>
      </c>
      <c r="B3626" s="11"/>
      <c r="C3626" s="11"/>
      <c r="D3626" s="17">
        <v>16123.939999999999</v>
      </c>
    </row>
    <row r="3627" spans="1:4" x14ac:dyDescent="0.3">
      <c r="A3627" s="10">
        <v>756</v>
      </c>
      <c r="B3627" s="10" t="s">
        <v>18</v>
      </c>
      <c r="C3627" s="10" t="s">
        <v>51</v>
      </c>
      <c r="D3627" s="17">
        <v>489.99</v>
      </c>
    </row>
    <row r="3628" spans="1:4" x14ac:dyDescent="0.3">
      <c r="A3628" s="12"/>
      <c r="B3628" s="12"/>
      <c r="C3628" s="14" t="s">
        <v>23</v>
      </c>
      <c r="D3628" s="18">
        <v>858</v>
      </c>
    </row>
    <row r="3629" spans="1:4" x14ac:dyDescent="0.3">
      <c r="A3629" s="12"/>
      <c r="B3629" s="10" t="s">
        <v>1916</v>
      </c>
      <c r="C3629" s="11"/>
      <c r="D3629" s="17">
        <v>1347.99</v>
      </c>
    </row>
    <row r="3630" spans="1:4" x14ac:dyDescent="0.3">
      <c r="A3630" s="10" t="s">
        <v>1052</v>
      </c>
      <c r="B3630" s="11"/>
      <c r="C3630" s="11"/>
      <c r="D3630" s="17">
        <v>1347.99</v>
      </c>
    </row>
    <row r="3631" spans="1:4" x14ac:dyDescent="0.3">
      <c r="A3631" s="10">
        <v>757</v>
      </c>
      <c r="B3631" s="10" t="s">
        <v>18</v>
      </c>
      <c r="C3631" s="10" t="s">
        <v>48</v>
      </c>
      <c r="D3631" s="17">
        <v>299.99</v>
      </c>
    </row>
    <row r="3632" spans="1:4" x14ac:dyDescent="0.3">
      <c r="A3632" s="12"/>
      <c r="B3632" s="10" t="s">
        <v>1916</v>
      </c>
      <c r="C3632" s="11"/>
      <c r="D3632" s="17">
        <v>299.99</v>
      </c>
    </row>
    <row r="3633" spans="1:4" x14ac:dyDescent="0.3">
      <c r="A3633" s="10" t="s">
        <v>1053</v>
      </c>
      <c r="B3633" s="11"/>
      <c r="C3633" s="11"/>
      <c r="D3633" s="17">
        <v>299.99</v>
      </c>
    </row>
    <row r="3634" spans="1:4" x14ac:dyDescent="0.3">
      <c r="A3634" s="10">
        <v>758</v>
      </c>
      <c r="B3634" s="10" t="s">
        <v>37</v>
      </c>
      <c r="C3634" s="10" t="s">
        <v>28</v>
      </c>
      <c r="D3634" s="17">
        <v>539.98</v>
      </c>
    </row>
    <row r="3635" spans="1:4" x14ac:dyDescent="0.3">
      <c r="A3635" s="12"/>
      <c r="B3635" s="12"/>
      <c r="C3635" s="14" t="s">
        <v>52</v>
      </c>
      <c r="D3635" s="18">
        <v>299.99</v>
      </c>
    </row>
    <row r="3636" spans="1:4" x14ac:dyDescent="0.3">
      <c r="A3636" s="12"/>
      <c r="B3636" s="12"/>
      <c r="C3636" s="14" t="s">
        <v>49</v>
      </c>
      <c r="D3636" s="18">
        <v>416.99</v>
      </c>
    </row>
    <row r="3637" spans="1:4" x14ac:dyDescent="0.3">
      <c r="A3637" s="12"/>
      <c r="B3637" s="12"/>
      <c r="C3637" s="14" t="s">
        <v>114</v>
      </c>
      <c r="D3637" s="18">
        <v>693.98</v>
      </c>
    </row>
    <row r="3638" spans="1:4" x14ac:dyDescent="0.3">
      <c r="A3638" s="12"/>
      <c r="B3638" s="12"/>
      <c r="C3638" s="14" t="s">
        <v>106</v>
      </c>
      <c r="D3638" s="18">
        <v>999.99</v>
      </c>
    </row>
    <row r="3639" spans="1:4" x14ac:dyDescent="0.3">
      <c r="A3639" s="12"/>
      <c r="B3639" s="10" t="s">
        <v>1917</v>
      </c>
      <c r="C3639" s="11"/>
      <c r="D3639" s="17">
        <v>2950.9300000000003</v>
      </c>
    </row>
    <row r="3640" spans="1:4" x14ac:dyDescent="0.3">
      <c r="A3640" s="10" t="s">
        <v>1054</v>
      </c>
      <c r="B3640" s="11"/>
      <c r="C3640" s="11"/>
      <c r="D3640" s="17">
        <v>2950.9300000000003</v>
      </c>
    </row>
    <row r="3641" spans="1:4" x14ac:dyDescent="0.3">
      <c r="A3641" s="10">
        <v>759</v>
      </c>
      <c r="B3641" s="10" t="s">
        <v>18</v>
      </c>
      <c r="C3641" s="10" t="s">
        <v>110</v>
      </c>
      <c r="D3641" s="17">
        <v>419.98</v>
      </c>
    </row>
    <row r="3642" spans="1:4" x14ac:dyDescent="0.3">
      <c r="A3642" s="12"/>
      <c r="B3642" s="12"/>
      <c r="C3642" s="14" t="s">
        <v>57</v>
      </c>
      <c r="D3642" s="18">
        <v>647.99</v>
      </c>
    </row>
    <row r="3643" spans="1:4" x14ac:dyDescent="0.3">
      <c r="A3643" s="12"/>
      <c r="B3643" s="10" t="s">
        <v>1916</v>
      </c>
      <c r="C3643" s="11"/>
      <c r="D3643" s="17">
        <v>1067.97</v>
      </c>
    </row>
    <row r="3644" spans="1:4" x14ac:dyDescent="0.3">
      <c r="A3644" s="10" t="s">
        <v>1055</v>
      </c>
      <c r="B3644" s="11"/>
      <c r="C3644" s="11"/>
      <c r="D3644" s="17">
        <v>1067.97</v>
      </c>
    </row>
    <row r="3645" spans="1:4" x14ac:dyDescent="0.3">
      <c r="A3645" s="10">
        <v>760</v>
      </c>
      <c r="B3645" s="10" t="s">
        <v>18</v>
      </c>
      <c r="C3645" s="10" t="s">
        <v>31</v>
      </c>
      <c r="D3645" s="17">
        <v>539.98</v>
      </c>
    </row>
    <row r="3646" spans="1:4" x14ac:dyDescent="0.3">
      <c r="A3646" s="12"/>
      <c r="B3646" s="12"/>
      <c r="C3646" s="14" t="s">
        <v>71</v>
      </c>
      <c r="D3646" s="18">
        <v>1999.98</v>
      </c>
    </row>
    <row r="3647" spans="1:4" x14ac:dyDescent="0.3">
      <c r="A3647" s="12"/>
      <c r="B3647" s="10" t="s">
        <v>1916</v>
      </c>
      <c r="C3647" s="11"/>
      <c r="D3647" s="17">
        <v>2539.96</v>
      </c>
    </row>
    <row r="3648" spans="1:4" x14ac:dyDescent="0.3">
      <c r="A3648" s="10" t="s">
        <v>1056</v>
      </c>
      <c r="B3648" s="11"/>
      <c r="C3648" s="11"/>
      <c r="D3648" s="17">
        <v>2539.96</v>
      </c>
    </row>
    <row r="3649" spans="1:4" x14ac:dyDescent="0.3">
      <c r="A3649" s="10">
        <v>761</v>
      </c>
      <c r="B3649" s="10" t="s">
        <v>18</v>
      </c>
      <c r="C3649" s="10" t="s">
        <v>68</v>
      </c>
      <c r="D3649" s="17">
        <v>1751.98</v>
      </c>
    </row>
    <row r="3650" spans="1:4" x14ac:dyDescent="0.3">
      <c r="A3650" s="12"/>
      <c r="B3650" s="12"/>
      <c r="C3650" s="14" t="s">
        <v>62</v>
      </c>
      <c r="D3650" s="18">
        <v>5299.99</v>
      </c>
    </row>
    <row r="3651" spans="1:4" x14ac:dyDescent="0.3">
      <c r="A3651" s="12"/>
      <c r="B3651" s="10" t="s">
        <v>1916</v>
      </c>
      <c r="C3651" s="11"/>
      <c r="D3651" s="17">
        <v>7051.9699999999993</v>
      </c>
    </row>
    <row r="3652" spans="1:4" x14ac:dyDescent="0.3">
      <c r="A3652" s="10" t="s">
        <v>1057</v>
      </c>
      <c r="B3652" s="11"/>
      <c r="C3652" s="11"/>
      <c r="D3652" s="17">
        <v>7051.9699999999993</v>
      </c>
    </row>
    <row r="3653" spans="1:4" x14ac:dyDescent="0.3">
      <c r="A3653" s="10">
        <v>762</v>
      </c>
      <c r="B3653" s="10" t="s">
        <v>18</v>
      </c>
      <c r="C3653" s="10" t="s">
        <v>51</v>
      </c>
      <c r="D3653" s="17">
        <v>979.98</v>
      </c>
    </row>
    <row r="3654" spans="1:4" x14ac:dyDescent="0.3">
      <c r="A3654" s="12"/>
      <c r="B3654" s="10" t="s">
        <v>1916</v>
      </c>
      <c r="C3654" s="11"/>
      <c r="D3654" s="17">
        <v>979.98</v>
      </c>
    </row>
    <row r="3655" spans="1:4" x14ac:dyDescent="0.3">
      <c r="A3655" s="10" t="s">
        <v>1058</v>
      </c>
      <c r="B3655" s="11"/>
      <c r="C3655" s="11"/>
      <c r="D3655" s="17">
        <v>979.98</v>
      </c>
    </row>
    <row r="3656" spans="1:4" x14ac:dyDescent="0.3">
      <c r="A3656" s="10">
        <v>763</v>
      </c>
      <c r="B3656" s="10" t="s">
        <v>37</v>
      </c>
      <c r="C3656" s="10" t="s">
        <v>40</v>
      </c>
      <c r="D3656" s="17">
        <v>551.99</v>
      </c>
    </row>
    <row r="3657" spans="1:4" x14ac:dyDescent="0.3">
      <c r="A3657" s="12"/>
      <c r="B3657" s="12"/>
      <c r="C3657" s="14" t="s">
        <v>56</v>
      </c>
      <c r="D3657" s="18">
        <v>209.99</v>
      </c>
    </row>
    <row r="3658" spans="1:4" x14ac:dyDescent="0.3">
      <c r="A3658" s="12"/>
      <c r="B3658" s="10" t="s">
        <v>1917</v>
      </c>
      <c r="C3658" s="11"/>
      <c r="D3658" s="17">
        <v>761.98</v>
      </c>
    </row>
    <row r="3659" spans="1:4" x14ac:dyDescent="0.3">
      <c r="A3659" s="10" t="s">
        <v>1059</v>
      </c>
      <c r="B3659" s="11"/>
      <c r="C3659" s="11"/>
      <c r="D3659" s="17">
        <v>761.98</v>
      </c>
    </row>
    <row r="3660" spans="1:4" x14ac:dyDescent="0.3">
      <c r="A3660" s="10">
        <v>764</v>
      </c>
      <c r="B3660" s="10" t="s">
        <v>11</v>
      </c>
      <c r="C3660" s="10" t="s">
        <v>99</v>
      </c>
      <c r="D3660" s="17">
        <v>2199.98</v>
      </c>
    </row>
    <row r="3661" spans="1:4" x14ac:dyDescent="0.3">
      <c r="A3661" s="12"/>
      <c r="B3661" s="12"/>
      <c r="C3661" s="14" t="s">
        <v>48</v>
      </c>
      <c r="D3661" s="18">
        <v>599.98</v>
      </c>
    </row>
    <row r="3662" spans="1:4" x14ac:dyDescent="0.3">
      <c r="A3662" s="12"/>
      <c r="B3662" s="12"/>
      <c r="C3662" s="14" t="s">
        <v>76</v>
      </c>
      <c r="D3662" s="18">
        <v>2699.99</v>
      </c>
    </row>
    <row r="3663" spans="1:4" x14ac:dyDescent="0.3">
      <c r="A3663" s="12"/>
      <c r="B3663" s="10" t="s">
        <v>1915</v>
      </c>
      <c r="C3663" s="11"/>
      <c r="D3663" s="17">
        <v>5499.95</v>
      </c>
    </row>
    <row r="3664" spans="1:4" x14ac:dyDescent="0.3">
      <c r="A3664" s="10" t="s">
        <v>1060</v>
      </c>
      <c r="B3664" s="11"/>
      <c r="C3664" s="11"/>
      <c r="D3664" s="17">
        <v>5499.95</v>
      </c>
    </row>
    <row r="3665" spans="1:4" x14ac:dyDescent="0.3">
      <c r="A3665" s="10">
        <v>765</v>
      </c>
      <c r="B3665" s="10" t="s">
        <v>11</v>
      </c>
      <c r="C3665" s="10" t="s">
        <v>25</v>
      </c>
      <c r="D3665" s="17">
        <v>549.99</v>
      </c>
    </row>
    <row r="3666" spans="1:4" x14ac:dyDescent="0.3">
      <c r="A3666" s="12"/>
      <c r="B3666" s="12"/>
      <c r="C3666" s="14" t="s">
        <v>35</v>
      </c>
      <c r="D3666" s="18">
        <v>499.99</v>
      </c>
    </row>
    <row r="3667" spans="1:4" x14ac:dyDescent="0.3">
      <c r="A3667" s="12"/>
      <c r="B3667" s="12"/>
      <c r="C3667" s="14" t="s">
        <v>114</v>
      </c>
      <c r="D3667" s="18">
        <v>346.99</v>
      </c>
    </row>
    <row r="3668" spans="1:4" x14ac:dyDescent="0.3">
      <c r="A3668" s="12"/>
      <c r="B3668" s="12"/>
      <c r="C3668" s="14" t="s">
        <v>86</v>
      </c>
      <c r="D3668" s="18">
        <v>4999.9799999999996</v>
      </c>
    </row>
    <row r="3669" spans="1:4" x14ac:dyDescent="0.3">
      <c r="A3669" s="12"/>
      <c r="B3669" s="12"/>
      <c r="C3669" s="14" t="s">
        <v>42</v>
      </c>
      <c r="D3669" s="18">
        <v>749.99</v>
      </c>
    </row>
    <row r="3670" spans="1:4" x14ac:dyDescent="0.3">
      <c r="A3670" s="12"/>
      <c r="B3670" s="10" t="s">
        <v>1915</v>
      </c>
      <c r="C3670" s="11"/>
      <c r="D3670" s="17">
        <v>7146.94</v>
      </c>
    </row>
    <row r="3671" spans="1:4" x14ac:dyDescent="0.3">
      <c r="A3671" s="10" t="s">
        <v>1061</v>
      </c>
      <c r="B3671" s="11"/>
      <c r="C3671" s="11"/>
      <c r="D3671" s="17">
        <v>7146.94</v>
      </c>
    </row>
    <row r="3672" spans="1:4" x14ac:dyDescent="0.3">
      <c r="A3672" s="10">
        <v>766</v>
      </c>
      <c r="B3672" s="10" t="s">
        <v>18</v>
      </c>
      <c r="C3672" s="10" t="s">
        <v>112</v>
      </c>
      <c r="D3672" s="17">
        <v>470.99</v>
      </c>
    </row>
    <row r="3673" spans="1:4" x14ac:dyDescent="0.3">
      <c r="A3673" s="12"/>
      <c r="B3673" s="10" t="s">
        <v>1916</v>
      </c>
      <c r="C3673" s="11"/>
      <c r="D3673" s="17">
        <v>470.99</v>
      </c>
    </row>
    <row r="3674" spans="1:4" x14ac:dyDescent="0.3">
      <c r="A3674" s="10" t="s">
        <v>1062</v>
      </c>
      <c r="B3674" s="11"/>
      <c r="C3674" s="11"/>
      <c r="D3674" s="17">
        <v>470.99</v>
      </c>
    </row>
    <row r="3675" spans="1:4" x14ac:dyDescent="0.3">
      <c r="A3675" s="10">
        <v>767</v>
      </c>
      <c r="B3675" s="10" t="s">
        <v>18</v>
      </c>
      <c r="C3675" s="10" t="s">
        <v>113</v>
      </c>
      <c r="D3675" s="17">
        <v>1599.98</v>
      </c>
    </row>
    <row r="3676" spans="1:4" x14ac:dyDescent="0.3">
      <c r="A3676" s="12"/>
      <c r="B3676" s="12"/>
      <c r="C3676" s="14" t="s">
        <v>77</v>
      </c>
      <c r="D3676" s="18">
        <v>2939.98</v>
      </c>
    </row>
    <row r="3677" spans="1:4" x14ac:dyDescent="0.3">
      <c r="A3677" s="12"/>
      <c r="B3677" s="12"/>
      <c r="C3677" s="14" t="s">
        <v>75</v>
      </c>
      <c r="D3677" s="18">
        <v>3499.99</v>
      </c>
    </row>
    <row r="3678" spans="1:4" x14ac:dyDescent="0.3">
      <c r="A3678" s="12"/>
      <c r="B3678" s="12"/>
      <c r="C3678" s="14" t="s">
        <v>71</v>
      </c>
      <c r="D3678" s="18">
        <v>999.99</v>
      </c>
    </row>
    <row r="3679" spans="1:4" x14ac:dyDescent="0.3">
      <c r="A3679" s="12"/>
      <c r="B3679" s="10" t="s">
        <v>1916</v>
      </c>
      <c r="C3679" s="11"/>
      <c r="D3679" s="17">
        <v>9039.94</v>
      </c>
    </row>
    <row r="3680" spans="1:4" x14ac:dyDescent="0.3">
      <c r="A3680" s="10" t="s">
        <v>1063</v>
      </c>
      <c r="B3680" s="11"/>
      <c r="C3680" s="11"/>
      <c r="D3680" s="17">
        <v>9039.94</v>
      </c>
    </row>
    <row r="3681" spans="1:4" x14ac:dyDescent="0.3">
      <c r="A3681" s="10">
        <v>768</v>
      </c>
      <c r="B3681" s="10" t="s">
        <v>18</v>
      </c>
      <c r="C3681" s="10" t="s">
        <v>48</v>
      </c>
      <c r="D3681" s="17">
        <v>299.99</v>
      </c>
    </row>
    <row r="3682" spans="1:4" x14ac:dyDescent="0.3">
      <c r="A3682" s="12"/>
      <c r="B3682" s="12"/>
      <c r="C3682" s="14" t="s">
        <v>102</v>
      </c>
      <c r="D3682" s="18">
        <v>1632.99</v>
      </c>
    </row>
    <row r="3683" spans="1:4" x14ac:dyDescent="0.3">
      <c r="A3683" s="12"/>
      <c r="B3683" s="10" t="s">
        <v>1916</v>
      </c>
      <c r="C3683" s="11"/>
      <c r="D3683" s="17">
        <v>1932.98</v>
      </c>
    </row>
    <row r="3684" spans="1:4" x14ac:dyDescent="0.3">
      <c r="A3684" s="10" t="s">
        <v>1064</v>
      </c>
      <c r="B3684" s="11"/>
      <c r="C3684" s="11"/>
      <c r="D3684" s="17">
        <v>1932.98</v>
      </c>
    </row>
    <row r="3685" spans="1:4" x14ac:dyDescent="0.3">
      <c r="A3685" s="10">
        <v>769</v>
      </c>
      <c r="B3685" s="10" t="s">
        <v>18</v>
      </c>
      <c r="C3685" s="10" t="s">
        <v>32</v>
      </c>
      <c r="D3685" s="17">
        <v>939.98</v>
      </c>
    </row>
    <row r="3686" spans="1:4" x14ac:dyDescent="0.3">
      <c r="A3686" s="12"/>
      <c r="B3686" s="12"/>
      <c r="C3686" s="14" t="s">
        <v>116</v>
      </c>
      <c r="D3686" s="18">
        <v>1665.98</v>
      </c>
    </row>
    <row r="3687" spans="1:4" x14ac:dyDescent="0.3">
      <c r="A3687" s="12"/>
      <c r="B3687" s="12"/>
      <c r="C3687" s="14" t="s">
        <v>12</v>
      </c>
      <c r="D3687" s="18">
        <v>1799.99</v>
      </c>
    </row>
    <row r="3688" spans="1:4" x14ac:dyDescent="0.3">
      <c r="A3688" s="12"/>
      <c r="B3688" s="10" t="s">
        <v>1916</v>
      </c>
      <c r="C3688" s="11"/>
      <c r="D3688" s="17">
        <v>4405.95</v>
      </c>
    </row>
    <row r="3689" spans="1:4" x14ac:dyDescent="0.3">
      <c r="A3689" s="10" t="s">
        <v>1065</v>
      </c>
      <c r="B3689" s="11"/>
      <c r="C3689" s="11"/>
      <c r="D3689" s="17">
        <v>4405.95</v>
      </c>
    </row>
    <row r="3690" spans="1:4" x14ac:dyDescent="0.3">
      <c r="A3690" s="10">
        <v>770</v>
      </c>
      <c r="B3690" s="10" t="s">
        <v>37</v>
      </c>
      <c r="C3690" s="10" t="s">
        <v>65</v>
      </c>
      <c r="D3690" s="17">
        <v>470.99</v>
      </c>
    </row>
    <row r="3691" spans="1:4" x14ac:dyDescent="0.3">
      <c r="A3691" s="12"/>
      <c r="B3691" s="12"/>
      <c r="C3691" s="14" t="s">
        <v>40</v>
      </c>
      <c r="D3691" s="18">
        <v>551.99</v>
      </c>
    </row>
    <row r="3692" spans="1:4" x14ac:dyDescent="0.3">
      <c r="A3692" s="12"/>
      <c r="B3692" s="12"/>
      <c r="C3692" s="14" t="s">
        <v>30</v>
      </c>
      <c r="D3692" s="18">
        <v>3361.98</v>
      </c>
    </row>
    <row r="3693" spans="1:4" x14ac:dyDescent="0.3">
      <c r="A3693" s="12"/>
      <c r="B3693" s="12"/>
      <c r="C3693" s="14" t="s">
        <v>53</v>
      </c>
      <c r="D3693" s="18">
        <v>2299.9899999999998</v>
      </c>
    </row>
    <row r="3694" spans="1:4" x14ac:dyDescent="0.3">
      <c r="A3694" s="12"/>
      <c r="B3694" s="10" t="s">
        <v>1917</v>
      </c>
      <c r="C3694" s="11"/>
      <c r="D3694" s="17">
        <v>6684.95</v>
      </c>
    </row>
    <row r="3695" spans="1:4" x14ac:dyDescent="0.3">
      <c r="A3695" s="10" t="s">
        <v>1066</v>
      </c>
      <c r="B3695" s="11"/>
      <c r="C3695" s="11"/>
      <c r="D3695" s="17">
        <v>6684.95</v>
      </c>
    </row>
    <row r="3696" spans="1:4" x14ac:dyDescent="0.3">
      <c r="A3696" s="10">
        <v>771</v>
      </c>
      <c r="B3696" s="10" t="s">
        <v>11</v>
      </c>
      <c r="C3696" s="10" t="s">
        <v>31</v>
      </c>
      <c r="D3696" s="17">
        <v>539.98</v>
      </c>
    </row>
    <row r="3697" spans="1:4" x14ac:dyDescent="0.3">
      <c r="A3697" s="12"/>
      <c r="B3697" s="12"/>
      <c r="C3697" s="14" t="s">
        <v>64</v>
      </c>
      <c r="D3697" s="18">
        <v>189.99</v>
      </c>
    </row>
    <row r="3698" spans="1:4" x14ac:dyDescent="0.3">
      <c r="A3698" s="12"/>
      <c r="B3698" s="10" t="s">
        <v>1915</v>
      </c>
      <c r="C3698" s="11"/>
      <c r="D3698" s="17">
        <v>729.97</v>
      </c>
    </row>
    <row r="3699" spans="1:4" x14ac:dyDescent="0.3">
      <c r="A3699" s="10" t="s">
        <v>1067</v>
      </c>
      <c r="B3699" s="11"/>
      <c r="C3699" s="11"/>
      <c r="D3699" s="17">
        <v>729.97</v>
      </c>
    </row>
    <row r="3700" spans="1:4" x14ac:dyDescent="0.3">
      <c r="A3700" s="10">
        <v>772</v>
      </c>
      <c r="B3700" s="10" t="s">
        <v>18</v>
      </c>
      <c r="C3700" s="10" t="s">
        <v>40</v>
      </c>
      <c r="D3700" s="17">
        <v>551.99</v>
      </c>
    </row>
    <row r="3701" spans="1:4" x14ac:dyDescent="0.3">
      <c r="A3701" s="12"/>
      <c r="B3701" s="10" t="s">
        <v>1916</v>
      </c>
      <c r="C3701" s="11"/>
      <c r="D3701" s="17">
        <v>551.99</v>
      </c>
    </row>
    <row r="3702" spans="1:4" x14ac:dyDescent="0.3">
      <c r="A3702" s="10" t="s">
        <v>1068</v>
      </c>
      <c r="B3702" s="11"/>
      <c r="C3702" s="11"/>
      <c r="D3702" s="17">
        <v>551.99</v>
      </c>
    </row>
    <row r="3703" spans="1:4" x14ac:dyDescent="0.3">
      <c r="A3703" s="10">
        <v>773</v>
      </c>
      <c r="B3703" s="10" t="s">
        <v>18</v>
      </c>
      <c r="C3703" s="10" t="s">
        <v>28</v>
      </c>
      <c r="D3703" s="17">
        <v>269.99</v>
      </c>
    </row>
    <row r="3704" spans="1:4" x14ac:dyDescent="0.3">
      <c r="A3704" s="12"/>
      <c r="B3704" s="12"/>
      <c r="C3704" s="14" t="s">
        <v>111</v>
      </c>
      <c r="D3704" s="18">
        <v>209.99</v>
      </c>
    </row>
    <row r="3705" spans="1:4" x14ac:dyDescent="0.3">
      <c r="A3705" s="12"/>
      <c r="B3705" s="12"/>
      <c r="C3705" s="14" t="s">
        <v>23</v>
      </c>
      <c r="D3705" s="18">
        <v>858</v>
      </c>
    </row>
    <row r="3706" spans="1:4" x14ac:dyDescent="0.3">
      <c r="A3706" s="12"/>
      <c r="B3706" s="12"/>
      <c r="C3706" s="14" t="s">
        <v>67</v>
      </c>
      <c r="D3706" s="18">
        <v>939.98</v>
      </c>
    </row>
    <row r="3707" spans="1:4" x14ac:dyDescent="0.3">
      <c r="A3707" s="12"/>
      <c r="B3707" s="10" t="s">
        <v>1916</v>
      </c>
      <c r="C3707" s="11"/>
      <c r="D3707" s="17">
        <v>2277.96</v>
      </c>
    </row>
    <row r="3708" spans="1:4" x14ac:dyDescent="0.3">
      <c r="A3708" s="10" t="s">
        <v>1069</v>
      </c>
      <c r="B3708" s="11"/>
      <c r="C3708" s="11"/>
      <c r="D3708" s="17">
        <v>2277.96</v>
      </c>
    </row>
    <row r="3709" spans="1:4" x14ac:dyDescent="0.3">
      <c r="A3709" s="10">
        <v>774</v>
      </c>
      <c r="B3709" s="10" t="s">
        <v>18</v>
      </c>
      <c r="C3709" s="10" t="s">
        <v>10</v>
      </c>
      <c r="D3709" s="17">
        <v>599.99</v>
      </c>
    </row>
    <row r="3710" spans="1:4" x14ac:dyDescent="0.3">
      <c r="A3710" s="12"/>
      <c r="B3710" s="12"/>
      <c r="C3710" s="14" t="s">
        <v>43</v>
      </c>
      <c r="D3710" s="18">
        <v>749.99</v>
      </c>
    </row>
    <row r="3711" spans="1:4" x14ac:dyDescent="0.3">
      <c r="A3711" s="12"/>
      <c r="B3711" s="12"/>
      <c r="C3711" s="14" t="s">
        <v>114</v>
      </c>
      <c r="D3711" s="18">
        <v>346.99</v>
      </c>
    </row>
    <row r="3712" spans="1:4" x14ac:dyDescent="0.3">
      <c r="A3712" s="12"/>
      <c r="B3712" s="12"/>
      <c r="C3712" s="14" t="s">
        <v>116</v>
      </c>
      <c r="D3712" s="18">
        <v>1665.98</v>
      </c>
    </row>
    <row r="3713" spans="1:4" x14ac:dyDescent="0.3">
      <c r="A3713" s="12"/>
      <c r="B3713" s="12"/>
      <c r="C3713" s="14" t="s">
        <v>81</v>
      </c>
      <c r="D3713" s="18">
        <v>9999.98</v>
      </c>
    </row>
    <row r="3714" spans="1:4" x14ac:dyDescent="0.3">
      <c r="A3714" s="12"/>
      <c r="B3714" s="10" t="s">
        <v>1916</v>
      </c>
      <c r="C3714" s="11"/>
      <c r="D3714" s="17">
        <v>13362.93</v>
      </c>
    </row>
    <row r="3715" spans="1:4" x14ac:dyDescent="0.3">
      <c r="A3715" s="10" t="s">
        <v>1070</v>
      </c>
      <c r="B3715" s="11"/>
      <c r="C3715" s="11"/>
      <c r="D3715" s="17">
        <v>13362.93</v>
      </c>
    </row>
    <row r="3716" spans="1:4" x14ac:dyDescent="0.3">
      <c r="A3716" s="10">
        <v>775</v>
      </c>
      <c r="B3716" s="10" t="s">
        <v>18</v>
      </c>
      <c r="C3716" s="10" t="s">
        <v>72</v>
      </c>
      <c r="D3716" s="17">
        <v>1499.99</v>
      </c>
    </row>
    <row r="3717" spans="1:4" x14ac:dyDescent="0.3">
      <c r="A3717" s="12"/>
      <c r="B3717" s="10" t="s">
        <v>1916</v>
      </c>
      <c r="C3717" s="11"/>
      <c r="D3717" s="17">
        <v>1499.99</v>
      </c>
    </row>
    <row r="3718" spans="1:4" x14ac:dyDescent="0.3">
      <c r="A3718" s="10" t="s">
        <v>1071</v>
      </c>
      <c r="B3718" s="11"/>
      <c r="C3718" s="11"/>
      <c r="D3718" s="17">
        <v>1499.99</v>
      </c>
    </row>
    <row r="3719" spans="1:4" x14ac:dyDescent="0.3">
      <c r="A3719" s="10">
        <v>776</v>
      </c>
      <c r="B3719" s="10" t="s">
        <v>18</v>
      </c>
      <c r="C3719" s="10" t="s">
        <v>78</v>
      </c>
      <c r="D3719" s="17">
        <v>416.99</v>
      </c>
    </row>
    <row r="3720" spans="1:4" x14ac:dyDescent="0.3">
      <c r="A3720" s="12"/>
      <c r="B3720" s="12"/>
      <c r="C3720" s="14" t="s">
        <v>109</v>
      </c>
      <c r="D3720" s="18">
        <v>832.99</v>
      </c>
    </row>
    <row r="3721" spans="1:4" x14ac:dyDescent="0.3">
      <c r="A3721" s="12"/>
      <c r="B3721" s="12"/>
      <c r="C3721" s="14" t="s">
        <v>86</v>
      </c>
      <c r="D3721" s="18">
        <v>2499.9899999999998</v>
      </c>
    </row>
    <row r="3722" spans="1:4" x14ac:dyDescent="0.3">
      <c r="A3722" s="12"/>
      <c r="B3722" s="12"/>
      <c r="C3722" s="14" t="s">
        <v>53</v>
      </c>
      <c r="D3722" s="18">
        <v>4599.9799999999996</v>
      </c>
    </row>
    <row r="3723" spans="1:4" x14ac:dyDescent="0.3">
      <c r="A3723" s="12"/>
      <c r="B3723" s="10" t="s">
        <v>1916</v>
      </c>
      <c r="C3723" s="11"/>
      <c r="D3723" s="17">
        <v>8349.9499999999989</v>
      </c>
    </row>
    <row r="3724" spans="1:4" x14ac:dyDescent="0.3">
      <c r="A3724" s="10" t="s">
        <v>1072</v>
      </c>
      <c r="B3724" s="11"/>
      <c r="C3724" s="11"/>
      <c r="D3724" s="17">
        <v>8349.9499999999989</v>
      </c>
    </row>
    <row r="3725" spans="1:4" x14ac:dyDescent="0.3">
      <c r="A3725" s="10">
        <v>777</v>
      </c>
      <c r="B3725" s="10" t="s">
        <v>18</v>
      </c>
      <c r="C3725" s="10" t="s">
        <v>34</v>
      </c>
      <c r="D3725" s="17">
        <v>1320.99</v>
      </c>
    </row>
    <row r="3726" spans="1:4" x14ac:dyDescent="0.3">
      <c r="A3726" s="12"/>
      <c r="B3726" s="12"/>
      <c r="C3726" s="14" t="s">
        <v>22</v>
      </c>
      <c r="D3726" s="18">
        <v>749.99</v>
      </c>
    </row>
    <row r="3727" spans="1:4" x14ac:dyDescent="0.3">
      <c r="A3727" s="12"/>
      <c r="B3727" s="12"/>
      <c r="C3727" s="14" t="s">
        <v>29</v>
      </c>
      <c r="D3727" s="18">
        <v>7999.98</v>
      </c>
    </row>
    <row r="3728" spans="1:4" x14ac:dyDescent="0.3">
      <c r="A3728" s="12"/>
      <c r="B3728" s="10" t="s">
        <v>1916</v>
      </c>
      <c r="C3728" s="11"/>
      <c r="D3728" s="17">
        <v>10070.959999999999</v>
      </c>
    </row>
    <row r="3729" spans="1:4" x14ac:dyDescent="0.3">
      <c r="A3729" s="10" t="s">
        <v>1073</v>
      </c>
      <c r="B3729" s="11"/>
      <c r="C3729" s="11"/>
      <c r="D3729" s="17">
        <v>10070.959999999999</v>
      </c>
    </row>
    <row r="3730" spans="1:4" x14ac:dyDescent="0.3">
      <c r="A3730" s="10">
        <v>778</v>
      </c>
      <c r="B3730" s="10" t="s">
        <v>37</v>
      </c>
      <c r="C3730" s="10" t="s">
        <v>51</v>
      </c>
      <c r="D3730" s="17">
        <v>489.99</v>
      </c>
    </row>
    <row r="3731" spans="1:4" x14ac:dyDescent="0.3">
      <c r="A3731" s="12"/>
      <c r="B3731" s="12"/>
      <c r="C3731" s="14" t="s">
        <v>38</v>
      </c>
      <c r="D3731" s="18">
        <v>329.99</v>
      </c>
    </row>
    <row r="3732" spans="1:4" x14ac:dyDescent="0.3">
      <c r="A3732" s="12"/>
      <c r="B3732" s="10" t="s">
        <v>1917</v>
      </c>
      <c r="C3732" s="11"/>
      <c r="D3732" s="17">
        <v>819.98</v>
      </c>
    </row>
    <row r="3733" spans="1:4" x14ac:dyDescent="0.3">
      <c r="A3733" s="10" t="s">
        <v>1074</v>
      </c>
      <c r="B3733" s="11"/>
      <c r="C3733" s="11"/>
      <c r="D3733" s="17">
        <v>819.98</v>
      </c>
    </row>
    <row r="3734" spans="1:4" x14ac:dyDescent="0.3">
      <c r="A3734" s="10">
        <v>779</v>
      </c>
      <c r="B3734" s="10" t="s">
        <v>18</v>
      </c>
      <c r="C3734" s="10" t="s">
        <v>80</v>
      </c>
      <c r="D3734" s="17">
        <v>339.99</v>
      </c>
    </row>
    <row r="3735" spans="1:4" x14ac:dyDescent="0.3">
      <c r="A3735" s="12"/>
      <c r="B3735" s="12"/>
      <c r="C3735" s="14" t="s">
        <v>38</v>
      </c>
      <c r="D3735" s="18">
        <v>329.99</v>
      </c>
    </row>
    <row r="3736" spans="1:4" x14ac:dyDescent="0.3">
      <c r="A3736" s="12"/>
      <c r="B3736" s="12"/>
      <c r="C3736" s="14" t="s">
        <v>56</v>
      </c>
      <c r="D3736" s="18">
        <v>419.98</v>
      </c>
    </row>
    <row r="3737" spans="1:4" x14ac:dyDescent="0.3">
      <c r="A3737" s="12"/>
      <c r="B3737" s="12"/>
      <c r="C3737" s="14" t="s">
        <v>12</v>
      </c>
      <c r="D3737" s="18">
        <v>1799.99</v>
      </c>
    </row>
    <row r="3738" spans="1:4" x14ac:dyDescent="0.3">
      <c r="A3738" s="12"/>
      <c r="B3738" s="12"/>
      <c r="C3738" s="14" t="s">
        <v>54</v>
      </c>
      <c r="D3738" s="18">
        <v>5299.99</v>
      </c>
    </row>
    <row r="3739" spans="1:4" x14ac:dyDescent="0.3">
      <c r="A3739" s="12"/>
      <c r="B3739" s="10" t="s">
        <v>1916</v>
      </c>
      <c r="C3739" s="11"/>
      <c r="D3739" s="17">
        <v>8189.94</v>
      </c>
    </row>
    <row r="3740" spans="1:4" x14ac:dyDescent="0.3">
      <c r="A3740" s="10" t="s">
        <v>1075</v>
      </c>
      <c r="B3740" s="11"/>
      <c r="C3740" s="11"/>
      <c r="D3740" s="17">
        <v>8189.94</v>
      </c>
    </row>
    <row r="3741" spans="1:4" x14ac:dyDescent="0.3">
      <c r="A3741" s="10">
        <v>780</v>
      </c>
      <c r="B3741" s="10" t="s">
        <v>18</v>
      </c>
      <c r="C3741" s="10" t="s">
        <v>46</v>
      </c>
      <c r="D3741" s="17">
        <v>469.99</v>
      </c>
    </row>
    <row r="3742" spans="1:4" x14ac:dyDescent="0.3">
      <c r="A3742" s="12"/>
      <c r="B3742" s="10" t="s">
        <v>1916</v>
      </c>
      <c r="C3742" s="11"/>
      <c r="D3742" s="17">
        <v>469.99</v>
      </c>
    </row>
    <row r="3743" spans="1:4" x14ac:dyDescent="0.3">
      <c r="A3743" s="10" t="s">
        <v>1076</v>
      </c>
      <c r="B3743" s="11"/>
      <c r="C3743" s="11"/>
      <c r="D3743" s="17">
        <v>469.99</v>
      </c>
    </row>
    <row r="3744" spans="1:4" x14ac:dyDescent="0.3">
      <c r="A3744" s="10">
        <v>781</v>
      </c>
      <c r="B3744" s="10" t="s">
        <v>18</v>
      </c>
      <c r="C3744" s="10" t="s">
        <v>49</v>
      </c>
      <c r="D3744" s="17">
        <v>833.98</v>
      </c>
    </row>
    <row r="3745" spans="1:4" x14ac:dyDescent="0.3">
      <c r="A3745" s="12"/>
      <c r="B3745" s="12"/>
      <c r="C3745" s="14" t="s">
        <v>103</v>
      </c>
      <c r="D3745" s="18">
        <v>3999.98</v>
      </c>
    </row>
    <row r="3746" spans="1:4" x14ac:dyDescent="0.3">
      <c r="A3746" s="12"/>
      <c r="B3746" s="12"/>
      <c r="C3746" s="14" t="s">
        <v>29</v>
      </c>
      <c r="D3746" s="18">
        <v>7999.98</v>
      </c>
    </row>
    <row r="3747" spans="1:4" x14ac:dyDescent="0.3">
      <c r="A3747" s="12"/>
      <c r="B3747" s="10" t="s">
        <v>1916</v>
      </c>
      <c r="C3747" s="11"/>
      <c r="D3747" s="17">
        <v>12833.939999999999</v>
      </c>
    </row>
    <row r="3748" spans="1:4" x14ac:dyDescent="0.3">
      <c r="A3748" s="10" t="s">
        <v>1077</v>
      </c>
      <c r="B3748" s="11"/>
      <c r="C3748" s="11"/>
      <c r="D3748" s="17">
        <v>12833.939999999999</v>
      </c>
    </row>
    <row r="3749" spans="1:4" x14ac:dyDescent="0.3">
      <c r="A3749" s="10">
        <v>782</v>
      </c>
      <c r="B3749" s="10" t="s">
        <v>18</v>
      </c>
      <c r="C3749" s="10" t="s">
        <v>52</v>
      </c>
      <c r="D3749" s="17">
        <v>299.99</v>
      </c>
    </row>
    <row r="3750" spans="1:4" x14ac:dyDescent="0.3">
      <c r="A3750" s="12"/>
      <c r="B3750" s="12"/>
      <c r="C3750" s="14" t="s">
        <v>14</v>
      </c>
      <c r="D3750" s="18">
        <v>1199.98</v>
      </c>
    </row>
    <row r="3751" spans="1:4" x14ac:dyDescent="0.3">
      <c r="A3751" s="12"/>
      <c r="B3751" s="12"/>
      <c r="C3751" s="14" t="s">
        <v>10</v>
      </c>
      <c r="D3751" s="18">
        <v>1199.98</v>
      </c>
    </row>
    <row r="3752" spans="1:4" x14ac:dyDescent="0.3">
      <c r="A3752" s="12"/>
      <c r="B3752" s="12"/>
      <c r="C3752" s="14" t="s">
        <v>103</v>
      </c>
      <c r="D3752" s="18">
        <v>1999.99</v>
      </c>
    </row>
    <row r="3753" spans="1:4" x14ac:dyDescent="0.3">
      <c r="A3753" s="12"/>
      <c r="B3753" s="10" t="s">
        <v>1916</v>
      </c>
      <c r="C3753" s="11"/>
      <c r="D3753" s="17">
        <v>4699.9399999999996</v>
      </c>
    </row>
    <row r="3754" spans="1:4" x14ac:dyDescent="0.3">
      <c r="A3754" s="10" t="s">
        <v>1078</v>
      </c>
      <c r="B3754" s="11"/>
      <c r="C3754" s="11"/>
      <c r="D3754" s="17">
        <v>4699.9399999999996</v>
      </c>
    </row>
    <row r="3755" spans="1:4" x14ac:dyDescent="0.3">
      <c r="A3755" s="10">
        <v>783</v>
      </c>
      <c r="B3755" s="10" t="s">
        <v>11</v>
      </c>
      <c r="C3755" s="10" t="s">
        <v>28</v>
      </c>
      <c r="D3755" s="17">
        <v>539.98</v>
      </c>
    </row>
    <row r="3756" spans="1:4" x14ac:dyDescent="0.3">
      <c r="A3756" s="12"/>
      <c r="B3756" s="12"/>
      <c r="C3756" s="14" t="s">
        <v>111</v>
      </c>
      <c r="D3756" s="18">
        <v>209.99</v>
      </c>
    </row>
    <row r="3757" spans="1:4" x14ac:dyDescent="0.3">
      <c r="A3757" s="12"/>
      <c r="B3757" s="12"/>
      <c r="C3757" s="14" t="s">
        <v>59</v>
      </c>
      <c r="D3757" s="18">
        <v>249.99</v>
      </c>
    </row>
    <row r="3758" spans="1:4" x14ac:dyDescent="0.3">
      <c r="A3758" s="12"/>
      <c r="B3758" s="12"/>
      <c r="C3758" s="14" t="s">
        <v>71</v>
      </c>
      <c r="D3758" s="18">
        <v>999.99</v>
      </c>
    </row>
    <row r="3759" spans="1:4" x14ac:dyDescent="0.3">
      <c r="A3759" s="12"/>
      <c r="B3759" s="10" t="s">
        <v>1915</v>
      </c>
      <c r="C3759" s="11"/>
      <c r="D3759" s="17">
        <v>1999.95</v>
      </c>
    </row>
    <row r="3760" spans="1:4" x14ac:dyDescent="0.3">
      <c r="A3760" s="10" t="s">
        <v>1079</v>
      </c>
      <c r="B3760" s="11"/>
      <c r="C3760" s="11"/>
      <c r="D3760" s="17">
        <v>1999.95</v>
      </c>
    </row>
    <row r="3761" spans="1:4" x14ac:dyDescent="0.3">
      <c r="A3761" s="10">
        <v>784</v>
      </c>
      <c r="B3761" s="10" t="s">
        <v>18</v>
      </c>
      <c r="C3761" s="10" t="s">
        <v>28</v>
      </c>
      <c r="D3761" s="17">
        <v>269.99</v>
      </c>
    </row>
    <row r="3762" spans="1:4" x14ac:dyDescent="0.3">
      <c r="A3762" s="12"/>
      <c r="B3762" s="12"/>
      <c r="C3762" s="14" t="s">
        <v>14</v>
      </c>
      <c r="D3762" s="18">
        <v>599.99</v>
      </c>
    </row>
    <row r="3763" spans="1:4" x14ac:dyDescent="0.3">
      <c r="A3763" s="12"/>
      <c r="B3763" s="12"/>
      <c r="C3763" s="14" t="s">
        <v>44</v>
      </c>
      <c r="D3763" s="18">
        <v>1239.98</v>
      </c>
    </row>
    <row r="3764" spans="1:4" x14ac:dyDescent="0.3">
      <c r="A3764" s="12"/>
      <c r="B3764" s="10" t="s">
        <v>1916</v>
      </c>
      <c r="C3764" s="11"/>
      <c r="D3764" s="17">
        <v>2109.96</v>
      </c>
    </row>
    <row r="3765" spans="1:4" x14ac:dyDescent="0.3">
      <c r="A3765" s="10" t="s">
        <v>1080</v>
      </c>
      <c r="B3765" s="11"/>
      <c r="C3765" s="11"/>
      <c r="D3765" s="17">
        <v>2109.96</v>
      </c>
    </row>
    <row r="3766" spans="1:4" x14ac:dyDescent="0.3">
      <c r="A3766" s="10">
        <v>785</v>
      </c>
      <c r="B3766" s="10" t="s">
        <v>11</v>
      </c>
      <c r="C3766" s="10" t="s">
        <v>35</v>
      </c>
      <c r="D3766" s="17">
        <v>499.99</v>
      </c>
    </row>
    <row r="3767" spans="1:4" x14ac:dyDescent="0.3">
      <c r="A3767" s="12"/>
      <c r="B3767" s="12"/>
      <c r="C3767" s="14" t="s">
        <v>74</v>
      </c>
      <c r="D3767" s="18">
        <v>5199.9799999999996</v>
      </c>
    </row>
    <row r="3768" spans="1:4" x14ac:dyDescent="0.3">
      <c r="A3768" s="12"/>
      <c r="B3768" s="12"/>
      <c r="C3768" s="14" t="s">
        <v>104</v>
      </c>
      <c r="D3768" s="18">
        <v>4999.99</v>
      </c>
    </row>
    <row r="3769" spans="1:4" x14ac:dyDescent="0.3">
      <c r="A3769" s="12"/>
      <c r="B3769" s="10" t="s">
        <v>1915</v>
      </c>
      <c r="C3769" s="11"/>
      <c r="D3769" s="17">
        <v>10699.96</v>
      </c>
    </row>
    <row r="3770" spans="1:4" x14ac:dyDescent="0.3">
      <c r="A3770" s="10" t="s">
        <v>1081</v>
      </c>
      <c r="B3770" s="11"/>
      <c r="C3770" s="11"/>
      <c r="D3770" s="17">
        <v>10699.96</v>
      </c>
    </row>
    <row r="3771" spans="1:4" x14ac:dyDescent="0.3">
      <c r="A3771" s="10">
        <v>786</v>
      </c>
      <c r="B3771" s="10" t="s">
        <v>18</v>
      </c>
      <c r="C3771" s="10" t="s">
        <v>63</v>
      </c>
      <c r="D3771" s="17">
        <v>761.99</v>
      </c>
    </row>
    <row r="3772" spans="1:4" x14ac:dyDescent="0.3">
      <c r="A3772" s="12"/>
      <c r="B3772" s="10" t="s">
        <v>1916</v>
      </c>
      <c r="C3772" s="11"/>
      <c r="D3772" s="17">
        <v>761.99</v>
      </c>
    </row>
    <row r="3773" spans="1:4" x14ac:dyDescent="0.3">
      <c r="A3773" s="10" t="s">
        <v>1082</v>
      </c>
      <c r="B3773" s="11"/>
      <c r="C3773" s="11"/>
      <c r="D3773" s="17">
        <v>761.99</v>
      </c>
    </row>
    <row r="3774" spans="1:4" x14ac:dyDescent="0.3">
      <c r="A3774" s="10">
        <v>787</v>
      </c>
      <c r="B3774" s="10" t="s">
        <v>37</v>
      </c>
      <c r="C3774" s="10" t="s">
        <v>92</v>
      </c>
      <c r="D3774" s="17">
        <v>501.98</v>
      </c>
    </row>
    <row r="3775" spans="1:4" x14ac:dyDescent="0.3">
      <c r="A3775" s="12"/>
      <c r="B3775" s="12"/>
      <c r="C3775" s="14" t="s">
        <v>90</v>
      </c>
      <c r="D3775" s="18">
        <v>12999.98</v>
      </c>
    </row>
    <row r="3776" spans="1:4" x14ac:dyDescent="0.3">
      <c r="A3776" s="12"/>
      <c r="B3776" s="10" t="s">
        <v>1917</v>
      </c>
      <c r="C3776" s="11"/>
      <c r="D3776" s="17">
        <v>13501.96</v>
      </c>
    </row>
    <row r="3777" spans="1:4" x14ac:dyDescent="0.3">
      <c r="A3777" s="10" t="s">
        <v>1083</v>
      </c>
      <c r="B3777" s="11"/>
      <c r="C3777" s="11"/>
      <c r="D3777" s="17">
        <v>13501.96</v>
      </c>
    </row>
    <row r="3778" spans="1:4" x14ac:dyDescent="0.3">
      <c r="A3778" s="10">
        <v>788</v>
      </c>
      <c r="B3778" s="10" t="s">
        <v>37</v>
      </c>
      <c r="C3778" s="10" t="s">
        <v>31</v>
      </c>
      <c r="D3778" s="17">
        <v>269.99</v>
      </c>
    </row>
    <row r="3779" spans="1:4" x14ac:dyDescent="0.3">
      <c r="A3779" s="12"/>
      <c r="B3779" s="12"/>
      <c r="C3779" s="14" t="s">
        <v>36</v>
      </c>
      <c r="D3779" s="18">
        <v>449</v>
      </c>
    </row>
    <row r="3780" spans="1:4" x14ac:dyDescent="0.3">
      <c r="A3780" s="12"/>
      <c r="B3780" s="12"/>
      <c r="C3780" s="14" t="s">
        <v>84</v>
      </c>
      <c r="D3780" s="18">
        <v>1499.99</v>
      </c>
    </row>
    <row r="3781" spans="1:4" x14ac:dyDescent="0.3">
      <c r="A3781" s="12"/>
      <c r="B3781" s="10" t="s">
        <v>1917</v>
      </c>
      <c r="C3781" s="11"/>
      <c r="D3781" s="17">
        <v>2218.98</v>
      </c>
    </row>
    <row r="3782" spans="1:4" x14ac:dyDescent="0.3">
      <c r="A3782" s="10" t="s">
        <v>1084</v>
      </c>
      <c r="B3782" s="11"/>
      <c r="C3782" s="11"/>
      <c r="D3782" s="17">
        <v>2218.98</v>
      </c>
    </row>
    <row r="3783" spans="1:4" x14ac:dyDescent="0.3">
      <c r="A3783" s="10">
        <v>789</v>
      </c>
      <c r="B3783" s="10" t="s">
        <v>18</v>
      </c>
      <c r="C3783" s="10" t="s">
        <v>105</v>
      </c>
      <c r="D3783" s="17">
        <v>979.98</v>
      </c>
    </row>
    <row r="3784" spans="1:4" x14ac:dyDescent="0.3">
      <c r="A3784" s="12"/>
      <c r="B3784" s="12"/>
      <c r="C3784" s="14" t="s">
        <v>110</v>
      </c>
      <c r="D3784" s="18">
        <v>419.98</v>
      </c>
    </row>
    <row r="3785" spans="1:4" x14ac:dyDescent="0.3">
      <c r="A3785" s="12"/>
      <c r="B3785" s="10" t="s">
        <v>1916</v>
      </c>
      <c r="C3785" s="11"/>
      <c r="D3785" s="17">
        <v>1399.96</v>
      </c>
    </row>
    <row r="3786" spans="1:4" x14ac:dyDescent="0.3">
      <c r="A3786" s="10" t="s">
        <v>1085</v>
      </c>
      <c r="B3786" s="11"/>
      <c r="C3786" s="11"/>
      <c r="D3786" s="17">
        <v>1399.96</v>
      </c>
    </row>
    <row r="3787" spans="1:4" x14ac:dyDescent="0.3">
      <c r="A3787" s="10">
        <v>790</v>
      </c>
      <c r="B3787" s="10" t="s">
        <v>18</v>
      </c>
      <c r="C3787" s="10" t="s">
        <v>50</v>
      </c>
      <c r="D3787" s="17">
        <v>6999.98</v>
      </c>
    </row>
    <row r="3788" spans="1:4" x14ac:dyDescent="0.3">
      <c r="A3788" s="12"/>
      <c r="B3788" s="12"/>
      <c r="C3788" s="14" t="s">
        <v>97</v>
      </c>
      <c r="D3788" s="18">
        <v>349.99</v>
      </c>
    </row>
    <row r="3789" spans="1:4" x14ac:dyDescent="0.3">
      <c r="A3789" s="12"/>
      <c r="B3789" s="10" t="s">
        <v>1916</v>
      </c>
      <c r="C3789" s="11"/>
      <c r="D3789" s="17">
        <v>7349.9699999999993</v>
      </c>
    </row>
    <row r="3790" spans="1:4" x14ac:dyDescent="0.3">
      <c r="A3790" s="10" t="s">
        <v>1086</v>
      </c>
      <c r="B3790" s="11"/>
      <c r="C3790" s="11"/>
      <c r="D3790" s="17">
        <v>7349.9699999999993</v>
      </c>
    </row>
    <row r="3791" spans="1:4" x14ac:dyDescent="0.3">
      <c r="A3791" s="10">
        <v>791</v>
      </c>
      <c r="B3791" s="10" t="s">
        <v>18</v>
      </c>
      <c r="C3791" s="10" t="s">
        <v>35</v>
      </c>
      <c r="D3791" s="17">
        <v>999.98</v>
      </c>
    </row>
    <row r="3792" spans="1:4" x14ac:dyDescent="0.3">
      <c r="A3792" s="12"/>
      <c r="B3792" s="12"/>
      <c r="C3792" s="14" t="s">
        <v>69</v>
      </c>
      <c r="D3792" s="18">
        <v>3199.99</v>
      </c>
    </row>
    <row r="3793" spans="1:4" x14ac:dyDescent="0.3">
      <c r="A3793" s="12"/>
      <c r="B3793" s="10" t="s">
        <v>1916</v>
      </c>
      <c r="C3793" s="11"/>
      <c r="D3793" s="17">
        <v>4199.9699999999993</v>
      </c>
    </row>
    <row r="3794" spans="1:4" x14ac:dyDescent="0.3">
      <c r="A3794" s="10" t="s">
        <v>1087</v>
      </c>
      <c r="B3794" s="11"/>
      <c r="C3794" s="11"/>
      <c r="D3794" s="17">
        <v>4199.9699999999993</v>
      </c>
    </row>
    <row r="3795" spans="1:4" x14ac:dyDescent="0.3">
      <c r="A3795" s="10">
        <v>792</v>
      </c>
      <c r="B3795" s="10" t="s">
        <v>18</v>
      </c>
      <c r="C3795" s="10" t="s">
        <v>14</v>
      </c>
      <c r="D3795" s="17">
        <v>1199.98</v>
      </c>
    </row>
    <row r="3796" spans="1:4" x14ac:dyDescent="0.3">
      <c r="A3796" s="12"/>
      <c r="B3796" s="12"/>
      <c r="C3796" s="14" t="s">
        <v>22</v>
      </c>
      <c r="D3796" s="18">
        <v>749.99</v>
      </c>
    </row>
    <row r="3797" spans="1:4" x14ac:dyDescent="0.3">
      <c r="A3797" s="12"/>
      <c r="B3797" s="12"/>
      <c r="C3797" s="14" t="s">
        <v>47</v>
      </c>
      <c r="D3797" s="18">
        <v>999.99</v>
      </c>
    </row>
    <row r="3798" spans="1:4" x14ac:dyDescent="0.3">
      <c r="A3798" s="12"/>
      <c r="B3798" s="12"/>
      <c r="C3798" s="14" t="s">
        <v>41</v>
      </c>
      <c r="D3798" s="18">
        <v>5499.99</v>
      </c>
    </row>
    <row r="3799" spans="1:4" x14ac:dyDescent="0.3">
      <c r="A3799" s="12"/>
      <c r="B3799" s="12"/>
      <c r="C3799" s="14" t="s">
        <v>72</v>
      </c>
      <c r="D3799" s="18">
        <v>1499.99</v>
      </c>
    </row>
    <row r="3800" spans="1:4" x14ac:dyDescent="0.3">
      <c r="A3800" s="12"/>
      <c r="B3800" s="10" t="s">
        <v>1916</v>
      </c>
      <c r="C3800" s="11"/>
      <c r="D3800" s="17">
        <v>9949.94</v>
      </c>
    </row>
    <row r="3801" spans="1:4" x14ac:dyDescent="0.3">
      <c r="A3801" s="10" t="s">
        <v>1088</v>
      </c>
      <c r="B3801" s="11"/>
      <c r="C3801" s="11"/>
      <c r="D3801" s="17">
        <v>9949.94</v>
      </c>
    </row>
    <row r="3802" spans="1:4" x14ac:dyDescent="0.3">
      <c r="A3802" s="10">
        <v>793</v>
      </c>
      <c r="B3802" s="10" t="s">
        <v>18</v>
      </c>
      <c r="C3802" s="10" t="s">
        <v>95</v>
      </c>
      <c r="D3802" s="17">
        <v>1199.98</v>
      </c>
    </row>
    <row r="3803" spans="1:4" x14ac:dyDescent="0.3">
      <c r="A3803" s="12"/>
      <c r="B3803" s="12"/>
      <c r="C3803" s="14" t="s">
        <v>48</v>
      </c>
      <c r="D3803" s="18">
        <v>599.98</v>
      </c>
    </row>
    <row r="3804" spans="1:4" x14ac:dyDescent="0.3">
      <c r="A3804" s="12"/>
      <c r="B3804" s="12"/>
      <c r="C3804" s="14" t="s">
        <v>101</v>
      </c>
      <c r="D3804" s="18">
        <v>1559.99</v>
      </c>
    </row>
    <row r="3805" spans="1:4" x14ac:dyDescent="0.3">
      <c r="A3805" s="12"/>
      <c r="B3805" s="10" t="s">
        <v>1916</v>
      </c>
      <c r="C3805" s="11"/>
      <c r="D3805" s="17">
        <v>3359.95</v>
      </c>
    </row>
    <row r="3806" spans="1:4" x14ac:dyDescent="0.3">
      <c r="A3806" s="10" t="s">
        <v>1089</v>
      </c>
      <c r="B3806" s="11"/>
      <c r="C3806" s="11"/>
      <c r="D3806" s="17">
        <v>3359.95</v>
      </c>
    </row>
    <row r="3807" spans="1:4" x14ac:dyDescent="0.3">
      <c r="A3807" s="10">
        <v>794</v>
      </c>
      <c r="B3807" s="10" t="s">
        <v>18</v>
      </c>
      <c r="C3807" s="10" t="s">
        <v>77</v>
      </c>
      <c r="D3807" s="17">
        <v>2939.98</v>
      </c>
    </row>
    <row r="3808" spans="1:4" x14ac:dyDescent="0.3">
      <c r="A3808" s="12"/>
      <c r="B3808" s="12"/>
      <c r="C3808" s="14" t="s">
        <v>23</v>
      </c>
      <c r="D3808" s="18">
        <v>429</v>
      </c>
    </row>
    <row r="3809" spans="1:4" x14ac:dyDescent="0.3">
      <c r="A3809" s="12"/>
      <c r="B3809" s="12"/>
      <c r="C3809" s="14" t="s">
        <v>39</v>
      </c>
      <c r="D3809" s="18">
        <v>449.99</v>
      </c>
    </row>
    <row r="3810" spans="1:4" x14ac:dyDescent="0.3">
      <c r="A3810" s="12"/>
      <c r="B3810" s="12"/>
      <c r="C3810" s="14" t="s">
        <v>86</v>
      </c>
      <c r="D3810" s="18">
        <v>2499.9899999999998</v>
      </c>
    </row>
    <row r="3811" spans="1:4" x14ac:dyDescent="0.3">
      <c r="A3811" s="12"/>
      <c r="B3811" s="10" t="s">
        <v>1916</v>
      </c>
      <c r="C3811" s="11"/>
      <c r="D3811" s="17">
        <v>6318.96</v>
      </c>
    </row>
    <row r="3812" spans="1:4" x14ac:dyDescent="0.3">
      <c r="A3812" s="10" t="s">
        <v>1090</v>
      </c>
      <c r="B3812" s="11"/>
      <c r="C3812" s="11"/>
      <c r="D3812" s="17">
        <v>6318.96</v>
      </c>
    </row>
    <row r="3813" spans="1:4" x14ac:dyDescent="0.3">
      <c r="A3813" s="10">
        <v>795</v>
      </c>
      <c r="B3813" s="10" t="s">
        <v>18</v>
      </c>
      <c r="C3813" s="10" t="s">
        <v>48</v>
      </c>
      <c r="D3813" s="17">
        <v>599.98</v>
      </c>
    </row>
    <row r="3814" spans="1:4" x14ac:dyDescent="0.3">
      <c r="A3814" s="12"/>
      <c r="B3814" s="12"/>
      <c r="C3814" s="14" t="s">
        <v>52</v>
      </c>
      <c r="D3814" s="18">
        <v>599.98</v>
      </c>
    </row>
    <row r="3815" spans="1:4" x14ac:dyDescent="0.3">
      <c r="A3815" s="12"/>
      <c r="B3815" s="10" t="s">
        <v>1916</v>
      </c>
      <c r="C3815" s="11"/>
      <c r="D3815" s="17">
        <v>1199.96</v>
      </c>
    </row>
    <row r="3816" spans="1:4" x14ac:dyDescent="0.3">
      <c r="A3816" s="10" t="s">
        <v>1091</v>
      </c>
      <c r="B3816" s="11"/>
      <c r="C3816" s="11"/>
      <c r="D3816" s="17">
        <v>1199.96</v>
      </c>
    </row>
    <row r="3817" spans="1:4" x14ac:dyDescent="0.3">
      <c r="A3817" s="10">
        <v>796</v>
      </c>
      <c r="B3817" s="10" t="s">
        <v>37</v>
      </c>
      <c r="C3817" s="10" t="s">
        <v>32</v>
      </c>
      <c r="D3817" s="17">
        <v>939.98</v>
      </c>
    </row>
    <row r="3818" spans="1:4" x14ac:dyDescent="0.3">
      <c r="A3818" s="12"/>
      <c r="B3818" s="10" t="s">
        <v>1917</v>
      </c>
      <c r="C3818" s="11"/>
      <c r="D3818" s="17">
        <v>939.98</v>
      </c>
    </row>
    <row r="3819" spans="1:4" x14ac:dyDescent="0.3">
      <c r="A3819" s="10" t="s">
        <v>1092</v>
      </c>
      <c r="B3819" s="11"/>
      <c r="C3819" s="11"/>
      <c r="D3819" s="17">
        <v>939.98</v>
      </c>
    </row>
    <row r="3820" spans="1:4" x14ac:dyDescent="0.3">
      <c r="A3820" s="10">
        <v>797</v>
      </c>
      <c r="B3820" s="10" t="s">
        <v>18</v>
      </c>
      <c r="C3820" s="10" t="s">
        <v>61</v>
      </c>
      <c r="D3820" s="17">
        <v>439.99</v>
      </c>
    </row>
    <row r="3821" spans="1:4" x14ac:dyDescent="0.3">
      <c r="A3821" s="12"/>
      <c r="B3821" s="12"/>
      <c r="C3821" s="14" t="s">
        <v>89</v>
      </c>
      <c r="D3821" s="18">
        <v>416.99</v>
      </c>
    </row>
    <row r="3822" spans="1:4" x14ac:dyDescent="0.3">
      <c r="A3822" s="12"/>
      <c r="B3822" s="12"/>
      <c r="C3822" s="14" t="s">
        <v>30</v>
      </c>
      <c r="D3822" s="18">
        <v>1680.99</v>
      </c>
    </row>
    <row r="3823" spans="1:4" x14ac:dyDescent="0.3">
      <c r="A3823" s="12"/>
      <c r="B3823" s="12"/>
      <c r="C3823" s="14" t="s">
        <v>50</v>
      </c>
      <c r="D3823" s="18">
        <v>6999.98</v>
      </c>
    </row>
    <row r="3824" spans="1:4" x14ac:dyDescent="0.3">
      <c r="A3824" s="12"/>
      <c r="B3824" s="12"/>
      <c r="C3824" s="14" t="s">
        <v>69</v>
      </c>
      <c r="D3824" s="18">
        <v>6399.98</v>
      </c>
    </row>
    <row r="3825" spans="1:4" x14ac:dyDescent="0.3">
      <c r="A3825" s="12"/>
      <c r="B3825" s="10" t="s">
        <v>1916</v>
      </c>
      <c r="C3825" s="11"/>
      <c r="D3825" s="17">
        <v>15937.93</v>
      </c>
    </row>
    <row r="3826" spans="1:4" x14ac:dyDescent="0.3">
      <c r="A3826" s="10" t="s">
        <v>1093</v>
      </c>
      <c r="B3826" s="11"/>
      <c r="C3826" s="11"/>
      <c r="D3826" s="17">
        <v>15937.93</v>
      </c>
    </row>
    <row r="3827" spans="1:4" x14ac:dyDescent="0.3">
      <c r="A3827" s="10">
        <v>798</v>
      </c>
      <c r="B3827" s="10" t="s">
        <v>11</v>
      </c>
      <c r="C3827" s="10" t="s">
        <v>33</v>
      </c>
      <c r="D3827" s="17">
        <v>299.99</v>
      </c>
    </row>
    <row r="3828" spans="1:4" x14ac:dyDescent="0.3">
      <c r="A3828" s="12"/>
      <c r="B3828" s="12"/>
      <c r="C3828" s="14" t="s">
        <v>14</v>
      </c>
      <c r="D3828" s="18">
        <v>1199.98</v>
      </c>
    </row>
    <row r="3829" spans="1:4" x14ac:dyDescent="0.3">
      <c r="A3829" s="12"/>
      <c r="B3829" s="12"/>
      <c r="C3829" s="14" t="s">
        <v>53</v>
      </c>
      <c r="D3829" s="18">
        <v>2299.9899999999998</v>
      </c>
    </row>
    <row r="3830" spans="1:4" x14ac:dyDescent="0.3">
      <c r="A3830" s="12"/>
      <c r="B3830" s="12"/>
      <c r="C3830" s="14" t="s">
        <v>56</v>
      </c>
      <c r="D3830" s="18">
        <v>209.99</v>
      </c>
    </row>
    <row r="3831" spans="1:4" x14ac:dyDescent="0.3">
      <c r="A3831" s="12"/>
      <c r="B3831" s="12"/>
      <c r="C3831" s="14" t="s">
        <v>97</v>
      </c>
      <c r="D3831" s="18">
        <v>699.98</v>
      </c>
    </row>
    <row r="3832" spans="1:4" x14ac:dyDescent="0.3">
      <c r="A3832" s="12"/>
      <c r="B3832" s="10" t="s">
        <v>1915</v>
      </c>
      <c r="C3832" s="11"/>
      <c r="D3832" s="17">
        <v>4709.93</v>
      </c>
    </row>
    <row r="3833" spans="1:4" x14ac:dyDescent="0.3">
      <c r="A3833" s="10" t="s">
        <v>1094</v>
      </c>
      <c r="B3833" s="11"/>
      <c r="C3833" s="11"/>
      <c r="D3833" s="17">
        <v>4709.93</v>
      </c>
    </row>
    <row r="3834" spans="1:4" x14ac:dyDescent="0.3">
      <c r="A3834" s="10">
        <v>799</v>
      </c>
      <c r="B3834" s="10" t="s">
        <v>11</v>
      </c>
      <c r="C3834" s="10" t="s">
        <v>34</v>
      </c>
      <c r="D3834" s="17">
        <v>2641.98</v>
      </c>
    </row>
    <row r="3835" spans="1:4" x14ac:dyDescent="0.3">
      <c r="A3835" s="12"/>
      <c r="B3835" s="12"/>
      <c r="C3835" s="14" t="s">
        <v>75</v>
      </c>
      <c r="D3835" s="18">
        <v>3499.99</v>
      </c>
    </row>
    <row r="3836" spans="1:4" x14ac:dyDescent="0.3">
      <c r="A3836" s="12"/>
      <c r="B3836" s="12"/>
      <c r="C3836" s="14" t="s">
        <v>81</v>
      </c>
      <c r="D3836" s="18">
        <v>9999.98</v>
      </c>
    </row>
    <row r="3837" spans="1:4" x14ac:dyDescent="0.3">
      <c r="A3837" s="12"/>
      <c r="B3837" s="12"/>
      <c r="C3837" s="14" t="s">
        <v>107</v>
      </c>
      <c r="D3837" s="18">
        <v>939.98</v>
      </c>
    </row>
    <row r="3838" spans="1:4" x14ac:dyDescent="0.3">
      <c r="A3838" s="12"/>
      <c r="B3838" s="12"/>
      <c r="C3838" s="14" t="s">
        <v>71</v>
      </c>
      <c r="D3838" s="18">
        <v>1999.98</v>
      </c>
    </row>
    <row r="3839" spans="1:4" x14ac:dyDescent="0.3">
      <c r="A3839" s="12"/>
      <c r="B3839" s="10" t="s">
        <v>1915</v>
      </c>
      <c r="C3839" s="11"/>
      <c r="D3839" s="17">
        <v>19081.91</v>
      </c>
    </row>
    <row r="3840" spans="1:4" x14ac:dyDescent="0.3">
      <c r="A3840" s="10" t="s">
        <v>1095</v>
      </c>
      <c r="B3840" s="11"/>
      <c r="C3840" s="11"/>
      <c r="D3840" s="17">
        <v>19081.91</v>
      </c>
    </row>
    <row r="3841" spans="1:4" x14ac:dyDescent="0.3">
      <c r="A3841" s="10">
        <v>800</v>
      </c>
      <c r="B3841" s="10" t="s">
        <v>18</v>
      </c>
      <c r="C3841" s="10" t="s">
        <v>48</v>
      </c>
      <c r="D3841" s="17">
        <v>599.98</v>
      </c>
    </row>
    <row r="3842" spans="1:4" x14ac:dyDescent="0.3">
      <c r="A3842" s="12"/>
      <c r="B3842" s="12"/>
      <c r="C3842" s="14" t="s">
        <v>114</v>
      </c>
      <c r="D3842" s="18">
        <v>693.98</v>
      </c>
    </row>
    <row r="3843" spans="1:4" x14ac:dyDescent="0.3">
      <c r="A3843" s="12"/>
      <c r="B3843" s="12"/>
      <c r="C3843" s="14" t="s">
        <v>32</v>
      </c>
      <c r="D3843" s="18">
        <v>939.98</v>
      </c>
    </row>
    <row r="3844" spans="1:4" x14ac:dyDescent="0.3">
      <c r="A3844" s="12"/>
      <c r="B3844" s="12"/>
      <c r="C3844" s="14" t="s">
        <v>68</v>
      </c>
      <c r="D3844" s="18">
        <v>875.99</v>
      </c>
    </row>
    <row r="3845" spans="1:4" x14ac:dyDescent="0.3">
      <c r="A3845" s="12"/>
      <c r="B3845" s="12"/>
      <c r="C3845" s="14" t="s">
        <v>69</v>
      </c>
      <c r="D3845" s="18">
        <v>3199.99</v>
      </c>
    </row>
    <row r="3846" spans="1:4" x14ac:dyDescent="0.3">
      <c r="A3846" s="12"/>
      <c r="B3846" s="10" t="s">
        <v>1916</v>
      </c>
      <c r="C3846" s="11"/>
      <c r="D3846" s="17">
        <v>6309.92</v>
      </c>
    </row>
    <row r="3847" spans="1:4" x14ac:dyDescent="0.3">
      <c r="A3847" s="10" t="s">
        <v>1096</v>
      </c>
      <c r="B3847" s="11"/>
      <c r="C3847" s="11"/>
      <c r="D3847" s="17">
        <v>6309.92</v>
      </c>
    </row>
    <row r="3848" spans="1:4" x14ac:dyDescent="0.3">
      <c r="A3848" s="10">
        <v>801</v>
      </c>
      <c r="B3848" s="10" t="s">
        <v>11</v>
      </c>
      <c r="C3848" s="10" t="s">
        <v>80</v>
      </c>
      <c r="D3848" s="17">
        <v>339.99</v>
      </c>
    </row>
    <row r="3849" spans="1:4" x14ac:dyDescent="0.3">
      <c r="A3849" s="12"/>
      <c r="B3849" s="10" t="s">
        <v>1915</v>
      </c>
      <c r="C3849" s="11"/>
      <c r="D3849" s="17">
        <v>339.99</v>
      </c>
    </row>
    <row r="3850" spans="1:4" x14ac:dyDescent="0.3">
      <c r="A3850" s="10" t="s">
        <v>1097</v>
      </c>
      <c r="B3850" s="11"/>
      <c r="C3850" s="11"/>
      <c r="D3850" s="17">
        <v>339.99</v>
      </c>
    </row>
    <row r="3851" spans="1:4" x14ac:dyDescent="0.3">
      <c r="A3851" s="10">
        <v>802</v>
      </c>
      <c r="B3851" s="10" t="s">
        <v>18</v>
      </c>
      <c r="C3851" s="10" t="s">
        <v>47</v>
      </c>
      <c r="D3851" s="17">
        <v>999.99</v>
      </c>
    </row>
    <row r="3852" spans="1:4" x14ac:dyDescent="0.3">
      <c r="A3852" s="12"/>
      <c r="B3852" s="12"/>
      <c r="C3852" s="14" t="s">
        <v>86</v>
      </c>
      <c r="D3852" s="18">
        <v>2499.9899999999998</v>
      </c>
    </row>
    <row r="3853" spans="1:4" x14ac:dyDescent="0.3">
      <c r="A3853" s="12"/>
      <c r="B3853" s="12"/>
      <c r="C3853" s="14" t="s">
        <v>116</v>
      </c>
      <c r="D3853" s="18">
        <v>1665.98</v>
      </c>
    </row>
    <row r="3854" spans="1:4" x14ac:dyDescent="0.3">
      <c r="A3854" s="12"/>
      <c r="B3854" s="12"/>
      <c r="C3854" s="14" t="s">
        <v>104</v>
      </c>
      <c r="D3854" s="18">
        <v>4999.99</v>
      </c>
    </row>
    <row r="3855" spans="1:4" x14ac:dyDescent="0.3">
      <c r="A3855" s="12"/>
      <c r="B3855" s="10" t="s">
        <v>1916</v>
      </c>
      <c r="C3855" s="11"/>
      <c r="D3855" s="17">
        <v>10165.949999999999</v>
      </c>
    </row>
    <row r="3856" spans="1:4" x14ac:dyDescent="0.3">
      <c r="A3856" s="10" t="s">
        <v>1098</v>
      </c>
      <c r="B3856" s="11"/>
      <c r="C3856" s="11"/>
      <c r="D3856" s="17">
        <v>10165.949999999999</v>
      </c>
    </row>
    <row r="3857" spans="1:4" x14ac:dyDescent="0.3">
      <c r="A3857" s="10">
        <v>803</v>
      </c>
      <c r="B3857" s="10" t="s">
        <v>37</v>
      </c>
      <c r="C3857" s="10" t="s">
        <v>51</v>
      </c>
      <c r="D3857" s="17">
        <v>489.99</v>
      </c>
    </row>
    <row r="3858" spans="1:4" x14ac:dyDescent="0.3">
      <c r="A3858" s="12"/>
      <c r="B3858" s="12"/>
      <c r="C3858" s="14" t="s">
        <v>112</v>
      </c>
      <c r="D3858" s="18">
        <v>470.99</v>
      </c>
    </row>
    <row r="3859" spans="1:4" x14ac:dyDescent="0.3">
      <c r="A3859" s="12"/>
      <c r="B3859" s="12"/>
      <c r="C3859" s="14" t="s">
        <v>68</v>
      </c>
      <c r="D3859" s="18">
        <v>1751.98</v>
      </c>
    </row>
    <row r="3860" spans="1:4" x14ac:dyDescent="0.3">
      <c r="A3860" s="12"/>
      <c r="B3860" s="12"/>
      <c r="C3860" s="14" t="s">
        <v>66</v>
      </c>
      <c r="D3860" s="18">
        <v>299.98</v>
      </c>
    </row>
    <row r="3861" spans="1:4" x14ac:dyDescent="0.3">
      <c r="A3861" s="12"/>
      <c r="B3861" s="10" t="s">
        <v>1917</v>
      </c>
      <c r="C3861" s="11"/>
      <c r="D3861" s="17">
        <v>3012.94</v>
      </c>
    </row>
    <row r="3862" spans="1:4" x14ac:dyDescent="0.3">
      <c r="A3862" s="10" t="s">
        <v>1099</v>
      </c>
      <c r="B3862" s="11"/>
      <c r="C3862" s="11"/>
      <c r="D3862" s="17">
        <v>3012.94</v>
      </c>
    </row>
    <row r="3863" spans="1:4" x14ac:dyDescent="0.3">
      <c r="A3863" s="10">
        <v>804</v>
      </c>
      <c r="B3863" s="10" t="s">
        <v>18</v>
      </c>
      <c r="C3863" s="10" t="s">
        <v>42</v>
      </c>
      <c r="D3863" s="17">
        <v>749.99</v>
      </c>
    </row>
    <row r="3864" spans="1:4" x14ac:dyDescent="0.3">
      <c r="A3864" s="12"/>
      <c r="B3864" s="12"/>
      <c r="C3864" s="14" t="s">
        <v>94</v>
      </c>
      <c r="D3864" s="18">
        <v>419.98</v>
      </c>
    </row>
    <row r="3865" spans="1:4" x14ac:dyDescent="0.3">
      <c r="A3865" s="12"/>
      <c r="B3865" s="12"/>
      <c r="C3865" s="14" t="s">
        <v>79</v>
      </c>
      <c r="D3865" s="18">
        <v>11999.98</v>
      </c>
    </row>
    <row r="3866" spans="1:4" x14ac:dyDescent="0.3">
      <c r="A3866" s="12"/>
      <c r="B3866" s="10" t="s">
        <v>1916</v>
      </c>
      <c r="C3866" s="11"/>
      <c r="D3866" s="17">
        <v>13169.949999999999</v>
      </c>
    </row>
    <row r="3867" spans="1:4" x14ac:dyDescent="0.3">
      <c r="A3867" s="10" t="s">
        <v>1100</v>
      </c>
      <c r="B3867" s="11"/>
      <c r="C3867" s="11"/>
      <c r="D3867" s="17">
        <v>13169.949999999999</v>
      </c>
    </row>
    <row r="3868" spans="1:4" x14ac:dyDescent="0.3">
      <c r="A3868" s="10">
        <v>805</v>
      </c>
      <c r="B3868" s="10" t="s">
        <v>18</v>
      </c>
      <c r="C3868" s="10" t="s">
        <v>25</v>
      </c>
      <c r="D3868" s="17">
        <v>549.99</v>
      </c>
    </row>
    <row r="3869" spans="1:4" x14ac:dyDescent="0.3">
      <c r="A3869" s="12"/>
      <c r="B3869" s="12"/>
      <c r="C3869" s="14" t="s">
        <v>32</v>
      </c>
      <c r="D3869" s="18">
        <v>939.98</v>
      </c>
    </row>
    <row r="3870" spans="1:4" x14ac:dyDescent="0.3">
      <c r="A3870" s="12"/>
      <c r="B3870" s="12"/>
      <c r="C3870" s="14" t="s">
        <v>67</v>
      </c>
      <c r="D3870" s="18">
        <v>939.98</v>
      </c>
    </row>
    <row r="3871" spans="1:4" x14ac:dyDescent="0.3">
      <c r="A3871" s="12"/>
      <c r="B3871" s="12"/>
      <c r="C3871" s="14" t="s">
        <v>50</v>
      </c>
      <c r="D3871" s="18">
        <v>6999.98</v>
      </c>
    </row>
    <row r="3872" spans="1:4" x14ac:dyDescent="0.3">
      <c r="A3872" s="12"/>
      <c r="B3872" s="12"/>
      <c r="C3872" s="14" t="s">
        <v>46</v>
      </c>
      <c r="D3872" s="18">
        <v>469.99</v>
      </c>
    </row>
    <row r="3873" spans="1:4" x14ac:dyDescent="0.3">
      <c r="A3873" s="12"/>
      <c r="B3873" s="10" t="s">
        <v>1916</v>
      </c>
      <c r="C3873" s="11"/>
      <c r="D3873" s="17">
        <v>9899.92</v>
      </c>
    </row>
    <row r="3874" spans="1:4" x14ac:dyDescent="0.3">
      <c r="A3874" s="10" t="s">
        <v>1101</v>
      </c>
      <c r="B3874" s="11"/>
      <c r="C3874" s="11"/>
      <c r="D3874" s="17">
        <v>9899.92</v>
      </c>
    </row>
    <row r="3875" spans="1:4" x14ac:dyDescent="0.3">
      <c r="A3875" s="10">
        <v>806</v>
      </c>
      <c r="B3875" s="10" t="s">
        <v>18</v>
      </c>
      <c r="C3875" s="10" t="s">
        <v>100</v>
      </c>
      <c r="D3875" s="17">
        <v>1319.98</v>
      </c>
    </row>
    <row r="3876" spans="1:4" x14ac:dyDescent="0.3">
      <c r="A3876" s="12"/>
      <c r="B3876" s="12"/>
      <c r="C3876" s="14" t="s">
        <v>113</v>
      </c>
      <c r="D3876" s="18">
        <v>1599.98</v>
      </c>
    </row>
    <row r="3877" spans="1:4" x14ac:dyDescent="0.3">
      <c r="A3877" s="12"/>
      <c r="B3877" s="12"/>
      <c r="C3877" s="14" t="s">
        <v>55</v>
      </c>
      <c r="D3877" s="18">
        <v>349.99</v>
      </c>
    </row>
    <row r="3878" spans="1:4" x14ac:dyDescent="0.3">
      <c r="A3878" s="12"/>
      <c r="B3878" s="12"/>
      <c r="C3878" s="14" t="s">
        <v>110</v>
      </c>
      <c r="D3878" s="18">
        <v>419.98</v>
      </c>
    </row>
    <row r="3879" spans="1:4" x14ac:dyDescent="0.3">
      <c r="A3879" s="12"/>
      <c r="B3879" s="12"/>
      <c r="C3879" s="14" t="s">
        <v>97</v>
      </c>
      <c r="D3879" s="18">
        <v>699.98</v>
      </c>
    </row>
    <row r="3880" spans="1:4" x14ac:dyDescent="0.3">
      <c r="A3880" s="12"/>
      <c r="B3880" s="10" t="s">
        <v>1916</v>
      </c>
      <c r="C3880" s="11"/>
      <c r="D3880" s="17">
        <v>4389.91</v>
      </c>
    </row>
    <row r="3881" spans="1:4" x14ac:dyDescent="0.3">
      <c r="A3881" s="10" t="s">
        <v>1102</v>
      </c>
      <c r="B3881" s="11"/>
      <c r="C3881" s="11"/>
      <c r="D3881" s="17">
        <v>4389.91</v>
      </c>
    </row>
    <row r="3882" spans="1:4" x14ac:dyDescent="0.3">
      <c r="A3882" s="10">
        <v>807</v>
      </c>
      <c r="B3882" s="10" t="s">
        <v>18</v>
      </c>
      <c r="C3882" s="10" t="s">
        <v>31</v>
      </c>
      <c r="D3882" s="17">
        <v>539.98</v>
      </c>
    </row>
    <row r="3883" spans="1:4" x14ac:dyDescent="0.3">
      <c r="A3883" s="12"/>
      <c r="B3883" s="12"/>
      <c r="C3883" s="14" t="s">
        <v>14</v>
      </c>
      <c r="D3883" s="18">
        <v>599.99</v>
      </c>
    </row>
    <row r="3884" spans="1:4" x14ac:dyDescent="0.3">
      <c r="A3884" s="12"/>
      <c r="B3884" s="12"/>
      <c r="C3884" s="14" t="s">
        <v>32</v>
      </c>
      <c r="D3884" s="18">
        <v>469.99</v>
      </c>
    </row>
    <row r="3885" spans="1:4" x14ac:dyDescent="0.3">
      <c r="A3885" s="12"/>
      <c r="B3885" s="12"/>
      <c r="C3885" s="14" t="s">
        <v>20</v>
      </c>
      <c r="D3885" s="18">
        <v>1999.98</v>
      </c>
    </row>
    <row r="3886" spans="1:4" x14ac:dyDescent="0.3">
      <c r="A3886" s="12"/>
      <c r="B3886" s="12"/>
      <c r="C3886" s="14" t="s">
        <v>26</v>
      </c>
      <c r="D3886" s="18">
        <v>5999.98</v>
      </c>
    </row>
    <row r="3887" spans="1:4" x14ac:dyDescent="0.3">
      <c r="A3887" s="12"/>
      <c r="B3887" s="10" t="s">
        <v>1916</v>
      </c>
      <c r="C3887" s="11"/>
      <c r="D3887" s="17">
        <v>9609.92</v>
      </c>
    </row>
    <row r="3888" spans="1:4" x14ac:dyDescent="0.3">
      <c r="A3888" s="10" t="s">
        <v>1103</v>
      </c>
      <c r="B3888" s="11"/>
      <c r="C3888" s="11"/>
      <c r="D3888" s="17">
        <v>9609.92</v>
      </c>
    </row>
    <row r="3889" spans="1:4" x14ac:dyDescent="0.3">
      <c r="A3889" s="10">
        <v>808</v>
      </c>
      <c r="B3889" s="10" t="s">
        <v>18</v>
      </c>
      <c r="C3889" s="10" t="s">
        <v>91</v>
      </c>
      <c r="D3889" s="17">
        <v>699.98</v>
      </c>
    </row>
    <row r="3890" spans="1:4" x14ac:dyDescent="0.3">
      <c r="A3890" s="12"/>
      <c r="B3890" s="12"/>
      <c r="C3890" s="14" t="s">
        <v>38</v>
      </c>
      <c r="D3890" s="18">
        <v>329.99</v>
      </c>
    </row>
    <row r="3891" spans="1:4" x14ac:dyDescent="0.3">
      <c r="A3891" s="12"/>
      <c r="B3891" s="12"/>
      <c r="C3891" s="14" t="s">
        <v>24</v>
      </c>
      <c r="D3891" s="18">
        <v>449</v>
      </c>
    </row>
    <row r="3892" spans="1:4" x14ac:dyDescent="0.3">
      <c r="A3892" s="12"/>
      <c r="B3892" s="12"/>
      <c r="C3892" s="14" t="s">
        <v>36</v>
      </c>
      <c r="D3892" s="18">
        <v>898</v>
      </c>
    </row>
    <row r="3893" spans="1:4" x14ac:dyDescent="0.3">
      <c r="A3893" s="12"/>
      <c r="B3893" s="10" t="s">
        <v>1916</v>
      </c>
      <c r="C3893" s="11"/>
      <c r="D3893" s="17">
        <v>2376.9700000000003</v>
      </c>
    </row>
    <row r="3894" spans="1:4" x14ac:dyDescent="0.3">
      <c r="A3894" s="10" t="s">
        <v>1104</v>
      </c>
      <c r="B3894" s="11"/>
      <c r="C3894" s="11"/>
      <c r="D3894" s="17">
        <v>2376.9700000000003</v>
      </c>
    </row>
    <row r="3895" spans="1:4" x14ac:dyDescent="0.3">
      <c r="A3895" s="10">
        <v>809</v>
      </c>
      <c r="B3895" s="10" t="s">
        <v>18</v>
      </c>
      <c r="C3895" s="10" t="s">
        <v>14</v>
      </c>
      <c r="D3895" s="17">
        <v>599.99</v>
      </c>
    </row>
    <row r="3896" spans="1:4" x14ac:dyDescent="0.3">
      <c r="A3896" s="12"/>
      <c r="B3896" s="12"/>
      <c r="C3896" s="14" t="s">
        <v>111</v>
      </c>
      <c r="D3896" s="18">
        <v>419.98</v>
      </c>
    </row>
    <row r="3897" spans="1:4" x14ac:dyDescent="0.3">
      <c r="A3897" s="12"/>
      <c r="B3897" s="12"/>
      <c r="C3897" s="14" t="s">
        <v>57</v>
      </c>
      <c r="D3897" s="18">
        <v>647.99</v>
      </c>
    </row>
    <row r="3898" spans="1:4" x14ac:dyDescent="0.3">
      <c r="A3898" s="12"/>
      <c r="B3898" s="10" t="s">
        <v>1916</v>
      </c>
      <c r="C3898" s="11"/>
      <c r="D3898" s="17">
        <v>1667.96</v>
      </c>
    </row>
    <row r="3899" spans="1:4" x14ac:dyDescent="0.3">
      <c r="A3899" s="10" t="s">
        <v>1105</v>
      </c>
      <c r="B3899" s="11"/>
      <c r="C3899" s="11"/>
      <c r="D3899" s="17">
        <v>1667.96</v>
      </c>
    </row>
    <row r="3900" spans="1:4" x14ac:dyDescent="0.3">
      <c r="A3900" s="10">
        <v>810</v>
      </c>
      <c r="B3900" s="10" t="s">
        <v>37</v>
      </c>
      <c r="C3900" s="10" t="s">
        <v>28</v>
      </c>
      <c r="D3900" s="17">
        <v>269.99</v>
      </c>
    </row>
    <row r="3901" spans="1:4" x14ac:dyDescent="0.3">
      <c r="A3901" s="12"/>
      <c r="B3901" s="12"/>
      <c r="C3901" s="14" t="s">
        <v>105</v>
      </c>
      <c r="D3901" s="18">
        <v>489.99</v>
      </c>
    </row>
    <row r="3902" spans="1:4" x14ac:dyDescent="0.3">
      <c r="A3902" s="12"/>
      <c r="B3902" s="12"/>
      <c r="C3902" s="14" t="s">
        <v>40</v>
      </c>
      <c r="D3902" s="18">
        <v>1103.98</v>
      </c>
    </row>
    <row r="3903" spans="1:4" x14ac:dyDescent="0.3">
      <c r="A3903" s="12"/>
      <c r="B3903" s="12"/>
      <c r="C3903" s="14" t="s">
        <v>41</v>
      </c>
      <c r="D3903" s="18">
        <v>5499.99</v>
      </c>
    </row>
    <row r="3904" spans="1:4" x14ac:dyDescent="0.3">
      <c r="A3904" s="12"/>
      <c r="B3904" s="10" t="s">
        <v>1917</v>
      </c>
      <c r="C3904" s="11"/>
      <c r="D3904" s="17">
        <v>7363.95</v>
      </c>
    </row>
    <row r="3905" spans="1:4" x14ac:dyDescent="0.3">
      <c r="A3905" s="10" t="s">
        <v>1106</v>
      </c>
      <c r="B3905" s="11"/>
      <c r="C3905" s="11"/>
      <c r="D3905" s="17">
        <v>7363.95</v>
      </c>
    </row>
    <row r="3906" spans="1:4" x14ac:dyDescent="0.3">
      <c r="A3906" s="10">
        <v>811</v>
      </c>
      <c r="B3906" s="10" t="s">
        <v>18</v>
      </c>
      <c r="C3906" s="10" t="s">
        <v>73</v>
      </c>
      <c r="D3906" s="17">
        <v>659.99</v>
      </c>
    </row>
    <row r="3907" spans="1:4" x14ac:dyDescent="0.3">
      <c r="A3907" s="12"/>
      <c r="B3907" s="12"/>
      <c r="C3907" s="14" t="s">
        <v>88</v>
      </c>
      <c r="D3907" s="18">
        <v>1739.98</v>
      </c>
    </row>
    <row r="3908" spans="1:4" x14ac:dyDescent="0.3">
      <c r="A3908" s="12"/>
      <c r="B3908" s="12"/>
      <c r="C3908" s="14" t="s">
        <v>92</v>
      </c>
      <c r="D3908" s="18">
        <v>250.99</v>
      </c>
    </row>
    <row r="3909" spans="1:4" x14ac:dyDescent="0.3">
      <c r="A3909" s="12"/>
      <c r="B3909" s="12"/>
      <c r="C3909" s="14" t="s">
        <v>69</v>
      </c>
      <c r="D3909" s="18">
        <v>3199.99</v>
      </c>
    </row>
    <row r="3910" spans="1:4" x14ac:dyDescent="0.3">
      <c r="A3910" s="12"/>
      <c r="B3910" s="10" t="s">
        <v>1916</v>
      </c>
      <c r="C3910" s="11"/>
      <c r="D3910" s="17">
        <v>5850.95</v>
      </c>
    </row>
    <row r="3911" spans="1:4" x14ac:dyDescent="0.3">
      <c r="A3911" s="10" t="s">
        <v>1107</v>
      </c>
      <c r="B3911" s="11"/>
      <c r="C3911" s="11"/>
      <c r="D3911" s="17">
        <v>5850.95</v>
      </c>
    </row>
    <row r="3912" spans="1:4" x14ac:dyDescent="0.3">
      <c r="A3912" s="10">
        <v>812</v>
      </c>
      <c r="B3912" s="10" t="s">
        <v>18</v>
      </c>
      <c r="C3912" s="10" t="s">
        <v>48</v>
      </c>
      <c r="D3912" s="17">
        <v>599.98</v>
      </c>
    </row>
    <row r="3913" spans="1:4" x14ac:dyDescent="0.3">
      <c r="A3913" s="12"/>
      <c r="B3913" s="12"/>
      <c r="C3913" s="14" t="s">
        <v>104</v>
      </c>
      <c r="D3913" s="18">
        <v>4999.99</v>
      </c>
    </row>
    <row r="3914" spans="1:4" x14ac:dyDescent="0.3">
      <c r="A3914" s="12"/>
      <c r="B3914" s="10" t="s">
        <v>1916</v>
      </c>
      <c r="C3914" s="11"/>
      <c r="D3914" s="17">
        <v>5599.9699999999993</v>
      </c>
    </row>
    <row r="3915" spans="1:4" x14ac:dyDescent="0.3">
      <c r="A3915" s="10" t="s">
        <v>1108</v>
      </c>
      <c r="B3915" s="11"/>
      <c r="C3915" s="11"/>
      <c r="D3915" s="17">
        <v>5599.9699999999993</v>
      </c>
    </row>
    <row r="3916" spans="1:4" x14ac:dyDescent="0.3">
      <c r="A3916" s="10">
        <v>813</v>
      </c>
      <c r="B3916" s="10" t="s">
        <v>37</v>
      </c>
      <c r="C3916" s="10" t="s">
        <v>91</v>
      </c>
      <c r="D3916" s="17">
        <v>699.98</v>
      </c>
    </row>
    <row r="3917" spans="1:4" x14ac:dyDescent="0.3">
      <c r="A3917" s="12"/>
      <c r="B3917" s="12"/>
      <c r="C3917" s="14" t="s">
        <v>14</v>
      </c>
      <c r="D3917" s="18">
        <v>1199.98</v>
      </c>
    </row>
    <row r="3918" spans="1:4" x14ac:dyDescent="0.3">
      <c r="A3918" s="12"/>
      <c r="B3918" s="12"/>
      <c r="C3918" s="14" t="s">
        <v>38</v>
      </c>
      <c r="D3918" s="18">
        <v>659.98</v>
      </c>
    </row>
    <row r="3919" spans="1:4" x14ac:dyDescent="0.3">
      <c r="A3919" s="12"/>
      <c r="B3919" s="12"/>
      <c r="C3919" s="14" t="s">
        <v>78</v>
      </c>
      <c r="D3919" s="18">
        <v>833.98</v>
      </c>
    </row>
    <row r="3920" spans="1:4" x14ac:dyDescent="0.3">
      <c r="A3920" s="12"/>
      <c r="B3920" s="12"/>
      <c r="C3920" s="14" t="s">
        <v>67</v>
      </c>
      <c r="D3920" s="18">
        <v>939.98</v>
      </c>
    </row>
    <row r="3921" spans="1:4" x14ac:dyDescent="0.3">
      <c r="A3921" s="12"/>
      <c r="B3921" s="10" t="s">
        <v>1917</v>
      </c>
      <c r="C3921" s="11"/>
      <c r="D3921" s="17">
        <v>4333.8999999999996</v>
      </c>
    </row>
    <row r="3922" spans="1:4" x14ac:dyDescent="0.3">
      <c r="A3922" s="10" t="s">
        <v>1109</v>
      </c>
      <c r="B3922" s="11"/>
      <c r="C3922" s="11"/>
      <c r="D3922" s="17">
        <v>4333.8999999999996</v>
      </c>
    </row>
    <row r="3923" spans="1:4" x14ac:dyDescent="0.3">
      <c r="A3923" s="10">
        <v>814</v>
      </c>
      <c r="B3923" s="10" t="s">
        <v>18</v>
      </c>
      <c r="C3923" s="10" t="s">
        <v>105</v>
      </c>
      <c r="D3923" s="17">
        <v>489.99</v>
      </c>
    </row>
    <row r="3924" spans="1:4" x14ac:dyDescent="0.3">
      <c r="A3924" s="12"/>
      <c r="B3924" s="12"/>
      <c r="C3924" s="14" t="s">
        <v>89</v>
      </c>
      <c r="D3924" s="18">
        <v>833.98</v>
      </c>
    </row>
    <row r="3925" spans="1:4" x14ac:dyDescent="0.3">
      <c r="A3925" s="12"/>
      <c r="B3925" s="12"/>
      <c r="C3925" s="14" t="s">
        <v>114</v>
      </c>
      <c r="D3925" s="18">
        <v>346.99</v>
      </c>
    </row>
    <row r="3926" spans="1:4" x14ac:dyDescent="0.3">
      <c r="A3926" s="12"/>
      <c r="B3926" s="12"/>
      <c r="C3926" s="14" t="s">
        <v>66</v>
      </c>
      <c r="D3926" s="18">
        <v>299.98</v>
      </c>
    </row>
    <row r="3927" spans="1:4" x14ac:dyDescent="0.3">
      <c r="A3927" s="12"/>
      <c r="B3927" s="10" t="s">
        <v>1916</v>
      </c>
      <c r="C3927" s="11"/>
      <c r="D3927" s="17">
        <v>1970.94</v>
      </c>
    </row>
    <row r="3928" spans="1:4" x14ac:dyDescent="0.3">
      <c r="A3928" s="10" t="s">
        <v>1110</v>
      </c>
      <c r="B3928" s="11"/>
      <c r="C3928" s="11"/>
      <c r="D3928" s="17">
        <v>1970.94</v>
      </c>
    </row>
    <row r="3929" spans="1:4" x14ac:dyDescent="0.3">
      <c r="A3929" s="10">
        <v>815</v>
      </c>
      <c r="B3929" s="10" t="s">
        <v>11</v>
      </c>
      <c r="C3929" s="10" t="s">
        <v>33</v>
      </c>
      <c r="D3929" s="17">
        <v>299.99</v>
      </c>
    </row>
    <row r="3930" spans="1:4" x14ac:dyDescent="0.3">
      <c r="A3930" s="12"/>
      <c r="B3930" s="12"/>
      <c r="C3930" s="14" t="s">
        <v>51</v>
      </c>
      <c r="D3930" s="18">
        <v>979.98</v>
      </c>
    </row>
    <row r="3931" spans="1:4" x14ac:dyDescent="0.3">
      <c r="A3931" s="12"/>
      <c r="B3931" s="12"/>
      <c r="C3931" s="14" t="s">
        <v>96</v>
      </c>
      <c r="D3931" s="18">
        <v>1067.98</v>
      </c>
    </row>
    <row r="3932" spans="1:4" x14ac:dyDescent="0.3">
      <c r="A3932" s="12"/>
      <c r="B3932" s="12"/>
      <c r="C3932" s="14" t="s">
        <v>117</v>
      </c>
      <c r="D3932" s="18">
        <v>379.98</v>
      </c>
    </row>
    <row r="3933" spans="1:4" x14ac:dyDescent="0.3">
      <c r="A3933" s="12"/>
      <c r="B3933" s="10" t="s">
        <v>1915</v>
      </c>
      <c r="C3933" s="11"/>
      <c r="D3933" s="17">
        <v>2727.93</v>
      </c>
    </row>
    <row r="3934" spans="1:4" x14ac:dyDescent="0.3">
      <c r="A3934" s="10" t="s">
        <v>1111</v>
      </c>
      <c r="B3934" s="11"/>
      <c r="C3934" s="11"/>
      <c r="D3934" s="17">
        <v>2727.93</v>
      </c>
    </row>
    <row r="3935" spans="1:4" x14ac:dyDescent="0.3">
      <c r="A3935" s="10">
        <v>816</v>
      </c>
      <c r="B3935" s="10" t="s">
        <v>18</v>
      </c>
      <c r="C3935" s="10" t="s">
        <v>95</v>
      </c>
      <c r="D3935" s="17">
        <v>1199.98</v>
      </c>
    </row>
    <row r="3936" spans="1:4" x14ac:dyDescent="0.3">
      <c r="A3936" s="12"/>
      <c r="B3936" s="12"/>
      <c r="C3936" s="14" t="s">
        <v>51</v>
      </c>
      <c r="D3936" s="18">
        <v>979.98</v>
      </c>
    </row>
    <row r="3937" spans="1:4" x14ac:dyDescent="0.3">
      <c r="A3937" s="12"/>
      <c r="B3937" s="10" t="s">
        <v>1916</v>
      </c>
      <c r="C3937" s="11"/>
      <c r="D3937" s="17">
        <v>2179.96</v>
      </c>
    </row>
    <row r="3938" spans="1:4" x14ac:dyDescent="0.3">
      <c r="A3938" s="10" t="s">
        <v>1112</v>
      </c>
      <c r="B3938" s="11"/>
      <c r="C3938" s="11"/>
      <c r="D3938" s="17">
        <v>2179.96</v>
      </c>
    </row>
    <row r="3939" spans="1:4" x14ac:dyDescent="0.3">
      <c r="A3939" s="10">
        <v>817</v>
      </c>
      <c r="B3939" s="10" t="s">
        <v>18</v>
      </c>
      <c r="C3939" s="10" t="s">
        <v>38</v>
      </c>
      <c r="D3939" s="17">
        <v>329.99</v>
      </c>
    </row>
    <row r="3940" spans="1:4" x14ac:dyDescent="0.3">
      <c r="A3940" s="12"/>
      <c r="B3940" s="12"/>
      <c r="C3940" s="14" t="s">
        <v>96</v>
      </c>
      <c r="D3940" s="18">
        <v>1067.98</v>
      </c>
    </row>
    <row r="3941" spans="1:4" x14ac:dyDescent="0.3">
      <c r="A3941" s="12"/>
      <c r="B3941" s="12"/>
      <c r="C3941" s="14" t="s">
        <v>84</v>
      </c>
      <c r="D3941" s="18">
        <v>2999.98</v>
      </c>
    </row>
    <row r="3942" spans="1:4" x14ac:dyDescent="0.3">
      <c r="A3942" s="12"/>
      <c r="B3942" s="10" t="s">
        <v>1916</v>
      </c>
      <c r="C3942" s="11"/>
      <c r="D3942" s="17">
        <v>4397.95</v>
      </c>
    </row>
    <row r="3943" spans="1:4" x14ac:dyDescent="0.3">
      <c r="A3943" s="10" t="s">
        <v>1113</v>
      </c>
      <c r="B3943" s="11"/>
      <c r="C3943" s="11"/>
      <c r="D3943" s="17">
        <v>4397.95</v>
      </c>
    </row>
    <row r="3944" spans="1:4" x14ac:dyDescent="0.3">
      <c r="A3944" s="10">
        <v>818</v>
      </c>
      <c r="B3944" s="10" t="s">
        <v>18</v>
      </c>
      <c r="C3944" s="10" t="s">
        <v>108</v>
      </c>
      <c r="D3944" s="17">
        <v>1079.98</v>
      </c>
    </row>
    <row r="3945" spans="1:4" x14ac:dyDescent="0.3">
      <c r="A3945" s="12"/>
      <c r="B3945" s="12"/>
      <c r="C3945" s="14" t="s">
        <v>36</v>
      </c>
      <c r="D3945" s="18">
        <v>898</v>
      </c>
    </row>
    <row r="3946" spans="1:4" x14ac:dyDescent="0.3">
      <c r="A3946" s="12"/>
      <c r="B3946" s="12"/>
      <c r="C3946" s="14" t="s">
        <v>40</v>
      </c>
      <c r="D3946" s="18">
        <v>551.99</v>
      </c>
    </row>
    <row r="3947" spans="1:4" x14ac:dyDescent="0.3">
      <c r="A3947" s="12"/>
      <c r="B3947" s="12"/>
      <c r="C3947" s="14" t="s">
        <v>84</v>
      </c>
      <c r="D3947" s="18">
        <v>2999.98</v>
      </c>
    </row>
    <row r="3948" spans="1:4" x14ac:dyDescent="0.3">
      <c r="A3948" s="12"/>
      <c r="B3948" s="10" t="s">
        <v>1916</v>
      </c>
      <c r="C3948" s="11"/>
      <c r="D3948" s="17">
        <v>5529.9500000000007</v>
      </c>
    </row>
    <row r="3949" spans="1:4" x14ac:dyDescent="0.3">
      <c r="A3949" s="10" t="s">
        <v>1114</v>
      </c>
      <c r="B3949" s="11"/>
      <c r="C3949" s="11"/>
      <c r="D3949" s="17">
        <v>5529.9500000000007</v>
      </c>
    </row>
    <row r="3950" spans="1:4" x14ac:dyDescent="0.3">
      <c r="A3950" s="10">
        <v>819</v>
      </c>
      <c r="B3950" s="10" t="s">
        <v>37</v>
      </c>
      <c r="C3950" s="10" t="s">
        <v>59</v>
      </c>
      <c r="D3950" s="17">
        <v>249.99</v>
      </c>
    </row>
    <row r="3951" spans="1:4" x14ac:dyDescent="0.3">
      <c r="A3951" s="12"/>
      <c r="B3951" s="10" t="s">
        <v>1917</v>
      </c>
      <c r="C3951" s="11"/>
      <c r="D3951" s="17">
        <v>249.99</v>
      </c>
    </row>
    <row r="3952" spans="1:4" x14ac:dyDescent="0.3">
      <c r="A3952" s="10" t="s">
        <v>1115</v>
      </c>
      <c r="B3952" s="11"/>
      <c r="C3952" s="11"/>
      <c r="D3952" s="17">
        <v>249.99</v>
      </c>
    </row>
    <row r="3953" spans="1:4" x14ac:dyDescent="0.3">
      <c r="A3953" s="10">
        <v>820</v>
      </c>
      <c r="B3953" s="10" t="s">
        <v>18</v>
      </c>
      <c r="C3953" s="10" t="s">
        <v>89</v>
      </c>
      <c r="D3953" s="17">
        <v>416.99</v>
      </c>
    </row>
    <row r="3954" spans="1:4" x14ac:dyDescent="0.3">
      <c r="A3954" s="12"/>
      <c r="B3954" s="10" t="s">
        <v>1916</v>
      </c>
      <c r="C3954" s="11"/>
      <c r="D3954" s="17">
        <v>416.99</v>
      </c>
    </row>
    <row r="3955" spans="1:4" x14ac:dyDescent="0.3">
      <c r="A3955" s="10" t="s">
        <v>1116</v>
      </c>
      <c r="B3955" s="11"/>
      <c r="C3955" s="11"/>
      <c r="D3955" s="17">
        <v>416.99</v>
      </c>
    </row>
    <row r="3956" spans="1:4" x14ac:dyDescent="0.3">
      <c r="A3956" s="10">
        <v>821</v>
      </c>
      <c r="B3956" s="10" t="s">
        <v>18</v>
      </c>
      <c r="C3956" s="10" t="s">
        <v>73</v>
      </c>
      <c r="D3956" s="17">
        <v>1319.98</v>
      </c>
    </row>
    <row r="3957" spans="1:4" x14ac:dyDescent="0.3">
      <c r="A3957" s="12"/>
      <c r="B3957" s="12"/>
      <c r="C3957" s="14" t="s">
        <v>51</v>
      </c>
      <c r="D3957" s="18">
        <v>489.99</v>
      </c>
    </row>
    <row r="3958" spans="1:4" x14ac:dyDescent="0.3">
      <c r="A3958" s="12"/>
      <c r="B3958" s="12"/>
      <c r="C3958" s="14" t="s">
        <v>89</v>
      </c>
      <c r="D3958" s="18">
        <v>416.99</v>
      </c>
    </row>
    <row r="3959" spans="1:4" x14ac:dyDescent="0.3">
      <c r="A3959" s="12"/>
      <c r="B3959" s="12"/>
      <c r="C3959" s="14" t="s">
        <v>32</v>
      </c>
      <c r="D3959" s="18">
        <v>469.99</v>
      </c>
    </row>
    <row r="3960" spans="1:4" x14ac:dyDescent="0.3">
      <c r="A3960" s="12"/>
      <c r="B3960" s="10" t="s">
        <v>1916</v>
      </c>
      <c r="C3960" s="11"/>
      <c r="D3960" s="17">
        <v>2696.95</v>
      </c>
    </row>
    <row r="3961" spans="1:4" x14ac:dyDescent="0.3">
      <c r="A3961" s="10" t="s">
        <v>1117</v>
      </c>
      <c r="B3961" s="11"/>
      <c r="C3961" s="11"/>
      <c r="D3961" s="17">
        <v>2696.95</v>
      </c>
    </row>
    <row r="3962" spans="1:4" x14ac:dyDescent="0.3">
      <c r="A3962" s="10">
        <v>822</v>
      </c>
      <c r="B3962" s="10" t="s">
        <v>18</v>
      </c>
      <c r="C3962" s="10" t="s">
        <v>44</v>
      </c>
      <c r="D3962" s="17">
        <v>619.99</v>
      </c>
    </row>
    <row r="3963" spans="1:4" x14ac:dyDescent="0.3">
      <c r="A3963" s="12"/>
      <c r="B3963" s="12"/>
      <c r="C3963" s="14" t="s">
        <v>42</v>
      </c>
      <c r="D3963" s="18">
        <v>749.99</v>
      </c>
    </row>
    <row r="3964" spans="1:4" x14ac:dyDescent="0.3">
      <c r="A3964" s="12"/>
      <c r="B3964" s="10" t="s">
        <v>1916</v>
      </c>
      <c r="C3964" s="11"/>
      <c r="D3964" s="17">
        <v>1369.98</v>
      </c>
    </row>
    <row r="3965" spans="1:4" x14ac:dyDescent="0.3">
      <c r="A3965" s="10" t="s">
        <v>1118</v>
      </c>
      <c r="B3965" s="11"/>
      <c r="C3965" s="11"/>
      <c r="D3965" s="17">
        <v>1369.98</v>
      </c>
    </row>
    <row r="3966" spans="1:4" x14ac:dyDescent="0.3">
      <c r="A3966" s="10">
        <v>823</v>
      </c>
      <c r="B3966" s="10" t="s">
        <v>37</v>
      </c>
      <c r="C3966" s="10" t="s">
        <v>99</v>
      </c>
      <c r="D3966" s="17">
        <v>1099.99</v>
      </c>
    </row>
    <row r="3967" spans="1:4" x14ac:dyDescent="0.3">
      <c r="A3967" s="12"/>
      <c r="B3967" s="12"/>
      <c r="C3967" s="14" t="s">
        <v>41</v>
      </c>
      <c r="D3967" s="18">
        <v>10999.98</v>
      </c>
    </row>
    <row r="3968" spans="1:4" x14ac:dyDescent="0.3">
      <c r="A3968" s="12"/>
      <c r="B3968" s="12"/>
      <c r="C3968" s="14" t="s">
        <v>115</v>
      </c>
      <c r="D3968" s="18">
        <v>299.98</v>
      </c>
    </row>
    <row r="3969" spans="1:4" x14ac:dyDescent="0.3">
      <c r="A3969" s="12"/>
      <c r="B3969" s="10" t="s">
        <v>1917</v>
      </c>
      <c r="C3969" s="11"/>
      <c r="D3969" s="17">
        <v>12399.949999999999</v>
      </c>
    </row>
    <row r="3970" spans="1:4" x14ac:dyDescent="0.3">
      <c r="A3970" s="10" t="s">
        <v>1119</v>
      </c>
      <c r="B3970" s="11"/>
      <c r="C3970" s="11"/>
      <c r="D3970" s="17">
        <v>12399.949999999999</v>
      </c>
    </row>
    <row r="3971" spans="1:4" x14ac:dyDescent="0.3">
      <c r="A3971" s="10">
        <v>824</v>
      </c>
      <c r="B3971" s="10" t="s">
        <v>11</v>
      </c>
      <c r="C3971" s="10" t="s">
        <v>111</v>
      </c>
      <c r="D3971" s="17">
        <v>419.98</v>
      </c>
    </row>
    <row r="3972" spans="1:4" x14ac:dyDescent="0.3">
      <c r="A3972" s="12"/>
      <c r="B3972" s="10" t="s">
        <v>1915</v>
      </c>
      <c r="C3972" s="11"/>
      <c r="D3972" s="17">
        <v>419.98</v>
      </c>
    </row>
    <row r="3973" spans="1:4" x14ac:dyDescent="0.3">
      <c r="A3973" s="10" t="s">
        <v>1120</v>
      </c>
      <c r="B3973" s="11"/>
      <c r="C3973" s="11"/>
      <c r="D3973" s="17">
        <v>419.98</v>
      </c>
    </row>
    <row r="3974" spans="1:4" x14ac:dyDescent="0.3">
      <c r="A3974" s="10">
        <v>825</v>
      </c>
      <c r="B3974" s="10" t="s">
        <v>18</v>
      </c>
      <c r="C3974" s="10" t="s">
        <v>36</v>
      </c>
      <c r="D3974" s="17">
        <v>449</v>
      </c>
    </row>
    <row r="3975" spans="1:4" x14ac:dyDescent="0.3">
      <c r="A3975" s="12"/>
      <c r="B3975" s="12"/>
      <c r="C3975" s="14" t="s">
        <v>47</v>
      </c>
      <c r="D3975" s="18">
        <v>1999.98</v>
      </c>
    </row>
    <row r="3976" spans="1:4" x14ac:dyDescent="0.3">
      <c r="A3976" s="12"/>
      <c r="B3976" s="10" t="s">
        <v>1916</v>
      </c>
      <c r="C3976" s="11"/>
      <c r="D3976" s="17">
        <v>2448.98</v>
      </c>
    </row>
    <row r="3977" spans="1:4" x14ac:dyDescent="0.3">
      <c r="A3977" s="10" t="s">
        <v>1121</v>
      </c>
      <c r="B3977" s="11"/>
      <c r="C3977" s="11"/>
      <c r="D3977" s="17">
        <v>2448.98</v>
      </c>
    </row>
    <row r="3978" spans="1:4" x14ac:dyDescent="0.3">
      <c r="A3978" s="10">
        <v>826</v>
      </c>
      <c r="B3978" s="10" t="s">
        <v>18</v>
      </c>
      <c r="C3978" s="10" t="s">
        <v>88</v>
      </c>
      <c r="D3978" s="17">
        <v>1739.98</v>
      </c>
    </row>
    <row r="3979" spans="1:4" x14ac:dyDescent="0.3">
      <c r="A3979" s="12"/>
      <c r="B3979" s="12"/>
      <c r="C3979" s="14" t="s">
        <v>116</v>
      </c>
      <c r="D3979" s="18">
        <v>832.99</v>
      </c>
    </row>
    <row r="3980" spans="1:4" x14ac:dyDescent="0.3">
      <c r="A3980" s="12"/>
      <c r="B3980" s="10" t="s">
        <v>1916</v>
      </c>
      <c r="C3980" s="11"/>
      <c r="D3980" s="17">
        <v>2572.9700000000003</v>
      </c>
    </row>
    <row r="3981" spans="1:4" x14ac:dyDescent="0.3">
      <c r="A3981" s="10" t="s">
        <v>1122</v>
      </c>
      <c r="B3981" s="11"/>
      <c r="C3981" s="11"/>
      <c r="D3981" s="17">
        <v>2572.9700000000003</v>
      </c>
    </row>
    <row r="3982" spans="1:4" x14ac:dyDescent="0.3">
      <c r="A3982" s="10">
        <v>827</v>
      </c>
      <c r="B3982" s="10" t="s">
        <v>18</v>
      </c>
      <c r="C3982" s="10" t="s">
        <v>77</v>
      </c>
      <c r="D3982" s="17">
        <v>1469.99</v>
      </c>
    </row>
    <row r="3983" spans="1:4" x14ac:dyDescent="0.3">
      <c r="A3983" s="12"/>
      <c r="B3983" s="12"/>
      <c r="C3983" s="14" t="s">
        <v>85</v>
      </c>
      <c r="D3983" s="18">
        <v>449.99</v>
      </c>
    </row>
    <row r="3984" spans="1:4" x14ac:dyDescent="0.3">
      <c r="A3984" s="12"/>
      <c r="B3984" s="12"/>
      <c r="C3984" s="14" t="s">
        <v>86</v>
      </c>
      <c r="D3984" s="18">
        <v>2499.9899999999998</v>
      </c>
    </row>
    <row r="3985" spans="1:4" x14ac:dyDescent="0.3">
      <c r="A3985" s="12"/>
      <c r="B3985" s="12"/>
      <c r="C3985" s="14" t="s">
        <v>62</v>
      </c>
      <c r="D3985" s="18">
        <v>5299.99</v>
      </c>
    </row>
    <row r="3986" spans="1:4" x14ac:dyDescent="0.3">
      <c r="A3986" s="12"/>
      <c r="B3986" s="10" t="s">
        <v>1916</v>
      </c>
      <c r="C3986" s="11"/>
      <c r="D3986" s="17">
        <v>9719.9599999999991</v>
      </c>
    </row>
    <row r="3987" spans="1:4" x14ac:dyDescent="0.3">
      <c r="A3987" s="10" t="s">
        <v>1123</v>
      </c>
      <c r="B3987" s="11"/>
      <c r="C3987" s="11"/>
      <c r="D3987" s="17">
        <v>9719.9599999999991</v>
      </c>
    </row>
    <row r="3988" spans="1:4" x14ac:dyDescent="0.3">
      <c r="A3988" s="10">
        <v>828</v>
      </c>
      <c r="B3988" s="10" t="s">
        <v>18</v>
      </c>
      <c r="C3988" s="10" t="s">
        <v>25</v>
      </c>
      <c r="D3988" s="17">
        <v>549.99</v>
      </c>
    </row>
    <row r="3989" spans="1:4" x14ac:dyDescent="0.3">
      <c r="A3989" s="12"/>
      <c r="B3989" s="12"/>
      <c r="C3989" s="14" t="s">
        <v>35</v>
      </c>
      <c r="D3989" s="18">
        <v>999.98</v>
      </c>
    </row>
    <row r="3990" spans="1:4" x14ac:dyDescent="0.3">
      <c r="A3990" s="12"/>
      <c r="B3990" s="12"/>
      <c r="C3990" s="14" t="s">
        <v>76</v>
      </c>
      <c r="D3990" s="18">
        <v>5399.98</v>
      </c>
    </row>
    <row r="3991" spans="1:4" x14ac:dyDescent="0.3">
      <c r="A3991" s="12"/>
      <c r="B3991" s="10" t="s">
        <v>1916</v>
      </c>
      <c r="C3991" s="11"/>
      <c r="D3991" s="17">
        <v>6949.95</v>
      </c>
    </row>
    <row r="3992" spans="1:4" x14ac:dyDescent="0.3">
      <c r="A3992" s="10" t="s">
        <v>1124</v>
      </c>
      <c r="B3992" s="11"/>
      <c r="C3992" s="11"/>
      <c r="D3992" s="17">
        <v>6949.95</v>
      </c>
    </row>
    <row r="3993" spans="1:4" x14ac:dyDescent="0.3">
      <c r="A3993" s="10">
        <v>829</v>
      </c>
      <c r="B3993" s="10" t="s">
        <v>18</v>
      </c>
      <c r="C3993" s="10" t="s">
        <v>40</v>
      </c>
      <c r="D3993" s="17">
        <v>551.99</v>
      </c>
    </row>
    <row r="3994" spans="1:4" x14ac:dyDescent="0.3">
      <c r="A3994" s="12"/>
      <c r="B3994" s="12"/>
      <c r="C3994" s="14" t="s">
        <v>96</v>
      </c>
      <c r="D3994" s="18">
        <v>1067.98</v>
      </c>
    </row>
    <row r="3995" spans="1:4" x14ac:dyDescent="0.3">
      <c r="A3995" s="12"/>
      <c r="B3995" s="10" t="s">
        <v>1916</v>
      </c>
      <c r="C3995" s="11"/>
      <c r="D3995" s="17">
        <v>1619.97</v>
      </c>
    </row>
    <row r="3996" spans="1:4" x14ac:dyDescent="0.3">
      <c r="A3996" s="10" t="s">
        <v>1125</v>
      </c>
      <c r="B3996" s="11"/>
      <c r="C3996" s="11"/>
      <c r="D3996" s="17">
        <v>1619.97</v>
      </c>
    </row>
    <row r="3997" spans="1:4" x14ac:dyDescent="0.3">
      <c r="A3997" s="10">
        <v>830</v>
      </c>
      <c r="B3997" s="10" t="s">
        <v>18</v>
      </c>
      <c r="C3997" s="10" t="s">
        <v>91</v>
      </c>
      <c r="D3997" s="17">
        <v>699.98</v>
      </c>
    </row>
    <row r="3998" spans="1:4" x14ac:dyDescent="0.3">
      <c r="A3998" s="12"/>
      <c r="B3998" s="12"/>
      <c r="C3998" s="14" t="s">
        <v>105</v>
      </c>
      <c r="D3998" s="18">
        <v>979.98</v>
      </c>
    </row>
    <row r="3999" spans="1:4" x14ac:dyDescent="0.3">
      <c r="A3999" s="12"/>
      <c r="B3999" s="12"/>
      <c r="C3999" s="14" t="s">
        <v>38</v>
      </c>
      <c r="D3999" s="18">
        <v>659.98</v>
      </c>
    </row>
    <row r="4000" spans="1:4" x14ac:dyDescent="0.3">
      <c r="A4000" s="12"/>
      <c r="B4000" s="10" t="s">
        <v>1916</v>
      </c>
      <c r="C4000" s="11"/>
      <c r="D4000" s="17">
        <v>2339.94</v>
      </c>
    </row>
    <row r="4001" spans="1:4" x14ac:dyDescent="0.3">
      <c r="A4001" s="10" t="s">
        <v>1126</v>
      </c>
      <c r="B4001" s="11"/>
      <c r="C4001" s="11"/>
      <c r="D4001" s="17">
        <v>2339.94</v>
      </c>
    </row>
    <row r="4002" spans="1:4" x14ac:dyDescent="0.3">
      <c r="A4002" s="10">
        <v>831</v>
      </c>
      <c r="B4002" s="10" t="s">
        <v>18</v>
      </c>
      <c r="C4002" s="10" t="s">
        <v>39</v>
      </c>
      <c r="D4002" s="17">
        <v>449.99</v>
      </c>
    </row>
    <row r="4003" spans="1:4" x14ac:dyDescent="0.3">
      <c r="A4003" s="12"/>
      <c r="B4003" s="12"/>
      <c r="C4003" s="14" t="s">
        <v>60</v>
      </c>
      <c r="D4003" s="18">
        <v>250.99</v>
      </c>
    </row>
    <row r="4004" spans="1:4" x14ac:dyDescent="0.3">
      <c r="A4004" s="12"/>
      <c r="B4004" s="12"/>
      <c r="C4004" s="14" t="s">
        <v>30</v>
      </c>
      <c r="D4004" s="18">
        <v>1680.99</v>
      </c>
    </row>
    <row r="4005" spans="1:4" x14ac:dyDescent="0.3">
      <c r="A4005" s="12"/>
      <c r="B4005" s="10" t="s">
        <v>1916</v>
      </c>
      <c r="C4005" s="11"/>
      <c r="D4005" s="17">
        <v>2381.9700000000003</v>
      </c>
    </row>
    <row r="4006" spans="1:4" x14ac:dyDescent="0.3">
      <c r="A4006" s="10" t="s">
        <v>1127</v>
      </c>
      <c r="B4006" s="11"/>
      <c r="C4006" s="11"/>
      <c r="D4006" s="17">
        <v>2381.9700000000003</v>
      </c>
    </row>
    <row r="4007" spans="1:4" x14ac:dyDescent="0.3">
      <c r="A4007" s="10">
        <v>832</v>
      </c>
      <c r="B4007" s="10" t="s">
        <v>18</v>
      </c>
      <c r="C4007" s="10" t="s">
        <v>14</v>
      </c>
      <c r="D4007" s="17">
        <v>1199.98</v>
      </c>
    </row>
    <row r="4008" spans="1:4" x14ac:dyDescent="0.3">
      <c r="A4008" s="12"/>
      <c r="B4008" s="12"/>
      <c r="C4008" s="14" t="s">
        <v>88</v>
      </c>
      <c r="D4008" s="18">
        <v>869.99</v>
      </c>
    </row>
    <row r="4009" spans="1:4" x14ac:dyDescent="0.3">
      <c r="A4009" s="12"/>
      <c r="B4009" s="12"/>
      <c r="C4009" s="14" t="s">
        <v>106</v>
      </c>
      <c r="D4009" s="18">
        <v>999.99</v>
      </c>
    </row>
    <row r="4010" spans="1:4" x14ac:dyDescent="0.3">
      <c r="A4010" s="12"/>
      <c r="B4010" s="12"/>
      <c r="C4010" s="14" t="s">
        <v>69</v>
      </c>
      <c r="D4010" s="18">
        <v>3199.99</v>
      </c>
    </row>
    <row r="4011" spans="1:4" x14ac:dyDescent="0.3">
      <c r="A4011" s="12"/>
      <c r="B4011" s="10" t="s">
        <v>1916</v>
      </c>
      <c r="C4011" s="11"/>
      <c r="D4011" s="17">
        <v>6269.95</v>
      </c>
    </row>
    <row r="4012" spans="1:4" x14ac:dyDescent="0.3">
      <c r="A4012" s="10" t="s">
        <v>1128</v>
      </c>
      <c r="B4012" s="11"/>
      <c r="C4012" s="11"/>
      <c r="D4012" s="17">
        <v>6269.95</v>
      </c>
    </row>
    <row r="4013" spans="1:4" x14ac:dyDescent="0.3">
      <c r="A4013" s="10">
        <v>833</v>
      </c>
      <c r="B4013" s="10" t="s">
        <v>18</v>
      </c>
      <c r="C4013" s="10" t="s">
        <v>10</v>
      </c>
      <c r="D4013" s="17">
        <v>1199.98</v>
      </c>
    </row>
    <row r="4014" spans="1:4" x14ac:dyDescent="0.3">
      <c r="A4014" s="12"/>
      <c r="B4014" s="10" t="s">
        <v>1916</v>
      </c>
      <c r="C4014" s="11"/>
      <c r="D4014" s="17">
        <v>1199.98</v>
      </c>
    </row>
    <row r="4015" spans="1:4" x14ac:dyDescent="0.3">
      <c r="A4015" s="10" t="s">
        <v>1129</v>
      </c>
      <c r="B4015" s="11"/>
      <c r="C4015" s="11"/>
      <c r="D4015" s="17">
        <v>1199.98</v>
      </c>
    </row>
    <row r="4016" spans="1:4" x14ac:dyDescent="0.3">
      <c r="A4016" s="10">
        <v>834</v>
      </c>
      <c r="B4016" s="10" t="s">
        <v>18</v>
      </c>
      <c r="C4016" s="10" t="s">
        <v>31</v>
      </c>
      <c r="D4016" s="17">
        <v>269.99</v>
      </c>
    </row>
    <row r="4017" spans="1:4" x14ac:dyDescent="0.3">
      <c r="A4017" s="12"/>
      <c r="B4017" s="12"/>
      <c r="C4017" s="14" t="s">
        <v>57</v>
      </c>
      <c r="D4017" s="18">
        <v>647.99</v>
      </c>
    </row>
    <row r="4018" spans="1:4" x14ac:dyDescent="0.3">
      <c r="A4018" s="12"/>
      <c r="B4018" s="12"/>
      <c r="C4018" s="14" t="s">
        <v>69</v>
      </c>
      <c r="D4018" s="18">
        <v>3199.99</v>
      </c>
    </row>
    <row r="4019" spans="1:4" x14ac:dyDescent="0.3">
      <c r="A4019" s="12"/>
      <c r="B4019" s="10" t="s">
        <v>1916</v>
      </c>
      <c r="C4019" s="11"/>
      <c r="D4019" s="17">
        <v>4117.9699999999993</v>
      </c>
    </row>
    <row r="4020" spans="1:4" x14ac:dyDescent="0.3">
      <c r="A4020" s="10" t="s">
        <v>1130</v>
      </c>
      <c r="B4020" s="11"/>
      <c r="C4020" s="11"/>
      <c r="D4020" s="17">
        <v>4117.9699999999993</v>
      </c>
    </row>
    <row r="4021" spans="1:4" x14ac:dyDescent="0.3">
      <c r="A4021" s="10">
        <v>835</v>
      </c>
      <c r="B4021" s="10" t="s">
        <v>11</v>
      </c>
      <c r="C4021" s="10" t="s">
        <v>100</v>
      </c>
      <c r="D4021" s="17">
        <v>659.99</v>
      </c>
    </row>
    <row r="4022" spans="1:4" x14ac:dyDescent="0.3">
      <c r="A4022" s="12"/>
      <c r="B4022" s="12"/>
      <c r="C4022" s="14" t="s">
        <v>22</v>
      </c>
      <c r="D4022" s="18">
        <v>749.99</v>
      </c>
    </row>
    <row r="4023" spans="1:4" x14ac:dyDescent="0.3">
      <c r="A4023" s="12"/>
      <c r="B4023" s="12"/>
      <c r="C4023" s="14" t="s">
        <v>114</v>
      </c>
      <c r="D4023" s="18">
        <v>693.98</v>
      </c>
    </row>
    <row r="4024" spans="1:4" x14ac:dyDescent="0.3">
      <c r="A4024" s="12"/>
      <c r="B4024" s="10" t="s">
        <v>1915</v>
      </c>
      <c r="C4024" s="11"/>
      <c r="D4024" s="17">
        <v>2103.96</v>
      </c>
    </row>
    <row r="4025" spans="1:4" x14ac:dyDescent="0.3">
      <c r="A4025" s="10" t="s">
        <v>1131</v>
      </c>
      <c r="B4025" s="11"/>
      <c r="C4025" s="11"/>
      <c r="D4025" s="17">
        <v>2103.96</v>
      </c>
    </row>
    <row r="4026" spans="1:4" x14ac:dyDescent="0.3">
      <c r="A4026" s="10">
        <v>836</v>
      </c>
      <c r="B4026" s="10" t="s">
        <v>18</v>
      </c>
      <c r="C4026" s="10" t="s">
        <v>85</v>
      </c>
      <c r="D4026" s="17">
        <v>899.98</v>
      </c>
    </row>
    <row r="4027" spans="1:4" x14ac:dyDescent="0.3">
      <c r="A4027" s="12"/>
      <c r="B4027" s="10" t="s">
        <v>1916</v>
      </c>
      <c r="C4027" s="11"/>
      <c r="D4027" s="17">
        <v>899.98</v>
      </c>
    </row>
    <row r="4028" spans="1:4" x14ac:dyDescent="0.3">
      <c r="A4028" s="10" t="s">
        <v>1132</v>
      </c>
      <c r="B4028" s="11"/>
      <c r="C4028" s="11"/>
      <c r="D4028" s="17">
        <v>899.98</v>
      </c>
    </row>
    <row r="4029" spans="1:4" x14ac:dyDescent="0.3">
      <c r="A4029" s="10">
        <v>837</v>
      </c>
      <c r="B4029" s="10" t="s">
        <v>18</v>
      </c>
      <c r="C4029" s="10" t="s">
        <v>55</v>
      </c>
      <c r="D4029" s="17">
        <v>349.99</v>
      </c>
    </row>
    <row r="4030" spans="1:4" x14ac:dyDescent="0.3">
      <c r="A4030" s="12"/>
      <c r="B4030" s="12"/>
      <c r="C4030" s="14" t="s">
        <v>117</v>
      </c>
      <c r="D4030" s="18">
        <v>379.98</v>
      </c>
    </row>
    <row r="4031" spans="1:4" x14ac:dyDescent="0.3">
      <c r="A4031" s="12"/>
      <c r="B4031" s="12"/>
      <c r="C4031" s="14" t="s">
        <v>90</v>
      </c>
      <c r="D4031" s="18">
        <v>6499.99</v>
      </c>
    </row>
    <row r="4032" spans="1:4" x14ac:dyDescent="0.3">
      <c r="A4032" s="12"/>
      <c r="B4032" s="10" t="s">
        <v>1916</v>
      </c>
      <c r="C4032" s="11"/>
      <c r="D4032" s="17">
        <v>7229.96</v>
      </c>
    </row>
    <row r="4033" spans="1:4" x14ac:dyDescent="0.3">
      <c r="A4033" s="10" t="s">
        <v>1133</v>
      </c>
      <c r="B4033" s="11"/>
      <c r="C4033" s="11"/>
      <c r="D4033" s="17">
        <v>7229.96</v>
      </c>
    </row>
    <row r="4034" spans="1:4" x14ac:dyDescent="0.3">
      <c r="A4034" s="10">
        <v>838</v>
      </c>
      <c r="B4034" s="10" t="s">
        <v>18</v>
      </c>
      <c r="C4034" s="10" t="s">
        <v>105</v>
      </c>
      <c r="D4034" s="17">
        <v>979.98</v>
      </c>
    </row>
    <row r="4035" spans="1:4" x14ac:dyDescent="0.3">
      <c r="A4035" s="12"/>
      <c r="B4035" s="12"/>
      <c r="C4035" s="14" t="s">
        <v>114</v>
      </c>
      <c r="D4035" s="18">
        <v>693.98</v>
      </c>
    </row>
    <row r="4036" spans="1:4" x14ac:dyDescent="0.3">
      <c r="A4036" s="12"/>
      <c r="B4036" s="12"/>
      <c r="C4036" s="14" t="s">
        <v>86</v>
      </c>
      <c r="D4036" s="18">
        <v>2499.9899999999998</v>
      </c>
    </row>
    <row r="4037" spans="1:4" x14ac:dyDescent="0.3">
      <c r="A4037" s="12"/>
      <c r="B4037" s="12"/>
      <c r="C4037" s="14" t="s">
        <v>13</v>
      </c>
      <c r="D4037" s="18">
        <v>1549</v>
      </c>
    </row>
    <row r="4038" spans="1:4" x14ac:dyDescent="0.3">
      <c r="A4038" s="12"/>
      <c r="B4038" s="10" t="s">
        <v>1916</v>
      </c>
      <c r="C4038" s="11"/>
      <c r="D4038" s="17">
        <v>5722.95</v>
      </c>
    </row>
    <row r="4039" spans="1:4" x14ac:dyDescent="0.3">
      <c r="A4039" s="10" t="s">
        <v>1134</v>
      </c>
      <c r="B4039" s="11"/>
      <c r="C4039" s="11"/>
      <c r="D4039" s="17">
        <v>5722.95</v>
      </c>
    </row>
    <row r="4040" spans="1:4" x14ac:dyDescent="0.3">
      <c r="A4040" s="10">
        <v>839</v>
      </c>
      <c r="B4040" s="10" t="s">
        <v>11</v>
      </c>
      <c r="C4040" s="10" t="s">
        <v>38</v>
      </c>
      <c r="D4040" s="17">
        <v>329.99</v>
      </c>
    </row>
    <row r="4041" spans="1:4" x14ac:dyDescent="0.3">
      <c r="A4041" s="12"/>
      <c r="B4041" s="12"/>
      <c r="C4041" s="14" t="s">
        <v>76</v>
      </c>
      <c r="D4041" s="18">
        <v>2699.99</v>
      </c>
    </row>
    <row r="4042" spans="1:4" x14ac:dyDescent="0.3">
      <c r="A4042" s="12"/>
      <c r="B4042" s="12"/>
      <c r="C4042" s="14" t="s">
        <v>81</v>
      </c>
      <c r="D4042" s="18">
        <v>9999.98</v>
      </c>
    </row>
    <row r="4043" spans="1:4" x14ac:dyDescent="0.3">
      <c r="A4043" s="12"/>
      <c r="B4043" s="10" t="s">
        <v>1915</v>
      </c>
      <c r="C4043" s="11"/>
      <c r="D4043" s="17">
        <v>13029.96</v>
      </c>
    </row>
    <row r="4044" spans="1:4" x14ac:dyDescent="0.3">
      <c r="A4044" s="10" t="s">
        <v>1135</v>
      </c>
      <c r="B4044" s="11"/>
      <c r="C4044" s="11"/>
      <c r="D4044" s="17">
        <v>13029.96</v>
      </c>
    </row>
    <row r="4045" spans="1:4" x14ac:dyDescent="0.3">
      <c r="A4045" s="10">
        <v>840</v>
      </c>
      <c r="B4045" s="10" t="s">
        <v>18</v>
      </c>
      <c r="C4045" s="10" t="s">
        <v>39</v>
      </c>
      <c r="D4045" s="17">
        <v>899.98</v>
      </c>
    </row>
    <row r="4046" spans="1:4" x14ac:dyDescent="0.3">
      <c r="A4046" s="12"/>
      <c r="B4046" s="12"/>
      <c r="C4046" s="14" t="s">
        <v>106</v>
      </c>
      <c r="D4046" s="18">
        <v>999.99</v>
      </c>
    </row>
    <row r="4047" spans="1:4" x14ac:dyDescent="0.3">
      <c r="A4047" s="12"/>
      <c r="B4047" s="12"/>
      <c r="C4047" s="14" t="s">
        <v>62</v>
      </c>
      <c r="D4047" s="18">
        <v>5299.99</v>
      </c>
    </row>
    <row r="4048" spans="1:4" x14ac:dyDescent="0.3">
      <c r="A4048" s="12"/>
      <c r="B4048" s="10" t="s">
        <v>1916</v>
      </c>
      <c r="C4048" s="11"/>
      <c r="D4048" s="17">
        <v>7199.96</v>
      </c>
    </row>
    <row r="4049" spans="1:4" x14ac:dyDescent="0.3">
      <c r="A4049" s="10" t="s">
        <v>1136</v>
      </c>
      <c r="B4049" s="11"/>
      <c r="C4049" s="11"/>
      <c r="D4049" s="17">
        <v>7199.96</v>
      </c>
    </row>
    <row r="4050" spans="1:4" x14ac:dyDescent="0.3">
      <c r="A4050" s="10">
        <v>841</v>
      </c>
      <c r="B4050" s="10" t="s">
        <v>18</v>
      </c>
      <c r="C4050" s="10" t="s">
        <v>28</v>
      </c>
      <c r="D4050" s="17">
        <v>539.98</v>
      </c>
    </row>
    <row r="4051" spans="1:4" x14ac:dyDescent="0.3">
      <c r="A4051" s="12"/>
      <c r="B4051" s="12"/>
      <c r="C4051" s="14" t="s">
        <v>105</v>
      </c>
      <c r="D4051" s="18">
        <v>489.99</v>
      </c>
    </row>
    <row r="4052" spans="1:4" x14ac:dyDescent="0.3">
      <c r="A4052" s="12"/>
      <c r="B4052" s="12"/>
      <c r="C4052" s="14" t="s">
        <v>30</v>
      </c>
      <c r="D4052" s="18">
        <v>1680.99</v>
      </c>
    </row>
    <row r="4053" spans="1:4" x14ac:dyDescent="0.3">
      <c r="A4053" s="12"/>
      <c r="B4053" s="12"/>
      <c r="C4053" s="14" t="s">
        <v>26</v>
      </c>
      <c r="D4053" s="18">
        <v>2999.99</v>
      </c>
    </row>
    <row r="4054" spans="1:4" x14ac:dyDescent="0.3">
      <c r="A4054" s="12"/>
      <c r="B4054" s="12"/>
      <c r="C4054" s="14" t="s">
        <v>56</v>
      </c>
      <c r="D4054" s="18">
        <v>419.98</v>
      </c>
    </row>
    <row r="4055" spans="1:4" x14ac:dyDescent="0.3">
      <c r="A4055" s="12"/>
      <c r="B4055" s="10" t="s">
        <v>1916</v>
      </c>
      <c r="C4055" s="11"/>
      <c r="D4055" s="17">
        <v>6130.93</v>
      </c>
    </row>
    <row r="4056" spans="1:4" x14ac:dyDescent="0.3">
      <c r="A4056" s="10" t="s">
        <v>1137</v>
      </c>
      <c r="B4056" s="11"/>
      <c r="C4056" s="11"/>
      <c r="D4056" s="17">
        <v>6130.93</v>
      </c>
    </row>
    <row r="4057" spans="1:4" x14ac:dyDescent="0.3">
      <c r="A4057" s="10">
        <v>842</v>
      </c>
      <c r="B4057" s="10" t="s">
        <v>18</v>
      </c>
      <c r="C4057" s="10" t="s">
        <v>99</v>
      </c>
      <c r="D4057" s="17">
        <v>2199.98</v>
      </c>
    </row>
    <row r="4058" spans="1:4" x14ac:dyDescent="0.3">
      <c r="A4058" s="12"/>
      <c r="B4058" s="12"/>
      <c r="C4058" s="14" t="s">
        <v>53</v>
      </c>
      <c r="D4058" s="18">
        <v>2299.9899999999998</v>
      </c>
    </row>
    <row r="4059" spans="1:4" x14ac:dyDescent="0.3">
      <c r="A4059" s="12"/>
      <c r="B4059" s="10" t="s">
        <v>1916</v>
      </c>
      <c r="C4059" s="11"/>
      <c r="D4059" s="17">
        <v>4499.9699999999993</v>
      </c>
    </row>
    <row r="4060" spans="1:4" x14ac:dyDescent="0.3">
      <c r="A4060" s="10" t="s">
        <v>1138</v>
      </c>
      <c r="B4060" s="11"/>
      <c r="C4060" s="11"/>
      <c r="D4060" s="17">
        <v>4499.9699999999993</v>
      </c>
    </row>
    <row r="4061" spans="1:4" x14ac:dyDescent="0.3">
      <c r="A4061" s="10">
        <v>843</v>
      </c>
      <c r="B4061" s="10" t="s">
        <v>18</v>
      </c>
      <c r="C4061" s="10" t="s">
        <v>99</v>
      </c>
      <c r="D4061" s="17">
        <v>1099.99</v>
      </c>
    </row>
    <row r="4062" spans="1:4" x14ac:dyDescent="0.3">
      <c r="A4062" s="12"/>
      <c r="B4062" s="12"/>
      <c r="C4062" s="14" t="s">
        <v>95</v>
      </c>
      <c r="D4062" s="18">
        <v>1199.98</v>
      </c>
    </row>
    <row r="4063" spans="1:4" x14ac:dyDescent="0.3">
      <c r="A4063" s="12"/>
      <c r="B4063" s="12"/>
      <c r="C4063" s="14" t="s">
        <v>33</v>
      </c>
      <c r="D4063" s="18">
        <v>599.98</v>
      </c>
    </row>
    <row r="4064" spans="1:4" x14ac:dyDescent="0.3">
      <c r="A4064" s="12"/>
      <c r="B4064" s="12"/>
      <c r="C4064" s="14" t="s">
        <v>44</v>
      </c>
      <c r="D4064" s="18">
        <v>619.99</v>
      </c>
    </row>
    <row r="4065" spans="1:4" x14ac:dyDescent="0.3">
      <c r="A4065" s="12"/>
      <c r="B4065" s="10" t="s">
        <v>1916</v>
      </c>
      <c r="C4065" s="11"/>
      <c r="D4065" s="17">
        <v>3519.9400000000005</v>
      </c>
    </row>
    <row r="4066" spans="1:4" x14ac:dyDescent="0.3">
      <c r="A4066" s="10" t="s">
        <v>1139</v>
      </c>
      <c r="B4066" s="11"/>
      <c r="C4066" s="11"/>
      <c r="D4066" s="17">
        <v>3519.9400000000005</v>
      </c>
    </row>
    <row r="4067" spans="1:4" x14ac:dyDescent="0.3">
      <c r="A4067" s="10">
        <v>844</v>
      </c>
      <c r="B4067" s="10" t="s">
        <v>18</v>
      </c>
      <c r="C4067" s="10" t="s">
        <v>25</v>
      </c>
      <c r="D4067" s="17">
        <v>549.99</v>
      </c>
    </row>
    <row r="4068" spans="1:4" x14ac:dyDescent="0.3">
      <c r="A4068" s="12"/>
      <c r="B4068" s="12"/>
      <c r="C4068" s="14" t="s">
        <v>58</v>
      </c>
      <c r="D4068" s="18">
        <v>805.98</v>
      </c>
    </row>
    <row r="4069" spans="1:4" x14ac:dyDescent="0.3">
      <c r="A4069" s="12"/>
      <c r="B4069" s="12"/>
      <c r="C4069" s="14" t="s">
        <v>75</v>
      </c>
      <c r="D4069" s="18">
        <v>6999.98</v>
      </c>
    </row>
    <row r="4070" spans="1:4" x14ac:dyDescent="0.3">
      <c r="A4070" s="12"/>
      <c r="B4070" s="12"/>
      <c r="C4070" s="14" t="s">
        <v>66</v>
      </c>
      <c r="D4070" s="18">
        <v>299.98</v>
      </c>
    </row>
    <row r="4071" spans="1:4" x14ac:dyDescent="0.3">
      <c r="A4071" s="12"/>
      <c r="B4071" s="12"/>
      <c r="C4071" s="14" t="s">
        <v>84</v>
      </c>
      <c r="D4071" s="18">
        <v>1499.99</v>
      </c>
    </row>
    <row r="4072" spans="1:4" x14ac:dyDescent="0.3">
      <c r="A4072" s="12"/>
      <c r="B4072" s="10" t="s">
        <v>1916</v>
      </c>
      <c r="C4072" s="11"/>
      <c r="D4072" s="17">
        <v>10155.919999999998</v>
      </c>
    </row>
    <row r="4073" spans="1:4" x14ac:dyDescent="0.3">
      <c r="A4073" s="10" t="s">
        <v>1140</v>
      </c>
      <c r="B4073" s="11"/>
      <c r="C4073" s="11"/>
      <c r="D4073" s="17">
        <v>10155.919999999998</v>
      </c>
    </row>
    <row r="4074" spans="1:4" x14ac:dyDescent="0.3">
      <c r="A4074" s="10">
        <v>845</v>
      </c>
      <c r="B4074" s="10" t="s">
        <v>18</v>
      </c>
      <c r="C4074" s="10" t="s">
        <v>95</v>
      </c>
      <c r="D4074" s="17">
        <v>599.99</v>
      </c>
    </row>
    <row r="4075" spans="1:4" x14ac:dyDescent="0.3">
      <c r="A4075" s="12"/>
      <c r="B4075" s="12"/>
      <c r="C4075" s="14" t="s">
        <v>14</v>
      </c>
      <c r="D4075" s="18">
        <v>2399.96</v>
      </c>
    </row>
    <row r="4076" spans="1:4" x14ac:dyDescent="0.3">
      <c r="A4076" s="12"/>
      <c r="B4076" s="12"/>
      <c r="C4076" s="14" t="s">
        <v>43</v>
      </c>
      <c r="D4076" s="18">
        <v>1499.98</v>
      </c>
    </row>
    <row r="4077" spans="1:4" x14ac:dyDescent="0.3">
      <c r="A4077" s="12"/>
      <c r="B4077" s="12"/>
      <c r="C4077" s="14" t="s">
        <v>64</v>
      </c>
      <c r="D4077" s="18">
        <v>189.99</v>
      </c>
    </row>
    <row r="4078" spans="1:4" x14ac:dyDescent="0.3">
      <c r="A4078" s="12"/>
      <c r="B4078" s="10" t="s">
        <v>1916</v>
      </c>
      <c r="C4078" s="11"/>
      <c r="D4078" s="17">
        <v>4689.92</v>
      </c>
    </row>
    <row r="4079" spans="1:4" x14ac:dyDescent="0.3">
      <c r="A4079" s="10" t="s">
        <v>1141</v>
      </c>
      <c r="B4079" s="11"/>
      <c r="C4079" s="11"/>
      <c r="D4079" s="17">
        <v>4689.92</v>
      </c>
    </row>
    <row r="4080" spans="1:4" x14ac:dyDescent="0.3">
      <c r="A4080" s="10">
        <v>846</v>
      </c>
      <c r="B4080" s="10" t="s">
        <v>18</v>
      </c>
      <c r="C4080" s="10" t="s">
        <v>118</v>
      </c>
      <c r="D4080" s="17">
        <v>2819.98</v>
      </c>
    </row>
    <row r="4081" spans="1:4" x14ac:dyDescent="0.3">
      <c r="A4081" s="12"/>
      <c r="B4081" s="12"/>
      <c r="C4081" s="14" t="s">
        <v>78</v>
      </c>
      <c r="D4081" s="18">
        <v>416.99</v>
      </c>
    </row>
    <row r="4082" spans="1:4" x14ac:dyDescent="0.3">
      <c r="A4082" s="12"/>
      <c r="B4082" s="12"/>
      <c r="C4082" s="14" t="s">
        <v>44</v>
      </c>
      <c r="D4082" s="18">
        <v>1239.98</v>
      </c>
    </row>
    <row r="4083" spans="1:4" x14ac:dyDescent="0.3">
      <c r="A4083" s="12"/>
      <c r="B4083" s="12"/>
      <c r="C4083" s="14" t="s">
        <v>40</v>
      </c>
      <c r="D4083" s="18">
        <v>1103.98</v>
      </c>
    </row>
    <row r="4084" spans="1:4" x14ac:dyDescent="0.3">
      <c r="A4084" s="12"/>
      <c r="B4084" s="12"/>
      <c r="C4084" s="14" t="s">
        <v>54</v>
      </c>
      <c r="D4084" s="18">
        <v>5299.99</v>
      </c>
    </row>
    <row r="4085" spans="1:4" x14ac:dyDescent="0.3">
      <c r="A4085" s="12"/>
      <c r="B4085" s="10" t="s">
        <v>1916</v>
      </c>
      <c r="C4085" s="11"/>
      <c r="D4085" s="17">
        <v>10880.92</v>
      </c>
    </row>
    <row r="4086" spans="1:4" x14ac:dyDescent="0.3">
      <c r="A4086" s="10" t="s">
        <v>1142</v>
      </c>
      <c r="B4086" s="11"/>
      <c r="C4086" s="11"/>
      <c r="D4086" s="17">
        <v>10880.92</v>
      </c>
    </row>
    <row r="4087" spans="1:4" x14ac:dyDescent="0.3">
      <c r="A4087" s="10">
        <v>847</v>
      </c>
      <c r="B4087" s="10" t="s">
        <v>18</v>
      </c>
      <c r="C4087" s="10" t="s">
        <v>45</v>
      </c>
      <c r="D4087" s="17">
        <v>9999.98</v>
      </c>
    </row>
    <row r="4088" spans="1:4" x14ac:dyDescent="0.3">
      <c r="A4088" s="12"/>
      <c r="B4088" s="10" t="s">
        <v>1916</v>
      </c>
      <c r="C4088" s="11"/>
      <c r="D4088" s="17">
        <v>9999.98</v>
      </c>
    </row>
    <row r="4089" spans="1:4" x14ac:dyDescent="0.3">
      <c r="A4089" s="10" t="s">
        <v>1143</v>
      </c>
      <c r="B4089" s="11"/>
      <c r="C4089" s="11"/>
      <c r="D4089" s="17">
        <v>9999.98</v>
      </c>
    </row>
    <row r="4090" spans="1:4" x14ac:dyDescent="0.3">
      <c r="A4090" s="10">
        <v>848</v>
      </c>
      <c r="B4090" s="10" t="s">
        <v>18</v>
      </c>
      <c r="C4090" s="10" t="s">
        <v>105</v>
      </c>
      <c r="D4090" s="17">
        <v>979.98</v>
      </c>
    </row>
    <row r="4091" spans="1:4" x14ac:dyDescent="0.3">
      <c r="A4091" s="12"/>
      <c r="B4091" s="12"/>
      <c r="C4091" s="14" t="s">
        <v>77</v>
      </c>
      <c r="D4091" s="18">
        <v>2939.98</v>
      </c>
    </row>
    <row r="4092" spans="1:4" x14ac:dyDescent="0.3">
      <c r="A4092" s="12"/>
      <c r="B4092" s="12"/>
      <c r="C4092" s="14" t="s">
        <v>110</v>
      </c>
      <c r="D4092" s="18">
        <v>209.99</v>
      </c>
    </row>
    <row r="4093" spans="1:4" x14ac:dyDescent="0.3">
      <c r="A4093" s="12"/>
      <c r="B4093" s="12"/>
      <c r="C4093" s="14" t="s">
        <v>64</v>
      </c>
      <c r="D4093" s="18">
        <v>379.98</v>
      </c>
    </row>
    <row r="4094" spans="1:4" x14ac:dyDescent="0.3">
      <c r="A4094" s="12"/>
      <c r="B4094" s="10" t="s">
        <v>1916</v>
      </c>
      <c r="C4094" s="11"/>
      <c r="D4094" s="17">
        <v>4509.93</v>
      </c>
    </row>
    <row r="4095" spans="1:4" x14ac:dyDescent="0.3">
      <c r="A4095" s="10" t="s">
        <v>1144</v>
      </c>
      <c r="B4095" s="11"/>
      <c r="C4095" s="11"/>
      <c r="D4095" s="17">
        <v>4509.93</v>
      </c>
    </row>
    <row r="4096" spans="1:4" x14ac:dyDescent="0.3">
      <c r="A4096" s="10">
        <v>849</v>
      </c>
      <c r="B4096" s="10" t="s">
        <v>11</v>
      </c>
      <c r="C4096" s="10" t="s">
        <v>49</v>
      </c>
      <c r="D4096" s="17">
        <v>416.99</v>
      </c>
    </row>
    <row r="4097" spans="1:4" x14ac:dyDescent="0.3">
      <c r="A4097" s="12"/>
      <c r="B4097" s="10" t="s">
        <v>1915</v>
      </c>
      <c r="C4097" s="11"/>
      <c r="D4097" s="17">
        <v>416.99</v>
      </c>
    </row>
    <row r="4098" spans="1:4" x14ac:dyDescent="0.3">
      <c r="A4098" s="10" t="s">
        <v>1145</v>
      </c>
      <c r="B4098" s="11"/>
      <c r="C4098" s="11"/>
      <c r="D4098" s="17">
        <v>416.99</v>
      </c>
    </row>
    <row r="4099" spans="1:4" x14ac:dyDescent="0.3">
      <c r="A4099" s="10">
        <v>850</v>
      </c>
      <c r="B4099" s="10" t="s">
        <v>11</v>
      </c>
      <c r="C4099" s="10" t="s">
        <v>80</v>
      </c>
      <c r="D4099" s="17">
        <v>679.98</v>
      </c>
    </row>
    <row r="4100" spans="1:4" x14ac:dyDescent="0.3">
      <c r="A4100" s="12"/>
      <c r="B4100" s="12"/>
      <c r="C4100" s="14" t="s">
        <v>98</v>
      </c>
      <c r="D4100" s="18">
        <v>379.99</v>
      </c>
    </row>
    <row r="4101" spans="1:4" x14ac:dyDescent="0.3">
      <c r="A4101" s="12"/>
      <c r="B4101" s="12"/>
      <c r="C4101" s="14" t="s">
        <v>34</v>
      </c>
      <c r="D4101" s="18">
        <v>2641.98</v>
      </c>
    </row>
    <row r="4102" spans="1:4" x14ac:dyDescent="0.3">
      <c r="A4102" s="12"/>
      <c r="B4102" s="10" t="s">
        <v>1915</v>
      </c>
      <c r="C4102" s="11"/>
      <c r="D4102" s="17">
        <v>3701.95</v>
      </c>
    </row>
    <row r="4103" spans="1:4" x14ac:dyDescent="0.3">
      <c r="A4103" s="10" t="s">
        <v>1146</v>
      </c>
      <c r="B4103" s="11"/>
      <c r="C4103" s="11"/>
      <c r="D4103" s="17">
        <v>3701.95</v>
      </c>
    </row>
    <row r="4104" spans="1:4" x14ac:dyDescent="0.3">
      <c r="A4104" s="10">
        <v>851</v>
      </c>
      <c r="B4104" s="10" t="s">
        <v>18</v>
      </c>
      <c r="C4104" s="10" t="s">
        <v>110</v>
      </c>
      <c r="D4104" s="17">
        <v>209.99</v>
      </c>
    </row>
    <row r="4105" spans="1:4" x14ac:dyDescent="0.3">
      <c r="A4105" s="12"/>
      <c r="B4105" s="12"/>
      <c r="C4105" s="14" t="s">
        <v>47</v>
      </c>
      <c r="D4105" s="18">
        <v>999.99</v>
      </c>
    </row>
    <row r="4106" spans="1:4" x14ac:dyDescent="0.3">
      <c r="A4106" s="12"/>
      <c r="B4106" s="10" t="s">
        <v>1916</v>
      </c>
      <c r="C4106" s="11"/>
      <c r="D4106" s="17">
        <v>1209.98</v>
      </c>
    </row>
    <row r="4107" spans="1:4" x14ac:dyDescent="0.3">
      <c r="A4107" s="10" t="s">
        <v>1147</v>
      </c>
      <c r="B4107" s="11"/>
      <c r="C4107" s="11"/>
      <c r="D4107" s="17">
        <v>1209.98</v>
      </c>
    </row>
    <row r="4108" spans="1:4" x14ac:dyDescent="0.3">
      <c r="A4108" s="10">
        <v>852</v>
      </c>
      <c r="B4108" s="10" t="s">
        <v>37</v>
      </c>
      <c r="C4108" s="10" t="s">
        <v>118</v>
      </c>
      <c r="D4108" s="17">
        <v>2819.98</v>
      </c>
    </row>
    <row r="4109" spans="1:4" x14ac:dyDescent="0.3">
      <c r="A4109" s="12"/>
      <c r="B4109" s="10" t="s">
        <v>1917</v>
      </c>
      <c r="C4109" s="11"/>
      <c r="D4109" s="17">
        <v>2819.98</v>
      </c>
    </row>
    <row r="4110" spans="1:4" x14ac:dyDescent="0.3">
      <c r="A4110" s="10" t="s">
        <v>1148</v>
      </c>
      <c r="B4110" s="11"/>
      <c r="C4110" s="11"/>
      <c r="D4110" s="17">
        <v>2819.98</v>
      </c>
    </row>
    <row r="4111" spans="1:4" x14ac:dyDescent="0.3">
      <c r="A4111" s="10">
        <v>853</v>
      </c>
      <c r="B4111" s="10" t="s">
        <v>37</v>
      </c>
      <c r="C4111" s="10" t="s">
        <v>52</v>
      </c>
      <c r="D4111" s="17">
        <v>299.99</v>
      </c>
    </row>
    <row r="4112" spans="1:4" x14ac:dyDescent="0.3">
      <c r="A4112" s="12"/>
      <c r="B4112" s="12"/>
      <c r="C4112" s="14" t="s">
        <v>88</v>
      </c>
      <c r="D4112" s="18">
        <v>869.99</v>
      </c>
    </row>
    <row r="4113" spans="1:4" x14ac:dyDescent="0.3">
      <c r="A4113" s="12"/>
      <c r="B4113" s="12"/>
      <c r="C4113" s="14" t="s">
        <v>32</v>
      </c>
      <c r="D4113" s="18">
        <v>469.99</v>
      </c>
    </row>
    <row r="4114" spans="1:4" x14ac:dyDescent="0.3">
      <c r="A4114" s="12"/>
      <c r="B4114" s="12"/>
      <c r="C4114" s="14" t="s">
        <v>53</v>
      </c>
      <c r="D4114" s="18">
        <v>4599.9799999999996</v>
      </c>
    </row>
    <row r="4115" spans="1:4" x14ac:dyDescent="0.3">
      <c r="A4115" s="12"/>
      <c r="B4115" s="12"/>
      <c r="C4115" s="14" t="s">
        <v>81</v>
      </c>
      <c r="D4115" s="18">
        <v>9999.98</v>
      </c>
    </row>
    <row r="4116" spans="1:4" x14ac:dyDescent="0.3">
      <c r="A4116" s="12"/>
      <c r="B4116" s="10" t="s">
        <v>1917</v>
      </c>
      <c r="C4116" s="11"/>
      <c r="D4116" s="17">
        <v>16239.93</v>
      </c>
    </row>
    <row r="4117" spans="1:4" x14ac:dyDescent="0.3">
      <c r="A4117" s="10" t="s">
        <v>1149</v>
      </c>
      <c r="B4117" s="11"/>
      <c r="C4117" s="11"/>
      <c r="D4117" s="17">
        <v>16239.93</v>
      </c>
    </row>
    <row r="4118" spans="1:4" x14ac:dyDescent="0.3">
      <c r="A4118" s="10">
        <v>854</v>
      </c>
      <c r="B4118" s="10" t="s">
        <v>18</v>
      </c>
      <c r="C4118" s="10" t="s">
        <v>117</v>
      </c>
      <c r="D4118" s="17">
        <v>189.99</v>
      </c>
    </row>
    <row r="4119" spans="1:4" x14ac:dyDescent="0.3">
      <c r="A4119" s="12"/>
      <c r="B4119" s="10" t="s">
        <v>1916</v>
      </c>
      <c r="C4119" s="11"/>
      <c r="D4119" s="17">
        <v>189.99</v>
      </c>
    </row>
    <row r="4120" spans="1:4" x14ac:dyDescent="0.3">
      <c r="A4120" s="10" t="s">
        <v>1150</v>
      </c>
      <c r="B4120" s="11"/>
      <c r="C4120" s="11"/>
      <c r="D4120" s="17">
        <v>189.99</v>
      </c>
    </row>
    <row r="4121" spans="1:4" x14ac:dyDescent="0.3">
      <c r="A4121" s="10">
        <v>855</v>
      </c>
      <c r="B4121" s="10" t="s">
        <v>18</v>
      </c>
      <c r="C4121" s="10" t="s">
        <v>110</v>
      </c>
      <c r="D4121" s="17">
        <v>419.98</v>
      </c>
    </row>
    <row r="4122" spans="1:4" x14ac:dyDescent="0.3">
      <c r="A4122" s="12"/>
      <c r="B4122" s="12"/>
      <c r="C4122" s="14" t="s">
        <v>24</v>
      </c>
      <c r="D4122" s="18">
        <v>449</v>
      </c>
    </row>
    <row r="4123" spans="1:4" x14ac:dyDescent="0.3">
      <c r="A4123" s="12"/>
      <c r="B4123" s="12"/>
      <c r="C4123" s="14" t="s">
        <v>94</v>
      </c>
      <c r="D4123" s="18">
        <v>209.99</v>
      </c>
    </row>
    <row r="4124" spans="1:4" x14ac:dyDescent="0.3">
      <c r="A4124" s="12"/>
      <c r="B4124" s="10" t="s">
        <v>1916</v>
      </c>
      <c r="C4124" s="11"/>
      <c r="D4124" s="17">
        <v>1078.97</v>
      </c>
    </row>
    <row r="4125" spans="1:4" x14ac:dyDescent="0.3">
      <c r="A4125" s="10" t="s">
        <v>1151</v>
      </c>
      <c r="B4125" s="11"/>
      <c r="C4125" s="11"/>
      <c r="D4125" s="17">
        <v>1078.97</v>
      </c>
    </row>
    <row r="4126" spans="1:4" x14ac:dyDescent="0.3">
      <c r="A4126" s="10">
        <v>856</v>
      </c>
      <c r="B4126" s="10" t="s">
        <v>18</v>
      </c>
      <c r="C4126" s="10" t="s">
        <v>93</v>
      </c>
      <c r="D4126" s="17">
        <v>1099.98</v>
      </c>
    </row>
    <row r="4127" spans="1:4" x14ac:dyDescent="0.3">
      <c r="A4127" s="12"/>
      <c r="B4127" s="10" t="s">
        <v>1916</v>
      </c>
      <c r="C4127" s="11"/>
      <c r="D4127" s="17">
        <v>1099.98</v>
      </c>
    </row>
    <row r="4128" spans="1:4" x14ac:dyDescent="0.3">
      <c r="A4128" s="10" t="s">
        <v>1152</v>
      </c>
      <c r="B4128" s="11"/>
      <c r="C4128" s="11"/>
      <c r="D4128" s="17">
        <v>1099.98</v>
      </c>
    </row>
    <row r="4129" spans="1:4" x14ac:dyDescent="0.3">
      <c r="A4129" s="10">
        <v>857</v>
      </c>
      <c r="B4129" s="10" t="s">
        <v>18</v>
      </c>
      <c r="C4129" s="10" t="s">
        <v>71</v>
      </c>
      <c r="D4129" s="17">
        <v>999.99</v>
      </c>
    </row>
    <row r="4130" spans="1:4" x14ac:dyDescent="0.3">
      <c r="A4130" s="12"/>
      <c r="B4130" s="10" t="s">
        <v>1916</v>
      </c>
      <c r="C4130" s="11"/>
      <c r="D4130" s="17">
        <v>999.99</v>
      </c>
    </row>
    <row r="4131" spans="1:4" x14ac:dyDescent="0.3">
      <c r="A4131" s="10" t="s">
        <v>1153</v>
      </c>
      <c r="B4131" s="11"/>
      <c r="C4131" s="11"/>
      <c r="D4131" s="17">
        <v>999.99</v>
      </c>
    </row>
    <row r="4132" spans="1:4" x14ac:dyDescent="0.3">
      <c r="A4132" s="10">
        <v>858</v>
      </c>
      <c r="B4132" s="10" t="s">
        <v>18</v>
      </c>
      <c r="C4132" s="10" t="s">
        <v>28</v>
      </c>
      <c r="D4132" s="17">
        <v>269.99</v>
      </c>
    </row>
    <row r="4133" spans="1:4" x14ac:dyDescent="0.3">
      <c r="A4133" s="12"/>
      <c r="B4133" s="12"/>
      <c r="C4133" s="14" t="s">
        <v>88</v>
      </c>
      <c r="D4133" s="18">
        <v>1739.98</v>
      </c>
    </row>
    <row r="4134" spans="1:4" x14ac:dyDescent="0.3">
      <c r="A4134" s="12"/>
      <c r="B4134" s="12"/>
      <c r="C4134" s="14" t="s">
        <v>34</v>
      </c>
      <c r="D4134" s="18">
        <v>1320.99</v>
      </c>
    </row>
    <row r="4135" spans="1:4" x14ac:dyDescent="0.3">
      <c r="A4135" s="12"/>
      <c r="B4135" s="12"/>
      <c r="C4135" s="14" t="s">
        <v>43</v>
      </c>
      <c r="D4135" s="18">
        <v>1499.98</v>
      </c>
    </row>
    <row r="4136" spans="1:4" x14ac:dyDescent="0.3">
      <c r="A4136" s="12"/>
      <c r="B4136" s="10" t="s">
        <v>1916</v>
      </c>
      <c r="C4136" s="11"/>
      <c r="D4136" s="17">
        <v>4830.9400000000005</v>
      </c>
    </row>
    <row r="4137" spans="1:4" x14ac:dyDescent="0.3">
      <c r="A4137" s="10" t="s">
        <v>1154</v>
      </c>
      <c r="B4137" s="11"/>
      <c r="C4137" s="11"/>
      <c r="D4137" s="17">
        <v>4830.9400000000005</v>
      </c>
    </row>
    <row r="4138" spans="1:4" x14ac:dyDescent="0.3">
      <c r="A4138" s="10">
        <v>859</v>
      </c>
      <c r="B4138" s="10" t="s">
        <v>18</v>
      </c>
      <c r="C4138" s="10" t="s">
        <v>31</v>
      </c>
      <c r="D4138" s="17">
        <v>269.99</v>
      </c>
    </row>
    <row r="4139" spans="1:4" x14ac:dyDescent="0.3">
      <c r="A4139" s="12"/>
      <c r="B4139" s="12"/>
      <c r="C4139" s="14" t="s">
        <v>28</v>
      </c>
      <c r="D4139" s="18">
        <v>539.98</v>
      </c>
    </row>
    <row r="4140" spans="1:4" x14ac:dyDescent="0.3">
      <c r="A4140" s="12"/>
      <c r="B4140" s="12"/>
      <c r="C4140" s="14" t="s">
        <v>93</v>
      </c>
      <c r="D4140" s="18">
        <v>1099.98</v>
      </c>
    </row>
    <row r="4141" spans="1:4" x14ac:dyDescent="0.3">
      <c r="A4141" s="12"/>
      <c r="B4141" s="12"/>
      <c r="C4141" s="14" t="s">
        <v>78</v>
      </c>
      <c r="D4141" s="18">
        <v>833.98</v>
      </c>
    </row>
    <row r="4142" spans="1:4" x14ac:dyDescent="0.3">
      <c r="A4142" s="12"/>
      <c r="B4142" s="12"/>
      <c r="C4142" s="14" t="s">
        <v>116</v>
      </c>
      <c r="D4142" s="18">
        <v>1665.98</v>
      </c>
    </row>
    <row r="4143" spans="1:4" x14ac:dyDescent="0.3">
      <c r="A4143" s="12"/>
      <c r="B4143" s="10" t="s">
        <v>1916</v>
      </c>
      <c r="C4143" s="11"/>
      <c r="D4143" s="17">
        <v>4409.91</v>
      </c>
    </row>
    <row r="4144" spans="1:4" x14ac:dyDescent="0.3">
      <c r="A4144" s="10" t="s">
        <v>1155</v>
      </c>
      <c r="B4144" s="11"/>
      <c r="C4144" s="11"/>
      <c r="D4144" s="17">
        <v>4409.91</v>
      </c>
    </row>
    <row r="4145" spans="1:4" x14ac:dyDescent="0.3">
      <c r="A4145" s="10">
        <v>860</v>
      </c>
      <c r="B4145" s="10" t="s">
        <v>18</v>
      </c>
      <c r="C4145" s="10" t="s">
        <v>48</v>
      </c>
      <c r="D4145" s="17">
        <v>599.98</v>
      </c>
    </row>
    <row r="4146" spans="1:4" x14ac:dyDescent="0.3">
      <c r="A4146" s="12"/>
      <c r="B4146" s="12"/>
      <c r="C4146" s="14" t="s">
        <v>25</v>
      </c>
      <c r="D4146" s="18">
        <v>1099.98</v>
      </c>
    </row>
    <row r="4147" spans="1:4" x14ac:dyDescent="0.3">
      <c r="A4147" s="12"/>
      <c r="B4147" s="12"/>
      <c r="C4147" s="14" t="s">
        <v>35</v>
      </c>
      <c r="D4147" s="18">
        <v>499.99</v>
      </c>
    </row>
    <row r="4148" spans="1:4" x14ac:dyDescent="0.3">
      <c r="A4148" s="12"/>
      <c r="B4148" s="12"/>
      <c r="C4148" s="14" t="s">
        <v>32</v>
      </c>
      <c r="D4148" s="18">
        <v>469.99</v>
      </c>
    </row>
    <row r="4149" spans="1:4" x14ac:dyDescent="0.3">
      <c r="A4149" s="12"/>
      <c r="B4149" s="12"/>
      <c r="C4149" s="14" t="s">
        <v>81</v>
      </c>
      <c r="D4149" s="18">
        <v>9999.98</v>
      </c>
    </row>
    <row r="4150" spans="1:4" x14ac:dyDescent="0.3">
      <c r="A4150" s="12"/>
      <c r="B4150" s="10" t="s">
        <v>1916</v>
      </c>
      <c r="C4150" s="11"/>
      <c r="D4150" s="17">
        <v>12669.919999999998</v>
      </c>
    </row>
    <row r="4151" spans="1:4" x14ac:dyDescent="0.3">
      <c r="A4151" s="10" t="s">
        <v>1156</v>
      </c>
      <c r="B4151" s="11"/>
      <c r="C4151" s="11"/>
      <c r="D4151" s="17">
        <v>12669.919999999998</v>
      </c>
    </row>
    <row r="4152" spans="1:4" x14ac:dyDescent="0.3">
      <c r="A4152" s="10">
        <v>861</v>
      </c>
      <c r="B4152" s="10" t="s">
        <v>18</v>
      </c>
      <c r="C4152" s="10" t="s">
        <v>28</v>
      </c>
      <c r="D4152" s="17">
        <v>539.98</v>
      </c>
    </row>
    <row r="4153" spans="1:4" x14ac:dyDescent="0.3">
      <c r="A4153" s="12"/>
      <c r="B4153" s="12"/>
      <c r="C4153" s="14" t="s">
        <v>50</v>
      </c>
      <c r="D4153" s="18">
        <v>3499.99</v>
      </c>
    </row>
    <row r="4154" spans="1:4" x14ac:dyDescent="0.3">
      <c r="A4154" s="12"/>
      <c r="B4154" s="10" t="s">
        <v>1916</v>
      </c>
      <c r="C4154" s="11"/>
      <c r="D4154" s="17">
        <v>4039.97</v>
      </c>
    </row>
    <row r="4155" spans="1:4" x14ac:dyDescent="0.3">
      <c r="A4155" s="10" t="s">
        <v>1157</v>
      </c>
      <c r="B4155" s="11"/>
      <c r="C4155" s="11"/>
      <c r="D4155" s="17">
        <v>4039.97</v>
      </c>
    </row>
    <row r="4156" spans="1:4" x14ac:dyDescent="0.3">
      <c r="A4156" s="10">
        <v>862</v>
      </c>
      <c r="B4156" s="10" t="s">
        <v>37</v>
      </c>
      <c r="C4156" s="10" t="s">
        <v>52</v>
      </c>
      <c r="D4156" s="17">
        <v>299.99</v>
      </c>
    </row>
    <row r="4157" spans="1:4" x14ac:dyDescent="0.3">
      <c r="A4157" s="12"/>
      <c r="B4157" s="12"/>
      <c r="C4157" s="14" t="s">
        <v>38</v>
      </c>
      <c r="D4157" s="18">
        <v>329.99</v>
      </c>
    </row>
    <row r="4158" spans="1:4" x14ac:dyDescent="0.3">
      <c r="A4158" s="12"/>
      <c r="B4158" s="12"/>
      <c r="C4158" s="14" t="s">
        <v>70</v>
      </c>
      <c r="D4158" s="18">
        <v>6999.98</v>
      </c>
    </row>
    <row r="4159" spans="1:4" x14ac:dyDescent="0.3">
      <c r="A4159" s="12"/>
      <c r="B4159" s="10" t="s">
        <v>1917</v>
      </c>
      <c r="C4159" s="11"/>
      <c r="D4159" s="17">
        <v>7629.9599999999991</v>
      </c>
    </row>
    <row r="4160" spans="1:4" x14ac:dyDescent="0.3">
      <c r="A4160" s="10" t="s">
        <v>1158</v>
      </c>
      <c r="B4160" s="11"/>
      <c r="C4160" s="11"/>
      <c r="D4160" s="17">
        <v>7629.9599999999991</v>
      </c>
    </row>
    <row r="4161" spans="1:4" x14ac:dyDescent="0.3">
      <c r="A4161" s="10">
        <v>863</v>
      </c>
      <c r="B4161" s="10" t="s">
        <v>18</v>
      </c>
      <c r="C4161" s="10" t="s">
        <v>110</v>
      </c>
      <c r="D4161" s="17">
        <v>419.98</v>
      </c>
    </row>
    <row r="4162" spans="1:4" x14ac:dyDescent="0.3">
      <c r="A4162" s="12"/>
      <c r="B4162" s="10" t="s">
        <v>1916</v>
      </c>
      <c r="C4162" s="11"/>
      <c r="D4162" s="17">
        <v>419.98</v>
      </c>
    </row>
    <row r="4163" spans="1:4" x14ac:dyDescent="0.3">
      <c r="A4163" s="10" t="s">
        <v>1159</v>
      </c>
      <c r="B4163" s="11"/>
      <c r="C4163" s="11"/>
      <c r="D4163" s="17">
        <v>419.98</v>
      </c>
    </row>
    <row r="4164" spans="1:4" x14ac:dyDescent="0.3">
      <c r="A4164" s="10">
        <v>864</v>
      </c>
      <c r="B4164" s="10" t="s">
        <v>18</v>
      </c>
      <c r="C4164" s="10" t="s">
        <v>31</v>
      </c>
      <c r="D4164" s="17">
        <v>269.99</v>
      </c>
    </row>
    <row r="4165" spans="1:4" x14ac:dyDescent="0.3">
      <c r="A4165" s="12"/>
      <c r="B4165" s="12"/>
      <c r="C4165" s="14" t="s">
        <v>98</v>
      </c>
      <c r="D4165" s="18">
        <v>379.99</v>
      </c>
    </row>
    <row r="4166" spans="1:4" x14ac:dyDescent="0.3">
      <c r="A4166" s="12"/>
      <c r="B4166" s="12"/>
      <c r="C4166" s="14" t="s">
        <v>114</v>
      </c>
      <c r="D4166" s="18">
        <v>693.98</v>
      </c>
    </row>
    <row r="4167" spans="1:4" x14ac:dyDescent="0.3">
      <c r="A4167" s="12"/>
      <c r="B4167" s="10" t="s">
        <v>1916</v>
      </c>
      <c r="C4167" s="11"/>
      <c r="D4167" s="17">
        <v>1343.96</v>
      </c>
    </row>
    <row r="4168" spans="1:4" x14ac:dyDescent="0.3">
      <c r="A4168" s="10" t="s">
        <v>1160</v>
      </c>
      <c r="B4168" s="11"/>
      <c r="C4168" s="11"/>
      <c r="D4168" s="17">
        <v>1343.96</v>
      </c>
    </row>
    <row r="4169" spans="1:4" x14ac:dyDescent="0.3">
      <c r="A4169" s="10">
        <v>865</v>
      </c>
      <c r="B4169" s="10" t="s">
        <v>18</v>
      </c>
      <c r="C4169" s="10" t="s">
        <v>49</v>
      </c>
      <c r="D4169" s="17">
        <v>833.98</v>
      </c>
    </row>
    <row r="4170" spans="1:4" x14ac:dyDescent="0.3">
      <c r="A4170" s="12"/>
      <c r="B4170" s="12"/>
      <c r="C4170" s="14" t="s">
        <v>107</v>
      </c>
      <c r="D4170" s="18">
        <v>469.99</v>
      </c>
    </row>
    <row r="4171" spans="1:4" x14ac:dyDescent="0.3">
      <c r="A4171" s="12"/>
      <c r="B4171" s="10" t="s">
        <v>1916</v>
      </c>
      <c r="C4171" s="11"/>
      <c r="D4171" s="17">
        <v>1303.97</v>
      </c>
    </row>
    <row r="4172" spans="1:4" x14ac:dyDescent="0.3">
      <c r="A4172" s="10" t="s">
        <v>1161</v>
      </c>
      <c r="B4172" s="11"/>
      <c r="C4172" s="11"/>
      <c r="D4172" s="17">
        <v>1303.97</v>
      </c>
    </row>
    <row r="4173" spans="1:4" x14ac:dyDescent="0.3">
      <c r="A4173" s="10">
        <v>866</v>
      </c>
      <c r="B4173" s="10" t="s">
        <v>18</v>
      </c>
      <c r="C4173" s="10" t="s">
        <v>31</v>
      </c>
      <c r="D4173" s="17">
        <v>539.98</v>
      </c>
    </row>
    <row r="4174" spans="1:4" x14ac:dyDescent="0.3">
      <c r="A4174" s="12"/>
      <c r="B4174" s="12"/>
      <c r="C4174" s="14" t="s">
        <v>63</v>
      </c>
      <c r="D4174" s="18">
        <v>761.99</v>
      </c>
    </row>
    <row r="4175" spans="1:4" x14ac:dyDescent="0.3">
      <c r="A4175" s="12"/>
      <c r="B4175" s="12"/>
      <c r="C4175" s="14" t="s">
        <v>60</v>
      </c>
      <c r="D4175" s="18">
        <v>501.98</v>
      </c>
    </row>
    <row r="4176" spans="1:4" x14ac:dyDescent="0.3">
      <c r="A4176" s="12"/>
      <c r="B4176" s="12"/>
      <c r="C4176" s="14" t="s">
        <v>64</v>
      </c>
      <c r="D4176" s="18">
        <v>189.99</v>
      </c>
    </row>
    <row r="4177" spans="1:4" x14ac:dyDescent="0.3">
      <c r="A4177" s="12"/>
      <c r="B4177" s="10" t="s">
        <v>1916</v>
      </c>
      <c r="C4177" s="11"/>
      <c r="D4177" s="17">
        <v>1993.94</v>
      </c>
    </row>
    <row r="4178" spans="1:4" x14ac:dyDescent="0.3">
      <c r="A4178" s="10" t="s">
        <v>1162</v>
      </c>
      <c r="B4178" s="11"/>
      <c r="C4178" s="11"/>
      <c r="D4178" s="17">
        <v>1993.94</v>
      </c>
    </row>
    <row r="4179" spans="1:4" x14ac:dyDescent="0.3">
      <c r="A4179" s="10">
        <v>867</v>
      </c>
      <c r="B4179" s="10" t="s">
        <v>11</v>
      </c>
      <c r="C4179" s="10" t="s">
        <v>80</v>
      </c>
      <c r="D4179" s="17">
        <v>339.99</v>
      </c>
    </row>
    <row r="4180" spans="1:4" x14ac:dyDescent="0.3">
      <c r="A4180" s="12"/>
      <c r="B4180" s="10" t="s">
        <v>1915</v>
      </c>
      <c r="C4180" s="11"/>
      <c r="D4180" s="17">
        <v>339.99</v>
      </c>
    </row>
    <row r="4181" spans="1:4" x14ac:dyDescent="0.3">
      <c r="A4181" s="10" t="s">
        <v>1163</v>
      </c>
      <c r="B4181" s="11"/>
      <c r="C4181" s="11"/>
      <c r="D4181" s="17">
        <v>339.99</v>
      </c>
    </row>
    <row r="4182" spans="1:4" x14ac:dyDescent="0.3">
      <c r="A4182" s="10">
        <v>868</v>
      </c>
      <c r="B4182" s="10" t="s">
        <v>11</v>
      </c>
      <c r="C4182" s="10" t="s">
        <v>118</v>
      </c>
      <c r="D4182" s="17">
        <v>1409.99</v>
      </c>
    </row>
    <row r="4183" spans="1:4" x14ac:dyDescent="0.3">
      <c r="A4183" s="12"/>
      <c r="B4183" s="10" t="s">
        <v>1915</v>
      </c>
      <c r="C4183" s="11"/>
      <c r="D4183" s="17">
        <v>1409.99</v>
      </c>
    </row>
    <row r="4184" spans="1:4" x14ac:dyDescent="0.3">
      <c r="A4184" s="10" t="s">
        <v>1164</v>
      </c>
      <c r="B4184" s="11"/>
      <c r="C4184" s="11"/>
      <c r="D4184" s="17">
        <v>1409.99</v>
      </c>
    </row>
    <row r="4185" spans="1:4" x14ac:dyDescent="0.3">
      <c r="A4185" s="10">
        <v>869</v>
      </c>
      <c r="B4185" s="10" t="s">
        <v>18</v>
      </c>
      <c r="C4185" s="10" t="s">
        <v>39</v>
      </c>
      <c r="D4185" s="17">
        <v>899.98</v>
      </c>
    </row>
    <row r="4186" spans="1:4" x14ac:dyDescent="0.3">
      <c r="A4186" s="12"/>
      <c r="B4186" s="12"/>
      <c r="C4186" s="14" t="s">
        <v>114</v>
      </c>
      <c r="D4186" s="18">
        <v>693.98</v>
      </c>
    </row>
    <row r="4187" spans="1:4" x14ac:dyDescent="0.3">
      <c r="A4187" s="12"/>
      <c r="B4187" s="12"/>
      <c r="C4187" s="14" t="s">
        <v>67</v>
      </c>
      <c r="D4187" s="18">
        <v>469.99</v>
      </c>
    </row>
    <row r="4188" spans="1:4" x14ac:dyDescent="0.3">
      <c r="A4188" s="12"/>
      <c r="B4188" s="12"/>
      <c r="C4188" s="14" t="s">
        <v>76</v>
      </c>
      <c r="D4188" s="18">
        <v>5399.98</v>
      </c>
    </row>
    <row r="4189" spans="1:4" x14ac:dyDescent="0.3">
      <c r="A4189" s="12"/>
      <c r="B4189" s="12"/>
      <c r="C4189" s="14" t="s">
        <v>29</v>
      </c>
      <c r="D4189" s="18">
        <v>3999.99</v>
      </c>
    </row>
    <row r="4190" spans="1:4" x14ac:dyDescent="0.3">
      <c r="A4190" s="12"/>
      <c r="B4190" s="10" t="s">
        <v>1916</v>
      </c>
      <c r="C4190" s="11"/>
      <c r="D4190" s="17">
        <v>11463.919999999998</v>
      </c>
    </row>
    <row r="4191" spans="1:4" x14ac:dyDescent="0.3">
      <c r="A4191" s="10" t="s">
        <v>1165</v>
      </c>
      <c r="B4191" s="11"/>
      <c r="C4191" s="11"/>
      <c r="D4191" s="17">
        <v>11463.919999999998</v>
      </c>
    </row>
    <row r="4192" spans="1:4" x14ac:dyDescent="0.3">
      <c r="A4192" s="10">
        <v>870</v>
      </c>
      <c r="B4192" s="10" t="s">
        <v>18</v>
      </c>
      <c r="C4192" s="10" t="s">
        <v>75</v>
      </c>
      <c r="D4192" s="17">
        <v>3499.99</v>
      </c>
    </row>
    <row r="4193" spans="1:4" x14ac:dyDescent="0.3">
      <c r="A4193" s="12"/>
      <c r="B4193" s="10" t="s">
        <v>1916</v>
      </c>
      <c r="C4193" s="11"/>
      <c r="D4193" s="17">
        <v>3499.99</v>
      </c>
    </row>
    <row r="4194" spans="1:4" x14ac:dyDescent="0.3">
      <c r="A4194" s="10" t="s">
        <v>1166</v>
      </c>
      <c r="B4194" s="11"/>
      <c r="C4194" s="11"/>
      <c r="D4194" s="17">
        <v>3499.99</v>
      </c>
    </row>
    <row r="4195" spans="1:4" x14ac:dyDescent="0.3">
      <c r="A4195" s="10">
        <v>871</v>
      </c>
      <c r="B4195" s="10" t="s">
        <v>18</v>
      </c>
      <c r="C4195" s="10" t="s">
        <v>93</v>
      </c>
      <c r="D4195" s="17">
        <v>549.99</v>
      </c>
    </row>
    <row r="4196" spans="1:4" x14ac:dyDescent="0.3">
      <c r="A4196" s="12"/>
      <c r="B4196" s="12"/>
      <c r="C4196" s="14" t="s">
        <v>39</v>
      </c>
      <c r="D4196" s="18">
        <v>449.99</v>
      </c>
    </row>
    <row r="4197" spans="1:4" x14ac:dyDescent="0.3">
      <c r="A4197" s="12"/>
      <c r="B4197" s="12"/>
      <c r="C4197" s="14" t="s">
        <v>89</v>
      </c>
      <c r="D4197" s="18">
        <v>833.98</v>
      </c>
    </row>
    <row r="4198" spans="1:4" x14ac:dyDescent="0.3">
      <c r="A4198" s="12"/>
      <c r="B4198" s="12"/>
      <c r="C4198" s="14" t="s">
        <v>47</v>
      </c>
      <c r="D4198" s="18">
        <v>1999.98</v>
      </c>
    </row>
    <row r="4199" spans="1:4" x14ac:dyDescent="0.3">
      <c r="A4199" s="12"/>
      <c r="B4199" s="10" t="s">
        <v>1916</v>
      </c>
      <c r="C4199" s="11"/>
      <c r="D4199" s="17">
        <v>3833.94</v>
      </c>
    </row>
    <row r="4200" spans="1:4" x14ac:dyDescent="0.3">
      <c r="A4200" s="10" t="s">
        <v>1167</v>
      </c>
      <c r="B4200" s="11"/>
      <c r="C4200" s="11"/>
      <c r="D4200" s="17">
        <v>3833.94</v>
      </c>
    </row>
    <row r="4201" spans="1:4" x14ac:dyDescent="0.3">
      <c r="A4201" s="10">
        <v>872</v>
      </c>
      <c r="B4201" s="10" t="s">
        <v>11</v>
      </c>
      <c r="C4201" s="10" t="s">
        <v>42</v>
      </c>
      <c r="D4201" s="17">
        <v>749.99</v>
      </c>
    </row>
    <row r="4202" spans="1:4" x14ac:dyDescent="0.3">
      <c r="A4202" s="12"/>
      <c r="B4202" s="12"/>
      <c r="C4202" s="14" t="s">
        <v>50</v>
      </c>
      <c r="D4202" s="18">
        <v>6999.98</v>
      </c>
    </row>
    <row r="4203" spans="1:4" x14ac:dyDescent="0.3">
      <c r="A4203" s="12"/>
      <c r="B4203" s="10" t="s">
        <v>1915</v>
      </c>
      <c r="C4203" s="11"/>
      <c r="D4203" s="17">
        <v>7749.9699999999993</v>
      </c>
    </row>
    <row r="4204" spans="1:4" x14ac:dyDescent="0.3">
      <c r="A4204" s="10" t="s">
        <v>1168</v>
      </c>
      <c r="B4204" s="11"/>
      <c r="C4204" s="11"/>
      <c r="D4204" s="17">
        <v>7749.9699999999993</v>
      </c>
    </row>
    <row r="4205" spans="1:4" x14ac:dyDescent="0.3">
      <c r="A4205" s="10">
        <v>873</v>
      </c>
      <c r="B4205" s="10" t="s">
        <v>18</v>
      </c>
      <c r="C4205" s="10" t="s">
        <v>46</v>
      </c>
      <c r="D4205" s="17">
        <v>939.98</v>
      </c>
    </row>
    <row r="4206" spans="1:4" x14ac:dyDescent="0.3">
      <c r="A4206" s="12"/>
      <c r="B4206" s="10" t="s">
        <v>1916</v>
      </c>
      <c r="C4206" s="11"/>
      <c r="D4206" s="17">
        <v>939.98</v>
      </c>
    </row>
    <row r="4207" spans="1:4" x14ac:dyDescent="0.3">
      <c r="A4207" s="10" t="s">
        <v>1169</v>
      </c>
      <c r="B4207" s="11"/>
      <c r="C4207" s="11"/>
      <c r="D4207" s="17">
        <v>939.98</v>
      </c>
    </row>
    <row r="4208" spans="1:4" x14ac:dyDescent="0.3">
      <c r="A4208" s="10">
        <v>874</v>
      </c>
      <c r="B4208" s="10" t="s">
        <v>18</v>
      </c>
      <c r="C4208" s="10" t="s">
        <v>113</v>
      </c>
      <c r="D4208" s="17">
        <v>1599.98</v>
      </c>
    </row>
    <row r="4209" spans="1:4" x14ac:dyDescent="0.3">
      <c r="A4209" s="12"/>
      <c r="B4209" s="12"/>
      <c r="C4209" s="14" t="s">
        <v>43</v>
      </c>
      <c r="D4209" s="18">
        <v>749.99</v>
      </c>
    </row>
    <row r="4210" spans="1:4" x14ac:dyDescent="0.3">
      <c r="A4210" s="12"/>
      <c r="B4210" s="12"/>
      <c r="C4210" s="14" t="s">
        <v>106</v>
      </c>
      <c r="D4210" s="18">
        <v>1999.98</v>
      </c>
    </row>
    <row r="4211" spans="1:4" x14ac:dyDescent="0.3">
      <c r="A4211" s="12"/>
      <c r="B4211" s="12"/>
      <c r="C4211" s="14" t="s">
        <v>41</v>
      </c>
      <c r="D4211" s="18">
        <v>5499.99</v>
      </c>
    </row>
    <row r="4212" spans="1:4" x14ac:dyDescent="0.3">
      <c r="A4212" s="12"/>
      <c r="B4212" s="10" t="s">
        <v>1916</v>
      </c>
      <c r="C4212" s="11"/>
      <c r="D4212" s="17">
        <v>9849.94</v>
      </c>
    </row>
    <row r="4213" spans="1:4" x14ac:dyDescent="0.3">
      <c r="A4213" s="10" t="s">
        <v>1170</v>
      </c>
      <c r="B4213" s="11"/>
      <c r="C4213" s="11"/>
      <c r="D4213" s="17">
        <v>9849.94</v>
      </c>
    </row>
    <row r="4214" spans="1:4" x14ac:dyDescent="0.3">
      <c r="A4214" s="10">
        <v>875</v>
      </c>
      <c r="B4214" s="10" t="s">
        <v>11</v>
      </c>
      <c r="C4214" s="10" t="s">
        <v>28</v>
      </c>
      <c r="D4214" s="17">
        <v>269.99</v>
      </c>
    </row>
    <row r="4215" spans="1:4" x14ac:dyDescent="0.3">
      <c r="A4215" s="12"/>
      <c r="B4215" s="12"/>
      <c r="C4215" s="14" t="s">
        <v>27</v>
      </c>
      <c r="D4215" s="18">
        <v>1059.98</v>
      </c>
    </row>
    <row r="4216" spans="1:4" x14ac:dyDescent="0.3">
      <c r="A4216" s="12"/>
      <c r="B4216" s="12"/>
      <c r="C4216" s="14" t="s">
        <v>34</v>
      </c>
      <c r="D4216" s="18">
        <v>2641.98</v>
      </c>
    </row>
    <row r="4217" spans="1:4" x14ac:dyDescent="0.3">
      <c r="A4217" s="12"/>
      <c r="B4217" s="12"/>
      <c r="C4217" s="14" t="s">
        <v>112</v>
      </c>
      <c r="D4217" s="18">
        <v>470.99</v>
      </c>
    </row>
    <row r="4218" spans="1:4" x14ac:dyDescent="0.3">
      <c r="A4218" s="12"/>
      <c r="B4218" s="10" t="s">
        <v>1915</v>
      </c>
      <c r="C4218" s="11"/>
      <c r="D4218" s="17">
        <v>4442.9399999999996</v>
      </c>
    </row>
    <row r="4219" spans="1:4" x14ac:dyDescent="0.3">
      <c r="A4219" s="10" t="s">
        <v>1171</v>
      </c>
      <c r="B4219" s="11"/>
      <c r="C4219" s="11"/>
      <c r="D4219" s="17">
        <v>4442.9399999999996</v>
      </c>
    </row>
    <row r="4220" spans="1:4" x14ac:dyDescent="0.3">
      <c r="A4220" s="10">
        <v>876</v>
      </c>
      <c r="B4220" s="10" t="s">
        <v>18</v>
      </c>
      <c r="C4220" s="10" t="s">
        <v>91</v>
      </c>
      <c r="D4220" s="17">
        <v>349.99</v>
      </c>
    </row>
    <row r="4221" spans="1:4" x14ac:dyDescent="0.3">
      <c r="A4221" s="12"/>
      <c r="B4221" s="12"/>
      <c r="C4221" s="14" t="s">
        <v>23</v>
      </c>
      <c r="D4221" s="18">
        <v>858</v>
      </c>
    </row>
    <row r="4222" spans="1:4" x14ac:dyDescent="0.3">
      <c r="A4222" s="12"/>
      <c r="B4222" s="12"/>
      <c r="C4222" s="14" t="s">
        <v>89</v>
      </c>
      <c r="D4222" s="18">
        <v>833.98</v>
      </c>
    </row>
    <row r="4223" spans="1:4" x14ac:dyDescent="0.3">
      <c r="A4223" s="12"/>
      <c r="B4223" s="12"/>
      <c r="C4223" s="14" t="s">
        <v>92</v>
      </c>
      <c r="D4223" s="18">
        <v>501.98</v>
      </c>
    </row>
    <row r="4224" spans="1:4" x14ac:dyDescent="0.3">
      <c r="A4224" s="12"/>
      <c r="B4224" s="10" t="s">
        <v>1916</v>
      </c>
      <c r="C4224" s="11"/>
      <c r="D4224" s="17">
        <v>2543.9499999999998</v>
      </c>
    </row>
    <row r="4225" spans="1:4" x14ac:dyDescent="0.3">
      <c r="A4225" s="10" t="s">
        <v>1172</v>
      </c>
      <c r="B4225" s="11"/>
      <c r="C4225" s="11"/>
      <c r="D4225" s="17">
        <v>2543.9499999999998</v>
      </c>
    </row>
    <row r="4226" spans="1:4" x14ac:dyDescent="0.3">
      <c r="A4226" s="10">
        <v>877</v>
      </c>
      <c r="B4226" s="10" t="s">
        <v>18</v>
      </c>
      <c r="C4226" s="10" t="s">
        <v>43</v>
      </c>
      <c r="D4226" s="17">
        <v>749.99</v>
      </c>
    </row>
    <row r="4227" spans="1:4" x14ac:dyDescent="0.3">
      <c r="A4227" s="12"/>
      <c r="B4227" s="12"/>
      <c r="C4227" s="14" t="s">
        <v>40</v>
      </c>
      <c r="D4227" s="18">
        <v>551.99</v>
      </c>
    </row>
    <row r="4228" spans="1:4" x14ac:dyDescent="0.3">
      <c r="A4228" s="12"/>
      <c r="B4228" s="10" t="s">
        <v>1916</v>
      </c>
      <c r="C4228" s="11"/>
      <c r="D4228" s="17">
        <v>1301.98</v>
      </c>
    </row>
    <row r="4229" spans="1:4" x14ac:dyDescent="0.3">
      <c r="A4229" s="10" t="s">
        <v>1173</v>
      </c>
      <c r="B4229" s="11"/>
      <c r="C4229" s="11"/>
      <c r="D4229" s="17">
        <v>1301.98</v>
      </c>
    </row>
    <row r="4230" spans="1:4" x14ac:dyDescent="0.3">
      <c r="A4230" s="10">
        <v>878</v>
      </c>
      <c r="B4230" s="10" t="s">
        <v>11</v>
      </c>
      <c r="C4230" s="10" t="s">
        <v>31</v>
      </c>
      <c r="D4230" s="17">
        <v>269.99</v>
      </c>
    </row>
    <row r="4231" spans="1:4" x14ac:dyDescent="0.3">
      <c r="A4231" s="12"/>
      <c r="B4231" s="12"/>
      <c r="C4231" s="14" t="s">
        <v>24</v>
      </c>
      <c r="D4231" s="18">
        <v>898</v>
      </c>
    </row>
    <row r="4232" spans="1:4" x14ac:dyDescent="0.3">
      <c r="A4232" s="12"/>
      <c r="B4232" s="12"/>
      <c r="C4232" s="14" t="s">
        <v>40</v>
      </c>
      <c r="D4232" s="18">
        <v>551.99</v>
      </c>
    </row>
    <row r="4233" spans="1:4" x14ac:dyDescent="0.3">
      <c r="A4233" s="12"/>
      <c r="B4233" s="12"/>
      <c r="C4233" s="14" t="s">
        <v>32</v>
      </c>
      <c r="D4233" s="18">
        <v>939.98</v>
      </c>
    </row>
    <row r="4234" spans="1:4" x14ac:dyDescent="0.3">
      <c r="A4234" s="12"/>
      <c r="B4234" s="10" t="s">
        <v>1915</v>
      </c>
      <c r="C4234" s="11"/>
      <c r="D4234" s="17">
        <v>2659.96</v>
      </c>
    </row>
    <row r="4235" spans="1:4" x14ac:dyDescent="0.3">
      <c r="A4235" s="10" t="s">
        <v>1174</v>
      </c>
      <c r="B4235" s="11"/>
      <c r="C4235" s="11"/>
      <c r="D4235" s="17">
        <v>2659.96</v>
      </c>
    </row>
    <row r="4236" spans="1:4" x14ac:dyDescent="0.3">
      <c r="A4236" s="10">
        <v>879</v>
      </c>
      <c r="B4236" s="10" t="s">
        <v>18</v>
      </c>
      <c r="C4236" s="10" t="s">
        <v>100</v>
      </c>
      <c r="D4236" s="17">
        <v>659.99</v>
      </c>
    </row>
    <row r="4237" spans="1:4" x14ac:dyDescent="0.3">
      <c r="A4237" s="12"/>
      <c r="B4237" s="12"/>
      <c r="C4237" s="14" t="s">
        <v>105</v>
      </c>
      <c r="D4237" s="18">
        <v>979.98</v>
      </c>
    </row>
    <row r="4238" spans="1:4" x14ac:dyDescent="0.3">
      <c r="A4238" s="12"/>
      <c r="B4238" s="12"/>
      <c r="C4238" s="14" t="s">
        <v>22</v>
      </c>
      <c r="D4238" s="18">
        <v>1499.98</v>
      </c>
    </row>
    <row r="4239" spans="1:4" x14ac:dyDescent="0.3">
      <c r="A4239" s="12"/>
      <c r="B4239" s="12"/>
      <c r="C4239" s="14" t="s">
        <v>66</v>
      </c>
      <c r="D4239" s="18">
        <v>299.98</v>
      </c>
    </row>
    <row r="4240" spans="1:4" x14ac:dyDescent="0.3">
      <c r="A4240" s="12"/>
      <c r="B4240" s="10" t="s">
        <v>1916</v>
      </c>
      <c r="C4240" s="11"/>
      <c r="D4240" s="17">
        <v>3439.93</v>
      </c>
    </row>
    <row r="4241" spans="1:4" x14ac:dyDescent="0.3">
      <c r="A4241" s="10" t="s">
        <v>1175</v>
      </c>
      <c r="B4241" s="11"/>
      <c r="C4241" s="11"/>
      <c r="D4241" s="17">
        <v>3439.93</v>
      </c>
    </row>
    <row r="4242" spans="1:4" x14ac:dyDescent="0.3">
      <c r="A4242" s="10">
        <v>880</v>
      </c>
      <c r="B4242" s="10" t="s">
        <v>18</v>
      </c>
      <c r="C4242" s="10" t="s">
        <v>48</v>
      </c>
      <c r="D4242" s="17">
        <v>299.99</v>
      </c>
    </row>
    <row r="4243" spans="1:4" x14ac:dyDescent="0.3">
      <c r="A4243" s="12"/>
      <c r="B4243" s="12"/>
      <c r="C4243" s="14" t="s">
        <v>14</v>
      </c>
      <c r="D4243" s="18">
        <v>599.99</v>
      </c>
    </row>
    <row r="4244" spans="1:4" x14ac:dyDescent="0.3">
      <c r="A4244" s="12"/>
      <c r="B4244" s="12"/>
      <c r="C4244" s="14" t="s">
        <v>34</v>
      </c>
      <c r="D4244" s="18">
        <v>1320.99</v>
      </c>
    </row>
    <row r="4245" spans="1:4" x14ac:dyDescent="0.3">
      <c r="A4245" s="12"/>
      <c r="B4245" s="12"/>
      <c r="C4245" s="14" t="s">
        <v>92</v>
      </c>
      <c r="D4245" s="18">
        <v>250.99</v>
      </c>
    </row>
    <row r="4246" spans="1:4" x14ac:dyDescent="0.3">
      <c r="A4246" s="12"/>
      <c r="B4246" s="12"/>
      <c r="C4246" s="14" t="s">
        <v>86</v>
      </c>
      <c r="D4246" s="18">
        <v>4999.9799999999996</v>
      </c>
    </row>
    <row r="4247" spans="1:4" x14ac:dyDescent="0.3">
      <c r="A4247" s="12"/>
      <c r="B4247" s="10" t="s">
        <v>1916</v>
      </c>
      <c r="C4247" s="11"/>
      <c r="D4247" s="17">
        <v>7471.94</v>
      </c>
    </row>
    <row r="4248" spans="1:4" x14ac:dyDescent="0.3">
      <c r="A4248" s="10" t="s">
        <v>1176</v>
      </c>
      <c r="B4248" s="11"/>
      <c r="C4248" s="11"/>
      <c r="D4248" s="17">
        <v>7471.94</v>
      </c>
    </row>
    <row r="4249" spans="1:4" x14ac:dyDescent="0.3">
      <c r="A4249" s="10">
        <v>881</v>
      </c>
      <c r="B4249" s="10" t="s">
        <v>37</v>
      </c>
      <c r="C4249" s="10" t="s">
        <v>82</v>
      </c>
      <c r="D4249" s="17">
        <v>489.99</v>
      </c>
    </row>
    <row r="4250" spans="1:4" x14ac:dyDescent="0.3">
      <c r="A4250" s="12"/>
      <c r="B4250" s="12"/>
      <c r="C4250" s="14" t="s">
        <v>51</v>
      </c>
      <c r="D4250" s="18">
        <v>979.98</v>
      </c>
    </row>
    <row r="4251" spans="1:4" x14ac:dyDescent="0.3">
      <c r="A4251" s="12"/>
      <c r="B4251" s="12"/>
      <c r="C4251" s="14" t="s">
        <v>60</v>
      </c>
      <c r="D4251" s="18">
        <v>250.99</v>
      </c>
    </row>
    <row r="4252" spans="1:4" x14ac:dyDescent="0.3">
      <c r="A4252" s="12"/>
      <c r="B4252" s="12"/>
      <c r="C4252" s="14" t="s">
        <v>79</v>
      </c>
      <c r="D4252" s="18">
        <v>5999.99</v>
      </c>
    </row>
    <row r="4253" spans="1:4" x14ac:dyDescent="0.3">
      <c r="A4253" s="12"/>
      <c r="B4253" s="10" t="s">
        <v>1917</v>
      </c>
      <c r="C4253" s="11"/>
      <c r="D4253" s="17">
        <v>7720.95</v>
      </c>
    </row>
    <row r="4254" spans="1:4" x14ac:dyDescent="0.3">
      <c r="A4254" s="10" t="s">
        <v>1177</v>
      </c>
      <c r="B4254" s="11"/>
      <c r="C4254" s="11"/>
      <c r="D4254" s="17">
        <v>7720.95</v>
      </c>
    </row>
    <row r="4255" spans="1:4" x14ac:dyDescent="0.3">
      <c r="A4255" s="10">
        <v>882</v>
      </c>
      <c r="B4255" s="10" t="s">
        <v>18</v>
      </c>
      <c r="C4255" s="10" t="s">
        <v>85</v>
      </c>
      <c r="D4255" s="17">
        <v>899.98</v>
      </c>
    </row>
    <row r="4256" spans="1:4" x14ac:dyDescent="0.3">
      <c r="A4256" s="12"/>
      <c r="B4256" s="12"/>
      <c r="C4256" s="14" t="s">
        <v>75</v>
      </c>
      <c r="D4256" s="18">
        <v>6999.98</v>
      </c>
    </row>
    <row r="4257" spans="1:4" x14ac:dyDescent="0.3">
      <c r="A4257" s="12"/>
      <c r="B4257" s="12"/>
      <c r="C4257" s="14" t="s">
        <v>103</v>
      </c>
      <c r="D4257" s="18">
        <v>3999.98</v>
      </c>
    </row>
    <row r="4258" spans="1:4" x14ac:dyDescent="0.3">
      <c r="A4258" s="12"/>
      <c r="B4258" s="10" t="s">
        <v>1916</v>
      </c>
      <c r="C4258" s="11"/>
      <c r="D4258" s="17">
        <v>11899.939999999999</v>
      </c>
    </row>
    <row r="4259" spans="1:4" x14ac:dyDescent="0.3">
      <c r="A4259" s="10" t="s">
        <v>1178</v>
      </c>
      <c r="B4259" s="11"/>
      <c r="C4259" s="11"/>
      <c r="D4259" s="17">
        <v>11899.939999999999</v>
      </c>
    </row>
    <row r="4260" spans="1:4" x14ac:dyDescent="0.3">
      <c r="A4260" s="10">
        <v>883</v>
      </c>
      <c r="B4260" s="10" t="s">
        <v>18</v>
      </c>
      <c r="C4260" s="10" t="s">
        <v>108</v>
      </c>
      <c r="D4260" s="17">
        <v>539.99</v>
      </c>
    </row>
    <row r="4261" spans="1:4" x14ac:dyDescent="0.3">
      <c r="A4261" s="12"/>
      <c r="B4261" s="12"/>
      <c r="C4261" s="14" t="s">
        <v>34</v>
      </c>
      <c r="D4261" s="18">
        <v>2641.98</v>
      </c>
    </row>
    <row r="4262" spans="1:4" x14ac:dyDescent="0.3">
      <c r="A4262" s="12"/>
      <c r="B4262" s="10" t="s">
        <v>1916</v>
      </c>
      <c r="C4262" s="11"/>
      <c r="D4262" s="17">
        <v>3181.9700000000003</v>
      </c>
    </row>
    <row r="4263" spans="1:4" x14ac:dyDescent="0.3">
      <c r="A4263" s="10" t="s">
        <v>1179</v>
      </c>
      <c r="B4263" s="11"/>
      <c r="C4263" s="11"/>
      <c r="D4263" s="17">
        <v>3181.9700000000003</v>
      </c>
    </row>
    <row r="4264" spans="1:4" x14ac:dyDescent="0.3">
      <c r="A4264" s="10">
        <v>884</v>
      </c>
      <c r="B4264" s="10" t="s">
        <v>18</v>
      </c>
      <c r="C4264" s="10" t="s">
        <v>31</v>
      </c>
      <c r="D4264" s="17">
        <v>539.98</v>
      </c>
    </row>
    <row r="4265" spans="1:4" x14ac:dyDescent="0.3">
      <c r="A4265" s="12"/>
      <c r="B4265" s="12"/>
      <c r="C4265" s="14" t="s">
        <v>118</v>
      </c>
      <c r="D4265" s="18">
        <v>2819.98</v>
      </c>
    </row>
    <row r="4266" spans="1:4" x14ac:dyDescent="0.3">
      <c r="A4266" s="12"/>
      <c r="B4266" s="12"/>
      <c r="C4266" s="14" t="s">
        <v>89</v>
      </c>
      <c r="D4266" s="18">
        <v>833.98</v>
      </c>
    </row>
    <row r="4267" spans="1:4" x14ac:dyDescent="0.3">
      <c r="A4267" s="12"/>
      <c r="B4267" s="12"/>
      <c r="C4267" s="14" t="s">
        <v>13</v>
      </c>
      <c r="D4267" s="18">
        <v>1549</v>
      </c>
    </row>
    <row r="4268" spans="1:4" x14ac:dyDescent="0.3">
      <c r="A4268" s="12"/>
      <c r="B4268" s="12"/>
      <c r="C4268" s="14" t="s">
        <v>70</v>
      </c>
      <c r="D4268" s="18">
        <v>6999.98</v>
      </c>
    </row>
    <row r="4269" spans="1:4" x14ac:dyDescent="0.3">
      <c r="A4269" s="12"/>
      <c r="B4269" s="10" t="s">
        <v>1916</v>
      </c>
      <c r="C4269" s="11"/>
      <c r="D4269" s="17">
        <v>12742.92</v>
      </c>
    </row>
    <row r="4270" spans="1:4" x14ac:dyDescent="0.3">
      <c r="A4270" s="10" t="s">
        <v>1180</v>
      </c>
      <c r="B4270" s="11"/>
      <c r="C4270" s="11"/>
      <c r="D4270" s="17">
        <v>12742.92</v>
      </c>
    </row>
    <row r="4271" spans="1:4" x14ac:dyDescent="0.3">
      <c r="A4271" s="10">
        <v>885</v>
      </c>
      <c r="B4271" s="10" t="s">
        <v>37</v>
      </c>
      <c r="C4271" s="10" t="s">
        <v>39</v>
      </c>
      <c r="D4271" s="17">
        <v>449.99</v>
      </c>
    </row>
    <row r="4272" spans="1:4" x14ac:dyDescent="0.3">
      <c r="A4272" s="12"/>
      <c r="B4272" s="12"/>
      <c r="C4272" s="14" t="s">
        <v>62</v>
      </c>
      <c r="D4272" s="18">
        <v>5299.99</v>
      </c>
    </row>
    <row r="4273" spans="1:4" x14ac:dyDescent="0.3">
      <c r="A4273" s="12"/>
      <c r="B4273" s="10" t="s">
        <v>1917</v>
      </c>
      <c r="C4273" s="11"/>
      <c r="D4273" s="17">
        <v>5749.98</v>
      </c>
    </row>
    <row r="4274" spans="1:4" x14ac:dyDescent="0.3">
      <c r="A4274" s="10" t="s">
        <v>1181</v>
      </c>
      <c r="B4274" s="11"/>
      <c r="C4274" s="11"/>
      <c r="D4274" s="17">
        <v>5749.98</v>
      </c>
    </row>
    <row r="4275" spans="1:4" x14ac:dyDescent="0.3">
      <c r="A4275" s="10">
        <v>886</v>
      </c>
      <c r="B4275" s="10" t="s">
        <v>11</v>
      </c>
      <c r="C4275" s="10" t="s">
        <v>47</v>
      </c>
      <c r="D4275" s="17">
        <v>999.99</v>
      </c>
    </row>
    <row r="4276" spans="1:4" x14ac:dyDescent="0.3">
      <c r="A4276" s="12"/>
      <c r="B4276" s="12"/>
      <c r="C4276" s="14" t="s">
        <v>54</v>
      </c>
      <c r="D4276" s="18">
        <v>5299.99</v>
      </c>
    </row>
    <row r="4277" spans="1:4" x14ac:dyDescent="0.3">
      <c r="A4277" s="12"/>
      <c r="B4277" s="10" t="s">
        <v>1915</v>
      </c>
      <c r="C4277" s="11"/>
      <c r="D4277" s="17">
        <v>6299.98</v>
      </c>
    </row>
    <row r="4278" spans="1:4" x14ac:dyDescent="0.3">
      <c r="A4278" s="10" t="s">
        <v>1182</v>
      </c>
      <c r="B4278" s="11"/>
      <c r="C4278" s="11"/>
      <c r="D4278" s="17">
        <v>6299.98</v>
      </c>
    </row>
    <row r="4279" spans="1:4" x14ac:dyDescent="0.3">
      <c r="A4279" s="10">
        <v>887</v>
      </c>
      <c r="B4279" s="10" t="s">
        <v>18</v>
      </c>
      <c r="C4279" s="10" t="s">
        <v>73</v>
      </c>
      <c r="D4279" s="17">
        <v>659.99</v>
      </c>
    </row>
    <row r="4280" spans="1:4" x14ac:dyDescent="0.3">
      <c r="A4280" s="12"/>
      <c r="B4280" s="12"/>
      <c r="C4280" s="14" t="s">
        <v>79</v>
      </c>
      <c r="D4280" s="18">
        <v>11999.98</v>
      </c>
    </row>
    <row r="4281" spans="1:4" x14ac:dyDescent="0.3">
      <c r="A4281" s="12"/>
      <c r="B4281" s="10" t="s">
        <v>1916</v>
      </c>
      <c r="C4281" s="11"/>
      <c r="D4281" s="17">
        <v>12659.97</v>
      </c>
    </row>
    <row r="4282" spans="1:4" x14ac:dyDescent="0.3">
      <c r="A4282" s="10" t="s">
        <v>1183</v>
      </c>
      <c r="B4282" s="11"/>
      <c r="C4282" s="11"/>
      <c r="D4282" s="17">
        <v>12659.97</v>
      </c>
    </row>
    <row r="4283" spans="1:4" x14ac:dyDescent="0.3">
      <c r="A4283" s="10">
        <v>888</v>
      </c>
      <c r="B4283" s="10" t="s">
        <v>18</v>
      </c>
      <c r="C4283" s="10" t="s">
        <v>14</v>
      </c>
      <c r="D4283" s="17">
        <v>1199.98</v>
      </c>
    </row>
    <row r="4284" spans="1:4" x14ac:dyDescent="0.3">
      <c r="A4284" s="12"/>
      <c r="B4284" s="12"/>
      <c r="C4284" s="14" t="s">
        <v>67</v>
      </c>
      <c r="D4284" s="18">
        <v>939.98</v>
      </c>
    </row>
    <row r="4285" spans="1:4" x14ac:dyDescent="0.3">
      <c r="A4285" s="12"/>
      <c r="B4285" s="10" t="s">
        <v>1916</v>
      </c>
      <c r="C4285" s="11"/>
      <c r="D4285" s="17">
        <v>2139.96</v>
      </c>
    </row>
    <row r="4286" spans="1:4" x14ac:dyDescent="0.3">
      <c r="A4286" s="10" t="s">
        <v>1184</v>
      </c>
      <c r="B4286" s="11"/>
      <c r="C4286" s="11"/>
      <c r="D4286" s="17">
        <v>2139.96</v>
      </c>
    </row>
    <row r="4287" spans="1:4" x14ac:dyDescent="0.3">
      <c r="A4287" s="10">
        <v>889</v>
      </c>
      <c r="B4287" s="10" t="s">
        <v>37</v>
      </c>
      <c r="C4287" s="10" t="s">
        <v>25</v>
      </c>
      <c r="D4287" s="17">
        <v>1099.98</v>
      </c>
    </row>
    <row r="4288" spans="1:4" x14ac:dyDescent="0.3">
      <c r="A4288" s="12"/>
      <c r="B4288" s="10" t="s">
        <v>1917</v>
      </c>
      <c r="C4288" s="11"/>
      <c r="D4288" s="17">
        <v>1099.98</v>
      </c>
    </row>
    <row r="4289" spans="1:4" x14ac:dyDescent="0.3">
      <c r="A4289" s="10" t="s">
        <v>1185</v>
      </c>
      <c r="B4289" s="11"/>
      <c r="C4289" s="11"/>
      <c r="D4289" s="17">
        <v>1099.98</v>
      </c>
    </row>
    <row r="4290" spans="1:4" x14ac:dyDescent="0.3">
      <c r="A4290" s="10">
        <v>890</v>
      </c>
      <c r="B4290" s="10" t="s">
        <v>18</v>
      </c>
      <c r="C4290" s="10" t="s">
        <v>14</v>
      </c>
      <c r="D4290" s="17">
        <v>1199.98</v>
      </c>
    </row>
    <row r="4291" spans="1:4" x14ac:dyDescent="0.3">
      <c r="A4291" s="12"/>
      <c r="B4291" s="12"/>
      <c r="C4291" s="14" t="s">
        <v>114</v>
      </c>
      <c r="D4291" s="18">
        <v>693.98</v>
      </c>
    </row>
    <row r="4292" spans="1:4" x14ac:dyDescent="0.3">
      <c r="A4292" s="12"/>
      <c r="B4292" s="12"/>
      <c r="C4292" s="14" t="s">
        <v>60</v>
      </c>
      <c r="D4292" s="18">
        <v>250.99</v>
      </c>
    </row>
    <row r="4293" spans="1:4" x14ac:dyDescent="0.3">
      <c r="A4293" s="12"/>
      <c r="B4293" s="12"/>
      <c r="C4293" s="14" t="s">
        <v>96</v>
      </c>
      <c r="D4293" s="18">
        <v>1067.98</v>
      </c>
    </row>
    <row r="4294" spans="1:4" x14ac:dyDescent="0.3">
      <c r="A4294" s="12"/>
      <c r="B4294" s="12"/>
      <c r="C4294" s="14" t="s">
        <v>68</v>
      </c>
      <c r="D4294" s="18">
        <v>875.99</v>
      </c>
    </row>
    <row r="4295" spans="1:4" x14ac:dyDescent="0.3">
      <c r="A4295" s="12"/>
      <c r="B4295" s="10" t="s">
        <v>1916</v>
      </c>
      <c r="C4295" s="11"/>
      <c r="D4295" s="17">
        <v>4088.92</v>
      </c>
    </row>
    <row r="4296" spans="1:4" x14ac:dyDescent="0.3">
      <c r="A4296" s="10" t="s">
        <v>1186</v>
      </c>
      <c r="B4296" s="11"/>
      <c r="C4296" s="11"/>
      <c r="D4296" s="17">
        <v>4088.92</v>
      </c>
    </row>
    <row r="4297" spans="1:4" x14ac:dyDescent="0.3">
      <c r="A4297" s="10">
        <v>891</v>
      </c>
      <c r="B4297" s="10" t="s">
        <v>18</v>
      </c>
      <c r="C4297" s="10" t="s">
        <v>89</v>
      </c>
      <c r="D4297" s="17">
        <v>833.98</v>
      </c>
    </row>
    <row r="4298" spans="1:4" x14ac:dyDescent="0.3">
      <c r="A4298" s="12"/>
      <c r="B4298" s="12"/>
      <c r="C4298" s="14" t="s">
        <v>109</v>
      </c>
      <c r="D4298" s="18">
        <v>1665.98</v>
      </c>
    </row>
    <row r="4299" spans="1:4" x14ac:dyDescent="0.3">
      <c r="A4299" s="12"/>
      <c r="B4299" s="12"/>
      <c r="C4299" s="14" t="s">
        <v>46</v>
      </c>
      <c r="D4299" s="18">
        <v>469.99</v>
      </c>
    </row>
    <row r="4300" spans="1:4" x14ac:dyDescent="0.3">
      <c r="A4300" s="12"/>
      <c r="B4300" s="12"/>
      <c r="C4300" s="14" t="s">
        <v>79</v>
      </c>
      <c r="D4300" s="18">
        <v>5999.99</v>
      </c>
    </row>
    <row r="4301" spans="1:4" x14ac:dyDescent="0.3">
      <c r="A4301" s="12"/>
      <c r="B4301" s="10" t="s">
        <v>1916</v>
      </c>
      <c r="C4301" s="11"/>
      <c r="D4301" s="17">
        <v>8969.9399999999987</v>
      </c>
    </row>
    <row r="4302" spans="1:4" x14ac:dyDescent="0.3">
      <c r="A4302" s="10" t="s">
        <v>1187</v>
      </c>
      <c r="B4302" s="11"/>
      <c r="C4302" s="11"/>
      <c r="D4302" s="17">
        <v>8969.9399999999987</v>
      </c>
    </row>
    <row r="4303" spans="1:4" x14ac:dyDescent="0.3">
      <c r="A4303" s="10">
        <v>892</v>
      </c>
      <c r="B4303" s="10" t="s">
        <v>18</v>
      </c>
      <c r="C4303" s="10" t="s">
        <v>116</v>
      </c>
      <c r="D4303" s="17">
        <v>832.99</v>
      </c>
    </row>
    <row r="4304" spans="1:4" x14ac:dyDescent="0.3">
      <c r="A4304" s="12"/>
      <c r="B4304" s="12"/>
      <c r="C4304" s="14" t="s">
        <v>26</v>
      </c>
      <c r="D4304" s="18">
        <v>5999.98</v>
      </c>
    </row>
    <row r="4305" spans="1:4" x14ac:dyDescent="0.3">
      <c r="A4305" s="12"/>
      <c r="B4305" s="12"/>
      <c r="C4305" s="14" t="s">
        <v>64</v>
      </c>
      <c r="D4305" s="18">
        <v>189.99</v>
      </c>
    </row>
    <row r="4306" spans="1:4" x14ac:dyDescent="0.3">
      <c r="A4306" s="12"/>
      <c r="B4306" s="12"/>
      <c r="C4306" s="14" t="s">
        <v>79</v>
      </c>
      <c r="D4306" s="18">
        <v>11999.98</v>
      </c>
    </row>
    <row r="4307" spans="1:4" x14ac:dyDescent="0.3">
      <c r="A4307" s="12"/>
      <c r="B4307" s="10" t="s">
        <v>1916</v>
      </c>
      <c r="C4307" s="11"/>
      <c r="D4307" s="17">
        <v>19022.939999999999</v>
      </c>
    </row>
    <row r="4308" spans="1:4" x14ac:dyDescent="0.3">
      <c r="A4308" s="10" t="s">
        <v>1188</v>
      </c>
      <c r="B4308" s="11"/>
      <c r="C4308" s="11"/>
      <c r="D4308" s="17">
        <v>19022.939999999999</v>
      </c>
    </row>
    <row r="4309" spans="1:4" x14ac:dyDescent="0.3">
      <c r="A4309" s="10">
        <v>893</v>
      </c>
      <c r="B4309" s="10" t="s">
        <v>18</v>
      </c>
      <c r="C4309" s="10" t="s">
        <v>88</v>
      </c>
      <c r="D4309" s="17">
        <v>869.99</v>
      </c>
    </row>
    <row r="4310" spans="1:4" x14ac:dyDescent="0.3">
      <c r="A4310" s="12"/>
      <c r="B4310" s="12"/>
      <c r="C4310" s="14" t="s">
        <v>60</v>
      </c>
      <c r="D4310" s="18">
        <v>501.98</v>
      </c>
    </row>
    <row r="4311" spans="1:4" x14ac:dyDescent="0.3">
      <c r="A4311" s="12"/>
      <c r="B4311" s="10" t="s">
        <v>1916</v>
      </c>
      <c r="C4311" s="11"/>
      <c r="D4311" s="17">
        <v>1371.97</v>
      </c>
    </row>
    <row r="4312" spans="1:4" x14ac:dyDescent="0.3">
      <c r="A4312" s="10" t="s">
        <v>1189</v>
      </c>
      <c r="B4312" s="11"/>
      <c r="C4312" s="11"/>
      <c r="D4312" s="17">
        <v>1371.97</v>
      </c>
    </row>
    <row r="4313" spans="1:4" x14ac:dyDescent="0.3">
      <c r="A4313" s="10">
        <v>894</v>
      </c>
      <c r="B4313" s="10" t="s">
        <v>18</v>
      </c>
      <c r="C4313" s="10" t="s">
        <v>80</v>
      </c>
      <c r="D4313" s="17">
        <v>679.98</v>
      </c>
    </row>
    <row r="4314" spans="1:4" x14ac:dyDescent="0.3">
      <c r="A4314" s="12"/>
      <c r="B4314" s="10" t="s">
        <v>1916</v>
      </c>
      <c r="C4314" s="11"/>
      <c r="D4314" s="17">
        <v>679.98</v>
      </c>
    </row>
    <row r="4315" spans="1:4" x14ac:dyDescent="0.3">
      <c r="A4315" s="10" t="s">
        <v>1190</v>
      </c>
      <c r="B4315" s="11"/>
      <c r="C4315" s="11"/>
      <c r="D4315" s="17">
        <v>679.98</v>
      </c>
    </row>
    <row r="4316" spans="1:4" x14ac:dyDescent="0.3">
      <c r="A4316" s="10">
        <v>895</v>
      </c>
      <c r="B4316" s="10" t="s">
        <v>18</v>
      </c>
      <c r="C4316" s="10" t="s">
        <v>39</v>
      </c>
      <c r="D4316" s="17">
        <v>449.99</v>
      </c>
    </row>
    <row r="4317" spans="1:4" x14ac:dyDescent="0.3">
      <c r="A4317" s="12"/>
      <c r="B4317" s="10" t="s">
        <v>1916</v>
      </c>
      <c r="C4317" s="11"/>
      <c r="D4317" s="17">
        <v>449.99</v>
      </c>
    </row>
    <row r="4318" spans="1:4" x14ac:dyDescent="0.3">
      <c r="A4318" s="10" t="s">
        <v>1191</v>
      </c>
      <c r="B4318" s="11"/>
      <c r="C4318" s="11"/>
      <c r="D4318" s="17">
        <v>449.99</v>
      </c>
    </row>
    <row r="4319" spans="1:4" x14ac:dyDescent="0.3">
      <c r="A4319" s="10">
        <v>896</v>
      </c>
      <c r="B4319" s="10" t="s">
        <v>37</v>
      </c>
      <c r="C4319" s="10" t="s">
        <v>13</v>
      </c>
      <c r="D4319" s="17">
        <v>1549</v>
      </c>
    </row>
    <row r="4320" spans="1:4" x14ac:dyDescent="0.3">
      <c r="A4320" s="12"/>
      <c r="B4320" s="12"/>
      <c r="C4320" s="14" t="s">
        <v>97</v>
      </c>
      <c r="D4320" s="18">
        <v>699.98</v>
      </c>
    </row>
    <row r="4321" spans="1:4" x14ac:dyDescent="0.3">
      <c r="A4321" s="12"/>
      <c r="B4321" s="10" t="s">
        <v>1917</v>
      </c>
      <c r="C4321" s="11"/>
      <c r="D4321" s="17">
        <v>2248.98</v>
      </c>
    </row>
    <row r="4322" spans="1:4" x14ac:dyDescent="0.3">
      <c r="A4322" s="10" t="s">
        <v>1192</v>
      </c>
      <c r="B4322" s="11"/>
      <c r="C4322" s="11"/>
      <c r="D4322" s="17">
        <v>2248.98</v>
      </c>
    </row>
    <row r="4323" spans="1:4" x14ac:dyDescent="0.3">
      <c r="A4323" s="10">
        <v>897</v>
      </c>
      <c r="B4323" s="10" t="s">
        <v>11</v>
      </c>
      <c r="C4323" s="10" t="s">
        <v>91</v>
      </c>
      <c r="D4323" s="17">
        <v>349.99</v>
      </c>
    </row>
    <row r="4324" spans="1:4" x14ac:dyDescent="0.3">
      <c r="A4324" s="12"/>
      <c r="B4324" s="12"/>
      <c r="C4324" s="14" t="s">
        <v>96</v>
      </c>
      <c r="D4324" s="18">
        <v>533.99</v>
      </c>
    </row>
    <row r="4325" spans="1:4" x14ac:dyDescent="0.3">
      <c r="A4325" s="12"/>
      <c r="B4325" s="10" t="s">
        <v>1915</v>
      </c>
      <c r="C4325" s="11"/>
      <c r="D4325" s="17">
        <v>883.98</v>
      </c>
    </row>
    <row r="4326" spans="1:4" x14ac:dyDescent="0.3">
      <c r="A4326" s="10" t="s">
        <v>1193</v>
      </c>
      <c r="B4326" s="11"/>
      <c r="C4326" s="11"/>
      <c r="D4326" s="17">
        <v>883.98</v>
      </c>
    </row>
    <row r="4327" spans="1:4" x14ac:dyDescent="0.3">
      <c r="A4327" s="10">
        <v>898</v>
      </c>
      <c r="B4327" s="10" t="s">
        <v>18</v>
      </c>
      <c r="C4327" s="10" t="s">
        <v>14</v>
      </c>
      <c r="D4327" s="17">
        <v>599.99</v>
      </c>
    </row>
    <row r="4328" spans="1:4" x14ac:dyDescent="0.3">
      <c r="A4328" s="12"/>
      <c r="B4328" s="12"/>
      <c r="C4328" s="14" t="s">
        <v>88</v>
      </c>
      <c r="D4328" s="18">
        <v>1739.98</v>
      </c>
    </row>
    <row r="4329" spans="1:4" x14ac:dyDescent="0.3">
      <c r="A4329" s="12"/>
      <c r="B4329" s="12"/>
      <c r="C4329" s="14" t="s">
        <v>89</v>
      </c>
      <c r="D4329" s="18">
        <v>833.98</v>
      </c>
    </row>
    <row r="4330" spans="1:4" x14ac:dyDescent="0.3">
      <c r="A4330" s="12"/>
      <c r="B4330" s="12"/>
      <c r="C4330" s="14" t="s">
        <v>103</v>
      </c>
      <c r="D4330" s="18">
        <v>3999.98</v>
      </c>
    </row>
    <row r="4331" spans="1:4" x14ac:dyDescent="0.3">
      <c r="A4331" s="12"/>
      <c r="B4331" s="10" t="s">
        <v>1916</v>
      </c>
      <c r="C4331" s="11"/>
      <c r="D4331" s="17">
        <v>7173.93</v>
      </c>
    </row>
    <row r="4332" spans="1:4" x14ac:dyDescent="0.3">
      <c r="A4332" s="10" t="s">
        <v>1194</v>
      </c>
      <c r="B4332" s="11"/>
      <c r="C4332" s="11"/>
      <c r="D4332" s="17">
        <v>7173.93</v>
      </c>
    </row>
    <row r="4333" spans="1:4" x14ac:dyDescent="0.3">
      <c r="A4333" s="10">
        <v>899</v>
      </c>
      <c r="B4333" s="10" t="s">
        <v>18</v>
      </c>
      <c r="C4333" s="10" t="s">
        <v>23</v>
      </c>
      <c r="D4333" s="17">
        <v>429</v>
      </c>
    </row>
    <row r="4334" spans="1:4" x14ac:dyDescent="0.3">
      <c r="A4334" s="12"/>
      <c r="B4334" s="12"/>
      <c r="C4334" s="14" t="s">
        <v>32</v>
      </c>
      <c r="D4334" s="18">
        <v>469.99</v>
      </c>
    </row>
    <row r="4335" spans="1:4" x14ac:dyDescent="0.3">
      <c r="A4335" s="12"/>
      <c r="B4335" s="12"/>
      <c r="C4335" s="14" t="s">
        <v>74</v>
      </c>
      <c r="D4335" s="18">
        <v>5199.9799999999996</v>
      </c>
    </row>
    <row r="4336" spans="1:4" x14ac:dyDescent="0.3">
      <c r="A4336" s="12"/>
      <c r="B4336" s="10" t="s">
        <v>1916</v>
      </c>
      <c r="C4336" s="11"/>
      <c r="D4336" s="17">
        <v>6098.9699999999993</v>
      </c>
    </row>
    <row r="4337" spans="1:4" x14ac:dyDescent="0.3">
      <c r="A4337" s="10" t="s">
        <v>1195</v>
      </c>
      <c r="B4337" s="11"/>
      <c r="C4337" s="11"/>
      <c r="D4337" s="17">
        <v>6098.9699999999993</v>
      </c>
    </row>
    <row r="4338" spans="1:4" x14ac:dyDescent="0.3">
      <c r="A4338" s="10">
        <v>900</v>
      </c>
      <c r="B4338" s="10" t="s">
        <v>18</v>
      </c>
      <c r="C4338" s="10" t="s">
        <v>14</v>
      </c>
      <c r="D4338" s="17">
        <v>1199.98</v>
      </c>
    </row>
    <row r="4339" spans="1:4" x14ac:dyDescent="0.3">
      <c r="A4339" s="12"/>
      <c r="B4339" s="12"/>
      <c r="C4339" s="14" t="s">
        <v>85</v>
      </c>
      <c r="D4339" s="18">
        <v>449.99</v>
      </c>
    </row>
    <row r="4340" spans="1:4" x14ac:dyDescent="0.3">
      <c r="A4340" s="12"/>
      <c r="B4340" s="12"/>
      <c r="C4340" s="14" t="s">
        <v>86</v>
      </c>
      <c r="D4340" s="18">
        <v>4999.9799999999996</v>
      </c>
    </row>
    <row r="4341" spans="1:4" x14ac:dyDescent="0.3">
      <c r="A4341" s="12"/>
      <c r="B4341" s="12"/>
      <c r="C4341" s="14" t="s">
        <v>45</v>
      </c>
      <c r="D4341" s="18">
        <v>9999.98</v>
      </c>
    </row>
    <row r="4342" spans="1:4" x14ac:dyDescent="0.3">
      <c r="A4342" s="12"/>
      <c r="B4342" s="12"/>
      <c r="C4342" s="14" t="s">
        <v>94</v>
      </c>
      <c r="D4342" s="18">
        <v>209.99</v>
      </c>
    </row>
    <row r="4343" spans="1:4" x14ac:dyDescent="0.3">
      <c r="A4343" s="12"/>
      <c r="B4343" s="10" t="s">
        <v>1916</v>
      </c>
      <c r="C4343" s="11"/>
      <c r="D4343" s="17">
        <v>16859.920000000002</v>
      </c>
    </row>
    <row r="4344" spans="1:4" x14ac:dyDescent="0.3">
      <c r="A4344" s="10" t="s">
        <v>1196</v>
      </c>
      <c r="B4344" s="11"/>
      <c r="C4344" s="11"/>
      <c r="D4344" s="17">
        <v>16859.920000000002</v>
      </c>
    </row>
    <row r="4345" spans="1:4" x14ac:dyDescent="0.3">
      <c r="A4345" s="10">
        <v>901</v>
      </c>
      <c r="B4345" s="10" t="s">
        <v>18</v>
      </c>
      <c r="C4345" s="10" t="s">
        <v>62</v>
      </c>
      <c r="D4345" s="17">
        <v>5299.99</v>
      </c>
    </row>
    <row r="4346" spans="1:4" x14ac:dyDescent="0.3">
      <c r="A4346" s="12"/>
      <c r="B4346" s="12"/>
      <c r="C4346" s="14" t="s">
        <v>79</v>
      </c>
      <c r="D4346" s="18">
        <v>5999.99</v>
      </c>
    </row>
    <row r="4347" spans="1:4" x14ac:dyDescent="0.3">
      <c r="A4347" s="12"/>
      <c r="B4347" s="10" t="s">
        <v>1916</v>
      </c>
      <c r="C4347" s="11"/>
      <c r="D4347" s="17">
        <v>11299.98</v>
      </c>
    </row>
    <row r="4348" spans="1:4" x14ac:dyDescent="0.3">
      <c r="A4348" s="10" t="s">
        <v>1197</v>
      </c>
      <c r="B4348" s="11"/>
      <c r="C4348" s="11"/>
      <c r="D4348" s="17">
        <v>11299.98</v>
      </c>
    </row>
    <row r="4349" spans="1:4" x14ac:dyDescent="0.3">
      <c r="A4349" s="10">
        <v>902</v>
      </c>
      <c r="B4349" s="10" t="s">
        <v>18</v>
      </c>
      <c r="C4349" s="10" t="s">
        <v>48</v>
      </c>
      <c r="D4349" s="17">
        <v>599.98</v>
      </c>
    </row>
    <row r="4350" spans="1:4" x14ac:dyDescent="0.3">
      <c r="A4350" s="12"/>
      <c r="B4350" s="12"/>
      <c r="C4350" s="14" t="s">
        <v>25</v>
      </c>
      <c r="D4350" s="18">
        <v>549.99</v>
      </c>
    </row>
    <row r="4351" spans="1:4" x14ac:dyDescent="0.3">
      <c r="A4351" s="12"/>
      <c r="B4351" s="12"/>
      <c r="C4351" s="14" t="s">
        <v>93</v>
      </c>
      <c r="D4351" s="18">
        <v>1099.98</v>
      </c>
    </row>
    <row r="4352" spans="1:4" x14ac:dyDescent="0.3">
      <c r="A4352" s="12"/>
      <c r="B4352" s="12"/>
      <c r="C4352" s="14" t="s">
        <v>111</v>
      </c>
      <c r="D4352" s="18">
        <v>209.99</v>
      </c>
    </row>
    <row r="4353" spans="1:4" x14ac:dyDescent="0.3">
      <c r="A4353" s="12"/>
      <c r="B4353" s="10" t="s">
        <v>1916</v>
      </c>
      <c r="C4353" s="11"/>
      <c r="D4353" s="17">
        <v>2459.9399999999996</v>
      </c>
    </row>
    <row r="4354" spans="1:4" x14ac:dyDescent="0.3">
      <c r="A4354" s="10" t="s">
        <v>1198</v>
      </c>
      <c r="B4354" s="11"/>
      <c r="C4354" s="11"/>
      <c r="D4354" s="17">
        <v>2459.9399999999996</v>
      </c>
    </row>
    <row r="4355" spans="1:4" x14ac:dyDescent="0.3">
      <c r="A4355" s="10">
        <v>903</v>
      </c>
      <c r="B4355" s="10" t="s">
        <v>18</v>
      </c>
      <c r="C4355" s="10" t="s">
        <v>102</v>
      </c>
      <c r="D4355" s="17">
        <v>3265.98</v>
      </c>
    </row>
    <row r="4356" spans="1:4" x14ac:dyDescent="0.3">
      <c r="A4356" s="12"/>
      <c r="B4356" s="12"/>
      <c r="C4356" s="14" t="s">
        <v>84</v>
      </c>
      <c r="D4356" s="18">
        <v>2999.98</v>
      </c>
    </row>
    <row r="4357" spans="1:4" x14ac:dyDescent="0.3">
      <c r="A4357" s="12"/>
      <c r="B4357" s="10" t="s">
        <v>1916</v>
      </c>
      <c r="C4357" s="11"/>
      <c r="D4357" s="17">
        <v>6265.96</v>
      </c>
    </row>
    <row r="4358" spans="1:4" x14ac:dyDescent="0.3">
      <c r="A4358" s="10" t="s">
        <v>1199</v>
      </c>
      <c r="B4358" s="11"/>
      <c r="C4358" s="11"/>
      <c r="D4358" s="17">
        <v>6265.96</v>
      </c>
    </row>
    <row r="4359" spans="1:4" x14ac:dyDescent="0.3">
      <c r="A4359" s="10">
        <v>904</v>
      </c>
      <c r="B4359" s="10" t="s">
        <v>11</v>
      </c>
      <c r="C4359" s="10" t="s">
        <v>31</v>
      </c>
      <c r="D4359" s="17">
        <v>269.99</v>
      </c>
    </row>
    <row r="4360" spans="1:4" x14ac:dyDescent="0.3">
      <c r="A4360" s="12"/>
      <c r="B4360" s="12"/>
      <c r="C4360" s="14" t="s">
        <v>111</v>
      </c>
      <c r="D4360" s="18">
        <v>419.98</v>
      </c>
    </row>
    <row r="4361" spans="1:4" x14ac:dyDescent="0.3">
      <c r="A4361" s="12"/>
      <c r="B4361" s="12"/>
      <c r="C4361" s="14" t="s">
        <v>116</v>
      </c>
      <c r="D4361" s="18">
        <v>1665.98</v>
      </c>
    </row>
    <row r="4362" spans="1:4" x14ac:dyDescent="0.3">
      <c r="A4362" s="12"/>
      <c r="B4362" s="12"/>
      <c r="C4362" s="14" t="s">
        <v>90</v>
      </c>
      <c r="D4362" s="18">
        <v>12999.98</v>
      </c>
    </row>
    <row r="4363" spans="1:4" x14ac:dyDescent="0.3">
      <c r="A4363" s="12"/>
      <c r="B4363" s="10" t="s">
        <v>1915</v>
      </c>
      <c r="C4363" s="11"/>
      <c r="D4363" s="17">
        <v>15355.93</v>
      </c>
    </row>
    <row r="4364" spans="1:4" x14ac:dyDescent="0.3">
      <c r="A4364" s="10" t="s">
        <v>1200</v>
      </c>
      <c r="B4364" s="11"/>
      <c r="C4364" s="11"/>
      <c r="D4364" s="17">
        <v>15355.93</v>
      </c>
    </row>
    <row r="4365" spans="1:4" x14ac:dyDescent="0.3">
      <c r="A4365" s="10">
        <v>905</v>
      </c>
      <c r="B4365" s="10" t="s">
        <v>18</v>
      </c>
      <c r="C4365" s="10" t="s">
        <v>10</v>
      </c>
      <c r="D4365" s="17">
        <v>599.99</v>
      </c>
    </row>
    <row r="4366" spans="1:4" x14ac:dyDescent="0.3">
      <c r="A4366" s="12"/>
      <c r="B4366" s="12"/>
      <c r="C4366" s="14" t="s">
        <v>60</v>
      </c>
      <c r="D4366" s="18">
        <v>250.99</v>
      </c>
    </row>
    <row r="4367" spans="1:4" x14ac:dyDescent="0.3">
      <c r="A4367" s="12"/>
      <c r="B4367" s="12"/>
      <c r="C4367" s="14" t="s">
        <v>50</v>
      </c>
      <c r="D4367" s="18">
        <v>6999.98</v>
      </c>
    </row>
    <row r="4368" spans="1:4" x14ac:dyDescent="0.3">
      <c r="A4368" s="12"/>
      <c r="B4368" s="12"/>
      <c r="C4368" s="14" t="s">
        <v>53</v>
      </c>
      <c r="D4368" s="18">
        <v>4599.9799999999996</v>
      </c>
    </row>
    <row r="4369" spans="1:4" x14ac:dyDescent="0.3">
      <c r="A4369" s="12"/>
      <c r="B4369" s="10" t="s">
        <v>1916</v>
      </c>
      <c r="C4369" s="11"/>
      <c r="D4369" s="17">
        <v>12450.939999999999</v>
      </c>
    </row>
    <row r="4370" spans="1:4" x14ac:dyDescent="0.3">
      <c r="A4370" s="10" t="s">
        <v>1201</v>
      </c>
      <c r="B4370" s="11"/>
      <c r="C4370" s="11"/>
      <c r="D4370" s="17">
        <v>12450.939999999999</v>
      </c>
    </row>
    <row r="4371" spans="1:4" x14ac:dyDescent="0.3">
      <c r="A4371" s="10">
        <v>906</v>
      </c>
      <c r="B4371" s="10" t="s">
        <v>18</v>
      </c>
      <c r="C4371" s="10" t="s">
        <v>28</v>
      </c>
      <c r="D4371" s="17">
        <v>539.98</v>
      </c>
    </row>
    <row r="4372" spans="1:4" x14ac:dyDescent="0.3">
      <c r="A4372" s="12"/>
      <c r="B4372" s="12"/>
      <c r="C4372" s="14" t="s">
        <v>33</v>
      </c>
      <c r="D4372" s="18">
        <v>599.98</v>
      </c>
    </row>
    <row r="4373" spans="1:4" x14ac:dyDescent="0.3">
      <c r="A4373" s="12"/>
      <c r="B4373" s="12"/>
      <c r="C4373" s="14" t="s">
        <v>51</v>
      </c>
      <c r="D4373" s="18">
        <v>979.98</v>
      </c>
    </row>
    <row r="4374" spans="1:4" x14ac:dyDescent="0.3">
      <c r="A4374" s="12"/>
      <c r="B4374" s="12"/>
      <c r="C4374" s="14" t="s">
        <v>118</v>
      </c>
      <c r="D4374" s="18">
        <v>1409.99</v>
      </c>
    </row>
    <row r="4375" spans="1:4" x14ac:dyDescent="0.3">
      <c r="A4375" s="12"/>
      <c r="B4375" s="12"/>
      <c r="C4375" s="14" t="s">
        <v>86</v>
      </c>
      <c r="D4375" s="18">
        <v>4999.9799999999996</v>
      </c>
    </row>
    <row r="4376" spans="1:4" x14ac:dyDescent="0.3">
      <c r="A4376" s="12"/>
      <c r="B4376" s="10" t="s">
        <v>1916</v>
      </c>
      <c r="C4376" s="11"/>
      <c r="D4376" s="17">
        <v>8529.91</v>
      </c>
    </row>
    <row r="4377" spans="1:4" x14ac:dyDescent="0.3">
      <c r="A4377" s="10" t="s">
        <v>1202</v>
      </c>
      <c r="B4377" s="11"/>
      <c r="C4377" s="11"/>
      <c r="D4377" s="17">
        <v>8529.91</v>
      </c>
    </row>
    <row r="4378" spans="1:4" x14ac:dyDescent="0.3">
      <c r="A4378" s="10">
        <v>907</v>
      </c>
      <c r="B4378" s="10" t="s">
        <v>11</v>
      </c>
      <c r="C4378" s="10" t="s">
        <v>114</v>
      </c>
      <c r="D4378" s="17">
        <v>346.99</v>
      </c>
    </row>
    <row r="4379" spans="1:4" x14ac:dyDescent="0.3">
      <c r="A4379" s="12"/>
      <c r="B4379" s="12"/>
      <c r="C4379" s="14" t="s">
        <v>83</v>
      </c>
      <c r="D4379" s="18">
        <v>219.98</v>
      </c>
    </row>
    <row r="4380" spans="1:4" x14ac:dyDescent="0.3">
      <c r="A4380" s="12"/>
      <c r="B4380" s="10" t="s">
        <v>1915</v>
      </c>
      <c r="C4380" s="11"/>
      <c r="D4380" s="17">
        <v>566.97</v>
      </c>
    </row>
    <row r="4381" spans="1:4" x14ac:dyDescent="0.3">
      <c r="A4381" s="10" t="s">
        <v>1203</v>
      </c>
      <c r="B4381" s="11"/>
      <c r="C4381" s="11"/>
      <c r="D4381" s="17">
        <v>566.97</v>
      </c>
    </row>
    <row r="4382" spans="1:4" x14ac:dyDescent="0.3">
      <c r="A4382" s="10">
        <v>908</v>
      </c>
      <c r="B4382" s="10" t="s">
        <v>18</v>
      </c>
      <c r="C4382" s="10" t="s">
        <v>51</v>
      </c>
      <c r="D4382" s="17">
        <v>979.98</v>
      </c>
    </row>
    <row r="4383" spans="1:4" x14ac:dyDescent="0.3">
      <c r="A4383" s="12"/>
      <c r="B4383" s="12"/>
      <c r="C4383" s="14" t="s">
        <v>77</v>
      </c>
      <c r="D4383" s="18">
        <v>1469.99</v>
      </c>
    </row>
    <row r="4384" spans="1:4" x14ac:dyDescent="0.3">
      <c r="A4384" s="12"/>
      <c r="B4384" s="12"/>
      <c r="C4384" s="14" t="s">
        <v>59</v>
      </c>
      <c r="D4384" s="18">
        <v>249.99</v>
      </c>
    </row>
    <row r="4385" spans="1:4" x14ac:dyDescent="0.3">
      <c r="A4385" s="12"/>
      <c r="B4385" s="10" t="s">
        <v>1916</v>
      </c>
      <c r="C4385" s="11"/>
      <c r="D4385" s="17">
        <v>2699.96</v>
      </c>
    </row>
    <row r="4386" spans="1:4" x14ac:dyDescent="0.3">
      <c r="A4386" s="10" t="s">
        <v>1204</v>
      </c>
      <c r="B4386" s="11"/>
      <c r="C4386" s="11"/>
      <c r="D4386" s="17">
        <v>2699.96</v>
      </c>
    </row>
    <row r="4387" spans="1:4" x14ac:dyDescent="0.3">
      <c r="A4387" s="10">
        <v>909</v>
      </c>
      <c r="B4387" s="10" t="s">
        <v>11</v>
      </c>
      <c r="C4387" s="10" t="s">
        <v>34</v>
      </c>
      <c r="D4387" s="17">
        <v>1320.99</v>
      </c>
    </row>
    <row r="4388" spans="1:4" x14ac:dyDescent="0.3">
      <c r="A4388" s="12"/>
      <c r="B4388" s="10" t="s">
        <v>1915</v>
      </c>
      <c r="C4388" s="11"/>
      <c r="D4388" s="17">
        <v>1320.99</v>
      </c>
    </row>
    <row r="4389" spans="1:4" x14ac:dyDescent="0.3">
      <c r="A4389" s="10" t="s">
        <v>1205</v>
      </c>
      <c r="B4389" s="11"/>
      <c r="C4389" s="11"/>
      <c r="D4389" s="17">
        <v>1320.99</v>
      </c>
    </row>
    <row r="4390" spans="1:4" x14ac:dyDescent="0.3">
      <c r="A4390" s="10">
        <v>910</v>
      </c>
      <c r="B4390" s="10" t="s">
        <v>18</v>
      </c>
      <c r="C4390" s="10" t="s">
        <v>33</v>
      </c>
      <c r="D4390" s="17">
        <v>299.99</v>
      </c>
    </row>
    <row r="4391" spans="1:4" x14ac:dyDescent="0.3">
      <c r="A4391" s="12"/>
      <c r="B4391" s="10" t="s">
        <v>1916</v>
      </c>
      <c r="C4391" s="11"/>
      <c r="D4391" s="17">
        <v>299.99</v>
      </c>
    </row>
    <row r="4392" spans="1:4" x14ac:dyDescent="0.3">
      <c r="A4392" s="10" t="s">
        <v>1206</v>
      </c>
      <c r="B4392" s="11"/>
      <c r="C4392" s="11"/>
      <c r="D4392" s="17">
        <v>299.99</v>
      </c>
    </row>
    <row r="4393" spans="1:4" x14ac:dyDescent="0.3">
      <c r="A4393" s="10">
        <v>911</v>
      </c>
      <c r="B4393" s="10" t="s">
        <v>18</v>
      </c>
      <c r="C4393" s="10" t="s">
        <v>39</v>
      </c>
      <c r="D4393" s="17">
        <v>449.99</v>
      </c>
    </row>
    <row r="4394" spans="1:4" x14ac:dyDescent="0.3">
      <c r="A4394" s="12"/>
      <c r="B4394" s="12"/>
      <c r="C4394" s="14" t="s">
        <v>92</v>
      </c>
      <c r="D4394" s="18">
        <v>501.98</v>
      </c>
    </row>
    <row r="4395" spans="1:4" x14ac:dyDescent="0.3">
      <c r="A4395" s="12"/>
      <c r="B4395" s="12"/>
      <c r="C4395" s="14" t="s">
        <v>70</v>
      </c>
      <c r="D4395" s="18">
        <v>3499.99</v>
      </c>
    </row>
    <row r="4396" spans="1:4" x14ac:dyDescent="0.3">
      <c r="A4396" s="12"/>
      <c r="B4396" s="12"/>
      <c r="C4396" s="14" t="s">
        <v>97</v>
      </c>
      <c r="D4396" s="18">
        <v>699.98</v>
      </c>
    </row>
    <row r="4397" spans="1:4" x14ac:dyDescent="0.3">
      <c r="A4397" s="12"/>
      <c r="B4397" s="10" t="s">
        <v>1916</v>
      </c>
      <c r="C4397" s="11"/>
      <c r="D4397" s="17">
        <v>5151.9400000000005</v>
      </c>
    </row>
    <row r="4398" spans="1:4" x14ac:dyDescent="0.3">
      <c r="A4398" s="10" t="s">
        <v>1207</v>
      </c>
      <c r="B4398" s="11"/>
      <c r="C4398" s="11"/>
      <c r="D4398" s="17">
        <v>5151.9400000000005</v>
      </c>
    </row>
    <row r="4399" spans="1:4" x14ac:dyDescent="0.3">
      <c r="A4399" s="10">
        <v>912</v>
      </c>
      <c r="B4399" s="10" t="s">
        <v>11</v>
      </c>
      <c r="C4399" s="10" t="s">
        <v>28</v>
      </c>
      <c r="D4399" s="17">
        <v>539.98</v>
      </c>
    </row>
    <row r="4400" spans="1:4" x14ac:dyDescent="0.3">
      <c r="A4400" s="12"/>
      <c r="B4400" s="12"/>
      <c r="C4400" s="14" t="s">
        <v>80</v>
      </c>
      <c r="D4400" s="18">
        <v>339.99</v>
      </c>
    </row>
    <row r="4401" spans="1:4" x14ac:dyDescent="0.3">
      <c r="A4401" s="12"/>
      <c r="B4401" s="12"/>
      <c r="C4401" s="14" t="s">
        <v>22</v>
      </c>
      <c r="D4401" s="18">
        <v>1499.98</v>
      </c>
    </row>
    <row r="4402" spans="1:4" x14ac:dyDescent="0.3">
      <c r="A4402" s="12"/>
      <c r="B4402" s="12"/>
      <c r="C4402" s="14" t="s">
        <v>78</v>
      </c>
      <c r="D4402" s="18">
        <v>833.98</v>
      </c>
    </row>
    <row r="4403" spans="1:4" x14ac:dyDescent="0.3">
      <c r="A4403" s="12"/>
      <c r="B4403" s="10" t="s">
        <v>1915</v>
      </c>
      <c r="C4403" s="11"/>
      <c r="D4403" s="17">
        <v>3213.93</v>
      </c>
    </row>
    <row r="4404" spans="1:4" x14ac:dyDescent="0.3">
      <c r="A4404" s="10" t="s">
        <v>1208</v>
      </c>
      <c r="B4404" s="11"/>
      <c r="C4404" s="11"/>
      <c r="D4404" s="17">
        <v>3213.93</v>
      </c>
    </row>
    <row r="4405" spans="1:4" x14ac:dyDescent="0.3">
      <c r="A4405" s="10">
        <v>913</v>
      </c>
      <c r="B4405" s="10" t="s">
        <v>18</v>
      </c>
      <c r="C4405" s="10" t="s">
        <v>25</v>
      </c>
      <c r="D4405" s="17">
        <v>1099.98</v>
      </c>
    </row>
    <row r="4406" spans="1:4" x14ac:dyDescent="0.3">
      <c r="A4406" s="12"/>
      <c r="B4406" s="12"/>
      <c r="C4406" s="14" t="s">
        <v>56</v>
      </c>
      <c r="D4406" s="18">
        <v>419.98</v>
      </c>
    </row>
    <row r="4407" spans="1:4" x14ac:dyDescent="0.3">
      <c r="A4407" s="12"/>
      <c r="B4407" s="10" t="s">
        <v>1916</v>
      </c>
      <c r="C4407" s="11"/>
      <c r="D4407" s="17">
        <v>1519.96</v>
      </c>
    </row>
    <row r="4408" spans="1:4" x14ac:dyDescent="0.3">
      <c r="A4408" s="10" t="s">
        <v>1209</v>
      </c>
      <c r="B4408" s="11"/>
      <c r="C4408" s="11"/>
      <c r="D4408" s="17">
        <v>1519.96</v>
      </c>
    </row>
    <row r="4409" spans="1:4" x14ac:dyDescent="0.3">
      <c r="A4409" s="10">
        <v>914</v>
      </c>
      <c r="B4409" s="10" t="s">
        <v>11</v>
      </c>
      <c r="C4409" s="10" t="s">
        <v>10</v>
      </c>
      <c r="D4409" s="17">
        <v>1199.98</v>
      </c>
    </row>
    <row r="4410" spans="1:4" x14ac:dyDescent="0.3">
      <c r="A4410" s="12"/>
      <c r="B4410" s="12"/>
      <c r="C4410" s="14" t="s">
        <v>93</v>
      </c>
      <c r="D4410" s="18">
        <v>549.99</v>
      </c>
    </row>
    <row r="4411" spans="1:4" x14ac:dyDescent="0.3">
      <c r="A4411" s="12"/>
      <c r="B4411" s="12"/>
      <c r="C4411" s="14" t="s">
        <v>118</v>
      </c>
      <c r="D4411" s="18">
        <v>1409.99</v>
      </c>
    </row>
    <row r="4412" spans="1:4" x14ac:dyDescent="0.3">
      <c r="A4412" s="12"/>
      <c r="B4412" s="12"/>
      <c r="C4412" s="14" t="s">
        <v>39</v>
      </c>
      <c r="D4412" s="18">
        <v>449.99</v>
      </c>
    </row>
    <row r="4413" spans="1:4" x14ac:dyDescent="0.3">
      <c r="A4413" s="12"/>
      <c r="B4413" s="10" t="s">
        <v>1915</v>
      </c>
      <c r="C4413" s="11"/>
      <c r="D4413" s="17">
        <v>3609.95</v>
      </c>
    </row>
    <row r="4414" spans="1:4" x14ac:dyDescent="0.3">
      <c r="A4414" s="10" t="s">
        <v>1210</v>
      </c>
      <c r="B4414" s="11"/>
      <c r="C4414" s="11"/>
      <c r="D4414" s="17">
        <v>3609.95</v>
      </c>
    </row>
    <row r="4415" spans="1:4" x14ac:dyDescent="0.3">
      <c r="A4415" s="10">
        <v>915</v>
      </c>
      <c r="B4415" s="10" t="s">
        <v>18</v>
      </c>
      <c r="C4415" s="10" t="s">
        <v>51</v>
      </c>
      <c r="D4415" s="17">
        <v>489.99</v>
      </c>
    </row>
    <row r="4416" spans="1:4" x14ac:dyDescent="0.3">
      <c r="A4416" s="12"/>
      <c r="B4416" s="12"/>
      <c r="C4416" s="14" t="s">
        <v>22</v>
      </c>
      <c r="D4416" s="18">
        <v>749.99</v>
      </c>
    </row>
    <row r="4417" spans="1:4" x14ac:dyDescent="0.3">
      <c r="A4417" s="12"/>
      <c r="B4417" s="12"/>
      <c r="C4417" s="14" t="s">
        <v>84</v>
      </c>
      <c r="D4417" s="18">
        <v>1499.99</v>
      </c>
    </row>
    <row r="4418" spans="1:4" x14ac:dyDescent="0.3">
      <c r="A4418" s="12"/>
      <c r="B4418" s="12"/>
      <c r="C4418" s="14" t="s">
        <v>53</v>
      </c>
      <c r="D4418" s="18">
        <v>2299.9899999999998</v>
      </c>
    </row>
    <row r="4419" spans="1:4" x14ac:dyDescent="0.3">
      <c r="A4419" s="12"/>
      <c r="B4419" s="10" t="s">
        <v>1916</v>
      </c>
      <c r="C4419" s="11"/>
      <c r="D4419" s="17">
        <v>5039.96</v>
      </c>
    </row>
    <row r="4420" spans="1:4" x14ac:dyDescent="0.3">
      <c r="A4420" s="10" t="s">
        <v>1211</v>
      </c>
      <c r="B4420" s="11"/>
      <c r="C4420" s="11"/>
      <c r="D4420" s="17">
        <v>5039.96</v>
      </c>
    </row>
    <row r="4421" spans="1:4" x14ac:dyDescent="0.3">
      <c r="A4421" s="10">
        <v>916</v>
      </c>
      <c r="B4421" s="10" t="s">
        <v>18</v>
      </c>
      <c r="C4421" s="10" t="s">
        <v>111</v>
      </c>
      <c r="D4421" s="17">
        <v>209.99</v>
      </c>
    </row>
    <row r="4422" spans="1:4" x14ac:dyDescent="0.3">
      <c r="A4422" s="12"/>
      <c r="B4422" s="10" t="s">
        <v>1916</v>
      </c>
      <c r="C4422" s="11"/>
      <c r="D4422" s="17">
        <v>209.99</v>
      </c>
    </row>
    <row r="4423" spans="1:4" x14ac:dyDescent="0.3">
      <c r="A4423" s="10" t="s">
        <v>1212</v>
      </c>
      <c r="B4423" s="11"/>
      <c r="C4423" s="11"/>
      <c r="D4423" s="17">
        <v>209.99</v>
      </c>
    </row>
    <row r="4424" spans="1:4" x14ac:dyDescent="0.3">
      <c r="A4424" s="10">
        <v>917</v>
      </c>
      <c r="B4424" s="10" t="s">
        <v>11</v>
      </c>
      <c r="C4424" s="10" t="s">
        <v>77</v>
      </c>
      <c r="D4424" s="17">
        <v>1469.99</v>
      </c>
    </row>
    <row r="4425" spans="1:4" x14ac:dyDescent="0.3">
      <c r="A4425" s="12"/>
      <c r="B4425" s="10" t="s">
        <v>1915</v>
      </c>
      <c r="C4425" s="11"/>
      <c r="D4425" s="17">
        <v>1469.99</v>
      </c>
    </row>
    <row r="4426" spans="1:4" x14ac:dyDescent="0.3">
      <c r="A4426" s="10" t="s">
        <v>1213</v>
      </c>
      <c r="B4426" s="11"/>
      <c r="C4426" s="11"/>
      <c r="D4426" s="17">
        <v>1469.99</v>
      </c>
    </row>
    <row r="4427" spans="1:4" x14ac:dyDescent="0.3">
      <c r="A4427" s="10">
        <v>918</v>
      </c>
      <c r="B4427" s="10" t="s">
        <v>11</v>
      </c>
      <c r="C4427" s="10" t="s">
        <v>102</v>
      </c>
      <c r="D4427" s="17">
        <v>1632.99</v>
      </c>
    </row>
    <row r="4428" spans="1:4" x14ac:dyDescent="0.3">
      <c r="A4428" s="12"/>
      <c r="B4428" s="12"/>
      <c r="C4428" s="14" t="s">
        <v>16</v>
      </c>
      <c r="D4428" s="18">
        <v>5799.98</v>
      </c>
    </row>
    <row r="4429" spans="1:4" x14ac:dyDescent="0.3">
      <c r="A4429" s="12"/>
      <c r="B4429" s="12"/>
      <c r="C4429" s="14" t="s">
        <v>97</v>
      </c>
      <c r="D4429" s="18">
        <v>349.99</v>
      </c>
    </row>
    <row r="4430" spans="1:4" x14ac:dyDescent="0.3">
      <c r="A4430" s="12"/>
      <c r="B4430" s="10" t="s">
        <v>1915</v>
      </c>
      <c r="C4430" s="11"/>
      <c r="D4430" s="17">
        <v>7782.9599999999991</v>
      </c>
    </row>
    <row r="4431" spans="1:4" x14ac:dyDescent="0.3">
      <c r="A4431" s="10" t="s">
        <v>1214</v>
      </c>
      <c r="B4431" s="11"/>
      <c r="C4431" s="11"/>
      <c r="D4431" s="17">
        <v>7782.9599999999991</v>
      </c>
    </row>
    <row r="4432" spans="1:4" x14ac:dyDescent="0.3">
      <c r="A4432" s="10">
        <v>919</v>
      </c>
      <c r="B4432" s="10" t="s">
        <v>18</v>
      </c>
      <c r="C4432" s="10" t="s">
        <v>108</v>
      </c>
      <c r="D4432" s="17">
        <v>539.99</v>
      </c>
    </row>
    <row r="4433" spans="1:4" x14ac:dyDescent="0.3">
      <c r="A4433" s="12"/>
      <c r="B4433" s="12"/>
      <c r="C4433" s="14" t="s">
        <v>29</v>
      </c>
      <c r="D4433" s="18">
        <v>3999.99</v>
      </c>
    </row>
    <row r="4434" spans="1:4" x14ac:dyDescent="0.3">
      <c r="A4434" s="12"/>
      <c r="B4434" s="10" t="s">
        <v>1916</v>
      </c>
      <c r="C4434" s="11"/>
      <c r="D4434" s="17">
        <v>4539.9799999999996</v>
      </c>
    </row>
    <row r="4435" spans="1:4" x14ac:dyDescent="0.3">
      <c r="A4435" s="10" t="s">
        <v>1215</v>
      </c>
      <c r="B4435" s="11"/>
      <c r="C4435" s="11"/>
      <c r="D4435" s="17">
        <v>4539.9799999999996</v>
      </c>
    </row>
    <row r="4436" spans="1:4" x14ac:dyDescent="0.3">
      <c r="A4436" s="10">
        <v>920</v>
      </c>
      <c r="B4436" s="10" t="s">
        <v>18</v>
      </c>
      <c r="C4436" s="10" t="s">
        <v>48</v>
      </c>
      <c r="D4436" s="17">
        <v>299.99</v>
      </c>
    </row>
    <row r="4437" spans="1:4" x14ac:dyDescent="0.3">
      <c r="A4437" s="12"/>
      <c r="B4437" s="12"/>
      <c r="C4437" s="14" t="s">
        <v>57</v>
      </c>
      <c r="D4437" s="18">
        <v>647.99</v>
      </c>
    </row>
    <row r="4438" spans="1:4" x14ac:dyDescent="0.3">
      <c r="A4438" s="12"/>
      <c r="B4438" s="12"/>
      <c r="C4438" s="14" t="s">
        <v>63</v>
      </c>
      <c r="D4438" s="18">
        <v>1523.98</v>
      </c>
    </row>
    <row r="4439" spans="1:4" x14ac:dyDescent="0.3">
      <c r="A4439" s="12"/>
      <c r="B4439" s="12"/>
      <c r="C4439" s="14" t="s">
        <v>72</v>
      </c>
      <c r="D4439" s="18">
        <v>2999.98</v>
      </c>
    </row>
    <row r="4440" spans="1:4" x14ac:dyDescent="0.3">
      <c r="A4440" s="12"/>
      <c r="B4440" s="10" t="s">
        <v>1916</v>
      </c>
      <c r="C4440" s="11"/>
      <c r="D4440" s="17">
        <v>5471.9400000000005</v>
      </c>
    </row>
    <row r="4441" spans="1:4" x14ac:dyDescent="0.3">
      <c r="A4441" s="10" t="s">
        <v>1216</v>
      </c>
      <c r="B4441" s="11"/>
      <c r="C4441" s="11"/>
      <c r="D4441" s="17">
        <v>5471.9400000000005</v>
      </c>
    </row>
    <row r="4442" spans="1:4" x14ac:dyDescent="0.3">
      <c r="A4442" s="10">
        <v>921</v>
      </c>
      <c r="B4442" s="10" t="s">
        <v>18</v>
      </c>
      <c r="C4442" s="10" t="s">
        <v>95</v>
      </c>
      <c r="D4442" s="17">
        <v>1199.98</v>
      </c>
    </row>
    <row r="4443" spans="1:4" x14ac:dyDescent="0.3">
      <c r="A4443" s="12"/>
      <c r="B4443" s="12"/>
      <c r="C4443" s="14" t="s">
        <v>113</v>
      </c>
      <c r="D4443" s="18">
        <v>799.99</v>
      </c>
    </row>
    <row r="4444" spans="1:4" x14ac:dyDescent="0.3">
      <c r="A4444" s="12"/>
      <c r="B4444" s="12"/>
      <c r="C4444" s="14" t="s">
        <v>84</v>
      </c>
      <c r="D4444" s="18">
        <v>1499.99</v>
      </c>
    </row>
    <row r="4445" spans="1:4" x14ac:dyDescent="0.3">
      <c r="A4445" s="12"/>
      <c r="B4445" s="10" t="s">
        <v>1916</v>
      </c>
      <c r="C4445" s="11"/>
      <c r="D4445" s="17">
        <v>3499.96</v>
      </c>
    </row>
    <row r="4446" spans="1:4" x14ac:dyDescent="0.3">
      <c r="A4446" s="10" t="s">
        <v>1217</v>
      </c>
      <c r="B4446" s="11"/>
      <c r="C4446" s="11"/>
      <c r="D4446" s="17">
        <v>3499.96</v>
      </c>
    </row>
    <row r="4447" spans="1:4" x14ac:dyDescent="0.3">
      <c r="A4447" s="10">
        <v>922</v>
      </c>
      <c r="B4447" s="10" t="s">
        <v>18</v>
      </c>
      <c r="C4447" s="10" t="s">
        <v>43</v>
      </c>
      <c r="D4447" s="17">
        <v>749.99</v>
      </c>
    </row>
    <row r="4448" spans="1:4" x14ac:dyDescent="0.3">
      <c r="A4448" s="12"/>
      <c r="B4448" s="12"/>
      <c r="C4448" s="14" t="s">
        <v>39</v>
      </c>
      <c r="D4448" s="18">
        <v>449.99</v>
      </c>
    </row>
    <row r="4449" spans="1:4" x14ac:dyDescent="0.3">
      <c r="A4449" s="12"/>
      <c r="B4449" s="12"/>
      <c r="C4449" s="14" t="s">
        <v>115</v>
      </c>
      <c r="D4449" s="18">
        <v>149.99</v>
      </c>
    </row>
    <row r="4450" spans="1:4" x14ac:dyDescent="0.3">
      <c r="A4450" s="12"/>
      <c r="B4450" s="10" t="s">
        <v>1916</v>
      </c>
      <c r="C4450" s="11"/>
      <c r="D4450" s="17">
        <v>1349.97</v>
      </c>
    </row>
    <row r="4451" spans="1:4" x14ac:dyDescent="0.3">
      <c r="A4451" s="10" t="s">
        <v>1218</v>
      </c>
      <c r="B4451" s="11"/>
      <c r="C4451" s="11"/>
      <c r="D4451" s="17">
        <v>1349.97</v>
      </c>
    </row>
    <row r="4452" spans="1:4" x14ac:dyDescent="0.3">
      <c r="A4452" s="10">
        <v>923</v>
      </c>
      <c r="B4452" s="10" t="s">
        <v>18</v>
      </c>
      <c r="C4452" s="10" t="s">
        <v>61</v>
      </c>
      <c r="D4452" s="17">
        <v>879.98</v>
      </c>
    </row>
    <row r="4453" spans="1:4" x14ac:dyDescent="0.3">
      <c r="A4453" s="12"/>
      <c r="B4453" s="12"/>
      <c r="C4453" s="14" t="s">
        <v>32</v>
      </c>
      <c r="D4453" s="18">
        <v>469.99</v>
      </c>
    </row>
    <row r="4454" spans="1:4" x14ac:dyDescent="0.3">
      <c r="A4454" s="12"/>
      <c r="B4454" s="10" t="s">
        <v>1916</v>
      </c>
      <c r="C4454" s="11"/>
      <c r="D4454" s="17">
        <v>1349.97</v>
      </c>
    </row>
    <row r="4455" spans="1:4" x14ac:dyDescent="0.3">
      <c r="A4455" s="10" t="s">
        <v>1219</v>
      </c>
      <c r="B4455" s="11"/>
      <c r="C4455" s="11"/>
      <c r="D4455" s="17">
        <v>1349.97</v>
      </c>
    </row>
    <row r="4456" spans="1:4" x14ac:dyDescent="0.3">
      <c r="A4456" s="10">
        <v>924</v>
      </c>
      <c r="B4456" s="10" t="s">
        <v>37</v>
      </c>
      <c r="C4456" s="10" t="s">
        <v>55</v>
      </c>
      <c r="D4456" s="17">
        <v>699.98</v>
      </c>
    </row>
    <row r="4457" spans="1:4" x14ac:dyDescent="0.3">
      <c r="A4457" s="12"/>
      <c r="B4457" s="12"/>
      <c r="C4457" s="14" t="s">
        <v>116</v>
      </c>
      <c r="D4457" s="18">
        <v>832.99</v>
      </c>
    </row>
    <row r="4458" spans="1:4" x14ac:dyDescent="0.3">
      <c r="A4458" s="12"/>
      <c r="B4458" s="10" t="s">
        <v>1917</v>
      </c>
      <c r="C4458" s="11"/>
      <c r="D4458" s="17">
        <v>1532.97</v>
      </c>
    </row>
    <row r="4459" spans="1:4" x14ac:dyDescent="0.3">
      <c r="A4459" s="10" t="s">
        <v>1220</v>
      </c>
      <c r="B4459" s="11"/>
      <c r="C4459" s="11"/>
      <c r="D4459" s="17">
        <v>1532.97</v>
      </c>
    </row>
    <row r="4460" spans="1:4" x14ac:dyDescent="0.3">
      <c r="A4460" s="10">
        <v>925</v>
      </c>
      <c r="B4460" s="10" t="s">
        <v>18</v>
      </c>
      <c r="C4460" s="10" t="s">
        <v>55</v>
      </c>
      <c r="D4460" s="17">
        <v>349.99</v>
      </c>
    </row>
    <row r="4461" spans="1:4" x14ac:dyDescent="0.3">
      <c r="A4461" s="12"/>
      <c r="B4461" s="12"/>
      <c r="C4461" s="14" t="s">
        <v>50</v>
      </c>
      <c r="D4461" s="18">
        <v>6999.98</v>
      </c>
    </row>
    <row r="4462" spans="1:4" x14ac:dyDescent="0.3">
      <c r="A4462" s="12"/>
      <c r="B4462" s="10" t="s">
        <v>1916</v>
      </c>
      <c r="C4462" s="11"/>
      <c r="D4462" s="17">
        <v>7349.9699999999993</v>
      </c>
    </row>
    <row r="4463" spans="1:4" x14ac:dyDescent="0.3">
      <c r="A4463" s="10" t="s">
        <v>1221</v>
      </c>
      <c r="B4463" s="11"/>
      <c r="C4463" s="11"/>
      <c r="D4463" s="17">
        <v>7349.9699999999993</v>
      </c>
    </row>
    <row r="4464" spans="1:4" x14ac:dyDescent="0.3">
      <c r="A4464" s="10">
        <v>926</v>
      </c>
      <c r="B4464" s="10" t="s">
        <v>11</v>
      </c>
      <c r="C4464" s="10" t="s">
        <v>98</v>
      </c>
      <c r="D4464" s="17">
        <v>759.98</v>
      </c>
    </row>
    <row r="4465" spans="1:4" x14ac:dyDescent="0.3">
      <c r="A4465" s="12"/>
      <c r="B4465" s="10" t="s">
        <v>1915</v>
      </c>
      <c r="C4465" s="11"/>
      <c r="D4465" s="17">
        <v>759.98</v>
      </c>
    </row>
    <row r="4466" spans="1:4" x14ac:dyDescent="0.3">
      <c r="A4466" s="10" t="s">
        <v>1222</v>
      </c>
      <c r="B4466" s="11"/>
      <c r="C4466" s="11"/>
      <c r="D4466" s="17">
        <v>759.98</v>
      </c>
    </row>
    <row r="4467" spans="1:4" x14ac:dyDescent="0.3">
      <c r="A4467" s="10">
        <v>927</v>
      </c>
      <c r="B4467" s="10" t="s">
        <v>11</v>
      </c>
      <c r="C4467" s="10" t="s">
        <v>61</v>
      </c>
      <c r="D4467" s="17">
        <v>879.98</v>
      </c>
    </row>
    <row r="4468" spans="1:4" x14ac:dyDescent="0.3">
      <c r="A4468" s="12"/>
      <c r="B4468" s="12"/>
      <c r="C4468" s="14" t="s">
        <v>14</v>
      </c>
      <c r="D4468" s="18">
        <v>1199.98</v>
      </c>
    </row>
    <row r="4469" spans="1:4" x14ac:dyDescent="0.3">
      <c r="A4469" s="12"/>
      <c r="B4469" s="12"/>
      <c r="C4469" s="14" t="s">
        <v>20</v>
      </c>
      <c r="D4469" s="18">
        <v>999.99</v>
      </c>
    </row>
    <row r="4470" spans="1:4" x14ac:dyDescent="0.3">
      <c r="A4470" s="12"/>
      <c r="B4470" s="12"/>
      <c r="C4470" s="14" t="s">
        <v>62</v>
      </c>
      <c r="D4470" s="18">
        <v>5299.99</v>
      </c>
    </row>
    <row r="4471" spans="1:4" x14ac:dyDescent="0.3">
      <c r="A4471" s="12"/>
      <c r="B4471" s="12"/>
      <c r="C4471" s="14" t="s">
        <v>79</v>
      </c>
      <c r="D4471" s="18">
        <v>5999.99</v>
      </c>
    </row>
    <row r="4472" spans="1:4" x14ac:dyDescent="0.3">
      <c r="A4472" s="12"/>
      <c r="B4472" s="10" t="s">
        <v>1915</v>
      </c>
      <c r="C4472" s="11"/>
      <c r="D4472" s="17">
        <v>14379.929999999998</v>
      </c>
    </row>
    <row r="4473" spans="1:4" x14ac:dyDescent="0.3">
      <c r="A4473" s="10" t="s">
        <v>1223</v>
      </c>
      <c r="B4473" s="11"/>
      <c r="C4473" s="11"/>
      <c r="D4473" s="17">
        <v>14379.929999999998</v>
      </c>
    </row>
    <row r="4474" spans="1:4" x14ac:dyDescent="0.3">
      <c r="A4474" s="10">
        <v>928</v>
      </c>
      <c r="B4474" s="10" t="s">
        <v>11</v>
      </c>
      <c r="C4474" s="10" t="s">
        <v>78</v>
      </c>
      <c r="D4474" s="17">
        <v>833.98</v>
      </c>
    </row>
    <row r="4475" spans="1:4" x14ac:dyDescent="0.3">
      <c r="A4475" s="12"/>
      <c r="B4475" s="12"/>
      <c r="C4475" s="14" t="s">
        <v>66</v>
      </c>
      <c r="D4475" s="18">
        <v>149.99</v>
      </c>
    </row>
    <row r="4476" spans="1:4" x14ac:dyDescent="0.3">
      <c r="A4476" s="12"/>
      <c r="B4476" s="10" t="s">
        <v>1915</v>
      </c>
      <c r="C4476" s="11"/>
      <c r="D4476" s="17">
        <v>983.97</v>
      </c>
    </row>
    <row r="4477" spans="1:4" x14ac:dyDescent="0.3">
      <c r="A4477" s="10" t="s">
        <v>1224</v>
      </c>
      <c r="B4477" s="11"/>
      <c r="C4477" s="11"/>
      <c r="D4477" s="17">
        <v>983.97</v>
      </c>
    </row>
    <row r="4478" spans="1:4" x14ac:dyDescent="0.3">
      <c r="A4478" s="10">
        <v>929</v>
      </c>
      <c r="B4478" s="10" t="s">
        <v>18</v>
      </c>
      <c r="C4478" s="10" t="s">
        <v>100</v>
      </c>
      <c r="D4478" s="17">
        <v>659.99</v>
      </c>
    </row>
    <row r="4479" spans="1:4" x14ac:dyDescent="0.3">
      <c r="A4479" s="12"/>
      <c r="B4479" s="12"/>
      <c r="C4479" s="14" t="s">
        <v>25</v>
      </c>
      <c r="D4479" s="18">
        <v>549.99</v>
      </c>
    </row>
    <row r="4480" spans="1:4" x14ac:dyDescent="0.3">
      <c r="A4480" s="12"/>
      <c r="B4480" s="12"/>
      <c r="C4480" s="14" t="s">
        <v>75</v>
      </c>
      <c r="D4480" s="18">
        <v>6999.98</v>
      </c>
    </row>
    <row r="4481" spans="1:4" x14ac:dyDescent="0.3">
      <c r="A4481" s="12"/>
      <c r="B4481" s="10" t="s">
        <v>1916</v>
      </c>
      <c r="C4481" s="11"/>
      <c r="D4481" s="17">
        <v>8209.9599999999991</v>
      </c>
    </row>
    <row r="4482" spans="1:4" x14ac:dyDescent="0.3">
      <c r="A4482" s="10" t="s">
        <v>1225</v>
      </c>
      <c r="B4482" s="11"/>
      <c r="C4482" s="11"/>
      <c r="D4482" s="17">
        <v>8209.9599999999991</v>
      </c>
    </row>
    <row r="4483" spans="1:4" x14ac:dyDescent="0.3">
      <c r="A4483" s="10">
        <v>930</v>
      </c>
      <c r="B4483" s="10" t="s">
        <v>37</v>
      </c>
      <c r="C4483" s="10" t="s">
        <v>100</v>
      </c>
      <c r="D4483" s="17">
        <v>659.99</v>
      </c>
    </row>
    <row r="4484" spans="1:4" x14ac:dyDescent="0.3">
      <c r="A4484" s="12"/>
      <c r="B4484" s="12"/>
      <c r="C4484" s="14" t="s">
        <v>101</v>
      </c>
      <c r="D4484" s="18">
        <v>1559.99</v>
      </c>
    </row>
    <row r="4485" spans="1:4" x14ac:dyDescent="0.3">
      <c r="A4485" s="12"/>
      <c r="B4485" s="12"/>
      <c r="C4485" s="14" t="s">
        <v>114</v>
      </c>
      <c r="D4485" s="18">
        <v>693.98</v>
      </c>
    </row>
    <row r="4486" spans="1:4" x14ac:dyDescent="0.3">
      <c r="A4486" s="12"/>
      <c r="B4486" s="12"/>
      <c r="C4486" s="14" t="s">
        <v>41</v>
      </c>
      <c r="D4486" s="18">
        <v>10999.98</v>
      </c>
    </row>
    <row r="4487" spans="1:4" x14ac:dyDescent="0.3">
      <c r="A4487" s="12"/>
      <c r="B4487" s="12"/>
      <c r="C4487" s="14" t="s">
        <v>90</v>
      </c>
      <c r="D4487" s="18">
        <v>12999.98</v>
      </c>
    </row>
    <row r="4488" spans="1:4" x14ac:dyDescent="0.3">
      <c r="A4488" s="12"/>
      <c r="B4488" s="10" t="s">
        <v>1917</v>
      </c>
      <c r="C4488" s="11"/>
      <c r="D4488" s="17">
        <v>26913.919999999998</v>
      </c>
    </row>
    <row r="4489" spans="1:4" x14ac:dyDescent="0.3">
      <c r="A4489" s="10" t="s">
        <v>1226</v>
      </c>
      <c r="B4489" s="11"/>
      <c r="C4489" s="11"/>
      <c r="D4489" s="17">
        <v>26913.919999999998</v>
      </c>
    </row>
    <row r="4490" spans="1:4" x14ac:dyDescent="0.3">
      <c r="A4490" s="10">
        <v>931</v>
      </c>
      <c r="B4490" s="10" t="s">
        <v>18</v>
      </c>
      <c r="C4490" s="10" t="s">
        <v>48</v>
      </c>
      <c r="D4490" s="17">
        <v>299.99</v>
      </c>
    </row>
    <row r="4491" spans="1:4" x14ac:dyDescent="0.3">
      <c r="A4491" s="12"/>
      <c r="B4491" s="12"/>
      <c r="C4491" s="14" t="s">
        <v>70</v>
      </c>
      <c r="D4491" s="18">
        <v>6999.98</v>
      </c>
    </row>
    <row r="4492" spans="1:4" x14ac:dyDescent="0.3">
      <c r="A4492" s="12"/>
      <c r="B4492" s="10" t="s">
        <v>1916</v>
      </c>
      <c r="C4492" s="11"/>
      <c r="D4492" s="17">
        <v>7299.9699999999993</v>
      </c>
    </row>
    <row r="4493" spans="1:4" x14ac:dyDescent="0.3">
      <c r="A4493" s="10" t="s">
        <v>1227</v>
      </c>
      <c r="B4493" s="11"/>
      <c r="C4493" s="11"/>
      <c r="D4493" s="17">
        <v>7299.9699999999993</v>
      </c>
    </row>
    <row r="4494" spans="1:4" x14ac:dyDescent="0.3">
      <c r="A4494" s="10">
        <v>932</v>
      </c>
      <c r="B4494" s="10" t="s">
        <v>18</v>
      </c>
      <c r="C4494" s="10" t="s">
        <v>61</v>
      </c>
      <c r="D4494" s="17">
        <v>439.99</v>
      </c>
    </row>
    <row r="4495" spans="1:4" x14ac:dyDescent="0.3">
      <c r="A4495" s="12"/>
      <c r="B4495" s="10" t="s">
        <v>1916</v>
      </c>
      <c r="C4495" s="11"/>
      <c r="D4495" s="17">
        <v>439.99</v>
      </c>
    </row>
    <row r="4496" spans="1:4" x14ac:dyDescent="0.3">
      <c r="A4496" s="10" t="s">
        <v>1228</v>
      </c>
      <c r="B4496" s="11"/>
      <c r="C4496" s="11"/>
      <c r="D4496" s="17">
        <v>439.99</v>
      </c>
    </row>
    <row r="4497" spans="1:4" x14ac:dyDescent="0.3">
      <c r="A4497" s="10">
        <v>933</v>
      </c>
      <c r="B4497" s="10" t="s">
        <v>18</v>
      </c>
      <c r="C4497" s="10" t="s">
        <v>31</v>
      </c>
      <c r="D4497" s="17">
        <v>269.99</v>
      </c>
    </row>
    <row r="4498" spans="1:4" x14ac:dyDescent="0.3">
      <c r="A4498" s="12"/>
      <c r="B4498" s="12"/>
      <c r="C4498" s="14" t="s">
        <v>95</v>
      </c>
      <c r="D4498" s="18">
        <v>1199.98</v>
      </c>
    </row>
    <row r="4499" spans="1:4" x14ac:dyDescent="0.3">
      <c r="A4499" s="12"/>
      <c r="B4499" s="12"/>
      <c r="C4499" s="14" t="s">
        <v>113</v>
      </c>
      <c r="D4499" s="18">
        <v>799.99</v>
      </c>
    </row>
    <row r="4500" spans="1:4" x14ac:dyDescent="0.3">
      <c r="A4500" s="12"/>
      <c r="B4500" s="10" t="s">
        <v>1916</v>
      </c>
      <c r="C4500" s="11"/>
      <c r="D4500" s="17">
        <v>2269.96</v>
      </c>
    </row>
    <row r="4501" spans="1:4" x14ac:dyDescent="0.3">
      <c r="A4501" s="10" t="s">
        <v>1229</v>
      </c>
      <c r="B4501" s="11"/>
      <c r="C4501" s="11"/>
      <c r="D4501" s="17">
        <v>2269.96</v>
      </c>
    </row>
    <row r="4502" spans="1:4" x14ac:dyDescent="0.3">
      <c r="A4502" s="10">
        <v>934</v>
      </c>
      <c r="B4502" s="10" t="s">
        <v>18</v>
      </c>
      <c r="C4502" s="10" t="s">
        <v>24</v>
      </c>
      <c r="D4502" s="17">
        <v>449</v>
      </c>
    </row>
    <row r="4503" spans="1:4" x14ac:dyDescent="0.3">
      <c r="A4503" s="12"/>
      <c r="B4503" s="12"/>
      <c r="C4503" s="14" t="s">
        <v>109</v>
      </c>
      <c r="D4503" s="18">
        <v>1665.98</v>
      </c>
    </row>
    <row r="4504" spans="1:4" x14ac:dyDescent="0.3">
      <c r="A4504" s="12"/>
      <c r="B4504" s="12"/>
      <c r="C4504" s="14" t="s">
        <v>41</v>
      </c>
      <c r="D4504" s="18">
        <v>10999.98</v>
      </c>
    </row>
    <row r="4505" spans="1:4" x14ac:dyDescent="0.3">
      <c r="A4505" s="12"/>
      <c r="B4505" s="12"/>
      <c r="C4505" s="14" t="s">
        <v>84</v>
      </c>
      <c r="D4505" s="18">
        <v>1499.99</v>
      </c>
    </row>
    <row r="4506" spans="1:4" x14ac:dyDescent="0.3">
      <c r="A4506" s="12"/>
      <c r="B4506" s="12"/>
      <c r="C4506" s="14" t="s">
        <v>45</v>
      </c>
      <c r="D4506" s="18">
        <v>4999.99</v>
      </c>
    </row>
    <row r="4507" spans="1:4" x14ac:dyDescent="0.3">
      <c r="A4507" s="12"/>
      <c r="B4507" s="10" t="s">
        <v>1916</v>
      </c>
      <c r="C4507" s="11"/>
      <c r="D4507" s="17">
        <v>19614.939999999999</v>
      </c>
    </row>
    <row r="4508" spans="1:4" x14ac:dyDescent="0.3">
      <c r="A4508" s="10" t="s">
        <v>1230</v>
      </c>
      <c r="B4508" s="11"/>
      <c r="C4508" s="11"/>
      <c r="D4508" s="17">
        <v>19614.939999999999</v>
      </c>
    </row>
    <row r="4509" spans="1:4" x14ac:dyDescent="0.3">
      <c r="A4509" s="10">
        <v>935</v>
      </c>
      <c r="B4509" s="10" t="s">
        <v>37</v>
      </c>
      <c r="C4509" s="10" t="s">
        <v>48</v>
      </c>
      <c r="D4509" s="17">
        <v>599.98</v>
      </c>
    </row>
    <row r="4510" spans="1:4" x14ac:dyDescent="0.3">
      <c r="A4510" s="12"/>
      <c r="B4510" s="12"/>
      <c r="C4510" s="14" t="s">
        <v>93</v>
      </c>
      <c r="D4510" s="18">
        <v>549.99</v>
      </c>
    </row>
    <row r="4511" spans="1:4" x14ac:dyDescent="0.3">
      <c r="A4511" s="12"/>
      <c r="B4511" s="12"/>
      <c r="C4511" s="14" t="s">
        <v>114</v>
      </c>
      <c r="D4511" s="18">
        <v>693.98</v>
      </c>
    </row>
    <row r="4512" spans="1:4" x14ac:dyDescent="0.3">
      <c r="A4512" s="12"/>
      <c r="B4512" s="12"/>
      <c r="C4512" s="14" t="s">
        <v>32</v>
      </c>
      <c r="D4512" s="18">
        <v>469.99</v>
      </c>
    </row>
    <row r="4513" spans="1:4" x14ac:dyDescent="0.3">
      <c r="A4513" s="12"/>
      <c r="B4513" s="10" t="s">
        <v>1917</v>
      </c>
      <c r="C4513" s="11"/>
      <c r="D4513" s="17">
        <v>2313.94</v>
      </c>
    </row>
    <row r="4514" spans="1:4" x14ac:dyDescent="0.3">
      <c r="A4514" s="10" t="s">
        <v>1231</v>
      </c>
      <c r="B4514" s="11"/>
      <c r="C4514" s="11"/>
      <c r="D4514" s="17">
        <v>2313.94</v>
      </c>
    </row>
    <row r="4515" spans="1:4" x14ac:dyDescent="0.3">
      <c r="A4515" s="10">
        <v>936</v>
      </c>
      <c r="B4515" s="10" t="s">
        <v>18</v>
      </c>
      <c r="C4515" s="10" t="s">
        <v>73</v>
      </c>
      <c r="D4515" s="17">
        <v>659.99</v>
      </c>
    </row>
    <row r="4516" spans="1:4" x14ac:dyDescent="0.3">
      <c r="A4516" s="12"/>
      <c r="B4516" s="12"/>
      <c r="C4516" s="14" t="s">
        <v>108</v>
      </c>
      <c r="D4516" s="18">
        <v>539.99</v>
      </c>
    </row>
    <row r="4517" spans="1:4" x14ac:dyDescent="0.3">
      <c r="A4517" s="12"/>
      <c r="B4517" s="10" t="s">
        <v>1916</v>
      </c>
      <c r="C4517" s="11"/>
      <c r="D4517" s="17">
        <v>1199.98</v>
      </c>
    </row>
    <row r="4518" spans="1:4" x14ac:dyDescent="0.3">
      <c r="A4518" s="10" t="s">
        <v>1232</v>
      </c>
      <c r="B4518" s="11"/>
      <c r="C4518" s="11"/>
      <c r="D4518" s="17">
        <v>1199.98</v>
      </c>
    </row>
    <row r="4519" spans="1:4" x14ac:dyDescent="0.3">
      <c r="A4519" s="10">
        <v>937</v>
      </c>
      <c r="B4519" s="10" t="s">
        <v>18</v>
      </c>
      <c r="C4519" s="10" t="s">
        <v>85</v>
      </c>
      <c r="D4519" s="17">
        <v>899.98</v>
      </c>
    </row>
    <row r="4520" spans="1:4" x14ac:dyDescent="0.3">
      <c r="A4520" s="12"/>
      <c r="B4520" s="12"/>
      <c r="C4520" s="14" t="s">
        <v>92</v>
      </c>
      <c r="D4520" s="18">
        <v>250.99</v>
      </c>
    </row>
    <row r="4521" spans="1:4" x14ac:dyDescent="0.3">
      <c r="A4521" s="12"/>
      <c r="B4521" s="12"/>
      <c r="C4521" s="14" t="s">
        <v>86</v>
      </c>
      <c r="D4521" s="18">
        <v>4999.9799999999996</v>
      </c>
    </row>
    <row r="4522" spans="1:4" x14ac:dyDescent="0.3">
      <c r="A4522" s="12"/>
      <c r="B4522" s="12"/>
      <c r="C4522" s="14" t="s">
        <v>81</v>
      </c>
      <c r="D4522" s="18">
        <v>9999.98</v>
      </c>
    </row>
    <row r="4523" spans="1:4" x14ac:dyDescent="0.3">
      <c r="A4523" s="12"/>
      <c r="B4523" s="12"/>
      <c r="C4523" s="14" t="s">
        <v>90</v>
      </c>
      <c r="D4523" s="18">
        <v>12999.98</v>
      </c>
    </row>
    <row r="4524" spans="1:4" x14ac:dyDescent="0.3">
      <c r="A4524" s="12"/>
      <c r="B4524" s="10" t="s">
        <v>1916</v>
      </c>
      <c r="C4524" s="11"/>
      <c r="D4524" s="17">
        <v>29150.91</v>
      </c>
    </row>
    <row r="4525" spans="1:4" x14ac:dyDescent="0.3">
      <c r="A4525" s="10" t="s">
        <v>1233</v>
      </c>
      <c r="B4525" s="11"/>
      <c r="C4525" s="11"/>
      <c r="D4525" s="17">
        <v>29150.91</v>
      </c>
    </row>
    <row r="4526" spans="1:4" x14ac:dyDescent="0.3">
      <c r="A4526" s="10">
        <v>938</v>
      </c>
      <c r="B4526" s="10" t="s">
        <v>18</v>
      </c>
      <c r="C4526" s="10" t="s">
        <v>31</v>
      </c>
      <c r="D4526" s="17">
        <v>269.99</v>
      </c>
    </row>
    <row r="4527" spans="1:4" x14ac:dyDescent="0.3">
      <c r="A4527" s="12"/>
      <c r="B4527" s="12"/>
      <c r="C4527" s="14" t="s">
        <v>16</v>
      </c>
      <c r="D4527" s="18">
        <v>2899.99</v>
      </c>
    </row>
    <row r="4528" spans="1:4" x14ac:dyDescent="0.3">
      <c r="A4528" s="12"/>
      <c r="B4528" s="10" t="s">
        <v>1916</v>
      </c>
      <c r="C4528" s="11"/>
      <c r="D4528" s="17">
        <v>3169.9799999999996</v>
      </c>
    </row>
    <row r="4529" spans="1:4" x14ac:dyDescent="0.3">
      <c r="A4529" s="10" t="s">
        <v>1234</v>
      </c>
      <c r="B4529" s="11"/>
      <c r="C4529" s="11"/>
      <c r="D4529" s="17">
        <v>3169.9799999999996</v>
      </c>
    </row>
    <row r="4530" spans="1:4" x14ac:dyDescent="0.3">
      <c r="A4530" s="10">
        <v>939</v>
      </c>
      <c r="B4530" s="10" t="s">
        <v>18</v>
      </c>
      <c r="C4530" s="10" t="s">
        <v>34</v>
      </c>
      <c r="D4530" s="17">
        <v>1320.99</v>
      </c>
    </row>
    <row r="4531" spans="1:4" x14ac:dyDescent="0.3">
      <c r="A4531" s="12"/>
      <c r="B4531" s="12"/>
      <c r="C4531" s="14" t="s">
        <v>89</v>
      </c>
      <c r="D4531" s="18">
        <v>833.98</v>
      </c>
    </row>
    <row r="4532" spans="1:4" x14ac:dyDescent="0.3">
      <c r="A4532" s="12"/>
      <c r="B4532" s="10" t="s">
        <v>1916</v>
      </c>
      <c r="C4532" s="11"/>
      <c r="D4532" s="17">
        <v>2154.9700000000003</v>
      </c>
    </row>
    <row r="4533" spans="1:4" x14ac:dyDescent="0.3">
      <c r="A4533" s="10" t="s">
        <v>1235</v>
      </c>
      <c r="B4533" s="11"/>
      <c r="C4533" s="11"/>
      <c r="D4533" s="17">
        <v>2154.9700000000003</v>
      </c>
    </row>
    <row r="4534" spans="1:4" x14ac:dyDescent="0.3">
      <c r="A4534" s="10">
        <v>940</v>
      </c>
      <c r="B4534" s="10" t="s">
        <v>11</v>
      </c>
      <c r="C4534" s="10" t="s">
        <v>95</v>
      </c>
      <c r="D4534" s="17">
        <v>1199.98</v>
      </c>
    </row>
    <row r="4535" spans="1:4" x14ac:dyDescent="0.3">
      <c r="A4535" s="12"/>
      <c r="B4535" s="10" t="s">
        <v>1915</v>
      </c>
      <c r="C4535" s="11"/>
      <c r="D4535" s="17">
        <v>1199.98</v>
      </c>
    </row>
    <row r="4536" spans="1:4" x14ac:dyDescent="0.3">
      <c r="A4536" s="10" t="s">
        <v>1236</v>
      </c>
      <c r="B4536" s="11"/>
      <c r="C4536" s="11"/>
      <c r="D4536" s="17">
        <v>1199.98</v>
      </c>
    </row>
    <row r="4537" spans="1:4" x14ac:dyDescent="0.3">
      <c r="A4537" s="10">
        <v>941</v>
      </c>
      <c r="B4537" s="10" t="s">
        <v>11</v>
      </c>
      <c r="C4537" s="10" t="s">
        <v>35</v>
      </c>
      <c r="D4537" s="17">
        <v>499.99</v>
      </c>
    </row>
    <row r="4538" spans="1:4" x14ac:dyDescent="0.3">
      <c r="A4538" s="12"/>
      <c r="B4538" s="12"/>
      <c r="C4538" s="14" t="s">
        <v>51</v>
      </c>
      <c r="D4538" s="18">
        <v>979.98</v>
      </c>
    </row>
    <row r="4539" spans="1:4" x14ac:dyDescent="0.3">
      <c r="A4539" s="12"/>
      <c r="B4539" s="12"/>
      <c r="C4539" s="14" t="s">
        <v>30</v>
      </c>
      <c r="D4539" s="18">
        <v>3361.98</v>
      </c>
    </row>
    <row r="4540" spans="1:4" x14ac:dyDescent="0.3">
      <c r="A4540" s="12"/>
      <c r="B4540" s="10" t="s">
        <v>1915</v>
      </c>
      <c r="C4540" s="11"/>
      <c r="D4540" s="17">
        <v>4841.95</v>
      </c>
    </row>
    <row r="4541" spans="1:4" x14ac:dyDescent="0.3">
      <c r="A4541" s="10" t="s">
        <v>1237</v>
      </c>
      <c r="B4541" s="11"/>
      <c r="C4541" s="11"/>
      <c r="D4541" s="17">
        <v>4841.95</v>
      </c>
    </row>
    <row r="4542" spans="1:4" x14ac:dyDescent="0.3">
      <c r="A4542" s="10">
        <v>942</v>
      </c>
      <c r="B4542" s="10" t="s">
        <v>18</v>
      </c>
      <c r="C4542" s="10" t="s">
        <v>82</v>
      </c>
      <c r="D4542" s="17">
        <v>979.98</v>
      </c>
    </row>
    <row r="4543" spans="1:4" x14ac:dyDescent="0.3">
      <c r="A4543" s="12"/>
      <c r="B4543" s="12"/>
      <c r="C4543" s="14" t="s">
        <v>105</v>
      </c>
      <c r="D4543" s="18">
        <v>489.99</v>
      </c>
    </row>
    <row r="4544" spans="1:4" x14ac:dyDescent="0.3">
      <c r="A4544" s="12"/>
      <c r="B4544" s="12"/>
      <c r="C4544" s="14" t="s">
        <v>65</v>
      </c>
      <c r="D4544" s="18">
        <v>941.98</v>
      </c>
    </row>
    <row r="4545" spans="1:4" x14ac:dyDescent="0.3">
      <c r="A4545" s="12"/>
      <c r="B4545" s="12"/>
      <c r="C4545" s="14" t="s">
        <v>109</v>
      </c>
      <c r="D4545" s="18">
        <v>1665.98</v>
      </c>
    </row>
    <row r="4546" spans="1:4" x14ac:dyDescent="0.3">
      <c r="A4546" s="12"/>
      <c r="B4546" s="12"/>
      <c r="C4546" s="14" t="s">
        <v>40</v>
      </c>
      <c r="D4546" s="18">
        <v>551.99</v>
      </c>
    </row>
    <row r="4547" spans="1:4" x14ac:dyDescent="0.3">
      <c r="A4547" s="12"/>
      <c r="B4547" s="10" t="s">
        <v>1916</v>
      </c>
      <c r="C4547" s="11"/>
      <c r="D4547" s="17">
        <v>4629.92</v>
      </c>
    </row>
    <row r="4548" spans="1:4" x14ac:dyDescent="0.3">
      <c r="A4548" s="10" t="s">
        <v>1238</v>
      </c>
      <c r="B4548" s="11"/>
      <c r="C4548" s="11"/>
      <c r="D4548" s="17">
        <v>4629.92</v>
      </c>
    </row>
    <row r="4549" spans="1:4" x14ac:dyDescent="0.3">
      <c r="A4549" s="10">
        <v>943</v>
      </c>
      <c r="B4549" s="10" t="s">
        <v>18</v>
      </c>
      <c r="C4549" s="10" t="s">
        <v>100</v>
      </c>
      <c r="D4549" s="17">
        <v>659.99</v>
      </c>
    </row>
    <row r="4550" spans="1:4" x14ac:dyDescent="0.3">
      <c r="A4550" s="12"/>
      <c r="B4550" s="12"/>
      <c r="C4550" s="14" t="s">
        <v>35</v>
      </c>
      <c r="D4550" s="18">
        <v>499.99</v>
      </c>
    </row>
    <row r="4551" spans="1:4" x14ac:dyDescent="0.3">
      <c r="A4551" s="12"/>
      <c r="B4551" s="10" t="s">
        <v>1916</v>
      </c>
      <c r="C4551" s="11"/>
      <c r="D4551" s="17">
        <v>1159.98</v>
      </c>
    </row>
    <row r="4552" spans="1:4" x14ac:dyDescent="0.3">
      <c r="A4552" s="10" t="s">
        <v>1239</v>
      </c>
      <c r="B4552" s="11"/>
      <c r="C4552" s="11"/>
      <c r="D4552" s="17">
        <v>1159.98</v>
      </c>
    </row>
    <row r="4553" spans="1:4" x14ac:dyDescent="0.3">
      <c r="A4553" s="10">
        <v>944</v>
      </c>
      <c r="B4553" s="10" t="s">
        <v>11</v>
      </c>
      <c r="C4553" s="10" t="s">
        <v>73</v>
      </c>
      <c r="D4553" s="17">
        <v>1319.98</v>
      </c>
    </row>
    <row r="4554" spans="1:4" x14ac:dyDescent="0.3">
      <c r="A4554" s="12"/>
      <c r="B4554" s="12"/>
      <c r="C4554" s="14" t="s">
        <v>14</v>
      </c>
      <c r="D4554" s="18">
        <v>1199.98</v>
      </c>
    </row>
    <row r="4555" spans="1:4" x14ac:dyDescent="0.3">
      <c r="A4555" s="12"/>
      <c r="B4555" s="12"/>
      <c r="C4555" s="14" t="s">
        <v>38</v>
      </c>
      <c r="D4555" s="18">
        <v>659.98</v>
      </c>
    </row>
    <row r="4556" spans="1:4" x14ac:dyDescent="0.3">
      <c r="A4556" s="12"/>
      <c r="B4556" s="12"/>
      <c r="C4556" s="14" t="s">
        <v>89</v>
      </c>
      <c r="D4556" s="18">
        <v>833.98</v>
      </c>
    </row>
    <row r="4557" spans="1:4" x14ac:dyDescent="0.3">
      <c r="A4557" s="12"/>
      <c r="B4557" s="12"/>
      <c r="C4557" s="14" t="s">
        <v>71</v>
      </c>
      <c r="D4557" s="18">
        <v>1999.98</v>
      </c>
    </row>
    <row r="4558" spans="1:4" x14ac:dyDescent="0.3">
      <c r="A4558" s="12"/>
      <c r="B4558" s="10" t="s">
        <v>1915</v>
      </c>
      <c r="C4558" s="11"/>
      <c r="D4558" s="17">
        <v>6013.9</v>
      </c>
    </row>
    <row r="4559" spans="1:4" x14ac:dyDescent="0.3">
      <c r="A4559" s="10" t="s">
        <v>1240</v>
      </c>
      <c r="B4559" s="11"/>
      <c r="C4559" s="11"/>
      <c r="D4559" s="17">
        <v>6013.9</v>
      </c>
    </row>
    <row r="4560" spans="1:4" x14ac:dyDescent="0.3">
      <c r="A4560" s="10">
        <v>945</v>
      </c>
      <c r="B4560" s="10" t="s">
        <v>18</v>
      </c>
      <c r="C4560" s="10" t="s">
        <v>59</v>
      </c>
      <c r="D4560" s="17">
        <v>499.98</v>
      </c>
    </row>
    <row r="4561" spans="1:4" x14ac:dyDescent="0.3">
      <c r="A4561" s="12"/>
      <c r="B4561" s="12"/>
      <c r="C4561" s="14" t="s">
        <v>108</v>
      </c>
      <c r="D4561" s="18">
        <v>1079.98</v>
      </c>
    </row>
    <row r="4562" spans="1:4" x14ac:dyDescent="0.3">
      <c r="A4562" s="12"/>
      <c r="B4562" s="12"/>
      <c r="C4562" s="14" t="s">
        <v>96</v>
      </c>
      <c r="D4562" s="18">
        <v>533.99</v>
      </c>
    </row>
    <row r="4563" spans="1:4" x14ac:dyDescent="0.3">
      <c r="A4563" s="12"/>
      <c r="B4563" s="12"/>
      <c r="C4563" s="14" t="s">
        <v>107</v>
      </c>
      <c r="D4563" s="18">
        <v>939.98</v>
      </c>
    </row>
    <row r="4564" spans="1:4" x14ac:dyDescent="0.3">
      <c r="A4564" s="12"/>
      <c r="B4564" s="12"/>
      <c r="C4564" s="14" t="s">
        <v>79</v>
      </c>
      <c r="D4564" s="18">
        <v>11999.98</v>
      </c>
    </row>
    <row r="4565" spans="1:4" x14ac:dyDescent="0.3">
      <c r="A4565" s="12"/>
      <c r="B4565" s="10" t="s">
        <v>1916</v>
      </c>
      <c r="C4565" s="11"/>
      <c r="D4565" s="17">
        <v>15053.91</v>
      </c>
    </row>
    <row r="4566" spans="1:4" x14ac:dyDescent="0.3">
      <c r="A4566" s="10" t="s">
        <v>1241</v>
      </c>
      <c r="B4566" s="11"/>
      <c r="C4566" s="11"/>
      <c r="D4566" s="17">
        <v>15053.91</v>
      </c>
    </row>
    <row r="4567" spans="1:4" x14ac:dyDescent="0.3">
      <c r="A4567" s="10">
        <v>946</v>
      </c>
      <c r="B4567" s="10" t="s">
        <v>18</v>
      </c>
      <c r="C4567" s="10" t="s">
        <v>28</v>
      </c>
      <c r="D4567" s="17">
        <v>539.98</v>
      </c>
    </row>
    <row r="4568" spans="1:4" x14ac:dyDescent="0.3">
      <c r="A4568" s="12"/>
      <c r="B4568" s="12"/>
      <c r="C4568" s="14" t="s">
        <v>38</v>
      </c>
      <c r="D4568" s="18">
        <v>659.98</v>
      </c>
    </row>
    <row r="4569" spans="1:4" x14ac:dyDescent="0.3">
      <c r="A4569" s="12"/>
      <c r="B4569" s="12"/>
      <c r="C4569" s="14" t="s">
        <v>50</v>
      </c>
      <c r="D4569" s="18">
        <v>3499.99</v>
      </c>
    </row>
    <row r="4570" spans="1:4" x14ac:dyDescent="0.3">
      <c r="A4570" s="12"/>
      <c r="B4570" s="12"/>
      <c r="C4570" s="14" t="s">
        <v>41</v>
      </c>
      <c r="D4570" s="18">
        <v>10999.98</v>
      </c>
    </row>
    <row r="4571" spans="1:4" x14ac:dyDescent="0.3">
      <c r="A4571" s="12"/>
      <c r="B4571" s="12"/>
      <c r="C4571" s="14" t="s">
        <v>29</v>
      </c>
      <c r="D4571" s="18">
        <v>3999.99</v>
      </c>
    </row>
    <row r="4572" spans="1:4" x14ac:dyDescent="0.3">
      <c r="A4572" s="12"/>
      <c r="B4572" s="10" t="s">
        <v>1916</v>
      </c>
      <c r="C4572" s="11"/>
      <c r="D4572" s="17">
        <v>19699.919999999998</v>
      </c>
    </row>
    <row r="4573" spans="1:4" x14ac:dyDescent="0.3">
      <c r="A4573" s="10" t="s">
        <v>1242</v>
      </c>
      <c r="B4573" s="11"/>
      <c r="C4573" s="11"/>
      <c r="D4573" s="17">
        <v>19699.919999999998</v>
      </c>
    </row>
    <row r="4574" spans="1:4" x14ac:dyDescent="0.3">
      <c r="A4574" s="10">
        <v>947</v>
      </c>
      <c r="B4574" s="10" t="s">
        <v>11</v>
      </c>
      <c r="C4574" s="10" t="s">
        <v>108</v>
      </c>
      <c r="D4574" s="17">
        <v>539.99</v>
      </c>
    </row>
    <row r="4575" spans="1:4" x14ac:dyDescent="0.3">
      <c r="A4575" s="12"/>
      <c r="B4575" s="12"/>
      <c r="C4575" s="14" t="s">
        <v>46</v>
      </c>
      <c r="D4575" s="18">
        <v>469.99</v>
      </c>
    </row>
    <row r="4576" spans="1:4" x14ac:dyDescent="0.3">
      <c r="A4576" s="12"/>
      <c r="B4576" s="12"/>
      <c r="C4576" s="14" t="s">
        <v>53</v>
      </c>
      <c r="D4576" s="18">
        <v>4599.9799999999996</v>
      </c>
    </row>
    <row r="4577" spans="1:4" x14ac:dyDescent="0.3">
      <c r="A4577" s="12"/>
      <c r="B4577" s="10" t="s">
        <v>1915</v>
      </c>
      <c r="C4577" s="11"/>
      <c r="D4577" s="17">
        <v>5609.9599999999991</v>
      </c>
    </row>
    <row r="4578" spans="1:4" x14ac:dyDescent="0.3">
      <c r="A4578" s="10" t="s">
        <v>1243</v>
      </c>
      <c r="B4578" s="11"/>
      <c r="C4578" s="11"/>
      <c r="D4578" s="17">
        <v>5609.9599999999991</v>
      </c>
    </row>
    <row r="4579" spans="1:4" x14ac:dyDescent="0.3">
      <c r="A4579" s="10">
        <v>948</v>
      </c>
      <c r="B4579" s="10" t="s">
        <v>18</v>
      </c>
      <c r="C4579" s="10" t="s">
        <v>33</v>
      </c>
      <c r="D4579" s="17">
        <v>599.98</v>
      </c>
    </row>
    <row r="4580" spans="1:4" x14ac:dyDescent="0.3">
      <c r="A4580" s="12"/>
      <c r="B4580" s="12"/>
      <c r="C4580" s="14" t="s">
        <v>80</v>
      </c>
      <c r="D4580" s="18">
        <v>339.99</v>
      </c>
    </row>
    <row r="4581" spans="1:4" x14ac:dyDescent="0.3">
      <c r="A4581" s="12"/>
      <c r="B4581" s="12"/>
      <c r="C4581" s="14" t="s">
        <v>10</v>
      </c>
      <c r="D4581" s="18">
        <v>1199.98</v>
      </c>
    </row>
    <row r="4582" spans="1:4" x14ac:dyDescent="0.3">
      <c r="A4582" s="12"/>
      <c r="B4582" s="12"/>
      <c r="C4582" s="14" t="s">
        <v>111</v>
      </c>
      <c r="D4582" s="18">
        <v>419.98</v>
      </c>
    </row>
    <row r="4583" spans="1:4" x14ac:dyDescent="0.3">
      <c r="A4583" s="12"/>
      <c r="B4583" s="12"/>
      <c r="C4583" s="14" t="s">
        <v>44</v>
      </c>
      <c r="D4583" s="18">
        <v>1239.98</v>
      </c>
    </row>
    <row r="4584" spans="1:4" x14ac:dyDescent="0.3">
      <c r="A4584" s="12"/>
      <c r="B4584" s="10" t="s">
        <v>1916</v>
      </c>
      <c r="C4584" s="11"/>
      <c r="D4584" s="17">
        <v>3799.91</v>
      </c>
    </row>
    <row r="4585" spans="1:4" x14ac:dyDescent="0.3">
      <c r="A4585" s="10" t="s">
        <v>1244</v>
      </c>
      <c r="B4585" s="11"/>
      <c r="C4585" s="11"/>
      <c r="D4585" s="17">
        <v>3799.91</v>
      </c>
    </row>
    <row r="4586" spans="1:4" x14ac:dyDescent="0.3">
      <c r="A4586" s="10">
        <v>949</v>
      </c>
      <c r="B4586" s="10" t="s">
        <v>11</v>
      </c>
      <c r="C4586" s="10" t="s">
        <v>26</v>
      </c>
      <c r="D4586" s="17">
        <v>5999.98</v>
      </c>
    </row>
    <row r="4587" spans="1:4" x14ac:dyDescent="0.3">
      <c r="A4587" s="12"/>
      <c r="B4587" s="12"/>
      <c r="C4587" s="14" t="s">
        <v>76</v>
      </c>
      <c r="D4587" s="18">
        <v>5399.98</v>
      </c>
    </row>
    <row r="4588" spans="1:4" x14ac:dyDescent="0.3">
      <c r="A4588" s="12"/>
      <c r="B4588" s="10" t="s">
        <v>1915</v>
      </c>
      <c r="C4588" s="11"/>
      <c r="D4588" s="17">
        <v>11399.96</v>
      </c>
    </row>
    <row r="4589" spans="1:4" x14ac:dyDescent="0.3">
      <c r="A4589" s="10" t="s">
        <v>1245</v>
      </c>
      <c r="B4589" s="11"/>
      <c r="C4589" s="11"/>
      <c r="D4589" s="17">
        <v>11399.96</v>
      </c>
    </row>
    <row r="4590" spans="1:4" x14ac:dyDescent="0.3">
      <c r="A4590" s="10">
        <v>950</v>
      </c>
      <c r="B4590" s="10" t="s">
        <v>18</v>
      </c>
      <c r="C4590" s="10" t="s">
        <v>41</v>
      </c>
      <c r="D4590" s="17">
        <v>5499.99</v>
      </c>
    </row>
    <row r="4591" spans="1:4" x14ac:dyDescent="0.3">
      <c r="A4591" s="12"/>
      <c r="B4591" s="10" t="s">
        <v>1916</v>
      </c>
      <c r="C4591" s="11"/>
      <c r="D4591" s="17">
        <v>5499.99</v>
      </c>
    </row>
    <row r="4592" spans="1:4" x14ac:dyDescent="0.3">
      <c r="A4592" s="10" t="s">
        <v>1246</v>
      </c>
      <c r="B4592" s="11"/>
      <c r="C4592" s="11"/>
      <c r="D4592" s="17">
        <v>5499.99</v>
      </c>
    </row>
    <row r="4593" spans="1:4" x14ac:dyDescent="0.3">
      <c r="A4593" s="10">
        <v>951</v>
      </c>
      <c r="B4593" s="10" t="s">
        <v>18</v>
      </c>
      <c r="C4593" s="10" t="s">
        <v>50</v>
      </c>
      <c r="D4593" s="17">
        <v>6999.98</v>
      </c>
    </row>
    <row r="4594" spans="1:4" x14ac:dyDescent="0.3">
      <c r="A4594" s="12"/>
      <c r="B4594" s="12"/>
      <c r="C4594" s="14" t="s">
        <v>74</v>
      </c>
      <c r="D4594" s="18">
        <v>2599.9899999999998</v>
      </c>
    </row>
    <row r="4595" spans="1:4" x14ac:dyDescent="0.3">
      <c r="A4595" s="12"/>
      <c r="B4595" s="12"/>
      <c r="C4595" s="14" t="s">
        <v>62</v>
      </c>
      <c r="D4595" s="18">
        <v>10599.98</v>
      </c>
    </row>
    <row r="4596" spans="1:4" x14ac:dyDescent="0.3">
      <c r="A4596" s="12"/>
      <c r="B4596" s="10" t="s">
        <v>1916</v>
      </c>
      <c r="C4596" s="11"/>
      <c r="D4596" s="17">
        <v>20199.949999999997</v>
      </c>
    </row>
    <row r="4597" spans="1:4" x14ac:dyDescent="0.3">
      <c r="A4597" s="10" t="s">
        <v>1247</v>
      </c>
      <c r="B4597" s="11"/>
      <c r="C4597" s="11"/>
      <c r="D4597" s="17">
        <v>20199.949999999997</v>
      </c>
    </row>
    <row r="4598" spans="1:4" x14ac:dyDescent="0.3">
      <c r="A4598" s="10">
        <v>952</v>
      </c>
      <c r="B4598" s="10" t="s">
        <v>18</v>
      </c>
      <c r="C4598" s="10" t="s">
        <v>10</v>
      </c>
      <c r="D4598" s="17">
        <v>1199.98</v>
      </c>
    </row>
    <row r="4599" spans="1:4" x14ac:dyDescent="0.3">
      <c r="A4599" s="12"/>
      <c r="B4599" s="12"/>
      <c r="C4599" s="14" t="s">
        <v>103</v>
      </c>
      <c r="D4599" s="18">
        <v>1999.99</v>
      </c>
    </row>
    <row r="4600" spans="1:4" x14ac:dyDescent="0.3">
      <c r="A4600" s="12"/>
      <c r="B4600" s="10" t="s">
        <v>1916</v>
      </c>
      <c r="C4600" s="11"/>
      <c r="D4600" s="17">
        <v>3199.9700000000003</v>
      </c>
    </row>
    <row r="4601" spans="1:4" x14ac:dyDescent="0.3">
      <c r="A4601" s="10" t="s">
        <v>1248</v>
      </c>
      <c r="B4601" s="11"/>
      <c r="C4601" s="11"/>
      <c r="D4601" s="17">
        <v>3199.9700000000003</v>
      </c>
    </row>
    <row r="4602" spans="1:4" x14ac:dyDescent="0.3">
      <c r="A4602" s="10">
        <v>953</v>
      </c>
      <c r="B4602" s="10" t="s">
        <v>18</v>
      </c>
      <c r="C4602" s="10" t="s">
        <v>33</v>
      </c>
      <c r="D4602" s="17">
        <v>599.98</v>
      </c>
    </row>
    <row r="4603" spans="1:4" x14ac:dyDescent="0.3">
      <c r="A4603" s="12"/>
      <c r="B4603" s="10" t="s">
        <v>1916</v>
      </c>
      <c r="C4603" s="11"/>
      <c r="D4603" s="17">
        <v>599.98</v>
      </c>
    </row>
    <row r="4604" spans="1:4" x14ac:dyDescent="0.3">
      <c r="A4604" s="10" t="s">
        <v>1249</v>
      </c>
      <c r="B4604" s="11"/>
      <c r="C4604" s="11"/>
      <c r="D4604" s="17">
        <v>599.98</v>
      </c>
    </row>
    <row r="4605" spans="1:4" x14ac:dyDescent="0.3">
      <c r="A4605" s="10">
        <v>954</v>
      </c>
      <c r="B4605" s="10" t="s">
        <v>18</v>
      </c>
      <c r="C4605" s="10" t="s">
        <v>16</v>
      </c>
      <c r="D4605" s="17">
        <v>5799.98</v>
      </c>
    </row>
    <row r="4606" spans="1:4" x14ac:dyDescent="0.3">
      <c r="A4606" s="12"/>
      <c r="B4606" s="10" t="s">
        <v>1916</v>
      </c>
      <c r="C4606" s="11"/>
      <c r="D4606" s="17">
        <v>5799.98</v>
      </c>
    </row>
    <row r="4607" spans="1:4" x14ac:dyDescent="0.3">
      <c r="A4607" s="10" t="s">
        <v>1250</v>
      </c>
      <c r="B4607" s="11"/>
      <c r="C4607" s="11"/>
      <c r="D4607" s="17">
        <v>5799.98</v>
      </c>
    </row>
    <row r="4608" spans="1:4" x14ac:dyDescent="0.3">
      <c r="A4608" s="10">
        <v>955</v>
      </c>
      <c r="B4608" s="10" t="s">
        <v>18</v>
      </c>
      <c r="C4608" s="10" t="s">
        <v>91</v>
      </c>
      <c r="D4608" s="17">
        <v>349.99</v>
      </c>
    </row>
    <row r="4609" spans="1:4" x14ac:dyDescent="0.3">
      <c r="A4609" s="12"/>
      <c r="B4609" s="12"/>
      <c r="C4609" s="14" t="s">
        <v>102</v>
      </c>
      <c r="D4609" s="18">
        <v>3265.98</v>
      </c>
    </row>
    <row r="4610" spans="1:4" x14ac:dyDescent="0.3">
      <c r="A4610" s="12"/>
      <c r="B4610" s="12"/>
      <c r="C4610" s="14" t="s">
        <v>75</v>
      </c>
      <c r="D4610" s="18">
        <v>3499.99</v>
      </c>
    </row>
    <row r="4611" spans="1:4" x14ac:dyDescent="0.3">
      <c r="A4611" s="12"/>
      <c r="B4611" s="12"/>
      <c r="C4611" s="14" t="s">
        <v>62</v>
      </c>
      <c r="D4611" s="18">
        <v>5299.99</v>
      </c>
    </row>
    <row r="4612" spans="1:4" x14ac:dyDescent="0.3">
      <c r="A4612" s="12"/>
      <c r="B4612" s="12"/>
      <c r="C4612" s="14" t="s">
        <v>64</v>
      </c>
      <c r="D4612" s="18">
        <v>189.99</v>
      </c>
    </row>
    <row r="4613" spans="1:4" x14ac:dyDescent="0.3">
      <c r="A4613" s="12"/>
      <c r="B4613" s="10" t="s">
        <v>1916</v>
      </c>
      <c r="C4613" s="11"/>
      <c r="D4613" s="17">
        <v>12605.94</v>
      </c>
    </row>
    <row r="4614" spans="1:4" x14ac:dyDescent="0.3">
      <c r="A4614" s="10" t="s">
        <v>1251</v>
      </c>
      <c r="B4614" s="11"/>
      <c r="C4614" s="11"/>
      <c r="D4614" s="17">
        <v>12605.94</v>
      </c>
    </row>
    <row r="4615" spans="1:4" x14ac:dyDescent="0.3">
      <c r="A4615" s="10">
        <v>956</v>
      </c>
      <c r="B4615" s="10" t="s">
        <v>18</v>
      </c>
      <c r="C4615" s="10" t="s">
        <v>31</v>
      </c>
      <c r="D4615" s="17">
        <v>539.98</v>
      </c>
    </row>
    <row r="4616" spans="1:4" x14ac:dyDescent="0.3">
      <c r="A4616" s="12"/>
      <c r="B4616" s="12"/>
      <c r="C4616" s="14" t="s">
        <v>33</v>
      </c>
      <c r="D4616" s="18">
        <v>299.99</v>
      </c>
    </row>
    <row r="4617" spans="1:4" x14ac:dyDescent="0.3">
      <c r="A4617" s="12"/>
      <c r="B4617" s="12"/>
      <c r="C4617" s="14" t="s">
        <v>48</v>
      </c>
      <c r="D4617" s="18">
        <v>599.98</v>
      </c>
    </row>
    <row r="4618" spans="1:4" x14ac:dyDescent="0.3">
      <c r="A4618" s="12"/>
      <c r="B4618" s="12"/>
      <c r="C4618" s="14" t="s">
        <v>58</v>
      </c>
      <c r="D4618" s="18">
        <v>805.98</v>
      </c>
    </row>
    <row r="4619" spans="1:4" x14ac:dyDescent="0.3">
      <c r="A4619" s="12"/>
      <c r="B4619" s="12"/>
      <c r="C4619" s="14" t="s">
        <v>43</v>
      </c>
      <c r="D4619" s="18">
        <v>1499.98</v>
      </c>
    </row>
    <row r="4620" spans="1:4" x14ac:dyDescent="0.3">
      <c r="A4620" s="12"/>
      <c r="B4620" s="10" t="s">
        <v>1916</v>
      </c>
      <c r="C4620" s="11"/>
      <c r="D4620" s="17">
        <v>3745.9100000000003</v>
      </c>
    </row>
    <row r="4621" spans="1:4" x14ac:dyDescent="0.3">
      <c r="A4621" s="10" t="s">
        <v>1252</v>
      </c>
      <c r="B4621" s="11"/>
      <c r="C4621" s="11"/>
      <c r="D4621" s="17">
        <v>3745.9100000000003</v>
      </c>
    </row>
    <row r="4622" spans="1:4" x14ac:dyDescent="0.3">
      <c r="A4622" s="10">
        <v>957</v>
      </c>
      <c r="B4622" s="10" t="s">
        <v>37</v>
      </c>
      <c r="C4622" s="10" t="s">
        <v>73</v>
      </c>
      <c r="D4622" s="17">
        <v>1319.98</v>
      </c>
    </row>
    <row r="4623" spans="1:4" x14ac:dyDescent="0.3">
      <c r="A4623" s="12"/>
      <c r="B4623" s="12"/>
      <c r="C4623" s="14" t="s">
        <v>28</v>
      </c>
      <c r="D4623" s="18">
        <v>539.98</v>
      </c>
    </row>
    <row r="4624" spans="1:4" x14ac:dyDescent="0.3">
      <c r="A4624" s="12"/>
      <c r="B4624" s="12"/>
      <c r="C4624" s="14" t="s">
        <v>85</v>
      </c>
      <c r="D4624" s="18">
        <v>899.98</v>
      </c>
    </row>
    <row r="4625" spans="1:4" x14ac:dyDescent="0.3">
      <c r="A4625" s="12"/>
      <c r="B4625" s="12"/>
      <c r="C4625" s="14" t="s">
        <v>112</v>
      </c>
      <c r="D4625" s="18">
        <v>470.99</v>
      </c>
    </row>
    <row r="4626" spans="1:4" x14ac:dyDescent="0.3">
      <c r="A4626" s="12"/>
      <c r="B4626" s="12"/>
      <c r="C4626" s="14" t="s">
        <v>92</v>
      </c>
      <c r="D4626" s="18">
        <v>250.99</v>
      </c>
    </row>
    <row r="4627" spans="1:4" x14ac:dyDescent="0.3">
      <c r="A4627" s="12"/>
      <c r="B4627" s="10" t="s">
        <v>1917</v>
      </c>
      <c r="C4627" s="11"/>
      <c r="D4627" s="17">
        <v>3481.92</v>
      </c>
    </row>
    <row r="4628" spans="1:4" x14ac:dyDescent="0.3">
      <c r="A4628" s="10" t="s">
        <v>1253</v>
      </c>
      <c r="B4628" s="11"/>
      <c r="C4628" s="11"/>
      <c r="D4628" s="17">
        <v>3481.92</v>
      </c>
    </row>
    <row r="4629" spans="1:4" x14ac:dyDescent="0.3">
      <c r="A4629" s="10">
        <v>958</v>
      </c>
      <c r="B4629" s="10" t="s">
        <v>11</v>
      </c>
      <c r="C4629" s="10" t="s">
        <v>48</v>
      </c>
      <c r="D4629" s="17">
        <v>299.99</v>
      </c>
    </row>
    <row r="4630" spans="1:4" x14ac:dyDescent="0.3">
      <c r="A4630" s="12"/>
      <c r="B4630" s="12"/>
      <c r="C4630" s="14" t="s">
        <v>90</v>
      </c>
      <c r="D4630" s="18">
        <v>6499.99</v>
      </c>
    </row>
    <row r="4631" spans="1:4" x14ac:dyDescent="0.3">
      <c r="A4631" s="12"/>
      <c r="B4631" s="10" t="s">
        <v>1915</v>
      </c>
      <c r="C4631" s="11"/>
      <c r="D4631" s="17">
        <v>6799.98</v>
      </c>
    </row>
    <row r="4632" spans="1:4" x14ac:dyDescent="0.3">
      <c r="A4632" s="10" t="s">
        <v>1254</v>
      </c>
      <c r="B4632" s="11"/>
      <c r="C4632" s="11"/>
      <c r="D4632" s="17">
        <v>6799.98</v>
      </c>
    </row>
    <row r="4633" spans="1:4" x14ac:dyDescent="0.3">
      <c r="A4633" s="10">
        <v>959</v>
      </c>
      <c r="B4633" s="10" t="s">
        <v>18</v>
      </c>
      <c r="C4633" s="10" t="s">
        <v>27</v>
      </c>
      <c r="D4633" s="17">
        <v>529.99</v>
      </c>
    </row>
    <row r="4634" spans="1:4" x14ac:dyDescent="0.3">
      <c r="A4634" s="12"/>
      <c r="B4634" s="12"/>
      <c r="C4634" s="14" t="s">
        <v>77</v>
      </c>
      <c r="D4634" s="18">
        <v>1469.99</v>
      </c>
    </row>
    <row r="4635" spans="1:4" x14ac:dyDescent="0.3">
      <c r="A4635" s="12"/>
      <c r="B4635" s="12"/>
      <c r="C4635" s="14" t="s">
        <v>44</v>
      </c>
      <c r="D4635" s="18">
        <v>619.99</v>
      </c>
    </row>
    <row r="4636" spans="1:4" x14ac:dyDescent="0.3">
      <c r="A4636" s="12"/>
      <c r="B4636" s="12"/>
      <c r="C4636" s="14" t="s">
        <v>114</v>
      </c>
      <c r="D4636" s="18">
        <v>346.99</v>
      </c>
    </row>
    <row r="4637" spans="1:4" x14ac:dyDescent="0.3">
      <c r="A4637" s="12"/>
      <c r="B4637" s="10" t="s">
        <v>1916</v>
      </c>
      <c r="C4637" s="11"/>
      <c r="D4637" s="17">
        <v>2966.96</v>
      </c>
    </row>
    <row r="4638" spans="1:4" x14ac:dyDescent="0.3">
      <c r="A4638" s="10" t="s">
        <v>1255</v>
      </c>
      <c r="B4638" s="11"/>
      <c r="C4638" s="11"/>
      <c r="D4638" s="17">
        <v>2966.96</v>
      </c>
    </row>
    <row r="4639" spans="1:4" x14ac:dyDescent="0.3">
      <c r="A4639" s="10">
        <v>960</v>
      </c>
      <c r="B4639" s="10" t="s">
        <v>18</v>
      </c>
      <c r="C4639" s="10" t="s">
        <v>43</v>
      </c>
      <c r="D4639" s="17">
        <v>1499.98</v>
      </c>
    </row>
    <row r="4640" spans="1:4" x14ac:dyDescent="0.3">
      <c r="A4640" s="12"/>
      <c r="B4640" s="12"/>
      <c r="C4640" s="14" t="s">
        <v>68</v>
      </c>
      <c r="D4640" s="18">
        <v>875.99</v>
      </c>
    </row>
    <row r="4641" spans="1:4" x14ac:dyDescent="0.3">
      <c r="A4641" s="12"/>
      <c r="B4641" s="12"/>
      <c r="C4641" s="14" t="s">
        <v>66</v>
      </c>
      <c r="D4641" s="18">
        <v>299.98</v>
      </c>
    </row>
    <row r="4642" spans="1:4" x14ac:dyDescent="0.3">
      <c r="A4642" s="12"/>
      <c r="B4642" s="12"/>
      <c r="C4642" s="14" t="s">
        <v>84</v>
      </c>
      <c r="D4642" s="18">
        <v>2999.98</v>
      </c>
    </row>
    <row r="4643" spans="1:4" x14ac:dyDescent="0.3">
      <c r="A4643" s="12"/>
      <c r="B4643" s="10" t="s">
        <v>1916</v>
      </c>
      <c r="C4643" s="11"/>
      <c r="D4643" s="17">
        <v>5675.93</v>
      </c>
    </row>
    <row r="4644" spans="1:4" x14ac:dyDescent="0.3">
      <c r="A4644" s="10" t="s">
        <v>1256</v>
      </c>
      <c r="B4644" s="11"/>
      <c r="C4644" s="11"/>
      <c r="D4644" s="17">
        <v>5675.93</v>
      </c>
    </row>
    <row r="4645" spans="1:4" x14ac:dyDescent="0.3">
      <c r="A4645" s="10">
        <v>961</v>
      </c>
      <c r="B4645" s="10" t="s">
        <v>11</v>
      </c>
      <c r="C4645" s="10" t="s">
        <v>114</v>
      </c>
      <c r="D4645" s="17">
        <v>693.98</v>
      </c>
    </row>
    <row r="4646" spans="1:4" x14ac:dyDescent="0.3">
      <c r="A4646" s="12"/>
      <c r="B4646" s="12"/>
      <c r="C4646" s="14" t="s">
        <v>96</v>
      </c>
      <c r="D4646" s="18">
        <v>533.99</v>
      </c>
    </row>
    <row r="4647" spans="1:4" x14ac:dyDescent="0.3">
      <c r="A4647" s="12"/>
      <c r="B4647" s="12"/>
      <c r="C4647" s="14" t="s">
        <v>54</v>
      </c>
      <c r="D4647" s="18">
        <v>10599.98</v>
      </c>
    </row>
    <row r="4648" spans="1:4" x14ac:dyDescent="0.3">
      <c r="A4648" s="12"/>
      <c r="B4648" s="10" t="s">
        <v>1915</v>
      </c>
      <c r="C4648" s="11"/>
      <c r="D4648" s="17">
        <v>11827.949999999999</v>
      </c>
    </row>
    <row r="4649" spans="1:4" x14ac:dyDescent="0.3">
      <c r="A4649" s="10" t="s">
        <v>1257</v>
      </c>
      <c r="B4649" s="11"/>
      <c r="C4649" s="11"/>
      <c r="D4649" s="17">
        <v>11827.949999999999</v>
      </c>
    </row>
    <row r="4650" spans="1:4" x14ac:dyDescent="0.3">
      <c r="A4650" s="10">
        <v>962</v>
      </c>
      <c r="B4650" s="10" t="s">
        <v>18</v>
      </c>
      <c r="C4650" s="10" t="s">
        <v>51</v>
      </c>
      <c r="D4650" s="17">
        <v>979.98</v>
      </c>
    </row>
    <row r="4651" spans="1:4" x14ac:dyDescent="0.3">
      <c r="A4651" s="12"/>
      <c r="B4651" s="12"/>
      <c r="C4651" s="14" t="s">
        <v>114</v>
      </c>
      <c r="D4651" s="18">
        <v>693.98</v>
      </c>
    </row>
    <row r="4652" spans="1:4" x14ac:dyDescent="0.3">
      <c r="A4652" s="12"/>
      <c r="B4652" s="10" t="s">
        <v>1916</v>
      </c>
      <c r="C4652" s="11"/>
      <c r="D4652" s="17">
        <v>1673.96</v>
      </c>
    </row>
    <row r="4653" spans="1:4" x14ac:dyDescent="0.3">
      <c r="A4653" s="10" t="s">
        <v>1258</v>
      </c>
      <c r="B4653" s="11"/>
      <c r="C4653" s="11"/>
      <c r="D4653" s="17">
        <v>1673.96</v>
      </c>
    </row>
    <row r="4654" spans="1:4" x14ac:dyDescent="0.3">
      <c r="A4654" s="10">
        <v>963</v>
      </c>
      <c r="B4654" s="10" t="s">
        <v>18</v>
      </c>
      <c r="C4654" s="10" t="s">
        <v>16</v>
      </c>
      <c r="D4654" s="17">
        <v>2899.99</v>
      </c>
    </row>
    <row r="4655" spans="1:4" x14ac:dyDescent="0.3">
      <c r="A4655" s="12"/>
      <c r="B4655" s="10" t="s">
        <v>1916</v>
      </c>
      <c r="C4655" s="11"/>
      <c r="D4655" s="17">
        <v>2899.99</v>
      </c>
    </row>
    <row r="4656" spans="1:4" x14ac:dyDescent="0.3">
      <c r="A4656" s="10" t="s">
        <v>1259</v>
      </c>
      <c r="B4656" s="11"/>
      <c r="C4656" s="11"/>
      <c r="D4656" s="17">
        <v>2899.99</v>
      </c>
    </row>
    <row r="4657" spans="1:4" x14ac:dyDescent="0.3">
      <c r="A4657" s="10">
        <v>964</v>
      </c>
      <c r="B4657" s="10" t="s">
        <v>18</v>
      </c>
      <c r="C4657" s="10" t="s">
        <v>61</v>
      </c>
      <c r="D4657" s="17">
        <v>439.99</v>
      </c>
    </row>
    <row r="4658" spans="1:4" x14ac:dyDescent="0.3">
      <c r="A4658" s="12"/>
      <c r="B4658" s="12"/>
      <c r="C4658" s="14" t="s">
        <v>56</v>
      </c>
      <c r="D4658" s="18">
        <v>209.99</v>
      </c>
    </row>
    <row r="4659" spans="1:4" x14ac:dyDescent="0.3">
      <c r="A4659" s="12"/>
      <c r="B4659" s="10" t="s">
        <v>1916</v>
      </c>
      <c r="C4659" s="11"/>
      <c r="D4659" s="17">
        <v>649.98</v>
      </c>
    </row>
    <row r="4660" spans="1:4" x14ac:dyDescent="0.3">
      <c r="A4660" s="10" t="s">
        <v>1260</v>
      </c>
      <c r="B4660" s="11"/>
      <c r="C4660" s="11"/>
      <c r="D4660" s="17">
        <v>649.98</v>
      </c>
    </row>
    <row r="4661" spans="1:4" x14ac:dyDescent="0.3">
      <c r="A4661" s="10">
        <v>965</v>
      </c>
      <c r="B4661" s="10" t="s">
        <v>18</v>
      </c>
      <c r="C4661" s="10" t="s">
        <v>56</v>
      </c>
      <c r="D4661" s="17">
        <v>419.98</v>
      </c>
    </row>
    <row r="4662" spans="1:4" x14ac:dyDescent="0.3">
      <c r="A4662" s="12"/>
      <c r="B4662" s="10" t="s">
        <v>1916</v>
      </c>
      <c r="C4662" s="11"/>
      <c r="D4662" s="17">
        <v>419.98</v>
      </c>
    </row>
    <row r="4663" spans="1:4" x14ac:dyDescent="0.3">
      <c r="A4663" s="10" t="s">
        <v>1261</v>
      </c>
      <c r="B4663" s="11"/>
      <c r="C4663" s="11"/>
      <c r="D4663" s="17">
        <v>419.98</v>
      </c>
    </row>
    <row r="4664" spans="1:4" x14ac:dyDescent="0.3">
      <c r="A4664" s="10">
        <v>966</v>
      </c>
      <c r="B4664" s="10" t="s">
        <v>37</v>
      </c>
      <c r="C4664" s="10" t="s">
        <v>43</v>
      </c>
      <c r="D4664" s="17">
        <v>749.99</v>
      </c>
    </row>
    <row r="4665" spans="1:4" x14ac:dyDescent="0.3">
      <c r="A4665" s="12"/>
      <c r="B4665" s="12"/>
      <c r="C4665" s="14" t="s">
        <v>64</v>
      </c>
      <c r="D4665" s="18">
        <v>189.99</v>
      </c>
    </row>
    <row r="4666" spans="1:4" x14ac:dyDescent="0.3">
      <c r="A4666" s="12"/>
      <c r="B4666" s="10" t="s">
        <v>1917</v>
      </c>
      <c r="C4666" s="11"/>
      <c r="D4666" s="17">
        <v>939.98</v>
      </c>
    </row>
    <row r="4667" spans="1:4" x14ac:dyDescent="0.3">
      <c r="A4667" s="10" t="s">
        <v>1262</v>
      </c>
      <c r="B4667" s="11"/>
      <c r="C4667" s="11"/>
      <c r="D4667" s="17">
        <v>939.98</v>
      </c>
    </row>
    <row r="4668" spans="1:4" x14ac:dyDescent="0.3">
      <c r="A4668" s="10">
        <v>967</v>
      </c>
      <c r="B4668" s="10" t="s">
        <v>18</v>
      </c>
      <c r="C4668" s="10" t="s">
        <v>113</v>
      </c>
      <c r="D4668" s="17">
        <v>1599.98</v>
      </c>
    </row>
    <row r="4669" spans="1:4" x14ac:dyDescent="0.3">
      <c r="A4669" s="12"/>
      <c r="B4669" s="12"/>
      <c r="C4669" s="14" t="s">
        <v>92</v>
      </c>
      <c r="D4669" s="18">
        <v>250.99</v>
      </c>
    </row>
    <row r="4670" spans="1:4" x14ac:dyDescent="0.3">
      <c r="A4670" s="12"/>
      <c r="B4670" s="12"/>
      <c r="C4670" s="14" t="s">
        <v>40</v>
      </c>
      <c r="D4670" s="18">
        <v>551.99</v>
      </c>
    </row>
    <row r="4671" spans="1:4" x14ac:dyDescent="0.3">
      <c r="A4671" s="12"/>
      <c r="B4671" s="12"/>
      <c r="C4671" s="14" t="s">
        <v>117</v>
      </c>
      <c r="D4671" s="18">
        <v>189.99</v>
      </c>
    </row>
    <row r="4672" spans="1:4" x14ac:dyDescent="0.3">
      <c r="A4672" s="12"/>
      <c r="B4672" s="10" t="s">
        <v>1916</v>
      </c>
      <c r="C4672" s="11"/>
      <c r="D4672" s="17">
        <v>2592.9499999999998</v>
      </c>
    </row>
    <row r="4673" spans="1:4" x14ac:dyDescent="0.3">
      <c r="A4673" s="10" t="s">
        <v>1263</v>
      </c>
      <c r="B4673" s="11"/>
      <c r="C4673" s="11"/>
      <c r="D4673" s="17">
        <v>2592.9499999999998</v>
      </c>
    </row>
    <row r="4674" spans="1:4" x14ac:dyDescent="0.3">
      <c r="A4674" s="10">
        <v>968</v>
      </c>
      <c r="B4674" s="10" t="s">
        <v>18</v>
      </c>
      <c r="C4674" s="10" t="s">
        <v>13</v>
      </c>
      <c r="D4674" s="17">
        <v>3098</v>
      </c>
    </row>
    <row r="4675" spans="1:4" x14ac:dyDescent="0.3">
      <c r="A4675" s="12"/>
      <c r="B4675" s="12"/>
      <c r="C4675" s="14" t="s">
        <v>45</v>
      </c>
      <c r="D4675" s="18">
        <v>9999.98</v>
      </c>
    </row>
    <row r="4676" spans="1:4" x14ac:dyDescent="0.3">
      <c r="A4676" s="12"/>
      <c r="B4676" s="12"/>
      <c r="C4676" s="14" t="s">
        <v>117</v>
      </c>
      <c r="D4676" s="18">
        <v>189.99</v>
      </c>
    </row>
    <row r="4677" spans="1:4" x14ac:dyDescent="0.3">
      <c r="A4677" s="12"/>
      <c r="B4677" s="10" t="s">
        <v>1916</v>
      </c>
      <c r="C4677" s="11"/>
      <c r="D4677" s="17">
        <v>13287.97</v>
      </c>
    </row>
    <row r="4678" spans="1:4" x14ac:dyDescent="0.3">
      <c r="A4678" s="10" t="s">
        <v>1264</v>
      </c>
      <c r="B4678" s="11"/>
      <c r="C4678" s="11"/>
      <c r="D4678" s="17">
        <v>13287.97</v>
      </c>
    </row>
    <row r="4679" spans="1:4" x14ac:dyDescent="0.3">
      <c r="A4679" s="10">
        <v>969</v>
      </c>
      <c r="B4679" s="10" t="s">
        <v>37</v>
      </c>
      <c r="C4679" s="10" t="s">
        <v>61</v>
      </c>
      <c r="D4679" s="17">
        <v>439.99</v>
      </c>
    </row>
    <row r="4680" spans="1:4" x14ac:dyDescent="0.3">
      <c r="A4680" s="12"/>
      <c r="B4680" s="12"/>
      <c r="C4680" s="14" t="s">
        <v>116</v>
      </c>
      <c r="D4680" s="18">
        <v>832.99</v>
      </c>
    </row>
    <row r="4681" spans="1:4" x14ac:dyDescent="0.3">
      <c r="A4681" s="12"/>
      <c r="B4681" s="10" t="s">
        <v>1917</v>
      </c>
      <c r="C4681" s="11"/>
      <c r="D4681" s="17">
        <v>1272.98</v>
      </c>
    </row>
    <row r="4682" spans="1:4" x14ac:dyDescent="0.3">
      <c r="A4682" s="10" t="s">
        <v>1265</v>
      </c>
      <c r="B4682" s="11"/>
      <c r="C4682" s="11"/>
      <c r="D4682" s="17">
        <v>1272.98</v>
      </c>
    </row>
    <row r="4683" spans="1:4" x14ac:dyDescent="0.3">
      <c r="A4683" s="10">
        <v>970</v>
      </c>
      <c r="B4683" s="10" t="s">
        <v>18</v>
      </c>
      <c r="C4683" s="10" t="s">
        <v>38</v>
      </c>
      <c r="D4683" s="17">
        <v>329.99</v>
      </c>
    </row>
    <row r="4684" spans="1:4" x14ac:dyDescent="0.3">
      <c r="A4684" s="12"/>
      <c r="B4684" s="12"/>
      <c r="C4684" s="14" t="s">
        <v>39</v>
      </c>
      <c r="D4684" s="18">
        <v>449.99</v>
      </c>
    </row>
    <row r="4685" spans="1:4" x14ac:dyDescent="0.3">
      <c r="A4685" s="12"/>
      <c r="B4685" s="12"/>
      <c r="C4685" s="14" t="s">
        <v>69</v>
      </c>
      <c r="D4685" s="18">
        <v>6399.98</v>
      </c>
    </row>
    <row r="4686" spans="1:4" x14ac:dyDescent="0.3">
      <c r="A4686" s="12"/>
      <c r="B4686" s="12"/>
      <c r="C4686" s="14" t="s">
        <v>84</v>
      </c>
      <c r="D4686" s="18">
        <v>2999.98</v>
      </c>
    </row>
    <row r="4687" spans="1:4" x14ac:dyDescent="0.3">
      <c r="A4687" s="12"/>
      <c r="B4687" s="10" t="s">
        <v>1916</v>
      </c>
      <c r="C4687" s="11"/>
      <c r="D4687" s="17">
        <v>10179.939999999999</v>
      </c>
    </row>
    <row r="4688" spans="1:4" x14ac:dyDescent="0.3">
      <c r="A4688" s="10" t="s">
        <v>1266</v>
      </c>
      <c r="B4688" s="11"/>
      <c r="C4688" s="11"/>
      <c r="D4688" s="17">
        <v>10179.939999999999</v>
      </c>
    </row>
    <row r="4689" spans="1:4" x14ac:dyDescent="0.3">
      <c r="A4689" s="10">
        <v>971</v>
      </c>
      <c r="B4689" s="10" t="s">
        <v>37</v>
      </c>
      <c r="C4689" s="10" t="s">
        <v>73</v>
      </c>
      <c r="D4689" s="17">
        <v>1319.98</v>
      </c>
    </row>
    <row r="4690" spans="1:4" x14ac:dyDescent="0.3">
      <c r="A4690" s="12"/>
      <c r="B4690" s="12"/>
      <c r="C4690" s="14" t="s">
        <v>25</v>
      </c>
      <c r="D4690" s="18">
        <v>1099.98</v>
      </c>
    </row>
    <row r="4691" spans="1:4" x14ac:dyDescent="0.3">
      <c r="A4691" s="12"/>
      <c r="B4691" s="12"/>
      <c r="C4691" s="14" t="s">
        <v>93</v>
      </c>
      <c r="D4691" s="18">
        <v>549.99</v>
      </c>
    </row>
    <row r="4692" spans="1:4" x14ac:dyDescent="0.3">
      <c r="A4692" s="12"/>
      <c r="B4692" s="12"/>
      <c r="C4692" s="14" t="s">
        <v>114</v>
      </c>
      <c r="D4692" s="18">
        <v>693.98</v>
      </c>
    </row>
    <row r="4693" spans="1:4" x14ac:dyDescent="0.3">
      <c r="A4693" s="12"/>
      <c r="B4693" s="12"/>
      <c r="C4693" s="14" t="s">
        <v>12</v>
      </c>
      <c r="D4693" s="18">
        <v>3599.98</v>
      </c>
    </row>
    <row r="4694" spans="1:4" x14ac:dyDescent="0.3">
      <c r="A4694" s="12"/>
      <c r="B4694" s="10" t="s">
        <v>1917</v>
      </c>
      <c r="C4694" s="11"/>
      <c r="D4694" s="17">
        <v>7263.91</v>
      </c>
    </row>
    <row r="4695" spans="1:4" x14ac:dyDescent="0.3">
      <c r="A4695" s="10" t="s">
        <v>1267</v>
      </c>
      <c r="B4695" s="11"/>
      <c r="C4695" s="11"/>
      <c r="D4695" s="17">
        <v>7263.91</v>
      </c>
    </row>
    <row r="4696" spans="1:4" x14ac:dyDescent="0.3">
      <c r="A4696" s="10">
        <v>972</v>
      </c>
      <c r="B4696" s="10" t="s">
        <v>18</v>
      </c>
      <c r="C4696" s="10" t="s">
        <v>105</v>
      </c>
      <c r="D4696" s="17">
        <v>489.99</v>
      </c>
    </row>
    <row r="4697" spans="1:4" x14ac:dyDescent="0.3">
      <c r="A4697" s="12"/>
      <c r="B4697" s="12"/>
      <c r="C4697" s="14" t="s">
        <v>75</v>
      </c>
      <c r="D4697" s="18">
        <v>3499.99</v>
      </c>
    </row>
    <row r="4698" spans="1:4" x14ac:dyDescent="0.3">
      <c r="A4698" s="12"/>
      <c r="B4698" s="10" t="s">
        <v>1916</v>
      </c>
      <c r="C4698" s="11"/>
      <c r="D4698" s="17">
        <v>3989.9799999999996</v>
      </c>
    </row>
    <row r="4699" spans="1:4" x14ac:dyDescent="0.3">
      <c r="A4699" s="10" t="s">
        <v>1268</v>
      </c>
      <c r="B4699" s="11"/>
      <c r="C4699" s="11"/>
      <c r="D4699" s="17">
        <v>3989.9799999999996</v>
      </c>
    </row>
    <row r="4700" spans="1:4" x14ac:dyDescent="0.3">
      <c r="A4700" s="10">
        <v>973</v>
      </c>
      <c r="B4700" s="10" t="s">
        <v>18</v>
      </c>
      <c r="C4700" s="10" t="s">
        <v>78</v>
      </c>
      <c r="D4700" s="17">
        <v>416.99</v>
      </c>
    </row>
    <row r="4701" spans="1:4" x14ac:dyDescent="0.3">
      <c r="A4701" s="12"/>
      <c r="B4701" s="12"/>
      <c r="C4701" s="14" t="s">
        <v>86</v>
      </c>
      <c r="D4701" s="18">
        <v>4999.9799999999996</v>
      </c>
    </row>
    <row r="4702" spans="1:4" x14ac:dyDescent="0.3">
      <c r="A4702" s="12"/>
      <c r="B4702" s="12"/>
      <c r="C4702" s="14" t="s">
        <v>16</v>
      </c>
      <c r="D4702" s="18">
        <v>5799.98</v>
      </c>
    </row>
    <row r="4703" spans="1:4" x14ac:dyDescent="0.3">
      <c r="A4703" s="12"/>
      <c r="B4703" s="12"/>
      <c r="C4703" s="14" t="s">
        <v>54</v>
      </c>
      <c r="D4703" s="18">
        <v>10599.98</v>
      </c>
    </row>
    <row r="4704" spans="1:4" x14ac:dyDescent="0.3">
      <c r="A4704" s="12"/>
      <c r="B4704" s="10" t="s">
        <v>1916</v>
      </c>
      <c r="C4704" s="11"/>
      <c r="D4704" s="17">
        <v>21816.93</v>
      </c>
    </row>
    <row r="4705" spans="1:4" x14ac:dyDescent="0.3">
      <c r="A4705" s="10" t="s">
        <v>1269</v>
      </c>
      <c r="B4705" s="11"/>
      <c r="C4705" s="11"/>
      <c r="D4705" s="17">
        <v>21816.93</v>
      </c>
    </row>
    <row r="4706" spans="1:4" x14ac:dyDescent="0.3">
      <c r="A4706" s="10">
        <v>974</v>
      </c>
      <c r="B4706" s="10" t="s">
        <v>37</v>
      </c>
      <c r="C4706" s="10" t="s">
        <v>28</v>
      </c>
      <c r="D4706" s="17">
        <v>539.98</v>
      </c>
    </row>
    <row r="4707" spans="1:4" x14ac:dyDescent="0.3">
      <c r="A4707" s="12"/>
      <c r="B4707" s="12"/>
      <c r="C4707" s="14" t="s">
        <v>67</v>
      </c>
      <c r="D4707" s="18">
        <v>939.98</v>
      </c>
    </row>
    <row r="4708" spans="1:4" x14ac:dyDescent="0.3">
      <c r="A4708" s="12"/>
      <c r="B4708" s="10" t="s">
        <v>1917</v>
      </c>
      <c r="C4708" s="11"/>
      <c r="D4708" s="17">
        <v>1479.96</v>
      </c>
    </row>
    <row r="4709" spans="1:4" x14ac:dyDescent="0.3">
      <c r="A4709" s="10" t="s">
        <v>1270</v>
      </c>
      <c r="B4709" s="11"/>
      <c r="C4709" s="11"/>
      <c r="D4709" s="17">
        <v>1479.96</v>
      </c>
    </row>
    <row r="4710" spans="1:4" x14ac:dyDescent="0.3">
      <c r="A4710" s="10">
        <v>975</v>
      </c>
      <c r="B4710" s="10" t="s">
        <v>18</v>
      </c>
      <c r="C4710" s="10" t="s">
        <v>65</v>
      </c>
      <c r="D4710" s="17">
        <v>941.98</v>
      </c>
    </row>
    <row r="4711" spans="1:4" x14ac:dyDescent="0.3">
      <c r="A4711" s="12"/>
      <c r="B4711" s="10" t="s">
        <v>1916</v>
      </c>
      <c r="C4711" s="11"/>
      <c r="D4711" s="17">
        <v>941.98</v>
      </c>
    </row>
    <row r="4712" spans="1:4" x14ac:dyDescent="0.3">
      <c r="A4712" s="10" t="s">
        <v>1271</v>
      </c>
      <c r="B4712" s="11"/>
      <c r="C4712" s="11"/>
      <c r="D4712" s="17">
        <v>941.98</v>
      </c>
    </row>
    <row r="4713" spans="1:4" x14ac:dyDescent="0.3">
      <c r="A4713" s="10">
        <v>976</v>
      </c>
      <c r="B4713" s="10" t="s">
        <v>37</v>
      </c>
      <c r="C4713" s="10" t="s">
        <v>14</v>
      </c>
      <c r="D4713" s="17">
        <v>1199.98</v>
      </c>
    </row>
    <row r="4714" spans="1:4" x14ac:dyDescent="0.3">
      <c r="A4714" s="12"/>
      <c r="B4714" s="12"/>
      <c r="C4714" s="14" t="s">
        <v>72</v>
      </c>
      <c r="D4714" s="18">
        <v>1499.99</v>
      </c>
    </row>
    <row r="4715" spans="1:4" x14ac:dyDescent="0.3">
      <c r="A4715" s="12"/>
      <c r="B4715" s="10" t="s">
        <v>1917</v>
      </c>
      <c r="C4715" s="11"/>
      <c r="D4715" s="17">
        <v>2699.9700000000003</v>
      </c>
    </row>
    <row r="4716" spans="1:4" x14ac:dyDescent="0.3">
      <c r="A4716" s="10" t="s">
        <v>1272</v>
      </c>
      <c r="B4716" s="11"/>
      <c r="C4716" s="11"/>
      <c r="D4716" s="17">
        <v>2699.9700000000003</v>
      </c>
    </row>
    <row r="4717" spans="1:4" x14ac:dyDescent="0.3">
      <c r="A4717" s="10">
        <v>977</v>
      </c>
      <c r="B4717" s="10" t="s">
        <v>18</v>
      </c>
      <c r="C4717" s="10" t="s">
        <v>63</v>
      </c>
      <c r="D4717" s="17">
        <v>1523.98</v>
      </c>
    </row>
    <row r="4718" spans="1:4" x14ac:dyDescent="0.3">
      <c r="A4718" s="12"/>
      <c r="B4718" s="12"/>
      <c r="C4718" s="14" t="s">
        <v>89</v>
      </c>
      <c r="D4718" s="18">
        <v>833.98</v>
      </c>
    </row>
    <row r="4719" spans="1:4" x14ac:dyDescent="0.3">
      <c r="A4719" s="12"/>
      <c r="B4719" s="12"/>
      <c r="C4719" s="14" t="s">
        <v>106</v>
      </c>
      <c r="D4719" s="18">
        <v>999.99</v>
      </c>
    </row>
    <row r="4720" spans="1:4" x14ac:dyDescent="0.3">
      <c r="A4720" s="12"/>
      <c r="B4720" s="12"/>
      <c r="C4720" s="14" t="s">
        <v>68</v>
      </c>
      <c r="D4720" s="18">
        <v>1751.98</v>
      </c>
    </row>
    <row r="4721" spans="1:4" x14ac:dyDescent="0.3">
      <c r="A4721" s="12"/>
      <c r="B4721" s="10" t="s">
        <v>1916</v>
      </c>
      <c r="C4721" s="11"/>
      <c r="D4721" s="17">
        <v>5109.93</v>
      </c>
    </row>
    <row r="4722" spans="1:4" x14ac:dyDescent="0.3">
      <c r="A4722" s="10" t="s">
        <v>1273</v>
      </c>
      <c r="B4722" s="11"/>
      <c r="C4722" s="11"/>
      <c r="D4722" s="17">
        <v>5109.93</v>
      </c>
    </row>
    <row r="4723" spans="1:4" x14ac:dyDescent="0.3">
      <c r="A4723" s="10">
        <v>978</v>
      </c>
      <c r="B4723" s="10" t="s">
        <v>18</v>
      </c>
      <c r="C4723" s="10" t="s">
        <v>35</v>
      </c>
      <c r="D4723" s="17">
        <v>999.98</v>
      </c>
    </row>
    <row r="4724" spans="1:4" x14ac:dyDescent="0.3">
      <c r="A4724" s="12"/>
      <c r="B4724" s="12"/>
      <c r="C4724" s="14" t="s">
        <v>39</v>
      </c>
      <c r="D4724" s="18">
        <v>899.98</v>
      </c>
    </row>
    <row r="4725" spans="1:4" x14ac:dyDescent="0.3">
      <c r="A4725" s="12"/>
      <c r="B4725" s="12"/>
      <c r="C4725" s="14" t="s">
        <v>85</v>
      </c>
      <c r="D4725" s="18">
        <v>899.98</v>
      </c>
    </row>
    <row r="4726" spans="1:4" x14ac:dyDescent="0.3">
      <c r="A4726" s="12"/>
      <c r="B4726" s="10" t="s">
        <v>1916</v>
      </c>
      <c r="C4726" s="11"/>
      <c r="D4726" s="17">
        <v>2799.94</v>
      </c>
    </row>
    <row r="4727" spans="1:4" x14ac:dyDescent="0.3">
      <c r="A4727" s="10" t="s">
        <v>1274</v>
      </c>
      <c r="B4727" s="11"/>
      <c r="C4727" s="11"/>
      <c r="D4727" s="17">
        <v>2799.94</v>
      </c>
    </row>
    <row r="4728" spans="1:4" x14ac:dyDescent="0.3">
      <c r="A4728" s="10">
        <v>979</v>
      </c>
      <c r="B4728" s="10" t="s">
        <v>18</v>
      </c>
      <c r="C4728" s="10" t="s">
        <v>25</v>
      </c>
      <c r="D4728" s="17">
        <v>1099.98</v>
      </c>
    </row>
    <row r="4729" spans="1:4" x14ac:dyDescent="0.3">
      <c r="A4729" s="12"/>
      <c r="B4729" s="12"/>
      <c r="C4729" s="14" t="s">
        <v>78</v>
      </c>
      <c r="D4729" s="18">
        <v>833.98</v>
      </c>
    </row>
    <row r="4730" spans="1:4" x14ac:dyDescent="0.3">
      <c r="A4730" s="12"/>
      <c r="B4730" s="12"/>
      <c r="C4730" s="14" t="s">
        <v>68</v>
      </c>
      <c r="D4730" s="18">
        <v>875.99</v>
      </c>
    </row>
    <row r="4731" spans="1:4" x14ac:dyDescent="0.3">
      <c r="A4731" s="12"/>
      <c r="B4731" s="12"/>
      <c r="C4731" s="14" t="s">
        <v>76</v>
      </c>
      <c r="D4731" s="18">
        <v>2699.99</v>
      </c>
    </row>
    <row r="4732" spans="1:4" x14ac:dyDescent="0.3">
      <c r="A4732" s="12"/>
      <c r="B4732" s="10" t="s">
        <v>1916</v>
      </c>
      <c r="C4732" s="11"/>
      <c r="D4732" s="17">
        <v>5509.94</v>
      </c>
    </row>
    <row r="4733" spans="1:4" x14ac:dyDescent="0.3">
      <c r="A4733" s="10" t="s">
        <v>1275</v>
      </c>
      <c r="B4733" s="11"/>
      <c r="C4733" s="11"/>
      <c r="D4733" s="17">
        <v>5509.94</v>
      </c>
    </row>
    <row r="4734" spans="1:4" x14ac:dyDescent="0.3">
      <c r="A4734" s="10">
        <v>980</v>
      </c>
      <c r="B4734" s="10" t="s">
        <v>37</v>
      </c>
      <c r="C4734" s="10" t="s">
        <v>51</v>
      </c>
      <c r="D4734" s="17">
        <v>489.99</v>
      </c>
    </row>
    <row r="4735" spans="1:4" x14ac:dyDescent="0.3">
      <c r="A4735" s="12"/>
      <c r="B4735" s="12"/>
      <c r="C4735" s="14" t="s">
        <v>26</v>
      </c>
      <c r="D4735" s="18">
        <v>2999.99</v>
      </c>
    </row>
    <row r="4736" spans="1:4" x14ac:dyDescent="0.3">
      <c r="A4736" s="12"/>
      <c r="B4736" s="12"/>
      <c r="C4736" s="14" t="s">
        <v>70</v>
      </c>
      <c r="D4736" s="18">
        <v>6999.98</v>
      </c>
    </row>
    <row r="4737" spans="1:4" x14ac:dyDescent="0.3">
      <c r="A4737" s="12"/>
      <c r="B4737" s="10" t="s">
        <v>1917</v>
      </c>
      <c r="C4737" s="11"/>
      <c r="D4737" s="17">
        <v>10489.96</v>
      </c>
    </row>
    <row r="4738" spans="1:4" x14ac:dyDescent="0.3">
      <c r="A4738" s="10" t="s">
        <v>1276</v>
      </c>
      <c r="B4738" s="11"/>
      <c r="C4738" s="11"/>
      <c r="D4738" s="17">
        <v>10489.96</v>
      </c>
    </row>
    <row r="4739" spans="1:4" x14ac:dyDescent="0.3">
      <c r="A4739" s="10">
        <v>981</v>
      </c>
      <c r="B4739" s="10" t="s">
        <v>37</v>
      </c>
      <c r="C4739" s="10" t="s">
        <v>31</v>
      </c>
      <c r="D4739" s="17">
        <v>539.98</v>
      </c>
    </row>
    <row r="4740" spans="1:4" x14ac:dyDescent="0.3">
      <c r="A4740" s="12"/>
      <c r="B4740" s="12"/>
      <c r="C4740" s="14" t="s">
        <v>48</v>
      </c>
      <c r="D4740" s="18">
        <v>599.98</v>
      </c>
    </row>
    <row r="4741" spans="1:4" x14ac:dyDescent="0.3">
      <c r="A4741" s="12"/>
      <c r="B4741" s="12"/>
      <c r="C4741" s="14" t="s">
        <v>109</v>
      </c>
      <c r="D4741" s="18">
        <v>832.99</v>
      </c>
    </row>
    <row r="4742" spans="1:4" x14ac:dyDescent="0.3">
      <c r="A4742" s="12"/>
      <c r="B4742" s="12"/>
      <c r="C4742" s="14" t="s">
        <v>116</v>
      </c>
      <c r="D4742" s="18">
        <v>1665.98</v>
      </c>
    </row>
    <row r="4743" spans="1:4" x14ac:dyDescent="0.3">
      <c r="A4743" s="12"/>
      <c r="B4743" s="12"/>
      <c r="C4743" s="14" t="s">
        <v>45</v>
      </c>
      <c r="D4743" s="18">
        <v>4999.99</v>
      </c>
    </row>
    <row r="4744" spans="1:4" x14ac:dyDescent="0.3">
      <c r="A4744" s="12"/>
      <c r="B4744" s="10" t="s">
        <v>1917</v>
      </c>
      <c r="C4744" s="11"/>
      <c r="D4744" s="17">
        <v>8638.92</v>
      </c>
    </row>
    <row r="4745" spans="1:4" x14ac:dyDescent="0.3">
      <c r="A4745" s="10" t="s">
        <v>1277</v>
      </c>
      <c r="B4745" s="11"/>
      <c r="C4745" s="11"/>
      <c r="D4745" s="17">
        <v>8638.92</v>
      </c>
    </row>
    <row r="4746" spans="1:4" x14ac:dyDescent="0.3">
      <c r="A4746" s="10">
        <v>982</v>
      </c>
      <c r="B4746" s="10" t="s">
        <v>37</v>
      </c>
      <c r="C4746" s="10" t="s">
        <v>28</v>
      </c>
      <c r="D4746" s="17">
        <v>539.98</v>
      </c>
    </row>
    <row r="4747" spans="1:4" x14ac:dyDescent="0.3">
      <c r="A4747" s="12"/>
      <c r="B4747" s="12"/>
      <c r="C4747" s="14" t="s">
        <v>65</v>
      </c>
      <c r="D4747" s="18">
        <v>470.99</v>
      </c>
    </row>
    <row r="4748" spans="1:4" x14ac:dyDescent="0.3">
      <c r="A4748" s="12"/>
      <c r="B4748" s="12"/>
      <c r="C4748" s="14" t="s">
        <v>68</v>
      </c>
      <c r="D4748" s="18">
        <v>875.99</v>
      </c>
    </row>
    <row r="4749" spans="1:4" x14ac:dyDescent="0.3">
      <c r="A4749" s="12"/>
      <c r="B4749" s="12"/>
      <c r="C4749" s="14" t="s">
        <v>104</v>
      </c>
      <c r="D4749" s="18">
        <v>9999.98</v>
      </c>
    </row>
    <row r="4750" spans="1:4" x14ac:dyDescent="0.3">
      <c r="A4750" s="12"/>
      <c r="B4750" s="10" t="s">
        <v>1917</v>
      </c>
      <c r="C4750" s="11"/>
      <c r="D4750" s="17">
        <v>11886.939999999999</v>
      </c>
    </row>
    <row r="4751" spans="1:4" x14ac:dyDescent="0.3">
      <c r="A4751" s="10" t="s">
        <v>1278</v>
      </c>
      <c r="B4751" s="11"/>
      <c r="C4751" s="11"/>
      <c r="D4751" s="17">
        <v>11886.939999999999</v>
      </c>
    </row>
    <row r="4752" spans="1:4" x14ac:dyDescent="0.3">
      <c r="A4752" s="10">
        <v>983</v>
      </c>
      <c r="B4752" s="10" t="s">
        <v>18</v>
      </c>
      <c r="C4752" s="10" t="s">
        <v>99</v>
      </c>
      <c r="D4752" s="17">
        <v>2199.98</v>
      </c>
    </row>
    <row r="4753" spans="1:4" x14ac:dyDescent="0.3">
      <c r="A4753" s="12"/>
      <c r="B4753" s="12"/>
      <c r="C4753" s="14" t="s">
        <v>10</v>
      </c>
      <c r="D4753" s="18">
        <v>1199.98</v>
      </c>
    </row>
    <row r="4754" spans="1:4" x14ac:dyDescent="0.3">
      <c r="A4754" s="12"/>
      <c r="B4754" s="12"/>
      <c r="C4754" s="14" t="s">
        <v>39</v>
      </c>
      <c r="D4754" s="18">
        <v>449.99</v>
      </c>
    </row>
    <row r="4755" spans="1:4" x14ac:dyDescent="0.3">
      <c r="A4755" s="12"/>
      <c r="B4755" s="12"/>
      <c r="C4755" s="14" t="s">
        <v>75</v>
      </c>
      <c r="D4755" s="18">
        <v>3499.99</v>
      </c>
    </row>
    <row r="4756" spans="1:4" x14ac:dyDescent="0.3">
      <c r="A4756" s="12"/>
      <c r="B4756" s="12"/>
      <c r="C4756" s="14" t="s">
        <v>64</v>
      </c>
      <c r="D4756" s="18">
        <v>189.99</v>
      </c>
    </row>
    <row r="4757" spans="1:4" x14ac:dyDescent="0.3">
      <c r="A4757" s="12"/>
      <c r="B4757" s="10" t="s">
        <v>1916</v>
      </c>
      <c r="C4757" s="11"/>
      <c r="D4757" s="17">
        <v>7539.9299999999994</v>
      </c>
    </row>
    <row r="4758" spans="1:4" x14ac:dyDescent="0.3">
      <c r="A4758" s="10" t="s">
        <v>1279</v>
      </c>
      <c r="B4758" s="11"/>
      <c r="C4758" s="11"/>
      <c r="D4758" s="17">
        <v>7539.9299999999994</v>
      </c>
    </row>
    <row r="4759" spans="1:4" x14ac:dyDescent="0.3">
      <c r="A4759" s="10">
        <v>984</v>
      </c>
      <c r="B4759" s="10" t="s">
        <v>18</v>
      </c>
      <c r="C4759" s="10" t="s">
        <v>99</v>
      </c>
      <c r="D4759" s="17">
        <v>2199.98</v>
      </c>
    </row>
    <row r="4760" spans="1:4" x14ac:dyDescent="0.3">
      <c r="A4760" s="12"/>
      <c r="B4760" s="12"/>
      <c r="C4760" s="14" t="s">
        <v>25</v>
      </c>
      <c r="D4760" s="18">
        <v>549.99</v>
      </c>
    </row>
    <row r="4761" spans="1:4" x14ac:dyDescent="0.3">
      <c r="A4761" s="12"/>
      <c r="B4761" s="12"/>
      <c r="C4761" s="14" t="s">
        <v>39</v>
      </c>
      <c r="D4761" s="18">
        <v>449.99</v>
      </c>
    </row>
    <row r="4762" spans="1:4" x14ac:dyDescent="0.3">
      <c r="A4762" s="12"/>
      <c r="B4762" s="12"/>
      <c r="C4762" s="14" t="s">
        <v>112</v>
      </c>
      <c r="D4762" s="18">
        <v>470.99</v>
      </c>
    </row>
    <row r="4763" spans="1:4" x14ac:dyDescent="0.3">
      <c r="A4763" s="12"/>
      <c r="B4763" s="10" t="s">
        <v>1916</v>
      </c>
      <c r="C4763" s="11"/>
      <c r="D4763" s="17">
        <v>3670.95</v>
      </c>
    </row>
    <row r="4764" spans="1:4" x14ac:dyDescent="0.3">
      <c r="A4764" s="10" t="s">
        <v>1280</v>
      </c>
      <c r="B4764" s="11"/>
      <c r="C4764" s="11"/>
      <c r="D4764" s="17">
        <v>3670.95</v>
      </c>
    </row>
    <row r="4765" spans="1:4" x14ac:dyDescent="0.3">
      <c r="A4765" s="10">
        <v>985</v>
      </c>
      <c r="B4765" s="10" t="s">
        <v>18</v>
      </c>
      <c r="C4765" s="10" t="s">
        <v>34</v>
      </c>
      <c r="D4765" s="17">
        <v>2641.98</v>
      </c>
    </row>
    <row r="4766" spans="1:4" x14ac:dyDescent="0.3">
      <c r="A4766" s="12"/>
      <c r="B4766" s="12"/>
      <c r="C4766" s="14" t="s">
        <v>57</v>
      </c>
      <c r="D4766" s="18">
        <v>1295.98</v>
      </c>
    </row>
    <row r="4767" spans="1:4" x14ac:dyDescent="0.3">
      <c r="A4767" s="12"/>
      <c r="B4767" s="12"/>
      <c r="C4767" s="14" t="s">
        <v>74</v>
      </c>
      <c r="D4767" s="18">
        <v>2599.9899999999998</v>
      </c>
    </row>
    <row r="4768" spans="1:4" x14ac:dyDescent="0.3">
      <c r="A4768" s="12"/>
      <c r="B4768" s="10" t="s">
        <v>1916</v>
      </c>
      <c r="C4768" s="11"/>
      <c r="D4768" s="17">
        <v>6537.95</v>
      </c>
    </row>
    <row r="4769" spans="1:4" x14ac:dyDescent="0.3">
      <c r="A4769" s="10" t="s">
        <v>1281</v>
      </c>
      <c r="B4769" s="11"/>
      <c r="C4769" s="11"/>
      <c r="D4769" s="17">
        <v>6537.95</v>
      </c>
    </row>
    <row r="4770" spans="1:4" x14ac:dyDescent="0.3">
      <c r="A4770" s="10">
        <v>986</v>
      </c>
      <c r="B4770" s="10" t="s">
        <v>18</v>
      </c>
      <c r="C4770" s="10" t="s">
        <v>14</v>
      </c>
      <c r="D4770" s="17">
        <v>1199.98</v>
      </c>
    </row>
    <row r="4771" spans="1:4" x14ac:dyDescent="0.3">
      <c r="A4771" s="12"/>
      <c r="B4771" s="12"/>
      <c r="C4771" s="14" t="s">
        <v>57</v>
      </c>
      <c r="D4771" s="18">
        <v>647.99</v>
      </c>
    </row>
    <row r="4772" spans="1:4" x14ac:dyDescent="0.3">
      <c r="A4772" s="12"/>
      <c r="B4772" s="12"/>
      <c r="C4772" s="14" t="s">
        <v>117</v>
      </c>
      <c r="D4772" s="18">
        <v>189.99</v>
      </c>
    </row>
    <row r="4773" spans="1:4" x14ac:dyDescent="0.3">
      <c r="A4773" s="12"/>
      <c r="B4773" s="10" t="s">
        <v>1916</v>
      </c>
      <c r="C4773" s="11"/>
      <c r="D4773" s="17">
        <v>2037.96</v>
      </c>
    </row>
    <row r="4774" spans="1:4" x14ac:dyDescent="0.3">
      <c r="A4774" s="10" t="s">
        <v>1282</v>
      </c>
      <c r="B4774" s="11"/>
      <c r="C4774" s="11"/>
      <c r="D4774" s="17">
        <v>2037.96</v>
      </c>
    </row>
    <row r="4775" spans="1:4" x14ac:dyDescent="0.3">
      <c r="A4775" s="10">
        <v>987</v>
      </c>
      <c r="B4775" s="10" t="s">
        <v>11</v>
      </c>
      <c r="C4775" s="10" t="s">
        <v>63</v>
      </c>
      <c r="D4775" s="17">
        <v>761.99</v>
      </c>
    </row>
    <row r="4776" spans="1:4" x14ac:dyDescent="0.3">
      <c r="A4776" s="12"/>
      <c r="B4776" s="12"/>
      <c r="C4776" s="14" t="s">
        <v>101</v>
      </c>
      <c r="D4776" s="18">
        <v>3119.98</v>
      </c>
    </row>
    <row r="4777" spans="1:4" x14ac:dyDescent="0.3">
      <c r="A4777" s="12"/>
      <c r="B4777" s="12"/>
      <c r="C4777" s="14" t="s">
        <v>90</v>
      </c>
      <c r="D4777" s="18">
        <v>12999.98</v>
      </c>
    </row>
    <row r="4778" spans="1:4" x14ac:dyDescent="0.3">
      <c r="A4778" s="12"/>
      <c r="B4778" s="10" t="s">
        <v>1915</v>
      </c>
      <c r="C4778" s="11"/>
      <c r="D4778" s="17">
        <v>16881.95</v>
      </c>
    </row>
    <row r="4779" spans="1:4" x14ac:dyDescent="0.3">
      <c r="A4779" s="10" t="s">
        <v>1283</v>
      </c>
      <c r="B4779" s="11"/>
      <c r="C4779" s="11"/>
      <c r="D4779" s="17">
        <v>16881.95</v>
      </c>
    </row>
    <row r="4780" spans="1:4" x14ac:dyDescent="0.3">
      <c r="A4780" s="10">
        <v>988</v>
      </c>
      <c r="B4780" s="10" t="s">
        <v>18</v>
      </c>
      <c r="C4780" s="10" t="s">
        <v>25</v>
      </c>
      <c r="D4780" s="17">
        <v>1099.98</v>
      </c>
    </row>
    <row r="4781" spans="1:4" x14ac:dyDescent="0.3">
      <c r="A4781" s="12"/>
      <c r="B4781" s="12"/>
      <c r="C4781" s="14" t="s">
        <v>93</v>
      </c>
      <c r="D4781" s="18">
        <v>549.99</v>
      </c>
    </row>
    <row r="4782" spans="1:4" x14ac:dyDescent="0.3">
      <c r="A4782" s="12"/>
      <c r="B4782" s="12"/>
      <c r="C4782" s="14" t="s">
        <v>109</v>
      </c>
      <c r="D4782" s="18">
        <v>832.99</v>
      </c>
    </row>
    <row r="4783" spans="1:4" x14ac:dyDescent="0.3">
      <c r="A4783" s="12"/>
      <c r="B4783" s="10" t="s">
        <v>1916</v>
      </c>
      <c r="C4783" s="11"/>
      <c r="D4783" s="17">
        <v>2482.96</v>
      </c>
    </row>
    <row r="4784" spans="1:4" x14ac:dyDescent="0.3">
      <c r="A4784" s="10" t="s">
        <v>1284</v>
      </c>
      <c r="B4784" s="11"/>
      <c r="C4784" s="11"/>
      <c r="D4784" s="17">
        <v>2482.96</v>
      </c>
    </row>
    <row r="4785" spans="1:4" x14ac:dyDescent="0.3">
      <c r="A4785" s="10">
        <v>989</v>
      </c>
      <c r="B4785" s="10" t="s">
        <v>18</v>
      </c>
      <c r="C4785" s="10" t="s">
        <v>73</v>
      </c>
      <c r="D4785" s="17">
        <v>659.99</v>
      </c>
    </row>
    <row r="4786" spans="1:4" x14ac:dyDescent="0.3">
      <c r="A4786" s="12"/>
      <c r="B4786" s="12"/>
      <c r="C4786" s="14" t="s">
        <v>52</v>
      </c>
      <c r="D4786" s="18">
        <v>299.99</v>
      </c>
    </row>
    <row r="4787" spans="1:4" x14ac:dyDescent="0.3">
      <c r="A4787" s="12"/>
      <c r="B4787" s="12"/>
      <c r="C4787" s="14" t="s">
        <v>34</v>
      </c>
      <c r="D4787" s="18">
        <v>1320.99</v>
      </c>
    </row>
    <row r="4788" spans="1:4" x14ac:dyDescent="0.3">
      <c r="A4788" s="12"/>
      <c r="B4788" s="12"/>
      <c r="C4788" s="14" t="s">
        <v>83</v>
      </c>
      <c r="D4788" s="18">
        <v>219.98</v>
      </c>
    </row>
    <row r="4789" spans="1:4" x14ac:dyDescent="0.3">
      <c r="A4789" s="12"/>
      <c r="B4789" s="12"/>
      <c r="C4789" s="14" t="s">
        <v>106</v>
      </c>
      <c r="D4789" s="18">
        <v>999.99</v>
      </c>
    </row>
    <row r="4790" spans="1:4" x14ac:dyDescent="0.3">
      <c r="A4790" s="12"/>
      <c r="B4790" s="10" t="s">
        <v>1916</v>
      </c>
      <c r="C4790" s="11"/>
      <c r="D4790" s="17">
        <v>3500.9400000000005</v>
      </c>
    </row>
    <row r="4791" spans="1:4" x14ac:dyDescent="0.3">
      <c r="A4791" s="10" t="s">
        <v>1285</v>
      </c>
      <c r="B4791" s="11"/>
      <c r="C4791" s="11"/>
      <c r="D4791" s="17">
        <v>3500.9400000000005</v>
      </c>
    </row>
    <row r="4792" spans="1:4" x14ac:dyDescent="0.3">
      <c r="A4792" s="10">
        <v>990</v>
      </c>
      <c r="B4792" s="10" t="s">
        <v>18</v>
      </c>
      <c r="C4792" s="10" t="s">
        <v>28</v>
      </c>
      <c r="D4792" s="17">
        <v>539.98</v>
      </c>
    </row>
    <row r="4793" spans="1:4" x14ac:dyDescent="0.3">
      <c r="A4793" s="12"/>
      <c r="B4793" s="12"/>
      <c r="C4793" s="14" t="s">
        <v>32</v>
      </c>
      <c r="D4793" s="18">
        <v>939.98</v>
      </c>
    </row>
    <row r="4794" spans="1:4" x14ac:dyDescent="0.3">
      <c r="A4794" s="12"/>
      <c r="B4794" s="12"/>
      <c r="C4794" s="14" t="s">
        <v>97</v>
      </c>
      <c r="D4794" s="18">
        <v>349.99</v>
      </c>
    </row>
    <row r="4795" spans="1:4" x14ac:dyDescent="0.3">
      <c r="A4795" s="12"/>
      <c r="B4795" s="12"/>
      <c r="C4795" s="14" t="s">
        <v>71</v>
      </c>
      <c r="D4795" s="18">
        <v>999.99</v>
      </c>
    </row>
    <row r="4796" spans="1:4" x14ac:dyDescent="0.3">
      <c r="A4796" s="12"/>
      <c r="B4796" s="10" t="s">
        <v>1916</v>
      </c>
      <c r="C4796" s="11"/>
      <c r="D4796" s="17">
        <v>2829.94</v>
      </c>
    </row>
    <row r="4797" spans="1:4" x14ac:dyDescent="0.3">
      <c r="A4797" s="10" t="s">
        <v>1286</v>
      </c>
      <c r="B4797" s="11"/>
      <c r="C4797" s="11"/>
      <c r="D4797" s="17">
        <v>2829.94</v>
      </c>
    </row>
    <row r="4798" spans="1:4" x14ac:dyDescent="0.3">
      <c r="A4798" s="10">
        <v>991</v>
      </c>
      <c r="B4798" s="10" t="s">
        <v>11</v>
      </c>
      <c r="C4798" s="10" t="s">
        <v>58</v>
      </c>
      <c r="D4798" s="17">
        <v>402.99</v>
      </c>
    </row>
    <row r="4799" spans="1:4" x14ac:dyDescent="0.3">
      <c r="A4799" s="12"/>
      <c r="B4799" s="12"/>
      <c r="C4799" s="14" t="s">
        <v>26</v>
      </c>
      <c r="D4799" s="18">
        <v>5999.98</v>
      </c>
    </row>
    <row r="4800" spans="1:4" x14ac:dyDescent="0.3">
      <c r="A4800" s="12"/>
      <c r="B4800" s="12"/>
      <c r="C4800" s="14" t="s">
        <v>107</v>
      </c>
      <c r="D4800" s="18">
        <v>469.99</v>
      </c>
    </row>
    <row r="4801" spans="1:4" x14ac:dyDescent="0.3">
      <c r="A4801" s="12"/>
      <c r="B4801" s="10" t="s">
        <v>1915</v>
      </c>
      <c r="C4801" s="11"/>
      <c r="D4801" s="17">
        <v>6872.9599999999991</v>
      </c>
    </row>
    <row r="4802" spans="1:4" x14ac:dyDescent="0.3">
      <c r="A4802" s="10" t="s">
        <v>1287</v>
      </c>
      <c r="B4802" s="11"/>
      <c r="C4802" s="11"/>
      <c r="D4802" s="17">
        <v>6872.9599999999991</v>
      </c>
    </row>
    <row r="4803" spans="1:4" x14ac:dyDescent="0.3">
      <c r="A4803" s="10">
        <v>992</v>
      </c>
      <c r="B4803" s="10" t="s">
        <v>18</v>
      </c>
      <c r="C4803" s="10" t="s">
        <v>80</v>
      </c>
      <c r="D4803" s="17">
        <v>679.98</v>
      </c>
    </row>
    <row r="4804" spans="1:4" x14ac:dyDescent="0.3">
      <c r="A4804" s="12"/>
      <c r="B4804" s="12"/>
      <c r="C4804" s="14" t="s">
        <v>51</v>
      </c>
      <c r="D4804" s="18">
        <v>489.99</v>
      </c>
    </row>
    <row r="4805" spans="1:4" x14ac:dyDescent="0.3">
      <c r="A4805" s="12"/>
      <c r="B4805" s="12"/>
      <c r="C4805" s="14" t="s">
        <v>10</v>
      </c>
      <c r="D4805" s="18">
        <v>599.99</v>
      </c>
    </row>
    <row r="4806" spans="1:4" x14ac:dyDescent="0.3">
      <c r="A4806" s="12"/>
      <c r="B4806" s="12"/>
      <c r="C4806" s="14" t="s">
        <v>88</v>
      </c>
      <c r="D4806" s="18">
        <v>869.99</v>
      </c>
    </row>
    <row r="4807" spans="1:4" x14ac:dyDescent="0.3">
      <c r="A4807" s="12"/>
      <c r="B4807" s="12"/>
      <c r="C4807" s="14" t="s">
        <v>29</v>
      </c>
      <c r="D4807" s="18">
        <v>3999.99</v>
      </c>
    </row>
    <row r="4808" spans="1:4" x14ac:dyDescent="0.3">
      <c r="A4808" s="12"/>
      <c r="B4808" s="10" t="s">
        <v>1916</v>
      </c>
      <c r="C4808" s="11"/>
      <c r="D4808" s="17">
        <v>6639.94</v>
      </c>
    </row>
    <row r="4809" spans="1:4" x14ac:dyDescent="0.3">
      <c r="A4809" s="10" t="s">
        <v>1288</v>
      </c>
      <c r="B4809" s="11"/>
      <c r="C4809" s="11"/>
      <c r="D4809" s="17">
        <v>6639.94</v>
      </c>
    </row>
    <row r="4810" spans="1:4" x14ac:dyDescent="0.3">
      <c r="A4810" s="10">
        <v>993</v>
      </c>
      <c r="B4810" s="10" t="s">
        <v>11</v>
      </c>
      <c r="C4810" s="10" t="s">
        <v>52</v>
      </c>
      <c r="D4810" s="17">
        <v>599.98</v>
      </c>
    </row>
    <row r="4811" spans="1:4" x14ac:dyDescent="0.3">
      <c r="A4811" s="12"/>
      <c r="B4811" s="12"/>
      <c r="C4811" s="14" t="s">
        <v>58</v>
      </c>
      <c r="D4811" s="18">
        <v>805.98</v>
      </c>
    </row>
    <row r="4812" spans="1:4" x14ac:dyDescent="0.3">
      <c r="A4812" s="12"/>
      <c r="B4812" s="12"/>
      <c r="C4812" s="14" t="s">
        <v>13</v>
      </c>
      <c r="D4812" s="18">
        <v>3098</v>
      </c>
    </row>
    <row r="4813" spans="1:4" x14ac:dyDescent="0.3">
      <c r="A4813" s="12"/>
      <c r="B4813" s="12"/>
      <c r="C4813" s="14" t="s">
        <v>116</v>
      </c>
      <c r="D4813" s="18">
        <v>1665.98</v>
      </c>
    </row>
    <row r="4814" spans="1:4" x14ac:dyDescent="0.3">
      <c r="A4814" s="12"/>
      <c r="B4814" s="12"/>
      <c r="C4814" s="14" t="s">
        <v>81</v>
      </c>
      <c r="D4814" s="18">
        <v>4999.99</v>
      </c>
    </row>
    <row r="4815" spans="1:4" x14ac:dyDescent="0.3">
      <c r="A4815" s="12"/>
      <c r="B4815" s="10" t="s">
        <v>1915</v>
      </c>
      <c r="C4815" s="11"/>
      <c r="D4815" s="17">
        <v>11169.93</v>
      </c>
    </row>
    <row r="4816" spans="1:4" x14ac:dyDescent="0.3">
      <c r="A4816" s="10" t="s">
        <v>1289</v>
      </c>
      <c r="B4816" s="11"/>
      <c r="C4816" s="11"/>
      <c r="D4816" s="17">
        <v>11169.93</v>
      </c>
    </row>
    <row r="4817" spans="1:4" x14ac:dyDescent="0.3">
      <c r="A4817" s="10">
        <v>994</v>
      </c>
      <c r="B4817" s="10" t="s">
        <v>18</v>
      </c>
      <c r="C4817" s="10" t="s">
        <v>98</v>
      </c>
      <c r="D4817" s="17">
        <v>759.98</v>
      </c>
    </row>
    <row r="4818" spans="1:4" x14ac:dyDescent="0.3">
      <c r="A4818" s="12"/>
      <c r="B4818" s="12"/>
      <c r="C4818" s="14" t="s">
        <v>88</v>
      </c>
      <c r="D4818" s="18">
        <v>869.99</v>
      </c>
    </row>
    <row r="4819" spans="1:4" x14ac:dyDescent="0.3">
      <c r="A4819" s="12"/>
      <c r="B4819" s="12"/>
      <c r="C4819" s="14" t="s">
        <v>92</v>
      </c>
      <c r="D4819" s="18">
        <v>250.99</v>
      </c>
    </row>
    <row r="4820" spans="1:4" x14ac:dyDescent="0.3">
      <c r="A4820" s="12"/>
      <c r="B4820" s="10" t="s">
        <v>1916</v>
      </c>
      <c r="C4820" s="11"/>
      <c r="D4820" s="17">
        <v>1880.96</v>
      </c>
    </row>
    <row r="4821" spans="1:4" x14ac:dyDescent="0.3">
      <c r="A4821" s="10" t="s">
        <v>1290</v>
      </c>
      <c r="B4821" s="11"/>
      <c r="C4821" s="11"/>
      <c r="D4821" s="17">
        <v>1880.96</v>
      </c>
    </row>
    <row r="4822" spans="1:4" x14ac:dyDescent="0.3">
      <c r="A4822" s="10">
        <v>995</v>
      </c>
      <c r="B4822" s="10" t="s">
        <v>11</v>
      </c>
      <c r="C4822" s="10" t="s">
        <v>80</v>
      </c>
      <c r="D4822" s="17">
        <v>339.99</v>
      </c>
    </row>
    <row r="4823" spans="1:4" x14ac:dyDescent="0.3">
      <c r="A4823" s="12"/>
      <c r="B4823" s="12"/>
      <c r="C4823" s="14" t="s">
        <v>14</v>
      </c>
      <c r="D4823" s="18">
        <v>1199.98</v>
      </c>
    </row>
    <row r="4824" spans="1:4" x14ac:dyDescent="0.3">
      <c r="A4824" s="12"/>
      <c r="B4824" s="12"/>
      <c r="C4824" s="14" t="s">
        <v>56</v>
      </c>
      <c r="D4824" s="18">
        <v>209.99</v>
      </c>
    </row>
    <row r="4825" spans="1:4" x14ac:dyDescent="0.3">
      <c r="A4825" s="12"/>
      <c r="B4825" s="10" t="s">
        <v>1915</v>
      </c>
      <c r="C4825" s="11"/>
      <c r="D4825" s="17">
        <v>1749.96</v>
      </c>
    </row>
    <row r="4826" spans="1:4" x14ac:dyDescent="0.3">
      <c r="A4826" s="10" t="s">
        <v>1291</v>
      </c>
      <c r="B4826" s="11"/>
      <c r="C4826" s="11"/>
      <c r="D4826" s="17">
        <v>1749.96</v>
      </c>
    </row>
    <row r="4827" spans="1:4" x14ac:dyDescent="0.3">
      <c r="A4827" s="10">
        <v>996</v>
      </c>
      <c r="B4827" s="10" t="s">
        <v>11</v>
      </c>
      <c r="C4827" s="10" t="s">
        <v>39</v>
      </c>
      <c r="D4827" s="17">
        <v>899.98</v>
      </c>
    </row>
    <row r="4828" spans="1:4" x14ac:dyDescent="0.3">
      <c r="A4828" s="12"/>
      <c r="B4828" s="12"/>
      <c r="C4828" s="14" t="s">
        <v>46</v>
      </c>
      <c r="D4828" s="18">
        <v>469.99</v>
      </c>
    </row>
    <row r="4829" spans="1:4" x14ac:dyDescent="0.3">
      <c r="A4829" s="12"/>
      <c r="B4829" s="10" t="s">
        <v>1915</v>
      </c>
      <c r="C4829" s="11"/>
      <c r="D4829" s="17">
        <v>1369.97</v>
      </c>
    </row>
    <row r="4830" spans="1:4" x14ac:dyDescent="0.3">
      <c r="A4830" s="10" t="s">
        <v>1292</v>
      </c>
      <c r="B4830" s="11"/>
      <c r="C4830" s="11"/>
      <c r="D4830" s="17">
        <v>1369.97</v>
      </c>
    </row>
    <row r="4831" spans="1:4" x14ac:dyDescent="0.3">
      <c r="A4831" s="10">
        <v>997</v>
      </c>
      <c r="B4831" s="10" t="s">
        <v>18</v>
      </c>
      <c r="C4831" s="10" t="s">
        <v>28</v>
      </c>
      <c r="D4831" s="17">
        <v>539.98</v>
      </c>
    </row>
    <row r="4832" spans="1:4" x14ac:dyDescent="0.3">
      <c r="A4832" s="12"/>
      <c r="B4832" s="12"/>
      <c r="C4832" s="14" t="s">
        <v>96</v>
      </c>
      <c r="D4832" s="18">
        <v>1067.98</v>
      </c>
    </row>
    <row r="4833" spans="1:4" x14ac:dyDescent="0.3">
      <c r="A4833" s="12"/>
      <c r="B4833" s="12"/>
      <c r="C4833" s="14" t="s">
        <v>115</v>
      </c>
      <c r="D4833" s="18">
        <v>299.98</v>
      </c>
    </row>
    <row r="4834" spans="1:4" x14ac:dyDescent="0.3">
      <c r="A4834" s="12"/>
      <c r="B4834" s="10" t="s">
        <v>1916</v>
      </c>
      <c r="C4834" s="11"/>
      <c r="D4834" s="17">
        <v>1907.94</v>
      </c>
    </row>
    <row r="4835" spans="1:4" x14ac:dyDescent="0.3">
      <c r="A4835" s="10" t="s">
        <v>1293</v>
      </c>
      <c r="B4835" s="11"/>
      <c r="C4835" s="11"/>
      <c r="D4835" s="17">
        <v>1907.94</v>
      </c>
    </row>
    <row r="4836" spans="1:4" x14ac:dyDescent="0.3">
      <c r="A4836" s="10">
        <v>998</v>
      </c>
      <c r="B4836" s="10" t="s">
        <v>18</v>
      </c>
      <c r="C4836" s="10" t="s">
        <v>14</v>
      </c>
      <c r="D4836" s="17">
        <v>1199.98</v>
      </c>
    </row>
    <row r="4837" spans="1:4" x14ac:dyDescent="0.3">
      <c r="A4837" s="12"/>
      <c r="B4837" s="12"/>
      <c r="C4837" s="14" t="s">
        <v>96</v>
      </c>
      <c r="D4837" s="18">
        <v>533.99</v>
      </c>
    </row>
    <row r="4838" spans="1:4" x14ac:dyDescent="0.3">
      <c r="A4838" s="12"/>
      <c r="B4838" s="10" t="s">
        <v>1916</v>
      </c>
      <c r="C4838" s="11"/>
      <c r="D4838" s="17">
        <v>1733.97</v>
      </c>
    </row>
    <row r="4839" spans="1:4" x14ac:dyDescent="0.3">
      <c r="A4839" s="10" t="s">
        <v>1294</v>
      </c>
      <c r="B4839" s="11"/>
      <c r="C4839" s="11"/>
      <c r="D4839" s="17">
        <v>1733.97</v>
      </c>
    </row>
    <row r="4840" spans="1:4" x14ac:dyDescent="0.3">
      <c r="A4840" s="10">
        <v>999</v>
      </c>
      <c r="B4840" s="10" t="s">
        <v>18</v>
      </c>
      <c r="C4840" s="10" t="s">
        <v>73</v>
      </c>
      <c r="D4840" s="17">
        <v>1319.98</v>
      </c>
    </row>
    <row r="4841" spans="1:4" x14ac:dyDescent="0.3">
      <c r="A4841" s="12"/>
      <c r="B4841" s="12"/>
      <c r="C4841" s="14" t="s">
        <v>39</v>
      </c>
      <c r="D4841" s="18">
        <v>449.99</v>
      </c>
    </row>
    <row r="4842" spans="1:4" x14ac:dyDescent="0.3">
      <c r="A4842" s="12"/>
      <c r="B4842" s="10" t="s">
        <v>1916</v>
      </c>
      <c r="C4842" s="11"/>
      <c r="D4842" s="17">
        <v>1769.97</v>
      </c>
    </row>
    <row r="4843" spans="1:4" x14ac:dyDescent="0.3">
      <c r="A4843" s="10" t="s">
        <v>1295</v>
      </c>
      <c r="B4843" s="11"/>
      <c r="C4843" s="11"/>
      <c r="D4843" s="17">
        <v>1769.97</v>
      </c>
    </row>
    <row r="4844" spans="1:4" x14ac:dyDescent="0.3">
      <c r="A4844" s="10">
        <v>1000</v>
      </c>
      <c r="B4844" s="10" t="s">
        <v>18</v>
      </c>
      <c r="C4844" s="10" t="s">
        <v>36</v>
      </c>
      <c r="D4844" s="17">
        <v>898</v>
      </c>
    </row>
    <row r="4845" spans="1:4" x14ac:dyDescent="0.3">
      <c r="A4845" s="12"/>
      <c r="B4845" s="12"/>
      <c r="C4845" s="14" t="s">
        <v>112</v>
      </c>
      <c r="D4845" s="18">
        <v>470.99</v>
      </c>
    </row>
    <row r="4846" spans="1:4" x14ac:dyDescent="0.3">
      <c r="A4846" s="12"/>
      <c r="B4846" s="12"/>
      <c r="C4846" s="14" t="s">
        <v>114</v>
      </c>
      <c r="D4846" s="18">
        <v>693.98</v>
      </c>
    </row>
    <row r="4847" spans="1:4" x14ac:dyDescent="0.3">
      <c r="A4847" s="12"/>
      <c r="B4847" s="12"/>
      <c r="C4847" s="14" t="s">
        <v>71</v>
      </c>
      <c r="D4847" s="18">
        <v>1999.98</v>
      </c>
    </row>
    <row r="4848" spans="1:4" x14ac:dyDescent="0.3">
      <c r="A4848" s="12"/>
      <c r="B4848" s="10" t="s">
        <v>1916</v>
      </c>
      <c r="C4848" s="11"/>
      <c r="D4848" s="17">
        <v>4062.9500000000003</v>
      </c>
    </row>
    <row r="4849" spans="1:4" x14ac:dyDescent="0.3">
      <c r="A4849" s="10" t="s">
        <v>1296</v>
      </c>
      <c r="B4849" s="11"/>
      <c r="C4849" s="11"/>
      <c r="D4849" s="17">
        <v>4062.9500000000003</v>
      </c>
    </row>
    <row r="4850" spans="1:4" x14ac:dyDescent="0.3">
      <c r="A4850" s="10">
        <v>1001</v>
      </c>
      <c r="B4850" s="10" t="s">
        <v>18</v>
      </c>
      <c r="C4850" s="10" t="s">
        <v>88</v>
      </c>
      <c r="D4850" s="17">
        <v>1739.98</v>
      </c>
    </row>
    <row r="4851" spans="1:4" x14ac:dyDescent="0.3">
      <c r="A4851" s="12"/>
      <c r="B4851" s="12"/>
      <c r="C4851" s="14" t="s">
        <v>44</v>
      </c>
      <c r="D4851" s="18">
        <v>619.99</v>
      </c>
    </row>
    <row r="4852" spans="1:4" x14ac:dyDescent="0.3">
      <c r="A4852" s="12"/>
      <c r="B4852" s="12"/>
      <c r="C4852" s="14" t="s">
        <v>112</v>
      </c>
      <c r="D4852" s="18">
        <v>470.99</v>
      </c>
    </row>
    <row r="4853" spans="1:4" x14ac:dyDescent="0.3">
      <c r="A4853" s="12"/>
      <c r="B4853" s="12"/>
      <c r="C4853" s="14" t="s">
        <v>81</v>
      </c>
      <c r="D4853" s="18">
        <v>4999.99</v>
      </c>
    </row>
    <row r="4854" spans="1:4" x14ac:dyDescent="0.3">
      <c r="A4854" s="12"/>
      <c r="B4854" s="10" t="s">
        <v>1916</v>
      </c>
      <c r="C4854" s="11"/>
      <c r="D4854" s="17">
        <v>7830.95</v>
      </c>
    </row>
    <row r="4855" spans="1:4" x14ac:dyDescent="0.3">
      <c r="A4855" s="10" t="s">
        <v>1297</v>
      </c>
      <c r="B4855" s="11"/>
      <c r="C4855" s="11"/>
      <c r="D4855" s="17">
        <v>7830.95</v>
      </c>
    </row>
    <row r="4856" spans="1:4" x14ac:dyDescent="0.3">
      <c r="A4856" s="10">
        <v>1002</v>
      </c>
      <c r="B4856" s="10" t="s">
        <v>11</v>
      </c>
      <c r="C4856" s="10" t="s">
        <v>105</v>
      </c>
      <c r="D4856" s="17">
        <v>489.99</v>
      </c>
    </row>
    <row r="4857" spans="1:4" x14ac:dyDescent="0.3">
      <c r="A4857" s="12"/>
      <c r="B4857" s="12"/>
      <c r="C4857" s="14" t="s">
        <v>58</v>
      </c>
      <c r="D4857" s="18">
        <v>402.99</v>
      </c>
    </row>
    <row r="4858" spans="1:4" x14ac:dyDescent="0.3">
      <c r="A4858" s="12"/>
      <c r="B4858" s="12"/>
      <c r="C4858" s="14" t="s">
        <v>66</v>
      </c>
      <c r="D4858" s="18">
        <v>149.99</v>
      </c>
    </row>
    <row r="4859" spans="1:4" x14ac:dyDescent="0.3">
      <c r="A4859" s="12"/>
      <c r="B4859" s="12"/>
      <c r="C4859" s="14" t="s">
        <v>12</v>
      </c>
      <c r="D4859" s="18">
        <v>3599.98</v>
      </c>
    </row>
    <row r="4860" spans="1:4" x14ac:dyDescent="0.3">
      <c r="A4860" s="12"/>
      <c r="B4860" s="10" t="s">
        <v>1915</v>
      </c>
      <c r="C4860" s="11"/>
      <c r="D4860" s="17">
        <v>4642.95</v>
      </c>
    </row>
    <row r="4861" spans="1:4" x14ac:dyDescent="0.3">
      <c r="A4861" s="10" t="s">
        <v>1298</v>
      </c>
      <c r="B4861" s="11"/>
      <c r="C4861" s="11"/>
      <c r="D4861" s="17">
        <v>4642.95</v>
      </c>
    </row>
    <row r="4862" spans="1:4" x14ac:dyDescent="0.3">
      <c r="A4862" s="10">
        <v>1003</v>
      </c>
      <c r="B4862" s="10" t="s">
        <v>18</v>
      </c>
      <c r="C4862" s="10" t="s">
        <v>107</v>
      </c>
      <c r="D4862" s="17">
        <v>939.98</v>
      </c>
    </row>
    <row r="4863" spans="1:4" x14ac:dyDescent="0.3">
      <c r="A4863" s="12"/>
      <c r="B4863" s="12"/>
      <c r="C4863" s="14" t="s">
        <v>90</v>
      </c>
      <c r="D4863" s="18">
        <v>12999.98</v>
      </c>
    </row>
    <row r="4864" spans="1:4" x14ac:dyDescent="0.3">
      <c r="A4864" s="12"/>
      <c r="B4864" s="10" t="s">
        <v>1916</v>
      </c>
      <c r="C4864" s="11"/>
      <c r="D4864" s="17">
        <v>13939.96</v>
      </c>
    </row>
    <row r="4865" spans="1:4" x14ac:dyDescent="0.3">
      <c r="A4865" s="10" t="s">
        <v>1299</v>
      </c>
      <c r="B4865" s="11"/>
      <c r="C4865" s="11"/>
      <c r="D4865" s="17">
        <v>13939.96</v>
      </c>
    </row>
    <row r="4866" spans="1:4" x14ac:dyDescent="0.3">
      <c r="A4866" s="10">
        <v>1004</v>
      </c>
      <c r="B4866" s="10" t="s">
        <v>18</v>
      </c>
      <c r="C4866" s="10" t="s">
        <v>116</v>
      </c>
      <c r="D4866" s="17">
        <v>1665.98</v>
      </c>
    </row>
    <row r="4867" spans="1:4" x14ac:dyDescent="0.3">
      <c r="A4867" s="12"/>
      <c r="B4867" s="10" t="s">
        <v>1916</v>
      </c>
      <c r="C4867" s="11"/>
      <c r="D4867" s="17">
        <v>1665.98</v>
      </c>
    </row>
    <row r="4868" spans="1:4" x14ac:dyDescent="0.3">
      <c r="A4868" s="10" t="s">
        <v>1300</v>
      </c>
      <c r="B4868" s="11"/>
      <c r="C4868" s="11"/>
      <c r="D4868" s="17">
        <v>1665.98</v>
      </c>
    </row>
    <row r="4869" spans="1:4" x14ac:dyDescent="0.3">
      <c r="A4869" s="10">
        <v>1005</v>
      </c>
      <c r="B4869" s="10" t="s">
        <v>18</v>
      </c>
      <c r="C4869" s="10" t="s">
        <v>99</v>
      </c>
      <c r="D4869" s="17">
        <v>2199.98</v>
      </c>
    </row>
    <row r="4870" spans="1:4" x14ac:dyDescent="0.3">
      <c r="A4870" s="12"/>
      <c r="B4870" s="12"/>
      <c r="C4870" s="14" t="s">
        <v>28</v>
      </c>
      <c r="D4870" s="18">
        <v>539.98</v>
      </c>
    </row>
    <row r="4871" spans="1:4" x14ac:dyDescent="0.3">
      <c r="A4871" s="12"/>
      <c r="B4871" s="12"/>
      <c r="C4871" s="14" t="s">
        <v>52</v>
      </c>
      <c r="D4871" s="18">
        <v>299.99</v>
      </c>
    </row>
    <row r="4872" spans="1:4" x14ac:dyDescent="0.3">
      <c r="A4872" s="12"/>
      <c r="B4872" s="10" t="s">
        <v>1916</v>
      </c>
      <c r="C4872" s="11"/>
      <c r="D4872" s="17">
        <v>3039.95</v>
      </c>
    </row>
    <row r="4873" spans="1:4" x14ac:dyDescent="0.3">
      <c r="A4873" s="10" t="s">
        <v>1301</v>
      </c>
      <c r="B4873" s="11"/>
      <c r="C4873" s="11"/>
      <c r="D4873" s="17">
        <v>3039.95</v>
      </c>
    </row>
    <row r="4874" spans="1:4" x14ac:dyDescent="0.3">
      <c r="A4874" s="10">
        <v>1006</v>
      </c>
      <c r="B4874" s="10" t="s">
        <v>18</v>
      </c>
      <c r="C4874" s="10" t="s">
        <v>10</v>
      </c>
      <c r="D4874" s="17">
        <v>599.99</v>
      </c>
    </row>
    <row r="4875" spans="1:4" x14ac:dyDescent="0.3">
      <c r="A4875" s="12"/>
      <c r="B4875" s="12"/>
      <c r="C4875" s="14" t="s">
        <v>118</v>
      </c>
      <c r="D4875" s="18">
        <v>1409.99</v>
      </c>
    </row>
    <row r="4876" spans="1:4" x14ac:dyDescent="0.3">
      <c r="A4876" s="12"/>
      <c r="B4876" s="12"/>
      <c r="C4876" s="14" t="s">
        <v>39</v>
      </c>
      <c r="D4876" s="18">
        <v>449.99</v>
      </c>
    </row>
    <row r="4877" spans="1:4" x14ac:dyDescent="0.3">
      <c r="A4877" s="12"/>
      <c r="B4877" s="12"/>
      <c r="C4877" s="14" t="s">
        <v>114</v>
      </c>
      <c r="D4877" s="18">
        <v>346.99</v>
      </c>
    </row>
    <row r="4878" spans="1:4" x14ac:dyDescent="0.3">
      <c r="A4878" s="12"/>
      <c r="B4878" s="12"/>
      <c r="C4878" s="14" t="s">
        <v>41</v>
      </c>
      <c r="D4878" s="18">
        <v>10999.98</v>
      </c>
    </row>
    <row r="4879" spans="1:4" x14ac:dyDescent="0.3">
      <c r="A4879" s="12"/>
      <c r="B4879" s="10" t="s">
        <v>1916</v>
      </c>
      <c r="C4879" s="11"/>
      <c r="D4879" s="17">
        <v>13806.939999999999</v>
      </c>
    </row>
    <row r="4880" spans="1:4" x14ac:dyDescent="0.3">
      <c r="A4880" s="10" t="s">
        <v>1302</v>
      </c>
      <c r="B4880" s="11"/>
      <c r="C4880" s="11"/>
      <c r="D4880" s="17">
        <v>13806.939999999999</v>
      </c>
    </row>
    <row r="4881" spans="1:4" x14ac:dyDescent="0.3">
      <c r="A4881" s="10">
        <v>1007</v>
      </c>
      <c r="B4881" s="10" t="s">
        <v>18</v>
      </c>
      <c r="C4881" s="10" t="s">
        <v>48</v>
      </c>
      <c r="D4881" s="17">
        <v>299.99</v>
      </c>
    </row>
    <row r="4882" spans="1:4" x14ac:dyDescent="0.3">
      <c r="A4882" s="12"/>
      <c r="B4882" s="12"/>
      <c r="C4882" s="14" t="s">
        <v>14</v>
      </c>
      <c r="D4882" s="18">
        <v>599.99</v>
      </c>
    </row>
    <row r="4883" spans="1:4" x14ac:dyDescent="0.3">
      <c r="A4883" s="12"/>
      <c r="B4883" s="12"/>
      <c r="C4883" s="14" t="s">
        <v>38</v>
      </c>
      <c r="D4883" s="18">
        <v>659.98</v>
      </c>
    </row>
    <row r="4884" spans="1:4" x14ac:dyDescent="0.3">
      <c r="A4884" s="12"/>
      <c r="B4884" s="12"/>
      <c r="C4884" s="14" t="s">
        <v>39</v>
      </c>
      <c r="D4884" s="18">
        <v>899.98</v>
      </c>
    </row>
    <row r="4885" spans="1:4" x14ac:dyDescent="0.3">
      <c r="A4885" s="12"/>
      <c r="B4885" s="12"/>
      <c r="C4885" s="14" t="s">
        <v>30</v>
      </c>
      <c r="D4885" s="18">
        <v>1680.99</v>
      </c>
    </row>
    <row r="4886" spans="1:4" x14ac:dyDescent="0.3">
      <c r="A4886" s="12"/>
      <c r="B4886" s="10" t="s">
        <v>1916</v>
      </c>
      <c r="C4886" s="11"/>
      <c r="D4886" s="17">
        <v>4140.93</v>
      </c>
    </row>
    <row r="4887" spans="1:4" x14ac:dyDescent="0.3">
      <c r="A4887" s="10" t="s">
        <v>1303</v>
      </c>
      <c r="B4887" s="11"/>
      <c r="C4887" s="11"/>
      <c r="D4887" s="17">
        <v>4140.93</v>
      </c>
    </row>
    <row r="4888" spans="1:4" x14ac:dyDescent="0.3">
      <c r="A4888" s="10">
        <v>1008</v>
      </c>
      <c r="B4888" s="10" t="s">
        <v>18</v>
      </c>
      <c r="C4888" s="10" t="s">
        <v>48</v>
      </c>
      <c r="D4888" s="17">
        <v>299.99</v>
      </c>
    </row>
    <row r="4889" spans="1:4" x14ac:dyDescent="0.3">
      <c r="A4889" s="12"/>
      <c r="B4889" s="12"/>
      <c r="C4889" s="14" t="s">
        <v>22</v>
      </c>
      <c r="D4889" s="18">
        <v>749.99</v>
      </c>
    </row>
    <row r="4890" spans="1:4" x14ac:dyDescent="0.3">
      <c r="A4890" s="12"/>
      <c r="B4890" s="12"/>
      <c r="C4890" s="14" t="s">
        <v>78</v>
      </c>
      <c r="D4890" s="18">
        <v>416.99</v>
      </c>
    </row>
    <row r="4891" spans="1:4" x14ac:dyDescent="0.3">
      <c r="A4891" s="12"/>
      <c r="B4891" s="10" t="s">
        <v>1916</v>
      </c>
      <c r="C4891" s="11"/>
      <c r="D4891" s="17">
        <v>1466.97</v>
      </c>
    </row>
    <row r="4892" spans="1:4" x14ac:dyDescent="0.3">
      <c r="A4892" s="10" t="s">
        <v>1304</v>
      </c>
      <c r="B4892" s="11"/>
      <c r="C4892" s="11"/>
      <c r="D4892" s="17">
        <v>1466.97</v>
      </c>
    </row>
    <row r="4893" spans="1:4" x14ac:dyDescent="0.3">
      <c r="A4893" s="10">
        <v>1009</v>
      </c>
      <c r="B4893" s="10" t="s">
        <v>37</v>
      </c>
      <c r="C4893" s="10" t="s">
        <v>48</v>
      </c>
      <c r="D4893" s="17">
        <v>599.98</v>
      </c>
    </row>
    <row r="4894" spans="1:4" x14ac:dyDescent="0.3">
      <c r="A4894" s="12"/>
      <c r="B4894" s="12"/>
      <c r="C4894" s="14" t="s">
        <v>108</v>
      </c>
      <c r="D4894" s="18">
        <v>539.99</v>
      </c>
    </row>
    <row r="4895" spans="1:4" x14ac:dyDescent="0.3">
      <c r="A4895" s="12"/>
      <c r="B4895" s="10" t="s">
        <v>1917</v>
      </c>
      <c r="C4895" s="11"/>
      <c r="D4895" s="17">
        <v>1139.97</v>
      </c>
    </row>
    <row r="4896" spans="1:4" x14ac:dyDescent="0.3">
      <c r="A4896" s="10" t="s">
        <v>1305</v>
      </c>
      <c r="B4896" s="11"/>
      <c r="C4896" s="11"/>
      <c r="D4896" s="17">
        <v>1139.97</v>
      </c>
    </row>
    <row r="4897" spans="1:4" x14ac:dyDescent="0.3">
      <c r="A4897" s="10">
        <v>1010</v>
      </c>
      <c r="B4897" s="10" t="s">
        <v>18</v>
      </c>
      <c r="C4897" s="10" t="s">
        <v>49</v>
      </c>
      <c r="D4897" s="17">
        <v>833.98</v>
      </c>
    </row>
    <row r="4898" spans="1:4" x14ac:dyDescent="0.3">
      <c r="A4898" s="12"/>
      <c r="B4898" s="10" t="s">
        <v>1916</v>
      </c>
      <c r="C4898" s="11"/>
      <c r="D4898" s="17">
        <v>833.98</v>
      </c>
    </row>
    <row r="4899" spans="1:4" x14ac:dyDescent="0.3">
      <c r="A4899" s="10" t="s">
        <v>1306</v>
      </c>
      <c r="B4899" s="11"/>
      <c r="C4899" s="11"/>
      <c r="D4899" s="17">
        <v>833.98</v>
      </c>
    </row>
    <row r="4900" spans="1:4" x14ac:dyDescent="0.3">
      <c r="A4900" s="10">
        <v>1011</v>
      </c>
      <c r="B4900" s="10" t="s">
        <v>11</v>
      </c>
      <c r="C4900" s="10" t="s">
        <v>52</v>
      </c>
      <c r="D4900" s="17">
        <v>599.98</v>
      </c>
    </row>
    <row r="4901" spans="1:4" x14ac:dyDescent="0.3">
      <c r="A4901" s="12"/>
      <c r="B4901" s="12"/>
      <c r="C4901" s="14" t="s">
        <v>14</v>
      </c>
      <c r="D4901" s="18">
        <v>1199.98</v>
      </c>
    </row>
    <row r="4902" spans="1:4" x14ac:dyDescent="0.3">
      <c r="A4902" s="12"/>
      <c r="B4902" s="12"/>
      <c r="C4902" s="14" t="s">
        <v>39</v>
      </c>
      <c r="D4902" s="18">
        <v>899.98</v>
      </c>
    </row>
    <row r="4903" spans="1:4" x14ac:dyDescent="0.3">
      <c r="A4903" s="12"/>
      <c r="B4903" s="12"/>
      <c r="C4903" s="14" t="s">
        <v>64</v>
      </c>
      <c r="D4903" s="18">
        <v>189.99</v>
      </c>
    </row>
    <row r="4904" spans="1:4" x14ac:dyDescent="0.3">
      <c r="A4904" s="12"/>
      <c r="B4904" s="10" t="s">
        <v>1915</v>
      </c>
      <c r="C4904" s="11"/>
      <c r="D4904" s="17">
        <v>2889.9300000000003</v>
      </c>
    </row>
    <row r="4905" spans="1:4" x14ac:dyDescent="0.3">
      <c r="A4905" s="10" t="s">
        <v>1307</v>
      </c>
      <c r="B4905" s="11"/>
      <c r="C4905" s="11"/>
      <c r="D4905" s="17">
        <v>2889.9300000000003</v>
      </c>
    </row>
    <row r="4906" spans="1:4" x14ac:dyDescent="0.3">
      <c r="A4906" s="10">
        <v>1012</v>
      </c>
      <c r="B4906" s="10" t="s">
        <v>18</v>
      </c>
      <c r="C4906" s="10" t="s">
        <v>51</v>
      </c>
      <c r="D4906" s="17">
        <v>489.99</v>
      </c>
    </row>
    <row r="4907" spans="1:4" x14ac:dyDescent="0.3">
      <c r="A4907" s="12"/>
      <c r="B4907" s="12"/>
      <c r="C4907" s="14" t="s">
        <v>12</v>
      </c>
      <c r="D4907" s="18">
        <v>1799.99</v>
      </c>
    </row>
    <row r="4908" spans="1:4" x14ac:dyDescent="0.3">
      <c r="A4908" s="12"/>
      <c r="B4908" s="10" t="s">
        <v>1916</v>
      </c>
      <c r="C4908" s="11"/>
      <c r="D4908" s="17">
        <v>2289.98</v>
      </c>
    </row>
    <row r="4909" spans="1:4" x14ac:dyDescent="0.3">
      <c r="A4909" s="10" t="s">
        <v>1308</v>
      </c>
      <c r="B4909" s="11"/>
      <c r="C4909" s="11"/>
      <c r="D4909" s="17">
        <v>2289.98</v>
      </c>
    </row>
    <row r="4910" spans="1:4" x14ac:dyDescent="0.3">
      <c r="A4910" s="10">
        <v>1013</v>
      </c>
      <c r="B4910" s="10" t="s">
        <v>18</v>
      </c>
      <c r="C4910" s="10" t="s">
        <v>101</v>
      </c>
      <c r="D4910" s="17">
        <v>3119.98</v>
      </c>
    </row>
    <row r="4911" spans="1:4" x14ac:dyDescent="0.3">
      <c r="A4911" s="12"/>
      <c r="B4911" s="10" t="s">
        <v>1916</v>
      </c>
      <c r="C4911" s="11"/>
      <c r="D4911" s="17">
        <v>3119.98</v>
      </c>
    </row>
    <row r="4912" spans="1:4" x14ac:dyDescent="0.3">
      <c r="A4912" s="10" t="s">
        <v>1309</v>
      </c>
      <c r="B4912" s="11"/>
      <c r="C4912" s="11"/>
      <c r="D4912" s="17">
        <v>3119.98</v>
      </c>
    </row>
    <row r="4913" spans="1:4" x14ac:dyDescent="0.3">
      <c r="A4913" s="10">
        <v>1014</v>
      </c>
      <c r="B4913" s="10" t="s">
        <v>18</v>
      </c>
      <c r="C4913" s="10" t="s">
        <v>99</v>
      </c>
      <c r="D4913" s="17">
        <v>2199.98</v>
      </c>
    </row>
    <row r="4914" spans="1:4" x14ac:dyDescent="0.3">
      <c r="A4914" s="12"/>
      <c r="B4914" s="12"/>
      <c r="C4914" s="14" t="s">
        <v>55</v>
      </c>
      <c r="D4914" s="18">
        <v>349.99</v>
      </c>
    </row>
    <row r="4915" spans="1:4" x14ac:dyDescent="0.3">
      <c r="A4915" s="12"/>
      <c r="B4915" s="12"/>
      <c r="C4915" s="14" t="s">
        <v>88</v>
      </c>
      <c r="D4915" s="18">
        <v>1739.98</v>
      </c>
    </row>
    <row r="4916" spans="1:4" x14ac:dyDescent="0.3">
      <c r="A4916" s="12"/>
      <c r="B4916" s="12"/>
      <c r="C4916" s="14" t="s">
        <v>74</v>
      </c>
      <c r="D4916" s="18">
        <v>2599.9899999999998</v>
      </c>
    </row>
    <row r="4917" spans="1:4" x14ac:dyDescent="0.3">
      <c r="A4917" s="12"/>
      <c r="B4917" s="10" t="s">
        <v>1916</v>
      </c>
      <c r="C4917" s="11"/>
      <c r="D4917" s="17">
        <v>6889.9400000000005</v>
      </c>
    </row>
    <row r="4918" spans="1:4" x14ac:dyDescent="0.3">
      <c r="A4918" s="10" t="s">
        <v>1310</v>
      </c>
      <c r="B4918" s="11"/>
      <c r="C4918" s="11"/>
      <c r="D4918" s="17">
        <v>6889.9400000000005</v>
      </c>
    </row>
    <row r="4919" spans="1:4" x14ac:dyDescent="0.3">
      <c r="A4919" s="10">
        <v>1015</v>
      </c>
      <c r="B4919" s="10" t="s">
        <v>18</v>
      </c>
      <c r="C4919" s="10" t="s">
        <v>31</v>
      </c>
      <c r="D4919" s="17">
        <v>269.99</v>
      </c>
    </row>
    <row r="4920" spans="1:4" x14ac:dyDescent="0.3">
      <c r="A4920" s="12"/>
      <c r="B4920" s="12"/>
      <c r="C4920" s="14" t="s">
        <v>80</v>
      </c>
      <c r="D4920" s="18">
        <v>679.98</v>
      </c>
    </row>
    <row r="4921" spans="1:4" x14ac:dyDescent="0.3">
      <c r="A4921" s="12"/>
      <c r="B4921" s="12"/>
      <c r="C4921" s="14" t="s">
        <v>43</v>
      </c>
      <c r="D4921" s="18">
        <v>1499.98</v>
      </c>
    </row>
    <row r="4922" spans="1:4" x14ac:dyDescent="0.3">
      <c r="A4922" s="12"/>
      <c r="B4922" s="12"/>
      <c r="C4922" s="14" t="s">
        <v>32</v>
      </c>
      <c r="D4922" s="18">
        <v>939.98</v>
      </c>
    </row>
    <row r="4923" spans="1:4" x14ac:dyDescent="0.3">
      <c r="A4923" s="12"/>
      <c r="B4923" s="10" t="s">
        <v>1916</v>
      </c>
      <c r="C4923" s="11"/>
      <c r="D4923" s="17">
        <v>3389.93</v>
      </c>
    </row>
    <row r="4924" spans="1:4" x14ac:dyDescent="0.3">
      <c r="A4924" s="10" t="s">
        <v>1311</v>
      </c>
      <c r="B4924" s="11"/>
      <c r="C4924" s="11"/>
      <c r="D4924" s="17">
        <v>3389.93</v>
      </c>
    </row>
    <row r="4925" spans="1:4" x14ac:dyDescent="0.3">
      <c r="A4925" s="10">
        <v>1016</v>
      </c>
      <c r="B4925" s="10" t="s">
        <v>37</v>
      </c>
      <c r="C4925" s="10" t="s">
        <v>48</v>
      </c>
      <c r="D4925" s="17">
        <v>599.98</v>
      </c>
    </row>
    <row r="4926" spans="1:4" x14ac:dyDescent="0.3">
      <c r="A4926" s="12"/>
      <c r="B4926" s="10" t="s">
        <v>1917</v>
      </c>
      <c r="C4926" s="11"/>
      <c r="D4926" s="17">
        <v>599.98</v>
      </c>
    </row>
    <row r="4927" spans="1:4" x14ac:dyDescent="0.3">
      <c r="A4927" s="10" t="s">
        <v>1312</v>
      </c>
      <c r="B4927" s="11"/>
      <c r="C4927" s="11"/>
      <c r="D4927" s="17">
        <v>599.98</v>
      </c>
    </row>
    <row r="4928" spans="1:4" x14ac:dyDescent="0.3">
      <c r="A4928" s="10">
        <v>1017</v>
      </c>
      <c r="B4928" s="10" t="s">
        <v>18</v>
      </c>
      <c r="C4928" s="10" t="s">
        <v>100</v>
      </c>
      <c r="D4928" s="17">
        <v>1319.98</v>
      </c>
    </row>
    <row r="4929" spans="1:4" x14ac:dyDescent="0.3">
      <c r="A4929" s="12"/>
      <c r="B4929" s="12"/>
      <c r="C4929" s="14" t="s">
        <v>113</v>
      </c>
      <c r="D4929" s="18">
        <v>1599.98</v>
      </c>
    </row>
    <row r="4930" spans="1:4" x14ac:dyDescent="0.3">
      <c r="A4930" s="12"/>
      <c r="B4930" s="12"/>
      <c r="C4930" s="14" t="s">
        <v>105</v>
      </c>
      <c r="D4930" s="18">
        <v>489.99</v>
      </c>
    </row>
    <row r="4931" spans="1:4" x14ac:dyDescent="0.3">
      <c r="A4931" s="12"/>
      <c r="B4931" s="12"/>
      <c r="C4931" s="14" t="s">
        <v>24</v>
      </c>
      <c r="D4931" s="18">
        <v>898</v>
      </c>
    </row>
    <row r="4932" spans="1:4" x14ac:dyDescent="0.3">
      <c r="A4932" s="12"/>
      <c r="B4932" s="12"/>
      <c r="C4932" s="14" t="s">
        <v>94</v>
      </c>
      <c r="D4932" s="18">
        <v>209.99</v>
      </c>
    </row>
    <row r="4933" spans="1:4" x14ac:dyDescent="0.3">
      <c r="A4933" s="12"/>
      <c r="B4933" s="10" t="s">
        <v>1916</v>
      </c>
      <c r="C4933" s="11"/>
      <c r="D4933" s="17">
        <v>4517.9399999999996</v>
      </c>
    </row>
    <row r="4934" spans="1:4" x14ac:dyDescent="0.3">
      <c r="A4934" s="10" t="s">
        <v>1313</v>
      </c>
      <c r="B4934" s="11"/>
      <c r="C4934" s="11"/>
      <c r="D4934" s="17">
        <v>4517.9399999999996</v>
      </c>
    </row>
    <row r="4935" spans="1:4" x14ac:dyDescent="0.3">
      <c r="A4935" s="10">
        <v>1018</v>
      </c>
      <c r="B4935" s="10" t="s">
        <v>18</v>
      </c>
      <c r="C4935" s="10" t="s">
        <v>48</v>
      </c>
      <c r="D4935" s="17">
        <v>599.98</v>
      </c>
    </row>
    <row r="4936" spans="1:4" x14ac:dyDescent="0.3">
      <c r="A4936" s="12"/>
      <c r="B4936" s="12"/>
      <c r="C4936" s="14" t="s">
        <v>55</v>
      </c>
      <c r="D4936" s="18">
        <v>699.98</v>
      </c>
    </row>
    <row r="4937" spans="1:4" x14ac:dyDescent="0.3">
      <c r="A4937" s="12"/>
      <c r="B4937" s="12"/>
      <c r="C4937" s="14" t="s">
        <v>97</v>
      </c>
      <c r="D4937" s="18">
        <v>349.99</v>
      </c>
    </row>
    <row r="4938" spans="1:4" x14ac:dyDescent="0.3">
      <c r="A4938" s="12"/>
      <c r="B4938" s="10" t="s">
        <v>1916</v>
      </c>
      <c r="C4938" s="11"/>
      <c r="D4938" s="17">
        <v>1649.95</v>
      </c>
    </row>
    <row r="4939" spans="1:4" x14ac:dyDescent="0.3">
      <c r="A4939" s="10" t="s">
        <v>1314</v>
      </c>
      <c r="B4939" s="11"/>
      <c r="C4939" s="11"/>
      <c r="D4939" s="17">
        <v>1649.95</v>
      </c>
    </row>
    <row r="4940" spans="1:4" x14ac:dyDescent="0.3">
      <c r="A4940" s="10">
        <v>1019</v>
      </c>
      <c r="B4940" s="10" t="s">
        <v>18</v>
      </c>
      <c r="C4940" s="10" t="s">
        <v>98</v>
      </c>
      <c r="D4940" s="17">
        <v>379.99</v>
      </c>
    </row>
    <row r="4941" spans="1:4" x14ac:dyDescent="0.3">
      <c r="A4941" s="12"/>
      <c r="B4941" s="12"/>
      <c r="C4941" s="14" t="s">
        <v>110</v>
      </c>
      <c r="D4941" s="18">
        <v>419.98</v>
      </c>
    </row>
    <row r="4942" spans="1:4" x14ac:dyDescent="0.3">
      <c r="A4942" s="12"/>
      <c r="B4942" s="12"/>
      <c r="C4942" s="14" t="s">
        <v>47</v>
      </c>
      <c r="D4942" s="18">
        <v>999.99</v>
      </c>
    </row>
    <row r="4943" spans="1:4" x14ac:dyDescent="0.3">
      <c r="A4943" s="12"/>
      <c r="B4943" s="12"/>
      <c r="C4943" s="14" t="s">
        <v>68</v>
      </c>
      <c r="D4943" s="18">
        <v>875.99</v>
      </c>
    </row>
    <row r="4944" spans="1:4" x14ac:dyDescent="0.3">
      <c r="A4944" s="12"/>
      <c r="B4944" s="10" t="s">
        <v>1916</v>
      </c>
      <c r="C4944" s="11"/>
      <c r="D4944" s="17">
        <v>2675.95</v>
      </c>
    </row>
    <row r="4945" spans="1:4" x14ac:dyDescent="0.3">
      <c r="A4945" s="10" t="s">
        <v>1315</v>
      </c>
      <c r="B4945" s="11"/>
      <c r="C4945" s="11"/>
      <c r="D4945" s="17">
        <v>2675.95</v>
      </c>
    </row>
    <row r="4946" spans="1:4" x14ac:dyDescent="0.3">
      <c r="A4946" s="10">
        <v>1020</v>
      </c>
      <c r="B4946" s="10" t="s">
        <v>18</v>
      </c>
      <c r="C4946" s="10" t="s">
        <v>27</v>
      </c>
      <c r="D4946" s="17">
        <v>529.99</v>
      </c>
    </row>
    <row r="4947" spans="1:4" x14ac:dyDescent="0.3">
      <c r="A4947" s="12"/>
      <c r="B4947" s="12"/>
      <c r="C4947" s="14" t="s">
        <v>10</v>
      </c>
      <c r="D4947" s="18">
        <v>1199.98</v>
      </c>
    </row>
    <row r="4948" spans="1:4" x14ac:dyDescent="0.3">
      <c r="A4948" s="12"/>
      <c r="B4948" s="12"/>
      <c r="C4948" s="14" t="s">
        <v>89</v>
      </c>
      <c r="D4948" s="18">
        <v>833.98</v>
      </c>
    </row>
    <row r="4949" spans="1:4" x14ac:dyDescent="0.3">
      <c r="A4949" s="12"/>
      <c r="B4949" s="12"/>
      <c r="C4949" s="14" t="s">
        <v>103</v>
      </c>
      <c r="D4949" s="18">
        <v>3999.98</v>
      </c>
    </row>
    <row r="4950" spans="1:4" x14ac:dyDescent="0.3">
      <c r="A4950" s="12"/>
      <c r="B4950" s="12"/>
      <c r="C4950" s="14" t="s">
        <v>104</v>
      </c>
      <c r="D4950" s="18">
        <v>9999.98</v>
      </c>
    </row>
    <row r="4951" spans="1:4" x14ac:dyDescent="0.3">
      <c r="A4951" s="12"/>
      <c r="B4951" s="10" t="s">
        <v>1916</v>
      </c>
      <c r="C4951" s="11"/>
      <c r="D4951" s="17">
        <v>16563.91</v>
      </c>
    </row>
    <row r="4952" spans="1:4" x14ac:dyDescent="0.3">
      <c r="A4952" s="10" t="s">
        <v>1316</v>
      </c>
      <c r="B4952" s="11"/>
      <c r="C4952" s="11"/>
      <c r="D4952" s="17">
        <v>16563.91</v>
      </c>
    </row>
    <row r="4953" spans="1:4" x14ac:dyDescent="0.3">
      <c r="A4953" s="10">
        <v>1021</v>
      </c>
      <c r="B4953" s="10" t="s">
        <v>18</v>
      </c>
      <c r="C4953" s="10" t="s">
        <v>33</v>
      </c>
      <c r="D4953" s="17">
        <v>599.98</v>
      </c>
    </row>
    <row r="4954" spans="1:4" x14ac:dyDescent="0.3">
      <c r="A4954" s="12"/>
      <c r="B4954" s="12"/>
      <c r="C4954" s="14" t="s">
        <v>70</v>
      </c>
      <c r="D4954" s="18">
        <v>6999.98</v>
      </c>
    </row>
    <row r="4955" spans="1:4" x14ac:dyDescent="0.3">
      <c r="A4955" s="12"/>
      <c r="B4955" s="10" t="s">
        <v>1916</v>
      </c>
      <c r="C4955" s="11"/>
      <c r="D4955" s="17">
        <v>7599.9599999999991</v>
      </c>
    </row>
    <row r="4956" spans="1:4" x14ac:dyDescent="0.3">
      <c r="A4956" s="10" t="s">
        <v>1317</v>
      </c>
      <c r="B4956" s="11"/>
      <c r="C4956" s="11"/>
      <c r="D4956" s="17">
        <v>7599.9599999999991</v>
      </c>
    </row>
    <row r="4957" spans="1:4" x14ac:dyDescent="0.3">
      <c r="A4957" s="10">
        <v>1022</v>
      </c>
      <c r="B4957" s="10" t="s">
        <v>18</v>
      </c>
      <c r="C4957" s="10" t="s">
        <v>118</v>
      </c>
      <c r="D4957" s="17">
        <v>1409.99</v>
      </c>
    </row>
    <row r="4958" spans="1:4" x14ac:dyDescent="0.3">
      <c r="A4958" s="12"/>
      <c r="B4958" s="12"/>
      <c r="C4958" s="14" t="s">
        <v>34</v>
      </c>
      <c r="D4958" s="18">
        <v>1320.99</v>
      </c>
    </row>
    <row r="4959" spans="1:4" x14ac:dyDescent="0.3">
      <c r="A4959" s="12"/>
      <c r="B4959" s="12"/>
      <c r="C4959" s="14" t="s">
        <v>114</v>
      </c>
      <c r="D4959" s="18">
        <v>346.99</v>
      </c>
    </row>
    <row r="4960" spans="1:4" x14ac:dyDescent="0.3">
      <c r="A4960" s="12"/>
      <c r="B4960" s="12"/>
      <c r="C4960" s="14" t="s">
        <v>67</v>
      </c>
      <c r="D4960" s="18">
        <v>469.99</v>
      </c>
    </row>
    <row r="4961" spans="1:4" x14ac:dyDescent="0.3">
      <c r="A4961" s="12"/>
      <c r="B4961" s="10" t="s">
        <v>1916</v>
      </c>
      <c r="C4961" s="11"/>
      <c r="D4961" s="17">
        <v>3547.96</v>
      </c>
    </row>
    <row r="4962" spans="1:4" x14ac:dyDescent="0.3">
      <c r="A4962" s="10" t="s">
        <v>1318</v>
      </c>
      <c r="B4962" s="11"/>
      <c r="C4962" s="11"/>
      <c r="D4962" s="17">
        <v>3547.96</v>
      </c>
    </row>
    <row r="4963" spans="1:4" x14ac:dyDescent="0.3">
      <c r="A4963" s="10">
        <v>1023</v>
      </c>
      <c r="B4963" s="10" t="s">
        <v>18</v>
      </c>
      <c r="C4963" s="10" t="s">
        <v>62</v>
      </c>
      <c r="D4963" s="17">
        <v>10599.98</v>
      </c>
    </row>
    <row r="4964" spans="1:4" x14ac:dyDescent="0.3">
      <c r="A4964" s="12"/>
      <c r="B4964" s="12"/>
      <c r="C4964" s="14" t="s">
        <v>97</v>
      </c>
      <c r="D4964" s="18">
        <v>349.99</v>
      </c>
    </row>
    <row r="4965" spans="1:4" x14ac:dyDescent="0.3">
      <c r="A4965" s="12"/>
      <c r="B4965" s="10" t="s">
        <v>1916</v>
      </c>
      <c r="C4965" s="11"/>
      <c r="D4965" s="17">
        <v>10949.97</v>
      </c>
    </row>
    <row r="4966" spans="1:4" x14ac:dyDescent="0.3">
      <c r="A4966" s="10" t="s">
        <v>1319</v>
      </c>
      <c r="B4966" s="11"/>
      <c r="C4966" s="11"/>
      <c r="D4966" s="17">
        <v>10949.97</v>
      </c>
    </row>
    <row r="4967" spans="1:4" x14ac:dyDescent="0.3">
      <c r="A4967" s="10">
        <v>1024</v>
      </c>
      <c r="B4967" s="10" t="s">
        <v>18</v>
      </c>
      <c r="C4967" s="10" t="s">
        <v>91</v>
      </c>
      <c r="D4967" s="17">
        <v>699.98</v>
      </c>
    </row>
    <row r="4968" spans="1:4" x14ac:dyDescent="0.3">
      <c r="A4968" s="12"/>
      <c r="B4968" s="12"/>
      <c r="C4968" s="14" t="s">
        <v>82</v>
      </c>
      <c r="D4968" s="18">
        <v>979.98</v>
      </c>
    </row>
    <row r="4969" spans="1:4" x14ac:dyDescent="0.3">
      <c r="A4969" s="12"/>
      <c r="B4969" s="12"/>
      <c r="C4969" s="14" t="s">
        <v>87</v>
      </c>
      <c r="D4969" s="18">
        <v>481.99</v>
      </c>
    </row>
    <row r="4970" spans="1:4" x14ac:dyDescent="0.3">
      <c r="A4970" s="12"/>
      <c r="B4970" s="12"/>
      <c r="C4970" s="14" t="s">
        <v>86</v>
      </c>
      <c r="D4970" s="18">
        <v>4999.9799999999996</v>
      </c>
    </row>
    <row r="4971" spans="1:4" x14ac:dyDescent="0.3">
      <c r="A4971" s="12"/>
      <c r="B4971" s="12"/>
      <c r="C4971" s="14" t="s">
        <v>97</v>
      </c>
      <c r="D4971" s="18">
        <v>349.99</v>
      </c>
    </row>
    <row r="4972" spans="1:4" x14ac:dyDescent="0.3">
      <c r="A4972" s="12"/>
      <c r="B4972" s="10" t="s">
        <v>1916</v>
      </c>
      <c r="C4972" s="11"/>
      <c r="D4972" s="17">
        <v>7511.9199999999992</v>
      </c>
    </row>
    <row r="4973" spans="1:4" x14ac:dyDescent="0.3">
      <c r="A4973" s="10" t="s">
        <v>1320</v>
      </c>
      <c r="B4973" s="11"/>
      <c r="C4973" s="11"/>
      <c r="D4973" s="17">
        <v>7511.9199999999992</v>
      </c>
    </row>
    <row r="4974" spans="1:4" x14ac:dyDescent="0.3">
      <c r="A4974" s="10">
        <v>1025</v>
      </c>
      <c r="B4974" s="10" t="s">
        <v>18</v>
      </c>
      <c r="C4974" s="10" t="s">
        <v>27</v>
      </c>
      <c r="D4974" s="17">
        <v>529.99</v>
      </c>
    </row>
    <row r="4975" spans="1:4" x14ac:dyDescent="0.3">
      <c r="A4975" s="12"/>
      <c r="B4975" s="12"/>
      <c r="C4975" s="14" t="s">
        <v>51</v>
      </c>
      <c r="D4975" s="18">
        <v>489.99</v>
      </c>
    </row>
    <row r="4976" spans="1:4" x14ac:dyDescent="0.3">
      <c r="A4976" s="12"/>
      <c r="B4976" s="12"/>
      <c r="C4976" s="14" t="s">
        <v>92</v>
      </c>
      <c r="D4976" s="18">
        <v>501.98</v>
      </c>
    </row>
    <row r="4977" spans="1:4" x14ac:dyDescent="0.3">
      <c r="A4977" s="12"/>
      <c r="B4977" s="12"/>
      <c r="C4977" s="14" t="s">
        <v>94</v>
      </c>
      <c r="D4977" s="18">
        <v>209.99</v>
      </c>
    </row>
    <row r="4978" spans="1:4" x14ac:dyDescent="0.3">
      <c r="A4978" s="12"/>
      <c r="B4978" s="12"/>
      <c r="C4978" s="14" t="s">
        <v>72</v>
      </c>
      <c r="D4978" s="18">
        <v>1499.99</v>
      </c>
    </row>
    <row r="4979" spans="1:4" x14ac:dyDescent="0.3">
      <c r="A4979" s="12"/>
      <c r="B4979" s="10" t="s">
        <v>1916</v>
      </c>
      <c r="C4979" s="11"/>
      <c r="D4979" s="17">
        <v>3231.94</v>
      </c>
    </row>
    <row r="4980" spans="1:4" x14ac:dyDescent="0.3">
      <c r="A4980" s="10" t="s">
        <v>1321</v>
      </c>
      <c r="B4980" s="11"/>
      <c r="C4980" s="11"/>
      <c r="D4980" s="17">
        <v>3231.94</v>
      </c>
    </row>
    <row r="4981" spans="1:4" x14ac:dyDescent="0.3">
      <c r="A4981" s="10">
        <v>1026</v>
      </c>
      <c r="B4981" s="10" t="s">
        <v>11</v>
      </c>
      <c r="C4981" s="10" t="s">
        <v>29</v>
      </c>
      <c r="D4981" s="17">
        <v>7999.98</v>
      </c>
    </row>
    <row r="4982" spans="1:4" x14ac:dyDescent="0.3">
      <c r="A4982" s="12"/>
      <c r="B4982" s="10" t="s">
        <v>1915</v>
      </c>
      <c r="C4982" s="11"/>
      <c r="D4982" s="17">
        <v>7999.98</v>
      </c>
    </row>
    <row r="4983" spans="1:4" x14ac:dyDescent="0.3">
      <c r="A4983" s="10" t="s">
        <v>1322</v>
      </c>
      <c r="B4983" s="11"/>
      <c r="C4983" s="11"/>
      <c r="D4983" s="17">
        <v>7999.98</v>
      </c>
    </row>
    <row r="4984" spans="1:4" x14ac:dyDescent="0.3">
      <c r="A4984" s="10">
        <v>1027</v>
      </c>
      <c r="B4984" s="10" t="s">
        <v>18</v>
      </c>
      <c r="C4984" s="10" t="s">
        <v>28</v>
      </c>
      <c r="D4984" s="17">
        <v>539.98</v>
      </c>
    </row>
    <row r="4985" spans="1:4" x14ac:dyDescent="0.3">
      <c r="A4985" s="12"/>
      <c r="B4985" s="12"/>
      <c r="C4985" s="14" t="s">
        <v>48</v>
      </c>
      <c r="D4985" s="18">
        <v>599.98</v>
      </c>
    </row>
    <row r="4986" spans="1:4" x14ac:dyDescent="0.3">
      <c r="A4986" s="12"/>
      <c r="B4986" s="10" t="s">
        <v>1916</v>
      </c>
      <c r="C4986" s="11"/>
      <c r="D4986" s="17">
        <v>1139.96</v>
      </c>
    </row>
    <row r="4987" spans="1:4" x14ac:dyDescent="0.3">
      <c r="A4987" s="10" t="s">
        <v>1323</v>
      </c>
      <c r="B4987" s="11"/>
      <c r="C4987" s="11"/>
      <c r="D4987" s="17">
        <v>1139.96</v>
      </c>
    </row>
    <row r="4988" spans="1:4" x14ac:dyDescent="0.3">
      <c r="A4988" s="10">
        <v>1028</v>
      </c>
      <c r="B4988" s="10" t="s">
        <v>18</v>
      </c>
      <c r="C4988" s="10" t="s">
        <v>77</v>
      </c>
      <c r="D4988" s="17">
        <v>1469.99</v>
      </c>
    </row>
    <row r="4989" spans="1:4" x14ac:dyDescent="0.3">
      <c r="A4989" s="12"/>
      <c r="B4989" s="12"/>
      <c r="C4989" s="14" t="s">
        <v>85</v>
      </c>
      <c r="D4989" s="18">
        <v>449.99</v>
      </c>
    </row>
    <row r="4990" spans="1:4" x14ac:dyDescent="0.3">
      <c r="A4990" s="12"/>
      <c r="B4990" s="12"/>
      <c r="C4990" s="14" t="s">
        <v>112</v>
      </c>
      <c r="D4990" s="18">
        <v>941.98</v>
      </c>
    </row>
    <row r="4991" spans="1:4" x14ac:dyDescent="0.3">
      <c r="A4991" s="12"/>
      <c r="B4991" s="12"/>
      <c r="C4991" s="14" t="s">
        <v>109</v>
      </c>
      <c r="D4991" s="18">
        <v>1665.98</v>
      </c>
    </row>
    <row r="4992" spans="1:4" x14ac:dyDescent="0.3">
      <c r="A4992" s="12"/>
      <c r="B4992" s="12"/>
      <c r="C4992" s="14" t="s">
        <v>13</v>
      </c>
      <c r="D4992" s="18">
        <v>1549</v>
      </c>
    </row>
    <row r="4993" spans="1:4" x14ac:dyDescent="0.3">
      <c r="A4993" s="12"/>
      <c r="B4993" s="10" t="s">
        <v>1916</v>
      </c>
      <c r="C4993" s="11"/>
      <c r="D4993" s="17">
        <v>6076.9400000000005</v>
      </c>
    </row>
    <row r="4994" spans="1:4" x14ac:dyDescent="0.3">
      <c r="A4994" s="10" t="s">
        <v>1324</v>
      </c>
      <c r="B4994" s="11"/>
      <c r="C4994" s="11"/>
      <c r="D4994" s="17">
        <v>6076.9400000000005</v>
      </c>
    </row>
    <row r="4995" spans="1:4" x14ac:dyDescent="0.3">
      <c r="A4995" s="10">
        <v>1029</v>
      </c>
      <c r="B4995" s="10" t="s">
        <v>11</v>
      </c>
      <c r="C4995" s="10" t="s">
        <v>10</v>
      </c>
      <c r="D4995" s="17">
        <v>599.99</v>
      </c>
    </row>
    <row r="4996" spans="1:4" x14ac:dyDescent="0.3">
      <c r="A4996" s="12"/>
      <c r="B4996" s="12"/>
      <c r="C4996" s="14" t="s">
        <v>39</v>
      </c>
      <c r="D4996" s="18">
        <v>899.98</v>
      </c>
    </row>
    <row r="4997" spans="1:4" x14ac:dyDescent="0.3">
      <c r="A4997" s="12"/>
      <c r="B4997" s="12"/>
      <c r="C4997" s="14" t="s">
        <v>76</v>
      </c>
      <c r="D4997" s="18">
        <v>2699.99</v>
      </c>
    </row>
    <row r="4998" spans="1:4" x14ac:dyDescent="0.3">
      <c r="A4998" s="12"/>
      <c r="B4998" s="12"/>
      <c r="C4998" s="14" t="s">
        <v>104</v>
      </c>
      <c r="D4998" s="18">
        <v>4999.99</v>
      </c>
    </row>
    <row r="4999" spans="1:4" x14ac:dyDescent="0.3">
      <c r="A4999" s="12"/>
      <c r="B4999" s="10" t="s">
        <v>1915</v>
      </c>
      <c r="C4999" s="11"/>
      <c r="D4999" s="17">
        <v>9199.9500000000007</v>
      </c>
    </row>
    <row r="5000" spans="1:4" x14ac:dyDescent="0.3">
      <c r="A5000" s="10" t="s">
        <v>1325</v>
      </c>
      <c r="B5000" s="11"/>
      <c r="C5000" s="11"/>
      <c r="D5000" s="17">
        <v>9199.9500000000007</v>
      </c>
    </row>
    <row r="5001" spans="1:4" x14ac:dyDescent="0.3">
      <c r="A5001" s="10">
        <v>1030</v>
      </c>
      <c r="B5001" s="10" t="s">
        <v>18</v>
      </c>
      <c r="C5001" s="10" t="s">
        <v>44</v>
      </c>
      <c r="D5001" s="17">
        <v>619.99</v>
      </c>
    </row>
    <row r="5002" spans="1:4" x14ac:dyDescent="0.3">
      <c r="A5002" s="12"/>
      <c r="B5002" s="12"/>
      <c r="C5002" s="14" t="s">
        <v>106</v>
      </c>
      <c r="D5002" s="18">
        <v>999.99</v>
      </c>
    </row>
    <row r="5003" spans="1:4" x14ac:dyDescent="0.3">
      <c r="A5003" s="12"/>
      <c r="B5003" s="12"/>
      <c r="C5003" s="14" t="s">
        <v>13</v>
      </c>
      <c r="D5003" s="18">
        <v>3098</v>
      </c>
    </row>
    <row r="5004" spans="1:4" x14ac:dyDescent="0.3">
      <c r="A5004" s="12"/>
      <c r="B5004" s="10" t="s">
        <v>1916</v>
      </c>
      <c r="C5004" s="11"/>
      <c r="D5004" s="17">
        <v>4717.9799999999996</v>
      </c>
    </row>
    <row r="5005" spans="1:4" x14ac:dyDescent="0.3">
      <c r="A5005" s="10" t="s">
        <v>1326</v>
      </c>
      <c r="B5005" s="11"/>
      <c r="C5005" s="11"/>
      <c r="D5005" s="17">
        <v>4717.9799999999996</v>
      </c>
    </row>
    <row r="5006" spans="1:4" x14ac:dyDescent="0.3">
      <c r="A5006" s="10">
        <v>1031</v>
      </c>
      <c r="B5006" s="10" t="s">
        <v>11</v>
      </c>
      <c r="C5006" s="10" t="s">
        <v>85</v>
      </c>
      <c r="D5006" s="17">
        <v>899.98</v>
      </c>
    </row>
    <row r="5007" spans="1:4" x14ac:dyDescent="0.3">
      <c r="A5007" s="12"/>
      <c r="B5007" s="12"/>
      <c r="C5007" s="14" t="s">
        <v>106</v>
      </c>
      <c r="D5007" s="18">
        <v>1999.98</v>
      </c>
    </row>
    <row r="5008" spans="1:4" x14ac:dyDescent="0.3">
      <c r="A5008" s="12"/>
      <c r="B5008" s="10" t="s">
        <v>1915</v>
      </c>
      <c r="C5008" s="11"/>
      <c r="D5008" s="17">
        <v>2899.96</v>
      </c>
    </row>
    <row r="5009" spans="1:4" x14ac:dyDescent="0.3">
      <c r="A5009" s="10" t="s">
        <v>1327</v>
      </c>
      <c r="B5009" s="11"/>
      <c r="C5009" s="11"/>
      <c r="D5009" s="17">
        <v>2899.96</v>
      </c>
    </row>
    <row r="5010" spans="1:4" x14ac:dyDescent="0.3">
      <c r="A5010" s="10">
        <v>1032</v>
      </c>
      <c r="B5010" s="10" t="s">
        <v>18</v>
      </c>
      <c r="C5010" s="10" t="s">
        <v>23</v>
      </c>
      <c r="D5010" s="17">
        <v>429</v>
      </c>
    </row>
    <row r="5011" spans="1:4" x14ac:dyDescent="0.3">
      <c r="A5011" s="12"/>
      <c r="B5011" s="12"/>
      <c r="C5011" s="14" t="s">
        <v>101</v>
      </c>
      <c r="D5011" s="18">
        <v>3119.98</v>
      </c>
    </row>
    <row r="5012" spans="1:4" x14ac:dyDescent="0.3">
      <c r="A5012" s="12"/>
      <c r="B5012" s="10" t="s">
        <v>1916</v>
      </c>
      <c r="C5012" s="11"/>
      <c r="D5012" s="17">
        <v>3548.98</v>
      </c>
    </row>
    <row r="5013" spans="1:4" x14ac:dyDescent="0.3">
      <c r="A5013" s="10" t="s">
        <v>1328</v>
      </c>
      <c r="B5013" s="11"/>
      <c r="C5013" s="11"/>
      <c r="D5013" s="17">
        <v>3548.98</v>
      </c>
    </row>
    <row r="5014" spans="1:4" x14ac:dyDescent="0.3">
      <c r="A5014" s="10">
        <v>1033</v>
      </c>
      <c r="B5014" s="10" t="s">
        <v>18</v>
      </c>
      <c r="C5014" s="10" t="s">
        <v>14</v>
      </c>
      <c r="D5014" s="17">
        <v>599.99</v>
      </c>
    </row>
    <row r="5015" spans="1:4" x14ac:dyDescent="0.3">
      <c r="A5015" s="12"/>
      <c r="B5015" s="12"/>
      <c r="C5015" s="14" t="s">
        <v>49</v>
      </c>
      <c r="D5015" s="18">
        <v>833.98</v>
      </c>
    </row>
    <row r="5016" spans="1:4" x14ac:dyDescent="0.3">
      <c r="A5016" s="12"/>
      <c r="B5016" s="12"/>
      <c r="C5016" s="14" t="s">
        <v>106</v>
      </c>
      <c r="D5016" s="18">
        <v>1999.98</v>
      </c>
    </row>
    <row r="5017" spans="1:4" x14ac:dyDescent="0.3">
      <c r="A5017" s="12"/>
      <c r="B5017" s="10" t="s">
        <v>1916</v>
      </c>
      <c r="C5017" s="11"/>
      <c r="D5017" s="17">
        <v>3433.95</v>
      </c>
    </row>
    <row r="5018" spans="1:4" x14ac:dyDescent="0.3">
      <c r="A5018" s="10" t="s">
        <v>1329</v>
      </c>
      <c r="B5018" s="11"/>
      <c r="C5018" s="11"/>
      <c r="D5018" s="17">
        <v>3433.95</v>
      </c>
    </row>
    <row r="5019" spans="1:4" x14ac:dyDescent="0.3">
      <c r="A5019" s="10">
        <v>1034</v>
      </c>
      <c r="B5019" s="10" t="s">
        <v>18</v>
      </c>
      <c r="C5019" s="10" t="s">
        <v>31</v>
      </c>
      <c r="D5019" s="17">
        <v>269.99</v>
      </c>
    </row>
    <row r="5020" spans="1:4" x14ac:dyDescent="0.3">
      <c r="A5020" s="12"/>
      <c r="B5020" s="12"/>
      <c r="C5020" s="14" t="s">
        <v>80</v>
      </c>
      <c r="D5020" s="18">
        <v>339.99</v>
      </c>
    </row>
    <row r="5021" spans="1:4" x14ac:dyDescent="0.3">
      <c r="A5021" s="12"/>
      <c r="B5021" s="12"/>
      <c r="C5021" s="14" t="s">
        <v>30</v>
      </c>
      <c r="D5021" s="18">
        <v>3361.98</v>
      </c>
    </row>
    <row r="5022" spans="1:4" x14ac:dyDescent="0.3">
      <c r="A5022" s="12"/>
      <c r="B5022" s="12"/>
      <c r="C5022" s="14" t="s">
        <v>12</v>
      </c>
      <c r="D5022" s="18">
        <v>3599.98</v>
      </c>
    </row>
    <row r="5023" spans="1:4" x14ac:dyDescent="0.3">
      <c r="A5023" s="12"/>
      <c r="B5023" s="10" t="s">
        <v>1916</v>
      </c>
      <c r="C5023" s="11"/>
      <c r="D5023" s="17">
        <v>7571.9400000000005</v>
      </c>
    </row>
    <row r="5024" spans="1:4" x14ac:dyDescent="0.3">
      <c r="A5024" s="10" t="s">
        <v>1330</v>
      </c>
      <c r="B5024" s="11"/>
      <c r="C5024" s="11"/>
      <c r="D5024" s="17">
        <v>7571.9400000000005</v>
      </c>
    </row>
    <row r="5025" spans="1:4" x14ac:dyDescent="0.3">
      <c r="A5025" s="10">
        <v>1035</v>
      </c>
      <c r="B5025" s="10" t="s">
        <v>18</v>
      </c>
      <c r="C5025" s="10" t="s">
        <v>91</v>
      </c>
      <c r="D5025" s="17">
        <v>349.99</v>
      </c>
    </row>
    <row r="5026" spans="1:4" x14ac:dyDescent="0.3">
      <c r="A5026" s="12"/>
      <c r="B5026" s="10" t="s">
        <v>1916</v>
      </c>
      <c r="C5026" s="11"/>
      <c r="D5026" s="17">
        <v>349.99</v>
      </c>
    </row>
    <row r="5027" spans="1:4" x14ac:dyDescent="0.3">
      <c r="A5027" s="10" t="s">
        <v>1331</v>
      </c>
      <c r="B5027" s="11"/>
      <c r="C5027" s="11"/>
      <c r="D5027" s="17">
        <v>349.99</v>
      </c>
    </row>
    <row r="5028" spans="1:4" x14ac:dyDescent="0.3">
      <c r="A5028" s="10">
        <v>1036</v>
      </c>
      <c r="B5028" s="10" t="s">
        <v>18</v>
      </c>
      <c r="C5028" s="10" t="s">
        <v>48</v>
      </c>
      <c r="D5028" s="17">
        <v>299.99</v>
      </c>
    </row>
    <row r="5029" spans="1:4" x14ac:dyDescent="0.3">
      <c r="A5029" s="12"/>
      <c r="B5029" s="12"/>
      <c r="C5029" s="14" t="s">
        <v>25</v>
      </c>
      <c r="D5029" s="18">
        <v>549.99</v>
      </c>
    </row>
    <row r="5030" spans="1:4" x14ac:dyDescent="0.3">
      <c r="A5030" s="12"/>
      <c r="B5030" s="12"/>
      <c r="C5030" s="14" t="s">
        <v>24</v>
      </c>
      <c r="D5030" s="18">
        <v>898</v>
      </c>
    </row>
    <row r="5031" spans="1:4" x14ac:dyDescent="0.3">
      <c r="A5031" s="12"/>
      <c r="B5031" s="12"/>
      <c r="C5031" s="14" t="s">
        <v>114</v>
      </c>
      <c r="D5031" s="18">
        <v>693.98</v>
      </c>
    </row>
    <row r="5032" spans="1:4" x14ac:dyDescent="0.3">
      <c r="A5032" s="12"/>
      <c r="B5032" s="12"/>
      <c r="C5032" s="14" t="s">
        <v>76</v>
      </c>
      <c r="D5032" s="18">
        <v>5399.98</v>
      </c>
    </row>
    <row r="5033" spans="1:4" x14ac:dyDescent="0.3">
      <c r="A5033" s="12"/>
      <c r="B5033" s="10" t="s">
        <v>1916</v>
      </c>
      <c r="C5033" s="11"/>
      <c r="D5033" s="17">
        <v>7841.94</v>
      </c>
    </row>
    <row r="5034" spans="1:4" x14ac:dyDescent="0.3">
      <c r="A5034" s="10" t="s">
        <v>1332</v>
      </c>
      <c r="B5034" s="11"/>
      <c r="C5034" s="11"/>
      <c r="D5034" s="17">
        <v>7841.94</v>
      </c>
    </row>
    <row r="5035" spans="1:4" x14ac:dyDescent="0.3">
      <c r="A5035" s="10">
        <v>1037</v>
      </c>
      <c r="B5035" s="10" t="s">
        <v>18</v>
      </c>
      <c r="C5035" s="10" t="s">
        <v>61</v>
      </c>
      <c r="D5035" s="17">
        <v>879.98</v>
      </c>
    </row>
    <row r="5036" spans="1:4" x14ac:dyDescent="0.3">
      <c r="A5036" s="12"/>
      <c r="B5036" s="12"/>
      <c r="C5036" s="14" t="s">
        <v>111</v>
      </c>
      <c r="D5036" s="18">
        <v>209.99</v>
      </c>
    </row>
    <row r="5037" spans="1:4" x14ac:dyDescent="0.3">
      <c r="A5037" s="12"/>
      <c r="B5037" s="12"/>
      <c r="C5037" s="14" t="s">
        <v>114</v>
      </c>
      <c r="D5037" s="18">
        <v>693.98</v>
      </c>
    </row>
    <row r="5038" spans="1:4" x14ac:dyDescent="0.3">
      <c r="A5038" s="12"/>
      <c r="B5038" s="12"/>
      <c r="C5038" s="14" t="s">
        <v>83</v>
      </c>
      <c r="D5038" s="18">
        <v>219.98</v>
      </c>
    </row>
    <row r="5039" spans="1:4" x14ac:dyDescent="0.3">
      <c r="A5039" s="12"/>
      <c r="B5039" s="12"/>
      <c r="C5039" s="14" t="s">
        <v>20</v>
      </c>
      <c r="D5039" s="18">
        <v>999.99</v>
      </c>
    </row>
    <row r="5040" spans="1:4" x14ac:dyDescent="0.3">
      <c r="A5040" s="12"/>
      <c r="B5040" s="10" t="s">
        <v>1916</v>
      </c>
      <c r="C5040" s="11"/>
      <c r="D5040" s="17">
        <v>3003.92</v>
      </c>
    </row>
    <row r="5041" spans="1:4" x14ac:dyDescent="0.3">
      <c r="A5041" s="10" t="s">
        <v>1333</v>
      </c>
      <c r="B5041" s="11"/>
      <c r="C5041" s="11"/>
      <c r="D5041" s="17">
        <v>3003.92</v>
      </c>
    </row>
    <row r="5042" spans="1:4" x14ac:dyDescent="0.3">
      <c r="A5042" s="10">
        <v>1038</v>
      </c>
      <c r="B5042" s="10" t="s">
        <v>18</v>
      </c>
      <c r="C5042" s="10" t="s">
        <v>66</v>
      </c>
      <c r="D5042" s="17">
        <v>149.99</v>
      </c>
    </row>
    <row r="5043" spans="1:4" x14ac:dyDescent="0.3">
      <c r="A5043" s="12"/>
      <c r="B5043" s="12"/>
      <c r="C5043" s="14" t="s">
        <v>26</v>
      </c>
      <c r="D5043" s="18">
        <v>2999.99</v>
      </c>
    </row>
    <row r="5044" spans="1:4" x14ac:dyDescent="0.3">
      <c r="A5044" s="12"/>
      <c r="B5044" s="10" t="s">
        <v>1916</v>
      </c>
      <c r="C5044" s="11"/>
      <c r="D5044" s="17">
        <v>3149.9799999999996</v>
      </c>
    </row>
    <row r="5045" spans="1:4" x14ac:dyDescent="0.3">
      <c r="A5045" s="10" t="s">
        <v>1334</v>
      </c>
      <c r="B5045" s="11"/>
      <c r="C5045" s="11"/>
      <c r="D5045" s="17">
        <v>3149.9799999999996</v>
      </c>
    </row>
    <row r="5046" spans="1:4" x14ac:dyDescent="0.3">
      <c r="A5046" s="10">
        <v>1039</v>
      </c>
      <c r="B5046" s="10" t="s">
        <v>18</v>
      </c>
      <c r="C5046" s="10" t="s">
        <v>24</v>
      </c>
      <c r="D5046" s="17">
        <v>898</v>
      </c>
    </row>
    <row r="5047" spans="1:4" x14ac:dyDescent="0.3">
      <c r="A5047" s="12"/>
      <c r="B5047" s="10" t="s">
        <v>1916</v>
      </c>
      <c r="C5047" s="11"/>
      <c r="D5047" s="17">
        <v>898</v>
      </c>
    </row>
    <row r="5048" spans="1:4" x14ac:dyDescent="0.3">
      <c r="A5048" s="10" t="s">
        <v>1335</v>
      </c>
      <c r="B5048" s="11"/>
      <c r="C5048" s="11"/>
      <c r="D5048" s="17">
        <v>898</v>
      </c>
    </row>
    <row r="5049" spans="1:4" x14ac:dyDescent="0.3">
      <c r="A5049" s="10">
        <v>1040</v>
      </c>
      <c r="B5049" s="10" t="s">
        <v>11</v>
      </c>
      <c r="C5049" s="10" t="s">
        <v>55</v>
      </c>
      <c r="D5049" s="17">
        <v>349.99</v>
      </c>
    </row>
    <row r="5050" spans="1:4" x14ac:dyDescent="0.3">
      <c r="A5050" s="12"/>
      <c r="B5050" s="12"/>
      <c r="C5050" s="14" t="s">
        <v>51</v>
      </c>
      <c r="D5050" s="18">
        <v>489.99</v>
      </c>
    </row>
    <row r="5051" spans="1:4" x14ac:dyDescent="0.3">
      <c r="A5051" s="12"/>
      <c r="B5051" s="12"/>
      <c r="C5051" s="14" t="s">
        <v>106</v>
      </c>
      <c r="D5051" s="18">
        <v>1999.98</v>
      </c>
    </row>
    <row r="5052" spans="1:4" x14ac:dyDescent="0.3">
      <c r="A5052" s="12"/>
      <c r="B5052" s="12"/>
      <c r="C5052" s="14" t="s">
        <v>86</v>
      </c>
      <c r="D5052" s="18">
        <v>4999.9799999999996</v>
      </c>
    </row>
    <row r="5053" spans="1:4" x14ac:dyDescent="0.3">
      <c r="A5053" s="12"/>
      <c r="B5053" s="12"/>
      <c r="C5053" s="14" t="s">
        <v>12</v>
      </c>
      <c r="D5053" s="18">
        <v>3599.98</v>
      </c>
    </row>
    <row r="5054" spans="1:4" x14ac:dyDescent="0.3">
      <c r="A5054" s="12"/>
      <c r="B5054" s="10" t="s">
        <v>1915</v>
      </c>
      <c r="C5054" s="11"/>
      <c r="D5054" s="17">
        <v>11439.92</v>
      </c>
    </row>
    <row r="5055" spans="1:4" x14ac:dyDescent="0.3">
      <c r="A5055" s="10" t="s">
        <v>1336</v>
      </c>
      <c r="B5055" s="11"/>
      <c r="C5055" s="11"/>
      <c r="D5055" s="17">
        <v>11439.92</v>
      </c>
    </row>
    <row r="5056" spans="1:4" x14ac:dyDescent="0.3">
      <c r="A5056" s="10">
        <v>1041</v>
      </c>
      <c r="B5056" s="10" t="s">
        <v>18</v>
      </c>
      <c r="C5056" s="10" t="s">
        <v>59</v>
      </c>
      <c r="D5056" s="17">
        <v>499.98</v>
      </c>
    </row>
    <row r="5057" spans="1:4" x14ac:dyDescent="0.3">
      <c r="A5057" s="12"/>
      <c r="B5057" s="12"/>
      <c r="C5057" s="14" t="s">
        <v>45</v>
      </c>
      <c r="D5057" s="18">
        <v>9999.98</v>
      </c>
    </row>
    <row r="5058" spans="1:4" x14ac:dyDescent="0.3">
      <c r="A5058" s="12"/>
      <c r="B5058" s="12"/>
      <c r="C5058" s="14" t="s">
        <v>94</v>
      </c>
      <c r="D5058" s="18">
        <v>209.99</v>
      </c>
    </row>
    <row r="5059" spans="1:4" x14ac:dyDescent="0.3">
      <c r="A5059" s="12"/>
      <c r="B5059" s="10" t="s">
        <v>1916</v>
      </c>
      <c r="C5059" s="11"/>
      <c r="D5059" s="17">
        <v>10709.949999999999</v>
      </c>
    </row>
    <row r="5060" spans="1:4" x14ac:dyDescent="0.3">
      <c r="A5060" s="10" t="s">
        <v>1337</v>
      </c>
      <c r="B5060" s="11"/>
      <c r="C5060" s="11"/>
      <c r="D5060" s="17">
        <v>10709.949999999999</v>
      </c>
    </row>
    <row r="5061" spans="1:4" x14ac:dyDescent="0.3">
      <c r="A5061" s="10">
        <v>1042</v>
      </c>
      <c r="B5061" s="10" t="s">
        <v>18</v>
      </c>
      <c r="C5061" s="10" t="s">
        <v>33</v>
      </c>
      <c r="D5061" s="17">
        <v>299.99</v>
      </c>
    </row>
    <row r="5062" spans="1:4" x14ac:dyDescent="0.3">
      <c r="A5062" s="12"/>
      <c r="B5062" s="10" t="s">
        <v>1916</v>
      </c>
      <c r="C5062" s="11"/>
      <c r="D5062" s="17">
        <v>299.99</v>
      </c>
    </row>
    <row r="5063" spans="1:4" x14ac:dyDescent="0.3">
      <c r="A5063" s="10" t="s">
        <v>1338</v>
      </c>
      <c r="B5063" s="11"/>
      <c r="C5063" s="11"/>
      <c r="D5063" s="17">
        <v>299.99</v>
      </c>
    </row>
    <row r="5064" spans="1:4" x14ac:dyDescent="0.3">
      <c r="A5064" s="10">
        <v>1043</v>
      </c>
      <c r="B5064" s="10" t="s">
        <v>18</v>
      </c>
      <c r="C5064" s="10" t="s">
        <v>10</v>
      </c>
      <c r="D5064" s="17">
        <v>599.99</v>
      </c>
    </row>
    <row r="5065" spans="1:4" x14ac:dyDescent="0.3">
      <c r="A5065" s="12"/>
      <c r="B5065" s="12"/>
      <c r="C5065" s="14" t="s">
        <v>76</v>
      </c>
      <c r="D5065" s="18">
        <v>5399.98</v>
      </c>
    </row>
    <row r="5066" spans="1:4" x14ac:dyDescent="0.3">
      <c r="A5066" s="12"/>
      <c r="B5066" s="10" t="s">
        <v>1916</v>
      </c>
      <c r="C5066" s="11"/>
      <c r="D5066" s="17">
        <v>5999.9699999999993</v>
      </c>
    </row>
    <row r="5067" spans="1:4" x14ac:dyDescent="0.3">
      <c r="A5067" s="10" t="s">
        <v>1339</v>
      </c>
      <c r="B5067" s="11"/>
      <c r="C5067" s="11"/>
      <c r="D5067" s="17">
        <v>5999.9699999999993</v>
      </c>
    </row>
    <row r="5068" spans="1:4" x14ac:dyDescent="0.3">
      <c r="A5068" s="10">
        <v>1044</v>
      </c>
      <c r="B5068" s="10" t="s">
        <v>18</v>
      </c>
      <c r="C5068" s="10" t="s">
        <v>55</v>
      </c>
      <c r="D5068" s="17">
        <v>699.98</v>
      </c>
    </row>
    <row r="5069" spans="1:4" x14ac:dyDescent="0.3">
      <c r="A5069" s="12"/>
      <c r="B5069" s="10" t="s">
        <v>1916</v>
      </c>
      <c r="C5069" s="11"/>
      <c r="D5069" s="17">
        <v>699.98</v>
      </c>
    </row>
    <row r="5070" spans="1:4" x14ac:dyDescent="0.3">
      <c r="A5070" s="10" t="s">
        <v>1340</v>
      </c>
      <c r="B5070" s="11"/>
      <c r="C5070" s="11"/>
      <c r="D5070" s="17">
        <v>699.98</v>
      </c>
    </row>
    <row r="5071" spans="1:4" x14ac:dyDescent="0.3">
      <c r="A5071" s="10">
        <v>1045</v>
      </c>
      <c r="B5071" s="10" t="s">
        <v>37</v>
      </c>
      <c r="C5071" s="10" t="s">
        <v>87</v>
      </c>
      <c r="D5071" s="17">
        <v>963.98</v>
      </c>
    </row>
    <row r="5072" spans="1:4" x14ac:dyDescent="0.3">
      <c r="A5072" s="12"/>
      <c r="B5072" s="12"/>
      <c r="C5072" s="14" t="s">
        <v>86</v>
      </c>
      <c r="D5072" s="18">
        <v>2499.9899999999998</v>
      </c>
    </row>
    <row r="5073" spans="1:4" x14ac:dyDescent="0.3">
      <c r="A5073" s="12"/>
      <c r="B5073" s="10" t="s">
        <v>1917</v>
      </c>
      <c r="C5073" s="11"/>
      <c r="D5073" s="17">
        <v>3463.97</v>
      </c>
    </row>
    <row r="5074" spans="1:4" x14ac:dyDescent="0.3">
      <c r="A5074" s="10" t="s">
        <v>1341</v>
      </c>
      <c r="B5074" s="11"/>
      <c r="C5074" s="11"/>
      <c r="D5074" s="17">
        <v>3463.97</v>
      </c>
    </row>
    <row r="5075" spans="1:4" x14ac:dyDescent="0.3">
      <c r="A5075" s="10">
        <v>1046</v>
      </c>
      <c r="B5075" s="10" t="s">
        <v>37</v>
      </c>
      <c r="C5075" s="10" t="s">
        <v>77</v>
      </c>
      <c r="D5075" s="17">
        <v>2939.98</v>
      </c>
    </row>
    <row r="5076" spans="1:4" x14ac:dyDescent="0.3">
      <c r="A5076" s="12"/>
      <c r="B5076" s="12"/>
      <c r="C5076" s="14" t="s">
        <v>23</v>
      </c>
      <c r="D5076" s="18">
        <v>858</v>
      </c>
    </row>
    <row r="5077" spans="1:4" x14ac:dyDescent="0.3">
      <c r="A5077" s="12"/>
      <c r="B5077" s="12"/>
      <c r="C5077" s="14" t="s">
        <v>58</v>
      </c>
      <c r="D5077" s="18">
        <v>402.99</v>
      </c>
    </row>
    <row r="5078" spans="1:4" x14ac:dyDescent="0.3">
      <c r="A5078" s="12"/>
      <c r="B5078" s="12"/>
      <c r="C5078" s="14" t="s">
        <v>101</v>
      </c>
      <c r="D5078" s="18">
        <v>1559.99</v>
      </c>
    </row>
    <row r="5079" spans="1:4" x14ac:dyDescent="0.3">
      <c r="A5079" s="12"/>
      <c r="B5079" s="12"/>
      <c r="C5079" s="14" t="s">
        <v>46</v>
      </c>
      <c r="D5079" s="18">
        <v>469.99</v>
      </c>
    </row>
    <row r="5080" spans="1:4" x14ac:dyDescent="0.3">
      <c r="A5080" s="12"/>
      <c r="B5080" s="10" t="s">
        <v>1917</v>
      </c>
      <c r="C5080" s="11"/>
      <c r="D5080" s="17">
        <v>6230.95</v>
      </c>
    </row>
    <row r="5081" spans="1:4" x14ac:dyDescent="0.3">
      <c r="A5081" s="10" t="s">
        <v>1342</v>
      </c>
      <c r="B5081" s="11"/>
      <c r="C5081" s="11"/>
      <c r="D5081" s="17">
        <v>6230.95</v>
      </c>
    </row>
    <row r="5082" spans="1:4" x14ac:dyDescent="0.3">
      <c r="A5082" s="10">
        <v>1047</v>
      </c>
      <c r="B5082" s="10" t="s">
        <v>37</v>
      </c>
      <c r="C5082" s="10" t="s">
        <v>57</v>
      </c>
      <c r="D5082" s="17">
        <v>647.99</v>
      </c>
    </row>
    <row r="5083" spans="1:4" x14ac:dyDescent="0.3">
      <c r="A5083" s="12"/>
      <c r="B5083" s="12"/>
      <c r="C5083" s="14" t="s">
        <v>109</v>
      </c>
      <c r="D5083" s="18">
        <v>832.99</v>
      </c>
    </row>
    <row r="5084" spans="1:4" x14ac:dyDescent="0.3">
      <c r="A5084" s="12"/>
      <c r="B5084" s="12"/>
      <c r="C5084" s="14" t="s">
        <v>86</v>
      </c>
      <c r="D5084" s="18">
        <v>4999.9799999999996</v>
      </c>
    </row>
    <row r="5085" spans="1:4" x14ac:dyDescent="0.3">
      <c r="A5085" s="12"/>
      <c r="B5085" s="12"/>
      <c r="C5085" s="14" t="s">
        <v>70</v>
      </c>
      <c r="D5085" s="18">
        <v>3499.99</v>
      </c>
    </row>
    <row r="5086" spans="1:4" x14ac:dyDescent="0.3">
      <c r="A5086" s="12"/>
      <c r="B5086" s="10" t="s">
        <v>1917</v>
      </c>
      <c r="C5086" s="11"/>
      <c r="D5086" s="17">
        <v>9980.9499999999989</v>
      </c>
    </row>
    <row r="5087" spans="1:4" x14ac:dyDescent="0.3">
      <c r="A5087" s="10" t="s">
        <v>1343</v>
      </c>
      <c r="B5087" s="11"/>
      <c r="C5087" s="11"/>
      <c r="D5087" s="17">
        <v>9980.9499999999989</v>
      </c>
    </row>
    <row r="5088" spans="1:4" x14ac:dyDescent="0.3">
      <c r="A5088" s="10">
        <v>1048</v>
      </c>
      <c r="B5088" s="10" t="s">
        <v>18</v>
      </c>
      <c r="C5088" s="10" t="s">
        <v>98</v>
      </c>
      <c r="D5088" s="17">
        <v>379.99</v>
      </c>
    </row>
    <row r="5089" spans="1:4" x14ac:dyDescent="0.3">
      <c r="A5089" s="12"/>
      <c r="B5089" s="12"/>
      <c r="C5089" s="14" t="s">
        <v>59</v>
      </c>
      <c r="D5089" s="18">
        <v>249.99</v>
      </c>
    </row>
    <row r="5090" spans="1:4" x14ac:dyDescent="0.3">
      <c r="A5090" s="12"/>
      <c r="B5090" s="12"/>
      <c r="C5090" s="14" t="s">
        <v>20</v>
      </c>
      <c r="D5090" s="18">
        <v>1999.98</v>
      </c>
    </row>
    <row r="5091" spans="1:4" x14ac:dyDescent="0.3">
      <c r="A5091" s="12"/>
      <c r="B5091" s="10" t="s">
        <v>1916</v>
      </c>
      <c r="C5091" s="11"/>
      <c r="D5091" s="17">
        <v>2629.96</v>
      </c>
    </row>
    <row r="5092" spans="1:4" x14ac:dyDescent="0.3">
      <c r="A5092" s="10" t="s">
        <v>1344</v>
      </c>
      <c r="B5092" s="11"/>
      <c r="C5092" s="11"/>
      <c r="D5092" s="17">
        <v>2629.96</v>
      </c>
    </row>
    <row r="5093" spans="1:4" x14ac:dyDescent="0.3">
      <c r="A5093" s="10">
        <v>1049</v>
      </c>
      <c r="B5093" s="10" t="s">
        <v>11</v>
      </c>
      <c r="C5093" s="10" t="s">
        <v>14</v>
      </c>
      <c r="D5093" s="17">
        <v>599.99</v>
      </c>
    </row>
    <row r="5094" spans="1:4" x14ac:dyDescent="0.3">
      <c r="A5094" s="12"/>
      <c r="B5094" s="12"/>
      <c r="C5094" s="14" t="s">
        <v>13</v>
      </c>
      <c r="D5094" s="18">
        <v>3098</v>
      </c>
    </row>
    <row r="5095" spans="1:4" x14ac:dyDescent="0.3">
      <c r="A5095" s="12"/>
      <c r="B5095" s="12"/>
      <c r="C5095" s="14" t="s">
        <v>116</v>
      </c>
      <c r="D5095" s="18">
        <v>1665.98</v>
      </c>
    </row>
    <row r="5096" spans="1:4" x14ac:dyDescent="0.3">
      <c r="A5096" s="12"/>
      <c r="B5096" s="12"/>
      <c r="C5096" s="14" t="s">
        <v>20</v>
      </c>
      <c r="D5096" s="18">
        <v>999.99</v>
      </c>
    </row>
    <row r="5097" spans="1:4" x14ac:dyDescent="0.3">
      <c r="A5097" s="12"/>
      <c r="B5097" s="12"/>
      <c r="C5097" s="14" t="s">
        <v>26</v>
      </c>
      <c r="D5097" s="18">
        <v>2999.99</v>
      </c>
    </row>
    <row r="5098" spans="1:4" x14ac:dyDescent="0.3">
      <c r="A5098" s="12"/>
      <c r="B5098" s="10" t="s">
        <v>1915</v>
      </c>
      <c r="C5098" s="11"/>
      <c r="D5098" s="17">
        <v>9363.9499999999989</v>
      </c>
    </row>
    <row r="5099" spans="1:4" x14ac:dyDescent="0.3">
      <c r="A5099" s="10" t="s">
        <v>1345</v>
      </c>
      <c r="B5099" s="11"/>
      <c r="C5099" s="11"/>
      <c r="D5099" s="17">
        <v>9363.9499999999989</v>
      </c>
    </row>
    <row r="5100" spans="1:4" x14ac:dyDescent="0.3">
      <c r="A5100" s="10">
        <v>1050</v>
      </c>
      <c r="B5100" s="10" t="s">
        <v>11</v>
      </c>
      <c r="C5100" s="10" t="s">
        <v>28</v>
      </c>
      <c r="D5100" s="17">
        <v>539.98</v>
      </c>
    </row>
    <row r="5101" spans="1:4" x14ac:dyDescent="0.3">
      <c r="A5101" s="12"/>
      <c r="B5101" s="12"/>
      <c r="C5101" s="14" t="s">
        <v>91</v>
      </c>
      <c r="D5101" s="18">
        <v>699.98</v>
      </c>
    </row>
    <row r="5102" spans="1:4" x14ac:dyDescent="0.3">
      <c r="A5102" s="12"/>
      <c r="B5102" s="12"/>
      <c r="C5102" s="14" t="s">
        <v>52</v>
      </c>
      <c r="D5102" s="18">
        <v>599.98</v>
      </c>
    </row>
    <row r="5103" spans="1:4" x14ac:dyDescent="0.3">
      <c r="A5103" s="12"/>
      <c r="B5103" s="12"/>
      <c r="C5103" s="14" t="s">
        <v>88</v>
      </c>
      <c r="D5103" s="18">
        <v>1739.98</v>
      </c>
    </row>
    <row r="5104" spans="1:4" x14ac:dyDescent="0.3">
      <c r="A5104" s="12"/>
      <c r="B5104" s="10" t="s">
        <v>1915</v>
      </c>
      <c r="C5104" s="11"/>
      <c r="D5104" s="17">
        <v>3579.92</v>
      </c>
    </row>
    <row r="5105" spans="1:4" x14ac:dyDescent="0.3">
      <c r="A5105" s="10" t="s">
        <v>1346</v>
      </c>
      <c r="B5105" s="11"/>
      <c r="C5105" s="11"/>
      <c r="D5105" s="17">
        <v>3579.92</v>
      </c>
    </row>
    <row r="5106" spans="1:4" x14ac:dyDescent="0.3">
      <c r="A5106" s="10">
        <v>1051</v>
      </c>
      <c r="B5106" s="10" t="s">
        <v>18</v>
      </c>
      <c r="C5106" s="10" t="s">
        <v>118</v>
      </c>
      <c r="D5106" s="17">
        <v>1409.99</v>
      </c>
    </row>
    <row r="5107" spans="1:4" x14ac:dyDescent="0.3">
      <c r="A5107" s="12"/>
      <c r="B5107" s="10" t="s">
        <v>1916</v>
      </c>
      <c r="C5107" s="11"/>
      <c r="D5107" s="17">
        <v>1409.99</v>
      </c>
    </row>
    <row r="5108" spans="1:4" x14ac:dyDescent="0.3">
      <c r="A5108" s="10" t="s">
        <v>1347</v>
      </c>
      <c r="B5108" s="11"/>
      <c r="C5108" s="11"/>
      <c r="D5108" s="17">
        <v>1409.99</v>
      </c>
    </row>
    <row r="5109" spans="1:4" x14ac:dyDescent="0.3">
      <c r="A5109" s="10">
        <v>1052</v>
      </c>
      <c r="B5109" s="10" t="s">
        <v>18</v>
      </c>
      <c r="C5109" s="10" t="s">
        <v>14</v>
      </c>
      <c r="D5109" s="17">
        <v>1199.98</v>
      </c>
    </row>
    <row r="5110" spans="1:4" x14ac:dyDescent="0.3">
      <c r="A5110" s="12"/>
      <c r="B5110" s="12"/>
      <c r="C5110" s="14" t="s">
        <v>40</v>
      </c>
      <c r="D5110" s="18">
        <v>551.99</v>
      </c>
    </row>
    <row r="5111" spans="1:4" x14ac:dyDescent="0.3">
      <c r="A5111" s="12"/>
      <c r="B5111" s="12"/>
      <c r="C5111" s="14" t="s">
        <v>29</v>
      </c>
      <c r="D5111" s="18">
        <v>3999.99</v>
      </c>
    </row>
    <row r="5112" spans="1:4" x14ac:dyDescent="0.3">
      <c r="A5112" s="12"/>
      <c r="B5112" s="10" t="s">
        <v>1916</v>
      </c>
      <c r="C5112" s="11"/>
      <c r="D5112" s="17">
        <v>5751.96</v>
      </c>
    </row>
    <row r="5113" spans="1:4" x14ac:dyDescent="0.3">
      <c r="A5113" s="10" t="s">
        <v>1348</v>
      </c>
      <c r="B5113" s="11"/>
      <c r="C5113" s="11"/>
      <c r="D5113" s="17">
        <v>5751.96</v>
      </c>
    </row>
    <row r="5114" spans="1:4" x14ac:dyDescent="0.3">
      <c r="A5114" s="10">
        <v>1053</v>
      </c>
      <c r="B5114" s="10" t="s">
        <v>18</v>
      </c>
      <c r="C5114" s="10" t="s">
        <v>33</v>
      </c>
      <c r="D5114" s="17">
        <v>599.98</v>
      </c>
    </row>
    <row r="5115" spans="1:4" x14ac:dyDescent="0.3">
      <c r="A5115" s="12"/>
      <c r="B5115" s="12"/>
      <c r="C5115" s="14" t="s">
        <v>14</v>
      </c>
      <c r="D5115" s="18">
        <v>1199.98</v>
      </c>
    </row>
    <row r="5116" spans="1:4" x14ac:dyDescent="0.3">
      <c r="A5116" s="12"/>
      <c r="B5116" s="12"/>
      <c r="C5116" s="14" t="s">
        <v>43</v>
      </c>
      <c r="D5116" s="18">
        <v>1499.98</v>
      </c>
    </row>
    <row r="5117" spans="1:4" x14ac:dyDescent="0.3">
      <c r="A5117" s="12"/>
      <c r="B5117" s="12"/>
      <c r="C5117" s="14" t="s">
        <v>39</v>
      </c>
      <c r="D5117" s="18">
        <v>449.99</v>
      </c>
    </row>
    <row r="5118" spans="1:4" x14ac:dyDescent="0.3">
      <c r="A5118" s="12"/>
      <c r="B5118" s="12"/>
      <c r="C5118" s="14" t="s">
        <v>70</v>
      </c>
      <c r="D5118" s="18">
        <v>6999.98</v>
      </c>
    </row>
    <row r="5119" spans="1:4" x14ac:dyDescent="0.3">
      <c r="A5119" s="12"/>
      <c r="B5119" s="10" t="s">
        <v>1916</v>
      </c>
      <c r="C5119" s="11"/>
      <c r="D5119" s="17">
        <v>10749.91</v>
      </c>
    </row>
    <row r="5120" spans="1:4" x14ac:dyDescent="0.3">
      <c r="A5120" s="10" t="s">
        <v>1349</v>
      </c>
      <c r="B5120" s="11"/>
      <c r="C5120" s="11"/>
      <c r="D5120" s="17">
        <v>10749.91</v>
      </c>
    </row>
    <row r="5121" spans="1:4" x14ac:dyDescent="0.3">
      <c r="A5121" s="10">
        <v>1054</v>
      </c>
      <c r="B5121" s="10" t="s">
        <v>18</v>
      </c>
      <c r="C5121" s="10" t="s">
        <v>14</v>
      </c>
      <c r="D5121" s="17">
        <v>599.99</v>
      </c>
    </row>
    <row r="5122" spans="1:4" x14ac:dyDescent="0.3">
      <c r="A5122" s="12"/>
      <c r="B5122" s="12"/>
      <c r="C5122" s="14" t="s">
        <v>116</v>
      </c>
      <c r="D5122" s="18">
        <v>1665.98</v>
      </c>
    </row>
    <row r="5123" spans="1:4" x14ac:dyDescent="0.3">
      <c r="A5123" s="12"/>
      <c r="B5123" s="10" t="s">
        <v>1916</v>
      </c>
      <c r="C5123" s="11"/>
      <c r="D5123" s="17">
        <v>2265.9700000000003</v>
      </c>
    </row>
    <row r="5124" spans="1:4" x14ac:dyDescent="0.3">
      <c r="A5124" s="10" t="s">
        <v>1350</v>
      </c>
      <c r="B5124" s="11"/>
      <c r="C5124" s="11"/>
      <c r="D5124" s="17">
        <v>2265.9700000000003</v>
      </c>
    </row>
    <row r="5125" spans="1:4" x14ac:dyDescent="0.3">
      <c r="A5125" s="10">
        <v>1055</v>
      </c>
      <c r="B5125" s="10" t="s">
        <v>18</v>
      </c>
      <c r="C5125" s="10" t="s">
        <v>80</v>
      </c>
      <c r="D5125" s="17">
        <v>679.98</v>
      </c>
    </row>
    <row r="5126" spans="1:4" x14ac:dyDescent="0.3">
      <c r="A5126" s="12"/>
      <c r="B5126" s="12"/>
      <c r="C5126" s="14" t="s">
        <v>25</v>
      </c>
      <c r="D5126" s="18">
        <v>1099.98</v>
      </c>
    </row>
    <row r="5127" spans="1:4" x14ac:dyDescent="0.3">
      <c r="A5127" s="12"/>
      <c r="B5127" s="12"/>
      <c r="C5127" s="14" t="s">
        <v>101</v>
      </c>
      <c r="D5127" s="18">
        <v>1559.99</v>
      </c>
    </row>
    <row r="5128" spans="1:4" x14ac:dyDescent="0.3">
      <c r="A5128" s="12"/>
      <c r="B5128" s="12"/>
      <c r="C5128" s="14" t="s">
        <v>66</v>
      </c>
      <c r="D5128" s="18">
        <v>299.98</v>
      </c>
    </row>
    <row r="5129" spans="1:4" x14ac:dyDescent="0.3">
      <c r="A5129" s="12"/>
      <c r="B5129" s="12"/>
      <c r="C5129" s="14" t="s">
        <v>62</v>
      </c>
      <c r="D5129" s="18">
        <v>10599.98</v>
      </c>
    </row>
    <row r="5130" spans="1:4" x14ac:dyDescent="0.3">
      <c r="A5130" s="12"/>
      <c r="B5130" s="10" t="s">
        <v>1916</v>
      </c>
      <c r="C5130" s="11"/>
      <c r="D5130" s="17">
        <v>14239.91</v>
      </c>
    </row>
    <row r="5131" spans="1:4" x14ac:dyDescent="0.3">
      <c r="A5131" s="10" t="s">
        <v>1351</v>
      </c>
      <c r="B5131" s="11"/>
      <c r="C5131" s="11"/>
      <c r="D5131" s="17">
        <v>14239.91</v>
      </c>
    </row>
    <row r="5132" spans="1:4" x14ac:dyDescent="0.3">
      <c r="A5132" s="10">
        <v>1056</v>
      </c>
      <c r="B5132" s="10" t="s">
        <v>18</v>
      </c>
      <c r="C5132" s="10" t="s">
        <v>20</v>
      </c>
      <c r="D5132" s="17">
        <v>999.99</v>
      </c>
    </row>
    <row r="5133" spans="1:4" x14ac:dyDescent="0.3">
      <c r="A5133" s="12"/>
      <c r="B5133" s="10" t="s">
        <v>1916</v>
      </c>
      <c r="C5133" s="11"/>
      <c r="D5133" s="17">
        <v>999.99</v>
      </c>
    </row>
    <row r="5134" spans="1:4" x14ac:dyDescent="0.3">
      <c r="A5134" s="10" t="s">
        <v>1352</v>
      </c>
      <c r="B5134" s="11"/>
      <c r="C5134" s="11"/>
      <c r="D5134" s="17">
        <v>999.99</v>
      </c>
    </row>
    <row r="5135" spans="1:4" x14ac:dyDescent="0.3">
      <c r="A5135" s="10">
        <v>1057</v>
      </c>
      <c r="B5135" s="10" t="s">
        <v>18</v>
      </c>
      <c r="C5135" s="10" t="s">
        <v>55</v>
      </c>
      <c r="D5135" s="17">
        <v>349.99</v>
      </c>
    </row>
    <row r="5136" spans="1:4" x14ac:dyDescent="0.3">
      <c r="A5136" s="12"/>
      <c r="B5136" s="12"/>
      <c r="C5136" s="14" t="s">
        <v>82</v>
      </c>
      <c r="D5136" s="18">
        <v>979.98</v>
      </c>
    </row>
    <row r="5137" spans="1:4" x14ac:dyDescent="0.3">
      <c r="A5137" s="12"/>
      <c r="B5137" s="12"/>
      <c r="C5137" s="14" t="s">
        <v>96</v>
      </c>
      <c r="D5137" s="18">
        <v>533.99</v>
      </c>
    </row>
    <row r="5138" spans="1:4" x14ac:dyDescent="0.3">
      <c r="A5138" s="12"/>
      <c r="B5138" s="10" t="s">
        <v>1916</v>
      </c>
      <c r="C5138" s="11"/>
      <c r="D5138" s="17">
        <v>1863.96</v>
      </c>
    </row>
    <row r="5139" spans="1:4" x14ac:dyDescent="0.3">
      <c r="A5139" s="10" t="s">
        <v>1353</v>
      </c>
      <c r="B5139" s="11"/>
      <c r="C5139" s="11"/>
      <c r="D5139" s="17">
        <v>1863.96</v>
      </c>
    </row>
    <row r="5140" spans="1:4" x14ac:dyDescent="0.3">
      <c r="A5140" s="10">
        <v>1058</v>
      </c>
      <c r="B5140" s="10" t="s">
        <v>18</v>
      </c>
      <c r="C5140" s="10" t="s">
        <v>40</v>
      </c>
      <c r="D5140" s="17">
        <v>551.99</v>
      </c>
    </row>
    <row r="5141" spans="1:4" x14ac:dyDescent="0.3">
      <c r="A5141" s="12"/>
      <c r="B5141" s="12"/>
      <c r="C5141" s="14" t="s">
        <v>62</v>
      </c>
      <c r="D5141" s="18">
        <v>5299.99</v>
      </c>
    </row>
    <row r="5142" spans="1:4" x14ac:dyDescent="0.3">
      <c r="A5142" s="12"/>
      <c r="B5142" s="12"/>
      <c r="C5142" s="14" t="s">
        <v>71</v>
      </c>
      <c r="D5142" s="18">
        <v>1999.98</v>
      </c>
    </row>
    <row r="5143" spans="1:4" x14ac:dyDescent="0.3">
      <c r="A5143" s="12"/>
      <c r="B5143" s="10" t="s">
        <v>1916</v>
      </c>
      <c r="C5143" s="11"/>
      <c r="D5143" s="17">
        <v>7851.9599999999991</v>
      </c>
    </row>
    <row r="5144" spans="1:4" x14ac:dyDescent="0.3">
      <c r="A5144" s="10" t="s">
        <v>1354</v>
      </c>
      <c r="B5144" s="11"/>
      <c r="C5144" s="11"/>
      <c r="D5144" s="17">
        <v>7851.9599999999991</v>
      </c>
    </row>
    <row r="5145" spans="1:4" x14ac:dyDescent="0.3">
      <c r="A5145" s="10">
        <v>1059</v>
      </c>
      <c r="B5145" s="10" t="s">
        <v>18</v>
      </c>
      <c r="C5145" s="10" t="s">
        <v>31</v>
      </c>
      <c r="D5145" s="17">
        <v>269.99</v>
      </c>
    </row>
    <row r="5146" spans="1:4" x14ac:dyDescent="0.3">
      <c r="A5146" s="12"/>
      <c r="B5146" s="12"/>
      <c r="C5146" s="14" t="s">
        <v>118</v>
      </c>
      <c r="D5146" s="18">
        <v>2819.98</v>
      </c>
    </row>
    <row r="5147" spans="1:4" x14ac:dyDescent="0.3">
      <c r="A5147" s="12"/>
      <c r="B5147" s="12"/>
      <c r="C5147" s="14" t="s">
        <v>29</v>
      </c>
      <c r="D5147" s="18">
        <v>3999.99</v>
      </c>
    </row>
    <row r="5148" spans="1:4" x14ac:dyDescent="0.3">
      <c r="A5148" s="12"/>
      <c r="B5148" s="10" t="s">
        <v>1916</v>
      </c>
      <c r="C5148" s="11"/>
      <c r="D5148" s="17">
        <v>7089.96</v>
      </c>
    </row>
    <row r="5149" spans="1:4" x14ac:dyDescent="0.3">
      <c r="A5149" s="10" t="s">
        <v>1355</v>
      </c>
      <c r="B5149" s="11"/>
      <c r="C5149" s="11"/>
      <c r="D5149" s="17">
        <v>7089.96</v>
      </c>
    </row>
    <row r="5150" spans="1:4" x14ac:dyDescent="0.3">
      <c r="A5150" s="10">
        <v>1060</v>
      </c>
      <c r="B5150" s="10" t="s">
        <v>18</v>
      </c>
      <c r="C5150" s="10" t="s">
        <v>47</v>
      </c>
      <c r="D5150" s="17">
        <v>1999.98</v>
      </c>
    </row>
    <row r="5151" spans="1:4" x14ac:dyDescent="0.3">
      <c r="A5151" s="12"/>
      <c r="B5151" s="12"/>
      <c r="C5151" s="14" t="s">
        <v>30</v>
      </c>
      <c r="D5151" s="18">
        <v>3361.98</v>
      </c>
    </row>
    <row r="5152" spans="1:4" x14ac:dyDescent="0.3">
      <c r="A5152" s="12"/>
      <c r="B5152" s="12"/>
      <c r="C5152" s="14" t="s">
        <v>45</v>
      </c>
      <c r="D5152" s="18">
        <v>9999.98</v>
      </c>
    </row>
    <row r="5153" spans="1:4" x14ac:dyDescent="0.3">
      <c r="A5153" s="12"/>
      <c r="B5153" s="12"/>
      <c r="C5153" s="14" t="s">
        <v>29</v>
      </c>
      <c r="D5153" s="18">
        <v>3999.99</v>
      </c>
    </row>
    <row r="5154" spans="1:4" x14ac:dyDescent="0.3">
      <c r="A5154" s="12"/>
      <c r="B5154" s="10" t="s">
        <v>1916</v>
      </c>
      <c r="C5154" s="11"/>
      <c r="D5154" s="17">
        <v>19361.93</v>
      </c>
    </row>
    <row r="5155" spans="1:4" x14ac:dyDescent="0.3">
      <c r="A5155" s="10" t="s">
        <v>1356</v>
      </c>
      <c r="B5155" s="11"/>
      <c r="C5155" s="11"/>
      <c r="D5155" s="17">
        <v>19361.93</v>
      </c>
    </row>
    <row r="5156" spans="1:4" x14ac:dyDescent="0.3">
      <c r="A5156" s="10">
        <v>1061</v>
      </c>
      <c r="B5156" s="10" t="s">
        <v>18</v>
      </c>
      <c r="C5156" s="10" t="s">
        <v>28</v>
      </c>
      <c r="D5156" s="17">
        <v>269.99</v>
      </c>
    </row>
    <row r="5157" spans="1:4" x14ac:dyDescent="0.3">
      <c r="A5157" s="12"/>
      <c r="B5157" s="12"/>
      <c r="C5157" s="14" t="s">
        <v>36</v>
      </c>
      <c r="D5157" s="18">
        <v>449</v>
      </c>
    </row>
    <row r="5158" spans="1:4" x14ac:dyDescent="0.3">
      <c r="A5158" s="12"/>
      <c r="B5158" s="10" t="s">
        <v>1916</v>
      </c>
      <c r="C5158" s="11"/>
      <c r="D5158" s="17">
        <v>718.99</v>
      </c>
    </row>
    <row r="5159" spans="1:4" x14ac:dyDescent="0.3">
      <c r="A5159" s="10" t="s">
        <v>1357</v>
      </c>
      <c r="B5159" s="11"/>
      <c r="C5159" s="11"/>
      <c r="D5159" s="17">
        <v>718.99</v>
      </c>
    </row>
    <row r="5160" spans="1:4" x14ac:dyDescent="0.3">
      <c r="A5160" s="10">
        <v>1062</v>
      </c>
      <c r="B5160" s="10" t="s">
        <v>18</v>
      </c>
      <c r="C5160" s="10" t="s">
        <v>31</v>
      </c>
      <c r="D5160" s="17">
        <v>269.99</v>
      </c>
    </row>
    <row r="5161" spans="1:4" x14ac:dyDescent="0.3">
      <c r="A5161" s="12"/>
      <c r="B5161" s="12"/>
      <c r="C5161" s="14" t="s">
        <v>25</v>
      </c>
      <c r="D5161" s="18">
        <v>549.99</v>
      </c>
    </row>
    <row r="5162" spans="1:4" x14ac:dyDescent="0.3">
      <c r="A5162" s="12"/>
      <c r="B5162" s="12"/>
      <c r="C5162" s="14" t="s">
        <v>34</v>
      </c>
      <c r="D5162" s="18">
        <v>1320.99</v>
      </c>
    </row>
    <row r="5163" spans="1:4" x14ac:dyDescent="0.3">
      <c r="A5163" s="12"/>
      <c r="B5163" s="12"/>
      <c r="C5163" s="14" t="s">
        <v>112</v>
      </c>
      <c r="D5163" s="18">
        <v>941.98</v>
      </c>
    </row>
    <row r="5164" spans="1:4" x14ac:dyDescent="0.3">
      <c r="A5164" s="12"/>
      <c r="B5164" s="10" t="s">
        <v>1916</v>
      </c>
      <c r="C5164" s="11"/>
      <c r="D5164" s="17">
        <v>3082.9500000000003</v>
      </c>
    </row>
    <row r="5165" spans="1:4" x14ac:dyDescent="0.3">
      <c r="A5165" s="10" t="s">
        <v>1358</v>
      </c>
      <c r="B5165" s="11"/>
      <c r="C5165" s="11"/>
      <c r="D5165" s="17">
        <v>3082.9500000000003</v>
      </c>
    </row>
    <row r="5166" spans="1:4" x14ac:dyDescent="0.3">
      <c r="A5166" s="10">
        <v>1063</v>
      </c>
      <c r="B5166" s="10" t="s">
        <v>37</v>
      </c>
      <c r="C5166" s="10" t="s">
        <v>105</v>
      </c>
      <c r="D5166" s="17">
        <v>979.98</v>
      </c>
    </row>
    <row r="5167" spans="1:4" x14ac:dyDescent="0.3">
      <c r="A5167" s="12"/>
      <c r="B5167" s="12"/>
      <c r="C5167" s="14" t="s">
        <v>44</v>
      </c>
      <c r="D5167" s="18">
        <v>1239.98</v>
      </c>
    </row>
    <row r="5168" spans="1:4" x14ac:dyDescent="0.3">
      <c r="A5168" s="12"/>
      <c r="B5168" s="12"/>
      <c r="C5168" s="14" t="s">
        <v>67</v>
      </c>
      <c r="D5168" s="18">
        <v>939.98</v>
      </c>
    </row>
    <row r="5169" spans="1:4" x14ac:dyDescent="0.3">
      <c r="A5169" s="12"/>
      <c r="B5169" s="10" t="s">
        <v>1917</v>
      </c>
      <c r="C5169" s="11"/>
      <c r="D5169" s="17">
        <v>3159.94</v>
      </c>
    </row>
    <row r="5170" spans="1:4" x14ac:dyDescent="0.3">
      <c r="A5170" s="10" t="s">
        <v>1359</v>
      </c>
      <c r="B5170" s="11"/>
      <c r="C5170" s="11"/>
      <c r="D5170" s="17">
        <v>3159.94</v>
      </c>
    </row>
    <row r="5171" spans="1:4" x14ac:dyDescent="0.3">
      <c r="A5171" s="10">
        <v>1064</v>
      </c>
      <c r="B5171" s="10" t="s">
        <v>37</v>
      </c>
      <c r="C5171" s="10" t="s">
        <v>24</v>
      </c>
      <c r="D5171" s="17">
        <v>449</v>
      </c>
    </row>
    <row r="5172" spans="1:4" x14ac:dyDescent="0.3">
      <c r="A5172" s="12"/>
      <c r="B5172" s="12"/>
      <c r="C5172" s="14" t="s">
        <v>70</v>
      </c>
      <c r="D5172" s="18">
        <v>3499.99</v>
      </c>
    </row>
    <row r="5173" spans="1:4" x14ac:dyDescent="0.3">
      <c r="A5173" s="12"/>
      <c r="B5173" s="10" t="s">
        <v>1917</v>
      </c>
      <c r="C5173" s="11"/>
      <c r="D5173" s="17">
        <v>3948.99</v>
      </c>
    </row>
    <row r="5174" spans="1:4" x14ac:dyDescent="0.3">
      <c r="A5174" s="10" t="s">
        <v>1360</v>
      </c>
      <c r="B5174" s="11"/>
      <c r="C5174" s="11"/>
      <c r="D5174" s="17">
        <v>3948.99</v>
      </c>
    </row>
    <row r="5175" spans="1:4" x14ac:dyDescent="0.3">
      <c r="A5175" s="10">
        <v>1065</v>
      </c>
      <c r="B5175" s="10" t="s">
        <v>18</v>
      </c>
      <c r="C5175" s="10" t="s">
        <v>40</v>
      </c>
      <c r="D5175" s="17">
        <v>1103.98</v>
      </c>
    </row>
    <row r="5176" spans="1:4" x14ac:dyDescent="0.3">
      <c r="A5176" s="12"/>
      <c r="B5176" s="12"/>
      <c r="C5176" s="14" t="s">
        <v>75</v>
      </c>
      <c r="D5176" s="18">
        <v>3499.99</v>
      </c>
    </row>
    <row r="5177" spans="1:4" x14ac:dyDescent="0.3">
      <c r="A5177" s="12"/>
      <c r="B5177" s="12"/>
      <c r="C5177" s="14" t="s">
        <v>84</v>
      </c>
      <c r="D5177" s="18">
        <v>2999.98</v>
      </c>
    </row>
    <row r="5178" spans="1:4" x14ac:dyDescent="0.3">
      <c r="A5178" s="12"/>
      <c r="B5178" s="10" t="s">
        <v>1916</v>
      </c>
      <c r="C5178" s="11"/>
      <c r="D5178" s="17">
        <v>7603.9499999999989</v>
      </c>
    </row>
    <row r="5179" spans="1:4" x14ac:dyDescent="0.3">
      <c r="A5179" s="10" t="s">
        <v>1361</v>
      </c>
      <c r="B5179" s="11"/>
      <c r="C5179" s="11"/>
      <c r="D5179" s="17">
        <v>7603.9499999999989</v>
      </c>
    </row>
    <row r="5180" spans="1:4" x14ac:dyDescent="0.3">
      <c r="A5180" s="10">
        <v>1066</v>
      </c>
      <c r="B5180" s="10" t="s">
        <v>18</v>
      </c>
      <c r="C5180" s="10" t="s">
        <v>27</v>
      </c>
      <c r="D5180" s="17">
        <v>1059.98</v>
      </c>
    </row>
    <row r="5181" spans="1:4" x14ac:dyDescent="0.3">
      <c r="A5181" s="12"/>
      <c r="B5181" s="12"/>
      <c r="C5181" s="14" t="s">
        <v>25</v>
      </c>
      <c r="D5181" s="18">
        <v>549.99</v>
      </c>
    </row>
    <row r="5182" spans="1:4" x14ac:dyDescent="0.3">
      <c r="A5182" s="12"/>
      <c r="B5182" s="12"/>
      <c r="C5182" s="14" t="s">
        <v>118</v>
      </c>
      <c r="D5182" s="18">
        <v>1409.99</v>
      </c>
    </row>
    <row r="5183" spans="1:4" x14ac:dyDescent="0.3">
      <c r="A5183" s="12"/>
      <c r="B5183" s="10" t="s">
        <v>1916</v>
      </c>
      <c r="C5183" s="11"/>
      <c r="D5183" s="17">
        <v>3019.96</v>
      </c>
    </row>
    <row r="5184" spans="1:4" x14ac:dyDescent="0.3">
      <c r="A5184" s="10" t="s">
        <v>1362</v>
      </c>
      <c r="B5184" s="11"/>
      <c r="C5184" s="11"/>
      <c r="D5184" s="17">
        <v>3019.96</v>
      </c>
    </row>
    <row r="5185" spans="1:4" x14ac:dyDescent="0.3">
      <c r="A5185" s="10">
        <v>1067</v>
      </c>
      <c r="B5185" s="10" t="s">
        <v>18</v>
      </c>
      <c r="C5185" s="10" t="s">
        <v>61</v>
      </c>
      <c r="D5185" s="17">
        <v>879.98</v>
      </c>
    </row>
    <row r="5186" spans="1:4" x14ac:dyDescent="0.3">
      <c r="A5186" s="12"/>
      <c r="B5186" s="12"/>
      <c r="C5186" s="14" t="s">
        <v>44</v>
      </c>
      <c r="D5186" s="18">
        <v>1239.98</v>
      </c>
    </row>
    <row r="5187" spans="1:4" x14ac:dyDescent="0.3">
      <c r="A5187" s="12"/>
      <c r="B5187" s="12"/>
      <c r="C5187" s="14" t="s">
        <v>32</v>
      </c>
      <c r="D5187" s="18">
        <v>939.98</v>
      </c>
    </row>
    <row r="5188" spans="1:4" x14ac:dyDescent="0.3">
      <c r="A5188" s="12"/>
      <c r="B5188" s="12"/>
      <c r="C5188" s="14" t="s">
        <v>26</v>
      </c>
      <c r="D5188" s="18">
        <v>5999.98</v>
      </c>
    </row>
    <row r="5189" spans="1:4" x14ac:dyDescent="0.3">
      <c r="A5189" s="12"/>
      <c r="B5189" s="10" t="s">
        <v>1916</v>
      </c>
      <c r="C5189" s="11"/>
      <c r="D5189" s="17">
        <v>9059.92</v>
      </c>
    </row>
    <row r="5190" spans="1:4" x14ac:dyDescent="0.3">
      <c r="A5190" s="10" t="s">
        <v>1363</v>
      </c>
      <c r="B5190" s="11"/>
      <c r="C5190" s="11"/>
      <c r="D5190" s="17">
        <v>9059.92</v>
      </c>
    </row>
    <row r="5191" spans="1:4" x14ac:dyDescent="0.3">
      <c r="A5191" s="10">
        <v>1068</v>
      </c>
      <c r="B5191" s="10" t="s">
        <v>18</v>
      </c>
      <c r="C5191" s="10" t="s">
        <v>100</v>
      </c>
      <c r="D5191" s="17">
        <v>659.99</v>
      </c>
    </row>
    <row r="5192" spans="1:4" x14ac:dyDescent="0.3">
      <c r="A5192" s="12"/>
      <c r="B5192" s="12"/>
      <c r="C5192" s="14" t="s">
        <v>88</v>
      </c>
      <c r="D5192" s="18">
        <v>1739.98</v>
      </c>
    </row>
    <row r="5193" spans="1:4" x14ac:dyDescent="0.3">
      <c r="A5193" s="12"/>
      <c r="B5193" s="12"/>
      <c r="C5193" s="14" t="s">
        <v>70</v>
      </c>
      <c r="D5193" s="18">
        <v>6999.98</v>
      </c>
    </row>
    <row r="5194" spans="1:4" x14ac:dyDescent="0.3">
      <c r="A5194" s="12"/>
      <c r="B5194" s="12"/>
      <c r="C5194" s="14" t="s">
        <v>117</v>
      </c>
      <c r="D5194" s="18">
        <v>379.98</v>
      </c>
    </row>
    <row r="5195" spans="1:4" x14ac:dyDescent="0.3">
      <c r="A5195" s="12"/>
      <c r="B5195" s="10" t="s">
        <v>1916</v>
      </c>
      <c r="C5195" s="11"/>
      <c r="D5195" s="17">
        <v>9779.93</v>
      </c>
    </row>
    <row r="5196" spans="1:4" x14ac:dyDescent="0.3">
      <c r="A5196" s="10" t="s">
        <v>1364</v>
      </c>
      <c r="B5196" s="11"/>
      <c r="C5196" s="11"/>
      <c r="D5196" s="17">
        <v>9779.93</v>
      </c>
    </row>
    <row r="5197" spans="1:4" x14ac:dyDescent="0.3">
      <c r="A5197" s="10">
        <v>1069</v>
      </c>
      <c r="B5197" s="10" t="s">
        <v>18</v>
      </c>
      <c r="C5197" s="10" t="s">
        <v>110</v>
      </c>
      <c r="D5197" s="17">
        <v>209.99</v>
      </c>
    </row>
    <row r="5198" spans="1:4" x14ac:dyDescent="0.3">
      <c r="A5198" s="12"/>
      <c r="B5198" s="12"/>
      <c r="C5198" s="14" t="s">
        <v>49</v>
      </c>
      <c r="D5198" s="18">
        <v>416.99</v>
      </c>
    </row>
    <row r="5199" spans="1:4" x14ac:dyDescent="0.3">
      <c r="A5199" s="12"/>
      <c r="B5199" s="10" t="s">
        <v>1916</v>
      </c>
      <c r="C5199" s="11"/>
      <c r="D5199" s="17">
        <v>626.98</v>
      </c>
    </row>
    <row r="5200" spans="1:4" x14ac:dyDescent="0.3">
      <c r="A5200" s="10" t="s">
        <v>1365</v>
      </c>
      <c r="B5200" s="11"/>
      <c r="C5200" s="11"/>
      <c r="D5200" s="17">
        <v>626.98</v>
      </c>
    </row>
    <row r="5201" spans="1:4" x14ac:dyDescent="0.3">
      <c r="A5201" s="10">
        <v>1070</v>
      </c>
      <c r="B5201" s="10" t="s">
        <v>18</v>
      </c>
      <c r="C5201" s="10" t="s">
        <v>59</v>
      </c>
      <c r="D5201" s="17">
        <v>249.99</v>
      </c>
    </row>
    <row r="5202" spans="1:4" x14ac:dyDescent="0.3">
      <c r="A5202" s="12"/>
      <c r="B5202" s="12"/>
      <c r="C5202" s="14" t="s">
        <v>24</v>
      </c>
      <c r="D5202" s="18">
        <v>898</v>
      </c>
    </row>
    <row r="5203" spans="1:4" x14ac:dyDescent="0.3">
      <c r="A5203" s="12"/>
      <c r="B5203" s="12"/>
      <c r="C5203" s="14" t="s">
        <v>65</v>
      </c>
      <c r="D5203" s="18">
        <v>470.99</v>
      </c>
    </row>
    <row r="5204" spans="1:4" x14ac:dyDescent="0.3">
      <c r="A5204" s="12"/>
      <c r="B5204" s="10" t="s">
        <v>1916</v>
      </c>
      <c r="C5204" s="11"/>
      <c r="D5204" s="17">
        <v>1618.98</v>
      </c>
    </row>
    <row r="5205" spans="1:4" x14ac:dyDescent="0.3">
      <c r="A5205" s="10" t="s">
        <v>1366</v>
      </c>
      <c r="B5205" s="11"/>
      <c r="C5205" s="11"/>
      <c r="D5205" s="17">
        <v>1618.98</v>
      </c>
    </row>
    <row r="5206" spans="1:4" x14ac:dyDescent="0.3">
      <c r="A5206" s="10">
        <v>1071</v>
      </c>
      <c r="B5206" s="10" t="s">
        <v>37</v>
      </c>
      <c r="C5206" s="10" t="s">
        <v>35</v>
      </c>
      <c r="D5206" s="17">
        <v>999.98</v>
      </c>
    </row>
    <row r="5207" spans="1:4" x14ac:dyDescent="0.3">
      <c r="A5207" s="12"/>
      <c r="B5207" s="10" t="s">
        <v>1917</v>
      </c>
      <c r="C5207" s="11"/>
      <c r="D5207" s="17">
        <v>999.98</v>
      </c>
    </row>
    <row r="5208" spans="1:4" x14ac:dyDescent="0.3">
      <c r="A5208" s="10" t="s">
        <v>1367</v>
      </c>
      <c r="B5208" s="11"/>
      <c r="C5208" s="11"/>
      <c r="D5208" s="17">
        <v>999.98</v>
      </c>
    </row>
    <row r="5209" spans="1:4" x14ac:dyDescent="0.3">
      <c r="A5209" s="10">
        <v>1072</v>
      </c>
      <c r="B5209" s="10" t="s">
        <v>11</v>
      </c>
      <c r="C5209" s="10" t="s">
        <v>116</v>
      </c>
      <c r="D5209" s="17">
        <v>1665.98</v>
      </c>
    </row>
    <row r="5210" spans="1:4" x14ac:dyDescent="0.3">
      <c r="A5210" s="12"/>
      <c r="B5210" s="12"/>
      <c r="C5210" s="14" t="s">
        <v>66</v>
      </c>
      <c r="D5210" s="18">
        <v>149.99</v>
      </c>
    </row>
    <row r="5211" spans="1:4" x14ac:dyDescent="0.3">
      <c r="A5211" s="12"/>
      <c r="B5211" s="12"/>
      <c r="C5211" s="14" t="s">
        <v>94</v>
      </c>
      <c r="D5211" s="18">
        <v>419.98</v>
      </c>
    </row>
    <row r="5212" spans="1:4" x14ac:dyDescent="0.3">
      <c r="A5212" s="12"/>
      <c r="B5212" s="10" t="s">
        <v>1915</v>
      </c>
      <c r="C5212" s="11"/>
      <c r="D5212" s="17">
        <v>2235.9499999999998</v>
      </c>
    </row>
    <row r="5213" spans="1:4" x14ac:dyDescent="0.3">
      <c r="A5213" s="10" t="s">
        <v>1368</v>
      </c>
      <c r="B5213" s="11"/>
      <c r="C5213" s="11"/>
      <c r="D5213" s="17">
        <v>2235.9499999999998</v>
      </c>
    </row>
    <row r="5214" spans="1:4" x14ac:dyDescent="0.3">
      <c r="A5214" s="10">
        <v>1073</v>
      </c>
      <c r="B5214" s="10" t="s">
        <v>18</v>
      </c>
      <c r="C5214" s="10" t="s">
        <v>99</v>
      </c>
      <c r="D5214" s="17">
        <v>1099.99</v>
      </c>
    </row>
    <row r="5215" spans="1:4" x14ac:dyDescent="0.3">
      <c r="A5215" s="12"/>
      <c r="B5215" s="12"/>
      <c r="C5215" s="14" t="s">
        <v>31</v>
      </c>
      <c r="D5215" s="18">
        <v>269.99</v>
      </c>
    </row>
    <row r="5216" spans="1:4" x14ac:dyDescent="0.3">
      <c r="A5216" s="12"/>
      <c r="B5216" s="12"/>
      <c r="C5216" s="14" t="s">
        <v>10</v>
      </c>
      <c r="D5216" s="18">
        <v>599.99</v>
      </c>
    </row>
    <row r="5217" spans="1:4" x14ac:dyDescent="0.3">
      <c r="A5217" s="12"/>
      <c r="B5217" s="10" t="s">
        <v>1916</v>
      </c>
      <c r="C5217" s="11"/>
      <c r="D5217" s="17">
        <v>1969.97</v>
      </c>
    </row>
    <row r="5218" spans="1:4" x14ac:dyDescent="0.3">
      <c r="A5218" s="10" t="s">
        <v>1369</v>
      </c>
      <c r="B5218" s="11"/>
      <c r="C5218" s="11"/>
      <c r="D5218" s="17">
        <v>1969.97</v>
      </c>
    </row>
    <row r="5219" spans="1:4" x14ac:dyDescent="0.3">
      <c r="A5219" s="10">
        <v>1074</v>
      </c>
      <c r="B5219" s="10" t="s">
        <v>18</v>
      </c>
      <c r="C5219" s="10" t="s">
        <v>74</v>
      </c>
      <c r="D5219" s="17">
        <v>2599.9899999999998</v>
      </c>
    </row>
    <row r="5220" spans="1:4" x14ac:dyDescent="0.3">
      <c r="A5220" s="12"/>
      <c r="B5220" s="12"/>
      <c r="C5220" s="14" t="s">
        <v>117</v>
      </c>
      <c r="D5220" s="18">
        <v>189.99</v>
      </c>
    </row>
    <row r="5221" spans="1:4" x14ac:dyDescent="0.3">
      <c r="A5221" s="12"/>
      <c r="B5221" s="12"/>
      <c r="C5221" s="14" t="s">
        <v>94</v>
      </c>
      <c r="D5221" s="18">
        <v>419.98</v>
      </c>
    </row>
    <row r="5222" spans="1:4" x14ac:dyDescent="0.3">
      <c r="A5222" s="12"/>
      <c r="B5222" s="10" t="s">
        <v>1916</v>
      </c>
      <c r="C5222" s="11"/>
      <c r="D5222" s="17">
        <v>3209.9599999999996</v>
      </c>
    </row>
    <row r="5223" spans="1:4" x14ac:dyDescent="0.3">
      <c r="A5223" s="10" t="s">
        <v>1370</v>
      </c>
      <c r="B5223" s="11"/>
      <c r="C5223" s="11"/>
      <c r="D5223" s="17">
        <v>3209.9599999999996</v>
      </c>
    </row>
    <row r="5224" spans="1:4" x14ac:dyDescent="0.3">
      <c r="A5224" s="10">
        <v>1075</v>
      </c>
      <c r="B5224" s="10" t="s">
        <v>11</v>
      </c>
      <c r="C5224" s="10" t="s">
        <v>112</v>
      </c>
      <c r="D5224" s="17">
        <v>941.98</v>
      </c>
    </row>
    <row r="5225" spans="1:4" x14ac:dyDescent="0.3">
      <c r="A5225" s="12"/>
      <c r="B5225" s="12"/>
      <c r="C5225" s="14" t="s">
        <v>84</v>
      </c>
      <c r="D5225" s="18">
        <v>2999.98</v>
      </c>
    </row>
    <row r="5226" spans="1:4" x14ac:dyDescent="0.3">
      <c r="A5226" s="12"/>
      <c r="B5226" s="10" t="s">
        <v>1915</v>
      </c>
      <c r="C5226" s="11"/>
      <c r="D5226" s="17">
        <v>3941.96</v>
      </c>
    </row>
    <row r="5227" spans="1:4" x14ac:dyDescent="0.3">
      <c r="A5227" s="10" t="s">
        <v>1371</v>
      </c>
      <c r="B5227" s="11"/>
      <c r="C5227" s="11"/>
      <c r="D5227" s="17">
        <v>3941.96</v>
      </c>
    </row>
    <row r="5228" spans="1:4" x14ac:dyDescent="0.3">
      <c r="A5228" s="10">
        <v>1076</v>
      </c>
      <c r="B5228" s="10" t="s">
        <v>18</v>
      </c>
      <c r="C5228" s="10" t="s">
        <v>48</v>
      </c>
      <c r="D5228" s="17">
        <v>299.99</v>
      </c>
    </row>
    <row r="5229" spans="1:4" x14ac:dyDescent="0.3">
      <c r="A5229" s="12"/>
      <c r="B5229" s="12"/>
      <c r="C5229" s="14" t="s">
        <v>51</v>
      </c>
      <c r="D5229" s="18">
        <v>489.99</v>
      </c>
    </row>
    <row r="5230" spans="1:4" x14ac:dyDescent="0.3">
      <c r="A5230" s="12"/>
      <c r="B5230" s="12"/>
      <c r="C5230" s="14" t="s">
        <v>43</v>
      </c>
      <c r="D5230" s="18">
        <v>1499.98</v>
      </c>
    </row>
    <row r="5231" spans="1:4" x14ac:dyDescent="0.3">
      <c r="A5231" s="12"/>
      <c r="B5231" s="10" t="s">
        <v>1916</v>
      </c>
      <c r="C5231" s="11"/>
      <c r="D5231" s="17">
        <v>2289.96</v>
      </c>
    </row>
    <row r="5232" spans="1:4" x14ac:dyDescent="0.3">
      <c r="A5232" s="10" t="s">
        <v>1372</v>
      </c>
      <c r="B5232" s="11"/>
      <c r="C5232" s="11"/>
      <c r="D5232" s="17">
        <v>2289.96</v>
      </c>
    </row>
    <row r="5233" spans="1:4" x14ac:dyDescent="0.3">
      <c r="A5233" s="10">
        <v>1077</v>
      </c>
      <c r="B5233" s="10" t="s">
        <v>18</v>
      </c>
      <c r="C5233" s="10" t="s">
        <v>101</v>
      </c>
      <c r="D5233" s="17">
        <v>3119.98</v>
      </c>
    </row>
    <row r="5234" spans="1:4" x14ac:dyDescent="0.3">
      <c r="A5234" s="12"/>
      <c r="B5234" s="10" t="s">
        <v>1916</v>
      </c>
      <c r="C5234" s="11"/>
      <c r="D5234" s="17">
        <v>3119.98</v>
      </c>
    </row>
    <row r="5235" spans="1:4" x14ac:dyDescent="0.3">
      <c r="A5235" s="10" t="s">
        <v>1373</v>
      </c>
      <c r="B5235" s="11"/>
      <c r="C5235" s="11"/>
      <c r="D5235" s="17">
        <v>3119.98</v>
      </c>
    </row>
    <row r="5236" spans="1:4" x14ac:dyDescent="0.3">
      <c r="A5236" s="10">
        <v>1078</v>
      </c>
      <c r="B5236" s="10" t="s">
        <v>18</v>
      </c>
      <c r="C5236" s="10" t="s">
        <v>48</v>
      </c>
      <c r="D5236" s="17">
        <v>599.98</v>
      </c>
    </row>
    <row r="5237" spans="1:4" x14ac:dyDescent="0.3">
      <c r="A5237" s="12"/>
      <c r="B5237" s="12"/>
      <c r="C5237" s="14" t="s">
        <v>27</v>
      </c>
      <c r="D5237" s="18">
        <v>529.99</v>
      </c>
    </row>
    <row r="5238" spans="1:4" x14ac:dyDescent="0.3">
      <c r="A5238" s="12"/>
      <c r="B5238" s="12"/>
      <c r="C5238" s="14" t="s">
        <v>44</v>
      </c>
      <c r="D5238" s="18">
        <v>1239.98</v>
      </c>
    </row>
    <row r="5239" spans="1:4" x14ac:dyDescent="0.3">
      <c r="A5239" s="12"/>
      <c r="B5239" s="12"/>
      <c r="C5239" s="14" t="s">
        <v>101</v>
      </c>
      <c r="D5239" s="18">
        <v>3119.98</v>
      </c>
    </row>
    <row r="5240" spans="1:4" x14ac:dyDescent="0.3">
      <c r="A5240" s="12"/>
      <c r="B5240" s="12"/>
      <c r="C5240" s="14" t="s">
        <v>13</v>
      </c>
      <c r="D5240" s="18">
        <v>3098</v>
      </c>
    </row>
    <row r="5241" spans="1:4" x14ac:dyDescent="0.3">
      <c r="A5241" s="12"/>
      <c r="B5241" s="10" t="s">
        <v>1916</v>
      </c>
      <c r="C5241" s="11"/>
      <c r="D5241" s="17">
        <v>8587.93</v>
      </c>
    </row>
    <row r="5242" spans="1:4" x14ac:dyDescent="0.3">
      <c r="A5242" s="10" t="s">
        <v>1374</v>
      </c>
      <c r="B5242" s="11"/>
      <c r="C5242" s="11"/>
      <c r="D5242" s="17">
        <v>8587.93</v>
      </c>
    </row>
    <row r="5243" spans="1:4" x14ac:dyDescent="0.3">
      <c r="A5243" s="10">
        <v>1079</v>
      </c>
      <c r="B5243" s="10" t="s">
        <v>18</v>
      </c>
      <c r="C5243" s="10" t="s">
        <v>73</v>
      </c>
      <c r="D5243" s="17">
        <v>1319.98</v>
      </c>
    </row>
    <row r="5244" spans="1:4" x14ac:dyDescent="0.3">
      <c r="A5244" s="12"/>
      <c r="B5244" s="10" t="s">
        <v>1916</v>
      </c>
      <c r="C5244" s="11"/>
      <c r="D5244" s="17">
        <v>1319.98</v>
      </c>
    </row>
    <row r="5245" spans="1:4" x14ac:dyDescent="0.3">
      <c r="A5245" s="10" t="s">
        <v>1375</v>
      </c>
      <c r="B5245" s="11"/>
      <c r="C5245" s="11"/>
      <c r="D5245" s="17">
        <v>1319.98</v>
      </c>
    </row>
    <row r="5246" spans="1:4" x14ac:dyDescent="0.3">
      <c r="A5246" s="10">
        <v>1080</v>
      </c>
      <c r="B5246" s="10" t="s">
        <v>18</v>
      </c>
      <c r="C5246" s="10" t="s">
        <v>102</v>
      </c>
      <c r="D5246" s="17">
        <v>1632.99</v>
      </c>
    </row>
    <row r="5247" spans="1:4" x14ac:dyDescent="0.3">
      <c r="A5247" s="12"/>
      <c r="B5247" s="12"/>
      <c r="C5247" s="14" t="s">
        <v>46</v>
      </c>
      <c r="D5247" s="18">
        <v>939.98</v>
      </c>
    </row>
    <row r="5248" spans="1:4" x14ac:dyDescent="0.3">
      <c r="A5248" s="12"/>
      <c r="B5248" s="12"/>
      <c r="C5248" s="14" t="s">
        <v>104</v>
      </c>
      <c r="D5248" s="18">
        <v>4999.99</v>
      </c>
    </row>
    <row r="5249" spans="1:4" x14ac:dyDescent="0.3">
      <c r="A5249" s="12"/>
      <c r="B5249" s="12"/>
      <c r="C5249" s="14" t="s">
        <v>115</v>
      </c>
      <c r="D5249" s="18">
        <v>149.99</v>
      </c>
    </row>
    <row r="5250" spans="1:4" x14ac:dyDescent="0.3">
      <c r="A5250" s="12"/>
      <c r="B5250" s="12"/>
      <c r="C5250" s="14" t="s">
        <v>79</v>
      </c>
      <c r="D5250" s="18">
        <v>5999.99</v>
      </c>
    </row>
    <row r="5251" spans="1:4" x14ac:dyDescent="0.3">
      <c r="A5251" s="12"/>
      <c r="B5251" s="10" t="s">
        <v>1916</v>
      </c>
      <c r="C5251" s="11"/>
      <c r="D5251" s="17">
        <v>13722.939999999999</v>
      </c>
    </row>
    <row r="5252" spans="1:4" x14ac:dyDescent="0.3">
      <c r="A5252" s="10" t="s">
        <v>1376</v>
      </c>
      <c r="B5252" s="11"/>
      <c r="C5252" s="11"/>
      <c r="D5252" s="17">
        <v>13722.939999999999</v>
      </c>
    </row>
    <row r="5253" spans="1:4" x14ac:dyDescent="0.3">
      <c r="A5253" s="10">
        <v>1081</v>
      </c>
      <c r="B5253" s="10" t="s">
        <v>18</v>
      </c>
      <c r="C5253" s="10" t="s">
        <v>68</v>
      </c>
      <c r="D5253" s="17">
        <v>1751.98</v>
      </c>
    </row>
    <row r="5254" spans="1:4" x14ac:dyDescent="0.3">
      <c r="A5254" s="12"/>
      <c r="B5254" s="10" t="s">
        <v>1916</v>
      </c>
      <c r="C5254" s="11"/>
      <c r="D5254" s="17">
        <v>1751.98</v>
      </c>
    </row>
    <row r="5255" spans="1:4" x14ac:dyDescent="0.3">
      <c r="A5255" s="10" t="s">
        <v>1377</v>
      </c>
      <c r="B5255" s="11"/>
      <c r="C5255" s="11"/>
      <c r="D5255" s="17">
        <v>1751.98</v>
      </c>
    </row>
    <row r="5256" spans="1:4" x14ac:dyDescent="0.3">
      <c r="A5256" s="10">
        <v>1082</v>
      </c>
      <c r="B5256" s="10" t="s">
        <v>18</v>
      </c>
      <c r="C5256" s="10" t="s">
        <v>71</v>
      </c>
      <c r="D5256" s="17">
        <v>1999.98</v>
      </c>
    </row>
    <row r="5257" spans="1:4" x14ac:dyDescent="0.3">
      <c r="A5257" s="12"/>
      <c r="B5257" s="10" t="s">
        <v>1916</v>
      </c>
      <c r="C5257" s="11"/>
      <c r="D5257" s="17">
        <v>1999.98</v>
      </c>
    </row>
    <row r="5258" spans="1:4" x14ac:dyDescent="0.3">
      <c r="A5258" s="10" t="s">
        <v>1378</v>
      </c>
      <c r="B5258" s="11"/>
      <c r="C5258" s="11"/>
      <c r="D5258" s="17">
        <v>1999.98</v>
      </c>
    </row>
    <row r="5259" spans="1:4" x14ac:dyDescent="0.3">
      <c r="A5259" s="10">
        <v>1083</v>
      </c>
      <c r="B5259" s="10" t="s">
        <v>18</v>
      </c>
      <c r="C5259" s="10" t="s">
        <v>113</v>
      </c>
      <c r="D5259" s="17">
        <v>1599.98</v>
      </c>
    </row>
    <row r="5260" spans="1:4" x14ac:dyDescent="0.3">
      <c r="A5260" s="12"/>
      <c r="B5260" s="12"/>
      <c r="C5260" s="14" t="s">
        <v>114</v>
      </c>
      <c r="D5260" s="18">
        <v>693.98</v>
      </c>
    </row>
    <row r="5261" spans="1:4" x14ac:dyDescent="0.3">
      <c r="A5261" s="12"/>
      <c r="B5261" s="12"/>
      <c r="C5261" s="14" t="s">
        <v>67</v>
      </c>
      <c r="D5261" s="18">
        <v>469.99</v>
      </c>
    </row>
    <row r="5262" spans="1:4" x14ac:dyDescent="0.3">
      <c r="A5262" s="12"/>
      <c r="B5262" s="12"/>
      <c r="C5262" s="14" t="s">
        <v>45</v>
      </c>
      <c r="D5262" s="18">
        <v>4999.99</v>
      </c>
    </row>
    <row r="5263" spans="1:4" x14ac:dyDescent="0.3">
      <c r="A5263" s="12"/>
      <c r="B5263" s="10" t="s">
        <v>1916</v>
      </c>
      <c r="C5263" s="11"/>
      <c r="D5263" s="17">
        <v>7763.94</v>
      </c>
    </row>
    <row r="5264" spans="1:4" x14ac:dyDescent="0.3">
      <c r="A5264" s="10" t="s">
        <v>1379</v>
      </c>
      <c r="B5264" s="11"/>
      <c r="C5264" s="11"/>
      <c r="D5264" s="17">
        <v>7763.94</v>
      </c>
    </row>
    <row r="5265" spans="1:4" x14ac:dyDescent="0.3">
      <c r="A5265" s="10">
        <v>1084</v>
      </c>
      <c r="B5265" s="10" t="s">
        <v>11</v>
      </c>
      <c r="C5265" s="10" t="s">
        <v>73</v>
      </c>
      <c r="D5265" s="17">
        <v>659.99</v>
      </c>
    </row>
    <row r="5266" spans="1:4" x14ac:dyDescent="0.3">
      <c r="A5266" s="12"/>
      <c r="B5266" s="12"/>
      <c r="C5266" s="14" t="s">
        <v>82</v>
      </c>
      <c r="D5266" s="18">
        <v>979.98</v>
      </c>
    </row>
    <row r="5267" spans="1:4" x14ac:dyDescent="0.3">
      <c r="A5267" s="12"/>
      <c r="B5267" s="12"/>
      <c r="C5267" s="14" t="s">
        <v>101</v>
      </c>
      <c r="D5267" s="18">
        <v>1559.99</v>
      </c>
    </row>
    <row r="5268" spans="1:4" x14ac:dyDescent="0.3">
      <c r="A5268" s="12"/>
      <c r="B5268" s="12"/>
      <c r="C5268" s="14" t="s">
        <v>114</v>
      </c>
      <c r="D5268" s="18">
        <v>693.98</v>
      </c>
    </row>
    <row r="5269" spans="1:4" x14ac:dyDescent="0.3">
      <c r="A5269" s="12"/>
      <c r="B5269" s="12"/>
      <c r="C5269" s="14" t="s">
        <v>47</v>
      </c>
      <c r="D5269" s="18">
        <v>999.99</v>
      </c>
    </row>
    <row r="5270" spans="1:4" x14ac:dyDescent="0.3">
      <c r="A5270" s="12"/>
      <c r="B5270" s="10" t="s">
        <v>1915</v>
      </c>
      <c r="C5270" s="11"/>
      <c r="D5270" s="17">
        <v>4893.93</v>
      </c>
    </row>
    <row r="5271" spans="1:4" x14ac:dyDescent="0.3">
      <c r="A5271" s="10" t="s">
        <v>1380</v>
      </c>
      <c r="B5271" s="11"/>
      <c r="C5271" s="11"/>
      <c r="D5271" s="17">
        <v>4893.93</v>
      </c>
    </row>
    <row r="5272" spans="1:4" x14ac:dyDescent="0.3">
      <c r="A5272" s="10">
        <v>1085</v>
      </c>
      <c r="B5272" s="10" t="s">
        <v>11</v>
      </c>
      <c r="C5272" s="10" t="s">
        <v>61</v>
      </c>
      <c r="D5272" s="17">
        <v>439.99</v>
      </c>
    </row>
    <row r="5273" spans="1:4" x14ac:dyDescent="0.3">
      <c r="A5273" s="12"/>
      <c r="B5273" s="12"/>
      <c r="C5273" s="14" t="s">
        <v>51</v>
      </c>
      <c r="D5273" s="18">
        <v>489.99</v>
      </c>
    </row>
    <row r="5274" spans="1:4" x14ac:dyDescent="0.3">
      <c r="A5274" s="12"/>
      <c r="B5274" s="12"/>
      <c r="C5274" s="14" t="s">
        <v>92</v>
      </c>
      <c r="D5274" s="18">
        <v>501.98</v>
      </c>
    </row>
    <row r="5275" spans="1:4" x14ac:dyDescent="0.3">
      <c r="A5275" s="12"/>
      <c r="B5275" s="10" t="s">
        <v>1915</v>
      </c>
      <c r="C5275" s="11"/>
      <c r="D5275" s="17">
        <v>1431.96</v>
      </c>
    </row>
    <row r="5276" spans="1:4" x14ac:dyDescent="0.3">
      <c r="A5276" s="10" t="s">
        <v>1381</v>
      </c>
      <c r="B5276" s="11"/>
      <c r="C5276" s="11"/>
      <c r="D5276" s="17">
        <v>1431.96</v>
      </c>
    </row>
    <row r="5277" spans="1:4" x14ac:dyDescent="0.3">
      <c r="A5277" s="10">
        <v>1086</v>
      </c>
      <c r="B5277" s="10" t="s">
        <v>18</v>
      </c>
      <c r="C5277" s="10" t="s">
        <v>99</v>
      </c>
      <c r="D5277" s="17">
        <v>2199.98</v>
      </c>
    </row>
    <row r="5278" spans="1:4" x14ac:dyDescent="0.3">
      <c r="A5278" s="12"/>
      <c r="B5278" s="12"/>
      <c r="C5278" s="14" t="s">
        <v>34</v>
      </c>
      <c r="D5278" s="18">
        <v>1320.99</v>
      </c>
    </row>
    <row r="5279" spans="1:4" x14ac:dyDescent="0.3">
      <c r="A5279" s="12"/>
      <c r="B5279" s="12"/>
      <c r="C5279" s="14" t="s">
        <v>85</v>
      </c>
      <c r="D5279" s="18">
        <v>449.99</v>
      </c>
    </row>
    <row r="5280" spans="1:4" x14ac:dyDescent="0.3">
      <c r="A5280" s="12"/>
      <c r="B5280" s="12"/>
      <c r="C5280" s="14" t="s">
        <v>60</v>
      </c>
      <c r="D5280" s="18">
        <v>250.99</v>
      </c>
    </row>
    <row r="5281" spans="1:4" x14ac:dyDescent="0.3">
      <c r="A5281" s="12"/>
      <c r="B5281" s="12"/>
      <c r="C5281" s="14" t="s">
        <v>13</v>
      </c>
      <c r="D5281" s="18">
        <v>3098</v>
      </c>
    </row>
    <row r="5282" spans="1:4" x14ac:dyDescent="0.3">
      <c r="A5282" s="12"/>
      <c r="B5282" s="10" t="s">
        <v>1916</v>
      </c>
      <c r="C5282" s="11"/>
      <c r="D5282" s="17">
        <v>7319.95</v>
      </c>
    </row>
    <row r="5283" spans="1:4" x14ac:dyDescent="0.3">
      <c r="A5283" s="10" t="s">
        <v>1382</v>
      </c>
      <c r="B5283" s="11"/>
      <c r="C5283" s="11"/>
      <c r="D5283" s="17">
        <v>7319.95</v>
      </c>
    </row>
    <row r="5284" spans="1:4" x14ac:dyDescent="0.3">
      <c r="A5284" s="10">
        <v>1087</v>
      </c>
      <c r="B5284" s="10" t="s">
        <v>37</v>
      </c>
      <c r="C5284" s="10" t="s">
        <v>31</v>
      </c>
      <c r="D5284" s="17">
        <v>539.98</v>
      </c>
    </row>
    <row r="5285" spans="1:4" x14ac:dyDescent="0.3">
      <c r="A5285" s="12"/>
      <c r="B5285" s="12"/>
      <c r="C5285" s="14" t="s">
        <v>27</v>
      </c>
      <c r="D5285" s="18">
        <v>529.99</v>
      </c>
    </row>
    <row r="5286" spans="1:4" x14ac:dyDescent="0.3">
      <c r="A5286" s="12"/>
      <c r="B5286" s="12"/>
      <c r="C5286" s="14" t="s">
        <v>51</v>
      </c>
      <c r="D5286" s="18">
        <v>979.98</v>
      </c>
    </row>
    <row r="5287" spans="1:4" x14ac:dyDescent="0.3">
      <c r="A5287" s="12"/>
      <c r="B5287" s="12"/>
      <c r="C5287" s="14" t="s">
        <v>49</v>
      </c>
      <c r="D5287" s="18">
        <v>833.98</v>
      </c>
    </row>
    <row r="5288" spans="1:4" x14ac:dyDescent="0.3">
      <c r="A5288" s="12"/>
      <c r="B5288" s="12"/>
      <c r="C5288" s="14" t="s">
        <v>74</v>
      </c>
      <c r="D5288" s="18">
        <v>5199.9799999999996</v>
      </c>
    </row>
    <row r="5289" spans="1:4" x14ac:dyDescent="0.3">
      <c r="A5289" s="12"/>
      <c r="B5289" s="10" t="s">
        <v>1917</v>
      </c>
      <c r="C5289" s="11"/>
      <c r="D5289" s="17">
        <v>8083.91</v>
      </c>
    </row>
    <row r="5290" spans="1:4" x14ac:dyDescent="0.3">
      <c r="A5290" s="10" t="s">
        <v>1383</v>
      </c>
      <c r="B5290" s="11"/>
      <c r="C5290" s="11"/>
      <c r="D5290" s="17">
        <v>8083.91</v>
      </c>
    </row>
    <row r="5291" spans="1:4" x14ac:dyDescent="0.3">
      <c r="A5291" s="10">
        <v>1088</v>
      </c>
      <c r="B5291" s="10" t="s">
        <v>37</v>
      </c>
      <c r="C5291" s="10" t="s">
        <v>51</v>
      </c>
      <c r="D5291" s="17">
        <v>489.99</v>
      </c>
    </row>
    <row r="5292" spans="1:4" x14ac:dyDescent="0.3">
      <c r="A5292" s="12"/>
      <c r="B5292" s="12"/>
      <c r="C5292" s="14" t="s">
        <v>47</v>
      </c>
      <c r="D5292" s="18">
        <v>999.99</v>
      </c>
    </row>
    <row r="5293" spans="1:4" x14ac:dyDescent="0.3">
      <c r="A5293" s="12"/>
      <c r="B5293" s="12"/>
      <c r="C5293" s="14" t="s">
        <v>116</v>
      </c>
      <c r="D5293" s="18">
        <v>1665.98</v>
      </c>
    </row>
    <row r="5294" spans="1:4" x14ac:dyDescent="0.3">
      <c r="A5294" s="12"/>
      <c r="B5294" s="12"/>
      <c r="C5294" s="14" t="s">
        <v>67</v>
      </c>
      <c r="D5294" s="18">
        <v>469.99</v>
      </c>
    </row>
    <row r="5295" spans="1:4" x14ac:dyDescent="0.3">
      <c r="A5295" s="12"/>
      <c r="B5295" s="10" t="s">
        <v>1917</v>
      </c>
      <c r="C5295" s="11"/>
      <c r="D5295" s="17">
        <v>3625.95</v>
      </c>
    </row>
    <row r="5296" spans="1:4" x14ac:dyDescent="0.3">
      <c r="A5296" s="10" t="s">
        <v>1384</v>
      </c>
      <c r="B5296" s="11"/>
      <c r="C5296" s="11"/>
      <c r="D5296" s="17">
        <v>3625.95</v>
      </c>
    </row>
    <row r="5297" spans="1:4" x14ac:dyDescent="0.3">
      <c r="A5297" s="10">
        <v>1089</v>
      </c>
      <c r="B5297" s="10" t="s">
        <v>11</v>
      </c>
      <c r="C5297" s="10" t="s">
        <v>73</v>
      </c>
      <c r="D5297" s="17">
        <v>1319.98</v>
      </c>
    </row>
    <row r="5298" spans="1:4" x14ac:dyDescent="0.3">
      <c r="A5298" s="12"/>
      <c r="B5298" s="12"/>
      <c r="C5298" s="14" t="s">
        <v>47</v>
      </c>
      <c r="D5298" s="18">
        <v>1999.98</v>
      </c>
    </row>
    <row r="5299" spans="1:4" x14ac:dyDescent="0.3">
      <c r="A5299" s="12"/>
      <c r="B5299" s="10" t="s">
        <v>1915</v>
      </c>
      <c r="C5299" s="11"/>
      <c r="D5299" s="17">
        <v>3319.96</v>
      </c>
    </row>
    <row r="5300" spans="1:4" x14ac:dyDescent="0.3">
      <c r="A5300" s="10" t="s">
        <v>1385</v>
      </c>
      <c r="B5300" s="11"/>
      <c r="C5300" s="11"/>
      <c r="D5300" s="17">
        <v>3319.96</v>
      </c>
    </row>
    <row r="5301" spans="1:4" x14ac:dyDescent="0.3">
      <c r="A5301" s="10">
        <v>1090</v>
      </c>
      <c r="B5301" s="10" t="s">
        <v>11</v>
      </c>
      <c r="C5301" s="10" t="s">
        <v>61</v>
      </c>
      <c r="D5301" s="17">
        <v>439.99</v>
      </c>
    </row>
    <row r="5302" spans="1:4" x14ac:dyDescent="0.3">
      <c r="A5302" s="12"/>
      <c r="B5302" s="10" t="s">
        <v>1915</v>
      </c>
      <c r="C5302" s="11"/>
      <c r="D5302" s="17">
        <v>439.99</v>
      </c>
    </row>
    <row r="5303" spans="1:4" x14ac:dyDescent="0.3">
      <c r="A5303" s="10" t="s">
        <v>1386</v>
      </c>
      <c r="B5303" s="11"/>
      <c r="C5303" s="11"/>
      <c r="D5303" s="17">
        <v>439.99</v>
      </c>
    </row>
    <row r="5304" spans="1:4" x14ac:dyDescent="0.3">
      <c r="A5304" s="10">
        <v>1091</v>
      </c>
      <c r="B5304" s="10" t="s">
        <v>18</v>
      </c>
      <c r="C5304" s="10" t="s">
        <v>55</v>
      </c>
      <c r="D5304" s="17">
        <v>349.99</v>
      </c>
    </row>
    <row r="5305" spans="1:4" x14ac:dyDescent="0.3">
      <c r="A5305" s="12"/>
      <c r="B5305" s="12"/>
      <c r="C5305" s="14" t="s">
        <v>36</v>
      </c>
      <c r="D5305" s="18">
        <v>449</v>
      </c>
    </row>
    <row r="5306" spans="1:4" x14ac:dyDescent="0.3">
      <c r="A5306" s="12"/>
      <c r="B5306" s="12"/>
      <c r="C5306" s="14" t="s">
        <v>41</v>
      </c>
      <c r="D5306" s="18">
        <v>5499.99</v>
      </c>
    </row>
    <row r="5307" spans="1:4" x14ac:dyDescent="0.3">
      <c r="A5307" s="12"/>
      <c r="B5307" s="10" t="s">
        <v>1916</v>
      </c>
      <c r="C5307" s="11"/>
      <c r="D5307" s="17">
        <v>6298.98</v>
      </c>
    </row>
    <row r="5308" spans="1:4" x14ac:dyDescent="0.3">
      <c r="A5308" s="10" t="s">
        <v>1387</v>
      </c>
      <c r="B5308" s="11"/>
      <c r="C5308" s="11"/>
      <c r="D5308" s="17">
        <v>6298.98</v>
      </c>
    </row>
    <row r="5309" spans="1:4" x14ac:dyDescent="0.3">
      <c r="A5309" s="10">
        <v>1092</v>
      </c>
      <c r="B5309" s="10" t="s">
        <v>11</v>
      </c>
      <c r="C5309" s="10" t="s">
        <v>24</v>
      </c>
      <c r="D5309" s="17">
        <v>449</v>
      </c>
    </row>
    <row r="5310" spans="1:4" x14ac:dyDescent="0.3">
      <c r="A5310" s="12"/>
      <c r="B5310" s="12"/>
      <c r="C5310" s="14" t="s">
        <v>22</v>
      </c>
      <c r="D5310" s="18">
        <v>1499.98</v>
      </c>
    </row>
    <row r="5311" spans="1:4" x14ac:dyDescent="0.3">
      <c r="A5311" s="12"/>
      <c r="B5311" s="12"/>
      <c r="C5311" s="14" t="s">
        <v>47</v>
      </c>
      <c r="D5311" s="18">
        <v>1999.98</v>
      </c>
    </row>
    <row r="5312" spans="1:4" x14ac:dyDescent="0.3">
      <c r="A5312" s="12"/>
      <c r="B5312" s="12"/>
      <c r="C5312" s="14" t="s">
        <v>107</v>
      </c>
      <c r="D5312" s="18">
        <v>469.99</v>
      </c>
    </row>
    <row r="5313" spans="1:4" x14ac:dyDescent="0.3">
      <c r="A5313" s="12"/>
      <c r="B5313" s="10" t="s">
        <v>1915</v>
      </c>
      <c r="C5313" s="11"/>
      <c r="D5313" s="17">
        <v>4418.95</v>
      </c>
    </row>
    <row r="5314" spans="1:4" x14ac:dyDescent="0.3">
      <c r="A5314" s="10" t="s">
        <v>1388</v>
      </c>
      <c r="B5314" s="11"/>
      <c r="C5314" s="11"/>
      <c r="D5314" s="17">
        <v>4418.95</v>
      </c>
    </row>
    <row r="5315" spans="1:4" x14ac:dyDescent="0.3">
      <c r="A5315" s="10">
        <v>1093</v>
      </c>
      <c r="B5315" s="10" t="s">
        <v>11</v>
      </c>
      <c r="C5315" s="10" t="s">
        <v>88</v>
      </c>
      <c r="D5315" s="17">
        <v>1739.98</v>
      </c>
    </row>
    <row r="5316" spans="1:4" x14ac:dyDescent="0.3">
      <c r="A5316" s="12"/>
      <c r="B5316" s="12"/>
      <c r="C5316" s="14" t="s">
        <v>23</v>
      </c>
      <c r="D5316" s="18">
        <v>858</v>
      </c>
    </row>
    <row r="5317" spans="1:4" x14ac:dyDescent="0.3">
      <c r="A5317" s="12"/>
      <c r="B5317" s="12"/>
      <c r="C5317" s="14" t="s">
        <v>56</v>
      </c>
      <c r="D5317" s="18">
        <v>419.98</v>
      </c>
    </row>
    <row r="5318" spans="1:4" x14ac:dyDescent="0.3">
      <c r="A5318" s="12"/>
      <c r="B5318" s="10" t="s">
        <v>1915</v>
      </c>
      <c r="C5318" s="11"/>
      <c r="D5318" s="17">
        <v>3017.96</v>
      </c>
    </row>
    <row r="5319" spans="1:4" x14ac:dyDescent="0.3">
      <c r="A5319" s="10" t="s">
        <v>1389</v>
      </c>
      <c r="B5319" s="11"/>
      <c r="C5319" s="11"/>
      <c r="D5319" s="17">
        <v>3017.96</v>
      </c>
    </row>
    <row r="5320" spans="1:4" x14ac:dyDescent="0.3">
      <c r="A5320" s="10">
        <v>1094</v>
      </c>
      <c r="B5320" s="10" t="s">
        <v>18</v>
      </c>
      <c r="C5320" s="10" t="s">
        <v>25</v>
      </c>
      <c r="D5320" s="17">
        <v>549.99</v>
      </c>
    </row>
    <row r="5321" spans="1:4" x14ac:dyDescent="0.3">
      <c r="A5321" s="12"/>
      <c r="B5321" s="12"/>
      <c r="C5321" s="14" t="s">
        <v>78</v>
      </c>
      <c r="D5321" s="18">
        <v>416.99</v>
      </c>
    </row>
    <row r="5322" spans="1:4" x14ac:dyDescent="0.3">
      <c r="A5322" s="12"/>
      <c r="B5322" s="12"/>
      <c r="C5322" s="14" t="s">
        <v>89</v>
      </c>
      <c r="D5322" s="18">
        <v>416.99</v>
      </c>
    </row>
    <row r="5323" spans="1:4" x14ac:dyDescent="0.3">
      <c r="A5323" s="12"/>
      <c r="B5323" s="12"/>
      <c r="C5323" s="14" t="s">
        <v>30</v>
      </c>
      <c r="D5323" s="18">
        <v>1680.99</v>
      </c>
    </row>
    <row r="5324" spans="1:4" x14ac:dyDescent="0.3">
      <c r="A5324" s="12"/>
      <c r="B5324" s="10" t="s">
        <v>1916</v>
      </c>
      <c r="C5324" s="11"/>
      <c r="D5324" s="17">
        <v>3064.96</v>
      </c>
    </row>
    <row r="5325" spans="1:4" x14ac:dyDescent="0.3">
      <c r="A5325" s="10" t="s">
        <v>1390</v>
      </c>
      <c r="B5325" s="11"/>
      <c r="C5325" s="11"/>
      <c r="D5325" s="17">
        <v>3064.96</v>
      </c>
    </row>
    <row r="5326" spans="1:4" x14ac:dyDescent="0.3">
      <c r="A5326" s="10">
        <v>1095</v>
      </c>
      <c r="B5326" s="10" t="s">
        <v>37</v>
      </c>
      <c r="C5326" s="10" t="s">
        <v>27</v>
      </c>
      <c r="D5326" s="17">
        <v>1059.98</v>
      </c>
    </row>
    <row r="5327" spans="1:4" x14ac:dyDescent="0.3">
      <c r="A5327" s="12"/>
      <c r="B5327" s="12"/>
      <c r="C5327" s="14" t="s">
        <v>57</v>
      </c>
      <c r="D5327" s="18">
        <v>1295.98</v>
      </c>
    </row>
    <row r="5328" spans="1:4" x14ac:dyDescent="0.3">
      <c r="A5328" s="12"/>
      <c r="B5328" s="12"/>
      <c r="C5328" s="14" t="s">
        <v>102</v>
      </c>
      <c r="D5328" s="18">
        <v>1632.99</v>
      </c>
    </row>
    <row r="5329" spans="1:4" x14ac:dyDescent="0.3">
      <c r="A5329" s="12"/>
      <c r="B5329" s="12"/>
      <c r="C5329" s="14" t="s">
        <v>20</v>
      </c>
      <c r="D5329" s="18">
        <v>1999.98</v>
      </c>
    </row>
    <row r="5330" spans="1:4" x14ac:dyDescent="0.3">
      <c r="A5330" s="12"/>
      <c r="B5330" s="12"/>
      <c r="C5330" s="14" t="s">
        <v>79</v>
      </c>
      <c r="D5330" s="18">
        <v>11999.98</v>
      </c>
    </row>
    <row r="5331" spans="1:4" x14ac:dyDescent="0.3">
      <c r="A5331" s="12"/>
      <c r="B5331" s="10" t="s">
        <v>1917</v>
      </c>
      <c r="C5331" s="11"/>
      <c r="D5331" s="17">
        <v>17988.91</v>
      </c>
    </row>
    <row r="5332" spans="1:4" x14ac:dyDescent="0.3">
      <c r="A5332" s="10" t="s">
        <v>1391</v>
      </c>
      <c r="B5332" s="11"/>
      <c r="C5332" s="11"/>
      <c r="D5332" s="17">
        <v>17988.91</v>
      </c>
    </row>
    <row r="5333" spans="1:4" x14ac:dyDescent="0.3">
      <c r="A5333" s="10">
        <v>1096</v>
      </c>
      <c r="B5333" s="10" t="s">
        <v>11</v>
      </c>
      <c r="C5333" s="10" t="s">
        <v>30</v>
      </c>
      <c r="D5333" s="17">
        <v>1680.99</v>
      </c>
    </row>
    <row r="5334" spans="1:4" x14ac:dyDescent="0.3">
      <c r="A5334" s="12"/>
      <c r="B5334" s="10" t="s">
        <v>1915</v>
      </c>
      <c r="C5334" s="11"/>
      <c r="D5334" s="17">
        <v>1680.99</v>
      </c>
    </row>
    <row r="5335" spans="1:4" x14ac:dyDescent="0.3">
      <c r="A5335" s="10" t="s">
        <v>1392</v>
      </c>
      <c r="B5335" s="11"/>
      <c r="C5335" s="11"/>
      <c r="D5335" s="17">
        <v>1680.99</v>
      </c>
    </row>
    <row r="5336" spans="1:4" x14ac:dyDescent="0.3">
      <c r="A5336" s="10">
        <v>1097</v>
      </c>
      <c r="B5336" s="10" t="s">
        <v>18</v>
      </c>
      <c r="C5336" s="10" t="s">
        <v>82</v>
      </c>
      <c r="D5336" s="17">
        <v>979.98</v>
      </c>
    </row>
    <row r="5337" spans="1:4" x14ac:dyDescent="0.3">
      <c r="A5337" s="12"/>
      <c r="B5337" s="12"/>
      <c r="C5337" s="14" t="s">
        <v>52</v>
      </c>
      <c r="D5337" s="18">
        <v>299.99</v>
      </c>
    </row>
    <row r="5338" spans="1:4" x14ac:dyDescent="0.3">
      <c r="A5338" s="12"/>
      <c r="B5338" s="12"/>
      <c r="C5338" s="14" t="s">
        <v>36</v>
      </c>
      <c r="D5338" s="18">
        <v>449</v>
      </c>
    </row>
    <row r="5339" spans="1:4" x14ac:dyDescent="0.3">
      <c r="A5339" s="12"/>
      <c r="B5339" s="12"/>
      <c r="C5339" s="14" t="s">
        <v>39</v>
      </c>
      <c r="D5339" s="18">
        <v>899.98</v>
      </c>
    </row>
    <row r="5340" spans="1:4" x14ac:dyDescent="0.3">
      <c r="A5340" s="12"/>
      <c r="B5340" s="12"/>
      <c r="C5340" s="14" t="s">
        <v>109</v>
      </c>
      <c r="D5340" s="18">
        <v>1665.98</v>
      </c>
    </row>
    <row r="5341" spans="1:4" x14ac:dyDescent="0.3">
      <c r="A5341" s="12"/>
      <c r="B5341" s="10" t="s">
        <v>1916</v>
      </c>
      <c r="C5341" s="11"/>
      <c r="D5341" s="17">
        <v>4294.93</v>
      </c>
    </row>
    <row r="5342" spans="1:4" x14ac:dyDescent="0.3">
      <c r="A5342" s="10" t="s">
        <v>1393</v>
      </c>
      <c r="B5342" s="11"/>
      <c r="C5342" s="11"/>
      <c r="D5342" s="17">
        <v>4294.93</v>
      </c>
    </row>
    <row r="5343" spans="1:4" x14ac:dyDescent="0.3">
      <c r="A5343" s="10">
        <v>1098</v>
      </c>
      <c r="B5343" s="10" t="s">
        <v>11</v>
      </c>
      <c r="C5343" s="10" t="s">
        <v>64</v>
      </c>
      <c r="D5343" s="17">
        <v>189.99</v>
      </c>
    </row>
    <row r="5344" spans="1:4" x14ac:dyDescent="0.3">
      <c r="A5344" s="12"/>
      <c r="B5344" s="10" t="s">
        <v>1915</v>
      </c>
      <c r="C5344" s="11"/>
      <c r="D5344" s="17">
        <v>189.99</v>
      </c>
    </row>
    <row r="5345" spans="1:4" x14ac:dyDescent="0.3">
      <c r="A5345" s="10" t="s">
        <v>1394</v>
      </c>
      <c r="B5345" s="11"/>
      <c r="C5345" s="11"/>
      <c r="D5345" s="17">
        <v>189.99</v>
      </c>
    </row>
    <row r="5346" spans="1:4" x14ac:dyDescent="0.3">
      <c r="A5346" s="10">
        <v>1099</v>
      </c>
      <c r="B5346" s="10" t="s">
        <v>18</v>
      </c>
      <c r="C5346" s="10" t="s">
        <v>31</v>
      </c>
      <c r="D5346" s="17">
        <v>539.98</v>
      </c>
    </row>
    <row r="5347" spans="1:4" x14ac:dyDescent="0.3">
      <c r="A5347" s="12"/>
      <c r="B5347" s="12"/>
      <c r="C5347" s="14" t="s">
        <v>51</v>
      </c>
      <c r="D5347" s="18">
        <v>489.99</v>
      </c>
    </row>
    <row r="5348" spans="1:4" x14ac:dyDescent="0.3">
      <c r="A5348" s="12"/>
      <c r="B5348" s="12"/>
      <c r="C5348" s="14" t="s">
        <v>118</v>
      </c>
      <c r="D5348" s="18">
        <v>1409.99</v>
      </c>
    </row>
    <row r="5349" spans="1:4" x14ac:dyDescent="0.3">
      <c r="A5349" s="12"/>
      <c r="B5349" s="12"/>
      <c r="C5349" s="14" t="s">
        <v>94</v>
      </c>
      <c r="D5349" s="18">
        <v>419.98</v>
      </c>
    </row>
    <row r="5350" spans="1:4" x14ac:dyDescent="0.3">
      <c r="A5350" s="12"/>
      <c r="B5350" s="10" t="s">
        <v>1916</v>
      </c>
      <c r="C5350" s="11"/>
      <c r="D5350" s="17">
        <v>2859.94</v>
      </c>
    </row>
    <row r="5351" spans="1:4" x14ac:dyDescent="0.3">
      <c r="A5351" s="10" t="s">
        <v>1395</v>
      </c>
      <c r="B5351" s="11"/>
      <c r="C5351" s="11"/>
      <c r="D5351" s="17">
        <v>2859.94</v>
      </c>
    </row>
    <row r="5352" spans="1:4" x14ac:dyDescent="0.3">
      <c r="A5352" s="10">
        <v>1100</v>
      </c>
      <c r="B5352" s="10" t="s">
        <v>18</v>
      </c>
      <c r="C5352" s="10" t="s">
        <v>25</v>
      </c>
      <c r="D5352" s="17">
        <v>549.99</v>
      </c>
    </row>
    <row r="5353" spans="1:4" x14ac:dyDescent="0.3">
      <c r="A5353" s="12"/>
      <c r="B5353" s="12"/>
      <c r="C5353" s="14" t="s">
        <v>26</v>
      </c>
      <c r="D5353" s="18">
        <v>5999.98</v>
      </c>
    </row>
    <row r="5354" spans="1:4" x14ac:dyDescent="0.3">
      <c r="A5354" s="12"/>
      <c r="B5354" s="10" t="s">
        <v>1916</v>
      </c>
      <c r="C5354" s="11"/>
      <c r="D5354" s="17">
        <v>6549.9699999999993</v>
      </c>
    </row>
    <row r="5355" spans="1:4" x14ac:dyDescent="0.3">
      <c r="A5355" s="10" t="s">
        <v>1396</v>
      </c>
      <c r="B5355" s="11"/>
      <c r="C5355" s="11"/>
      <c r="D5355" s="17">
        <v>6549.9699999999993</v>
      </c>
    </row>
    <row r="5356" spans="1:4" x14ac:dyDescent="0.3">
      <c r="A5356" s="10">
        <v>1101</v>
      </c>
      <c r="B5356" s="10" t="s">
        <v>18</v>
      </c>
      <c r="C5356" s="10" t="s">
        <v>96</v>
      </c>
      <c r="D5356" s="17">
        <v>533.99</v>
      </c>
    </row>
    <row r="5357" spans="1:4" x14ac:dyDescent="0.3">
      <c r="A5357" s="12"/>
      <c r="B5357" s="12"/>
      <c r="C5357" s="14" t="s">
        <v>90</v>
      </c>
      <c r="D5357" s="18">
        <v>6499.99</v>
      </c>
    </row>
    <row r="5358" spans="1:4" x14ac:dyDescent="0.3">
      <c r="A5358" s="12"/>
      <c r="B5358" s="10" t="s">
        <v>1916</v>
      </c>
      <c r="C5358" s="11"/>
      <c r="D5358" s="17">
        <v>7033.98</v>
      </c>
    </row>
    <row r="5359" spans="1:4" x14ac:dyDescent="0.3">
      <c r="A5359" s="10" t="s">
        <v>1397</v>
      </c>
      <c r="B5359" s="11"/>
      <c r="C5359" s="11"/>
      <c r="D5359" s="17">
        <v>7033.98</v>
      </c>
    </row>
    <row r="5360" spans="1:4" x14ac:dyDescent="0.3">
      <c r="A5360" s="10">
        <v>1102</v>
      </c>
      <c r="B5360" s="10" t="s">
        <v>18</v>
      </c>
      <c r="C5360" s="10" t="s">
        <v>97</v>
      </c>
      <c r="D5360" s="17">
        <v>349.99</v>
      </c>
    </row>
    <row r="5361" spans="1:4" x14ac:dyDescent="0.3">
      <c r="A5361" s="12"/>
      <c r="B5361" s="10" t="s">
        <v>1916</v>
      </c>
      <c r="C5361" s="11"/>
      <c r="D5361" s="17">
        <v>349.99</v>
      </c>
    </row>
    <row r="5362" spans="1:4" x14ac:dyDescent="0.3">
      <c r="A5362" s="10" t="s">
        <v>1398</v>
      </c>
      <c r="B5362" s="11"/>
      <c r="C5362" s="11"/>
      <c r="D5362" s="17">
        <v>349.99</v>
      </c>
    </row>
    <row r="5363" spans="1:4" x14ac:dyDescent="0.3">
      <c r="A5363" s="10">
        <v>1103</v>
      </c>
      <c r="B5363" s="10" t="s">
        <v>18</v>
      </c>
      <c r="C5363" s="10" t="s">
        <v>118</v>
      </c>
      <c r="D5363" s="17">
        <v>2819.98</v>
      </c>
    </row>
    <row r="5364" spans="1:4" x14ac:dyDescent="0.3">
      <c r="A5364" s="12"/>
      <c r="B5364" s="12"/>
      <c r="C5364" s="14" t="s">
        <v>39</v>
      </c>
      <c r="D5364" s="18">
        <v>449.99</v>
      </c>
    </row>
    <row r="5365" spans="1:4" x14ac:dyDescent="0.3">
      <c r="A5365" s="12"/>
      <c r="B5365" s="10" t="s">
        <v>1916</v>
      </c>
      <c r="C5365" s="11"/>
      <c r="D5365" s="17">
        <v>3269.9700000000003</v>
      </c>
    </row>
    <row r="5366" spans="1:4" x14ac:dyDescent="0.3">
      <c r="A5366" s="10" t="s">
        <v>1399</v>
      </c>
      <c r="B5366" s="11"/>
      <c r="C5366" s="11"/>
      <c r="D5366" s="17">
        <v>3269.9700000000003</v>
      </c>
    </row>
    <row r="5367" spans="1:4" x14ac:dyDescent="0.3">
      <c r="A5367" s="10">
        <v>1104</v>
      </c>
      <c r="B5367" s="10" t="s">
        <v>18</v>
      </c>
      <c r="C5367" s="10" t="s">
        <v>73</v>
      </c>
      <c r="D5367" s="17">
        <v>1319.98</v>
      </c>
    </row>
    <row r="5368" spans="1:4" x14ac:dyDescent="0.3">
      <c r="A5368" s="12"/>
      <c r="B5368" s="12"/>
      <c r="C5368" s="14" t="s">
        <v>23</v>
      </c>
      <c r="D5368" s="18">
        <v>429</v>
      </c>
    </row>
    <row r="5369" spans="1:4" x14ac:dyDescent="0.3">
      <c r="A5369" s="12"/>
      <c r="B5369" s="12"/>
      <c r="C5369" s="14" t="s">
        <v>63</v>
      </c>
      <c r="D5369" s="18">
        <v>761.99</v>
      </c>
    </row>
    <row r="5370" spans="1:4" x14ac:dyDescent="0.3">
      <c r="A5370" s="12"/>
      <c r="B5370" s="12"/>
      <c r="C5370" s="14" t="s">
        <v>62</v>
      </c>
      <c r="D5370" s="18">
        <v>5299.99</v>
      </c>
    </row>
    <row r="5371" spans="1:4" x14ac:dyDescent="0.3">
      <c r="A5371" s="12"/>
      <c r="B5371" s="10" t="s">
        <v>1916</v>
      </c>
      <c r="C5371" s="11"/>
      <c r="D5371" s="17">
        <v>7810.96</v>
      </c>
    </row>
    <row r="5372" spans="1:4" x14ac:dyDescent="0.3">
      <c r="A5372" s="10" t="s">
        <v>1400</v>
      </c>
      <c r="B5372" s="11"/>
      <c r="C5372" s="11"/>
      <c r="D5372" s="17">
        <v>7810.96</v>
      </c>
    </row>
    <row r="5373" spans="1:4" x14ac:dyDescent="0.3">
      <c r="A5373" s="10">
        <v>1105</v>
      </c>
      <c r="B5373" s="10" t="s">
        <v>37</v>
      </c>
      <c r="C5373" s="10" t="s">
        <v>101</v>
      </c>
      <c r="D5373" s="17">
        <v>1559.99</v>
      </c>
    </row>
    <row r="5374" spans="1:4" x14ac:dyDescent="0.3">
      <c r="A5374" s="12"/>
      <c r="B5374" s="12"/>
      <c r="C5374" s="14" t="s">
        <v>109</v>
      </c>
      <c r="D5374" s="18">
        <v>1665.98</v>
      </c>
    </row>
    <row r="5375" spans="1:4" x14ac:dyDescent="0.3">
      <c r="A5375" s="12"/>
      <c r="B5375" s="12"/>
      <c r="C5375" s="14" t="s">
        <v>41</v>
      </c>
      <c r="D5375" s="18">
        <v>10999.98</v>
      </c>
    </row>
    <row r="5376" spans="1:4" x14ac:dyDescent="0.3">
      <c r="A5376" s="12"/>
      <c r="B5376" s="10" t="s">
        <v>1917</v>
      </c>
      <c r="C5376" s="11"/>
      <c r="D5376" s="17">
        <v>14225.95</v>
      </c>
    </row>
    <row r="5377" spans="1:4" x14ac:dyDescent="0.3">
      <c r="A5377" s="10" t="s">
        <v>1401</v>
      </c>
      <c r="B5377" s="11"/>
      <c r="C5377" s="11"/>
      <c r="D5377" s="17">
        <v>14225.95</v>
      </c>
    </row>
    <row r="5378" spans="1:4" x14ac:dyDescent="0.3">
      <c r="A5378" s="10">
        <v>1106</v>
      </c>
      <c r="B5378" s="10" t="s">
        <v>18</v>
      </c>
      <c r="C5378" s="10" t="s">
        <v>91</v>
      </c>
      <c r="D5378" s="17">
        <v>349.99</v>
      </c>
    </row>
    <row r="5379" spans="1:4" x14ac:dyDescent="0.3">
      <c r="A5379" s="12"/>
      <c r="B5379" s="10" t="s">
        <v>1916</v>
      </c>
      <c r="C5379" s="11"/>
      <c r="D5379" s="17">
        <v>349.99</v>
      </c>
    </row>
    <row r="5380" spans="1:4" x14ac:dyDescent="0.3">
      <c r="A5380" s="10" t="s">
        <v>1402</v>
      </c>
      <c r="B5380" s="11"/>
      <c r="C5380" s="11"/>
      <c r="D5380" s="17">
        <v>349.99</v>
      </c>
    </row>
    <row r="5381" spans="1:4" x14ac:dyDescent="0.3">
      <c r="A5381" s="10">
        <v>1107</v>
      </c>
      <c r="B5381" s="10" t="s">
        <v>18</v>
      </c>
      <c r="C5381" s="10" t="s">
        <v>77</v>
      </c>
      <c r="D5381" s="17">
        <v>2939.98</v>
      </c>
    </row>
    <row r="5382" spans="1:4" x14ac:dyDescent="0.3">
      <c r="A5382" s="12"/>
      <c r="B5382" s="12"/>
      <c r="C5382" s="14" t="s">
        <v>62</v>
      </c>
      <c r="D5382" s="18">
        <v>5299.99</v>
      </c>
    </row>
    <row r="5383" spans="1:4" x14ac:dyDescent="0.3">
      <c r="A5383" s="12"/>
      <c r="B5383" s="10" t="s">
        <v>1916</v>
      </c>
      <c r="C5383" s="11"/>
      <c r="D5383" s="17">
        <v>8239.9699999999993</v>
      </c>
    </row>
    <row r="5384" spans="1:4" x14ac:dyDescent="0.3">
      <c r="A5384" s="10" t="s">
        <v>1403</v>
      </c>
      <c r="B5384" s="11"/>
      <c r="C5384" s="11"/>
      <c r="D5384" s="17">
        <v>8239.9699999999993</v>
      </c>
    </row>
    <row r="5385" spans="1:4" x14ac:dyDescent="0.3">
      <c r="A5385" s="10">
        <v>1108</v>
      </c>
      <c r="B5385" s="10" t="s">
        <v>11</v>
      </c>
      <c r="C5385" s="10" t="s">
        <v>105</v>
      </c>
      <c r="D5385" s="17">
        <v>489.99</v>
      </c>
    </row>
    <row r="5386" spans="1:4" x14ac:dyDescent="0.3">
      <c r="A5386" s="12"/>
      <c r="B5386" s="12"/>
      <c r="C5386" s="14" t="s">
        <v>88</v>
      </c>
      <c r="D5386" s="18">
        <v>1739.98</v>
      </c>
    </row>
    <row r="5387" spans="1:4" x14ac:dyDescent="0.3">
      <c r="A5387" s="12"/>
      <c r="B5387" s="12"/>
      <c r="C5387" s="14" t="s">
        <v>96</v>
      </c>
      <c r="D5387" s="18">
        <v>533.99</v>
      </c>
    </row>
    <row r="5388" spans="1:4" x14ac:dyDescent="0.3">
      <c r="A5388" s="12"/>
      <c r="B5388" s="10" t="s">
        <v>1915</v>
      </c>
      <c r="C5388" s="11"/>
      <c r="D5388" s="17">
        <v>2763.96</v>
      </c>
    </row>
    <row r="5389" spans="1:4" x14ac:dyDescent="0.3">
      <c r="A5389" s="10" t="s">
        <v>1404</v>
      </c>
      <c r="B5389" s="11"/>
      <c r="C5389" s="11"/>
      <c r="D5389" s="17">
        <v>2763.96</v>
      </c>
    </row>
    <row r="5390" spans="1:4" x14ac:dyDescent="0.3">
      <c r="A5390" s="10">
        <v>1109</v>
      </c>
      <c r="B5390" s="10" t="s">
        <v>18</v>
      </c>
      <c r="C5390" s="10" t="s">
        <v>44</v>
      </c>
      <c r="D5390" s="17">
        <v>1239.98</v>
      </c>
    </row>
    <row r="5391" spans="1:4" x14ac:dyDescent="0.3">
      <c r="A5391" s="12"/>
      <c r="B5391" s="10" t="s">
        <v>1916</v>
      </c>
      <c r="C5391" s="11"/>
      <c r="D5391" s="17">
        <v>1239.98</v>
      </c>
    </row>
    <row r="5392" spans="1:4" x14ac:dyDescent="0.3">
      <c r="A5392" s="10" t="s">
        <v>1405</v>
      </c>
      <c r="B5392" s="11"/>
      <c r="C5392" s="11"/>
      <c r="D5392" s="17">
        <v>1239.98</v>
      </c>
    </row>
    <row r="5393" spans="1:4" x14ac:dyDescent="0.3">
      <c r="A5393" s="10">
        <v>1110</v>
      </c>
      <c r="B5393" s="10" t="s">
        <v>18</v>
      </c>
      <c r="C5393" s="10" t="s">
        <v>41</v>
      </c>
      <c r="D5393" s="17">
        <v>5499.99</v>
      </c>
    </row>
    <row r="5394" spans="1:4" x14ac:dyDescent="0.3">
      <c r="A5394" s="12"/>
      <c r="B5394" s="10" t="s">
        <v>1916</v>
      </c>
      <c r="C5394" s="11"/>
      <c r="D5394" s="17">
        <v>5499.99</v>
      </c>
    </row>
    <row r="5395" spans="1:4" x14ac:dyDescent="0.3">
      <c r="A5395" s="10" t="s">
        <v>1406</v>
      </c>
      <c r="B5395" s="11"/>
      <c r="C5395" s="11"/>
      <c r="D5395" s="17">
        <v>5499.99</v>
      </c>
    </row>
    <row r="5396" spans="1:4" x14ac:dyDescent="0.3">
      <c r="A5396" s="10">
        <v>1111</v>
      </c>
      <c r="B5396" s="10" t="s">
        <v>18</v>
      </c>
      <c r="C5396" s="10" t="s">
        <v>28</v>
      </c>
      <c r="D5396" s="17">
        <v>269.99</v>
      </c>
    </row>
    <row r="5397" spans="1:4" x14ac:dyDescent="0.3">
      <c r="A5397" s="12"/>
      <c r="B5397" s="12"/>
      <c r="C5397" s="14" t="s">
        <v>48</v>
      </c>
      <c r="D5397" s="18">
        <v>299.99</v>
      </c>
    </row>
    <row r="5398" spans="1:4" x14ac:dyDescent="0.3">
      <c r="A5398" s="12"/>
      <c r="B5398" s="12"/>
      <c r="C5398" s="14" t="s">
        <v>25</v>
      </c>
      <c r="D5398" s="18">
        <v>549.99</v>
      </c>
    </row>
    <row r="5399" spans="1:4" x14ac:dyDescent="0.3">
      <c r="A5399" s="12"/>
      <c r="B5399" s="12"/>
      <c r="C5399" s="14" t="s">
        <v>92</v>
      </c>
      <c r="D5399" s="18">
        <v>501.98</v>
      </c>
    </row>
    <row r="5400" spans="1:4" x14ac:dyDescent="0.3">
      <c r="A5400" s="12"/>
      <c r="B5400" s="10" t="s">
        <v>1916</v>
      </c>
      <c r="C5400" s="11"/>
      <c r="D5400" s="17">
        <v>1621.95</v>
      </c>
    </row>
    <row r="5401" spans="1:4" x14ac:dyDescent="0.3">
      <c r="A5401" s="10" t="s">
        <v>1407</v>
      </c>
      <c r="B5401" s="11"/>
      <c r="C5401" s="11"/>
      <c r="D5401" s="17">
        <v>1621.95</v>
      </c>
    </row>
    <row r="5402" spans="1:4" x14ac:dyDescent="0.3">
      <c r="A5402" s="10">
        <v>1112</v>
      </c>
      <c r="B5402" s="10" t="s">
        <v>18</v>
      </c>
      <c r="C5402" s="10" t="s">
        <v>34</v>
      </c>
      <c r="D5402" s="17">
        <v>2641.98</v>
      </c>
    </row>
    <row r="5403" spans="1:4" x14ac:dyDescent="0.3">
      <c r="A5403" s="12"/>
      <c r="B5403" s="12"/>
      <c r="C5403" s="14" t="s">
        <v>78</v>
      </c>
      <c r="D5403" s="18">
        <v>833.98</v>
      </c>
    </row>
    <row r="5404" spans="1:4" x14ac:dyDescent="0.3">
      <c r="A5404" s="12"/>
      <c r="B5404" s="12"/>
      <c r="C5404" s="14" t="s">
        <v>26</v>
      </c>
      <c r="D5404" s="18">
        <v>5999.98</v>
      </c>
    </row>
    <row r="5405" spans="1:4" x14ac:dyDescent="0.3">
      <c r="A5405" s="12"/>
      <c r="B5405" s="12"/>
      <c r="C5405" s="14" t="s">
        <v>53</v>
      </c>
      <c r="D5405" s="18">
        <v>2299.9899999999998</v>
      </c>
    </row>
    <row r="5406" spans="1:4" x14ac:dyDescent="0.3">
      <c r="A5406" s="12"/>
      <c r="B5406" s="12"/>
      <c r="C5406" s="14" t="s">
        <v>117</v>
      </c>
      <c r="D5406" s="18">
        <v>379.98</v>
      </c>
    </row>
    <row r="5407" spans="1:4" x14ac:dyDescent="0.3">
      <c r="A5407" s="12"/>
      <c r="B5407" s="10" t="s">
        <v>1916</v>
      </c>
      <c r="C5407" s="11"/>
      <c r="D5407" s="17">
        <v>12155.909999999998</v>
      </c>
    </row>
    <row r="5408" spans="1:4" x14ac:dyDescent="0.3">
      <c r="A5408" s="10" t="s">
        <v>1408</v>
      </c>
      <c r="B5408" s="11"/>
      <c r="C5408" s="11"/>
      <c r="D5408" s="17">
        <v>12155.909999999998</v>
      </c>
    </row>
    <row r="5409" spans="1:4" x14ac:dyDescent="0.3">
      <c r="A5409" s="10">
        <v>1113</v>
      </c>
      <c r="B5409" s="10" t="s">
        <v>18</v>
      </c>
      <c r="C5409" s="10" t="s">
        <v>39</v>
      </c>
      <c r="D5409" s="17">
        <v>449.99</v>
      </c>
    </row>
    <row r="5410" spans="1:4" x14ac:dyDescent="0.3">
      <c r="A5410" s="12"/>
      <c r="B5410" s="10" t="s">
        <v>1916</v>
      </c>
      <c r="C5410" s="11"/>
      <c r="D5410" s="17">
        <v>449.99</v>
      </c>
    </row>
    <row r="5411" spans="1:4" x14ac:dyDescent="0.3">
      <c r="A5411" s="10" t="s">
        <v>1409</v>
      </c>
      <c r="B5411" s="11"/>
      <c r="C5411" s="11"/>
      <c r="D5411" s="17">
        <v>449.99</v>
      </c>
    </row>
    <row r="5412" spans="1:4" x14ac:dyDescent="0.3">
      <c r="A5412" s="10">
        <v>1114</v>
      </c>
      <c r="B5412" s="10" t="s">
        <v>18</v>
      </c>
      <c r="C5412" s="10" t="s">
        <v>68</v>
      </c>
      <c r="D5412" s="17">
        <v>875.99</v>
      </c>
    </row>
    <row r="5413" spans="1:4" x14ac:dyDescent="0.3">
      <c r="A5413" s="12"/>
      <c r="B5413" s="10" t="s">
        <v>1916</v>
      </c>
      <c r="C5413" s="11"/>
      <c r="D5413" s="17">
        <v>875.99</v>
      </c>
    </row>
    <row r="5414" spans="1:4" x14ac:dyDescent="0.3">
      <c r="A5414" s="10" t="s">
        <v>1410</v>
      </c>
      <c r="B5414" s="11"/>
      <c r="C5414" s="11"/>
      <c r="D5414" s="17">
        <v>875.99</v>
      </c>
    </row>
    <row r="5415" spans="1:4" x14ac:dyDescent="0.3">
      <c r="A5415" s="10">
        <v>1115</v>
      </c>
      <c r="B5415" s="10" t="s">
        <v>18</v>
      </c>
      <c r="C5415" s="10" t="s">
        <v>55</v>
      </c>
      <c r="D5415" s="17">
        <v>699.98</v>
      </c>
    </row>
    <row r="5416" spans="1:4" x14ac:dyDescent="0.3">
      <c r="A5416" s="12"/>
      <c r="B5416" s="12"/>
      <c r="C5416" s="14" t="s">
        <v>70</v>
      </c>
      <c r="D5416" s="18">
        <v>6999.98</v>
      </c>
    </row>
    <row r="5417" spans="1:4" x14ac:dyDescent="0.3">
      <c r="A5417" s="12"/>
      <c r="B5417" s="12"/>
      <c r="C5417" s="14" t="s">
        <v>97</v>
      </c>
      <c r="D5417" s="18">
        <v>699.98</v>
      </c>
    </row>
    <row r="5418" spans="1:4" x14ac:dyDescent="0.3">
      <c r="A5418" s="12"/>
      <c r="B5418" s="12"/>
      <c r="C5418" s="14" t="s">
        <v>79</v>
      </c>
      <c r="D5418" s="18">
        <v>11999.98</v>
      </c>
    </row>
    <row r="5419" spans="1:4" x14ac:dyDescent="0.3">
      <c r="A5419" s="12"/>
      <c r="B5419" s="10" t="s">
        <v>1916</v>
      </c>
      <c r="C5419" s="11"/>
      <c r="D5419" s="17">
        <v>20399.919999999998</v>
      </c>
    </row>
    <row r="5420" spans="1:4" x14ac:dyDescent="0.3">
      <c r="A5420" s="10" t="s">
        <v>1411</v>
      </c>
      <c r="B5420" s="11"/>
      <c r="C5420" s="11"/>
      <c r="D5420" s="17">
        <v>20399.919999999998</v>
      </c>
    </row>
    <row r="5421" spans="1:4" x14ac:dyDescent="0.3">
      <c r="A5421" s="10">
        <v>1116</v>
      </c>
      <c r="B5421" s="10" t="s">
        <v>18</v>
      </c>
      <c r="C5421" s="10" t="s">
        <v>30</v>
      </c>
      <c r="D5421" s="17">
        <v>3361.98</v>
      </c>
    </row>
    <row r="5422" spans="1:4" x14ac:dyDescent="0.3">
      <c r="A5422" s="12"/>
      <c r="B5422" s="10" t="s">
        <v>1916</v>
      </c>
      <c r="C5422" s="11"/>
      <c r="D5422" s="17">
        <v>3361.98</v>
      </c>
    </row>
    <row r="5423" spans="1:4" x14ac:dyDescent="0.3">
      <c r="A5423" s="10" t="s">
        <v>1412</v>
      </c>
      <c r="B5423" s="11"/>
      <c r="C5423" s="11"/>
      <c r="D5423" s="17">
        <v>3361.98</v>
      </c>
    </row>
    <row r="5424" spans="1:4" x14ac:dyDescent="0.3">
      <c r="A5424" s="10">
        <v>1117</v>
      </c>
      <c r="B5424" s="10" t="s">
        <v>18</v>
      </c>
      <c r="C5424" s="10" t="s">
        <v>98</v>
      </c>
      <c r="D5424" s="17">
        <v>759.98</v>
      </c>
    </row>
    <row r="5425" spans="1:4" x14ac:dyDescent="0.3">
      <c r="A5425" s="12"/>
      <c r="B5425" s="12"/>
      <c r="C5425" s="14" t="s">
        <v>97</v>
      </c>
      <c r="D5425" s="18">
        <v>349.99</v>
      </c>
    </row>
    <row r="5426" spans="1:4" x14ac:dyDescent="0.3">
      <c r="A5426" s="12"/>
      <c r="B5426" s="12"/>
      <c r="C5426" s="14" t="s">
        <v>90</v>
      </c>
      <c r="D5426" s="18">
        <v>12999.98</v>
      </c>
    </row>
    <row r="5427" spans="1:4" x14ac:dyDescent="0.3">
      <c r="A5427" s="12"/>
      <c r="B5427" s="10" t="s">
        <v>1916</v>
      </c>
      <c r="C5427" s="11"/>
      <c r="D5427" s="17">
        <v>14109.949999999999</v>
      </c>
    </row>
    <row r="5428" spans="1:4" x14ac:dyDescent="0.3">
      <c r="A5428" s="10" t="s">
        <v>1413</v>
      </c>
      <c r="B5428" s="11"/>
      <c r="C5428" s="11"/>
      <c r="D5428" s="17">
        <v>14109.949999999999</v>
      </c>
    </row>
    <row r="5429" spans="1:4" x14ac:dyDescent="0.3">
      <c r="A5429" s="10">
        <v>1118</v>
      </c>
      <c r="B5429" s="10" t="s">
        <v>18</v>
      </c>
      <c r="C5429" s="10" t="s">
        <v>76</v>
      </c>
      <c r="D5429" s="17">
        <v>5399.98</v>
      </c>
    </row>
    <row r="5430" spans="1:4" x14ac:dyDescent="0.3">
      <c r="A5430" s="12"/>
      <c r="B5430" s="12"/>
      <c r="C5430" s="14" t="s">
        <v>54</v>
      </c>
      <c r="D5430" s="18">
        <v>10599.98</v>
      </c>
    </row>
    <row r="5431" spans="1:4" x14ac:dyDescent="0.3">
      <c r="A5431" s="12"/>
      <c r="B5431" s="12"/>
      <c r="C5431" s="14" t="s">
        <v>79</v>
      </c>
      <c r="D5431" s="18">
        <v>5999.99</v>
      </c>
    </row>
    <row r="5432" spans="1:4" x14ac:dyDescent="0.3">
      <c r="A5432" s="12"/>
      <c r="B5432" s="12"/>
      <c r="C5432" s="14" t="s">
        <v>71</v>
      </c>
      <c r="D5432" s="18">
        <v>999.99</v>
      </c>
    </row>
    <row r="5433" spans="1:4" x14ac:dyDescent="0.3">
      <c r="A5433" s="12"/>
      <c r="B5433" s="10" t="s">
        <v>1916</v>
      </c>
      <c r="C5433" s="11"/>
      <c r="D5433" s="17">
        <v>22999.94</v>
      </c>
    </row>
    <row r="5434" spans="1:4" x14ac:dyDescent="0.3">
      <c r="A5434" s="10" t="s">
        <v>1414</v>
      </c>
      <c r="B5434" s="11"/>
      <c r="C5434" s="11"/>
      <c r="D5434" s="17">
        <v>22999.94</v>
      </c>
    </row>
    <row r="5435" spans="1:4" x14ac:dyDescent="0.3">
      <c r="A5435" s="10">
        <v>1119</v>
      </c>
      <c r="B5435" s="10" t="s">
        <v>11</v>
      </c>
      <c r="C5435" s="10" t="s">
        <v>110</v>
      </c>
      <c r="D5435" s="17">
        <v>419.98</v>
      </c>
    </row>
    <row r="5436" spans="1:4" x14ac:dyDescent="0.3">
      <c r="A5436" s="12"/>
      <c r="B5436" s="12"/>
      <c r="C5436" s="14" t="s">
        <v>87</v>
      </c>
      <c r="D5436" s="18">
        <v>481.99</v>
      </c>
    </row>
    <row r="5437" spans="1:4" x14ac:dyDescent="0.3">
      <c r="A5437" s="12"/>
      <c r="B5437" s="12"/>
      <c r="C5437" s="14" t="s">
        <v>76</v>
      </c>
      <c r="D5437" s="18">
        <v>5399.98</v>
      </c>
    </row>
    <row r="5438" spans="1:4" x14ac:dyDescent="0.3">
      <c r="A5438" s="12"/>
      <c r="B5438" s="10" t="s">
        <v>1915</v>
      </c>
      <c r="C5438" s="11"/>
      <c r="D5438" s="17">
        <v>6301.95</v>
      </c>
    </row>
    <row r="5439" spans="1:4" x14ac:dyDescent="0.3">
      <c r="A5439" s="10" t="s">
        <v>1415</v>
      </c>
      <c r="B5439" s="11"/>
      <c r="C5439" s="11"/>
      <c r="D5439" s="17">
        <v>6301.95</v>
      </c>
    </row>
    <row r="5440" spans="1:4" x14ac:dyDescent="0.3">
      <c r="A5440" s="10">
        <v>1120</v>
      </c>
      <c r="B5440" s="10" t="s">
        <v>18</v>
      </c>
      <c r="C5440" s="10" t="s">
        <v>111</v>
      </c>
      <c r="D5440" s="17">
        <v>419.98</v>
      </c>
    </row>
    <row r="5441" spans="1:4" x14ac:dyDescent="0.3">
      <c r="A5441" s="12"/>
      <c r="B5441" s="12"/>
      <c r="C5441" s="14" t="s">
        <v>110</v>
      </c>
      <c r="D5441" s="18">
        <v>209.99</v>
      </c>
    </row>
    <row r="5442" spans="1:4" x14ac:dyDescent="0.3">
      <c r="A5442" s="12"/>
      <c r="B5442" s="12"/>
      <c r="C5442" s="14" t="s">
        <v>59</v>
      </c>
      <c r="D5442" s="18">
        <v>249.99</v>
      </c>
    </row>
    <row r="5443" spans="1:4" x14ac:dyDescent="0.3">
      <c r="A5443" s="12"/>
      <c r="B5443" s="12"/>
      <c r="C5443" s="14" t="s">
        <v>47</v>
      </c>
      <c r="D5443" s="18">
        <v>1999.98</v>
      </c>
    </row>
    <row r="5444" spans="1:4" x14ac:dyDescent="0.3">
      <c r="A5444" s="12"/>
      <c r="B5444" s="12"/>
      <c r="C5444" s="14" t="s">
        <v>102</v>
      </c>
      <c r="D5444" s="18">
        <v>1632.99</v>
      </c>
    </row>
    <row r="5445" spans="1:4" x14ac:dyDescent="0.3">
      <c r="A5445" s="12"/>
      <c r="B5445" s="10" t="s">
        <v>1916</v>
      </c>
      <c r="C5445" s="11"/>
      <c r="D5445" s="17">
        <v>4512.93</v>
      </c>
    </row>
    <row r="5446" spans="1:4" x14ac:dyDescent="0.3">
      <c r="A5446" s="10" t="s">
        <v>1416</v>
      </c>
      <c r="B5446" s="11"/>
      <c r="C5446" s="11"/>
      <c r="D5446" s="17">
        <v>4512.93</v>
      </c>
    </row>
    <row r="5447" spans="1:4" x14ac:dyDescent="0.3">
      <c r="A5447" s="10">
        <v>1121</v>
      </c>
      <c r="B5447" s="10" t="s">
        <v>18</v>
      </c>
      <c r="C5447" s="10" t="s">
        <v>65</v>
      </c>
      <c r="D5447" s="17">
        <v>941.98</v>
      </c>
    </row>
    <row r="5448" spans="1:4" x14ac:dyDescent="0.3">
      <c r="A5448" s="12"/>
      <c r="B5448" s="12"/>
      <c r="C5448" s="14" t="s">
        <v>30</v>
      </c>
      <c r="D5448" s="18">
        <v>3361.98</v>
      </c>
    </row>
    <row r="5449" spans="1:4" x14ac:dyDescent="0.3">
      <c r="A5449" s="12"/>
      <c r="B5449" s="10" t="s">
        <v>1916</v>
      </c>
      <c r="C5449" s="11"/>
      <c r="D5449" s="17">
        <v>4303.96</v>
      </c>
    </row>
    <row r="5450" spans="1:4" x14ac:dyDescent="0.3">
      <c r="A5450" s="10" t="s">
        <v>1417</v>
      </c>
      <c r="B5450" s="11"/>
      <c r="C5450" s="11"/>
      <c r="D5450" s="17">
        <v>4303.96</v>
      </c>
    </row>
    <row r="5451" spans="1:4" x14ac:dyDescent="0.3">
      <c r="A5451" s="10">
        <v>1122</v>
      </c>
      <c r="B5451" s="10" t="s">
        <v>18</v>
      </c>
      <c r="C5451" s="10" t="s">
        <v>77</v>
      </c>
      <c r="D5451" s="17">
        <v>2939.98</v>
      </c>
    </row>
    <row r="5452" spans="1:4" x14ac:dyDescent="0.3">
      <c r="A5452" s="12"/>
      <c r="B5452" s="12"/>
      <c r="C5452" s="14" t="s">
        <v>44</v>
      </c>
      <c r="D5452" s="18">
        <v>619.99</v>
      </c>
    </row>
    <row r="5453" spans="1:4" x14ac:dyDescent="0.3">
      <c r="A5453" s="12"/>
      <c r="B5453" s="12"/>
      <c r="C5453" s="14" t="s">
        <v>42</v>
      </c>
      <c r="D5453" s="18">
        <v>749.99</v>
      </c>
    </row>
    <row r="5454" spans="1:4" x14ac:dyDescent="0.3">
      <c r="A5454" s="12"/>
      <c r="B5454" s="12"/>
      <c r="C5454" s="14" t="s">
        <v>26</v>
      </c>
      <c r="D5454" s="18">
        <v>5999.98</v>
      </c>
    </row>
    <row r="5455" spans="1:4" x14ac:dyDescent="0.3">
      <c r="A5455" s="12"/>
      <c r="B5455" s="12"/>
      <c r="C5455" s="14" t="s">
        <v>70</v>
      </c>
      <c r="D5455" s="18">
        <v>6999.98</v>
      </c>
    </row>
    <row r="5456" spans="1:4" x14ac:dyDescent="0.3">
      <c r="A5456" s="12"/>
      <c r="B5456" s="10" t="s">
        <v>1916</v>
      </c>
      <c r="C5456" s="11"/>
      <c r="D5456" s="17">
        <v>17309.919999999998</v>
      </c>
    </row>
    <row r="5457" spans="1:4" x14ac:dyDescent="0.3">
      <c r="A5457" s="10" t="s">
        <v>1418</v>
      </c>
      <c r="B5457" s="11"/>
      <c r="C5457" s="11"/>
      <c r="D5457" s="17">
        <v>17309.919999999998</v>
      </c>
    </row>
    <row r="5458" spans="1:4" x14ac:dyDescent="0.3">
      <c r="A5458" s="10">
        <v>1123</v>
      </c>
      <c r="B5458" s="10" t="s">
        <v>18</v>
      </c>
      <c r="C5458" s="10" t="s">
        <v>114</v>
      </c>
      <c r="D5458" s="17">
        <v>693.98</v>
      </c>
    </row>
    <row r="5459" spans="1:4" x14ac:dyDescent="0.3">
      <c r="A5459" s="12"/>
      <c r="B5459" s="12"/>
      <c r="C5459" s="14" t="s">
        <v>45</v>
      </c>
      <c r="D5459" s="18">
        <v>9999.98</v>
      </c>
    </row>
    <row r="5460" spans="1:4" x14ac:dyDescent="0.3">
      <c r="A5460" s="12"/>
      <c r="B5460" s="10" t="s">
        <v>1916</v>
      </c>
      <c r="C5460" s="11"/>
      <c r="D5460" s="17">
        <v>10693.96</v>
      </c>
    </row>
    <row r="5461" spans="1:4" x14ac:dyDescent="0.3">
      <c r="A5461" s="10" t="s">
        <v>1419</v>
      </c>
      <c r="B5461" s="11"/>
      <c r="C5461" s="11"/>
      <c r="D5461" s="17">
        <v>10693.96</v>
      </c>
    </row>
    <row r="5462" spans="1:4" x14ac:dyDescent="0.3">
      <c r="A5462" s="10">
        <v>1124</v>
      </c>
      <c r="B5462" s="10" t="s">
        <v>37</v>
      </c>
      <c r="C5462" s="10" t="s">
        <v>88</v>
      </c>
      <c r="D5462" s="17">
        <v>1739.98</v>
      </c>
    </row>
    <row r="5463" spans="1:4" x14ac:dyDescent="0.3">
      <c r="A5463" s="12"/>
      <c r="B5463" s="12"/>
      <c r="C5463" s="14" t="s">
        <v>22</v>
      </c>
      <c r="D5463" s="18">
        <v>1499.98</v>
      </c>
    </row>
    <row r="5464" spans="1:4" x14ac:dyDescent="0.3">
      <c r="A5464" s="12"/>
      <c r="B5464" s="12"/>
      <c r="C5464" s="14" t="s">
        <v>49</v>
      </c>
      <c r="D5464" s="18">
        <v>833.98</v>
      </c>
    </row>
    <row r="5465" spans="1:4" x14ac:dyDescent="0.3">
      <c r="A5465" s="12"/>
      <c r="B5465" s="12"/>
      <c r="C5465" s="14" t="s">
        <v>32</v>
      </c>
      <c r="D5465" s="18">
        <v>469.99</v>
      </c>
    </row>
    <row r="5466" spans="1:4" x14ac:dyDescent="0.3">
      <c r="A5466" s="12"/>
      <c r="B5466" s="12"/>
      <c r="C5466" s="14" t="s">
        <v>29</v>
      </c>
      <c r="D5466" s="18">
        <v>7999.98</v>
      </c>
    </row>
    <row r="5467" spans="1:4" x14ac:dyDescent="0.3">
      <c r="A5467" s="12"/>
      <c r="B5467" s="10" t="s">
        <v>1917</v>
      </c>
      <c r="C5467" s="11"/>
      <c r="D5467" s="17">
        <v>12543.91</v>
      </c>
    </row>
    <row r="5468" spans="1:4" x14ac:dyDescent="0.3">
      <c r="A5468" s="10" t="s">
        <v>1420</v>
      </c>
      <c r="B5468" s="11"/>
      <c r="C5468" s="11"/>
      <c r="D5468" s="17">
        <v>12543.91</v>
      </c>
    </row>
    <row r="5469" spans="1:4" x14ac:dyDescent="0.3">
      <c r="A5469" s="10">
        <v>1125</v>
      </c>
      <c r="B5469" s="10" t="s">
        <v>18</v>
      </c>
      <c r="C5469" s="10" t="s">
        <v>99</v>
      </c>
      <c r="D5469" s="17">
        <v>2199.98</v>
      </c>
    </row>
    <row r="5470" spans="1:4" x14ac:dyDescent="0.3">
      <c r="A5470" s="12"/>
      <c r="B5470" s="12"/>
      <c r="C5470" s="14" t="s">
        <v>31</v>
      </c>
      <c r="D5470" s="18">
        <v>269.99</v>
      </c>
    </row>
    <row r="5471" spans="1:4" x14ac:dyDescent="0.3">
      <c r="A5471" s="12"/>
      <c r="B5471" s="12"/>
      <c r="C5471" s="14" t="s">
        <v>25</v>
      </c>
      <c r="D5471" s="18">
        <v>549.99</v>
      </c>
    </row>
    <row r="5472" spans="1:4" x14ac:dyDescent="0.3">
      <c r="A5472" s="12"/>
      <c r="B5472" s="12"/>
      <c r="C5472" s="14" t="s">
        <v>14</v>
      </c>
      <c r="D5472" s="18">
        <v>1199.98</v>
      </c>
    </row>
    <row r="5473" spans="1:4" x14ac:dyDescent="0.3">
      <c r="A5473" s="12"/>
      <c r="B5473" s="12"/>
      <c r="C5473" s="14" t="s">
        <v>46</v>
      </c>
      <c r="D5473" s="18">
        <v>939.98</v>
      </c>
    </row>
    <row r="5474" spans="1:4" x14ac:dyDescent="0.3">
      <c r="A5474" s="12"/>
      <c r="B5474" s="10" t="s">
        <v>1916</v>
      </c>
      <c r="C5474" s="11"/>
      <c r="D5474" s="17">
        <v>5159.92</v>
      </c>
    </row>
    <row r="5475" spans="1:4" x14ac:dyDescent="0.3">
      <c r="A5475" s="10" t="s">
        <v>1421</v>
      </c>
      <c r="B5475" s="11"/>
      <c r="C5475" s="11"/>
      <c r="D5475" s="17">
        <v>5159.92</v>
      </c>
    </row>
    <row r="5476" spans="1:4" x14ac:dyDescent="0.3">
      <c r="A5476" s="10">
        <v>1126</v>
      </c>
      <c r="B5476" s="10" t="s">
        <v>37</v>
      </c>
      <c r="C5476" s="10" t="s">
        <v>67</v>
      </c>
      <c r="D5476" s="17">
        <v>939.98</v>
      </c>
    </row>
    <row r="5477" spans="1:4" x14ac:dyDescent="0.3">
      <c r="A5477" s="12"/>
      <c r="B5477" s="12"/>
      <c r="C5477" s="14" t="s">
        <v>81</v>
      </c>
      <c r="D5477" s="18">
        <v>4999.99</v>
      </c>
    </row>
    <row r="5478" spans="1:4" x14ac:dyDescent="0.3">
      <c r="A5478" s="12"/>
      <c r="B5478" s="12"/>
      <c r="C5478" s="14" t="s">
        <v>94</v>
      </c>
      <c r="D5478" s="18">
        <v>419.98</v>
      </c>
    </row>
    <row r="5479" spans="1:4" x14ac:dyDescent="0.3">
      <c r="A5479" s="12"/>
      <c r="B5479" s="10" t="s">
        <v>1917</v>
      </c>
      <c r="C5479" s="11"/>
      <c r="D5479" s="17">
        <v>6359.9499999999989</v>
      </c>
    </row>
    <row r="5480" spans="1:4" x14ac:dyDescent="0.3">
      <c r="A5480" s="10" t="s">
        <v>1422</v>
      </c>
      <c r="B5480" s="11"/>
      <c r="C5480" s="11"/>
      <c r="D5480" s="17">
        <v>6359.9499999999989</v>
      </c>
    </row>
    <row r="5481" spans="1:4" x14ac:dyDescent="0.3">
      <c r="A5481" s="10">
        <v>1127</v>
      </c>
      <c r="B5481" s="10" t="s">
        <v>18</v>
      </c>
      <c r="C5481" s="10" t="s">
        <v>33</v>
      </c>
      <c r="D5481" s="17">
        <v>599.98</v>
      </c>
    </row>
    <row r="5482" spans="1:4" x14ac:dyDescent="0.3">
      <c r="A5482" s="12"/>
      <c r="B5482" s="12"/>
      <c r="C5482" s="14" t="s">
        <v>91</v>
      </c>
      <c r="D5482" s="18">
        <v>699.98</v>
      </c>
    </row>
    <row r="5483" spans="1:4" x14ac:dyDescent="0.3">
      <c r="A5483" s="12"/>
      <c r="B5483" s="12"/>
      <c r="C5483" s="14" t="s">
        <v>98</v>
      </c>
      <c r="D5483" s="18">
        <v>379.99</v>
      </c>
    </row>
    <row r="5484" spans="1:4" x14ac:dyDescent="0.3">
      <c r="A5484" s="12"/>
      <c r="B5484" s="10" t="s">
        <v>1916</v>
      </c>
      <c r="C5484" s="11"/>
      <c r="D5484" s="17">
        <v>1679.95</v>
      </c>
    </row>
    <row r="5485" spans="1:4" x14ac:dyDescent="0.3">
      <c r="A5485" s="10" t="s">
        <v>1423</v>
      </c>
      <c r="B5485" s="11"/>
      <c r="C5485" s="11"/>
      <c r="D5485" s="17">
        <v>1679.95</v>
      </c>
    </row>
    <row r="5486" spans="1:4" x14ac:dyDescent="0.3">
      <c r="A5486" s="10">
        <v>1128</v>
      </c>
      <c r="B5486" s="10" t="s">
        <v>18</v>
      </c>
      <c r="C5486" s="10" t="s">
        <v>108</v>
      </c>
      <c r="D5486" s="17">
        <v>539.99</v>
      </c>
    </row>
    <row r="5487" spans="1:4" x14ac:dyDescent="0.3">
      <c r="A5487" s="12"/>
      <c r="B5487" s="12"/>
      <c r="C5487" s="14" t="s">
        <v>114</v>
      </c>
      <c r="D5487" s="18">
        <v>693.98</v>
      </c>
    </row>
    <row r="5488" spans="1:4" x14ac:dyDescent="0.3">
      <c r="A5488" s="12"/>
      <c r="B5488" s="12"/>
      <c r="C5488" s="14" t="s">
        <v>13</v>
      </c>
      <c r="D5488" s="18">
        <v>1549</v>
      </c>
    </row>
    <row r="5489" spans="1:4" x14ac:dyDescent="0.3">
      <c r="A5489" s="12"/>
      <c r="B5489" s="10" t="s">
        <v>1916</v>
      </c>
      <c r="C5489" s="11"/>
      <c r="D5489" s="17">
        <v>2782.9700000000003</v>
      </c>
    </row>
    <row r="5490" spans="1:4" x14ac:dyDescent="0.3">
      <c r="A5490" s="10" t="s">
        <v>1424</v>
      </c>
      <c r="B5490" s="11"/>
      <c r="C5490" s="11"/>
      <c r="D5490" s="17">
        <v>2782.9700000000003</v>
      </c>
    </row>
    <row r="5491" spans="1:4" x14ac:dyDescent="0.3">
      <c r="A5491" s="10">
        <v>1129</v>
      </c>
      <c r="B5491" s="10" t="s">
        <v>18</v>
      </c>
      <c r="C5491" s="10" t="s">
        <v>78</v>
      </c>
      <c r="D5491" s="17">
        <v>833.98</v>
      </c>
    </row>
    <row r="5492" spans="1:4" x14ac:dyDescent="0.3">
      <c r="A5492" s="12"/>
      <c r="B5492" s="12"/>
      <c r="C5492" s="14" t="s">
        <v>41</v>
      </c>
      <c r="D5492" s="18">
        <v>5499.99</v>
      </c>
    </row>
    <row r="5493" spans="1:4" x14ac:dyDescent="0.3">
      <c r="A5493" s="12"/>
      <c r="B5493" s="12"/>
      <c r="C5493" s="14" t="s">
        <v>45</v>
      </c>
      <c r="D5493" s="18">
        <v>9999.98</v>
      </c>
    </row>
    <row r="5494" spans="1:4" x14ac:dyDescent="0.3">
      <c r="A5494" s="12"/>
      <c r="B5494" s="10" t="s">
        <v>1916</v>
      </c>
      <c r="C5494" s="11"/>
      <c r="D5494" s="17">
        <v>16333.949999999999</v>
      </c>
    </row>
    <row r="5495" spans="1:4" x14ac:dyDescent="0.3">
      <c r="A5495" s="10" t="s">
        <v>1425</v>
      </c>
      <c r="B5495" s="11"/>
      <c r="C5495" s="11"/>
      <c r="D5495" s="17">
        <v>16333.949999999999</v>
      </c>
    </row>
    <row r="5496" spans="1:4" x14ac:dyDescent="0.3">
      <c r="A5496" s="10">
        <v>1130</v>
      </c>
      <c r="B5496" s="10" t="s">
        <v>11</v>
      </c>
      <c r="C5496" s="10" t="s">
        <v>69</v>
      </c>
      <c r="D5496" s="17">
        <v>6399.98</v>
      </c>
    </row>
    <row r="5497" spans="1:4" x14ac:dyDescent="0.3">
      <c r="A5497" s="12"/>
      <c r="B5497" s="10" t="s">
        <v>1915</v>
      </c>
      <c r="C5497" s="11"/>
      <c r="D5497" s="17">
        <v>6399.98</v>
      </c>
    </row>
    <row r="5498" spans="1:4" x14ac:dyDescent="0.3">
      <c r="A5498" s="10" t="s">
        <v>1426</v>
      </c>
      <c r="B5498" s="11"/>
      <c r="C5498" s="11"/>
      <c r="D5498" s="17">
        <v>6399.98</v>
      </c>
    </row>
    <row r="5499" spans="1:4" x14ac:dyDescent="0.3">
      <c r="A5499" s="10">
        <v>1131</v>
      </c>
      <c r="B5499" s="10" t="s">
        <v>11</v>
      </c>
      <c r="C5499" s="10" t="s">
        <v>101</v>
      </c>
      <c r="D5499" s="17">
        <v>3119.98</v>
      </c>
    </row>
    <row r="5500" spans="1:4" x14ac:dyDescent="0.3">
      <c r="A5500" s="12"/>
      <c r="B5500" s="12"/>
      <c r="C5500" s="14" t="s">
        <v>40</v>
      </c>
      <c r="D5500" s="18">
        <v>1103.98</v>
      </c>
    </row>
    <row r="5501" spans="1:4" x14ac:dyDescent="0.3">
      <c r="A5501" s="12"/>
      <c r="B5501" s="10" t="s">
        <v>1915</v>
      </c>
      <c r="C5501" s="11"/>
      <c r="D5501" s="17">
        <v>4223.96</v>
      </c>
    </row>
    <row r="5502" spans="1:4" x14ac:dyDescent="0.3">
      <c r="A5502" s="10" t="s">
        <v>1427</v>
      </c>
      <c r="B5502" s="11"/>
      <c r="C5502" s="11"/>
      <c r="D5502" s="17">
        <v>4223.96</v>
      </c>
    </row>
    <row r="5503" spans="1:4" x14ac:dyDescent="0.3">
      <c r="A5503" s="10">
        <v>1132</v>
      </c>
      <c r="B5503" s="10" t="s">
        <v>18</v>
      </c>
      <c r="C5503" s="10" t="s">
        <v>14</v>
      </c>
      <c r="D5503" s="17">
        <v>599.99</v>
      </c>
    </row>
    <row r="5504" spans="1:4" x14ac:dyDescent="0.3">
      <c r="A5504" s="12"/>
      <c r="B5504" s="12"/>
      <c r="C5504" s="14" t="s">
        <v>13</v>
      </c>
      <c r="D5504" s="18">
        <v>1549</v>
      </c>
    </row>
    <row r="5505" spans="1:4" x14ac:dyDescent="0.3">
      <c r="A5505" s="12"/>
      <c r="B5505" s="12"/>
      <c r="C5505" s="14" t="s">
        <v>116</v>
      </c>
      <c r="D5505" s="18">
        <v>1665.98</v>
      </c>
    </row>
    <row r="5506" spans="1:4" x14ac:dyDescent="0.3">
      <c r="A5506" s="12"/>
      <c r="B5506" s="12"/>
      <c r="C5506" s="14" t="s">
        <v>62</v>
      </c>
      <c r="D5506" s="18">
        <v>5299.99</v>
      </c>
    </row>
    <row r="5507" spans="1:4" x14ac:dyDescent="0.3">
      <c r="A5507" s="12"/>
      <c r="B5507" s="10" t="s">
        <v>1916</v>
      </c>
      <c r="C5507" s="11"/>
      <c r="D5507" s="17">
        <v>9114.9599999999991</v>
      </c>
    </row>
    <row r="5508" spans="1:4" x14ac:dyDescent="0.3">
      <c r="A5508" s="10" t="s">
        <v>1428</v>
      </c>
      <c r="B5508" s="11"/>
      <c r="C5508" s="11"/>
      <c r="D5508" s="17">
        <v>9114.9599999999991</v>
      </c>
    </row>
    <row r="5509" spans="1:4" x14ac:dyDescent="0.3">
      <c r="A5509" s="10">
        <v>1133</v>
      </c>
      <c r="B5509" s="10" t="s">
        <v>18</v>
      </c>
      <c r="C5509" s="10" t="s">
        <v>23</v>
      </c>
      <c r="D5509" s="17">
        <v>429</v>
      </c>
    </row>
    <row r="5510" spans="1:4" x14ac:dyDescent="0.3">
      <c r="A5510" s="12"/>
      <c r="B5510" s="12"/>
      <c r="C5510" s="14" t="s">
        <v>50</v>
      </c>
      <c r="D5510" s="18">
        <v>3499.99</v>
      </c>
    </row>
    <row r="5511" spans="1:4" x14ac:dyDescent="0.3">
      <c r="A5511" s="12"/>
      <c r="B5511" s="12"/>
      <c r="C5511" s="14" t="s">
        <v>16</v>
      </c>
      <c r="D5511" s="18">
        <v>5799.98</v>
      </c>
    </row>
    <row r="5512" spans="1:4" x14ac:dyDescent="0.3">
      <c r="A5512" s="12"/>
      <c r="B5512" s="12"/>
      <c r="C5512" s="14" t="s">
        <v>56</v>
      </c>
      <c r="D5512" s="18">
        <v>419.98</v>
      </c>
    </row>
    <row r="5513" spans="1:4" x14ac:dyDescent="0.3">
      <c r="A5513" s="12"/>
      <c r="B5513" s="10" t="s">
        <v>1916</v>
      </c>
      <c r="C5513" s="11"/>
      <c r="D5513" s="17">
        <v>10148.949999999999</v>
      </c>
    </row>
    <row r="5514" spans="1:4" x14ac:dyDescent="0.3">
      <c r="A5514" s="10" t="s">
        <v>1429</v>
      </c>
      <c r="B5514" s="11"/>
      <c r="C5514" s="11"/>
      <c r="D5514" s="17">
        <v>10148.949999999999</v>
      </c>
    </row>
    <row r="5515" spans="1:4" x14ac:dyDescent="0.3">
      <c r="A5515" s="10">
        <v>1134</v>
      </c>
      <c r="B5515" s="10" t="s">
        <v>18</v>
      </c>
      <c r="C5515" s="10" t="s">
        <v>55</v>
      </c>
      <c r="D5515" s="17">
        <v>349.99</v>
      </c>
    </row>
    <row r="5516" spans="1:4" x14ac:dyDescent="0.3">
      <c r="A5516" s="12"/>
      <c r="B5516" s="12"/>
      <c r="C5516" s="14" t="s">
        <v>116</v>
      </c>
      <c r="D5516" s="18">
        <v>832.99</v>
      </c>
    </row>
    <row r="5517" spans="1:4" x14ac:dyDescent="0.3">
      <c r="A5517" s="12"/>
      <c r="B5517" s="10" t="s">
        <v>1916</v>
      </c>
      <c r="C5517" s="11"/>
      <c r="D5517" s="17">
        <v>1182.98</v>
      </c>
    </row>
    <row r="5518" spans="1:4" x14ac:dyDescent="0.3">
      <c r="A5518" s="10" t="s">
        <v>1430</v>
      </c>
      <c r="B5518" s="11"/>
      <c r="C5518" s="11"/>
      <c r="D5518" s="17">
        <v>1182.98</v>
      </c>
    </row>
    <row r="5519" spans="1:4" x14ac:dyDescent="0.3">
      <c r="A5519" s="10">
        <v>1135</v>
      </c>
      <c r="B5519" s="10" t="s">
        <v>18</v>
      </c>
      <c r="C5519" s="10" t="s">
        <v>80</v>
      </c>
      <c r="D5519" s="17">
        <v>679.98</v>
      </c>
    </row>
    <row r="5520" spans="1:4" x14ac:dyDescent="0.3">
      <c r="A5520" s="12"/>
      <c r="B5520" s="12"/>
      <c r="C5520" s="14" t="s">
        <v>90</v>
      </c>
      <c r="D5520" s="18">
        <v>6499.99</v>
      </c>
    </row>
    <row r="5521" spans="1:4" x14ac:dyDescent="0.3">
      <c r="A5521" s="12"/>
      <c r="B5521" s="10" t="s">
        <v>1916</v>
      </c>
      <c r="C5521" s="11"/>
      <c r="D5521" s="17">
        <v>7179.9699999999993</v>
      </c>
    </row>
    <row r="5522" spans="1:4" x14ac:dyDescent="0.3">
      <c r="A5522" s="10" t="s">
        <v>1431</v>
      </c>
      <c r="B5522" s="11"/>
      <c r="C5522" s="11"/>
      <c r="D5522" s="17">
        <v>7179.9699999999993</v>
      </c>
    </row>
    <row r="5523" spans="1:4" x14ac:dyDescent="0.3">
      <c r="A5523" s="10">
        <v>1136</v>
      </c>
      <c r="B5523" s="10" t="s">
        <v>18</v>
      </c>
      <c r="C5523" s="10" t="s">
        <v>96</v>
      </c>
      <c r="D5523" s="17">
        <v>533.99</v>
      </c>
    </row>
    <row r="5524" spans="1:4" x14ac:dyDescent="0.3">
      <c r="A5524" s="12"/>
      <c r="B5524" s="10" t="s">
        <v>1916</v>
      </c>
      <c r="C5524" s="11"/>
      <c r="D5524" s="17">
        <v>533.99</v>
      </c>
    </row>
    <row r="5525" spans="1:4" x14ac:dyDescent="0.3">
      <c r="A5525" s="10" t="s">
        <v>1432</v>
      </c>
      <c r="B5525" s="11"/>
      <c r="C5525" s="11"/>
      <c r="D5525" s="17">
        <v>533.99</v>
      </c>
    </row>
    <row r="5526" spans="1:4" x14ac:dyDescent="0.3">
      <c r="A5526" s="10">
        <v>1137</v>
      </c>
      <c r="B5526" s="10" t="s">
        <v>37</v>
      </c>
      <c r="C5526" s="10" t="s">
        <v>89</v>
      </c>
      <c r="D5526" s="17">
        <v>833.98</v>
      </c>
    </row>
    <row r="5527" spans="1:4" x14ac:dyDescent="0.3">
      <c r="A5527" s="12"/>
      <c r="B5527" s="12"/>
      <c r="C5527" s="14" t="s">
        <v>83</v>
      </c>
      <c r="D5527" s="18">
        <v>219.98</v>
      </c>
    </row>
    <row r="5528" spans="1:4" x14ac:dyDescent="0.3">
      <c r="A5528" s="12"/>
      <c r="B5528" s="12"/>
      <c r="C5528" s="14" t="s">
        <v>86</v>
      </c>
      <c r="D5528" s="18">
        <v>2499.9899999999998</v>
      </c>
    </row>
    <row r="5529" spans="1:4" x14ac:dyDescent="0.3">
      <c r="A5529" s="12"/>
      <c r="B5529" s="12"/>
      <c r="C5529" s="14" t="s">
        <v>81</v>
      </c>
      <c r="D5529" s="18">
        <v>9999.98</v>
      </c>
    </row>
    <row r="5530" spans="1:4" x14ac:dyDescent="0.3">
      <c r="A5530" s="12"/>
      <c r="B5530" s="10" t="s">
        <v>1917</v>
      </c>
      <c r="C5530" s="11"/>
      <c r="D5530" s="17">
        <v>13553.93</v>
      </c>
    </row>
    <row r="5531" spans="1:4" x14ac:dyDescent="0.3">
      <c r="A5531" s="10" t="s">
        <v>1433</v>
      </c>
      <c r="B5531" s="11"/>
      <c r="C5531" s="11"/>
      <c r="D5531" s="17">
        <v>13553.93</v>
      </c>
    </row>
    <row r="5532" spans="1:4" x14ac:dyDescent="0.3">
      <c r="A5532" s="10">
        <v>1138</v>
      </c>
      <c r="B5532" s="10" t="s">
        <v>11</v>
      </c>
      <c r="C5532" s="10" t="s">
        <v>31</v>
      </c>
      <c r="D5532" s="17">
        <v>539.98</v>
      </c>
    </row>
    <row r="5533" spans="1:4" x14ac:dyDescent="0.3">
      <c r="A5533" s="12"/>
      <c r="B5533" s="12"/>
      <c r="C5533" s="14" t="s">
        <v>110</v>
      </c>
      <c r="D5533" s="18">
        <v>209.99</v>
      </c>
    </row>
    <row r="5534" spans="1:4" x14ac:dyDescent="0.3">
      <c r="A5534" s="12"/>
      <c r="B5534" s="12"/>
      <c r="C5534" s="14" t="s">
        <v>96</v>
      </c>
      <c r="D5534" s="18">
        <v>1067.98</v>
      </c>
    </row>
    <row r="5535" spans="1:4" x14ac:dyDescent="0.3">
      <c r="A5535" s="12"/>
      <c r="B5535" s="10" t="s">
        <v>1915</v>
      </c>
      <c r="C5535" s="11"/>
      <c r="D5535" s="17">
        <v>1817.95</v>
      </c>
    </row>
    <row r="5536" spans="1:4" x14ac:dyDescent="0.3">
      <c r="A5536" s="10" t="s">
        <v>1434</v>
      </c>
      <c r="B5536" s="11"/>
      <c r="C5536" s="11"/>
      <c r="D5536" s="17">
        <v>1817.95</v>
      </c>
    </row>
    <row r="5537" spans="1:4" x14ac:dyDescent="0.3">
      <c r="A5537" s="10">
        <v>1139</v>
      </c>
      <c r="B5537" s="10" t="s">
        <v>11</v>
      </c>
      <c r="C5537" s="10" t="s">
        <v>35</v>
      </c>
      <c r="D5537" s="17">
        <v>999.98</v>
      </c>
    </row>
    <row r="5538" spans="1:4" x14ac:dyDescent="0.3">
      <c r="A5538" s="12"/>
      <c r="B5538" s="12"/>
      <c r="C5538" s="14" t="s">
        <v>108</v>
      </c>
      <c r="D5538" s="18">
        <v>1079.98</v>
      </c>
    </row>
    <row r="5539" spans="1:4" x14ac:dyDescent="0.3">
      <c r="A5539" s="12"/>
      <c r="B5539" s="12"/>
      <c r="C5539" s="14" t="s">
        <v>39</v>
      </c>
      <c r="D5539" s="18">
        <v>899.98</v>
      </c>
    </row>
    <row r="5540" spans="1:4" x14ac:dyDescent="0.3">
      <c r="A5540" s="12"/>
      <c r="B5540" s="12"/>
      <c r="C5540" s="14" t="s">
        <v>89</v>
      </c>
      <c r="D5540" s="18">
        <v>416.99</v>
      </c>
    </row>
    <row r="5541" spans="1:4" x14ac:dyDescent="0.3">
      <c r="A5541" s="12"/>
      <c r="B5541" s="12"/>
      <c r="C5541" s="14" t="s">
        <v>29</v>
      </c>
      <c r="D5541" s="18">
        <v>3999.99</v>
      </c>
    </row>
    <row r="5542" spans="1:4" x14ac:dyDescent="0.3">
      <c r="A5542" s="12"/>
      <c r="B5542" s="10" t="s">
        <v>1915</v>
      </c>
      <c r="C5542" s="11"/>
      <c r="D5542" s="17">
        <v>7396.92</v>
      </c>
    </row>
    <row r="5543" spans="1:4" x14ac:dyDescent="0.3">
      <c r="A5543" s="10" t="s">
        <v>1435</v>
      </c>
      <c r="B5543" s="11"/>
      <c r="C5543" s="11"/>
      <c r="D5543" s="17">
        <v>7396.92</v>
      </c>
    </row>
    <row r="5544" spans="1:4" x14ac:dyDescent="0.3">
      <c r="A5544" s="10">
        <v>1140</v>
      </c>
      <c r="B5544" s="10" t="s">
        <v>37</v>
      </c>
      <c r="C5544" s="10" t="s">
        <v>93</v>
      </c>
      <c r="D5544" s="17">
        <v>1099.98</v>
      </c>
    </row>
    <row r="5545" spans="1:4" x14ac:dyDescent="0.3">
      <c r="A5545" s="12"/>
      <c r="B5545" s="12"/>
      <c r="C5545" s="14" t="s">
        <v>78</v>
      </c>
      <c r="D5545" s="18">
        <v>833.98</v>
      </c>
    </row>
    <row r="5546" spans="1:4" x14ac:dyDescent="0.3">
      <c r="A5546" s="12"/>
      <c r="B5546" s="12"/>
      <c r="C5546" s="14" t="s">
        <v>104</v>
      </c>
      <c r="D5546" s="18">
        <v>9999.98</v>
      </c>
    </row>
    <row r="5547" spans="1:4" x14ac:dyDescent="0.3">
      <c r="A5547" s="12"/>
      <c r="B5547" s="12"/>
      <c r="C5547" s="14" t="s">
        <v>72</v>
      </c>
      <c r="D5547" s="18">
        <v>2999.98</v>
      </c>
    </row>
    <row r="5548" spans="1:4" x14ac:dyDescent="0.3">
      <c r="A5548" s="12"/>
      <c r="B5548" s="10" t="s">
        <v>1917</v>
      </c>
      <c r="C5548" s="11"/>
      <c r="D5548" s="17">
        <v>14933.919999999998</v>
      </c>
    </row>
    <row r="5549" spans="1:4" x14ac:dyDescent="0.3">
      <c r="A5549" s="10" t="s">
        <v>1436</v>
      </c>
      <c r="B5549" s="11"/>
      <c r="C5549" s="11"/>
      <c r="D5549" s="17">
        <v>14933.919999999998</v>
      </c>
    </row>
    <row r="5550" spans="1:4" x14ac:dyDescent="0.3">
      <c r="A5550" s="10">
        <v>1141</v>
      </c>
      <c r="B5550" s="10" t="s">
        <v>11</v>
      </c>
      <c r="C5550" s="10" t="s">
        <v>12</v>
      </c>
      <c r="D5550" s="17">
        <v>1799.99</v>
      </c>
    </row>
    <row r="5551" spans="1:4" x14ac:dyDescent="0.3">
      <c r="A5551" s="12"/>
      <c r="B5551" s="10" t="s">
        <v>1915</v>
      </c>
      <c r="C5551" s="11"/>
      <c r="D5551" s="17">
        <v>1799.99</v>
      </c>
    </row>
    <row r="5552" spans="1:4" x14ac:dyDescent="0.3">
      <c r="A5552" s="10" t="s">
        <v>1437</v>
      </c>
      <c r="B5552" s="11"/>
      <c r="C5552" s="11"/>
      <c r="D5552" s="17">
        <v>1799.99</v>
      </c>
    </row>
    <row r="5553" spans="1:4" x14ac:dyDescent="0.3">
      <c r="A5553" s="10">
        <v>1142</v>
      </c>
      <c r="B5553" s="10" t="s">
        <v>11</v>
      </c>
      <c r="C5553" s="10" t="s">
        <v>105</v>
      </c>
      <c r="D5553" s="17">
        <v>979.98</v>
      </c>
    </row>
    <row r="5554" spans="1:4" x14ac:dyDescent="0.3">
      <c r="A5554" s="12"/>
      <c r="B5554" s="12"/>
      <c r="C5554" s="14" t="s">
        <v>10</v>
      </c>
      <c r="D5554" s="18">
        <v>1199.98</v>
      </c>
    </row>
    <row r="5555" spans="1:4" x14ac:dyDescent="0.3">
      <c r="A5555" s="12"/>
      <c r="B5555" s="12"/>
      <c r="C5555" s="14" t="s">
        <v>85</v>
      </c>
      <c r="D5555" s="18">
        <v>899.98</v>
      </c>
    </row>
    <row r="5556" spans="1:4" x14ac:dyDescent="0.3">
      <c r="A5556" s="12"/>
      <c r="B5556" s="12"/>
      <c r="C5556" s="14" t="s">
        <v>49</v>
      </c>
      <c r="D5556" s="18">
        <v>833.98</v>
      </c>
    </row>
    <row r="5557" spans="1:4" x14ac:dyDescent="0.3">
      <c r="A5557" s="12"/>
      <c r="B5557" s="12"/>
      <c r="C5557" s="14" t="s">
        <v>47</v>
      </c>
      <c r="D5557" s="18">
        <v>999.99</v>
      </c>
    </row>
    <row r="5558" spans="1:4" x14ac:dyDescent="0.3">
      <c r="A5558" s="12"/>
      <c r="B5558" s="10" t="s">
        <v>1915</v>
      </c>
      <c r="C5558" s="11"/>
      <c r="D5558" s="17">
        <v>4913.91</v>
      </c>
    </row>
    <row r="5559" spans="1:4" x14ac:dyDescent="0.3">
      <c r="A5559" s="10" t="s">
        <v>1438</v>
      </c>
      <c r="B5559" s="11"/>
      <c r="C5559" s="11"/>
      <c r="D5559" s="17">
        <v>4913.91</v>
      </c>
    </row>
    <row r="5560" spans="1:4" x14ac:dyDescent="0.3">
      <c r="A5560" s="10">
        <v>1143</v>
      </c>
      <c r="B5560" s="10" t="s">
        <v>11</v>
      </c>
      <c r="C5560" s="10" t="s">
        <v>52</v>
      </c>
      <c r="D5560" s="17">
        <v>299.99</v>
      </c>
    </row>
    <row r="5561" spans="1:4" x14ac:dyDescent="0.3">
      <c r="A5561" s="12"/>
      <c r="B5561" s="12"/>
      <c r="C5561" s="14" t="s">
        <v>89</v>
      </c>
      <c r="D5561" s="18">
        <v>833.98</v>
      </c>
    </row>
    <row r="5562" spans="1:4" x14ac:dyDescent="0.3">
      <c r="A5562" s="12"/>
      <c r="B5562" s="12"/>
      <c r="C5562" s="14" t="s">
        <v>84</v>
      </c>
      <c r="D5562" s="18">
        <v>1499.99</v>
      </c>
    </row>
    <row r="5563" spans="1:4" x14ac:dyDescent="0.3">
      <c r="A5563" s="12"/>
      <c r="B5563" s="10" t="s">
        <v>1915</v>
      </c>
      <c r="C5563" s="11"/>
      <c r="D5563" s="17">
        <v>2633.96</v>
      </c>
    </row>
    <row r="5564" spans="1:4" x14ac:dyDescent="0.3">
      <c r="A5564" s="10" t="s">
        <v>1439</v>
      </c>
      <c r="B5564" s="11"/>
      <c r="C5564" s="11"/>
      <c r="D5564" s="17">
        <v>2633.96</v>
      </c>
    </row>
    <row r="5565" spans="1:4" x14ac:dyDescent="0.3">
      <c r="A5565" s="10">
        <v>1144</v>
      </c>
      <c r="B5565" s="10" t="s">
        <v>18</v>
      </c>
      <c r="C5565" s="10" t="s">
        <v>64</v>
      </c>
      <c r="D5565" s="17">
        <v>189.99</v>
      </c>
    </row>
    <row r="5566" spans="1:4" x14ac:dyDescent="0.3">
      <c r="A5566" s="12"/>
      <c r="B5566" s="10" t="s">
        <v>1916</v>
      </c>
      <c r="C5566" s="11"/>
      <c r="D5566" s="17">
        <v>189.99</v>
      </c>
    </row>
    <row r="5567" spans="1:4" x14ac:dyDescent="0.3">
      <c r="A5567" s="10" t="s">
        <v>1440</v>
      </c>
      <c r="B5567" s="11"/>
      <c r="C5567" s="11"/>
      <c r="D5567" s="17">
        <v>189.99</v>
      </c>
    </row>
    <row r="5568" spans="1:4" x14ac:dyDescent="0.3">
      <c r="A5568" s="10">
        <v>1145</v>
      </c>
      <c r="B5568" s="10" t="s">
        <v>18</v>
      </c>
      <c r="C5568" s="10" t="s">
        <v>96</v>
      </c>
      <c r="D5568" s="17">
        <v>1067.98</v>
      </c>
    </row>
    <row r="5569" spans="1:4" x14ac:dyDescent="0.3">
      <c r="A5569" s="12"/>
      <c r="B5569" s="10" t="s">
        <v>1916</v>
      </c>
      <c r="C5569" s="11"/>
      <c r="D5569" s="17">
        <v>1067.98</v>
      </c>
    </row>
    <row r="5570" spans="1:4" x14ac:dyDescent="0.3">
      <c r="A5570" s="10" t="s">
        <v>1441</v>
      </c>
      <c r="B5570" s="11"/>
      <c r="C5570" s="11"/>
      <c r="D5570" s="17">
        <v>1067.98</v>
      </c>
    </row>
    <row r="5571" spans="1:4" x14ac:dyDescent="0.3">
      <c r="A5571" s="10">
        <v>1146</v>
      </c>
      <c r="B5571" s="10" t="s">
        <v>18</v>
      </c>
      <c r="C5571" s="10" t="s">
        <v>51</v>
      </c>
      <c r="D5571" s="17">
        <v>489.99</v>
      </c>
    </row>
    <row r="5572" spans="1:4" x14ac:dyDescent="0.3">
      <c r="A5572" s="12"/>
      <c r="B5572" s="12"/>
      <c r="C5572" s="14" t="s">
        <v>30</v>
      </c>
      <c r="D5572" s="18">
        <v>1680.99</v>
      </c>
    </row>
    <row r="5573" spans="1:4" x14ac:dyDescent="0.3">
      <c r="A5573" s="12"/>
      <c r="B5573" s="12"/>
      <c r="C5573" s="14" t="s">
        <v>116</v>
      </c>
      <c r="D5573" s="18">
        <v>832.99</v>
      </c>
    </row>
    <row r="5574" spans="1:4" x14ac:dyDescent="0.3">
      <c r="A5574" s="12"/>
      <c r="B5574" s="10" t="s">
        <v>1916</v>
      </c>
      <c r="C5574" s="11"/>
      <c r="D5574" s="17">
        <v>3003.9700000000003</v>
      </c>
    </row>
    <row r="5575" spans="1:4" x14ac:dyDescent="0.3">
      <c r="A5575" s="10" t="s">
        <v>1442</v>
      </c>
      <c r="B5575" s="11"/>
      <c r="C5575" s="11"/>
      <c r="D5575" s="17">
        <v>3003.9700000000003</v>
      </c>
    </row>
    <row r="5576" spans="1:4" x14ac:dyDescent="0.3">
      <c r="A5576" s="10">
        <v>1147</v>
      </c>
      <c r="B5576" s="10" t="s">
        <v>18</v>
      </c>
      <c r="C5576" s="10" t="s">
        <v>100</v>
      </c>
      <c r="D5576" s="17">
        <v>659.99</v>
      </c>
    </row>
    <row r="5577" spans="1:4" x14ac:dyDescent="0.3">
      <c r="A5577" s="12"/>
      <c r="B5577" s="12"/>
      <c r="C5577" s="14" t="s">
        <v>72</v>
      </c>
      <c r="D5577" s="18">
        <v>2999.98</v>
      </c>
    </row>
    <row r="5578" spans="1:4" x14ac:dyDescent="0.3">
      <c r="A5578" s="12"/>
      <c r="B5578" s="10" t="s">
        <v>1916</v>
      </c>
      <c r="C5578" s="11"/>
      <c r="D5578" s="17">
        <v>3659.9700000000003</v>
      </c>
    </row>
    <row r="5579" spans="1:4" x14ac:dyDescent="0.3">
      <c r="A5579" s="10" t="s">
        <v>1443</v>
      </c>
      <c r="B5579" s="11"/>
      <c r="C5579" s="11"/>
      <c r="D5579" s="17">
        <v>3659.9700000000003</v>
      </c>
    </row>
    <row r="5580" spans="1:4" x14ac:dyDescent="0.3">
      <c r="A5580" s="10">
        <v>1148</v>
      </c>
      <c r="B5580" s="10" t="s">
        <v>18</v>
      </c>
      <c r="C5580" s="10" t="s">
        <v>100</v>
      </c>
      <c r="D5580" s="17">
        <v>659.99</v>
      </c>
    </row>
    <row r="5581" spans="1:4" x14ac:dyDescent="0.3">
      <c r="A5581" s="12"/>
      <c r="B5581" s="12"/>
      <c r="C5581" s="14" t="s">
        <v>28</v>
      </c>
      <c r="D5581" s="18">
        <v>269.99</v>
      </c>
    </row>
    <row r="5582" spans="1:4" x14ac:dyDescent="0.3">
      <c r="A5582" s="12"/>
      <c r="B5582" s="12"/>
      <c r="C5582" s="14" t="s">
        <v>113</v>
      </c>
      <c r="D5582" s="18">
        <v>1599.98</v>
      </c>
    </row>
    <row r="5583" spans="1:4" x14ac:dyDescent="0.3">
      <c r="A5583" s="12"/>
      <c r="B5583" s="12"/>
      <c r="C5583" s="14" t="s">
        <v>59</v>
      </c>
      <c r="D5583" s="18">
        <v>499.98</v>
      </c>
    </row>
    <row r="5584" spans="1:4" x14ac:dyDescent="0.3">
      <c r="A5584" s="12"/>
      <c r="B5584" s="10" t="s">
        <v>1916</v>
      </c>
      <c r="C5584" s="11"/>
      <c r="D5584" s="17">
        <v>3029.94</v>
      </c>
    </row>
    <row r="5585" spans="1:4" x14ac:dyDescent="0.3">
      <c r="A5585" s="10" t="s">
        <v>1444</v>
      </c>
      <c r="B5585" s="11"/>
      <c r="C5585" s="11"/>
      <c r="D5585" s="17">
        <v>3029.94</v>
      </c>
    </row>
    <row r="5586" spans="1:4" x14ac:dyDescent="0.3">
      <c r="A5586" s="10">
        <v>1149</v>
      </c>
      <c r="B5586" s="10" t="s">
        <v>18</v>
      </c>
      <c r="C5586" s="10" t="s">
        <v>82</v>
      </c>
      <c r="D5586" s="17">
        <v>979.98</v>
      </c>
    </row>
    <row r="5587" spans="1:4" x14ac:dyDescent="0.3">
      <c r="A5587" s="12"/>
      <c r="B5587" s="12"/>
      <c r="C5587" s="14" t="s">
        <v>38</v>
      </c>
      <c r="D5587" s="18">
        <v>329.99</v>
      </c>
    </row>
    <row r="5588" spans="1:4" x14ac:dyDescent="0.3">
      <c r="A5588" s="12"/>
      <c r="B5588" s="12"/>
      <c r="C5588" s="14" t="s">
        <v>59</v>
      </c>
      <c r="D5588" s="18">
        <v>249.99</v>
      </c>
    </row>
    <row r="5589" spans="1:4" x14ac:dyDescent="0.3">
      <c r="A5589" s="12"/>
      <c r="B5589" s="12"/>
      <c r="C5589" s="14" t="s">
        <v>84</v>
      </c>
      <c r="D5589" s="18">
        <v>1499.99</v>
      </c>
    </row>
    <row r="5590" spans="1:4" x14ac:dyDescent="0.3">
      <c r="A5590" s="12"/>
      <c r="B5590" s="12"/>
      <c r="C5590" s="14" t="s">
        <v>81</v>
      </c>
      <c r="D5590" s="18">
        <v>4999.99</v>
      </c>
    </row>
    <row r="5591" spans="1:4" x14ac:dyDescent="0.3">
      <c r="A5591" s="12"/>
      <c r="B5591" s="10" t="s">
        <v>1916</v>
      </c>
      <c r="C5591" s="11"/>
      <c r="D5591" s="17">
        <v>8059.94</v>
      </c>
    </row>
    <row r="5592" spans="1:4" x14ac:dyDescent="0.3">
      <c r="A5592" s="10" t="s">
        <v>1445</v>
      </c>
      <c r="B5592" s="11"/>
      <c r="C5592" s="11"/>
      <c r="D5592" s="17">
        <v>8059.94</v>
      </c>
    </row>
    <row r="5593" spans="1:4" x14ac:dyDescent="0.3">
      <c r="A5593" s="10">
        <v>1150</v>
      </c>
      <c r="B5593" s="10" t="s">
        <v>18</v>
      </c>
      <c r="C5593" s="10" t="s">
        <v>31</v>
      </c>
      <c r="D5593" s="17">
        <v>539.98</v>
      </c>
    </row>
    <row r="5594" spans="1:4" x14ac:dyDescent="0.3">
      <c r="A5594" s="12"/>
      <c r="B5594" s="12"/>
      <c r="C5594" s="14" t="s">
        <v>87</v>
      </c>
      <c r="D5594" s="18">
        <v>963.98</v>
      </c>
    </row>
    <row r="5595" spans="1:4" x14ac:dyDescent="0.3">
      <c r="A5595" s="12"/>
      <c r="B5595" s="12"/>
      <c r="C5595" s="14" t="s">
        <v>97</v>
      </c>
      <c r="D5595" s="18">
        <v>349.99</v>
      </c>
    </row>
    <row r="5596" spans="1:4" x14ac:dyDescent="0.3">
      <c r="A5596" s="12"/>
      <c r="B5596" s="12"/>
      <c r="C5596" s="14" t="s">
        <v>71</v>
      </c>
      <c r="D5596" s="18">
        <v>999.99</v>
      </c>
    </row>
    <row r="5597" spans="1:4" x14ac:dyDescent="0.3">
      <c r="A5597" s="12"/>
      <c r="B5597" s="10" t="s">
        <v>1916</v>
      </c>
      <c r="C5597" s="11"/>
      <c r="D5597" s="17">
        <v>2853.94</v>
      </c>
    </row>
    <row r="5598" spans="1:4" x14ac:dyDescent="0.3">
      <c r="A5598" s="10" t="s">
        <v>1446</v>
      </c>
      <c r="B5598" s="11"/>
      <c r="C5598" s="11"/>
      <c r="D5598" s="17">
        <v>2853.94</v>
      </c>
    </row>
    <row r="5599" spans="1:4" x14ac:dyDescent="0.3">
      <c r="A5599" s="10">
        <v>1151</v>
      </c>
      <c r="B5599" s="10" t="s">
        <v>11</v>
      </c>
      <c r="C5599" s="10" t="s">
        <v>47</v>
      </c>
      <c r="D5599" s="17">
        <v>1999.98</v>
      </c>
    </row>
    <row r="5600" spans="1:4" x14ac:dyDescent="0.3">
      <c r="A5600" s="12"/>
      <c r="B5600" s="10" t="s">
        <v>1915</v>
      </c>
      <c r="C5600" s="11"/>
      <c r="D5600" s="17">
        <v>1999.98</v>
      </c>
    </row>
    <row r="5601" spans="1:4" x14ac:dyDescent="0.3">
      <c r="A5601" s="10" t="s">
        <v>1447</v>
      </c>
      <c r="B5601" s="11"/>
      <c r="C5601" s="11"/>
      <c r="D5601" s="17">
        <v>1999.98</v>
      </c>
    </row>
    <row r="5602" spans="1:4" x14ac:dyDescent="0.3">
      <c r="A5602" s="10">
        <v>1152</v>
      </c>
      <c r="B5602" s="10" t="s">
        <v>18</v>
      </c>
      <c r="C5602" s="10" t="s">
        <v>25</v>
      </c>
      <c r="D5602" s="17">
        <v>549.99</v>
      </c>
    </row>
    <row r="5603" spans="1:4" x14ac:dyDescent="0.3">
      <c r="A5603" s="12"/>
      <c r="B5603" s="12"/>
      <c r="C5603" s="14" t="s">
        <v>81</v>
      </c>
      <c r="D5603" s="18">
        <v>4999.99</v>
      </c>
    </row>
    <row r="5604" spans="1:4" x14ac:dyDescent="0.3">
      <c r="A5604" s="12"/>
      <c r="B5604" s="12"/>
      <c r="C5604" s="14" t="s">
        <v>97</v>
      </c>
      <c r="D5604" s="18">
        <v>699.98</v>
      </c>
    </row>
    <row r="5605" spans="1:4" x14ac:dyDescent="0.3">
      <c r="A5605" s="12"/>
      <c r="B5605" s="10" t="s">
        <v>1916</v>
      </c>
      <c r="C5605" s="11"/>
      <c r="D5605" s="17">
        <v>6249.9599999999991</v>
      </c>
    </row>
    <row r="5606" spans="1:4" x14ac:dyDescent="0.3">
      <c r="A5606" s="10" t="s">
        <v>1448</v>
      </c>
      <c r="B5606" s="11"/>
      <c r="C5606" s="11"/>
      <c r="D5606" s="17">
        <v>6249.9599999999991</v>
      </c>
    </row>
    <row r="5607" spans="1:4" x14ac:dyDescent="0.3">
      <c r="A5607" s="10">
        <v>1153</v>
      </c>
      <c r="B5607" s="10" t="s">
        <v>18</v>
      </c>
      <c r="C5607" s="10" t="s">
        <v>40</v>
      </c>
      <c r="D5607" s="17">
        <v>551.99</v>
      </c>
    </row>
    <row r="5608" spans="1:4" x14ac:dyDescent="0.3">
      <c r="A5608" s="12"/>
      <c r="B5608" s="12"/>
      <c r="C5608" s="14" t="s">
        <v>32</v>
      </c>
      <c r="D5608" s="18">
        <v>939.98</v>
      </c>
    </row>
    <row r="5609" spans="1:4" x14ac:dyDescent="0.3">
      <c r="A5609" s="12"/>
      <c r="B5609" s="10" t="s">
        <v>1916</v>
      </c>
      <c r="C5609" s="11"/>
      <c r="D5609" s="17">
        <v>1491.97</v>
      </c>
    </row>
    <row r="5610" spans="1:4" x14ac:dyDescent="0.3">
      <c r="A5610" s="10" t="s">
        <v>1449</v>
      </c>
      <c r="B5610" s="11"/>
      <c r="C5610" s="11"/>
      <c r="D5610" s="17">
        <v>1491.97</v>
      </c>
    </row>
    <row r="5611" spans="1:4" x14ac:dyDescent="0.3">
      <c r="A5611" s="10">
        <v>1154</v>
      </c>
      <c r="B5611" s="10" t="s">
        <v>18</v>
      </c>
      <c r="C5611" s="10" t="s">
        <v>23</v>
      </c>
      <c r="D5611" s="17">
        <v>429</v>
      </c>
    </row>
    <row r="5612" spans="1:4" x14ac:dyDescent="0.3">
      <c r="A5612" s="12"/>
      <c r="B5612" s="12"/>
      <c r="C5612" s="14" t="s">
        <v>101</v>
      </c>
      <c r="D5612" s="18">
        <v>1559.99</v>
      </c>
    </row>
    <row r="5613" spans="1:4" x14ac:dyDescent="0.3">
      <c r="A5613" s="12"/>
      <c r="B5613" s="12"/>
      <c r="C5613" s="14" t="s">
        <v>60</v>
      </c>
      <c r="D5613" s="18">
        <v>501.98</v>
      </c>
    </row>
    <row r="5614" spans="1:4" x14ac:dyDescent="0.3">
      <c r="A5614" s="12"/>
      <c r="B5614" s="10" t="s">
        <v>1916</v>
      </c>
      <c r="C5614" s="11"/>
      <c r="D5614" s="17">
        <v>2490.9700000000003</v>
      </c>
    </row>
    <row r="5615" spans="1:4" x14ac:dyDescent="0.3">
      <c r="A5615" s="10" t="s">
        <v>1450</v>
      </c>
      <c r="B5615" s="11"/>
      <c r="C5615" s="11"/>
      <c r="D5615" s="17">
        <v>2490.9700000000003</v>
      </c>
    </row>
    <row r="5616" spans="1:4" x14ac:dyDescent="0.3">
      <c r="A5616" s="10">
        <v>1155</v>
      </c>
      <c r="B5616" s="10" t="s">
        <v>18</v>
      </c>
      <c r="C5616" s="10" t="s">
        <v>113</v>
      </c>
      <c r="D5616" s="17">
        <v>1599.98</v>
      </c>
    </row>
    <row r="5617" spans="1:4" x14ac:dyDescent="0.3">
      <c r="A5617" s="12"/>
      <c r="B5617" s="12"/>
      <c r="C5617" s="14" t="s">
        <v>39</v>
      </c>
      <c r="D5617" s="18">
        <v>899.98</v>
      </c>
    </row>
    <row r="5618" spans="1:4" x14ac:dyDescent="0.3">
      <c r="A5618" s="12"/>
      <c r="B5618" s="12"/>
      <c r="C5618" s="14" t="s">
        <v>109</v>
      </c>
      <c r="D5618" s="18">
        <v>832.99</v>
      </c>
    </row>
    <row r="5619" spans="1:4" x14ac:dyDescent="0.3">
      <c r="A5619" s="12"/>
      <c r="B5619" s="12"/>
      <c r="C5619" s="14" t="s">
        <v>32</v>
      </c>
      <c r="D5619" s="18">
        <v>939.98</v>
      </c>
    </row>
    <row r="5620" spans="1:4" x14ac:dyDescent="0.3">
      <c r="A5620" s="12"/>
      <c r="B5620" s="10" t="s">
        <v>1916</v>
      </c>
      <c r="C5620" s="11"/>
      <c r="D5620" s="17">
        <v>4272.93</v>
      </c>
    </row>
    <row r="5621" spans="1:4" x14ac:dyDescent="0.3">
      <c r="A5621" s="10" t="s">
        <v>1451</v>
      </c>
      <c r="B5621" s="11"/>
      <c r="C5621" s="11"/>
      <c r="D5621" s="17">
        <v>4272.93</v>
      </c>
    </row>
    <row r="5622" spans="1:4" x14ac:dyDescent="0.3">
      <c r="A5622" s="10">
        <v>1156</v>
      </c>
      <c r="B5622" s="10" t="s">
        <v>18</v>
      </c>
      <c r="C5622" s="10" t="s">
        <v>112</v>
      </c>
      <c r="D5622" s="17">
        <v>941.98</v>
      </c>
    </row>
    <row r="5623" spans="1:4" x14ac:dyDescent="0.3">
      <c r="A5623" s="12"/>
      <c r="B5623" s="12"/>
      <c r="C5623" s="14" t="s">
        <v>115</v>
      </c>
      <c r="D5623" s="18">
        <v>149.99</v>
      </c>
    </row>
    <row r="5624" spans="1:4" x14ac:dyDescent="0.3">
      <c r="A5624" s="12"/>
      <c r="B5624" s="10" t="s">
        <v>1916</v>
      </c>
      <c r="C5624" s="11"/>
      <c r="D5624" s="17">
        <v>1091.97</v>
      </c>
    </row>
    <row r="5625" spans="1:4" x14ac:dyDescent="0.3">
      <c r="A5625" s="10" t="s">
        <v>1452</v>
      </c>
      <c r="B5625" s="11"/>
      <c r="C5625" s="11"/>
      <c r="D5625" s="17">
        <v>1091.97</v>
      </c>
    </row>
    <row r="5626" spans="1:4" x14ac:dyDescent="0.3">
      <c r="A5626" s="10">
        <v>1157</v>
      </c>
      <c r="B5626" s="10" t="s">
        <v>11</v>
      </c>
      <c r="C5626" s="10" t="s">
        <v>10</v>
      </c>
      <c r="D5626" s="17">
        <v>599.99</v>
      </c>
    </row>
    <row r="5627" spans="1:4" x14ac:dyDescent="0.3">
      <c r="A5627" s="12"/>
      <c r="B5627" s="12"/>
      <c r="C5627" s="14" t="s">
        <v>98</v>
      </c>
      <c r="D5627" s="18">
        <v>759.98</v>
      </c>
    </row>
    <row r="5628" spans="1:4" x14ac:dyDescent="0.3">
      <c r="A5628" s="12"/>
      <c r="B5628" s="12"/>
      <c r="C5628" s="14" t="s">
        <v>77</v>
      </c>
      <c r="D5628" s="18">
        <v>1469.99</v>
      </c>
    </row>
    <row r="5629" spans="1:4" x14ac:dyDescent="0.3">
      <c r="A5629" s="12"/>
      <c r="B5629" s="12"/>
      <c r="C5629" s="14" t="s">
        <v>102</v>
      </c>
      <c r="D5629" s="18">
        <v>3265.98</v>
      </c>
    </row>
    <row r="5630" spans="1:4" x14ac:dyDescent="0.3">
      <c r="A5630" s="12"/>
      <c r="B5630" s="10" t="s">
        <v>1915</v>
      </c>
      <c r="C5630" s="11"/>
      <c r="D5630" s="17">
        <v>6095.9400000000005</v>
      </c>
    </row>
    <row r="5631" spans="1:4" x14ac:dyDescent="0.3">
      <c r="A5631" s="10" t="s">
        <v>1453</v>
      </c>
      <c r="B5631" s="11"/>
      <c r="C5631" s="11"/>
      <c r="D5631" s="17">
        <v>6095.9400000000005</v>
      </c>
    </row>
    <row r="5632" spans="1:4" x14ac:dyDescent="0.3">
      <c r="A5632" s="10">
        <v>1158</v>
      </c>
      <c r="B5632" s="10" t="s">
        <v>11</v>
      </c>
      <c r="C5632" s="10" t="s">
        <v>61</v>
      </c>
      <c r="D5632" s="17">
        <v>439.99</v>
      </c>
    </row>
    <row r="5633" spans="1:4" x14ac:dyDescent="0.3">
      <c r="A5633" s="12"/>
      <c r="B5633" s="12"/>
      <c r="C5633" s="14" t="s">
        <v>48</v>
      </c>
      <c r="D5633" s="18">
        <v>599.98</v>
      </c>
    </row>
    <row r="5634" spans="1:4" x14ac:dyDescent="0.3">
      <c r="A5634" s="12"/>
      <c r="B5634" s="10" t="s">
        <v>1915</v>
      </c>
      <c r="C5634" s="11"/>
      <c r="D5634" s="17">
        <v>1039.97</v>
      </c>
    </row>
    <row r="5635" spans="1:4" x14ac:dyDescent="0.3">
      <c r="A5635" s="10" t="s">
        <v>1454</v>
      </c>
      <c r="B5635" s="11"/>
      <c r="C5635" s="11"/>
      <c r="D5635" s="17">
        <v>1039.97</v>
      </c>
    </row>
    <row r="5636" spans="1:4" x14ac:dyDescent="0.3">
      <c r="A5636" s="10">
        <v>1159</v>
      </c>
      <c r="B5636" s="10" t="s">
        <v>11</v>
      </c>
      <c r="C5636" s="10" t="s">
        <v>25</v>
      </c>
      <c r="D5636" s="17">
        <v>1099.98</v>
      </c>
    </row>
    <row r="5637" spans="1:4" x14ac:dyDescent="0.3">
      <c r="A5637" s="12"/>
      <c r="B5637" s="10" t="s">
        <v>1915</v>
      </c>
      <c r="C5637" s="11"/>
      <c r="D5637" s="17">
        <v>1099.98</v>
      </c>
    </row>
    <row r="5638" spans="1:4" x14ac:dyDescent="0.3">
      <c r="A5638" s="10" t="s">
        <v>1455</v>
      </c>
      <c r="B5638" s="11"/>
      <c r="C5638" s="11"/>
      <c r="D5638" s="17">
        <v>1099.98</v>
      </c>
    </row>
    <row r="5639" spans="1:4" x14ac:dyDescent="0.3">
      <c r="A5639" s="10">
        <v>1160</v>
      </c>
      <c r="B5639" s="10" t="s">
        <v>11</v>
      </c>
      <c r="C5639" s="10" t="s">
        <v>77</v>
      </c>
      <c r="D5639" s="17">
        <v>1469.99</v>
      </c>
    </row>
    <row r="5640" spans="1:4" x14ac:dyDescent="0.3">
      <c r="A5640" s="12"/>
      <c r="B5640" s="12"/>
      <c r="C5640" s="14" t="s">
        <v>26</v>
      </c>
      <c r="D5640" s="18">
        <v>2999.99</v>
      </c>
    </row>
    <row r="5641" spans="1:4" x14ac:dyDescent="0.3">
      <c r="A5641" s="12"/>
      <c r="B5641" s="10" t="s">
        <v>1915</v>
      </c>
      <c r="C5641" s="11"/>
      <c r="D5641" s="17">
        <v>4469.9799999999996</v>
      </c>
    </row>
    <row r="5642" spans="1:4" x14ac:dyDescent="0.3">
      <c r="A5642" s="10" t="s">
        <v>1456</v>
      </c>
      <c r="B5642" s="11"/>
      <c r="C5642" s="11"/>
      <c r="D5642" s="17">
        <v>4469.9799999999996</v>
      </c>
    </row>
    <row r="5643" spans="1:4" x14ac:dyDescent="0.3">
      <c r="A5643" s="10">
        <v>1161</v>
      </c>
      <c r="B5643" s="10" t="s">
        <v>18</v>
      </c>
      <c r="C5643" s="10" t="s">
        <v>28</v>
      </c>
      <c r="D5643" s="17">
        <v>269.99</v>
      </c>
    </row>
    <row r="5644" spans="1:4" x14ac:dyDescent="0.3">
      <c r="A5644" s="12"/>
      <c r="B5644" s="12"/>
      <c r="C5644" s="14" t="s">
        <v>93</v>
      </c>
      <c r="D5644" s="18">
        <v>549.99</v>
      </c>
    </row>
    <row r="5645" spans="1:4" x14ac:dyDescent="0.3">
      <c r="A5645" s="12"/>
      <c r="B5645" s="12"/>
      <c r="C5645" s="14" t="s">
        <v>78</v>
      </c>
      <c r="D5645" s="18">
        <v>833.98</v>
      </c>
    </row>
    <row r="5646" spans="1:4" x14ac:dyDescent="0.3">
      <c r="A5646" s="12"/>
      <c r="B5646" s="12"/>
      <c r="C5646" s="14" t="s">
        <v>71</v>
      </c>
      <c r="D5646" s="18">
        <v>1999.98</v>
      </c>
    </row>
    <row r="5647" spans="1:4" x14ac:dyDescent="0.3">
      <c r="A5647" s="12"/>
      <c r="B5647" s="10" t="s">
        <v>1916</v>
      </c>
      <c r="C5647" s="11"/>
      <c r="D5647" s="17">
        <v>3653.94</v>
      </c>
    </row>
    <row r="5648" spans="1:4" x14ac:dyDescent="0.3">
      <c r="A5648" s="10" t="s">
        <v>1457</v>
      </c>
      <c r="B5648" s="11"/>
      <c r="C5648" s="11"/>
      <c r="D5648" s="17">
        <v>3653.94</v>
      </c>
    </row>
    <row r="5649" spans="1:4" x14ac:dyDescent="0.3">
      <c r="A5649" s="10">
        <v>1162</v>
      </c>
      <c r="B5649" s="10" t="s">
        <v>18</v>
      </c>
      <c r="C5649" s="10" t="s">
        <v>25</v>
      </c>
      <c r="D5649" s="17">
        <v>1099.98</v>
      </c>
    </row>
    <row r="5650" spans="1:4" x14ac:dyDescent="0.3">
      <c r="A5650" s="12"/>
      <c r="B5650" s="12"/>
      <c r="C5650" s="14" t="s">
        <v>77</v>
      </c>
      <c r="D5650" s="18">
        <v>1469.99</v>
      </c>
    </row>
    <row r="5651" spans="1:4" x14ac:dyDescent="0.3">
      <c r="A5651" s="12"/>
      <c r="B5651" s="12"/>
      <c r="C5651" s="14" t="s">
        <v>104</v>
      </c>
      <c r="D5651" s="18">
        <v>9999.98</v>
      </c>
    </row>
    <row r="5652" spans="1:4" x14ac:dyDescent="0.3">
      <c r="A5652" s="12"/>
      <c r="B5652" s="12"/>
      <c r="C5652" s="14" t="s">
        <v>115</v>
      </c>
      <c r="D5652" s="18">
        <v>149.99</v>
      </c>
    </row>
    <row r="5653" spans="1:4" x14ac:dyDescent="0.3">
      <c r="A5653" s="12"/>
      <c r="B5653" s="12"/>
      <c r="C5653" s="14" t="s">
        <v>64</v>
      </c>
      <c r="D5653" s="18">
        <v>189.99</v>
      </c>
    </row>
    <row r="5654" spans="1:4" x14ac:dyDescent="0.3">
      <c r="A5654" s="12"/>
      <c r="B5654" s="10" t="s">
        <v>1916</v>
      </c>
      <c r="C5654" s="11"/>
      <c r="D5654" s="17">
        <v>12909.93</v>
      </c>
    </row>
    <row r="5655" spans="1:4" x14ac:dyDescent="0.3">
      <c r="A5655" s="10" t="s">
        <v>1458</v>
      </c>
      <c r="B5655" s="11"/>
      <c r="C5655" s="11"/>
      <c r="D5655" s="17">
        <v>12909.93</v>
      </c>
    </row>
    <row r="5656" spans="1:4" x14ac:dyDescent="0.3">
      <c r="A5656" s="10">
        <v>1163</v>
      </c>
      <c r="B5656" s="10" t="s">
        <v>18</v>
      </c>
      <c r="C5656" s="10" t="s">
        <v>42</v>
      </c>
      <c r="D5656" s="17">
        <v>1499.98</v>
      </c>
    </row>
    <row r="5657" spans="1:4" x14ac:dyDescent="0.3">
      <c r="A5657" s="12"/>
      <c r="B5657" s="12"/>
      <c r="C5657" s="14" t="s">
        <v>75</v>
      </c>
      <c r="D5657" s="18">
        <v>6999.98</v>
      </c>
    </row>
    <row r="5658" spans="1:4" x14ac:dyDescent="0.3">
      <c r="A5658" s="12"/>
      <c r="B5658" s="10" t="s">
        <v>1916</v>
      </c>
      <c r="C5658" s="11"/>
      <c r="D5658" s="17">
        <v>8499.9599999999991</v>
      </c>
    </row>
    <row r="5659" spans="1:4" x14ac:dyDescent="0.3">
      <c r="A5659" s="10" t="s">
        <v>1459</v>
      </c>
      <c r="B5659" s="11"/>
      <c r="C5659" s="11"/>
      <c r="D5659" s="17">
        <v>8499.9599999999991</v>
      </c>
    </row>
    <row r="5660" spans="1:4" x14ac:dyDescent="0.3">
      <c r="A5660" s="10">
        <v>1164</v>
      </c>
      <c r="B5660" s="10" t="s">
        <v>18</v>
      </c>
      <c r="C5660" s="10" t="s">
        <v>108</v>
      </c>
      <c r="D5660" s="17">
        <v>1079.98</v>
      </c>
    </row>
    <row r="5661" spans="1:4" x14ac:dyDescent="0.3">
      <c r="A5661" s="12"/>
      <c r="B5661" s="12"/>
      <c r="C5661" s="14" t="s">
        <v>57</v>
      </c>
      <c r="D5661" s="18">
        <v>647.99</v>
      </c>
    </row>
    <row r="5662" spans="1:4" x14ac:dyDescent="0.3">
      <c r="A5662" s="12"/>
      <c r="B5662" s="12"/>
      <c r="C5662" s="14" t="s">
        <v>40</v>
      </c>
      <c r="D5662" s="18">
        <v>1103.98</v>
      </c>
    </row>
    <row r="5663" spans="1:4" x14ac:dyDescent="0.3">
      <c r="A5663" s="12"/>
      <c r="B5663" s="12"/>
      <c r="C5663" s="14" t="s">
        <v>12</v>
      </c>
      <c r="D5663" s="18">
        <v>1799.99</v>
      </c>
    </row>
    <row r="5664" spans="1:4" x14ac:dyDescent="0.3">
      <c r="A5664" s="12"/>
      <c r="B5664" s="10" t="s">
        <v>1916</v>
      </c>
      <c r="C5664" s="11"/>
      <c r="D5664" s="17">
        <v>4631.9399999999996</v>
      </c>
    </row>
    <row r="5665" spans="1:4" x14ac:dyDescent="0.3">
      <c r="A5665" s="10" t="s">
        <v>1460</v>
      </c>
      <c r="B5665" s="11"/>
      <c r="C5665" s="11"/>
      <c r="D5665" s="17">
        <v>4631.9399999999996</v>
      </c>
    </row>
    <row r="5666" spans="1:4" x14ac:dyDescent="0.3">
      <c r="A5666" s="10">
        <v>1165</v>
      </c>
      <c r="B5666" s="10" t="s">
        <v>18</v>
      </c>
      <c r="C5666" s="10" t="s">
        <v>39</v>
      </c>
      <c r="D5666" s="17">
        <v>449.99</v>
      </c>
    </row>
    <row r="5667" spans="1:4" x14ac:dyDescent="0.3">
      <c r="A5667" s="12"/>
      <c r="B5667" s="12"/>
      <c r="C5667" s="14" t="s">
        <v>114</v>
      </c>
      <c r="D5667" s="18">
        <v>693.98</v>
      </c>
    </row>
    <row r="5668" spans="1:4" x14ac:dyDescent="0.3">
      <c r="A5668" s="12"/>
      <c r="B5668" s="10" t="s">
        <v>1916</v>
      </c>
      <c r="C5668" s="11"/>
      <c r="D5668" s="17">
        <v>1143.97</v>
      </c>
    </row>
    <row r="5669" spans="1:4" x14ac:dyDescent="0.3">
      <c r="A5669" s="10" t="s">
        <v>1461</v>
      </c>
      <c r="B5669" s="11"/>
      <c r="C5669" s="11"/>
      <c r="D5669" s="17">
        <v>1143.97</v>
      </c>
    </row>
    <row r="5670" spans="1:4" x14ac:dyDescent="0.3">
      <c r="A5670" s="10">
        <v>1166</v>
      </c>
      <c r="B5670" s="10" t="s">
        <v>18</v>
      </c>
      <c r="C5670" s="10" t="s">
        <v>40</v>
      </c>
      <c r="D5670" s="17">
        <v>1103.98</v>
      </c>
    </row>
    <row r="5671" spans="1:4" x14ac:dyDescent="0.3">
      <c r="A5671" s="12"/>
      <c r="B5671" s="10" t="s">
        <v>1916</v>
      </c>
      <c r="C5671" s="11"/>
      <c r="D5671" s="17">
        <v>1103.98</v>
      </c>
    </row>
    <row r="5672" spans="1:4" x14ac:dyDescent="0.3">
      <c r="A5672" s="10" t="s">
        <v>1462</v>
      </c>
      <c r="B5672" s="11"/>
      <c r="C5672" s="11"/>
      <c r="D5672" s="17">
        <v>1103.98</v>
      </c>
    </row>
    <row r="5673" spans="1:4" x14ac:dyDescent="0.3">
      <c r="A5673" s="10">
        <v>1167</v>
      </c>
      <c r="B5673" s="10" t="s">
        <v>11</v>
      </c>
      <c r="C5673" s="10" t="s">
        <v>99</v>
      </c>
      <c r="D5673" s="17">
        <v>2199.98</v>
      </c>
    </row>
    <row r="5674" spans="1:4" x14ac:dyDescent="0.3">
      <c r="A5674" s="12"/>
      <c r="B5674" s="12"/>
      <c r="C5674" s="14" t="s">
        <v>39</v>
      </c>
      <c r="D5674" s="18">
        <v>449.99</v>
      </c>
    </row>
    <row r="5675" spans="1:4" x14ac:dyDescent="0.3">
      <c r="A5675" s="12"/>
      <c r="B5675" s="12"/>
      <c r="C5675" s="14" t="s">
        <v>71</v>
      </c>
      <c r="D5675" s="18">
        <v>1999.98</v>
      </c>
    </row>
    <row r="5676" spans="1:4" x14ac:dyDescent="0.3">
      <c r="A5676" s="12"/>
      <c r="B5676" s="10" t="s">
        <v>1915</v>
      </c>
      <c r="C5676" s="11"/>
      <c r="D5676" s="17">
        <v>4649.9500000000007</v>
      </c>
    </row>
    <row r="5677" spans="1:4" x14ac:dyDescent="0.3">
      <c r="A5677" s="10" t="s">
        <v>1463</v>
      </c>
      <c r="B5677" s="11"/>
      <c r="C5677" s="11"/>
      <c r="D5677" s="17">
        <v>4649.9500000000007</v>
      </c>
    </row>
    <row r="5678" spans="1:4" x14ac:dyDescent="0.3">
      <c r="A5678" s="10">
        <v>1168</v>
      </c>
      <c r="B5678" s="10" t="s">
        <v>18</v>
      </c>
      <c r="C5678" s="10" t="s">
        <v>100</v>
      </c>
      <c r="D5678" s="17">
        <v>659.99</v>
      </c>
    </row>
    <row r="5679" spans="1:4" x14ac:dyDescent="0.3">
      <c r="A5679" s="12"/>
      <c r="B5679" s="12"/>
      <c r="C5679" s="14" t="s">
        <v>33</v>
      </c>
      <c r="D5679" s="18">
        <v>599.98</v>
      </c>
    </row>
    <row r="5680" spans="1:4" x14ac:dyDescent="0.3">
      <c r="A5680" s="12"/>
      <c r="B5680" s="12"/>
      <c r="C5680" s="14" t="s">
        <v>27</v>
      </c>
      <c r="D5680" s="18">
        <v>1059.98</v>
      </c>
    </row>
    <row r="5681" spans="1:4" x14ac:dyDescent="0.3">
      <c r="A5681" s="12"/>
      <c r="B5681" s="12"/>
      <c r="C5681" s="14" t="s">
        <v>89</v>
      </c>
      <c r="D5681" s="18">
        <v>833.98</v>
      </c>
    </row>
    <row r="5682" spans="1:4" x14ac:dyDescent="0.3">
      <c r="A5682" s="12"/>
      <c r="B5682" s="12"/>
      <c r="C5682" s="14" t="s">
        <v>90</v>
      </c>
      <c r="D5682" s="18">
        <v>6499.99</v>
      </c>
    </row>
    <row r="5683" spans="1:4" x14ac:dyDescent="0.3">
      <c r="A5683" s="12"/>
      <c r="B5683" s="10" t="s">
        <v>1916</v>
      </c>
      <c r="C5683" s="11"/>
      <c r="D5683" s="17">
        <v>9653.92</v>
      </c>
    </row>
    <row r="5684" spans="1:4" x14ac:dyDescent="0.3">
      <c r="A5684" s="10" t="s">
        <v>1464</v>
      </c>
      <c r="B5684" s="11"/>
      <c r="C5684" s="11"/>
      <c r="D5684" s="17">
        <v>9653.92</v>
      </c>
    </row>
    <row r="5685" spans="1:4" x14ac:dyDescent="0.3">
      <c r="A5685" s="10">
        <v>1169</v>
      </c>
      <c r="B5685" s="10" t="s">
        <v>18</v>
      </c>
      <c r="C5685" s="10" t="s">
        <v>99</v>
      </c>
      <c r="D5685" s="17">
        <v>2199.98</v>
      </c>
    </row>
    <row r="5686" spans="1:4" x14ac:dyDescent="0.3">
      <c r="A5686" s="12"/>
      <c r="B5686" s="12"/>
      <c r="C5686" s="14" t="s">
        <v>81</v>
      </c>
      <c r="D5686" s="18">
        <v>9999.98</v>
      </c>
    </row>
    <row r="5687" spans="1:4" x14ac:dyDescent="0.3">
      <c r="A5687" s="12"/>
      <c r="B5687" s="12"/>
      <c r="C5687" s="14" t="s">
        <v>97</v>
      </c>
      <c r="D5687" s="18">
        <v>699.98</v>
      </c>
    </row>
    <row r="5688" spans="1:4" x14ac:dyDescent="0.3">
      <c r="A5688" s="12"/>
      <c r="B5688" s="12"/>
      <c r="C5688" s="14" t="s">
        <v>90</v>
      </c>
      <c r="D5688" s="18">
        <v>6499.99</v>
      </c>
    </row>
    <row r="5689" spans="1:4" x14ac:dyDescent="0.3">
      <c r="A5689" s="12"/>
      <c r="B5689" s="10" t="s">
        <v>1916</v>
      </c>
      <c r="C5689" s="11"/>
      <c r="D5689" s="17">
        <v>19399.93</v>
      </c>
    </row>
    <row r="5690" spans="1:4" x14ac:dyDescent="0.3">
      <c r="A5690" s="10" t="s">
        <v>1465</v>
      </c>
      <c r="B5690" s="11"/>
      <c r="C5690" s="11"/>
      <c r="D5690" s="17">
        <v>19399.93</v>
      </c>
    </row>
    <row r="5691" spans="1:4" x14ac:dyDescent="0.3">
      <c r="A5691" s="10">
        <v>1170</v>
      </c>
      <c r="B5691" s="10" t="s">
        <v>18</v>
      </c>
      <c r="C5691" s="10" t="s">
        <v>27</v>
      </c>
      <c r="D5691" s="17">
        <v>529.99</v>
      </c>
    </row>
    <row r="5692" spans="1:4" x14ac:dyDescent="0.3">
      <c r="A5692" s="12"/>
      <c r="B5692" s="12"/>
      <c r="C5692" s="14" t="s">
        <v>50</v>
      </c>
      <c r="D5692" s="18">
        <v>6999.98</v>
      </c>
    </row>
    <row r="5693" spans="1:4" x14ac:dyDescent="0.3">
      <c r="A5693" s="12"/>
      <c r="B5693" s="12"/>
      <c r="C5693" s="14" t="s">
        <v>54</v>
      </c>
      <c r="D5693" s="18">
        <v>10599.98</v>
      </c>
    </row>
    <row r="5694" spans="1:4" x14ac:dyDescent="0.3">
      <c r="A5694" s="12"/>
      <c r="B5694" s="10" t="s">
        <v>1916</v>
      </c>
      <c r="C5694" s="11"/>
      <c r="D5694" s="17">
        <v>18129.949999999997</v>
      </c>
    </row>
    <row r="5695" spans="1:4" x14ac:dyDescent="0.3">
      <c r="A5695" s="10" t="s">
        <v>1466</v>
      </c>
      <c r="B5695" s="11"/>
      <c r="C5695" s="11"/>
      <c r="D5695" s="17">
        <v>18129.949999999997</v>
      </c>
    </row>
    <row r="5696" spans="1:4" x14ac:dyDescent="0.3">
      <c r="A5696" s="10">
        <v>1171</v>
      </c>
      <c r="B5696" s="10" t="s">
        <v>18</v>
      </c>
      <c r="C5696" s="10" t="s">
        <v>111</v>
      </c>
      <c r="D5696" s="17">
        <v>419.98</v>
      </c>
    </row>
    <row r="5697" spans="1:4" x14ac:dyDescent="0.3">
      <c r="A5697" s="12"/>
      <c r="B5697" s="12"/>
      <c r="C5697" s="14" t="s">
        <v>59</v>
      </c>
      <c r="D5697" s="18">
        <v>499.98</v>
      </c>
    </row>
    <row r="5698" spans="1:4" x14ac:dyDescent="0.3">
      <c r="A5698" s="12"/>
      <c r="B5698" s="12"/>
      <c r="C5698" s="14" t="s">
        <v>13</v>
      </c>
      <c r="D5698" s="18">
        <v>3098</v>
      </c>
    </row>
    <row r="5699" spans="1:4" x14ac:dyDescent="0.3">
      <c r="A5699" s="12"/>
      <c r="B5699" s="10" t="s">
        <v>1916</v>
      </c>
      <c r="C5699" s="11"/>
      <c r="D5699" s="17">
        <v>4017.96</v>
      </c>
    </row>
    <row r="5700" spans="1:4" x14ac:dyDescent="0.3">
      <c r="A5700" s="10" t="s">
        <v>1467</v>
      </c>
      <c r="B5700" s="11"/>
      <c r="C5700" s="11"/>
      <c r="D5700" s="17">
        <v>4017.96</v>
      </c>
    </row>
    <row r="5701" spans="1:4" x14ac:dyDescent="0.3">
      <c r="A5701" s="10">
        <v>1172</v>
      </c>
      <c r="B5701" s="10" t="s">
        <v>18</v>
      </c>
      <c r="C5701" s="10" t="s">
        <v>57</v>
      </c>
      <c r="D5701" s="17">
        <v>1295.98</v>
      </c>
    </row>
    <row r="5702" spans="1:4" x14ac:dyDescent="0.3">
      <c r="A5702" s="12"/>
      <c r="B5702" s="12"/>
      <c r="C5702" s="14" t="s">
        <v>87</v>
      </c>
      <c r="D5702" s="18">
        <v>481.99</v>
      </c>
    </row>
    <row r="5703" spans="1:4" x14ac:dyDescent="0.3">
      <c r="A5703" s="12"/>
      <c r="B5703" s="10" t="s">
        <v>1916</v>
      </c>
      <c r="C5703" s="11"/>
      <c r="D5703" s="17">
        <v>1777.97</v>
      </c>
    </row>
    <row r="5704" spans="1:4" x14ac:dyDescent="0.3">
      <c r="A5704" s="10" t="s">
        <v>1468</v>
      </c>
      <c r="B5704" s="11"/>
      <c r="C5704" s="11"/>
      <c r="D5704" s="17">
        <v>1777.97</v>
      </c>
    </row>
    <row r="5705" spans="1:4" x14ac:dyDescent="0.3">
      <c r="A5705" s="10">
        <v>1173</v>
      </c>
      <c r="B5705" s="10" t="s">
        <v>18</v>
      </c>
      <c r="C5705" s="10" t="s">
        <v>48</v>
      </c>
      <c r="D5705" s="17">
        <v>299.99</v>
      </c>
    </row>
    <row r="5706" spans="1:4" x14ac:dyDescent="0.3">
      <c r="A5706" s="12"/>
      <c r="B5706" s="12"/>
      <c r="C5706" s="14" t="s">
        <v>23</v>
      </c>
      <c r="D5706" s="18">
        <v>429</v>
      </c>
    </row>
    <row r="5707" spans="1:4" x14ac:dyDescent="0.3">
      <c r="A5707" s="12"/>
      <c r="B5707" s="12"/>
      <c r="C5707" s="14" t="s">
        <v>39</v>
      </c>
      <c r="D5707" s="18">
        <v>449.99</v>
      </c>
    </row>
    <row r="5708" spans="1:4" x14ac:dyDescent="0.3">
      <c r="A5708" s="12"/>
      <c r="B5708" s="12"/>
      <c r="C5708" s="14" t="s">
        <v>40</v>
      </c>
      <c r="D5708" s="18">
        <v>1103.98</v>
      </c>
    </row>
    <row r="5709" spans="1:4" x14ac:dyDescent="0.3">
      <c r="A5709" s="12"/>
      <c r="B5709" s="10" t="s">
        <v>1916</v>
      </c>
      <c r="C5709" s="11"/>
      <c r="D5709" s="17">
        <v>2282.96</v>
      </c>
    </row>
    <row r="5710" spans="1:4" x14ac:dyDescent="0.3">
      <c r="A5710" s="10" t="s">
        <v>1469</v>
      </c>
      <c r="B5710" s="11"/>
      <c r="C5710" s="11"/>
      <c r="D5710" s="17">
        <v>2282.96</v>
      </c>
    </row>
    <row r="5711" spans="1:4" x14ac:dyDescent="0.3">
      <c r="A5711" s="10">
        <v>1174</v>
      </c>
      <c r="B5711" s="10" t="s">
        <v>18</v>
      </c>
      <c r="C5711" s="10" t="s">
        <v>39</v>
      </c>
      <c r="D5711" s="17">
        <v>449.99</v>
      </c>
    </row>
    <row r="5712" spans="1:4" x14ac:dyDescent="0.3">
      <c r="A5712" s="12"/>
      <c r="B5712" s="12"/>
      <c r="C5712" s="14" t="s">
        <v>65</v>
      </c>
      <c r="D5712" s="18">
        <v>941.98</v>
      </c>
    </row>
    <row r="5713" spans="1:4" x14ac:dyDescent="0.3">
      <c r="A5713" s="12"/>
      <c r="B5713" s="12"/>
      <c r="C5713" s="14" t="s">
        <v>32</v>
      </c>
      <c r="D5713" s="18">
        <v>469.99</v>
      </c>
    </row>
    <row r="5714" spans="1:4" x14ac:dyDescent="0.3">
      <c r="A5714" s="12"/>
      <c r="B5714" s="10" t="s">
        <v>1916</v>
      </c>
      <c r="C5714" s="11"/>
      <c r="D5714" s="17">
        <v>1861.96</v>
      </c>
    </row>
    <row r="5715" spans="1:4" x14ac:dyDescent="0.3">
      <c r="A5715" s="10" t="s">
        <v>1470</v>
      </c>
      <c r="B5715" s="11"/>
      <c r="C5715" s="11"/>
      <c r="D5715" s="17">
        <v>1861.96</v>
      </c>
    </row>
    <row r="5716" spans="1:4" x14ac:dyDescent="0.3">
      <c r="A5716" s="10">
        <v>1175</v>
      </c>
      <c r="B5716" s="10" t="s">
        <v>18</v>
      </c>
      <c r="C5716" s="10" t="s">
        <v>10</v>
      </c>
      <c r="D5716" s="17">
        <v>599.99</v>
      </c>
    </row>
    <row r="5717" spans="1:4" x14ac:dyDescent="0.3">
      <c r="A5717" s="12"/>
      <c r="B5717" s="12"/>
      <c r="C5717" s="14" t="s">
        <v>114</v>
      </c>
      <c r="D5717" s="18">
        <v>346.99</v>
      </c>
    </row>
    <row r="5718" spans="1:4" x14ac:dyDescent="0.3">
      <c r="A5718" s="12"/>
      <c r="B5718" s="12"/>
      <c r="C5718" s="14" t="s">
        <v>20</v>
      </c>
      <c r="D5718" s="18">
        <v>999.99</v>
      </c>
    </row>
    <row r="5719" spans="1:4" x14ac:dyDescent="0.3">
      <c r="A5719" s="12"/>
      <c r="B5719" s="12"/>
      <c r="C5719" s="14" t="s">
        <v>26</v>
      </c>
      <c r="D5719" s="18">
        <v>2999.99</v>
      </c>
    </row>
    <row r="5720" spans="1:4" x14ac:dyDescent="0.3">
      <c r="A5720" s="12"/>
      <c r="B5720" s="12"/>
      <c r="C5720" s="14" t="s">
        <v>81</v>
      </c>
      <c r="D5720" s="18">
        <v>9999.98</v>
      </c>
    </row>
    <row r="5721" spans="1:4" x14ac:dyDescent="0.3">
      <c r="A5721" s="12"/>
      <c r="B5721" s="10" t="s">
        <v>1916</v>
      </c>
      <c r="C5721" s="11"/>
      <c r="D5721" s="17">
        <v>14946.939999999999</v>
      </c>
    </row>
    <row r="5722" spans="1:4" x14ac:dyDescent="0.3">
      <c r="A5722" s="10" t="s">
        <v>1471</v>
      </c>
      <c r="B5722" s="11"/>
      <c r="C5722" s="11"/>
      <c r="D5722" s="17">
        <v>14946.939999999999</v>
      </c>
    </row>
    <row r="5723" spans="1:4" x14ac:dyDescent="0.3">
      <c r="A5723" s="10">
        <v>1176</v>
      </c>
      <c r="B5723" s="10" t="s">
        <v>37</v>
      </c>
      <c r="C5723" s="10" t="s">
        <v>117</v>
      </c>
      <c r="D5723" s="17">
        <v>189.99</v>
      </c>
    </row>
    <row r="5724" spans="1:4" x14ac:dyDescent="0.3">
      <c r="A5724" s="12"/>
      <c r="B5724" s="10" t="s">
        <v>1917</v>
      </c>
      <c r="C5724" s="11"/>
      <c r="D5724" s="17">
        <v>189.99</v>
      </c>
    </row>
    <row r="5725" spans="1:4" x14ac:dyDescent="0.3">
      <c r="A5725" s="10" t="s">
        <v>1472</v>
      </c>
      <c r="B5725" s="11"/>
      <c r="C5725" s="11"/>
      <c r="D5725" s="17">
        <v>189.99</v>
      </c>
    </row>
    <row r="5726" spans="1:4" x14ac:dyDescent="0.3">
      <c r="A5726" s="10">
        <v>1177</v>
      </c>
      <c r="B5726" s="10" t="s">
        <v>37</v>
      </c>
      <c r="C5726" s="10" t="s">
        <v>61</v>
      </c>
      <c r="D5726" s="17">
        <v>439.99</v>
      </c>
    </row>
    <row r="5727" spans="1:4" x14ac:dyDescent="0.3">
      <c r="A5727" s="12"/>
      <c r="B5727" s="12"/>
      <c r="C5727" s="14" t="s">
        <v>50</v>
      </c>
      <c r="D5727" s="18">
        <v>6999.98</v>
      </c>
    </row>
    <row r="5728" spans="1:4" x14ac:dyDescent="0.3">
      <c r="A5728" s="12"/>
      <c r="B5728" s="10" t="s">
        <v>1917</v>
      </c>
      <c r="C5728" s="11"/>
      <c r="D5728" s="17">
        <v>7439.9699999999993</v>
      </c>
    </row>
    <row r="5729" spans="1:4" x14ac:dyDescent="0.3">
      <c r="A5729" s="10" t="s">
        <v>1473</v>
      </c>
      <c r="B5729" s="11"/>
      <c r="C5729" s="11"/>
      <c r="D5729" s="17">
        <v>7439.9699999999993</v>
      </c>
    </row>
    <row r="5730" spans="1:4" x14ac:dyDescent="0.3">
      <c r="A5730" s="10">
        <v>1178</v>
      </c>
      <c r="B5730" s="10" t="s">
        <v>18</v>
      </c>
      <c r="C5730" s="10" t="s">
        <v>31</v>
      </c>
      <c r="D5730" s="17">
        <v>539.98</v>
      </c>
    </row>
    <row r="5731" spans="1:4" x14ac:dyDescent="0.3">
      <c r="A5731" s="12"/>
      <c r="B5731" s="12"/>
      <c r="C5731" s="14" t="s">
        <v>113</v>
      </c>
      <c r="D5731" s="18">
        <v>799.99</v>
      </c>
    </row>
    <row r="5732" spans="1:4" x14ac:dyDescent="0.3">
      <c r="A5732" s="12"/>
      <c r="B5732" s="12"/>
      <c r="C5732" s="14" t="s">
        <v>118</v>
      </c>
      <c r="D5732" s="18">
        <v>1409.99</v>
      </c>
    </row>
    <row r="5733" spans="1:4" x14ac:dyDescent="0.3">
      <c r="A5733" s="12"/>
      <c r="B5733" s="12"/>
      <c r="C5733" s="14" t="s">
        <v>85</v>
      </c>
      <c r="D5733" s="18">
        <v>449.99</v>
      </c>
    </row>
    <row r="5734" spans="1:4" x14ac:dyDescent="0.3">
      <c r="A5734" s="12"/>
      <c r="B5734" s="10" t="s">
        <v>1916</v>
      </c>
      <c r="C5734" s="11"/>
      <c r="D5734" s="17">
        <v>3199.95</v>
      </c>
    </row>
    <row r="5735" spans="1:4" x14ac:dyDescent="0.3">
      <c r="A5735" s="10" t="s">
        <v>1474</v>
      </c>
      <c r="B5735" s="11"/>
      <c r="C5735" s="11"/>
      <c r="D5735" s="17">
        <v>3199.95</v>
      </c>
    </row>
    <row r="5736" spans="1:4" x14ac:dyDescent="0.3">
      <c r="A5736" s="10">
        <v>1179</v>
      </c>
      <c r="B5736" s="10" t="s">
        <v>37</v>
      </c>
      <c r="C5736" s="10" t="s">
        <v>110</v>
      </c>
      <c r="D5736" s="17">
        <v>419.98</v>
      </c>
    </row>
    <row r="5737" spans="1:4" x14ac:dyDescent="0.3">
      <c r="A5737" s="12"/>
      <c r="B5737" s="12"/>
      <c r="C5737" s="14" t="s">
        <v>67</v>
      </c>
      <c r="D5737" s="18">
        <v>939.98</v>
      </c>
    </row>
    <row r="5738" spans="1:4" x14ac:dyDescent="0.3">
      <c r="A5738" s="12"/>
      <c r="B5738" s="12"/>
      <c r="C5738" s="14" t="s">
        <v>64</v>
      </c>
      <c r="D5738" s="18">
        <v>379.98</v>
      </c>
    </row>
    <row r="5739" spans="1:4" x14ac:dyDescent="0.3">
      <c r="A5739" s="12"/>
      <c r="B5739" s="12"/>
      <c r="C5739" s="14" t="s">
        <v>79</v>
      </c>
      <c r="D5739" s="18">
        <v>5999.99</v>
      </c>
    </row>
    <row r="5740" spans="1:4" x14ac:dyDescent="0.3">
      <c r="A5740" s="12"/>
      <c r="B5740" s="10" t="s">
        <v>1917</v>
      </c>
      <c r="C5740" s="11"/>
      <c r="D5740" s="17">
        <v>7739.93</v>
      </c>
    </row>
    <row r="5741" spans="1:4" x14ac:dyDescent="0.3">
      <c r="A5741" s="10" t="s">
        <v>1475</v>
      </c>
      <c r="B5741" s="11"/>
      <c r="C5741" s="11"/>
      <c r="D5741" s="17">
        <v>7739.93</v>
      </c>
    </row>
    <row r="5742" spans="1:4" x14ac:dyDescent="0.3">
      <c r="A5742" s="10">
        <v>1180</v>
      </c>
      <c r="B5742" s="10" t="s">
        <v>11</v>
      </c>
      <c r="C5742" s="10" t="s">
        <v>92</v>
      </c>
      <c r="D5742" s="17">
        <v>501.98</v>
      </c>
    </row>
    <row r="5743" spans="1:4" x14ac:dyDescent="0.3">
      <c r="A5743" s="12"/>
      <c r="B5743" s="10" t="s">
        <v>1915</v>
      </c>
      <c r="C5743" s="11"/>
      <c r="D5743" s="17">
        <v>501.98</v>
      </c>
    </row>
    <row r="5744" spans="1:4" x14ac:dyDescent="0.3">
      <c r="A5744" s="10" t="s">
        <v>1476</v>
      </c>
      <c r="B5744" s="11"/>
      <c r="C5744" s="11"/>
      <c r="D5744" s="17">
        <v>501.98</v>
      </c>
    </row>
    <row r="5745" spans="1:4" x14ac:dyDescent="0.3">
      <c r="A5745" s="10">
        <v>1181</v>
      </c>
      <c r="B5745" s="10" t="s">
        <v>18</v>
      </c>
      <c r="C5745" s="10" t="s">
        <v>82</v>
      </c>
      <c r="D5745" s="17">
        <v>489.99</v>
      </c>
    </row>
    <row r="5746" spans="1:4" x14ac:dyDescent="0.3">
      <c r="A5746" s="12"/>
      <c r="B5746" s="10" t="s">
        <v>1916</v>
      </c>
      <c r="C5746" s="11"/>
      <c r="D5746" s="17">
        <v>489.99</v>
      </c>
    </row>
    <row r="5747" spans="1:4" x14ac:dyDescent="0.3">
      <c r="A5747" s="10" t="s">
        <v>1477</v>
      </c>
      <c r="B5747" s="11"/>
      <c r="C5747" s="11"/>
      <c r="D5747" s="17">
        <v>489.99</v>
      </c>
    </row>
    <row r="5748" spans="1:4" x14ac:dyDescent="0.3">
      <c r="A5748" s="10">
        <v>1182</v>
      </c>
      <c r="B5748" s="10" t="s">
        <v>18</v>
      </c>
      <c r="C5748" s="10" t="s">
        <v>109</v>
      </c>
      <c r="D5748" s="17">
        <v>832.99</v>
      </c>
    </row>
    <row r="5749" spans="1:4" x14ac:dyDescent="0.3">
      <c r="A5749" s="12"/>
      <c r="B5749" s="12"/>
      <c r="C5749" s="14" t="s">
        <v>70</v>
      </c>
      <c r="D5749" s="18">
        <v>6999.98</v>
      </c>
    </row>
    <row r="5750" spans="1:4" x14ac:dyDescent="0.3">
      <c r="A5750" s="12"/>
      <c r="B5750" s="10" t="s">
        <v>1916</v>
      </c>
      <c r="C5750" s="11"/>
      <c r="D5750" s="17">
        <v>7832.9699999999993</v>
      </c>
    </row>
    <row r="5751" spans="1:4" x14ac:dyDescent="0.3">
      <c r="A5751" s="10" t="s">
        <v>1478</v>
      </c>
      <c r="B5751" s="11"/>
      <c r="C5751" s="11"/>
      <c r="D5751" s="17">
        <v>7832.9699999999993</v>
      </c>
    </row>
    <row r="5752" spans="1:4" x14ac:dyDescent="0.3">
      <c r="A5752" s="10">
        <v>1183</v>
      </c>
      <c r="B5752" s="10" t="s">
        <v>18</v>
      </c>
      <c r="C5752" s="10" t="s">
        <v>63</v>
      </c>
      <c r="D5752" s="17">
        <v>1523.98</v>
      </c>
    </row>
    <row r="5753" spans="1:4" x14ac:dyDescent="0.3">
      <c r="A5753" s="12"/>
      <c r="B5753" s="12"/>
      <c r="C5753" s="14" t="s">
        <v>32</v>
      </c>
      <c r="D5753" s="18">
        <v>939.98</v>
      </c>
    </row>
    <row r="5754" spans="1:4" x14ac:dyDescent="0.3">
      <c r="A5754" s="12"/>
      <c r="B5754" s="12"/>
      <c r="C5754" s="14" t="s">
        <v>75</v>
      </c>
      <c r="D5754" s="18">
        <v>3499.99</v>
      </c>
    </row>
    <row r="5755" spans="1:4" x14ac:dyDescent="0.3">
      <c r="A5755" s="12"/>
      <c r="B5755" s="10" t="s">
        <v>1916</v>
      </c>
      <c r="C5755" s="11"/>
      <c r="D5755" s="17">
        <v>5963.95</v>
      </c>
    </row>
    <row r="5756" spans="1:4" x14ac:dyDescent="0.3">
      <c r="A5756" s="10" t="s">
        <v>1479</v>
      </c>
      <c r="B5756" s="11"/>
      <c r="C5756" s="11"/>
      <c r="D5756" s="17">
        <v>5963.95</v>
      </c>
    </row>
    <row r="5757" spans="1:4" x14ac:dyDescent="0.3">
      <c r="A5757" s="10">
        <v>1184</v>
      </c>
      <c r="B5757" s="10" t="s">
        <v>18</v>
      </c>
      <c r="C5757" s="10" t="s">
        <v>14</v>
      </c>
      <c r="D5757" s="17">
        <v>1199.98</v>
      </c>
    </row>
    <row r="5758" spans="1:4" x14ac:dyDescent="0.3">
      <c r="A5758" s="12"/>
      <c r="B5758" s="12"/>
      <c r="C5758" s="14" t="s">
        <v>78</v>
      </c>
      <c r="D5758" s="18">
        <v>416.99</v>
      </c>
    </row>
    <row r="5759" spans="1:4" x14ac:dyDescent="0.3">
      <c r="A5759" s="12"/>
      <c r="B5759" s="10" t="s">
        <v>1916</v>
      </c>
      <c r="C5759" s="11"/>
      <c r="D5759" s="17">
        <v>1616.97</v>
      </c>
    </row>
    <row r="5760" spans="1:4" x14ac:dyDescent="0.3">
      <c r="A5760" s="10" t="s">
        <v>1480</v>
      </c>
      <c r="B5760" s="11"/>
      <c r="C5760" s="11"/>
      <c r="D5760" s="17">
        <v>1616.97</v>
      </c>
    </row>
    <row r="5761" spans="1:4" x14ac:dyDescent="0.3">
      <c r="A5761" s="10">
        <v>1185</v>
      </c>
      <c r="B5761" s="10" t="s">
        <v>18</v>
      </c>
      <c r="C5761" s="10" t="s">
        <v>31</v>
      </c>
      <c r="D5761" s="17">
        <v>269.99</v>
      </c>
    </row>
    <row r="5762" spans="1:4" x14ac:dyDescent="0.3">
      <c r="A5762" s="12"/>
      <c r="B5762" s="12"/>
      <c r="C5762" s="14" t="s">
        <v>36</v>
      </c>
      <c r="D5762" s="18">
        <v>898</v>
      </c>
    </row>
    <row r="5763" spans="1:4" x14ac:dyDescent="0.3">
      <c r="A5763" s="12"/>
      <c r="B5763" s="12"/>
      <c r="C5763" s="14" t="s">
        <v>63</v>
      </c>
      <c r="D5763" s="18">
        <v>761.99</v>
      </c>
    </row>
    <row r="5764" spans="1:4" x14ac:dyDescent="0.3">
      <c r="A5764" s="12"/>
      <c r="B5764" s="12"/>
      <c r="C5764" s="14" t="s">
        <v>75</v>
      </c>
      <c r="D5764" s="18">
        <v>6999.98</v>
      </c>
    </row>
    <row r="5765" spans="1:4" x14ac:dyDescent="0.3">
      <c r="A5765" s="12"/>
      <c r="B5765" s="10" t="s">
        <v>1916</v>
      </c>
      <c r="C5765" s="11"/>
      <c r="D5765" s="17">
        <v>8929.9599999999991</v>
      </c>
    </row>
    <row r="5766" spans="1:4" x14ac:dyDescent="0.3">
      <c r="A5766" s="10" t="s">
        <v>1481</v>
      </c>
      <c r="B5766" s="11"/>
      <c r="C5766" s="11"/>
      <c r="D5766" s="17">
        <v>8929.9599999999991</v>
      </c>
    </row>
    <row r="5767" spans="1:4" x14ac:dyDescent="0.3">
      <c r="A5767" s="10">
        <v>1186</v>
      </c>
      <c r="B5767" s="10" t="s">
        <v>18</v>
      </c>
      <c r="C5767" s="10" t="s">
        <v>39</v>
      </c>
      <c r="D5767" s="17">
        <v>449.99</v>
      </c>
    </row>
    <row r="5768" spans="1:4" x14ac:dyDescent="0.3">
      <c r="A5768" s="12"/>
      <c r="B5768" s="12"/>
      <c r="C5768" s="14" t="s">
        <v>106</v>
      </c>
      <c r="D5768" s="18">
        <v>999.99</v>
      </c>
    </row>
    <row r="5769" spans="1:4" x14ac:dyDescent="0.3">
      <c r="A5769" s="12"/>
      <c r="B5769" s="12"/>
      <c r="C5769" s="14" t="s">
        <v>70</v>
      </c>
      <c r="D5769" s="18">
        <v>3499.99</v>
      </c>
    </row>
    <row r="5770" spans="1:4" x14ac:dyDescent="0.3">
      <c r="A5770" s="12"/>
      <c r="B5770" s="12"/>
      <c r="C5770" s="14" t="s">
        <v>84</v>
      </c>
      <c r="D5770" s="18">
        <v>2999.98</v>
      </c>
    </row>
    <row r="5771" spans="1:4" x14ac:dyDescent="0.3">
      <c r="A5771" s="12"/>
      <c r="B5771" s="10" t="s">
        <v>1916</v>
      </c>
      <c r="C5771" s="11"/>
      <c r="D5771" s="17">
        <v>7949.9499999999989</v>
      </c>
    </row>
    <row r="5772" spans="1:4" x14ac:dyDescent="0.3">
      <c r="A5772" s="10" t="s">
        <v>1482</v>
      </c>
      <c r="B5772" s="11"/>
      <c r="C5772" s="11"/>
      <c r="D5772" s="17">
        <v>7949.9499999999989</v>
      </c>
    </row>
    <row r="5773" spans="1:4" x14ac:dyDescent="0.3">
      <c r="A5773" s="10">
        <v>1187</v>
      </c>
      <c r="B5773" s="10" t="s">
        <v>18</v>
      </c>
      <c r="C5773" s="10" t="s">
        <v>58</v>
      </c>
      <c r="D5773" s="17">
        <v>402.99</v>
      </c>
    </row>
    <row r="5774" spans="1:4" x14ac:dyDescent="0.3">
      <c r="A5774" s="12"/>
      <c r="B5774" s="12"/>
      <c r="C5774" s="14" t="s">
        <v>42</v>
      </c>
      <c r="D5774" s="18">
        <v>1499.98</v>
      </c>
    </row>
    <row r="5775" spans="1:4" x14ac:dyDescent="0.3">
      <c r="A5775" s="12"/>
      <c r="B5775" s="12"/>
      <c r="C5775" s="14" t="s">
        <v>116</v>
      </c>
      <c r="D5775" s="18">
        <v>1665.98</v>
      </c>
    </row>
    <row r="5776" spans="1:4" x14ac:dyDescent="0.3">
      <c r="A5776" s="12"/>
      <c r="B5776" s="12"/>
      <c r="C5776" s="14" t="s">
        <v>16</v>
      </c>
      <c r="D5776" s="18">
        <v>2899.99</v>
      </c>
    </row>
    <row r="5777" spans="1:4" x14ac:dyDescent="0.3">
      <c r="A5777" s="12"/>
      <c r="B5777" s="10" t="s">
        <v>1916</v>
      </c>
      <c r="C5777" s="11"/>
      <c r="D5777" s="17">
        <v>6468.94</v>
      </c>
    </row>
    <row r="5778" spans="1:4" x14ac:dyDescent="0.3">
      <c r="A5778" s="10" t="s">
        <v>1483</v>
      </c>
      <c r="B5778" s="11"/>
      <c r="C5778" s="11"/>
      <c r="D5778" s="17">
        <v>6468.94</v>
      </c>
    </row>
    <row r="5779" spans="1:4" x14ac:dyDescent="0.3">
      <c r="A5779" s="10">
        <v>1188</v>
      </c>
      <c r="B5779" s="10" t="s">
        <v>18</v>
      </c>
      <c r="C5779" s="10" t="s">
        <v>92</v>
      </c>
      <c r="D5779" s="17">
        <v>501.98</v>
      </c>
    </row>
    <row r="5780" spans="1:4" x14ac:dyDescent="0.3">
      <c r="A5780" s="12"/>
      <c r="B5780" s="12"/>
      <c r="C5780" s="14" t="s">
        <v>117</v>
      </c>
      <c r="D5780" s="18">
        <v>379.98</v>
      </c>
    </row>
    <row r="5781" spans="1:4" x14ac:dyDescent="0.3">
      <c r="A5781" s="12"/>
      <c r="B5781" s="12"/>
      <c r="C5781" s="14" t="s">
        <v>97</v>
      </c>
      <c r="D5781" s="18">
        <v>699.98</v>
      </c>
    </row>
    <row r="5782" spans="1:4" x14ac:dyDescent="0.3">
      <c r="A5782" s="12"/>
      <c r="B5782" s="10" t="s">
        <v>1916</v>
      </c>
      <c r="C5782" s="11"/>
      <c r="D5782" s="17">
        <v>1581.94</v>
      </c>
    </row>
    <row r="5783" spans="1:4" x14ac:dyDescent="0.3">
      <c r="A5783" s="10" t="s">
        <v>1484</v>
      </c>
      <c r="B5783" s="11"/>
      <c r="C5783" s="11"/>
      <c r="D5783" s="17">
        <v>1581.94</v>
      </c>
    </row>
    <row r="5784" spans="1:4" x14ac:dyDescent="0.3">
      <c r="A5784" s="10">
        <v>1189</v>
      </c>
      <c r="B5784" s="10" t="s">
        <v>18</v>
      </c>
      <c r="C5784" s="10" t="s">
        <v>51</v>
      </c>
      <c r="D5784" s="17">
        <v>979.98</v>
      </c>
    </row>
    <row r="5785" spans="1:4" x14ac:dyDescent="0.3">
      <c r="A5785" s="12"/>
      <c r="B5785" s="12"/>
      <c r="C5785" s="14" t="s">
        <v>76</v>
      </c>
      <c r="D5785" s="18">
        <v>2699.99</v>
      </c>
    </row>
    <row r="5786" spans="1:4" x14ac:dyDescent="0.3">
      <c r="A5786" s="12"/>
      <c r="B5786" s="12"/>
      <c r="C5786" s="14" t="s">
        <v>104</v>
      </c>
      <c r="D5786" s="18">
        <v>9999.98</v>
      </c>
    </row>
    <row r="5787" spans="1:4" x14ac:dyDescent="0.3">
      <c r="A5787" s="12"/>
      <c r="B5787" s="10" t="s">
        <v>1916</v>
      </c>
      <c r="C5787" s="11"/>
      <c r="D5787" s="17">
        <v>13679.949999999999</v>
      </c>
    </row>
    <row r="5788" spans="1:4" x14ac:dyDescent="0.3">
      <c r="A5788" s="10" t="s">
        <v>1485</v>
      </c>
      <c r="B5788" s="11"/>
      <c r="C5788" s="11"/>
      <c r="D5788" s="17">
        <v>13679.949999999999</v>
      </c>
    </row>
    <row r="5789" spans="1:4" x14ac:dyDescent="0.3">
      <c r="A5789" s="10">
        <v>1190</v>
      </c>
      <c r="B5789" s="10" t="s">
        <v>18</v>
      </c>
      <c r="C5789" s="10" t="s">
        <v>78</v>
      </c>
      <c r="D5789" s="17">
        <v>416.99</v>
      </c>
    </row>
    <row r="5790" spans="1:4" x14ac:dyDescent="0.3">
      <c r="A5790" s="12"/>
      <c r="B5790" s="10" t="s">
        <v>1916</v>
      </c>
      <c r="C5790" s="11"/>
      <c r="D5790" s="17">
        <v>416.99</v>
      </c>
    </row>
    <row r="5791" spans="1:4" x14ac:dyDescent="0.3">
      <c r="A5791" s="10" t="s">
        <v>1486</v>
      </c>
      <c r="B5791" s="11"/>
      <c r="C5791" s="11"/>
      <c r="D5791" s="17">
        <v>416.99</v>
      </c>
    </row>
    <row r="5792" spans="1:4" x14ac:dyDescent="0.3">
      <c r="A5792" s="10">
        <v>1191</v>
      </c>
      <c r="B5792" s="10" t="s">
        <v>18</v>
      </c>
      <c r="C5792" s="10" t="s">
        <v>105</v>
      </c>
      <c r="D5792" s="17">
        <v>489.99</v>
      </c>
    </row>
    <row r="5793" spans="1:4" x14ac:dyDescent="0.3">
      <c r="A5793" s="12"/>
      <c r="B5793" s="12"/>
      <c r="C5793" s="14" t="s">
        <v>104</v>
      </c>
      <c r="D5793" s="18">
        <v>9999.98</v>
      </c>
    </row>
    <row r="5794" spans="1:4" x14ac:dyDescent="0.3">
      <c r="A5794" s="12"/>
      <c r="B5794" s="12"/>
      <c r="C5794" s="14" t="s">
        <v>94</v>
      </c>
      <c r="D5794" s="18">
        <v>419.98</v>
      </c>
    </row>
    <row r="5795" spans="1:4" x14ac:dyDescent="0.3">
      <c r="A5795" s="12"/>
      <c r="B5795" s="10" t="s">
        <v>1916</v>
      </c>
      <c r="C5795" s="11"/>
      <c r="D5795" s="17">
        <v>10909.949999999999</v>
      </c>
    </row>
    <row r="5796" spans="1:4" x14ac:dyDescent="0.3">
      <c r="A5796" s="10" t="s">
        <v>1487</v>
      </c>
      <c r="B5796" s="11"/>
      <c r="C5796" s="11"/>
      <c r="D5796" s="17">
        <v>10909.949999999999</v>
      </c>
    </row>
    <row r="5797" spans="1:4" x14ac:dyDescent="0.3">
      <c r="A5797" s="10">
        <v>1192</v>
      </c>
      <c r="B5797" s="10" t="s">
        <v>18</v>
      </c>
      <c r="C5797" s="10" t="s">
        <v>25</v>
      </c>
      <c r="D5797" s="17">
        <v>1099.98</v>
      </c>
    </row>
    <row r="5798" spans="1:4" x14ac:dyDescent="0.3">
      <c r="A5798" s="12"/>
      <c r="B5798" s="12"/>
      <c r="C5798" s="14" t="s">
        <v>98</v>
      </c>
      <c r="D5798" s="18">
        <v>759.98</v>
      </c>
    </row>
    <row r="5799" spans="1:4" x14ac:dyDescent="0.3">
      <c r="A5799" s="12"/>
      <c r="B5799" s="12"/>
      <c r="C5799" s="14" t="s">
        <v>64</v>
      </c>
      <c r="D5799" s="18">
        <v>379.98</v>
      </c>
    </row>
    <row r="5800" spans="1:4" x14ac:dyDescent="0.3">
      <c r="A5800" s="12"/>
      <c r="B5800" s="10" t="s">
        <v>1916</v>
      </c>
      <c r="C5800" s="11"/>
      <c r="D5800" s="17">
        <v>2239.94</v>
      </c>
    </row>
    <row r="5801" spans="1:4" x14ac:dyDescent="0.3">
      <c r="A5801" s="10" t="s">
        <v>1488</v>
      </c>
      <c r="B5801" s="11"/>
      <c r="C5801" s="11"/>
      <c r="D5801" s="17">
        <v>2239.94</v>
      </c>
    </row>
    <row r="5802" spans="1:4" x14ac:dyDescent="0.3">
      <c r="A5802" s="10">
        <v>1193</v>
      </c>
      <c r="B5802" s="10" t="s">
        <v>18</v>
      </c>
      <c r="C5802" s="10" t="s">
        <v>106</v>
      </c>
      <c r="D5802" s="17">
        <v>999.99</v>
      </c>
    </row>
    <row r="5803" spans="1:4" x14ac:dyDescent="0.3">
      <c r="A5803" s="12"/>
      <c r="B5803" s="12"/>
      <c r="C5803" s="14" t="s">
        <v>66</v>
      </c>
      <c r="D5803" s="18">
        <v>299.98</v>
      </c>
    </row>
    <row r="5804" spans="1:4" x14ac:dyDescent="0.3">
      <c r="A5804" s="12"/>
      <c r="B5804" s="10" t="s">
        <v>1916</v>
      </c>
      <c r="C5804" s="11"/>
      <c r="D5804" s="17">
        <v>1299.97</v>
      </c>
    </row>
    <row r="5805" spans="1:4" x14ac:dyDescent="0.3">
      <c r="A5805" s="10" t="s">
        <v>1489</v>
      </c>
      <c r="B5805" s="11"/>
      <c r="C5805" s="11"/>
      <c r="D5805" s="17">
        <v>1299.97</v>
      </c>
    </row>
    <row r="5806" spans="1:4" x14ac:dyDescent="0.3">
      <c r="A5806" s="10">
        <v>1194</v>
      </c>
      <c r="B5806" s="10" t="s">
        <v>11</v>
      </c>
      <c r="C5806" s="10" t="s">
        <v>78</v>
      </c>
      <c r="D5806" s="17">
        <v>416.99</v>
      </c>
    </row>
    <row r="5807" spans="1:4" x14ac:dyDescent="0.3">
      <c r="A5807" s="12"/>
      <c r="B5807" s="12"/>
      <c r="C5807" s="14" t="s">
        <v>83</v>
      </c>
      <c r="D5807" s="18">
        <v>109.99</v>
      </c>
    </row>
    <row r="5808" spans="1:4" x14ac:dyDescent="0.3">
      <c r="A5808" s="12"/>
      <c r="B5808" s="12"/>
      <c r="C5808" s="14" t="s">
        <v>96</v>
      </c>
      <c r="D5808" s="18">
        <v>1067.98</v>
      </c>
    </row>
    <row r="5809" spans="1:4" x14ac:dyDescent="0.3">
      <c r="A5809" s="12"/>
      <c r="B5809" s="12"/>
      <c r="C5809" s="14" t="s">
        <v>29</v>
      </c>
      <c r="D5809" s="18">
        <v>7999.98</v>
      </c>
    </row>
    <row r="5810" spans="1:4" x14ac:dyDescent="0.3">
      <c r="A5810" s="12"/>
      <c r="B5810" s="10" t="s">
        <v>1915</v>
      </c>
      <c r="C5810" s="11"/>
      <c r="D5810" s="17">
        <v>9594.9399999999987</v>
      </c>
    </row>
    <row r="5811" spans="1:4" x14ac:dyDescent="0.3">
      <c r="A5811" s="10" t="s">
        <v>1490</v>
      </c>
      <c r="B5811" s="11"/>
      <c r="C5811" s="11"/>
      <c r="D5811" s="17">
        <v>9594.9399999999987</v>
      </c>
    </row>
    <row r="5812" spans="1:4" x14ac:dyDescent="0.3">
      <c r="A5812" s="10">
        <v>1195</v>
      </c>
      <c r="B5812" s="10" t="s">
        <v>18</v>
      </c>
      <c r="C5812" s="10" t="s">
        <v>68</v>
      </c>
      <c r="D5812" s="17">
        <v>875.99</v>
      </c>
    </row>
    <row r="5813" spans="1:4" x14ac:dyDescent="0.3">
      <c r="A5813" s="12"/>
      <c r="B5813" s="10" t="s">
        <v>1916</v>
      </c>
      <c r="C5813" s="11"/>
      <c r="D5813" s="17">
        <v>875.99</v>
      </c>
    </row>
    <row r="5814" spans="1:4" x14ac:dyDescent="0.3">
      <c r="A5814" s="10" t="s">
        <v>1491</v>
      </c>
      <c r="B5814" s="11"/>
      <c r="C5814" s="11"/>
      <c r="D5814" s="17">
        <v>875.99</v>
      </c>
    </row>
    <row r="5815" spans="1:4" x14ac:dyDescent="0.3">
      <c r="A5815" s="10">
        <v>1196</v>
      </c>
      <c r="B5815" s="10" t="s">
        <v>18</v>
      </c>
      <c r="C5815" s="10" t="s">
        <v>42</v>
      </c>
      <c r="D5815" s="17">
        <v>749.99</v>
      </c>
    </row>
    <row r="5816" spans="1:4" x14ac:dyDescent="0.3">
      <c r="A5816" s="12"/>
      <c r="B5816" s="10" t="s">
        <v>1916</v>
      </c>
      <c r="C5816" s="11"/>
      <c r="D5816" s="17">
        <v>749.99</v>
      </c>
    </row>
    <row r="5817" spans="1:4" x14ac:dyDescent="0.3">
      <c r="A5817" s="10" t="s">
        <v>1492</v>
      </c>
      <c r="B5817" s="11"/>
      <c r="C5817" s="11"/>
      <c r="D5817" s="17">
        <v>749.99</v>
      </c>
    </row>
    <row r="5818" spans="1:4" x14ac:dyDescent="0.3">
      <c r="A5818" s="10">
        <v>1197</v>
      </c>
      <c r="B5818" s="10" t="s">
        <v>18</v>
      </c>
      <c r="C5818" s="10" t="s">
        <v>31</v>
      </c>
      <c r="D5818" s="17">
        <v>269.99</v>
      </c>
    </row>
    <row r="5819" spans="1:4" x14ac:dyDescent="0.3">
      <c r="A5819" s="12"/>
      <c r="B5819" s="12"/>
      <c r="C5819" s="14" t="s">
        <v>39</v>
      </c>
      <c r="D5819" s="18">
        <v>899.98</v>
      </c>
    </row>
    <row r="5820" spans="1:4" x14ac:dyDescent="0.3">
      <c r="A5820" s="12"/>
      <c r="B5820" s="12"/>
      <c r="C5820" s="14" t="s">
        <v>85</v>
      </c>
      <c r="D5820" s="18">
        <v>899.98</v>
      </c>
    </row>
    <row r="5821" spans="1:4" x14ac:dyDescent="0.3">
      <c r="A5821" s="12"/>
      <c r="B5821" s="12"/>
      <c r="C5821" s="14" t="s">
        <v>26</v>
      </c>
      <c r="D5821" s="18">
        <v>5999.98</v>
      </c>
    </row>
    <row r="5822" spans="1:4" x14ac:dyDescent="0.3">
      <c r="A5822" s="12"/>
      <c r="B5822" s="10" t="s">
        <v>1916</v>
      </c>
      <c r="C5822" s="11"/>
      <c r="D5822" s="17">
        <v>8069.9299999999994</v>
      </c>
    </row>
    <row r="5823" spans="1:4" x14ac:dyDescent="0.3">
      <c r="A5823" s="10" t="s">
        <v>1493</v>
      </c>
      <c r="B5823" s="11"/>
      <c r="C5823" s="11"/>
      <c r="D5823" s="17">
        <v>8069.9299999999994</v>
      </c>
    </row>
    <row r="5824" spans="1:4" x14ac:dyDescent="0.3">
      <c r="A5824" s="10">
        <v>1198</v>
      </c>
      <c r="B5824" s="10" t="s">
        <v>18</v>
      </c>
      <c r="C5824" s="10" t="s">
        <v>96</v>
      </c>
      <c r="D5824" s="17">
        <v>533.99</v>
      </c>
    </row>
    <row r="5825" spans="1:4" x14ac:dyDescent="0.3">
      <c r="A5825" s="12"/>
      <c r="B5825" s="10" t="s">
        <v>1916</v>
      </c>
      <c r="C5825" s="11"/>
      <c r="D5825" s="17">
        <v>533.99</v>
      </c>
    </row>
    <row r="5826" spans="1:4" x14ac:dyDescent="0.3">
      <c r="A5826" s="10" t="s">
        <v>1494</v>
      </c>
      <c r="B5826" s="11"/>
      <c r="C5826" s="11"/>
      <c r="D5826" s="17">
        <v>533.99</v>
      </c>
    </row>
    <row r="5827" spans="1:4" x14ac:dyDescent="0.3">
      <c r="A5827" s="10">
        <v>1199</v>
      </c>
      <c r="B5827" s="10" t="s">
        <v>11</v>
      </c>
      <c r="C5827" s="10" t="s">
        <v>59</v>
      </c>
      <c r="D5827" s="17">
        <v>499.98</v>
      </c>
    </row>
    <row r="5828" spans="1:4" x14ac:dyDescent="0.3">
      <c r="A5828" s="12"/>
      <c r="B5828" s="12"/>
      <c r="C5828" s="14" t="s">
        <v>49</v>
      </c>
      <c r="D5828" s="18">
        <v>833.98</v>
      </c>
    </row>
    <row r="5829" spans="1:4" x14ac:dyDescent="0.3">
      <c r="A5829" s="12"/>
      <c r="B5829" s="12"/>
      <c r="C5829" s="14" t="s">
        <v>46</v>
      </c>
      <c r="D5829" s="18">
        <v>469.99</v>
      </c>
    </row>
    <row r="5830" spans="1:4" x14ac:dyDescent="0.3">
      <c r="A5830" s="12"/>
      <c r="B5830" s="10" t="s">
        <v>1915</v>
      </c>
      <c r="C5830" s="11"/>
      <c r="D5830" s="17">
        <v>1803.95</v>
      </c>
    </row>
    <row r="5831" spans="1:4" x14ac:dyDescent="0.3">
      <c r="A5831" s="10" t="s">
        <v>1495</v>
      </c>
      <c r="B5831" s="11"/>
      <c r="C5831" s="11"/>
      <c r="D5831" s="17">
        <v>1803.95</v>
      </c>
    </row>
    <row r="5832" spans="1:4" x14ac:dyDescent="0.3">
      <c r="A5832" s="10">
        <v>1200</v>
      </c>
      <c r="B5832" s="10" t="s">
        <v>18</v>
      </c>
      <c r="C5832" s="10" t="s">
        <v>53</v>
      </c>
      <c r="D5832" s="17">
        <v>4599.9799999999996</v>
      </c>
    </row>
    <row r="5833" spans="1:4" x14ac:dyDescent="0.3">
      <c r="A5833" s="12"/>
      <c r="B5833" s="10" t="s">
        <v>1916</v>
      </c>
      <c r="C5833" s="11"/>
      <c r="D5833" s="17">
        <v>4599.9799999999996</v>
      </c>
    </row>
    <row r="5834" spans="1:4" x14ac:dyDescent="0.3">
      <c r="A5834" s="10" t="s">
        <v>1496</v>
      </c>
      <c r="B5834" s="11"/>
      <c r="C5834" s="11"/>
      <c r="D5834" s="17">
        <v>4599.9799999999996</v>
      </c>
    </row>
    <row r="5835" spans="1:4" x14ac:dyDescent="0.3">
      <c r="A5835" s="10">
        <v>1201</v>
      </c>
      <c r="B5835" s="10" t="s">
        <v>18</v>
      </c>
      <c r="C5835" s="10" t="s">
        <v>31</v>
      </c>
      <c r="D5835" s="17">
        <v>269.99</v>
      </c>
    </row>
    <row r="5836" spans="1:4" x14ac:dyDescent="0.3">
      <c r="A5836" s="12"/>
      <c r="B5836" s="12"/>
      <c r="C5836" s="14" t="s">
        <v>48</v>
      </c>
      <c r="D5836" s="18">
        <v>299.99</v>
      </c>
    </row>
    <row r="5837" spans="1:4" x14ac:dyDescent="0.3">
      <c r="A5837" s="12"/>
      <c r="B5837" s="12"/>
      <c r="C5837" s="14" t="s">
        <v>14</v>
      </c>
      <c r="D5837" s="18">
        <v>599.99</v>
      </c>
    </row>
    <row r="5838" spans="1:4" x14ac:dyDescent="0.3">
      <c r="A5838" s="12"/>
      <c r="B5838" s="12"/>
      <c r="C5838" s="14" t="s">
        <v>23</v>
      </c>
      <c r="D5838" s="18">
        <v>858</v>
      </c>
    </row>
    <row r="5839" spans="1:4" x14ac:dyDescent="0.3">
      <c r="A5839" s="12"/>
      <c r="B5839" s="12"/>
      <c r="C5839" s="14" t="s">
        <v>36</v>
      </c>
      <c r="D5839" s="18">
        <v>898</v>
      </c>
    </row>
    <row r="5840" spans="1:4" x14ac:dyDescent="0.3">
      <c r="A5840" s="12"/>
      <c r="B5840" s="10" t="s">
        <v>1916</v>
      </c>
      <c r="C5840" s="11"/>
      <c r="D5840" s="17">
        <v>2925.9700000000003</v>
      </c>
    </row>
    <row r="5841" spans="1:4" x14ac:dyDescent="0.3">
      <c r="A5841" s="10" t="s">
        <v>1497</v>
      </c>
      <c r="B5841" s="11"/>
      <c r="C5841" s="11"/>
      <c r="D5841" s="17">
        <v>2925.9700000000003</v>
      </c>
    </row>
    <row r="5842" spans="1:4" x14ac:dyDescent="0.3">
      <c r="A5842" s="10">
        <v>1202</v>
      </c>
      <c r="B5842" s="10" t="s">
        <v>18</v>
      </c>
      <c r="C5842" s="10" t="s">
        <v>83</v>
      </c>
      <c r="D5842" s="17">
        <v>219.98</v>
      </c>
    </row>
    <row r="5843" spans="1:4" x14ac:dyDescent="0.3">
      <c r="A5843" s="12"/>
      <c r="B5843" s="10" t="s">
        <v>1916</v>
      </c>
      <c r="C5843" s="11"/>
      <c r="D5843" s="17">
        <v>219.98</v>
      </c>
    </row>
    <row r="5844" spans="1:4" x14ac:dyDescent="0.3">
      <c r="A5844" s="10" t="s">
        <v>1498</v>
      </c>
      <c r="B5844" s="11"/>
      <c r="C5844" s="11"/>
      <c r="D5844" s="17">
        <v>219.98</v>
      </c>
    </row>
    <row r="5845" spans="1:4" x14ac:dyDescent="0.3">
      <c r="A5845" s="10">
        <v>1203</v>
      </c>
      <c r="B5845" s="10" t="s">
        <v>18</v>
      </c>
      <c r="C5845" s="10" t="s">
        <v>32</v>
      </c>
      <c r="D5845" s="17">
        <v>939.98</v>
      </c>
    </row>
    <row r="5846" spans="1:4" x14ac:dyDescent="0.3">
      <c r="A5846" s="12"/>
      <c r="B5846" s="12"/>
      <c r="C5846" s="14" t="s">
        <v>76</v>
      </c>
      <c r="D5846" s="18">
        <v>2699.99</v>
      </c>
    </row>
    <row r="5847" spans="1:4" x14ac:dyDescent="0.3">
      <c r="A5847" s="12"/>
      <c r="B5847" s="10" t="s">
        <v>1916</v>
      </c>
      <c r="C5847" s="11"/>
      <c r="D5847" s="17">
        <v>3639.97</v>
      </c>
    </row>
    <row r="5848" spans="1:4" x14ac:dyDescent="0.3">
      <c r="A5848" s="10" t="s">
        <v>1499</v>
      </c>
      <c r="B5848" s="11"/>
      <c r="C5848" s="11"/>
      <c r="D5848" s="17">
        <v>3639.97</v>
      </c>
    </row>
    <row r="5849" spans="1:4" x14ac:dyDescent="0.3">
      <c r="A5849" s="10">
        <v>1204</v>
      </c>
      <c r="B5849" s="10" t="s">
        <v>18</v>
      </c>
      <c r="C5849" s="10" t="s">
        <v>98</v>
      </c>
      <c r="D5849" s="17">
        <v>759.98</v>
      </c>
    </row>
    <row r="5850" spans="1:4" x14ac:dyDescent="0.3">
      <c r="A5850" s="12"/>
      <c r="B5850" s="10" t="s">
        <v>1916</v>
      </c>
      <c r="C5850" s="11"/>
      <c r="D5850" s="17">
        <v>759.98</v>
      </c>
    </row>
    <row r="5851" spans="1:4" x14ac:dyDescent="0.3">
      <c r="A5851" s="10" t="s">
        <v>1500</v>
      </c>
      <c r="B5851" s="11"/>
      <c r="C5851" s="11"/>
      <c r="D5851" s="17">
        <v>759.98</v>
      </c>
    </row>
    <row r="5852" spans="1:4" x14ac:dyDescent="0.3">
      <c r="A5852" s="10">
        <v>1205</v>
      </c>
      <c r="B5852" s="10" t="s">
        <v>11</v>
      </c>
      <c r="C5852" s="10" t="s">
        <v>111</v>
      </c>
      <c r="D5852" s="17">
        <v>209.99</v>
      </c>
    </row>
    <row r="5853" spans="1:4" x14ac:dyDescent="0.3">
      <c r="A5853" s="12"/>
      <c r="B5853" s="12"/>
      <c r="C5853" s="14" t="s">
        <v>118</v>
      </c>
      <c r="D5853" s="18">
        <v>2819.98</v>
      </c>
    </row>
    <row r="5854" spans="1:4" x14ac:dyDescent="0.3">
      <c r="A5854" s="12"/>
      <c r="B5854" s="12"/>
      <c r="C5854" s="14" t="s">
        <v>78</v>
      </c>
      <c r="D5854" s="18">
        <v>416.99</v>
      </c>
    </row>
    <row r="5855" spans="1:4" x14ac:dyDescent="0.3">
      <c r="A5855" s="12"/>
      <c r="B5855" s="12"/>
      <c r="C5855" s="14" t="s">
        <v>58</v>
      </c>
      <c r="D5855" s="18">
        <v>805.98</v>
      </c>
    </row>
    <row r="5856" spans="1:4" x14ac:dyDescent="0.3">
      <c r="A5856" s="12"/>
      <c r="B5856" s="12"/>
      <c r="C5856" s="14" t="s">
        <v>96</v>
      </c>
      <c r="D5856" s="18">
        <v>1067.98</v>
      </c>
    </row>
    <row r="5857" spans="1:4" x14ac:dyDescent="0.3">
      <c r="A5857" s="12"/>
      <c r="B5857" s="10" t="s">
        <v>1915</v>
      </c>
      <c r="C5857" s="11"/>
      <c r="D5857" s="17">
        <v>5320.92</v>
      </c>
    </row>
    <row r="5858" spans="1:4" x14ac:dyDescent="0.3">
      <c r="A5858" s="10" t="s">
        <v>1501</v>
      </c>
      <c r="B5858" s="11"/>
      <c r="C5858" s="11"/>
      <c r="D5858" s="17">
        <v>5320.92</v>
      </c>
    </row>
    <row r="5859" spans="1:4" x14ac:dyDescent="0.3">
      <c r="A5859" s="10">
        <v>1206</v>
      </c>
      <c r="B5859" s="10" t="s">
        <v>18</v>
      </c>
      <c r="C5859" s="10" t="s">
        <v>43</v>
      </c>
      <c r="D5859" s="17">
        <v>749.99</v>
      </c>
    </row>
    <row r="5860" spans="1:4" x14ac:dyDescent="0.3">
      <c r="A5860" s="12"/>
      <c r="B5860" s="12"/>
      <c r="C5860" s="14" t="s">
        <v>71</v>
      </c>
      <c r="D5860" s="18">
        <v>999.99</v>
      </c>
    </row>
    <row r="5861" spans="1:4" x14ac:dyDescent="0.3">
      <c r="A5861" s="12"/>
      <c r="B5861" s="10" t="s">
        <v>1916</v>
      </c>
      <c r="C5861" s="11"/>
      <c r="D5861" s="17">
        <v>1749.98</v>
      </c>
    </row>
    <row r="5862" spans="1:4" x14ac:dyDescent="0.3">
      <c r="A5862" s="10" t="s">
        <v>1502</v>
      </c>
      <c r="B5862" s="11"/>
      <c r="C5862" s="11"/>
      <c r="D5862" s="17">
        <v>1749.98</v>
      </c>
    </row>
    <row r="5863" spans="1:4" x14ac:dyDescent="0.3">
      <c r="A5863" s="10">
        <v>1207</v>
      </c>
      <c r="B5863" s="10" t="s">
        <v>18</v>
      </c>
      <c r="C5863" s="10" t="s">
        <v>33</v>
      </c>
      <c r="D5863" s="17">
        <v>299.99</v>
      </c>
    </row>
    <row r="5864" spans="1:4" x14ac:dyDescent="0.3">
      <c r="A5864" s="12"/>
      <c r="B5864" s="12"/>
      <c r="C5864" s="14" t="s">
        <v>87</v>
      </c>
      <c r="D5864" s="18">
        <v>481.99</v>
      </c>
    </row>
    <row r="5865" spans="1:4" x14ac:dyDescent="0.3">
      <c r="A5865" s="12"/>
      <c r="B5865" s="12"/>
      <c r="C5865" s="14" t="s">
        <v>40</v>
      </c>
      <c r="D5865" s="18">
        <v>551.99</v>
      </c>
    </row>
    <row r="5866" spans="1:4" x14ac:dyDescent="0.3">
      <c r="A5866" s="12"/>
      <c r="B5866" s="10" t="s">
        <v>1916</v>
      </c>
      <c r="C5866" s="11"/>
      <c r="D5866" s="17">
        <v>1333.97</v>
      </c>
    </row>
    <row r="5867" spans="1:4" x14ac:dyDescent="0.3">
      <c r="A5867" s="10" t="s">
        <v>1503</v>
      </c>
      <c r="B5867" s="11"/>
      <c r="C5867" s="11"/>
      <c r="D5867" s="17">
        <v>1333.97</v>
      </c>
    </row>
    <row r="5868" spans="1:4" x14ac:dyDescent="0.3">
      <c r="A5868" s="10">
        <v>1208</v>
      </c>
      <c r="B5868" s="10" t="s">
        <v>18</v>
      </c>
      <c r="C5868" s="10" t="s">
        <v>31</v>
      </c>
      <c r="D5868" s="17">
        <v>539.98</v>
      </c>
    </row>
    <row r="5869" spans="1:4" x14ac:dyDescent="0.3">
      <c r="A5869" s="12"/>
      <c r="B5869" s="12"/>
      <c r="C5869" s="14" t="s">
        <v>25</v>
      </c>
      <c r="D5869" s="18">
        <v>549.99</v>
      </c>
    </row>
    <row r="5870" spans="1:4" x14ac:dyDescent="0.3">
      <c r="A5870" s="12"/>
      <c r="B5870" s="12"/>
      <c r="C5870" s="14" t="s">
        <v>114</v>
      </c>
      <c r="D5870" s="18">
        <v>693.98</v>
      </c>
    </row>
    <row r="5871" spans="1:4" x14ac:dyDescent="0.3">
      <c r="A5871" s="12"/>
      <c r="B5871" s="12"/>
      <c r="C5871" s="14" t="s">
        <v>115</v>
      </c>
      <c r="D5871" s="18">
        <v>299.98</v>
      </c>
    </row>
    <row r="5872" spans="1:4" x14ac:dyDescent="0.3">
      <c r="A5872" s="12"/>
      <c r="B5872" s="12"/>
      <c r="C5872" s="14" t="s">
        <v>117</v>
      </c>
      <c r="D5872" s="18">
        <v>189.99</v>
      </c>
    </row>
    <row r="5873" spans="1:4" x14ac:dyDescent="0.3">
      <c r="A5873" s="12"/>
      <c r="B5873" s="10" t="s">
        <v>1916</v>
      </c>
      <c r="C5873" s="11"/>
      <c r="D5873" s="17">
        <v>2273.92</v>
      </c>
    </row>
    <row r="5874" spans="1:4" x14ac:dyDescent="0.3">
      <c r="A5874" s="10" t="s">
        <v>1504</v>
      </c>
      <c r="B5874" s="11"/>
      <c r="C5874" s="11"/>
      <c r="D5874" s="17">
        <v>2273.92</v>
      </c>
    </row>
    <row r="5875" spans="1:4" x14ac:dyDescent="0.3">
      <c r="A5875" s="10">
        <v>1209</v>
      </c>
      <c r="B5875" s="10" t="s">
        <v>18</v>
      </c>
      <c r="C5875" s="10" t="s">
        <v>55</v>
      </c>
      <c r="D5875" s="17">
        <v>349.99</v>
      </c>
    </row>
    <row r="5876" spans="1:4" x14ac:dyDescent="0.3">
      <c r="A5876" s="12"/>
      <c r="B5876" s="12"/>
      <c r="C5876" s="14" t="s">
        <v>94</v>
      </c>
      <c r="D5876" s="18">
        <v>209.99</v>
      </c>
    </row>
    <row r="5877" spans="1:4" x14ac:dyDescent="0.3">
      <c r="A5877" s="12"/>
      <c r="B5877" s="10" t="s">
        <v>1916</v>
      </c>
      <c r="C5877" s="11"/>
      <c r="D5877" s="17">
        <v>559.98</v>
      </c>
    </row>
    <row r="5878" spans="1:4" x14ac:dyDescent="0.3">
      <c r="A5878" s="10" t="s">
        <v>1505</v>
      </c>
      <c r="B5878" s="11"/>
      <c r="C5878" s="11"/>
      <c r="D5878" s="17">
        <v>559.98</v>
      </c>
    </row>
    <row r="5879" spans="1:4" x14ac:dyDescent="0.3">
      <c r="A5879" s="10">
        <v>1210</v>
      </c>
      <c r="B5879" s="10" t="s">
        <v>37</v>
      </c>
      <c r="C5879" s="10" t="s">
        <v>14</v>
      </c>
      <c r="D5879" s="17">
        <v>599.99</v>
      </c>
    </row>
    <row r="5880" spans="1:4" x14ac:dyDescent="0.3">
      <c r="A5880" s="12"/>
      <c r="B5880" s="12"/>
      <c r="C5880" s="14" t="s">
        <v>57</v>
      </c>
      <c r="D5880" s="18">
        <v>1295.98</v>
      </c>
    </row>
    <row r="5881" spans="1:4" x14ac:dyDescent="0.3">
      <c r="A5881" s="12"/>
      <c r="B5881" s="12"/>
      <c r="C5881" s="14" t="s">
        <v>83</v>
      </c>
      <c r="D5881" s="18">
        <v>109.99</v>
      </c>
    </row>
    <row r="5882" spans="1:4" x14ac:dyDescent="0.3">
      <c r="A5882" s="12"/>
      <c r="B5882" s="12"/>
      <c r="C5882" s="14" t="s">
        <v>109</v>
      </c>
      <c r="D5882" s="18">
        <v>1665.98</v>
      </c>
    </row>
    <row r="5883" spans="1:4" x14ac:dyDescent="0.3">
      <c r="A5883" s="12"/>
      <c r="B5883" s="12"/>
      <c r="C5883" s="14" t="s">
        <v>32</v>
      </c>
      <c r="D5883" s="18">
        <v>939.98</v>
      </c>
    </row>
    <row r="5884" spans="1:4" x14ac:dyDescent="0.3">
      <c r="A5884" s="12"/>
      <c r="B5884" s="10" t="s">
        <v>1917</v>
      </c>
      <c r="C5884" s="11"/>
      <c r="D5884" s="17">
        <v>4611.92</v>
      </c>
    </row>
    <row r="5885" spans="1:4" x14ac:dyDescent="0.3">
      <c r="A5885" s="10" t="s">
        <v>1506</v>
      </c>
      <c r="B5885" s="11"/>
      <c r="C5885" s="11"/>
      <c r="D5885" s="17">
        <v>4611.92</v>
      </c>
    </row>
    <row r="5886" spans="1:4" x14ac:dyDescent="0.3">
      <c r="A5886" s="10">
        <v>1211</v>
      </c>
      <c r="B5886" s="10" t="s">
        <v>18</v>
      </c>
      <c r="C5886" s="10" t="s">
        <v>27</v>
      </c>
      <c r="D5886" s="17">
        <v>1059.98</v>
      </c>
    </row>
    <row r="5887" spans="1:4" x14ac:dyDescent="0.3">
      <c r="A5887" s="12"/>
      <c r="B5887" s="12"/>
      <c r="C5887" s="14" t="s">
        <v>111</v>
      </c>
      <c r="D5887" s="18">
        <v>209.99</v>
      </c>
    </row>
    <row r="5888" spans="1:4" x14ac:dyDescent="0.3">
      <c r="A5888" s="12"/>
      <c r="B5888" s="12"/>
      <c r="C5888" s="14" t="s">
        <v>110</v>
      </c>
      <c r="D5888" s="18">
        <v>209.99</v>
      </c>
    </row>
    <row r="5889" spans="1:4" x14ac:dyDescent="0.3">
      <c r="A5889" s="12"/>
      <c r="B5889" s="12"/>
      <c r="C5889" s="14" t="s">
        <v>85</v>
      </c>
      <c r="D5889" s="18">
        <v>899.98</v>
      </c>
    </row>
    <row r="5890" spans="1:4" x14ac:dyDescent="0.3">
      <c r="A5890" s="12"/>
      <c r="B5890" s="12"/>
      <c r="C5890" s="14" t="s">
        <v>74</v>
      </c>
      <c r="D5890" s="18">
        <v>2599.9899999999998</v>
      </c>
    </row>
    <row r="5891" spans="1:4" x14ac:dyDescent="0.3">
      <c r="A5891" s="12"/>
      <c r="B5891" s="10" t="s">
        <v>1916</v>
      </c>
      <c r="C5891" s="11"/>
      <c r="D5891" s="17">
        <v>4979.93</v>
      </c>
    </row>
    <row r="5892" spans="1:4" x14ac:dyDescent="0.3">
      <c r="A5892" s="10" t="s">
        <v>1507</v>
      </c>
      <c r="B5892" s="11"/>
      <c r="C5892" s="11"/>
      <c r="D5892" s="17">
        <v>4979.93</v>
      </c>
    </row>
    <row r="5893" spans="1:4" x14ac:dyDescent="0.3">
      <c r="A5893" s="10">
        <v>1212</v>
      </c>
      <c r="B5893" s="10" t="s">
        <v>18</v>
      </c>
      <c r="C5893" s="10" t="s">
        <v>61</v>
      </c>
      <c r="D5893" s="17">
        <v>439.99</v>
      </c>
    </row>
    <row r="5894" spans="1:4" x14ac:dyDescent="0.3">
      <c r="A5894" s="12"/>
      <c r="B5894" s="12"/>
      <c r="C5894" s="14" t="s">
        <v>98</v>
      </c>
      <c r="D5894" s="18">
        <v>759.98</v>
      </c>
    </row>
    <row r="5895" spans="1:4" x14ac:dyDescent="0.3">
      <c r="A5895" s="12"/>
      <c r="B5895" s="12"/>
      <c r="C5895" s="14" t="s">
        <v>39</v>
      </c>
      <c r="D5895" s="18">
        <v>899.98</v>
      </c>
    </row>
    <row r="5896" spans="1:4" x14ac:dyDescent="0.3">
      <c r="A5896" s="12"/>
      <c r="B5896" s="12"/>
      <c r="C5896" s="14" t="s">
        <v>72</v>
      </c>
      <c r="D5896" s="18">
        <v>2999.98</v>
      </c>
    </row>
    <row r="5897" spans="1:4" x14ac:dyDescent="0.3">
      <c r="A5897" s="12"/>
      <c r="B5897" s="10" t="s">
        <v>1916</v>
      </c>
      <c r="C5897" s="11"/>
      <c r="D5897" s="17">
        <v>5099.93</v>
      </c>
    </row>
    <row r="5898" spans="1:4" x14ac:dyDescent="0.3">
      <c r="A5898" s="10" t="s">
        <v>1508</v>
      </c>
      <c r="B5898" s="11"/>
      <c r="C5898" s="11"/>
      <c r="D5898" s="17">
        <v>5099.93</v>
      </c>
    </row>
    <row r="5899" spans="1:4" x14ac:dyDescent="0.3">
      <c r="A5899" s="10">
        <v>1213</v>
      </c>
      <c r="B5899" s="10" t="s">
        <v>37</v>
      </c>
      <c r="C5899" s="10" t="s">
        <v>27</v>
      </c>
      <c r="D5899" s="17">
        <v>529.99</v>
      </c>
    </row>
    <row r="5900" spans="1:4" x14ac:dyDescent="0.3">
      <c r="A5900" s="12"/>
      <c r="B5900" s="12"/>
      <c r="C5900" s="14" t="s">
        <v>51</v>
      </c>
      <c r="D5900" s="18">
        <v>1959.96</v>
      </c>
    </row>
    <row r="5901" spans="1:4" x14ac:dyDescent="0.3">
      <c r="A5901" s="12"/>
      <c r="B5901" s="12"/>
      <c r="C5901" s="14" t="s">
        <v>57</v>
      </c>
      <c r="D5901" s="18">
        <v>647.99</v>
      </c>
    </row>
    <row r="5902" spans="1:4" x14ac:dyDescent="0.3">
      <c r="A5902" s="12"/>
      <c r="B5902" s="10" t="s">
        <v>1917</v>
      </c>
      <c r="C5902" s="11"/>
      <c r="D5902" s="17">
        <v>3137.9399999999996</v>
      </c>
    </row>
    <row r="5903" spans="1:4" x14ac:dyDescent="0.3">
      <c r="A5903" s="10" t="s">
        <v>1509</v>
      </c>
      <c r="B5903" s="11"/>
      <c r="C5903" s="11"/>
      <c r="D5903" s="17">
        <v>3137.9399999999996</v>
      </c>
    </row>
    <row r="5904" spans="1:4" x14ac:dyDescent="0.3">
      <c r="A5904" s="10">
        <v>1214</v>
      </c>
      <c r="B5904" s="10" t="s">
        <v>18</v>
      </c>
      <c r="C5904" s="10" t="s">
        <v>28</v>
      </c>
      <c r="D5904" s="17">
        <v>269.99</v>
      </c>
    </row>
    <row r="5905" spans="1:4" x14ac:dyDescent="0.3">
      <c r="A5905" s="12"/>
      <c r="B5905" s="12"/>
      <c r="C5905" s="14" t="s">
        <v>113</v>
      </c>
      <c r="D5905" s="18">
        <v>1599.98</v>
      </c>
    </row>
    <row r="5906" spans="1:4" x14ac:dyDescent="0.3">
      <c r="A5906" s="12"/>
      <c r="B5906" s="12"/>
      <c r="C5906" s="14" t="s">
        <v>60</v>
      </c>
      <c r="D5906" s="18">
        <v>501.98</v>
      </c>
    </row>
    <row r="5907" spans="1:4" x14ac:dyDescent="0.3">
      <c r="A5907" s="12"/>
      <c r="B5907" s="12"/>
      <c r="C5907" s="14" t="s">
        <v>26</v>
      </c>
      <c r="D5907" s="18">
        <v>5999.98</v>
      </c>
    </row>
    <row r="5908" spans="1:4" x14ac:dyDescent="0.3">
      <c r="A5908" s="12"/>
      <c r="B5908" s="12"/>
      <c r="C5908" s="14" t="s">
        <v>29</v>
      </c>
      <c r="D5908" s="18">
        <v>3999.99</v>
      </c>
    </row>
    <row r="5909" spans="1:4" x14ac:dyDescent="0.3">
      <c r="A5909" s="12"/>
      <c r="B5909" s="10" t="s">
        <v>1916</v>
      </c>
      <c r="C5909" s="11"/>
      <c r="D5909" s="17">
        <v>12371.92</v>
      </c>
    </row>
    <row r="5910" spans="1:4" x14ac:dyDescent="0.3">
      <c r="A5910" s="10" t="s">
        <v>1510</v>
      </c>
      <c r="B5910" s="11"/>
      <c r="C5910" s="11"/>
      <c r="D5910" s="17">
        <v>12371.92</v>
      </c>
    </row>
    <row r="5911" spans="1:4" x14ac:dyDescent="0.3">
      <c r="A5911" s="10">
        <v>1215</v>
      </c>
      <c r="B5911" s="10" t="s">
        <v>18</v>
      </c>
      <c r="C5911" s="10" t="s">
        <v>43</v>
      </c>
      <c r="D5911" s="17">
        <v>1499.98</v>
      </c>
    </row>
    <row r="5912" spans="1:4" x14ac:dyDescent="0.3">
      <c r="A5912" s="12"/>
      <c r="B5912" s="12"/>
      <c r="C5912" s="14" t="s">
        <v>13</v>
      </c>
      <c r="D5912" s="18">
        <v>3098</v>
      </c>
    </row>
    <row r="5913" spans="1:4" x14ac:dyDescent="0.3">
      <c r="A5913" s="12"/>
      <c r="B5913" s="10" t="s">
        <v>1916</v>
      </c>
      <c r="C5913" s="11"/>
      <c r="D5913" s="17">
        <v>4597.9799999999996</v>
      </c>
    </row>
    <row r="5914" spans="1:4" x14ac:dyDescent="0.3">
      <c r="A5914" s="10" t="s">
        <v>1511</v>
      </c>
      <c r="B5914" s="11"/>
      <c r="C5914" s="11"/>
      <c r="D5914" s="17">
        <v>4597.9799999999996</v>
      </c>
    </row>
    <row r="5915" spans="1:4" x14ac:dyDescent="0.3">
      <c r="A5915" s="10">
        <v>1216</v>
      </c>
      <c r="B5915" s="10" t="s">
        <v>18</v>
      </c>
      <c r="C5915" s="10" t="s">
        <v>51</v>
      </c>
      <c r="D5915" s="17">
        <v>979.98</v>
      </c>
    </row>
    <row r="5916" spans="1:4" x14ac:dyDescent="0.3">
      <c r="A5916" s="12"/>
      <c r="B5916" s="12"/>
      <c r="C5916" s="14" t="s">
        <v>36</v>
      </c>
      <c r="D5916" s="18">
        <v>449</v>
      </c>
    </row>
    <row r="5917" spans="1:4" x14ac:dyDescent="0.3">
      <c r="A5917" s="12"/>
      <c r="B5917" s="12"/>
      <c r="C5917" s="14" t="s">
        <v>65</v>
      </c>
      <c r="D5917" s="18">
        <v>941.98</v>
      </c>
    </row>
    <row r="5918" spans="1:4" x14ac:dyDescent="0.3">
      <c r="A5918" s="12"/>
      <c r="B5918" s="12"/>
      <c r="C5918" s="14" t="s">
        <v>69</v>
      </c>
      <c r="D5918" s="18">
        <v>3199.99</v>
      </c>
    </row>
    <row r="5919" spans="1:4" x14ac:dyDescent="0.3">
      <c r="A5919" s="12"/>
      <c r="B5919" s="12"/>
      <c r="C5919" s="14" t="s">
        <v>62</v>
      </c>
      <c r="D5919" s="18">
        <v>5299.99</v>
      </c>
    </row>
    <row r="5920" spans="1:4" x14ac:dyDescent="0.3">
      <c r="A5920" s="12"/>
      <c r="B5920" s="10" t="s">
        <v>1916</v>
      </c>
      <c r="C5920" s="11"/>
      <c r="D5920" s="17">
        <v>10870.939999999999</v>
      </c>
    </row>
    <row r="5921" spans="1:4" x14ac:dyDescent="0.3">
      <c r="A5921" s="10" t="s">
        <v>1512</v>
      </c>
      <c r="B5921" s="11"/>
      <c r="C5921" s="11"/>
      <c r="D5921" s="17">
        <v>10870.939999999999</v>
      </c>
    </row>
    <row r="5922" spans="1:4" x14ac:dyDescent="0.3">
      <c r="A5922" s="10">
        <v>1217</v>
      </c>
      <c r="B5922" s="10" t="s">
        <v>18</v>
      </c>
      <c r="C5922" s="10" t="s">
        <v>43</v>
      </c>
      <c r="D5922" s="17">
        <v>749.99</v>
      </c>
    </row>
    <row r="5923" spans="1:4" x14ac:dyDescent="0.3">
      <c r="A5923" s="12"/>
      <c r="B5923" s="12"/>
      <c r="C5923" s="14" t="s">
        <v>39</v>
      </c>
      <c r="D5923" s="18">
        <v>899.98</v>
      </c>
    </row>
    <row r="5924" spans="1:4" x14ac:dyDescent="0.3">
      <c r="A5924" s="12"/>
      <c r="B5924" s="10" t="s">
        <v>1916</v>
      </c>
      <c r="C5924" s="11"/>
      <c r="D5924" s="17">
        <v>1649.97</v>
      </c>
    </row>
    <row r="5925" spans="1:4" x14ac:dyDescent="0.3">
      <c r="A5925" s="10" t="s">
        <v>1513</v>
      </c>
      <c r="B5925" s="11"/>
      <c r="C5925" s="11"/>
      <c r="D5925" s="17">
        <v>1649.97</v>
      </c>
    </row>
    <row r="5926" spans="1:4" x14ac:dyDescent="0.3">
      <c r="A5926" s="10">
        <v>1218</v>
      </c>
      <c r="B5926" s="10" t="s">
        <v>11</v>
      </c>
      <c r="C5926" s="10" t="s">
        <v>51</v>
      </c>
      <c r="D5926" s="17">
        <v>979.98</v>
      </c>
    </row>
    <row r="5927" spans="1:4" x14ac:dyDescent="0.3">
      <c r="A5927" s="12"/>
      <c r="B5927" s="12"/>
      <c r="C5927" s="14" t="s">
        <v>46</v>
      </c>
      <c r="D5927" s="18">
        <v>469.99</v>
      </c>
    </row>
    <row r="5928" spans="1:4" x14ac:dyDescent="0.3">
      <c r="A5928" s="12"/>
      <c r="B5928" s="10" t="s">
        <v>1915</v>
      </c>
      <c r="C5928" s="11"/>
      <c r="D5928" s="17">
        <v>1449.97</v>
      </c>
    </row>
    <row r="5929" spans="1:4" x14ac:dyDescent="0.3">
      <c r="A5929" s="10" t="s">
        <v>1514</v>
      </c>
      <c r="B5929" s="11"/>
      <c r="C5929" s="11"/>
      <c r="D5929" s="17">
        <v>1449.97</v>
      </c>
    </row>
    <row r="5930" spans="1:4" x14ac:dyDescent="0.3">
      <c r="A5930" s="10">
        <v>1219</v>
      </c>
      <c r="B5930" s="10" t="s">
        <v>18</v>
      </c>
      <c r="C5930" s="10" t="s">
        <v>23</v>
      </c>
      <c r="D5930" s="17">
        <v>858</v>
      </c>
    </row>
    <row r="5931" spans="1:4" x14ac:dyDescent="0.3">
      <c r="A5931" s="12"/>
      <c r="B5931" s="12"/>
      <c r="C5931" s="14" t="s">
        <v>50</v>
      </c>
      <c r="D5931" s="18">
        <v>6999.98</v>
      </c>
    </row>
    <row r="5932" spans="1:4" x14ac:dyDescent="0.3">
      <c r="A5932" s="12"/>
      <c r="B5932" s="12"/>
      <c r="C5932" s="14" t="s">
        <v>104</v>
      </c>
      <c r="D5932" s="18">
        <v>9999.98</v>
      </c>
    </row>
    <row r="5933" spans="1:4" x14ac:dyDescent="0.3">
      <c r="A5933" s="12"/>
      <c r="B5933" s="10" t="s">
        <v>1916</v>
      </c>
      <c r="C5933" s="11"/>
      <c r="D5933" s="17">
        <v>17857.96</v>
      </c>
    </row>
    <row r="5934" spans="1:4" x14ac:dyDescent="0.3">
      <c r="A5934" s="10" t="s">
        <v>1515</v>
      </c>
      <c r="B5934" s="11"/>
      <c r="C5934" s="11"/>
      <c r="D5934" s="17">
        <v>17857.96</v>
      </c>
    </row>
    <row r="5935" spans="1:4" x14ac:dyDescent="0.3">
      <c r="A5935" s="10">
        <v>1220</v>
      </c>
      <c r="B5935" s="10" t="s">
        <v>18</v>
      </c>
      <c r="C5935" s="10" t="s">
        <v>38</v>
      </c>
      <c r="D5935" s="17">
        <v>659.98</v>
      </c>
    </row>
    <row r="5936" spans="1:4" x14ac:dyDescent="0.3">
      <c r="A5936" s="12"/>
      <c r="B5936" s="12"/>
      <c r="C5936" s="14" t="s">
        <v>70</v>
      </c>
      <c r="D5936" s="18">
        <v>3499.99</v>
      </c>
    </row>
    <row r="5937" spans="1:4" x14ac:dyDescent="0.3">
      <c r="A5937" s="12"/>
      <c r="B5937" s="12"/>
      <c r="C5937" s="14" t="s">
        <v>54</v>
      </c>
      <c r="D5937" s="18">
        <v>10599.98</v>
      </c>
    </row>
    <row r="5938" spans="1:4" x14ac:dyDescent="0.3">
      <c r="A5938" s="12"/>
      <c r="B5938" s="10" t="s">
        <v>1916</v>
      </c>
      <c r="C5938" s="11"/>
      <c r="D5938" s="17">
        <v>14759.949999999999</v>
      </c>
    </row>
    <row r="5939" spans="1:4" x14ac:dyDescent="0.3">
      <c r="A5939" s="10" t="s">
        <v>1516</v>
      </c>
      <c r="B5939" s="11"/>
      <c r="C5939" s="11"/>
      <c r="D5939" s="17">
        <v>14759.949999999999</v>
      </c>
    </row>
    <row r="5940" spans="1:4" x14ac:dyDescent="0.3">
      <c r="A5940" s="10">
        <v>1221</v>
      </c>
      <c r="B5940" s="10" t="s">
        <v>18</v>
      </c>
      <c r="C5940" s="10" t="s">
        <v>99</v>
      </c>
      <c r="D5940" s="17">
        <v>2199.98</v>
      </c>
    </row>
    <row r="5941" spans="1:4" x14ac:dyDescent="0.3">
      <c r="A5941" s="12"/>
      <c r="B5941" s="12"/>
      <c r="C5941" s="14" t="s">
        <v>55</v>
      </c>
      <c r="D5941" s="18">
        <v>699.98</v>
      </c>
    </row>
    <row r="5942" spans="1:4" x14ac:dyDescent="0.3">
      <c r="A5942" s="12"/>
      <c r="B5942" s="12"/>
      <c r="C5942" s="14" t="s">
        <v>105</v>
      </c>
      <c r="D5942" s="18">
        <v>489.99</v>
      </c>
    </row>
    <row r="5943" spans="1:4" x14ac:dyDescent="0.3">
      <c r="A5943" s="12"/>
      <c r="B5943" s="12"/>
      <c r="C5943" s="14" t="s">
        <v>93</v>
      </c>
      <c r="D5943" s="18">
        <v>1099.98</v>
      </c>
    </row>
    <row r="5944" spans="1:4" x14ac:dyDescent="0.3">
      <c r="A5944" s="12"/>
      <c r="B5944" s="12"/>
      <c r="C5944" s="14" t="s">
        <v>53</v>
      </c>
      <c r="D5944" s="18">
        <v>4599.9799999999996</v>
      </c>
    </row>
    <row r="5945" spans="1:4" x14ac:dyDescent="0.3">
      <c r="A5945" s="12"/>
      <c r="B5945" s="10" t="s">
        <v>1916</v>
      </c>
      <c r="C5945" s="11"/>
      <c r="D5945" s="17">
        <v>9089.91</v>
      </c>
    </row>
    <row r="5946" spans="1:4" x14ac:dyDescent="0.3">
      <c r="A5946" s="10" t="s">
        <v>1517</v>
      </c>
      <c r="B5946" s="11"/>
      <c r="C5946" s="11"/>
      <c r="D5946" s="17">
        <v>9089.91</v>
      </c>
    </row>
    <row r="5947" spans="1:4" x14ac:dyDescent="0.3">
      <c r="A5947" s="10">
        <v>1222</v>
      </c>
      <c r="B5947" s="10" t="s">
        <v>37</v>
      </c>
      <c r="C5947" s="10" t="s">
        <v>55</v>
      </c>
      <c r="D5947" s="17">
        <v>349.99</v>
      </c>
    </row>
    <row r="5948" spans="1:4" x14ac:dyDescent="0.3">
      <c r="A5948" s="12"/>
      <c r="B5948" s="10" t="s">
        <v>1917</v>
      </c>
      <c r="C5948" s="11"/>
      <c r="D5948" s="17">
        <v>349.99</v>
      </c>
    </row>
    <row r="5949" spans="1:4" x14ac:dyDescent="0.3">
      <c r="A5949" s="10" t="s">
        <v>1518</v>
      </c>
      <c r="B5949" s="11"/>
      <c r="C5949" s="11"/>
      <c r="D5949" s="17">
        <v>349.99</v>
      </c>
    </row>
    <row r="5950" spans="1:4" x14ac:dyDescent="0.3">
      <c r="A5950" s="10">
        <v>1223</v>
      </c>
      <c r="B5950" s="10" t="s">
        <v>18</v>
      </c>
      <c r="C5950" s="10" t="s">
        <v>40</v>
      </c>
      <c r="D5950" s="17">
        <v>551.99</v>
      </c>
    </row>
    <row r="5951" spans="1:4" x14ac:dyDescent="0.3">
      <c r="A5951" s="12"/>
      <c r="B5951" s="10" t="s">
        <v>1916</v>
      </c>
      <c r="C5951" s="11"/>
      <c r="D5951" s="17">
        <v>551.99</v>
      </c>
    </row>
    <row r="5952" spans="1:4" x14ac:dyDescent="0.3">
      <c r="A5952" s="10" t="s">
        <v>1519</v>
      </c>
      <c r="B5952" s="11"/>
      <c r="C5952" s="11"/>
      <c r="D5952" s="17">
        <v>551.99</v>
      </c>
    </row>
    <row r="5953" spans="1:4" x14ac:dyDescent="0.3">
      <c r="A5953" s="10">
        <v>1224</v>
      </c>
      <c r="B5953" s="10" t="s">
        <v>18</v>
      </c>
      <c r="C5953" s="10" t="s">
        <v>85</v>
      </c>
      <c r="D5953" s="17">
        <v>449.99</v>
      </c>
    </row>
    <row r="5954" spans="1:4" x14ac:dyDescent="0.3">
      <c r="A5954" s="12"/>
      <c r="B5954" s="12"/>
      <c r="C5954" s="14" t="s">
        <v>50</v>
      </c>
      <c r="D5954" s="18">
        <v>3499.99</v>
      </c>
    </row>
    <row r="5955" spans="1:4" x14ac:dyDescent="0.3">
      <c r="A5955" s="12"/>
      <c r="B5955" s="12"/>
      <c r="C5955" s="14" t="s">
        <v>46</v>
      </c>
      <c r="D5955" s="18">
        <v>469.99</v>
      </c>
    </row>
    <row r="5956" spans="1:4" x14ac:dyDescent="0.3">
      <c r="A5956" s="12"/>
      <c r="B5956" s="12"/>
      <c r="C5956" s="14" t="s">
        <v>90</v>
      </c>
      <c r="D5956" s="18">
        <v>6499.99</v>
      </c>
    </row>
    <row r="5957" spans="1:4" x14ac:dyDescent="0.3">
      <c r="A5957" s="12"/>
      <c r="B5957" s="10" t="s">
        <v>1916</v>
      </c>
      <c r="C5957" s="11"/>
      <c r="D5957" s="17">
        <v>10919.96</v>
      </c>
    </row>
    <row r="5958" spans="1:4" x14ac:dyDescent="0.3">
      <c r="A5958" s="10" t="s">
        <v>1520</v>
      </c>
      <c r="B5958" s="11"/>
      <c r="C5958" s="11"/>
      <c r="D5958" s="17">
        <v>10919.96</v>
      </c>
    </row>
    <row r="5959" spans="1:4" x14ac:dyDescent="0.3">
      <c r="A5959" s="10">
        <v>1225</v>
      </c>
      <c r="B5959" s="10" t="s">
        <v>11</v>
      </c>
      <c r="C5959" s="10" t="s">
        <v>99</v>
      </c>
      <c r="D5959" s="17">
        <v>1099.99</v>
      </c>
    </row>
    <row r="5960" spans="1:4" x14ac:dyDescent="0.3">
      <c r="A5960" s="12"/>
      <c r="B5960" s="12"/>
      <c r="C5960" s="14" t="s">
        <v>32</v>
      </c>
      <c r="D5960" s="18">
        <v>939.98</v>
      </c>
    </row>
    <row r="5961" spans="1:4" x14ac:dyDescent="0.3">
      <c r="A5961" s="12"/>
      <c r="B5961" s="12"/>
      <c r="C5961" s="14" t="s">
        <v>74</v>
      </c>
      <c r="D5961" s="18">
        <v>5199.9799999999996</v>
      </c>
    </row>
    <row r="5962" spans="1:4" x14ac:dyDescent="0.3">
      <c r="A5962" s="12"/>
      <c r="B5962" s="10" t="s">
        <v>1915</v>
      </c>
      <c r="C5962" s="11"/>
      <c r="D5962" s="17">
        <v>7239.95</v>
      </c>
    </row>
    <row r="5963" spans="1:4" x14ac:dyDescent="0.3">
      <c r="A5963" s="10" t="s">
        <v>1521</v>
      </c>
      <c r="B5963" s="11"/>
      <c r="C5963" s="11"/>
      <c r="D5963" s="17">
        <v>7239.95</v>
      </c>
    </row>
    <row r="5964" spans="1:4" x14ac:dyDescent="0.3">
      <c r="A5964" s="10">
        <v>1226</v>
      </c>
      <c r="B5964" s="10" t="s">
        <v>18</v>
      </c>
      <c r="C5964" s="10" t="s">
        <v>113</v>
      </c>
      <c r="D5964" s="17">
        <v>1599.98</v>
      </c>
    </row>
    <row r="5965" spans="1:4" x14ac:dyDescent="0.3">
      <c r="A5965" s="12"/>
      <c r="B5965" s="12"/>
      <c r="C5965" s="14" t="s">
        <v>80</v>
      </c>
      <c r="D5965" s="18">
        <v>339.99</v>
      </c>
    </row>
    <row r="5966" spans="1:4" x14ac:dyDescent="0.3">
      <c r="A5966" s="12"/>
      <c r="B5966" s="12"/>
      <c r="C5966" s="14" t="s">
        <v>30</v>
      </c>
      <c r="D5966" s="18">
        <v>3361.98</v>
      </c>
    </row>
    <row r="5967" spans="1:4" x14ac:dyDescent="0.3">
      <c r="A5967" s="12"/>
      <c r="B5967" s="12"/>
      <c r="C5967" s="14" t="s">
        <v>53</v>
      </c>
      <c r="D5967" s="18">
        <v>2299.9899999999998</v>
      </c>
    </row>
    <row r="5968" spans="1:4" x14ac:dyDescent="0.3">
      <c r="A5968" s="12"/>
      <c r="B5968" s="12"/>
      <c r="C5968" s="14" t="s">
        <v>90</v>
      </c>
      <c r="D5968" s="18">
        <v>6499.99</v>
      </c>
    </row>
    <row r="5969" spans="1:4" x14ac:dyDescent="0.3">
      <c r="A5969" s="12"/>
      <c r="B5969" s="10" t="s">
        <v>1916</v>
      </c>
      <c r="C5969" s="11"/>
      <c r="D5969" s="17">
        <v>14101.93</v>
      </c>
    </row>
    <row r="5970" spans="1:4" x14ac:dyDescent="0.3">
      <c r="A5970" s="10" t="s">
        <v>1522</v>
      </c>
      <c r="B5970" s="11"/>
      <c r="C5970" s="11"/>
      <c r="D5970" s="17">
        <v>14101.93</v>
      </c>
    </row>
    <row r="5971" spans="1:4" x14ac:dyDescent="0.3">
      <c r="A5971" s="10">
        <v>1227</v>
      </c>
      <c r="B5971" s="10" t="s">
        <v>18</v>
      </c>
      <c r="C5971" s="10" t="s">
        <v>14</v>
      </c>
      <c r="D5971" s="17">
        <v>599.99</v>
      </c>
    </row>
    <row r="5972" spans="1:4" x14ac:dyDescent="0.3">
      <c r="A5972" s="12"/>
      <c r="B5972" s="12"/>
      <c r="C5972" s="14" t="s">
        <v>108</v>
      </c>
      <c r="D5972" s="18">
        <v>539.99</v>
      </c>
    </row>
    <row r="5973" spans="1:4" x14ac:dyDescent="0.3">
      <c r="A5973" s="12"/>
      <c r="B5973" s="12"/>
      <c r="C5973" s="14" t="s">
        <v>53</v>
      </c>
      <c r="D5973" s="18">
        <v>4599.9799999999996</v>
      </c>
    </row>
    <row r="5974" spans="1:4" x14ac:dyDescent="0.3">
      <c r="A5974" s="12"/>
      <c r="B5974" s="12"/>
      <c r="C5974" s="14" t="s">
        <v>56</v>
      </c>
      <c r="D5974" s="18">
        <v>419.98</v>
      </c>
    </row>
    <row r="5975" spans="1:4" x14ac:dyDescent="0.3">
      <c r="A5975" s="12"/>
      <c r="B5975" s="12"/>
      <c r="C5975" s="14" t="s">
        <v>12</v>
      </c>
      <c r="D5975" s="18">
        <v>1799.99</v>
      </c>
    </row>
    <row r="5976" spans="1:4" x14ac:dyDescent="0.3">
      <c r="A5976" s="12"/>
      <c r="B5976" s="10" t="s">
        <v>1916</v>
      </c>
      <c r="C5976" s="11"/>
      <c r="D5976" s="17">
        <v>7959.9299999999985</v>
      </c>
    </row>
    <row r="5977" spans="1:4" x14ac:dyDescent="0.3">
      <c r="A5977" s="10" t="s">
        <v>1523</v>
      </c>
      <c r="B5977" s="11"/>
      <c r="C5977" s="11"/>
      <c r="D5977" s="17">
        <v>7959.9299999999985</v>
      </c>
    </row>
    <row r="5978" spans="1:4" x14ac:dyDescent="0.3">
      <c r="A5978" s="10">
        <v>1228</v>
      </c>
      <c r="B5978" s="10" t="s">
        <v>18</v>
      </c>
      <c r="C5978" s="10" t="s">
        <v>10</v>
      </c>
      <c r="D5978" s="17">
        <v>1199.98</v>
      </c>
    </row>
    <row r="5979" spans="1:4" x14ac:dyDescent="0.3">
      <c r="A5979" s="12"/>
      <c r="B5979" s="12"/>
      <c r="C5979" s="14" t="s">
        <v>111</v>
      </c>
      <c r="D5979" s="18">
        <v>209.99</v>
      </c>
    </row>
    <row r="5980" spans="1:4" x14ac:dyDescent="0.3">
      <c r="A5980" s="12"/>
      <c r="B5980" s="12"/>
      <c r="C5980" s="14" t="s">
        <v>76</v>
      </c>
      <c r="D5980" s="18">
        <v>5399.98</v>
      </c>
    </row>
    <row r="5981" spans="1:4" x14ac:dyDescent="0.3">
      <c r="A5981" s="12"/>
      <c r="B5981" s="10" t="s">
        <v>1916</v>
      </c>
      <c r="C5981" s="11"/>
      <c r="D5981" s="17">
        <v>6809.95</v>
      </c>
    </row>
    <row r="5982" spans="1:4" x14ac:dyDescent="0.3">
      <c r="A5982" s="10" t="s">
        <v>1524</v>
      </c>
      <c r="B5982" s="11"/>
      <c r="C5982" s="11"/>
      <c r="D5982" s="17">
        <v>6809.95</v>
      </c>
    </row>
    <row r="5983" spans="1:4" x14ac:dyDescent="0.3">
      <c r="A5983" s="10">
        <v>1229</v>
      </c>
      <c r="B5983" s="10" t="s">
        <v>11</v>
      </c>
      <c r="C5983" s="10" t="s">
        <v>116</v>
      </c>
      <c r="D5983" s="17">
        <v>1665.98</v>
      </c>
    </row>
    <row r="5984" spans="1:4" x14ac:dyDescent="0.3">
      <c r="A5984" s="12"/>
      <c r="B5984" s="12"/>
      <c r="C5984" s="14" t="s">
        <v>45</v>
      </c>
      <c r="D5984" s="18">
        <v>9999.98</v>
      </c>
    </row>
    <row r="5985" spans="1:4" x14ac:dyDescent="0.3">
      <c r="A5985" s="12"/>
      <c r="B5985" s="10" t="s">
        <v>1915</v>
      </c>
      <c r="C5985" s="11"/>
      <c r="D5985" s="17">
        <v>11665.96</v>
      </c>
    </row>
    <row r="5986" spans="1:4" x14ac:dyDescent="0.3">
      <c r="A5986" s="10" t="s">
        <v>1525</v>
      </c>
      <c r="B5986" s="11"/>
      <c r="C5986" s="11"/>
      <c r="D5986" s="17">
        <v>11665.96</v>
      </c>
    </row>
    <row r="5987" spans="1:4" x14ac:dyDescent="0.3">
      <c r="A5987" s="10">
        <v>1230</v>
      </c>
      <c r="B5987" s="10" t="s">
        <v>18</v>
      </c>
      <c r="C5987" s="10" t="s">
        <v>93</v>
      </c>
      <c r="D5987" s="17">
        <v>1099.98</v>
      </c>
    </row>
    <row r="5988" spans="1:4" x14ac:dyDescent="0.3">
      <c r="A5988" s="12"/>
      <c r="B5988" s="12"/>
      <c r="C5988" s="14" t="s">
        <v>46</v>
      </c>
      <c r="D5988" s="18">
        <v>939.98</v>
      </c>
    </row>
    <row r="5989" spans="1:4" x14ac:dyDescent="0.3">
      <c r="A5989" s="12"/>
      <c r="B5989" s="10" t="s">
        <v>1916</v>
      </c>
      <c r="C5989" s="11"/>
      <c r="D5989" s="17">
        <v>2039.96</v>
      </c>
    </row>
    <row r="5990" spans="1:4" x14ac:dyDescent="0.3">
      <c r="A5990" s="10" t="s">
        <v>1526</v>
      </c>
      <c r="B5990" s="11"/>
      <c r="C5990" s="11"/>
      <c r="D5990" s="17">
        <v>2039.96</v>
      </c>
    </row>
    <row r="5991" spans="1:4" x14ac:dyDescent="0.3">
      <c r="A5991" s="10">
        <v>1231</v>
      </c>
      <c r="B5991" s="10" t="s">
        <v>18</v>
      </c>
      <c r="C5991" s="10" t="s">
        <v>73</v>
      </c>
      <c r="D5991" s="17">
        <v>659.99</v>
      </c>
    </row>
    <row r="5992" spans="1:4" x14ac:dyDescent="0.3">
      <c r="A5992" s="12"/>
      <c r="B5992" s="12"/>
      <c r="C5992" s="14" t="s">
        <v>95</v>
      </c>
      <c r="D5992" s="18">
        <v>1199.98</v>
      </c>
    </row>
    <row r="5993" spans="1:4" x14ac:dyDescent="0.3">
      <c r="A5993" s="12"/>
      <c r="B5993" s="10" t="s">
        <v>1916</v>
      </c>
      <c r="C5993" s="11"/>
      <c r="D5993" s="17">
        <v>1859.97</v>
      </c>
    </row>
    <row r="5994" spans="1:4" x14ac:dyDescent="0.3">
      <c r="A5994" s="10" t="s">
        <v>1527</v>
      </c>
      <c r="B5994" s="11"/>
      <c r="C5994" s="11"/>
      <c r="D5994" s="17">
        <v>1859.97</v>
      </c>
    </row>
    <row r="5995" spans="1:4" x14ac:dyDescent="0.3">
      <c r="A5995" s="10">
        <v>1232</v>
      </c>
      <c r="B5995" s="10" t="s">
        <v>11</v>
      </c>
      <c r="C5995" s="10" t="s">
        <v>65</v>
      </c>
      <c r="D5995" s="17">
        <v>941.98</v>
      </c>
    </row>
    <row r="5996" spans="1:4" x14ac:dyDescent="0.3">
      <c r="A5996" s="12"/>
      <c r="B5996" s="12"/>
      <c r="C5996" s="14" t="s">
        <v>32</v>
      </c>
      <c r="D5996" s="18">
        <v>939.98</v>
      </c>
    </row>
    <row r="5997" spans="1:4" x14ac:dyDescent="0.3">
      <c r="A5997" s="12"/>
      <c r="B5997" s="12"/>
      <c r="C5997" s="14" t="s">
        <v>16</v>
      </c>
      <c r="D5997" s="18">
        <v>5799.98</v>
      </c>
    </row>
    <row r="5998" spans="1:4" x14ac:dyDescent="0.3">
      <c r="A5998" s="12"/>
      <c r="B5998" s="10" t="s">
        <v>1915</v>
      </c>
      <c r="C5998" s="11"/>
      <c r="D5998" s="17">
        <v>7681.94</v>
      </c>
    </row>
    <row r="5999" spans="1:4" x14ac:dyDescent="0.3">
      <c r="A5999" s="10" t="s">
        <v>1528</v>
      </c>
      <c r="B5999" s="11"/>
      <c r="C5999" s="11"/>
      <c r="D5999" s="17">
        <v>7681.94</v>
      </c>
    </row>
    <row r="6000" spans="1:4" x14ac:dyDescent="0.3">
      <c r="A6000" s="10">
        <v>1233</v>
      </c>
      <c r="B6000" s="10" t="s">
        <v>18</v>
      </c>
      <c r="C6000" s="10" t="s">
        <v>76</v>
      </c>
      <c r="D6000" s="17">
        <v>2699.99</v>
      </c>
    </row>
    <row r="6001" spans="1:4" x14ac:dyDescent="0.3">
      <c r="A6001" s="12"/>
      <c r="B6001" s="12"/>
      <c r="C6001" s="14" t="s">
        <v>45</v>
      </c>
      <c r="D6001" s="18">
        <v>9999.98</v>
      </c>
    </row>
    <row r="6002" spans="1:4" x14ac:dyDescent="0.3">
      <c r="A6002" s="12"/>
      <c r="B6002" s="12"/>
      <c r="C6002" s="14" t="s">
        <v>117</v>
      </c>
      <c r="D6002" s="18">
        <v>379.98</v>
      </c>
    </row>
    <row r="6003" spans="1:4" x14ac:dyDescent="0.3">
      <c r="A6003" s="12"/>
      <c r="B6003" s="10" t="s">
        <v>1916</v>
      </c>
      <c r="C6003" s="11"/>
      <c r="D6003" s="17">
        <v>13079.949999999999</v>
      </c>
    </row>
    <row r="6004" spans="1:4" x14ac:dyDescent="0.3">
      <c r="A6004" s="10" t="s">
        <v>1529</v>
      </c>
      <c r="B6004" s="11"/>
      <c r="C6004" s="11"/>
      <c r="D6004" s="17">
        <v>13079.949999999999</v>
      </c>
    </row>
    <row r="6005" spans="1:4" x14ac:dyDescent="0.3">
      <c r="A6005" s="10">
        <v>1234</v>
      </c>
      <c r="B6005" s="10" t="s">
        <v>18</v>
      </c>
      <c r="C6005" s="10" t="s">
        <v>78</v>
      </c>
      <c r="D6005" s="17">
        <v>833.98</v>
      </c>
    </row>
    <row r="6006" spans="1:4" x14ac:dyDescent="0.3">
      <c r="A6006" s="12"/>
      <c r="B6006" s="12"/>
      <c r="C6006" s="14" t="s">
        <v>41</v>
      </c>
      <c r="D6006" s="18">
        <v>10999.98</v>
      </c>
    </row>
    <row r="6007" spans="1:4" x14ac:dyDescent="0.3">
      <c r="A6007" s="12"/>
      <c r="B6007" s="10" t="s">
        <v>1916</v>
      </c>
      <c r="C6007" s="11"/>
      <c r="D6007" s="17">
        <v>11833.96</v>
      </c>
    </row>
    <row r="6008" spans="1:4" x14ac:dyDescent="0.3">
      <c r="A6008" s="10" t="s">
        <v>1530</v>
      </c>
      <c r="B6008" s="11"/>
      <c r="C6008" s="11"/>
      <c r="D6008" s="17">
        <v>11833.96</v>
      </c>
    </row>
    <row r="6009" spans="1:4" x14ac:dyDescent="0.3">
      <c r="A6009" s="10">
        <v>1235</v>
      </c>
      <c r="B6009" s="10" t="s">
        <v>18</v>
      </c>
      <c r="C6009" s="10" t="s">
        <v>29</v>
      </c>
      <c r="D6009" s="17">
        <v>3999.99</v>
      </c>
    </row>
    <row r="6010" spans="1:4" x14ac:dyDescent="0.3">
      <c r="A6010" s="12"/>
      <c r="B6010" s="10" t="s">
        <v>1916</v>
      </c>
      <c r="C6010" s="11"/>
      <c r="D6010" s="17">
        <v>3999.99</v>
      </c>
    </row>
    <row r="6011" spans="1:4" x14ac:dyDescent="0.3">
      <c r="A6011" s="10" t="s">
        <v>1531</v>
      </c>
      <c r="B6011" s="11"/>
      <c r="C6011" s="11"/>
      <c r="D6011" s="17">
        <v>3999.99</v>
      </c>
    </row>
    <row r="6012" spans="1:4" x14ac:dyDescent="0.3">
      <c r="A6012" s="10">
        <v>1236</v>
      </c>
      <c r="B6012" s="10" t="s">
        <v>18</v>
      </c>
      <c r="C6012" s="10" t="s">
        <v>101</v>
      </c>
      <c r="D6012" s="17">
        <v>1559.99</v>
      </c>
    </row>
    <row r="6013" spans="1:4" x14ac:dyDescent="0.3">
      <c r="A6013" s="12"/>
      <c r="B6013" s="12"/>
      <c r="C6013" s="14" t="s">
        <v>46</v>
      </c>
      <c r="D6013" s="18">
        <v>939.98</v>
      </c>
    </row>
    <row r="6014" spans="1:4" x14ac:dyDescent="0.3">
      <c r="A6014" s="12"/>
      <c r="B6014" s="12"/>
      <c r="C6014" s="14" t="s">
        <v>97</v>
      </c>
      <c r="D6014" s="18">
        <v>349.99</v>
      </c>
    </row>
    <row r="6015" spans="1:4" x14ac:dyDescent="0.3">
      <c r="A6015" s="12"/>
      <c r="B6015" s="10" t="s">
        <v>1916</v>
      </c>
      <c r="C6015" s="11"/>
      <c r="D6015" s="17">
        <v>2849.96</v>
      </c>
    </row>
    <row r="6016" spans="1:4" x14ac:dyDescent="0.3">
      <c r="A6016" s="10" t="s">
        <v>1532</v>
      </c>
      <c r="B6016" s="11"/>
      <c r="C6016" s="11"/>
      <c r="D6016" s="17">
        <v>2849.96</v>
      </c>
    </row>
    <row r="6017" spans="1:4" x14ac:dyDescent="0.3">
      <c r="A6017" s="10">
        <v>1237</v>
      </c>
      <c r="B6017" s="10" t="s">
        <v>11</v>
      </c>
      <c r="C6017" s="10" t="s">
        <v>33</v>
      </c>
      <c r="D6017" s="17">
        <v>299.99</v>
      </c>
    </row>
    <row r="6018" spans="1:4" x14ac:dyDescent="0.3">
      <c r="A6018" s="12"/>
      <c r="B6018" s="12"/>
      <c r="C6018" s="14" t="s">
        <v>48</v>
      </c>
      <c r="D6018" s="18">
        <v>599.98</v>
      </c>
    </row>
    <row r="6019" spans="1:4" x14ac:dyDescent="0.3">
      <c r="A6019" s="12"/>
      <c r="B6019" s="12"/>
      <c r="C6019" s="14" t="s">
        <v>35</v>
      </c>
      <c r="D6019" s="18">
        <v>499.99</v>
      </c>
    </row>
    <row r="6020" spans="1:4" x14ac:dyDescent="0.3">
      <c r="A6020" s="12"/>
      <c r="B6020" s="12"/>
      <c r="C6020" s="14" t="s">
        <v>76</v>
      </c>
      <c r="D6020" s="18">
        <v>5399.98</v>
      </c>
    </row>
    <row r="6021" spans="1:4" x14ac:dyDescent="0.3">
      <c r="A6021" s="12"/>
      <c r="B6021" s="12"/>
      <c r="C6021" s="14" t="s">
        <v>117</v>
      </c>
      <c r="D6021" s="18">
        <v>379.98</v>
      </c>
    </row>
    <row r="6022" spans="1:4" x14ac:dyDescent="0.3">
      <c r="A6022" s="12"/>
      <c r="B6022" s="10" t="s">
        <v>1915</v>
      </c>
      <c r="C6022" s="11"/>
      <c r="D6022" s="17">
        <v>7179.92</v>
      </c>
    </row>
    <row r="6023" spans="1:4" x14ac:dyDescent="0.3">
      <c r="A6023" s="10" t="s">
        <v>1533</v>
      </c>
      <c r="B6023" s="11"/>
      <c r="C6023" s="11"/>
      <c r="D6023" s="17">
        <v>7179.92</v>
      </c>
    </row>
    <row r="6024" spans="1:4" x14ac:dyDescent="0.3">
      <c r="A6024" s="10">
        <v>1238</v>
      </c>
      <c r="B6024" s="10" t="s">
        <v>18</v>
      </c>
      <c r="C6024" s="10" t="s">
        <v>28</v>
      </c>
      <c r="D6024" s="17">
        <v>269.99</v>
      </c>
    </row>
    <row r="6025" spans="1:4" x14ac:dyDescent="0.3">
      <c r="A6025" s="12"/>
      <c r="B6025" s="12"/>
      <c r="C6025" s="14" t="s">
        <v>52</v>
      </c>
      <c r="D6025" s="18">
        <v>599.98</v>
      </c>
    </row>
    <row r="6026" spans="1:4" x14ac:dyDescent="0.3">
      <c r="A6026" s="12"/>
      <c r="B6026" s="12"/>
      <c r="C6026" s="14" t="s">
        <v>80</v>
      </c>
      <c r="D6026" s="18">
        <v>339.99</v>
      </c>
    </row>
    <row r="6027" spans="1:4" x14ac:dyDescent="0.3">
      <c r="A6027" s="12"/>
      <c r="B6027" s="12"/>
      <c r="C6027" s="14" t="s">
        <v>104</v>
      </c>
      <c r="D6027" s="18">
        <v>4999.99</v>
      </c>
    </row>
    <row r="6028" spans="1:4" x14ac:dyDescent="0.3">
      <c r="A6028" s="12"/>
      <c r="B6028" s="10" t="s">
        <v>1916</v>
      </c>
      <c r="C6028" s="11"/>
      <c r="D6028" s="17">
        <v>6209.95</v>
      </c>
    </row>
    <row r="6029" spans="1:4" x14ac:dyDescent="0.3">
      <c r="A6029" s="10" t="s">
        <v>1534</v>
      </c>
      <c r="B6029" s="11"/>
      <c r="C6029" s="11"/>
      <c r="D6029" s="17">
        <v>6209.95</v>
      </c>
    </row>
    <row r="6030" spans="1:4" x14ac:dyDescent="0.3">
      <c r="A6030" s="10">
        <v>1239</v>
      </c>
      <c r="B6030" s="10" t="s">
        <v>18</v>
      </c>
      <c r="C6030" s="10" t="s">
        <v>27</v>
      </c>
      <c r="D6030" s="17">
        <v>1059.98</v>
      </c>
    </row>
    <row r="6031" spans="1:4" x14ac:dyDescent="0.3">
      <c r="A6031" s="12"/>
      <c r="B6031" s="12"/>
      <c r="C6031" s="14" t="s">
        <v>116</v>
      </c>
      <c r="D6031" s="18">
        <v>832.99</v>
      </c>
    </row>
    <row r="6032" spans="1:4" x14ac:dyDescent="0.3">
      <c r="A6032" s="12"/>
      <c r="B6032" s="12"/>
      <c r="C6032" s="14" t="s">
        <v>97</v>
      </c>
      <c r="D6032" s="18">
        <v>349.99</v>
      </c>
    </row>
    <row r="6033" spans="1:4" x14ac:dyDescent="0.3">
      <c r="A6033" s="12"/>
      <c r="B6033" s="12"/>
      <c r="C6033" s="14" t="s">
        <v>107</v>
      </c>
      <c r="D6033" s="18">
        <v>939.98</v>
      </c>
    </row>
    <row r="6034" spans="1:4" x14ac:dyDescent="0.3">
      <c r="A6034" s="12"/>
      <c r="B6034" s="10" t="s">
        <v>1916</v>
      </c>
      <c r="C6034" s="11"/>
      <c r="D6034" s="17">
        <v>3182.94</v>
      </c>
    </row>
    <row r="6035" spans="1:4" x14ac:dyDescent="0.3">
      <c r="A6035" s="10" t="s">
        <v>1535</v>
      </c>
      <c r="B6035" s="11"/>
      <c r="C6035" s="11"/>
      <c r="D6035" s="17">
        <v>3182.94</v>
      </c>
    </row>
    <row r="6036" spans="1:4" x14ac:dyDescent="0.3">
      <c r="A6036" s="10">
        <v>1240</v>
      </c>
      <c r="B6036" s="10" t="s">
        <v>18</v>
      </c>
      <c r="C6036" s="10" t="s">
        <v>33</v>
      </c>
      <c r="D6036" s="17">
        <v>599.98</v>
      </c>
    </row>
    <row r="6037" spans="1:4" x14ac:dyDescent="0.3">
      <c r="A6037" s="12"/>
      <c r="B6037" s="12"/>
      <c r="C6037" s="14" t="s">
        <v>113</v>
      </c>
      <c r="D6037" s="18">
        <v>1599.98</v>
      </c>
    </row>
    <row r="6038" spans="1:4" x14ac:dyDescent="0.3">
      <c r="A6038" s="12"/>
      <c r="B6038" s="12"/>
      <c r="C6038" s="14" t="s">
        <v>27</v>
      </c>
      <c r="D6038" s="18">
        <v>1059.98</v>
      </c>
    </row>
    <row r="6039" spans="1:4" x14ac:dyDescent="0.3">
      <c r="A6039" s="12"/>
      <c r="B6039" s="12"/>
      <c r="C6039" s="14" t="s">
        <v>89</v>
      </c>
      <c r="D6039" s="18">
        <v>833.98</v>
      </c>
    </row>
    <row r="6040" spans="1:4" x14ac:dyDescent="0.3">
      <c r="A6040" s="12"/>
      <c r="B6040" s="12"/>
      <c r="C6040" s="14" t="s">
        <v>103</v>
      </c>
      <c r="D6040" s="18">
        <v>1999.99</v>
      </c>
    </row>
    <row r="6041" spans="1:4" x14ac:dyDescent="0.3">
      <c r="A6041" s="12"/>
      <c r="B6041" s="10" t="s">
        <v>1916</v>
      </c>
      <c r="C6041" s="11"/>
      <c r="D6041" s="17">
        <v>6093.91</v>
      </c>
    </row>
    <row r="6042" spans="1:4" x14ac:dyDescent="0.3">
      <c r="A6042" s="10" t="s">
        <v>1536</v>
      </c>
      <c r="B6042" s="11"/>
      <c r="C6042" s="11"/>
      <c r="D6042" s="17">
        <v>6093.91</v>
      </c>
    </row>
    <row r="6043" spans="1:4" x14ac:dyDescent="0.3">
      <c r="A6043" s="10">
        <v>1241</v>
      </c>
      <c r="B6043" s="10" t="s">
        <v>18</v>
      </c>
      <c r="C6043" s="10" t="s">
        <v>61</v>
      </c>
      <c r="D6043" s="17">
        <v>439.99</v>
      </c>
    </row>
    <row r="6044" spans="1:4" x14ac:dyDescent="0.3">
      <c r="A6044" s="12"/>
      <c r="B6044" s="12"/>
      <c r="C6044" s="14" t="s">
        <v>78</v>
      </c>
      <c r="D6044" s="18">
        <v>833.98</v>
      </c>
    </row>
    <row r="6045" spans="1:4" x14ac:dyDescent="0.3">
      <c r="A6045" s="12"/>
      <c r="B6045" s="10" t="s">
        <v>1916</v>
      </c>
      <c r="C6045" s="11"/>
      <c r="D6045" s="17">
        <v>1273.97</v>
      </c>
    </row>
    <row r="6046" spans="1:4" x14ac:dyDescent="0.3">
      <c r="A6046" s="10" t="s">
        <v>1537</v>
      </c>
      <c r="B6046" s="11"/>
      <c r="C6046" s="11"/>
      <c r="D6046" s="17">
        <v>1273.97</v>
      </c>
    </row>
    <row r="6047" spans="1:4" x14ac:dyDescent="0.3">
      <c r="A6047" s="10">
        <v>1242</v>
      </c>
      <c r="B6047" s="10" t="s">
        <v>18</v>
      </c>
      <c r="C6047" s="10" t="s">
        <v>73</v>
      </c>
      <c r="D6047" s="17">
        <v>659.99</v>
      </c>
    </row>
    <row r="6048" spans="1:4" x14ac:dyDescent="0.3">
      <c r="A6048" s="12"/>
      <c r="B6048" s="12"/>
      <c r="C6048" s="14" t="s">
        <v>59</v>
      </c>
      <c r="D6048" s="18">
        <v>249.99</v>
      </c>
    </row>
    <row r="6049" spans="1:4" x14ac:dyDescent="0.3">
      <c r="A6049" s="12"/>
      <c r="B6049" s="12"/>
      <c r="C6049" s="14" t="s">
        <v>106</v>
      </c>
      <c r="D6049" s="18">
        <v>999.99</v>
      </c>
    </row>
    <row r="6050" spans="1:4" x14ac:dyDescent="0.3">
      <c r="A6050" s="12"/>
      <c r="B6050" s="12"/>
      <c r="C6050" s="14" t="s">
        <v>13</v>
      </c>
      <c r="D6050" s="18">
        <v>1549</v>
      </c>
    </row>
    <row r="6051" spans="1:4" x14ac:dyDescent="0.3">
      <c r="A6051" s="12"/>
      <c r="B6051" s="10" t="s">
        <v>1916</v>
      </c>
      <c r="C6051" s="11"/>
      <c r="D6051" s="17">
        <v>3458.9700000000003</v>
      </c>
    </row>
    <row r="6052" spans="1:4" x14ac:dyDescent="0.3">
      <c r="A6052" s="10" t="s">
        <v>1538</v>
      </c>
      <c r="B6052" s="11"/>
      <c r="C6052" s="11"/>
      <c r="D6052" s="17">
        <v>3458.9700000000003</v>
      </c>
    </row>
    <row r="6053" spans="1:4" x14ac:dyDescent="0.3">
      <c r="A6053" s="10">
        <v>1243</v>
      </c>
      <c r="B6053" s="10" t="s">
        <v>18</v>
      </c>
      <c r="C6053" s="10" t="s">
        <v>108</v>
      </c>
      <c r="D6053" s="17">
        <v>539.99</v>
      </c>
    </row>
    <row r="6054" spans="1:4" x14ac:dyDescent="0.3">
      <c r="A6054" s="12"/>
      <c r="B6054" s="10" t="s">
        <v>1916</v>
      </c>
      <c r="C6054" s="11"/>
      <c r="D6054" s="17">
        <v>539.99</v>
      </c>
    </row>
    <row r="6055" spans="1:4" x14ac:dyDescent="0.3">
      <c r="A6055" s="10" t="s">
        <v>1539</v>
      </c>
      <c r="B6055" s="11"/>
      <c r="C6055" s="11"/>
      <c r="D6055" s="17">
        <v>539.99</v>
      </c>
    </row>
    <row r="6056" spans="1:4" x14ac:dyDescent="0.3">
      <c r="A6056" s="10">
        <v>1244</v>
      </c>
      <c r="B6056" s="10" t="s">
        <v>18</v>
      </c>
      <c r="C6056" s="10" t="s">
        <v>98</v>
      </c>
      <c r="D6056" s="17">
        <v>759.98</v>
      </c>
    </row>
    <row r="6057" spans="1:4" x14ac:dyDescent="0.3">
      <c r="A6057" s="12"/>
      <c r="B6057" s="12"/>
      <c r="C6057" s="14" t="s">
        <v>93</v>
      </c>
      <c r="D6057" s="18">
        <v>1099.98</v>
      </c>
    </row>
    <row r="6058" spans="1:4" x14ac:dyDescent="0.3">
      <c r="A6058" s="12"/>
      <c r="B6058" s="12"/>
      <c r="C6058" s="14" t="s">
        <v>88</v>
      </c>
      <c r="D6058" s="18">
        <v>869.99</v>
      </c>
    </row>
    <row r="6059" spans="1:4" x14ac:dyDescent="0.3">
      <c r="A6059" s="12"/>
      <c r="B6059" s="12"/>
      <c r="C6059" s="14" t="s">
        <v>67</v>
      </c>
      <c r="D6059" s="18">
        <v>469.99</v>
      </c>
    </row>
    <row r="6060" spans="1:4" x14ac:dyDescent="0.3">
      <c r="A6060" s="12"/>
      <c r="B6060" s="10" t="s">
        <v>1916</v>
      </c>
      <c r="C6060" s="11"/>
      <c r="D6060" s="17">
        <v>3199.9399999999996</v>
      </c>
    </row>
    <row r="6061" spans="1:4" x14ac:dyDescent="0.3">
      <c r="A6061" s="10" t="s">
        <v>1540</v>
      </c>
      <c r="B6061" s="11"/>
      <c r="C6061" s="11"/>
      <c r="D6061" s="17">
        <v>3199.9399999999996</v>
      </c>
    </row>
    <row r="6062" spans="1:4" x14ac:dyDescent="0.3">
      <c r="A6062" s="10">
        <v>1245</v>
      </c>
      <c r="B6062" s="10" t="s">
        <v>18</v>
      </c>
      <c r="C6062" s="10" t="s">
        <v>31</v>
      </c>
      <c r="D6062" s="17">
        <v>269.99</v>
      </c>
    </row>
    <row r="6063" spans="1:4" x14ac:dyDescent="0.3">
      <c r="A6063" s="12"/>
      <c r="B6063" s="10" t="s">
        <v>1916</v>
      </c>
      <c r="C6063" s="11"/>
      <c r="D6063" s="17">
        <v>269.99</v>
      </c>
    </row>
    <row r="6064" spans="1:4" x14ac:dyDescent="0.3">
      <c r="A6064" s="10" t="s">
        <v>1541</v>
      </c>
      <c r="B6064" s="11"/>
      <c r="C6064" s="11"/>
      <c r="D6064" s="17">
        <v>269.99</v>
      </c>
    </row>
    <row r="6065" spans="1:4" x14ac:dyDescent="0.3">
      <c r="A6065" s="10">
        <v>1246</v>
      </c>
      <c r="B6065" s="10" t="s">
        <v>18</v>
      </c>
      <c r="C6065" s="10" t="s">
        <v>88</v>
      </c>
      <c r="D6065" s="17">
        <v>1739.98</v>
      </c>
    </row>
    <row r="6066" spans="1:4" x14ac:dyDescent="0.3">
      <c r="A6066" s="12"/>
      <c r="B6066" s="12"/>
      <c r="C6066" s="14" t="s">
        <v>118</v>
      </c>
      <c r="D6066" s="18">
        <v>1409.99</v>
      </c>
    </row>
    <row r="6067" spans="1:4" x14ac:dyDescent="0.3">
      <c r="A6067" s="12"/>
      <c r="B6067" s="12"/>
      <c r="C6067" s="14" t="s">
        <v>57</v>
      </c>
      <c r="D6067" s="18">
        <v>1295.98</v>
      </c>
    </row>
    <row r="6068" spans="1:4" x14ac:dyDescent="0.3">
      <c r="A6068" s="12"/>
      <c r="B6068" s="10" t="s">
        <v>1916</v>
      </c>
      <c r="C6068" s="11"/>
      <c r="D6068" s="17">
        <v>4445.9500000000007</v>
      </c>
    </row>
    <row r="6069" spans="1:4" x14ac:dyDescent="0.3">
      <c r="A6069" s="10" t="s">
        <v>1542</v>
      </c>
      <c r="B6069" s="11"/>
      <c r="C6069" s="11"/>
      <c r="D6069" s="17">
        <v>4445.9500000000007</v>
      </c>
    </row>
    <row r="6070" spans="1:4" x14ac:dyDescent="0.3">
      <c r="A6070" s="10">
        <v>1247</v>
      </c>
      <c r="B6070" s="10" t="s">
        <v>11</v>
      </c>
      <c r="C6070" s="10" t="s">
        <v>27</v>
      </c>
      <c r="D6070" s="17">
        <v>1059.98</v>
      </c>
    </row>
    <row r="6071" spans="1:4" x14ac:dyDescent="0.3">
      <c r="A6071" s="12"/>
      <c r="B6071" s="12"/>
      <c r="C6071" s="14" t="s">
        <v>14</v>
      </c>
      <c r="D6071" s="18">
        <v>599.99</v>
      </c>
    </row>
    <row r="6072" spans="1:4" x14ac:dyDescent="0.3">
      <c r="A6072" s="12"/>
      <c r="B6072" s="12"/>
      <c r="C6072" s="14" t="s">
        <v>86</v>
      </c>
      <c r="D6072" s="18">
        <v>4999.9799999999996</v>
      </c>
    </row>
    <row r="6073" spans="1:4" x14ac:dyDescent="0.3">
      <c r="A6073" s="12"/>
      <c r="B6073" s="10" t="s">
        <v>1915</v>
      </c>
      <c r="C6073" s="11"/>
      <c r="D6073" s="17">
        <v>6659.95</v>
      </c>
    </row>
    <row r="6074" spans="1:4" x14ac:dyDescent="0.3">
      <c r="A6074" s="10" t="s">
        <v>1543</v>
      </c>
      <c r="B6074" s="11"/>
      <c r="C6074" s="11"/>
      <c r="D6074" s="17">
        <v>6659.95</v>
      </c>
    </row>
    <row r="6075" spans="1:4" x14ac:dyDescent="0.3">
      <c r="A6075" s="10">
        <v>1248</v>
      </c>
      <c r="B6075" s="10" t="s">
        <v>11</v>
      </c>
      <c r="C6075" s="10" t="s">
        <v>25</v>
      </c>
      <c r="D6075" s="17">
        <v>549.99</v>
      </c>
    </row>
    <row r="6076" spans="1:4" x14ac:dyDescent="0.3">
      <c r="A6076" s="12"/>
      <c r="B6076" s="12"/>
      <c r="C6076" s="14" t="s">
        <v>111</v>
      </c>
      <c r="D6076" s="18">
        <v>209.99</v>
      </c>
    </row>
    <row r="6077" spans="1:4" x14ac:dyDescent="0.3">
      <c r="A6077" s="12"/>
      <c r="B6077" s="12"/>
      <c r="C6077" s="14" t="s">
        <v>59</v>
      </c>
      <c r="D6077" s="18">
        <v>499.98</v>
      </c>
    </row>
    <row r="6078" spans="1:4" x14ac:dyDescent="0.3">
      <c r="A6078" s="12"/>
      <c r="B6078" s="12"/>
      <c r="C6078" s="14" t="s">
        <v>67</v>
      </c>
      <c r="D6078" s="18">
        <v>939.98</v>
      </c>
    </row>
    <row r="6079" spans="1:4" x14ac:dyDescent="0.3">
      <c r="A6079" s="12"/>
      <c r="B6079" s="10" t="s">
        <v>1915</v>
      </c>
      <c r="C6079" s="11"/>
      <c r="D6079" s="17">
        <v>2199.94</v>
      </c>
    </row>
    <row r="6080" spans="1:4" x14ac:dyDescent="0.3">
      <c r="A6080" s="10" t="s">
        <v>1544</v>
      </c>
      <c r="B6080" s="11"/>
      <c r="C6080" s="11"/>
      <c r="D6080" s="17">
        <v>2199.94</v>
      </c>
    </row>
    <row r="6081" spans="1:4" x14ac:dyDescent="0.3">
      <c r="A6081" s="10">
        <v>1249</v>
      </c>
      <c r="B6081" s="10" t="s">
        <v>18</v>
      </c>
      <c r="C6081" s="10" t="s">
        <v>87</v>
      </c>
      <c r="D6081" s="17">
        <v>481.99</v>
      </c>
    </row>
    <row r="6082" spans="1:4" x14ac:dyDescent="0.3">
      <c r="A6082" s="12"/>
      <c r="B6082" s="12"/>
      <c r="C6082" s="14" t="s">
        <v>50</v>
      </c>
      <c r="D6082" s="18">
        <v>3499.99</v>
      </c>
    </row>
    <row r="6083" spans="1:4" x14ac:dyDescent="0.3">
      <c r="A6083" s="12"/>
      <c r="B6083" s="12"/>
      <c r="C6083" s="14" t="s">
        <v>45</v>
      </c>
      <c r="D6083" s="18">
        <v>4999.99</v>
      </c>
    </row>
    <row r="6084" spans="1:4" x14ac:dyDescent="0.3">
      <c r="A6084" s="12"/>
      <c r="B6084" s="10" t="s">
        <v>1916</v>
      </c>
      <c r="C6084" s="11"/>
      <c r="D6084" s="17">
        <v>8981.9699999999993</v>
      </c>
    </row>
    <row r="6085" spans="1:4" x14ac:dyDescent="0.3">
      <c r="A6085" s="10" t="s">
        <v>1545</v>
      </c>
      <c r="B6085" s="11"/>
      <c r="C6085" s="11"/>
      <c r="D6085" s="17">
        <v>8981.9699999999993</v>
      </c>
    </row>
    <row r="6086" spans="1:4" x14ac:dyDescent="0.3">
      <c r="A6086" s="10">
        <v>1250</v>
      </c>
      <c r="B6086" s="10" t="s">
        <v>18</v>
      </c>
      <c r="C6086" s="10" t="s">
        <v>10</v>
      </c>
      <c r="D6086" s="17">
        <v>1199.98</v>
      </c>
    </row>
    <row r="6087" spans="1:4" x14ac:dyDescent="0.3">
      <c r="A6087" s="12"/>
      <c r="B6087" s="12"/>
      <c r="C6087" s="14" t="s">
        <v>57</v>
      </c>
      <c r="D6087" s="18">
        <v>1295.98</v>
      </c>
    </row>
    <row r="6088" spans="1:4" x14ac:dyDescent="0.3">
      <c r="A6088" s="12"/>
      <c r="B6088" s="12"/>
      <c r="C6088" s="14" t="s">
        <v>92</v>
      </c>
      <c r="D6088" s="18">
        <v>501.98</v>
      </c>
    </row>
    <row r="6089" spans="1:4" x14ac:dyDescent="0.3">
      <c r="A6089" s="12"/>
      <c r="B6089" s="12"/>
      <c r="C6089" s="14" t="s">
        <v>32</v>
      </c>
      <c r="D6089" s="18">
        <v>939.98</v>
      </c>
    </row>
    <row r="6090" spans="1:4" x14ac:dyDescent="0.3">
      <c r="A6090" s="12"/>
      <c r="B6090" s="10" t="s">
        <v>1916</v>
      </c>
      <c r="C6090" s="11"/>
      <c r="D6090" s="17">
        <v>3937.92</v>
      </c>
    </row>
    <row r="6091" spans="1:4" x14ac:dyDescent="0.3">
      <c r="A6091" s="10" t="s">
        <v>1546</v>
      </c>
      <c r="B6091" s="11"/>
      <c r="C6091" s="11"/>
      <c r="D6091" s="17">
        <v>3937.92</v>
      </c>
    </row>
    <row r="6092" spans="1:4" x14ac:dyDescent="0.3">
      <c r="A6092" s="10">
        <v>1251</v>
      </c>
      <c r="B6092" s="10" t="s">
        <v>37</v>
      </c>
      <c r="C6092" s="10" t="s">
        <v>41</v>
      </c>
      <c r="D6092" s="17">
        <v>5499.99</v>
      </c>
    </row>
    <row r="6093" spans="1:4" x14ac:dyDescent="0.3">
      <c r="A6093" s="12"/>
      <c r="B6093" s="12"/>
      <c r="C6093" s="14" t="s">
        <v>104</v>
      </c>
      <c r="D6093" s="18">
        <v>9999.98</v>
      </c>
    </row>
    <row r="6094" spans="1:4" x14ac:dyDescent="0.3">
      <c r="A6094" s="12"/>
      <c r="B6094" s="12"/>
      <c r="C6094" s="14" t="s">
        <v>29</v>
      </c>
      <c r="D6094" s="18">
        <v>3999.99</v>
      </c>
    </row>
    <row r="6095" spans="1:4" x14ac:dyDescent="0.3">
      <c r="A6095" s="12"/>
      <c r="B6095" s="10" t="s">
        <v>1917</v>
      </c>
      <c r="C6095" s="11"/>
      <c r="D6095" s="17">
        <v>19499.96</v>
      </c>
    </row>
    <row r="6096" spans="1:4" x14ac:dyDescent="0.3">
      <c r="A6096" s="10" t="s">
        <v>1547</v>
      </c>
      <c r="B6096" s="11"/>
      <c r="C6096" s="11"/>
      <c r="D6096" s="17">
        <v>19499.96</v>
      </c>
    </row>
    <row r="6097" spans="1:4" x14ac:dyDescent="0.3">
      <c r="A6097" s="10">
        <v>1252</v>
      </c>
      <c r="B6097" s="10" t="s">
        <v>11</v>
      </c>
      <c r="C6097" s="10" t="s">
        <v>58</v>
      </c>
      <c r="D6097" s="17">
        <v>402.99</v>
      </c>
    </row>
    <row r="6098" spans="1:4" x14ac:dyDescent="0.3">
      <c r="A6098" s="12"/>
      <c r="B6098" s="12"/>
      <c r="C6098" s="14" t="s">
        <v>83</v>
      </c>
      <c r="D6098" s="18">
        <v>109.99</v>
      </c>
    </row>
    <row r="6099" spans="1:4" x14ac:dyDescent="0.3">
      <c r="A6099" s="12"/>
      <c r="B6099" s="12"/>
      <c r="C6099" s="14" t="s">
        <v>103</v>
      </c>
      <c r="D6099" s="18">
        <v>3999.98</v>
      </c>
    </row>
    <row r="6100" spans="1:4" x14ac:dyDescent="0.3">
      <c r="A6100" s="12"/>
      <c r="B6100" s="10" t="s">
        <v>1915</v>
      </c>
      <c r="C6100" s="11"/>
      <c r="D6100" s="17">
        <v>4512.96</v>
      </c>
    </row>
    <row r="6101" spans="1:4" x14ac:dyDescent="0.3">
      <c r="A6101" s="10" t="s">
        <v>1548</v>
      </c>
      <c r="B6101" s="11"/>
      <c r="C6101" s="11"/>
      <c r="D6101" s="17">
        <v>4512.96</v>
      </c>
    </row>
    <row r="6102" spans="1:4" x14ac:dyDescent="0.3">
      <c r="A6102" s="10">
        <v>1253</v>
      </c>
      <c r="B6102" s="10" t="s">
        <v>18</v>
      </c>
      <c r="C6102" s="10" t="s">
        <v>31</v>
      </c>
      <c r="D6102" s="17">
        <v>269.99</v>
      </c>
    </row>
    <row r="6103" spans="1:4" x14ac:dyDescent="0.3">
      <c r="A6103" s="12"/>
      <c r="B6103" s="12"/>
      <c r="C6103" s="14" t="s">
        <v>35</v>
      </c>
      <c r="D6103" s="18">
        <v>999.98</v>
      </c>
    </row>
    <row r="6104" spans="1:4" x14ac:dyDescent="0.3">
      <c r="A6104" s="12"/>
      <c r="B6104" s="12"/>
      <c r="C6104" s="14" t="s">
        <v>64</v>
      </c>
      <c r="D6104" s="18">
        <v>189.99</v>
      </c>
    </row>
    <row r="6105" spans="1:4" x14ac:dyDescent="0.3">
      <c r="A6105" s="12"/>
      <c r="B6105" s="10" t="s">
        <v>1916</v>
      </c>
      <c r="C6105" s="11"/>
      <c r="D6105" s="17">
        <v>1459.96</v>
      </c>
    </row>
    <row r="6106" spans="1:4" x14ac:dyDescent="0.3">
      <c r="A6106" s="10" t="s">
        <v>1549</v>
      </c>
      <c r="B6106" s="11"/>
      <c r="C6106" s="11"/>
      <c r="D6106" s="17">
        <v>1459.96</v>
      </c>
    </row>
    <row r="6107" spans="1:4" x14ac:dyDescent="0.3">
      <c r="A6107" s="10">
        <v>1254</v>
      </c>
      <c r="B6107" s="10" t="s">
        <v>18</v>
      </c>
      <c r="C6107" s="10" t="s">
        <v>63</v>
      </c>
      <c r="D6107" s="17">
        <v>761.99</v>
      </c>
    </row>
    <row r="6108" spans="1:4" x14ac:dyDescent="0.3">
      <c r="A6108" s="12"/>
      <c r="B6108" s="12"/>
      <c r="C6108" s="14" t="s">
        <v>97</v>
      </c>
      <c r="D6108" s="18">
        <v>349.99</v>
      </c>
    </row>
    <row r="6109" spans="1:4" x14ac:dyDescent="0.3">
      <c r="A6109" s="12"/>
      <c r="B6109" s="10" t="s">
        <v>1916</v>
      </c>
      <c r="C6109" s="11"/>
      <c r="D6109" s="17">
        <v>1111.98</v>
      </c>
    </row>
    <row r="6110" spans="1:4" x14ac:dyDescent="0.3">
      <c r="A6110" s="10" t="s">
        <v>1550</v>
      </c>
      <c r="B6110" s="11"/>
      <c r="C6110" s="11"/>
      <c r="D6110" s="17">
        <v>1111.98</v>
      </c>
    </row>
    <row r="6111" spans="1:4" x14ac:dyDescent="0.3">
      <c r="A6111" s="10">
        <v>1255</v>
      </c>
      <c r="B6111" s="10" t="s">
        <v>18</v>
      </c>
      <c r="C6111" s="10" t="s">
        <v>100</v>
      </c>
      <c r="D6111" s="17">
        <v>659.99</v>
      </c>
    </row>
    <row r="6112" spans="1:4" x14ac:dyDescent="0.3">
      <c r="A6112" s="12"/>
      <c r="B6112" s="12"/>
      <c r="C6112" s="14" t="s">
        <v>28</v>
      </c>
      <c r="D6112" s="18">
        <v>539.98</v>
      </c>
    </row>
    <row r="6113" spans="1:4" x14ac:dyDescent="0.3">
      <c r="A6113" s="12"/>
      <c r="B6113" s="12"/>
      <c r="C6113" s="14" t="s">
        <v>14</v>
      </c>
      <c r="D6113" s="18">
        <v>1199.98</v>
      </c>
    </row>
    <row r="6114" spans="1:4" x14ac:dyDescent="0.3">
      <c r="A6114" s="12"/>
      <c r="B6114" s="12"/>
      <c r="C6114" s="14" t="s">
        <v>42</v>
      </c>
      <c r="D6114" s="18">
        <v>749.99</v>
      </c>
    </row>
    <row r="6115" spans="1:4" x14ac:dyDescent="0.3">
      <c r="A6115" s="12"/>
      <c r="B6115" s="12"/>
      <c r="C6115" s="14" t="s">
        <v>62</v>
      </c>
      <c r="D6115" s="18">
        <v>10599.98</v>
      </c>
    </row>
    <row r="6116" spans="1:4" x14ac:dyDescent="0.3">
      <c r="A6116" s="12"/>
      <c r="B6116" s="10" t="s">
        <v>1916</v>
      </c>
      <c r="C6116" s="11"/>
      <c r="D6116" s="17">
        <v>13749.919999999998</v>
      </c>
    </row>
    <row r="6117" spans="1:4" x14ac:dyDescent="0.3">
      <c r="A6117" s="10" t="s">
        <v>1551</v>
      </c>
      <c r="B6117" s="11"/>
      <c r="C6117" s="11"/>
      <c r="D6117" s="17">
        <v>13749.919999999998</v>
      </c>
    </row>
    <row r="6118" spans="1:4" x14ac:dyDescent="0.3">
      <c r="A6118" s="10">
        <v>1256</v>
      </c>
      <c r="B6118" s="10" t="s">
        <v>18</v>
      </c>
      <c r="C6118" s="10" t="s">
        <v>105</v>
      </c>
      <c r="D6118" s="17">
        <v>489.99</v>
      </c>
    </row>
    <row r="6119" spans="1:4" x14ac:dyDescent="0.3">
      <c r="A6119" s="12"/>
      <c r="B6119" s="12"/>
      <c r="C6119" s="14" t="s">
        <v>108</v>
      </c>
      <c r="D6119" s="18">
        <v>1079.98</v>
      </c>
    </row>
    <row r="6120" spans="1:4" x14ac:dyDescent="0.3">
      <c r="A6120" s="12"/>
      <c r="B6120" s="10" t="s">
        <v>1916</v>
      </c>
      <c r="C6120" s="11"/>
      <c r="D6120" s="17">
        <v>1569.97</v>
      </c>
    </row>
    <row r="6121" spans="1:4" x14ac:dyDescent="0.3">
      <c r="A6121" s="10" t="s">
        <v>1552</v>
      </c>
      <c r="B6121" s="11"/>
      <c r="C6121" s="11"/>
      <c r="D6121" s="17">
        <v>1569.97</v>
      </c>
    </row>
    <row r="6122" spans="1:4" x14ac:dyDescent="0.3">
      <c r="A6122" s="10">
        <v>1257</v>
      </c>
      <c r="B6122" s="10" t="s">
        <v>18</v>
      </c>
      <c r="C6122" s="10" t="s">
        <v>77</v>
      </c>
      <c r="D6122" s="17">
        <v>1469.99</v>
      </c>
    </row>
    <row r="6123" spans="1:4" x14ac:dyDescent="0.3">
      <c r="A6123" s="12"/>
      <c r="B6123" s="12"/>
      <c r="C6123" s="14" t="s">
        <v>23</v>
      </c>
      <c r="D6123" s="18">
        <v>858</v>
      </c>
    </row>
    <row r="6124" spans="1:4" x14ac:dyDescent="0.3">
      <c r="A6124" s="12"/>
      <c r="B6124" s="12"/>
      <c r="C6124" s="14" t="s">
        <v>47</v>
      </c>
      <c r="D6124" s="18">
        <v>1999.98</v>
      </c>
    </row>
    <row r="6125" spans="1:4" x14ac:dyDescent="0.3">
      <c r="A6125" s="12"/>
      <c r="B6125" s="12"/>
      <c r="C6125" s="14" t="s">
        <v>16</v>
      </c>
      <c r="D6125" s="18">
        <v>2899.99</v>
      </c>
    </row>
    <row r="6126" spans="1:4" x14ac:dyDescent="0.3">
      <c r="A6126" s="12"/>
      <c r="B6126" s="12"/>
      <c r="C6126" s="14" t="s">
        <v>45</v>
      </c>
      <c r="D6126" s="18">
        <v>4999.99</v>
      </c>
    </row>
    <row r="6127" spans="1:4" x14ac:dyDescent="0.3">
      <c r="A6127" s="12"/>
      <c r="B6127" s="10" t="s">
        <v>1916</v>
      </c>
      <c r="C6127" s="11"/>
      <c r="D6127" s="17">
        <v>12227.949999999999</v>
      </c>
    </row>
    <row r="6128" spans="1:4" x14ac:dyDescent="0.3">
      <c r="A6128" s="10" t="s">
        <v>1553</v>
      </c>
      <c r="B6128" s="11"/>
      <c r="C6128" s="11"/>
      <c r="D6128" s="17">
        <v>12227.949999999999</v>
      </c>
    </row>
    <row r="6129" spans="1:4" x14ac:dyDescent="0.3">
      <c r="A6129" s="10">
        <v>1258</v>
      </c>
      <c r="B6129" s="10" t="s">
        <v>18</v>
      </c>
      <c r="C6129" s="10" t="s">
        <v>52</v>
      </c>
      <c r="D6129" s="17">
        <v>599.98</v>
      </c>
    </row>
    <row r="6130" spans="1:4" x14ac:dyDescent="0.3">
      <c r="A6130" s="12"/>
      <c r="B6130" s="12"/>
      <c r="C6130" s="14" t="s">
        <v>59</v>
      </c>
      <c r="D6130" s="18">
        <v>499.98</v>
      </c>
    </row>
    <row r="6131" spans="1:4" x14ac:dyDescent="0.3">
      <c r="A6131" s="12"/>
      <c r="B6131" s="10" t="s">
        <v>1916</v>
      </c>
      <c r="C6131" s="11"/>
      <c r="D6131" s="17">
        <v>1099.96</v>
      </c>
    </row>
    <row r="6132" spans="1:4" x14ac:dyDescent="0.3">
      <c r="A6132" s="10" t="s">
        <v>1554</v>
      </c>
      <c r="B6132" s="11"/>
      <c r="C6132" s="11"/>
      <c r="D6132" s="17">
        <v>1099.96</v>
      </c>
    </row>
    <row r="6133" spans="1:4" x14ac:dyDescent="0.3">
      <c r="A6133" s="10">
        <v>1259</v>
      </c>
      <c r="B6133" s="10" t="s">
        <v>18</v>
      </c>
      <c r="C6133" s="10" t="s">
        <v>36</v>
      </c>
      <c r="D6133" s="17">
        <v>449</v>
      </c>
    </row>
    <row r="6134" spans="1:4" x14ac:dyDescent="0.3">
      <c r="A6134" s="12"/>
      <c r="B6134" s="12"/>
      <c r="C6134" s="14" t="s">
        <v>101</v>
      </c>
      <c r="D6134" s="18">
        <v>1559.99</v>
      </c>
    </row>
    <row r="6135" spans="1:4" x14ac:dyDescent="0.3">
      <c r="A6135" s="12"/>
      <c r="B6135" s="10" t="s">
        <v>1916</v>
      </c>
      <c r="C6135" s="11"/>
      <c r="D6135" s="17">
        <v>2008.99</v>
      </c>
    </row>
    <row r="6136" spans="1:4" x14ac:dyDescent="0.3">
      <c r="A6136" s="10" t="s">
        <v>1555</v>
      </c>
      <c r="B6136" s="11"/>
      <c r="C6136" s="11"/>
      <c r="D6136" s="17">
        <v>2008.99</v>
      </c>
    </row>
    <row r="6137" spans="1:4" x14ac:dyDescent="0.3">
      <c r="A6137" s="10">
        <v>1260</v>
      </c>
      <c r="B6137" s="10" t="s">
        <v>18</v>
      </c>
      <c r="C6137" s="10" t="s">
        <v>92</v>
      </c>
      <c r="D6137" s="17">
        <v>250.99</v>
      </c>
    </row>
    <row r="6138" spans="1:4" x14ac:dyDescent="0.3">
      <c r="A6138" s="12"/>
      <c r="B6138" s="12"/>
      <c r="C6138" s="14" t="s">
        <v>12</v>
      </c>
      <c r="D6138" s="18">
        <v>1799.99</v>
      </c>
    </row>
    <row r="6139" spans="1:4" x14ac:dyDescent="0.3">
      <c r="A6139" s="12"/>
      <c r="B6139" s="10" t="s">
        <v>1916</v>
      </c>
      <c r="C6139" s="11"/>
      <c r="D6139" s="17">
        <v>2050.98</v>
      </c>
    </row>
    <row r="6140" spans="1:4" x14ac:dyDescent="0.3">
      <c r="A6140" s="10" t="s">
        <v>1556</v>
      </c>
      <c r="B6140" s="11"/>
      <c r="C6140" s="11"/>
      <c r="D6140" s="17">
        <v>2050.98</v>
      </c>
    </row>
    <row r="6141" spans="1:4" x14ac:dyDescent="0.3">
      <c r="A6141" s="10">
        <v>1261</v>
      </c>
      <c r="B6141" s="10" t="s">
        <v>18</v>
      </c>
      <c r="C6141" s="10" t="s">
        <v>105</v>
      </c>
      <c r="D6141" s="17">
        <v>489.99</v>
      </c>
    </row>
    <row r="6142" spans="1:4" x14ac:dyDescent="0.3">
      <c r="A6142" s="12"/>
      <c r="B6142" s="12"/>
      <c r="C6142" s="14" t="s">
        <v>43</v>
      </c>
      <c r="D6142" s="18">
        <v>749.99</v>
      </c>
    </row>
    <row r="6143" spans="1:4" x14ac:dyDescent="0.3">
      <c r="A6143" s="12"/>
      <c r="B6143" s="12"/>
      <c r="C6143" s="14" t="s">
        <v>53</v>
      </c>
      <c r="D6143" s="18">
        <v>2299.9899999999998</v>
      </c>
    </row>
    <row r="6144" spans="1:4" x14ac:dyDescent="0.3">
      <c r="A6144" s="12"/>
      <c r="B6144" s="12"/>
      <c r="C6144" s="14" t="s">
        <v>64</v>
      </c>
      <c r="D6144" s="18">
        <v>379.98</v>
      </c>
    </row>
    <row r="6145" spans="1:4" x14ac:dyDescent="0.3">
      <c r="A6145" s="12"/>
      <c r="B6145" s="10" t="s">
        <v>1916</v>
      </c>
      <c r="C6145" s="11"/>
      <c r="D6145" s="17">
        <v>3919.95</v>
      </c>
    </row>
    <row r="6146" spans="1:4" x14ac:dyDescent="0.3">
      <c r="A6146" s="10" t="s">
        <v>1557</v>
      </c>
      <c r="B6146" s="11"/>
      <c r="C6146" s="11"/>
      <c r="D6146" s="17">
        <v>3919.95</v>
      </c>
    </row>
    <row r="6147" spans="1:4" x14ac:dyDescent="0.3">
      <c r="A6147" s="10">
        <v>1262</v>
      </c>
      <c r="B6147" s="10" t="s">
        <v>18</v>
      </c>
      <c r="C6147" s="10" t="s">
        <v>113</v>
      </c>
      <c r="D6147" s="17">
        <v>799.99</v>
      </c>
    </row>
    <row r="6148" spans="1:4" x14ac:dyDescent="0.3">
      <c r="A6148" s="12"/>
      <c r="B6148" s="12"/>
      <c r="C6148" s="14" t="s">
        <v>98</v>
      </c>
      <c r="D6148" s="18">
        <v>379.99</v>
      </c>
    </row>
    <row r="6149" spans="1:4" x14ac:dyDescent="0.3">
      <c r="A6149" s="12"/>
      <c r="B6149" s="12"/>
      <c r="C6149" s="14" t="s">
        <v>68</v>
      </c>
      <c r="D6149" s="18">
        <v>875.99</v>
      </c>
    </row>
    <row r="6150" spans="1:4" x14ac:dyDescent="0.3">
      <c r="A6150" s="12"/>
      <c r="B6150" s="12"/>
      <c r="C6150" s="14" t="s">
        <v>62</v>
      </c>
      <c r="D6150" s="18">
        <v>10599.98</v>
      </c>
    </row>
    <row r="6151" spans="1:4" x14ac:dyDescent="0.3">
      <c r="A6151" s="12"/>
      <c r="B6151" s="10" t="s">
        <v>1916</v>
      </c>
      <c r="C6151" s="11"/>
      <c r="D6151" s="17">
        <v>12655.95</v>
      </c>
    </row>
    <row r="6152" spans="1:4" x14ac:dyDescent="0.3">
      <c r="A6152" s="10" t="s">
        <v>1558</v>
      </c>
      <c r="B6152" s="11"/>
      <c r="C6152" s="11"/>
      <c r="D6152" s="17">
        <v>12655.95</v>
      </c>
    </row>
    <row r="6153" spans="1:4" x14ac:dyDescent="0.3">
      <c r="A6153" s="10">
        <v>1263</v>
      </c>
      <c r="B6153" s="10" t="s">
        <v>18</v>
      </c>
      <c r="C6153" s="10" t="s">
        <v>88</v>
      </c>
      <c r="D6153" s="17">
        <v>869.99</v>
      </c>
    </row>
    <row r="6154" spans="1:4" x14ac:dyDescent="0.3">
      <c r="A6154" s="12"/>
      <c r="B6154" s="12"/>
      <c r="C6154" s="14" t="s">
        <v>36</v>
      </c>
      <c r="D6154" s="18">
        <v>898</v>
      </c>
    </row>
    <row r="6155" spans="1:4" x14ac:dyDescent="0.3">
      <c r="A6155" s="12"/>
      <c r="B6155" s="12"/>
      <c r="C6155" s="14" t="s">
        <v>50</v>
      </c>
      <c r="D6155" s="18">
        <v>3499.99</v>
      </c>
    </row>
    <row r="6156" spans="1:4" x14ac:dyDescent="0.3">
      <c r="A6156" s="12"/>
      <c r="B6156" s="10" t="s">
        <v>1916</v>
      </c>
      <c r="C6156" s="11"/>
      <c r="D6156" s="17">
        <v>5267.98</v>
      </c>
    </row>
    <row r="6157" spans="1:4" x14ac:dyDescent="0.3">
      <c r="A6157" s="10" t="s">
        <v>1559</v>
      </c>
      <c r="B6157" s="11"/>
      <c r="C6157" s="11"/>
      <c r="D6157" s="17">
        <v>5267.98</v>
      </c>
    </row>
    <row r="6158" spans="1:4" x14ac:dyDescent="0.3">
      <c r="A6158" s="10">
        <v>1264</v>
      </c>
      <c r="B6158" s="10" t="s">
        <v>18</v>
      </c>
      <c r="C6158" s="10" t="s">
        <v>113</v>
      </c>
      <c r="D6158" s="17">
        <v>1599.98</v>
      </c>
    </row>
    <row r="6159" spans="1:4" x14ac:dyDescent="0.3">
      <c r="A6159" s="12"/>
      <c r="B6159" s="12"/>
      <c r="C6159" s="14" t="s">
        <v>80</v>
      </c>
      <c r="D6159" s="18">
        <v>339.99</v>
      </c>
    </row>
    <row r="6160" spans="1:4" x14ac:dyDescent="0.3">
      <c r="A6160" s="12"/>
      <c r="B6160" s="12"/>
      <c r="C6160" s="14" t="s">
        <v>68</v>
      </c>
      <c r="D6160" s="18">
        <v>875.99</v>
      </c>
    </row>
    <row r="6161" spans="1:4" x14ac:dyDescent="0.3">
      <c r="A6161" s="12"/>
      <c r="B6161" s="12"/>
      <c r="C6161" s="14" t="s">
        <v>71</v>
      </c>
      <c r="D6161" s="18">
        <v>1999.98</v>
      </c>
    </row>
    <row r="6162" spans="1:4" x14ac:dyDescent="0.3">
      <c r="A6162" s="12"/>
      <c r="B6162" s="10" t="s">
        <v>1916</v>
      </c>
      <c r="C6162" s="11"/>
      <c r="D6162" s="17">
        <v>4815.9400000000005</v>
      </c>
    </row>
    <row r="6163" spans="1:4" x14ac:dyDescent="0.3">
      <c r="A6163" s="10" t="s">
        <v>1560</v>
      </c>
      <c r="B6163" s="11"/>
      <c r="C6163" s="11"/>
      <c r="D6163" s="17">
        <v>4815.9400000000005</v>
      </c>
    </row>
    <row r="6164" spans="1:4" x14ac:dyDescent="0.3">
      <c r="A6164" s="10">
        <v>1265</v>
      </c>
      <c r="B6164" s="10" t="s">
        <v>18</v>
      </c>
      <c r="C6164" s="10" t="s">
        <v>77</v>
      </c>
      <c r="D6164" s="17">
        <v>2939.98</v>
      </c>
    </row>
    <row r="6165" spans="1:4" x14ac:dyDescent="0.3">
      <c r="A6165" s="12"/>
      <c r="B6165" s="12"/>
      <c r="C6165" s="14" t="s">
        <v>44</v>
      </c>
      <c r="D6165" s="18">
        <v>1239.98</v>
      </c>
    </row>
    <row r="6166" spans="1:4" x14ac:dyDescent="0.3">
      <c r="A6166" s="12"/>
      <c r="B6166" s="10" t="s">
        <v>1916</v>
      </c>
      <c r="C6166" s="11"/>
      <c r="D6166" s="17">
        <v>4179.96</v>
      </c>
    </row>
    <row r="6167" spans="1:4" x14ac:dyDescent="0.3">
      <c r="A6167" s="10" t="s">
        <v>1561</v>
      </c>
      <c r="B6167" s="11"/>
      <c r="C6167" s="11"/>
      <c r="D6167" s="17">
        <v>4179.96</v>
      </c>
    </row>
    <row r="6168" spans="1:4" x14ac:dyDescent="0.3">
      <c r="A6168" s="10">
        <v>1266</v>
      </c>
      <c r="B6168" s="10" t="s">
        <v>18</v>
      </c>
      <c r="C6168" s="10" t="s">
        <v>84</v>
      </c>
      <c r="D6168" s="17">
        <v>1499.99</v>
      </c>
    </row>
    <row r="6169" spans="1:4" x14ac:dyDescent="0.3">
      <c r="A6169" s="12"/>
      <c r="B6169" s="12"/>
      <c r="C6169" s="14" t="s">
        <v>56</v>
      </c>
      <c r="D6169" s="18">
        <v>209.99</v>
      </c>
    </row>
    <row r="6170" spans="1:4" x14ac:dyDescent="0.3">
      <c r="A6170" s="12"/>
      <c r="B6170" s="10" t="s">
        <v>1916</v>
      </c>
      <c r="C6170" s="11"/>
      <c r="D6170" s="17">
        <v>1709.98</v>
      </c>
    </row>
    <row r="6171" spans="1:4" x14ac:dyDescent="0.3">
      <c r="A6171" s="10" t="s">
        <v>1562</v>
      </c>
      <c r="B6171" s="11"/>
      <c r="C6171" s="11"/>
      <c r="D6171" s="17">
        <v>1709.98</v>
      </c>
    </row>
    <row r="6172" spans="1:4" x14ac:dyDescent="0.3">
      <c r="A6172" s="10">
        <v>1267</v>
      </c>
      <c r="B6172" s="10" t="s">
        <v>18</v>
      </c>
      <c r="C6172" s="10" t="s">
        <v>48</v>
      </c>
      <c r="D6172" s="17">
        <v>299.99</v>
      </c>
    </row>
    <row r="6173" spans="1:4" x14ac:dyDescent="0.3">
      <c r="A6173" s="12"/>
      <c r="B6173" s="12"/>
      <c r="C6173" s="14" t="s">
        <v>88</v>
      </c>
      <c r="D6173" s="18">
        <v>869.99</v>
      </c>
    </row>
    <row r="6174" spans="1:4" x14ac:dyDescent="0.3">
      <c r="A6174" s="12"/>
      <c r="B6174" s="12"/>
      <c r="C6174" s="14" t="s">
        <v>85</v>
      </c>
      <c r="D6174" s="18">
        <v>449.99</v>
      </c>
    </row>
    <row r="6175" spans="1:4" x14ac:dyDescent="0.3">
      <c r="A6175" s="12"/>
      <c r="B6175" s="12"/>
      <c r="C6175" s="14" t="s">
        <v>106</v>
      </c>
      <c r="D6175" s="18">
        <v>999.99</v>
      </c>
    </row>
    <row r="6176" spans="1:4" x14ac:dyDescent="0.3">
      <c r="A6176" s="12"/>
      <c r="B6176" s="10" t="s">
        <v>1916</v>
      </c>
      <c r="C6176" s="11"/>
      <c r="D6176" s="17">
        <v>2619.96</v>
      </c>
    </row>
    <row r="6177" spans="1:4" x14ac:dyDescent="0.3">
      <c r="A6177" s="10" t="s">
        <v>1563</v>
      </c>
      <c r="B6177" s="11"/>
      <c r="C6177" s="11"/>
      <c r="D6177" s="17">
        <v>2619.96</v>
      </c>
    </row>
    <row r="6178" spans="1:4" x14ac:dyDescent="0.3">
      <c r="A6178" s="10">
        <v>1268</v>
      </c>
      <c r="B6178" s="10" t="s">
        <v>11</v>
      </c>
      <c r="C6178" s="10" t="s">
        <v>105</v>
      </c>
      <c r="D6178" s="17">
        <v>489.99</v>
      </c>
    </row>
    <row r="6179" spans="1:4" x14ac:dyDescent="0.3">
      <c r="A6179" s="12"/>
      <c r="B6179" s="12"/>
      <c r="C6179" s="14" t="s">
        <v>39</v>
      </c>
      <c r="D6179" s="18">
        <v>899.98</v>
      </c>
    </row>
    <row r="6180" spans="1:4" x14ac:dyDescent="0.3">
      <c r="A6180" s="12"/>
      <c r="B6180" s="12"/>
      <c r="C6180" s="14" t="s">
        <v>74</v>
      </c>
      <c r="D6180" s="18">
        <v>5199.9799999999996</v>
      </c>
    </row>
    <row r="6181" spans="1:4" x14ac:dyDescent="0.3">
      <c r="A6181" s="12"/>
      <c r="B6181" s="12"/>
      <c r="C6181" s="14" t="s">
        <v>117</v>
      </c>
      <c r="D6181" s="18">
        <v>379.98</v>
      </c>
    </row>
    <row r="6182" spans="1:4" x14ac:dyDescent="0.3">
      <c r="A6182" s="12"/>
      <c r="B6182" s="10" t="s">
        <v>1915</v>
      </c>
      <c r="C6182" s="11"/>
      <c r="D6182" s="17">
        <v>6969.93</v>
      </c>
    </row>
    <row r="6183" spans="1:4" x14ac:dyDescent="0.3">
      <c r="A6183" s="10" t="s">
        <v>1564</v>
      </c>
      <c r="B6183" s="11"/>
      <c r="C6183" s="11"/>
      <c r="D6183" s="17">
        <v>6969.93</v>
      </c>
    </row>
    <row r="6184" spans="1:4" x14ac:dyDescent="0.3">
      <c r="A6184" s="10">
        <v>1269</v>
      </c>
      <c r="B6184" s="10" t="s">
        <v>18</v>
      </c>
      <c r="C6184" s="10" t="s">
        <v>112</v>
      </c>
      <c r="D6184" s="17">
        <v>470.99</v>
      </c>
    </row>
    <row r="6185" spans="1:4" x14ac:dyDescent="0.3">
      <c r="A6185" s="12"/>
      <c r="B6185" s="12"/>
      <c r="C6185" s="14" t="s">
        <v>16</v>
      </c>
      <c r="D6185" s="18">
        <v>5799.98</v>
      </c>
    </row>
    <row r="6186" spans="1:4" x14ac:dyDescent="0.3">
      <c r="A6186" s="12"/>
      <c r="B6186" s="12"/>
      <c r="C6186" s="14" t="s">
        <v>29</v>
      </c>
      <c r="D6186" s="18">
        <v>3999.99</v>
      </c>
    </row>
    <row r="6187" spans="1:4" x14ac:dyDescent="0.3">
      <c r="A6187" s="12"/>
      <c r="B6187" s="10" t="s">
        <v>1916</v>
      </c>
      <c r="C6187" s="11"/>
      <c r="D6187" s="17">
        <v>10270.959999999999</v>
      </c>
    </row>
    <row r="6188" spans="1:4" x14ac:dyDescent="0.3">
      <c r="A6188" s="10" t="s">
        <v>1565</v>
      </c>
      <c r="B6188" s="11"/>
      <c r="C6188" s="11"/>
      <c r="D6188" s="17">
        <v>10270.959999999999</v>
      </c>
    </row>
    <row r="6189" spans="1:4" x14ac:dyDescent="0.3">
      <c r="A6189" s="10">
        <v>1270</v>
      </c>
      <c r="B6189" s="10" t="s">
        <v>18</v>
      </c>
      <c r="C6189" s="10" t="s">
        <v>69</v>
      </c>
      <c r="D6189" s="17">
        <v>3199.99</v>
      </c>
    </row>
    <row r="6190" spans="1:4" x14ac:dyDescent="0.3">
      <c r="A6190" s="12"/>
      <c r="B6190" s="10" t="s">
        <v>1916</v>
      </c>
      <c r="C6190" s="11"/>
      <c r="D6190" s="17">
        <v>3199.99</v>
      </c>
    </row>
    <row r="6191" spans="1:4" x14ac:dyDescent="0.3">
      <c r="A6191" s="10" t="s">
        <v>1566</v>
      </c>
      <c r="B6191" s="11"/>
      <c r="C6191" s="11"/>
      <c r="D6191" s="17">
        <v>3199.99</v>
      </c>
    </row>
    <row r="6192" spans="1:4" x14ac:dyDescent="0.3">
      <c r="A6192" s="10">
        <v>1271</v>
      </c>
      <c r="B6192" s="10" t="s">
        <v>18</v>
      </c>
      <c r="C6192" s="10" t="s">
        <v>35</v>
      </c>
      <c r="D6192" s="17">
        <v>999.98</v>
      </c>
    </row>
    <row r="6193" spans="1:4" x14ac:dyDescent="0.3">
      <c r="A6193" s="12"/>
      <c r="B6193" s="12"/>
      <c r="C6193" s="14" t="s">
        <v>46</v>
      </c>
      <c r="D6193" s="18">
        <v>939.98</v>
      </c>
    </row>
    <row r="6194" spans="1:4" x14ac:dyDescent="0.3">
      <c r="A6194" s="12"/>
      <c r="B6194" s="12"/>
      <c r="C6194" s="14" t="s">
        <v>117</v>
      </c>
      <c r="D6194" s="18">
        <v>379.98</v>
      </c>
    </row>
    <row r="6195" spans="1:4" x14ac:dyDescent="0.3">
      <c r="A6195" s="12"/>
      <c r="B6195" s="12"/>
      <c r="C6195" s="14" t="s">
        <v>79</v>
      </c>
      <c r="D6195" s="18">
        <v>11999.98</v>
      </c>
    </row>
    <row r="6196" spans="1:4" x14ac:dyDescent="0.3">
      <c r="A6196" s="12"/>
      <c r="B6196" s="10" t="s">
        <v>1916</v>
      </c>
      <c r="C6196" s="11"/>
      <c r="D6196" s="17">
        <v>14319.92</v>
      </c>
    </row>
    <row r="6197" spans="1:4" x14ac:dyDescent="0.3">
      <c r="A6197" s="10" t="s">
        <v>1567</v>
      </c>
      <c r="B6197" s="11"/>
      <c r="C6197" s="11"/>
      <c r="D6197" s="17">
        <v>14319.92</v>
      </c>
    </row>
    <row r="6198" spans="1:4" x14ac:dyDescent="0.3">
      <c r="A6198" s="10">
        <v>1272</v>
      </c>
      <c r="B6198" s="10" t="s">
        <v>18</v>
      </c>
      <c r="C6198" s="10" t="s">
        <v>14</v>
      </c>
      <c r="D6198" s="17">
        <v>1199.98</v>
      </c>
    </row>
    <row r="6199" spans="1:4" x14ac:dyDescent="0.3">
      <c r="A6199" s="12"/>
      <c r="B6199" s="12"/>
      <c r="C6199" s="14" t="s">
        <v>78</v>
      </c>
      <c r="D6199" s="18">
        <v>833.98</v>
      </c>
    </row>
    <row r="6200" spans="1:4" x14ac:dyDescent="0.3">
      <c r="A6200" s="12"/>
      <c r="B6200" s="12"/>
      <c r="C6200" s="14" t="s">
        <v>115</v>
      </c>
      <c r="D6200" s="18">
        <v>149.99</v>
      </c>
    </row>
    <row r="6201" spans="1:4" x14ac:dyDescent="0.3">
      <c r="A6201" s="12"/>
      <c r="B6201" s="10" t="s">
        <v>1916</v>
      </c>
      <c r="C6201" s="11"/>
      <c r="D6201" s="17">
        <v>2183.9499999999998</v>
      </c>
    </row>
    <row r="6202" spans="1:4" x14ac:dyDescent="0.3">
      <c r="A6202" s="10" t="s">
        <v>1568</v>
      </c>
      <c r="B6202" s="11"/>
      <c r="C6202" s="11"/>
      <c r="D6202" s="17">
        <v>2183.9499999999998</v>
      </c>
    </row>
    <row r="6203" spans="1:4" x14ac:dyDescent="0.3">
      <c r="A6203" s="10">
        <v>1273</v>
      </c>
      <c r="B6203" s="10" t="s">
        <v>18</v>
      </c>
      <c r="C6203" s="10" t="s">
        <v>48</v>
      </c>
      <c r="D6203" s="17">
        <v>599.98</v>
      </c>
    </row>
    <row r="6204" spans="1:4" x14ac:dyDescent="0.3">
      <c r="A6204" s="12"/>
      <c r="B6204" s="12"/>
      <c r="C6204" s="14" t="s">
        <v>10</v>
      </c>
      <c r="D6204" s="18">
        <v>599.99</v>
      </c>
    </row>
    <row r="6205" spans="1:4" x14ac:dyDescent="0.3">
      <c r="A6205" s="12"/>
      <c r="B6205" s="12"/>
      <c r="C6205" s="14" t="s">
        <v>81</v>
      </c>
      <c r="D6205" s="18">
        <v>4999.99</v>
      </c>
    </row>
    <row r="6206" spans="1:4" x14ac:dyDescent="0.3">
      <c r="A6206" s="12"/>
      <c r="B6206" s="10" t="s">
        <v>1916</v>
      </c>
      <c r="C6206" s="11"/>
      <c r="D6206" s="17">
        <v>6199.96</v>
      </c>
    </row>
    <row r="6207" spans="1:4" x14ac:dyDescent="0.3">
      <c r="A6207" s="10" t="s">
        <v>1569</v>
      </c>
      <c r="B6207" s="11"/>
      <c r="C6207" s="11"/>
      <c r="D6207" s="17">
        <v>6199.96</v>
      </c>
    </row>
    <row r="6208" spans="1:4" x14ac:dyDescent="0.3">
      <c r="A6208" s="10">
        <v>1274</v>
      </c>
      <c r="B6208" s="10" t="s">
        <v>18</v>
      </c>
      <c r="C6208" s="10" t="s">
        <v>99</v>
      </c>
      <c r="D6208" s="17">
        <v>1099.99</v>
      </c>
    </row>
    <row r="6209" spans="1:4" x14ac:dyDescent="0.3">
      <c r="A6209" s="12"/>
      <c r="B6209" s="10" t="s">
        <v>1916</v>
      </c>
      <c r="C6209" s="11"/>
      <c r="D6209" s="17">
        <v>1099.99</v>
      </c>
    </row>
    <row r="6210" spans="1:4" x14ac:dyDescent="0.3">
      <c r="A6210" s="10" t="s">
        <v>1570</v>
      </c>
      <c r="B6210" s="11"/>
      <c r="C6210" s="11"/>
      <c r="D6210" s="17">
        <v>1099.99</v>
      </c>
    </row>
    <row r="6211" spans="1:4" x14ac:dyDescent="0.3">
      <c r="A6211" s="10">
        <v>1275</v>
      </c>
      <c r="B6211" s="10" t="s">
        <v>11</v>
      </c>
      <c r="C6211" s="10" t="s">
        <v>47</v>
      </c>
      <c r="D6211" s="17">
        <v>999.99</v>
      </c>
    </row>
    <row r="6212" spans="1:4" x14ac:dyDescent="0.3">
      <c r="A6212" s="12"/>
      <c r="B6212" s="12"/>
      <c r="C6212" s="14" t="s">
        <v>81</v>
      </c>
      <c r="D6212" s="18">
        <v>4999.99</v>
      </c>
    </row>
    <row r="6213" spans="1:4" x14ac:dyDescent="0.3">
      <c r="A6213" s="12"/>
      <c r="B6213" s="10" t="s">
        <v>1915</v>
      </c>
      <c r="C6213" s="11"/>
      <c r="D6213" s="17">
        <v>5999.98</v>
      </c>
    </row>
    <row r="6214" spans="1:4" x14ac:dyDescent="0.3">
      <c r="A6214" s="10" t="s">
        <v>1571</v>
      </c>
      <c r="B6214" s="11"/>
      <c r="C6214" s="11"/>
      <c r="D6214" s="17">
        <v>5999.98</v>
      </c>
    </row>
    <row r="6215" spans="1:4" x14ac:dyDescent="0.3">
      <c r="A6215" s="10">
        <v>1276</v>
      </c>
      <c r="B6215" s="10" t="s">
        <v>18</v>
      </c>
      <c r="C6215" s="10" t="s">
        <v>25</v>
      </c>
      <c r="D6215" s="17">
        <v>1099.98</v>
      </c>
    </row>
    <row r="6216" spans="1:4" x14ac:dyDescent="0.3">
      <c r="A6216" s="12"/>
      <c r="B6216" s="12"/>
      <c r="C6216" s="14" t="s">
        <v>24</v>
      </c>
      <c r="D6216" s="18">
        <v>898</v>
      </c>
    </row>
    <row r="6217" spans="1:4" x14ac:dyDescent="0.3">
      <c r="A6217" s="12"/>
      <c r="B6217" s="12"/>
      <c r="C6217" s="14" t="s">
        <v>57</v>
      </c>
      <c r="D6217" s="18">
        <v>1295.98</v>
      </c>
    </row>
    <row r="6218" spans="1:4" x14ac:dyDescent="0.3">
      <c r="A6218" s="12"/>
      <c r="B6218" s="12"/>
      <c r="C6218" s="14" t="s">
        <v>53</v>
      </c>
      <c r="D6218" s="18">
        <v>2299.9899999999998</v>
      </c>
    </row>
    <row r="6219" spans="1:4" x14ac:dyDescent="0.3">
      <c r="A6219" s="12"/>
      <c r="B6219" s="12"/>
      <c r="C6219" s="14" t="s">
        <v>81</v>
      </c>
      <c r="D6219" s="18">
        <v>4999.99</v>
      </c>
    </row>
    <row r="6220" spans="1:4" x14ac:dyDescent="0.3">
      <c r="A6220" s="12"/>
      <c r="B6220" s="10" t="s">
        <v>1916</v>
      </c>
      <c r="C6220" s="11"/>
      <c r="D6220" s="17">
        <v>10593.939999999999</v>
      </c>
    </row>
    <row r="6221" spans="1:4" x14ac:dyDescent="0.3">
      <c r="A6221" s="10" t="s">
        <v>1572</v>
      </c>
      <c r="B6221" s="11"/>
      <c r="C6221" s="11"/>
      <c r="D6221" s="17">
        <v>10593.939999999999</v>
      </c>
    </row>
    <row r="6222" spans="1:4" x14ac:dyDescent="0.3">
      <c r="A6222" s="10">
        <v>1277</v>
      </c>
      <c r="B6222" s="10" t="s">
        <v>18</v>
      </c>
      <c r="C6222" s="10" t="s">
        <v>110</v>
      </c>
      <c r="D6222" s="17">
        <v>419.98</v>
      </c>
    </row>
    <row r="6223" spans="1:4" x14ac:dyDescent="0.3">
      <c r="A6223" s="12"/>
      <c r="B6223" s="12"/>
      <c r="C6223" s="14" t="s">
        <v>30</v>
      </c>
      <c r="D6223" s="18">
        <v>1680.99</v>
      </c>
    </row>
    <row r="6224" spans="1:4" x14ac:dyDescent="0.3">
      <c r="A6224" s="12"/>
      <c r="B6224" s="12"/>
      <c r="C6224" s="14" t="s">
        <v>26</v>
      </c>
      <c r="D6224" s="18">
        <v>5999.98</v>
      </c>
    </row>
    <row r="6225" spans="1:4" x14ac:dyDescent="0.3">
      <c r="A6225" s="12"/>
      <c r="B6225" s="12"/>
      <c r="C6225" s="14" t="s">
        <v>41</v>
      </c>
      <c r="D6225" s="18">
        <v>10999.98</v>
      </c>
    </row>
    <row r="6226" spans="1:4" x14ac:dyDescent="0.3">
      <c r="A6226" s="12"/>
      <c r="B6226" s="12"/>
      <c r="C6226" s="14" t="s">
        <v>16</v>
      </c>
      <c r="D6226" s="18">
        <v>2899.99</v>
      </c>
    </row>
    <row r="6227" spans="1:4" x14ac:dyDescent="0.3">
      <c r="A6227" s="12"/>
      <c r="B6227" s="10" t="s">
        <v>1916</v>
      </c>
      <c r="C6227" s="11"/>
      <c r="D6227" s="17">
        <v>22000.92</v>
      </c>
    </row>
    <row r="6228" spans="1:4" x14ac:dyDescent="0.3">
      <c r="A6228" s="10" t="s">
        <v>1573</v>
      </c>
      <c r="B6228" s="11"/>
      <c r="C6228" s="11"/>
      <c r="D6228" s="17">
        <v>22000.92</v>
      </c>
    </row>
    <row r="6229" spans="1:4" x14ac:dyDescent="0.3">
      <c r="A6229" s="10">
        <v>1278</v>
      </c>
      <c r="B6229" s="10" t="s">
        <v>18</v>
      </c>
      <c r="C6229" s="10" t="s">
        <v>40</v>
      </c>
      <c r="D6229" s="17">
        <v>1103.98</v>
      </c>
    </row>
    <row r="6230" spans="1:4" x14ac:dyDescent="0.3">
      <c r="A6230" s="12"/>
      <c r="B6230" s="12"/>
      <c r="C6230" s="14" t="s">
        <v>46</v>
      </c>
      <c r="D6230" s="18">
        <v>469.99</v>
      </c>
    </row>
    <row r="6231" spans="1:4" x14ac:dyDescent="0.3">
      <c r="A6231" s="12"/>
      <c r="B6231" s="10" t="s">
        <v>1916</v>
      </c>
      <c r="C6231" s="11"/>
      <c r="D6231" s="17">
        <v>1573.97</v>
      </c>
    </row>
    <row r="6232" spans="1:4" x14ac:dyDescent="0.3">
      <c r="A6232" s="10" t="s">
        <v>1574</v>
      </c>
      <c r="B6232" s="11"/>
      <c r="C6232" s="11"/>
      <c r="D6232" s="17">
        <v>1573.97</v>
      </c>
    </row>
    <row r="6233" spans="1:4" x14ac:dyDescent="0.3">
      <c r="A6233" s="10">
        <v>1279</v>
      </c>
      <c r="B6233" s="10" t="s">
        <v>18</v>
      </c>
      <c r="C6233" s="10" t="s">
        <v>26</v>
      </c>
      <c r="D6233" s="17">
        <v>5999.98</v>
      </c>
    </row>
    <row r="6234" spans="1:4" x14ac:dyDescent="0.3">
      <c r="A6234" s="12"/>
      <c r="B6234" s="10" t="s">
        <v>1916</v>
      </c>
      <c r="C6234" s="11"/>
      <c r="D6234" s="17">
        <v>5999.98</v>
      </c>
    </row>
    <row r="6235" spans="1:4" x14ac:dyDescent="0.3">
      <c r="A6235" s="10" t="s">
        <v>1575</v>
      </c>
      <c r="B6235" s="11"/>
      <c r="C6235" s="11"/>
      <c r="D6235" s="17">
        <v>5999.98</v>
      </c>
    </row>
    <row r="6236" spans="1:4" x14ac:dyDescent="0.3">
      <c r="A6236" s="10">
        <v>1280</v>
      </c>
      <c r="B6236" s="10" t="s">
        <v>37</v>
      </c>
      <c r="C6236" s="10" t="s">
        <v>61</v>
      </c>
      <c r="D6236" s="17">
        <v>439.99</v>
      </c>
    </row>
    <row r="6237" spans="1:4" x14ac:dyDescent="0.3">
      <c r="A6237" s="12"/>
      <c r="B6237" s="12"/>
      <c r="C6237" s="14" t="s">
        <v>44</v>
      </c>
      <c r="D6237" s="18">
        <v>1239.98</v>
      </c>
    </row>
    <row r="6238" spans="1:4" x14ac:dyDescent="0.3">
      <c r="A6238" s="12"/>
      <c r="B6238" s="12"/>
      <c r="C6238" s="14" t="s">
        <v>68</v>
      </c>
      <c r="D6238" s="18">
        <v>875.99</v>
      </c>
    </row>
    <row r="6239" spans="1:4" x14ac:dyDescent="0.3">
      <c r="A6239" s="12"/>
      <c r="B6239" s="12"/>
      <c r="C6239" s="14" t="s">
        <v>75</v>
      </c>
      <c r="D6239" s="18">
        <v>3499.99</v>
      </c>
    </row>
    <row r="6240" spans="1:4" x14ac:dyDescent="0.3">
      <c r="A6240" s="12"/>
      <c r="B6240" s="10" t="s">
        <v>1917</v>
      </c>
      <c r="C6240" s="11"/>
      <c r="D6240" s="17">
        <v>6055.95</v>
      </c>
    </row>
    <row r="6241" spans="1:4" x14ac:dyDescent="0.3">
      <c r="A6241" s="10" t="s">
        <v>1576</v>
      </c>
      <c r="B6241" s="11"/>
      <c r="C6241" s="11"/>
      <c r="D6241" s="17">
        <v>6055.95</v>
      </c>
    </row>
    <row r="6242" spans="1:4" x14ac:dyDescent="0.3">
      <c r="A6242" s="10">
        <v>1281</v>
      </c>
      <c r="B6242" s="10" t="s">
        <v>18</v>
      </c>
      <c r="C6242" s="10" t="s">
        <v>95</v>
      </c>
      <c r="D6242" s="17">
        <v>599.99</v>
      </c>
    </row>
    <row r="6243" spans="1:4" x14ac:dyDescent="0.3">
      <c r="A6243" s="12"/>
      <c r="B6243" s="12"/>
      <c r="C6243" s="14" t="s">
        <v>116</v>
      </c>
      <c r="D6243" s="18">
        <v>832.99</v>
      </c>
    </row>
    <row r="6244" spans="1:4" x14ac:dyDescent="0.3">
      <c r="A6244" s="12"/>
      <c r="B6244" s="12"/>
      <c r="C6244" s="14" t="s">
        <v>70</v>
      </c>
      <c r="D6244" s="18">
        <v>6999.98</v>
      </c>
    </row>
    <row r="6245" spans="1:4" x14ac:dyDescent="0.3">
      <c r="A6245" s="12"/>
      <c r="B6245" s="10" t="s">
        <v>1916</v>
      </c>
      <c r="C6245" s="11"/>
      <c r="D6245" s="17">
        <v>8432.9599999999991</v>
      </c>
    </row>
    <row r="6246" spans="1:4" x14ac:dyDescent="0.3">
      <c r="A6246" s="10" t="s">
        <v>1577</v>
      </c>
      <c r="B6246" s="11"/>
      <c r="C6246" s="11"/>
      <c r="D6246" s="17">
        <v>8432.9599999999991</v>
      </c>
    </row>
    <row r="6247" spans="1:4" x14ac:dyDescent="0.3">
      <c r="A6247" s="10">
        <v>1282</v>
      </c>
      <c r="B6247" s="10" t="s">
        <v>18</v>
      </c>
      <c r="C6247" s="10" t="s">
        <v>112</v>
      </c>
      <c r="D6247" s="17">
        <v>470.99</v>
      </c>
    </row>
    <row r="6248" spans="1:4" x14ac:dyDescent="0.3">
      <c r="A6248" s="12"/>
      <c r="B6248" s="12"/>
      <c r="C6248" s="14" t="s">
        <v>79</v>
      </c>
      <c r="D6248" s="18">
        <v>11999.98</v>
      </c>
    </row>
    <row r="6249" spans="1:4" x14ac:dyDescent="0.3">
      <c r="A6249" s="12"/>
      <c r="B6249" s="10" t="s">
        <v>1916</v>
      </c>
      <c r="C6249" s="11"/>
      <c r="D6249" s="17">
        <v>12470.97</v>
      </c>
    </row>
    <row r="6250" spans="1:4" x14ac:dyDescent="0.3">
      <c r="A6250" s="10" t="s">
        <v>1578</v>
      </c>
      <c r="B6250" s="11"/>
      <c r="C6250" s="11"/>
      <c r="D6250" s="17">
        <v>12470.97</v>
      </c>
    </row>
    <row r="6251" spans="1:4" x14ac:dyDescent="0.3">
      <c r="A6251" s="10">
        <v>1283</v>
      </c>
      <c r="B6251" s="10" t="s">
        <v>18</v>
      </c>
      <c r="C6251" s="10" t="s">
        <v>99</v>
      </c>
      <c r="D6251" s="17">
        <v>1099.99</v>
      </c>
    </row>
    <row r="6252" spans="1:4" x14ac:dyDescent="0.3">
      <c r="A6252" s="12"/>
      <c r="B6252" s="12"/>
      <c r="C6252" s="14" t="s">
        <v>30</v>
      </c>
      <c r="D6252" s="18">
        <v>1680.99</v>
      </c>
    </row>
    <row r="6253" spans="1:4" x14ac:dyDescent="0.3">
      <c r="A6253" s="12"/>
      <c r="B6253" s="12"/>
      <c r="C6253" s="14" t="s">
        <v>46</v>
      </c>
      <c r="D6253" s="18">
        <v>469.99</v>
      </c>
    </row>
    <row r="6254" spans="1:4" x14ac:dyDescent="0.3">
      <c r="A6254" s="12"/>
      <c r="B6254" s="12"/>
      <c r="C6254" s="14" t="s">
        <v>45</v>
      </c>
      <c r="D6254" s="18">
        <v>9999.98</v>
      </c>
    </row>
    <row r="6255" spans="1:4" x14ac:dyDescent="0.3">
      <c r="A6255" s="12"/>
      <c r="B6255" s="12"/>
      <c r="C6255" s="14" t="s">
        <v>29</v>
      </c>
      <c r="D6255" s="18">
        <v>3999.99</v>
      </c>
    </row>
    <row r="6256" spans="1:4" x14ac:dyDescent="0.3">
      <c r="A6256" s="12"/>
      <c r="B6256" s="10" t="s">
        <v>1916</v>
      </c>
      <c r="C6256" s="11"/>
      <c r="D6256" s="17">
        <v>17250.940000000002</v>
      </c>
    </row>
    <row r="6257" spans="1:4" x14ac:dyDescent="0.3">
      <c r="A6257" s="10" t="s">
        <v>1579</v>
      </c>
      <c r="B6257" s="11"/>
      <c r="C6257" s="11"/>
      <c r="D6257" s="17">
        <v>17250.940000000002</v>
      </c>
    </row>
    <row r="6258" spans="1:4" x14ac:dyDescent="0.3">
      <c r="A6258" s="10">
        <v>1284</v>
      </c>
      <c r="B6258" s="10" t="s">
        <v>18</v>
      </c>
      <c r="C6258" s="10" t="s">
        <v>80</v>
      </c>
      <c r="D6258" s="17">
        <v>339.99</v>
      </c>
    </row>
    <row r="6259" spans="1:4" x14ac:dyDescent="0.3">
      <c r="A6259" s="12"/>
      <c r="B6259" s="12"/>
      <c r="C6259" s="14" t="s">
        <v>16</v>
      </c>
      <c r="D6259" s="18">
        <v>5799.98</v>
      </c>
    </row>
    <row r="6260" spans="1:4" x14ac:dyDescent="0.3">
      <c r="A6260" s="12"/>
      <c r="B6260" s="12"/>
      <c r="C6260" s="14" t="s">
        <v>12</v>
      </c>
      <c r="D6260" s="18">
        <v>1799.99</v>
      </c>
    </row>
    <row r="6261" spans="1:4" x14ac:dyDescent="0.3">
      <c r="A6261" s="12"/>
      <c r="B6261" s="10" t="s">
        <v>1916</v>
      </c>
      <c r="C6261" s="11"/>
      <c r="D6261" s="17">
        <v>7939.9599999999991</v>
      </c>
    </row>
    <row r="6262" spans="1:4" x14ac:dyDescent="0.3">
      <c r="A6262" s="10" t="s">
        <v>1580</v>
      </c>
      <c r="B6262" s="11"/>
      <c r="C6262" s="11"/>
      <c r="D6262" s="17">
        <v>7939.9599999999991</v>
      </c>
    </row>
    <row r="6263" spans="1:4" x14ac:dyDescent="0.3">
      <c r="A6263" s="10">
        <v>1285</v>
      </c>
      <c r="B6263" s="10" t="s">
        <v>18</v>
      </c>
      <c r="C6263" s="10" t="s">
        <v>110</v>
      </c>
      <c r="D6263" s="17">
        <v>209.99</v>
      </c>
    </row>
    <row r="6264" spans="1:4" x14ac:dyDescent="0.3">
      <c r="A6264" s="12"/>
      <c r="B6264" s="12"/>
      <c r="C6264" s="14" t="s">
        <v>57</v>
      </c>
      <c r="D6264" s="18">
        <v>1295.98</v>
      </c>
    </row>
    <row r="6265" spans="1:4" x14ac:dyDescent="0.3">
      <c r="A6265" s="12"/>
      <c r="B6265" s="12"/>
      <c r="C6265" s="14" t="s">
        <v>89</v>
      </c>
      <c r="D6265" s="18">
        <v>833.98</v>
      </c>
    </row>
    <row r="6266" spans="1:4" x14ac:dyDescent="0.3">
      <c r="A6266" s="12"/>
      <c r="B6266" s="12"/>
      <c r="C6266" s="14" t="s">
        <v>32</v>
      </c>
      <c r="D6266" s="18">
        <v>469.99</v>
      </c>
    </row>
    <row r="6267" spans="1:4" x14ac:dyDescent="0.3">
      <c r="A6267" s="12"/>
      <c r="B6267" s="10" t="s">
        <v>1916</v>
      </c>
      <c r="C6267" s="11"/>
      <c r="D6267" s="17">
        <v>2809.9399999999996</v>
      </c>
    </row>
    <row r="6268" spans="1:4" x14ac:dyDescent="0.3">
      <c r="A6268" s="10" t="s">
        <v>1581</v>
      </c>
      <c r="B6268" s="11"/>
      <c r="C6268" s="11"/>
      <c r="D6268" s="17">
        <v>2809.9399999999996</v>
      </c>
    </row>
    <row r="6269" spans="1:4" x14ac:dyDescent="0.3">
      <c r="A6269" s="10">
        <v>1286</v>
      </c>
      <c r="B6269" s="10" t="s">
        <v>18</v>
      </c>
      <c r="C6269" s="10" t="s">
        <v>99</v>
      </c>
      <c r="D6269" s="17">
        <v>2199.98</v>
      </c>
    </row>
    <row r="6270" spans="1:4" x14ac:dyDescent="0.3">
      <c r="A6270" s="12"/>
      <c r="B6270" s="12"/>
      <c r="C6270" s="14" t="s">
        <v>49</v>
      </c>
      <c r="D6270" s="18">
        <v>833.98</v>
      </c>
    </row>
    <row r="6271" spans="1:4" x14ac:dyDescent="0.3">
      <c r="A6271" s="12"/>
      <c r="B6271" s="12"/>
      <c r="C6271" s="14" t="s">
        <v>117</v>
      </c>
      <c r="D6271" s="18">
        <v>189.99</v>
      </c>
    </row>
    <row r="6272" spans="1:4" x14ac:dyDescent="0.3">
      <c r="A6272" s="12"/>
      <c r="B6272" s="10" t="s">
        <v>1916</v>
      </c>
      <c r="C6272" s="11"/>
      <c r="D6272" s="17">
        <v>3223.95</v>
      </c>
    </row>
    <row r="6273" spans="1:4" x14ac:dyDescent="0.3">
      <c r="A6273" s="10" t="s">
        <v>1582</v>
      </c>
      <c r="B6273" s="11"/>
      <c r="C6273" s="11"/>
      <c r="D6273" s="17">
        <v>3223.95</v>
      </c>
    </row>
    <row r="6274" spans="1:4" x14ac:dyDescent="0.3">
      <c r="A6274" s="10">
        <v>1287</v>
      </c>
      <c r="B6274" s="10" t="s">
        <v>11</v>
      </c>
      <c r="C6274" s="10" t="s">
        <v>105</v>
      </c>
      <c r="D6274" s="17">
        <v>979.98</v>
      </c>
    </row>
    <row r="6275" spans="1:4" x14ac:dyDescent="0.3">
      <c r="A6275" s="12"/>
      <c r="B6275" s="12"/>
      <c r="C6275" s="14" t="s">
        <v>40</v>
      </c>
      <c r="D6275" s="18">
        <v>551.99</v>
      </c>
    </row>
    <row r="6276" spans="1:4" x14ac:dyDescent="0.3">
      <c r="A6276" s="12"/>
      <c r="B6276" s="12"/>
      <c r="C6276" s="14" t="s">
        <v>106</v>
      </c>
      <c r="D6276" s="18">
        <v>1999.98</v>
      </c>
    </row>
    <row r="6277" spans="1:4" x14ac:dyDescent="0.3">
      <c r="A6277" s="12"/>
      <c r="B6277" s="12"/>
      <c r="C6277" s="14" t="s">
        <v>50</v>
      </c>
      <c r="D6277" s="18">
        <v>6999.98</v>
      </c>
    </row>
    <row r="6278" spans="1:4" x14ac:dyDescent="0.3">
      <c r="A6278" s="12"/>
      <c r="B6278" s="10" t="s">
        <v>1915</v>
      </c>
      <c r="C6278" s="11"/>
      <c r="D6278" s="17">
        <v>10531.93</v>
      </c>
    </row>
    <row r="6279" spans="1:4" x14ac:dyDescent="0.3">
      <c r="A6279" s="10" t="s">
        <v>1583</v>
      </c>
      <c r="B6279" s="11"/>
      <c r="C6279" s="11"/>
      <c r="D6279" s="17">
        <v>10531.93</v>
      </c>
    </row>
    <row r="6280" spans="1:4" x14ac:dyDescent="0.3">
      <c r="A6280" s="10">
        <v>1288</v>
      </c>
      <c r="B6280" s="10" t="s">
        <v>37</v>
      </c>
      <c r="C6280" s="10" t="s">
        <v>51</v>
      </c>
      <c r="D6280" s="17">
        <v>979.98</v>
      </c>
    </row>
    <row r="6281" spans="1:4" x14ac:dyDescent="0.3">
      <c r="A6281" s="12"/>
      <c r="B6281" s="12"/>
      <c r="C6281" s="14" t="s">
        <v>23</v>
      </c>
      <c r="D6281" s="18">
        <v>858</v>
      </c>
    </row>
    <row r="6282" spans="1:4" x14ac:dyDescent="0.3">
      <c r="A6282" s="12"/>
      <c r="B6282" s="12"/>
      <c r="C6282" s="14" t="s">
        <v>43</v>
      </c>
      <c r="D6282" s="18">
        <v>749.99</v>
      </c>
    </row>
    <row r="6283" spans="1:4" x14ac:dyDescent="0.3">
      <c r="A6283" s="12"/>
      <c r="B6283" s="12"/>
      <c r="C6283" s="14" t="s">
        <v>50</v>
      </c>
      <c r="D6283" s="18">
        <v>6999.98</v>
      </c>
    </row>
    <row r="6284" spans="1:4" x14ac:dyDescent="0.3">
      <c r="A6284" s="12"/>
      <c r="B6284" s="10" t="s">
        <v>1917</v>
      </c>
      <c r="C6284" s="11"/>
      <c r="D6284" s="17">
        <v>9587.9500000000007</v>
      </c>
    </row>
    <row r="6285" spans="1:4" x14ac:dyDescent="0.3">
      <c r="A6285" s="10" t="s">
        <v>1584</v>
      </c>
      <c r="B6285" s="11"/>
      <c r="C6285" s="11"/>
      <c r="D6285" s="17">
        <v>9587.9500000000007</v>
      </c>
    </row>
    <row r="6286" spans="1:4" x14ac:dyDescent="0.3">
      <c r="A6286" s="10">
        <v>1289</v>
      </c>
      <c r="B6286" s="10" t="s">
        <v>11</v>
      </c>
      <c r="C6286" s="10" t="s">
        <v>20</v>
      </c>
      <c r="D6286" s="17">
        <v>999.99</v>
      </c>
    </row>
    <row r="6287" spans="1:4" x14ac:dyDescent="0.3">
      <c r="A6287" s="12"/>
      <c r="B6287" s="12"/>
      <c r="C6287" s="14" t="s">
        <v>94</v>
      </c>
      <c r="D6287" s="18">
        <v>209.99</v>
      </c>
    </row>
    <row r="6288" spans="1:4" x14ac:dyDescent="0.3">
      <c r="A6288" s="12"/>
      <c r="B6288" s="10" t="s">
        <v>1915</v>
      </c>
      <c r="C6288" s="11"/>
      <c r="D6288" s="17">
        <v>1209.98</v>
      </c>
    </row>
    <row r="6289" spans="1:4" x14ac:dyDescent="0.3">
      <c r="A6289" s="10" t="s">
        <v>1585</v>
      </c>
      <c r="B6289" s="11"/>
      <c r="C6289" s="11"/>
      <c r="D6289" s="17">
        <v>1209.98</v>
      </c>
    </row>
    <row r="6290" spans="1:4" x14ac:dyDescent="0.3">
      <c r="A6290" s="10">
        <v>1290</v>
      </c>
      <c r="B6290" s="10" t="s">
        <v>18</v>
      </c>
      <c r="C6290" s="10" t="s">
        <v>95</v>
      </c>
      <c r="D6290" s="17">
        <v>1199.98</v>
      </c>
    </row>
    <row r="6291" spans="1:4" x14ac:dyDescent="0.3">
      <c r="A6291" s="12"/>
      <c r="B6291" s="12"/>
      <c r="C6291" s="14" t="s">
        <v>111</v>
      </c>
      <c r="D6291" s="18">
        <v>419.98</v>
      </c>
    </row>
    <row r="6292" spans="1:4" x14ac:dyDescent="0.3">
      <c r="A6292" s="12"/>
      <c r="B6292" s="12"/>
      <c r="C6292" s="14" t="s">
        <v>116</v>
      </c>
      <c r="D6292" s="18">
        <v>832.99</v>
      </c>
    </row>
    <row r="6293" spans="1:4" x14ac:dyDescent="0.3">
      <c r="A6293" s="12"/>
      <c r="B6293" s="10" t="s">
        <v>1916</v>
      </c>
      <c r="C6293" s="11"/>
      <c r="D6293" s="17">
        <v>2452.9499999999998</v>
      </c>
    </row>
    <row r="6294" spans="1:4" x14ac:dyDescent="0.3">
      <c r="A6294" s="10" t="s">
        <v>1586</v>
      </c>
      <c r="B6294" s="11"/>
      <c r="C6294" s="11"/>
      <c r="D6294" s="17">
        <v>2452.9499999999998</v>
      </c>
    </row>
    <row r="6295" spans="1:4" x14ac:dyDescent="0.3">
      <c r="A6295" s="10">
        <v>1291</v>
      </c>
      <c r="B6295" s="10" t="s">
        <v>18</v>
      </c>
      <c r="C6295" s="10" t="s">
        <v>103</v>
      </c>
      <c r="D6295" s="17">
        <v>1999.99</v>
      </c>
    </row>
    <row r="6296" spans="1:4" x14ac:dyDescent="0.3">
      <c r="A6296" s="12"/>
      <c r="B6296" s="12"/>
      <c r="C6296" s="14" t="s">
        <v>81</v>
      </c>
      <c r="D6296" s="18">
        <v>9999.98</v>
      </c>
    </row>
    <row r="6297" spans="1:4" x14ac:dyDescent="0.3">
      <c r="A6297" s="12"/>
      <c r="B6297" s="10" t="s">
        <v>1916</v>
      </c>
      <c r="C6297" s="11"/>
      <c r="D6297" s="17">
        <v>11999.97</v>
      </c>
    </row>
    <row r="6298" spans="1:4" x14ac:dyDescent="0.3">
      <c r="A6298" s="10" t="s">
        <v>1587</v>
      </c>
      <c r="B6298" s="11"/>
      <c r="C6298" s="11"/>
      <c r="D6298" s="17">
        <v>11999.97</v>
      </c>
    </row>
    <row r="6299" spans="1:4" x14ac:dyDescent="0.3">
      <c r="A6299" s="10">
        <v>1292</v>
      </c>
      <c r="B6299" s="10" t="s">
        <v>18</v>
      </c>
      <c r="C6299" s="10" t="s">
        <v>73</v>
      </c>
      <c r="D6299" s="17">
        <v>659.99</v>
      </c>
    </row>
    <row r="6300" spans="1:4" x14ac:dyDescent="0.3">
      <c r="A6300" s="12"/>
      <c r="B6300" s="10" t="s">
        <v>1916</v>
      </c>
      <c r="C6300" s="11"/>
      <c r="D6300" s="17">
        <v>659.99</v>
      </c>
    </row>
    <row r="6301" spans="1:4" x14ac:dyDescent="0.3">
      <c r="A6301" s="10" t="s">
        <v>1588</v>
      </c>
      <c r="B6301" s="11"/>
      <c r="C6301" s="11"/>
      <c r="D6301" s="17">
        <v>659.99</v>
      </c>
    </row>
    <row r="6302" spans="1:4" x14ac:dyDescent="0.3">
      <c r="A6302" s="10">
        <v>1293</v>
      </c>
      <c r="B6302" s="10" t="s">
        <v>18</v>
      </c>
      <c r="C6302" s="10" t="s">
        <v>61</v>
      </c>
      <c r="D6302" s="17">
        <v>879.98</v>
      </c>
    </row>
    <row r="6303" spans="1:4" x14ac:dyDescent="0.3">
      <c r="A6303" s="12"/>
      <c r="B6303" s="12"/>
      <c r="C6303" s="14" t="s">
        <v>93</v>
      </c>
      <c r="D6303" s="18">
        <v>1099.98</v>
      </c>
    </row>
    <row r="6304" spans="1:4" x14ac:dyDescent="0.3">
      <c r="A6304" s="12"/>
      <c r="B6304" s="12"/>
      <c r="C6304" s="14" t="s">
        <v>64</v>
      </c>
      <c r="D6304" s="18">
        <v>379.98</v>
      </c>
    </row>
    <row r="6305" spans="1:4" x14ac:dyDescent="0.3">
      <c r="A6305" s="12"/>
      <c r="B6305" s="10" t="s">
        <v>1916</v>
      </c>
      <c r="C6305" s="11"/>
      <c r="D6305" s="17">
        <v>2359.94</v>
      </c>
    </row>
    <row r="6306" spans="1:4" x14ac:dyDescent="0.3">
      <c r="A6306" s="10" t="s">
        <v>1589</v>
      </c>
      <c r="B6306" s="11"/>
      <c r="C6306" s="11"/>
      <c r="D6306" s="17">
        <v>2359.94</v>
      </c>
    </row>
    <row r="6307" spans="1:4" x14ac:dyDescent="0.3">
      <c r="A6307" s="10">
        <v>1294</v>
      </c>
      <c r="B6307" s="10" t="s">
        <v>11</v>
      </c>
      <c r="C6307" s="10" t="s">
        <v>48</v>
      </c>
      <c r="D6307" s="17">
        <v>599.98</v>
      </c>
    </row>
    <row r="6308" spans="1:4" x14ac:dyDescent="0.3">
      <c r="A6308" s="12"/>
      <c r="B6308" s="12"/>
      <c r="C6308" s="14" t="s">
        <v>108</v>
      </c>
      <c r="D6308" s="18">
        <v>539.99</v>
      </c>
    </row>
    <row r="6309" spans="1:4" x14ac:dyDescent="0.3">
      <c r="A6309" s="12"/>
      <c r="B6309" s="10" t="s">
        <v>1915</v>
      </c>
      <c r="C6309" s="11"/>
      <c r="D6309" s="17">
        <v>1139.97</v>
      </c>
    </row>
    <row r="6310" spans="1:4" x14ac:dyDescent="0.3">
      <c r="A6310" s="10" t="s">
        <v>1590</v>
      </c>
      <c r="B6310" s="11"/>
      <c r="C6310" s="11"/>
      <c r="D6310" s="17">
        <v>1139.97</v>
      </c>
    </row>
    <row r="6311" spans="1:4" x14ac:dyDescent="0.3">
      <c r="A6311" s="10">
        <v>1295</v>
      </c>
      <c r="B6311" s="10" t="s">
        <v>18</v>
      </c>
      <c r="C6311" s="10" t="s">
        <v>34</v>
      </c>
      <c r="D6311" s="17">
        <v>2641.98</v>
      </c>
    </row>
    <row r="6312" spans="1:4" x14ac:dyDescent="0.3">
      <c r="A6312" s="12"/>
      <c r="B6312" s="12"/>
      <c r="C6312" s="14" t="s">
        <v>68</v>
      </c>
      <c r="D6312" s="18">
        <v>875.99</v>
      </c>
    </row>
    <row r="6313" spans="1:4" x14ac:dyDescent="0.3">
      <c r="A6313" s="12"/>
      <c r="B6313" s="12"/>
      <c r="C6313" s="14" t="s">
        <v>45</v>
      </c>
      <c r="D6313" s="18">
        <v>4999.99</v>
      </c>
    </row>
    <row r="6314" spans="1:4" x14ac:dyDescent="0.3">
      <c r="A6314" s="12"/>
      <c r="B6314" s="10" t="s">
        <v>1916</v>
      </c>
      <c r="C6314" s="11"/>
      <c r="D6314" s="17">
        <v>8517.9599999999991</v>
      </c>
    </row>
    <row r="6315" spans="1:4" x14ac:dyDescent="0.3">
      <c r="A6315" s="10" t="s">
        <v>1591</v>
      </c>
      <c r="B6315" s="11"/>
      <c r="C6315" s="11"/>
      <c r="D6315" s="17">
        <v>8517.9599999999991</v>
      </c>
    </row>
    <row r="6316" spans="1:4" x14ac:dyDescent="0.3">
      <c r="A6316" s="10">
        <v>1296</v>
      </c>
      <c r="B6316" s="10" t="s">
        <v>11</v>
      </c>
      <c r="C6316" s="10" t="s">
        <v>35</v>
      </c>
      <c r="D6316" s="17">
        <v>999.98</v>
      </c>
    </row>
    <row r="6317" spans="1:4" x14ac:dyDescent="0.3">
      <c r="A6317" s="12"/>
      <c r="B6317" s="12"/>
      <c r="C6317" s="14" t="s">
        <v>14</v>
      </c>
      <c r="D6317" s="18">
        <v>599.99</v>
      </c>
    </row>
    <row r="6318" spans="1:4" x14ac:dyDescent="0.3">
      <c r="A6318" s="12"/>
      <c r="B6318" s="12"/>
      <c r="C6318" s="14" t="s">
        <v>22</v>
      </c>
      <c r="D6318" s="18">
        <v>1499.98</v>
      </c>
    </row>
    <row r="6319" spans="1:4" x14ac:dyDescent="0.3">
      <c r="A6319" s="12"/>
      <c r="B6319" s="12"/>
      <c r="C6319" s="14" t="s">
        <v>56</v>
      </c>
      <c r="D6319" s="18">
        <v>209.99</v>
      </c>
    </row>
    <row r="6320" spans="1:4" x14ac:dyDescent="0.3">
      <c r="A6320" s="12"/>
      <c r="B6320" s="10" t="s">
        <v>1915</v>
      </c>
      <c r="C6320" s="11"/>
      <c r="D6320" s="17">
        <v>3309.9399999999996</v>
      </c>
    </row>
    <row r="6321" spans="1:4" x14ac:dyDescent="0.3">
      <c r="A6321" s="10" t="s">
        <v>1592</v>
      </c>
      <c r="B6321" s="11"/>
      <c r="C6321" s="11"/>
      <c r="D6321" s="17">
        <v>3309.9399999999996</v>
      </c>
    </row>
    <row r="6322" spans="1:4" x14ac:dyDescent="0.3">
      <c r="A6322" s="10">
        <v>1297</v>
      </c>
      <c r="B6322" s="10" t="s">
        <v>18</v>
      </c>
      <c r="C6322" s="10" t="s">
        <v>87</v>
      </c>
      <c r="D6322" s="17">
        <v>963.98</v>
      </c>
    </row>
    <row r="6323" spans="1:4" x14ac:dyDescent="0.3">
      <c r="A6323" s="12"/>
      <c r="B6323" s="12"/>
      <c r="C6323" s="14" t="s">
        <v>62</v>
      </c>
      <c r="D6323" s="18">
        <v>5299.99</v>
      </c>
    </row>
    <row r="6324" spans="1:4" x14ac:dyDescent="0.3">
      <c r="A6324" s="12"/>
      <c r="B6324" s="12"/>
      <c r="C6324" s="14" t="s">
        <v>90</v>
      </c>
      <c r="D6324" s="18">
        <v>12999.98</v>
      </c>
    </row>
    <row r="6325" spans="1:4" x14ac:dyDescent="0.3">
      <c r="A6325" s="12"/>
      <c r="B6325" s="10" t="s">
        <v>1916</v>
      </c>
      <c r="C6325" s="11"/>
      <c r="D6325" s="17">
        <v>19263.949999999997</v>
      </c>
    </row>
    <row r="6326" spans="1:4" x14ac:dyDescent="0.3">
      <c r="A6326" s="10" t="s">
        <v>1593</v>
      </c>
      <c r="B6326" s="11"/>
      <c r="C6326" s="11"/>
      <c r="D6326" s="17">
        <v>19263.949999999997</v>
      </c>
    </row>
    <row r="6327" spans="1:4" x14ac:dyDescent="0.3">
      <c r="A6327" s="10">
        <v>1298</v>
      </c>
      <c r="B6327" s="10" t="s">
        <v>37</v>
      </c>
      <c r="C6327" s="10" t="s">
        <v>65</v>
      </c>
      <c r="D6327" s="17">
        <v>941.98</v>
      </c>
    </row>
    <row r="6328" spans="1:4" x14ac:dyDescent="0.3">
      <c r="A6328" s="12"/>
      <c r="B6328" s="12"/>
      <c r="C6328" s="14" t="s">
        <v>74</v>
      </c>
      <c r="D6328" s="18">
        <v>2599.9899999999998</v>
      </c>
    </row>
    <row r="6329" spans="1:4" x14ac:dyDescent="0.3">
      <c r="A6329" s="12"/>
      <c r="B6329" s="10" t="s">
        <v>1917</v>
      </c>
      <c r="C6329" s="11"/>
      <c r="D6329" s="17">
        <v>3541.97</v>
      </c>
    </row>
    <row r="6330" spans="1:4" x14ac:dyDescent="0.3">
      <c r="A6330" s="10" t="s">
        <v>1594</v>
      </c>
      <c r="B6330" s="11"/>
      <c r="C6330" s="11"/>
      <c r="D6330" s="17">
        <v>3541.97</v>
      </c>
    </row>
    <row r="6331" spans="1:4" x14ac:dyDescent="0.3">
      <c r="A6331" s="10">
        <v>1299</v>
      </c>
      <c r="B6331" s="10" t="s">
        <v>11</v>
      </c>
      <c r="C6331" s="10" t="s">
        <v>95</v>
      </c>
      <c r="D6331" s="17">
        <v>599.99</v>
      </c>
    </row>
    <row r="6332" spans="1:4" x14ac:dyDescent="0.3">
      <c r="A6332" s="12"/>
      <c r="B6332" s="12"/>
      <c r="C6332" s="14" t="s">
        <v>28</v>
      </c>
      <c r="D6332" s="18">
        <v>539.98</v>
      </c>
    </row>
    <row r="6333" spans="1:4" x14ac:dyDescent="0.3">
      <c r="A6333" s="12"/>
      <c r="B6333" s="12"/>
      <c r="C6333" s="14" t="s">
        <v>80</v>
      </c>
      <c r="D6333" s="18">
        <v>339.99</v>
      </c>
    </row>
    <row r="6334" spans="1:4" x14ac:dyDescent="0.3">
      <c r="A6334" s="12"/>
      <c r="B6334" s="12"/>
      <c r="C6334" s="14" t="s">
        <v>68</v>
      </c>
      <c r="D6334" s="18">
        <v>1751.98</v>
      </c>
    </row>
    <row r="6335" spans="1:4" x14ac:dyDescent="0.3">
      <c r="A6335" s="12"/>
      <c r="B6335" s="10" t="s">
        <v>1915</v>
      </c>
      <c r="C6335" s="11"/>
      <c r="D6335" s="17">
        <v>3231.94</v>
      </c>
    </row>
    <row r="6336" spans="1:4" x14ac:dyDescent="0.3">
      <c r="A6336" s="10" t="s">
        <v>1595</v>
      </c>
      <c r="B6336" s="11"/>
      <c r="C6336" s="11"/>
      <c r="D6336" s="17">
        <v>3231.94</v>
      </c>
    </row>
    <row r="6337" spans="1:4" x14ac:dyDescent="0.3">
      <c r="A6337" s="10">
        <v>1300</v>
      </c>
      <c r="B6337" s="10" t="s">
        <v>18</v>
      </c>
      <c r="C6337" s="10" t="s">
        <v>80</v>
      </c>
      <c r="D6337" s="17">
        <v>679.98</v>
      </c>
    </row>
    <row r="6338" spans="1:4" x14ac:dyDescent="0.3">
      <c r="A6338" s="12"/>
      <c r="B6338" s="12"/>
      <c r="C6338" s="14" t="s">
        <v>81</v>
      </c>
      <c r="D6338" s="18">
        <v>9999.98</v>
      </c>
    </row>
    <row r="6339" spans="1:4" x14ac:dyDescent="0.3">
      <c r="A6339" s="12"/>
      <c r="B6339" s="10" t="s">
        <v>1916</v>
      </c>
      <c r="C6339" s="11"/>
      <c r="D6339" s="17">
        <v>10679.96</v>
      </c>
    </row>
    <row r="6340" spans="1:4" x14ac:dyDescent="0.3">
      <c r="A6340" s="10" t="s">
        <v>1596</v>
      </c>
      <c r="B6340" s="11"/>
      <c r="C6340" s="11"/>
      <c r="D6340" s="17">
        <v>10679.96</v>
      </c>
    </row>
    <row r="6341" spans="1:4" x14ac:dyDescent="0.3">
      <c r="A6341" s="10">
        <v>1301</v>
      </c>
      <c r="B6341" s="10" t="s">
        <v>11</v>
      </c>
      <c r="C6341" s="10" t="s">
        <v>88</v>
      </c>
      <c r="D6341" s="17">
        <v>1739.98</v>
      </c>
    </row>
    <row r="6342" spans="1:4" x14ac:dyDescent="0.3">
      <c r="A6342" s="12"/>
      <c r="B6342" s="12"/>
      <c r="C6342" s="14" t="s">
        <v>96</v>
      </c>
      <c r="D6342" s="18">
        <v>1067.98</v>
      </c>
    </row>
    <row r="6343" spans="1:4" x14ac:dyDescent="0.3">
      <c r="A6343" s="12"/>
      <c r="B6343" s="12"/>
      <c r="C6343" s="14" t="s">
        <v>12</v>
      </c>
      <c r="D6343" s="18">
        <v>1799.99</v>
      </c>
    </row>
    <row r="6344" spans="1:4" x14ac:dyDescent="0.3">
      <c r="A6344" s="12"/>
      <c r="B6344" s="10" t="s">
        <v>1915</v>
      </c>
      <c r="C6344" s="11"/>
      <c r="D6344" s="17">
        <v>4607.95</v>
      </c>
    </row>
    <row r="6345" spans="1:4" x14ac:dyDescent="0.3">
      <c r="A6345" s="10" t="s">
        <v>1597</v>
      </c>
      <c r="B6345" s="11"/>
      <c r="C6345" s="11"/>
      <c r="D6345" s="17">
        <v>4607.95</v>
      </c>
    </row>
    <row r="6346" spans="1:4" x14ac:dyDescent="0.3">
      <c r="A6346" s="10">
        <v>1302</v>
      </c>
      <c r="B6346" s="10" t="s">
        <v>18</v>
      </c>
      <c r="C6346" s="10" t="s">
        <v>10</v>
      </c>
      <c r="D6346" s="17">
        <v>1199.98</v>
      </c>
    </row>
    <row r="6347" spans="1:4" x14ac:dyDescent="0.3">
      <c r="A6347" s="12"/>
      <c r="B6347" s="12"/>
      <c r="C6347" s="14" t="s">
        <v>93</v>
      </c>
      <c r="D6347" s="18">
        <v>549.99</v>
      </c>
    </row>
    <row r="6348" spans="1:4" x14ac:dyDescent="0.3">
      <c r="A6348" s="12"/>
      <c r="B6348" s="12"/>
      <c r="C6348" s="14" t="s">
        <v>41</v>
      </c>
      <c r="D6348" s="18">
        <v>10999.98</v>
      </c>
    </row>
    <row r="6349" spans="1:4" x14ac:dyDescent="0.3">
      <c r="A6349" s="12"/>
      <c r="B6349" s="10" t="s">
        <v>1916</v>
      </c>
      <c r="C6349" s="11"/>
      <c r="D6349" s="17">
        <v>12749.949999999999</v>
      </c>
    </row>
    <row r="6350" spans="1:4" x14ac:dyDescent="0.3">
      <c r="A6350" s="10" t="s">
        <v>1598</v>
      </c>
      <c r="B6350" s="11"/>
      <c r="C6350" s="11"/>
      <c r="D6350" s="17">
        <v>12749.949999999999</v>
      </c>
    </row>
    <row r="6351" spans="1:4" x14ac:dyDescent="0.3">
      <c r="A6351" s="10">
        <v>1303</v>
      </c>
      <c r="B6351" s="10" t="s">
        <v>18</v>
      </c>
      <c r="C6351" s="10" t="s">
        <v>91</v>
      </c>
      <c r="D6351" s="17">
        <v>349.99</v>
      </c>
    </row>
    <row r="6352" spans="1:4" x14ac:dyDescent="0.3">
      <c r="A6352" s="12"/>
      <c r="B6352" s="12"/>
      <c r="C6352" s="14" t="s">
        <v>25</v>
      </c>
      <c r="D6352" s="18">
        <v>1099.98</v>
      </c>
    </row>
    <row r="6353" spans="1:4" x14ac:dyDescent="0.3">
      <c r="A6353" s="12"/>
      <c r="B6353" s="12"/>
      <c r="C6353" s="14" t="s">
        <v>43</v>
      </c>
      <c r="D6353" s="18">
        <v>749.99</v>
      </c>
    </row>
    <row r="6354" spans="1:4" x14ac:dyDescent="0.3">
      <c r="A6354" s="12"/>
      <c r="B6354" s="12"/>
      <c r="C6354" s="14" t="s">
        <v>85</v>
      </c>
      <c r="D6354" s="18">
        <v>449.99</v>
      </c>
    </row>
    <row r="6355" spans="1:4" x14ac:dyDescent="0.3">
      <c r="A6355" s="12"/>
      <c r="B6355" s="12"/>
      <c r="C6355" s="14" t="s">
        <v>75</v>
      </c>
      <c r="D6355" s="18">
        <v>6999.98</v>
      </c>
    </row>
    <row r="6356" spans="1:4" x14ac:dyDescent="0.3">
      <c r="A6356" s="12"/>
      <c r="B6356" s="10" t="s">
        <v>1916</v>
      </c>
      <c r="C6356" s="11"/>
      <c r="D6356" s="17">
        <v>9649.93</v>
      </c>
    </row>
    <row r="6357" spans="1:4" x14ac:dyDescent="0.3">
      <c r="A6357" s="10" t="s">
        <v>1599</v>
      </c>
      <c r="B6357" s="11"/>
      <c r="C6357" s="11"/>
      <c r="D6357" s="17">
        <v>9649.93</v>
      </c>
    </row>
    <row r="6358" spans="1:4" x14ac:dyDescent="0.3">
      <c r="A6358" s="10">
        <v>1304</v>
      </c>
      <c r="B6358" s="10" t="s">
        <v>18</v>
      </c>
      <c r="C6358" s="10" t="s">
        <v>52</v>
      </c>
      <c r="D6358" s="17">
        <v>599.98</v>
      </c>
    </row>
    <row r="6359" spans="1:4" x14ac:dyDescent="0.3">
      <c r="A6359" s="12"/>
      <c r="B6359" s="12"/>
      <c r="C6359" s="14" t="s">
        <v>51</v>
      </c>
      <c r="D6359" s="18">
        <v>489.99</v>
      </c>
    </row>
    <row r="6360" spans="1:4" x14ac:dyDescent="0.3">
      <c r="A6360" s="12"/>
      <c r="B6360" s="12"/>
      <c r="C6360" s="14" t="s">
        <v>23</v>
      </c>
      <c r="D6360" s="18">
        <v>429</v>
      </c>
    </row>
    <row r="6361" spans="1:4" x14ac:dyDescent="0.3">
      <c r="A6361" s="12"/>
      <c r="B6361" s="12"/>
      <c r="C6361" s="14" t="s">
        <v>63</v>
      </c>
      <c r="D6361" s="18">
        <v>761.99</v>
      </c>
    </row>
    <row r="6362" spans="1:4" x14ac:dyDescent="0.3">
      <c r="A6362" s="12"/>
      <c r="B6362" s="10" t="s">
        <v>1916</v>
      </c>
      <c r="C6362" s="11"/>
      <c r="D6362" s="17">
        <v>2280.96</v>
      </c>
    </row>
    <row r="6363" spans="1:4" x14ac:dyDescent="0.3">
      <c r="A6363" s="10" t="s">
        <v>1600</v>
      </c>
      <c r="B6363" s="11"/>
      <c r="C6363" s="11"/>
      <c r="D6363" s="17">
        <v>2280.96</v>
      </c>
    </row>
    <row r="6364" spans="1:4" x14ac:dyDescent="0.3">
      <c r="A6364" s="10">
        <v>1305</v>
      </c>
      <c r="B6364" s="10" t="s">
        <v>18</v>
      </c>
      <c r="C6364" s="10" t="s">
        <v>38</v>
      </c>
      <c r="D6364" s="17">
        <v>329.99</v>
      </c>
    </row>
    <row r="6365" spans="1:4" x14ac:dyDescent="0.3">
      <c r="A6365" s="12"/>
      <c r="B6365" s="12"/>
      <c r="C6365" s="14" t="s">
        <v>30</v>
      </c>
      <c r="D6365" s="18">
        <v>1680.99</v>
      </c>
    </row>
    <row r="6366" spans="1:4" x14ac:dyDescent="0.3">
      <c r="A6366" s="12"/>
      <c r="B6366" s="12"/>
      <c r="C6366" s="14" t="s">
        <v>26</v>
      </c>
      <c r="D6366" s="18">
        <v>2999.99</v>
      </c>
    </row>
    <row r="6367" spans="1:4" x14ac:dyDescent="0.3">
      <c r="A6367" s="12"/>
      <c r="B6367" s="12"/>
      <c r="C6367" s="14" t="s">
        <v>97</v>
      </c>
      <c r="D6367" s="18">
        <v>699.98</v>
      </c>
    </row>
    <row r="6368" spans="1:4" x14ac:dyDescent="0.3">
      <c r="A6368" s="12"/>
      <c r="B6368" s="10" t="s">
        <v>1916</v>
      </c>
      <c r="C6368" s="11"/>
      <c r="D6368" s="17">
        <v>5710.9499999999989</v>
      </c>
    </row>
    <row r="6369" spans="1:4" x14ac:dyDescent="0.3">
      <c r="A6369" s="10" t="s">
        <v>1601</v>
      </c>
      <c r="B6369" s="11"/>
      <c r="C6369" s="11"/>
      <c r="D6369" s="17">
        <v>5710.9499999999989</v>
      </c>
    </row>
    <row r="6370" spans="1:4" x14ac:dyDescent="0.3">
      <c r="A6370" s="10">
        <v>1306</v>
      </c>
      <c r="B6370" s="10" t="s">
        <v>18</v>
      </c>
      <c r="C6370" s="10" t="s">
        <v>99</v>
      </c>
      <c r="D6370" s="17">
        <v>2199.98</v>
      </c>
    </row>
    <row r="6371" spans="1:4" x14ac:dyDescent="0.3">
      <c r="A6371" s="12"/>
      <c r="B6371" s="12"/>
      <c r="C6371" s="14" t="s">
        <v>88</v>
      </c>
      <c r="D6371" s="18">
        <v>869.99</v>
      </c>
    </row>
    <row r="6372" spans="1:4" x14ac:dyDescent="0.3">
      <c r="A6372" s="12"/>
      <c r="B6372" s="12"/>
      <c r="C6372" s="14" t="s">
        <v>40</v>
      </c>
      <c r="D6372" s="18">
        <v>1103.98</v>
      </c>
    </row>
    <row r="6373" spans="1:4" x14ac:dyDescent="0.3">
      <c r="A6373" s="12"/>
      <c r="B6373" s="12"/>
      <c r="C6373" s="14" t="s">
        <v>26</v>
      </c>
      <c r="D6373" s="18">
        <v>5999.98</v>
      </c>
    </row>
    <row r="6374" spans="1:4" x14ac:dyDescent="0.3">
      <c r="A6374" s="12"/>
      <c r="B6374" s="12"/>
      <c r="C6374" s="14" t="s">
        <v>53</v>
      </c>
      <c r="D6374" s="18">
        <v>2299.9899999999998</v>
      </c>
    </row>
    <row r="6375" spans="1:4" x14ac:dyDescent="0.3">
      <c r="A6375" s="12"/>
      <c r="B6375" s="10" t="s">
        <v>1916</v>
      </c>
      <c r="C6375" s="11"/>
      <c r="D6375" s="17">
        <v>12473.92</v>
      </c>
    </row>
    <row r="6376" spans="1:4" x14ac:dyDescent="0.3">
      <c r="A6376" s="10" t="s">
        <v>1602</v>
      </c>
      <c r="B6376" s="11"/>
      <c r="C6376" s="11"/>
      <c r="D6376" s="17">
        <v>12473.92</v>
      </c>
    </row>
    <row r="6377" spans="1:4" x14ac:dyDescent="0.3">
      <c r="A6377" s="10">
        <v>1307</v>
      </c>
      <c r="B6377" s="10" t="s">
        <v>11</v>
      </c>
      <c r="C6377" s="10" t="s">
        <v>91</v>
      </c>
      <c r="D6377" s="17">
        <v>699.98</v>
      </c>
    </row>
    <row r="6378" spans="1:4" x14ac:dyDescent="0.3">
      <c r="A6378" s="12"/>
      <c r="B6378" s="12"/>
      <c r="C6378" s="14" t="s">
        <v>89</v>
      </c>
      <c r="D6378" s="18">
        <v>833.98</v>
      </c>
    </row>
    <row r="6379" spans="1:4" x14ac:dyDescent="0.3">
      <c r="A6379" s="12"/>
      <c r="B6379" s="12"/>
      <c r="C6379" s="14" t="s">
        <v>42</v>
      </c>
      <c r="D6379" s="18">
        <v>1499.98</v>
      </c>
    </row>
    <row r="6380" spans="1:4" x14ac:dyDescent="0.3">
      <c r="A6380" s="12"/>
      <c r="B6380" s="10" t="s">
        <v>1915</v>
      </c>
      <c r="C6380" s="11"/>
      <c r="D6380" s="17">
        <v>3033.94</v>
      </c>
    </row>
    <row r="6381" spans="1:4" x14ac:dyDescent="0.3">
      <c r="A6381" s="10" t="s">
        <v>1603</v>
      </c>
      <c r="B6381" s="11"/>
      <c r="C6381" s="11"/>
      <c r="D6381" s="17">
        <v>3033.94</v>
      </c>
    </row>
    <row r="6382" spans="1:4" x14ac:dyDescent="0.3">
      <c r="A6382" s="10">
        <v>1308</v>
      </c>
      <c r="B6382" s="10" t="s">
        <v>18</v>
      </c>
      <c r="C6382" s="10" t="s">
        <v>28</v>
      </c>
      <c r="D6382" s="17">
        <v>539.98</v>
      </c>
    </row>
    <row r="6383" spans="1:4" x14ac:dyDescent="0.3">
      <c r="A6383" s="12"/>
      <c r="B6383" s="12"/>
      <c r="C6383" s="14" t="s">
        <v>89</v>
      </c>
      <c r="D6383" s="18">
        <v>416.99</v>
      </c>
    </row>
    <row r="6384" spans="1:4" x14ac:dyDescent="0.3">
      <c r="A6384" s="12"/>
      <c r="B6384" s="12"/>
      <c r="C6384" s="14" t="s">
        <v>69</v>
      </c>
      <c r="D6384" s="18">
        <v>3199.99</v>
      </c>
    </row>
    <row r="6385" spans="1:4" x14ac:dyDescent="0.3">
      <c r="A6385" s="12"/>
      <c r="B6385" s="12"/>
      <c r="C6385" s="14" t="s">
        <v>41</v>
      </c>
      <c r="D6385" s="18">
        <v>5499.99</v>
      </c>
    </row>
    <row r="6386" spans="1:4" x14ac:dyDescent="0.3">
      <c r="A6386" s="12"/>
      <c r="B6386" s="12"/>
      <c r="C6386" s="14" t="s">
        <v>46</v>
      </c>
      <c r="D6386" s="18">
        <v>469.99</v>
      </c>
    </row>
    <row r="6387" spans="1:4" x14ac:dyDescent="0.3">
      <c r="A6387" s="12"/>
      <c r="B6387" s="10" t="s">
        <v>1916</v>
      </c>
      <c r="C6387" s="11"/>
      <c r="D6387" s="17">
        <v>10126.94</v>
      </c>
    </row>
    <row r="6388" spans="1:4" x14ac:dyDescent="0.3">
      <c r="A6388" s="10" t="s">
        <v>1604</v>
      </c>
      <c r="B6388" s="11"/>
      <c r="C6388" s="11"/>
      <c r="D6388" s="17">
        <v>10126.94</v>
      </c>
    </row>
    <row r="6389" spans="1:4" x14ac:dyDescent="0.3">
      <c r="A6389" s="10">
        <v>1309</v>
      </c>
      <c r="B6389" s="10" t="s">
        <v>18</v>
      </c>
      <c r="C6389" s="10" t="s">
        <v>114</v>
      </c>
      <c r="D6389" s="17">
        <v>346.99</v>
      </c>
    </row>
    <row r="6390" spans="1:4" x14ac:dyDescent="0.3">
      <c r="A6390" s="12"/>
      <c r="B6390" s="12"/>
      <c r="C6390" s="14" t="s">
        <v>117</v>
      </c>
      <c r="D6390" s="18">
        <v>379.98</v>
      </c>
    </row>
    <row r="6391" spans="1:4" x14ac:dyDescent="0.3">
      <c r="A6391" s="12"/>
      <c r="B6391" s="10" t="s">
        <v>1916</v>
      </c>
      <c r="C6391" s="11"/>
      <c r="D6391" s="17">
        <v>726.97</v>
      </c>
    </row>
    <row r="6392" spans="1:4" x14ac:dyDescent="0.3">
      <c r="A6392" s="10" t="s">
        <v>1605</v>
      </c>
      <c r="B6392" s="11"/>
      <c r="C6392" s="11"/>
      <c r="D6392" s="17">
        <v>726.97</v>
      </c>
    </row>
    <row r="6393" spans="1:4" x14ac:dyDescent="0.3">
      <c r="A6393" s="10">
        <v>1310</v>
      </c>
      <c r="B6393" s="10" t="s">
        <v>11</v>
      </c>
      <c r="C6393" s="10" t="s">
        <v>113</v>
      </c>
      <c r="D6393" s="17">
        <v>1599.98</v>
      </c>
    </row>
    <row r="6394" spans="1:4" x14ac:dyDescent="0.3">
      <c r="A6394" s="12"/>
      <c r="B6394" s="12"/>
      <c r="C6394" s="14" t="s">
        <v>30</v>
      </c>
      <c r="D6394" s="18">
        <v>3361.98</v>
      </c>
    </row>
    <row r="6395" spans="1:4" x14ac:dyDescent="0.3">
      <c r="A6395" s="12"/>
      <c r="B6395" s="12"/>
      <c r="C6395" s="14" t="s">
        <v>74</v>
      </c>
      <c r="D6395" s="18">
        <v>2599.9899999999998</v>
      </c>
    </row>
    <row r="6396" spans="1:4" x14ac:dyDescent="0.3">
      <c r="A6396" s="12"/>
      <c r="B6396" s="12"/>
      <c r="C6396" s="14" t="s">
        <v>69</v>
      </c>
      <c r="D6396" s="18">
        <v>3199.99</v>
      </c>
    </row>
    <row r="6397" spans="1:4" x14ac:dyDescent="0.3">
      <c r="A6397" s="12"/>
      <c r="B6397" s="10" t="s">
        <v>1915</v>
      </c>
      <c r="C6397" s="11"/>
      <c r="D6397" s="17">
        <v>10761.939999999999</v>
      </c>
    </row>
    <row r="6398" spans="1:4" x14ac:dyDescent="0.3">
      <c r="A6398" s="10" t="s">
        <v>1606</v>
      </c>
      <c r="B6398" s="11"/>
      <c r="C6398" s="11"/>
      <c r="D6398" s="17">
        <v>10761.939999999999</v>
      </c>
    </row>
    <row r="6399" spans="1:4" x14ac:dyDescent="0.3">
      <c r="A6399" s="10">
        <v>1311</v>
      </c>
      <c r="B6399" s="10" t="s">
        <v>18</v>
      </c>
      <c r="C6399" s="10" t="s">
        <v>88</v>
      </c>
      <c r="D6399" s="17">
        <v>1739.98</v>
      </c>
    </row>
    <row r="6400" spans="1:4" x14ac:dyDescent="0.3">
      <c r="A6400" s="12"/>
      <c r="B6400" s="12"/>
      <c r="C6400" s="14" t="s">
        <v>89</v>
      </c>
      <c r="D6400" s="18">
        <v>416.99</v>
      </c>
    </row>
    <row r="6401" spans="1:4" x14ac:dyDescent="0.3">
      <c r="A6401" s="12"/>
      <c r="B6401" s="12"/>
      <c r="C6401" s="14" t="s">
        <v>106</v>
      </c>
      <c r="D6401" s="18">
        <v>1999.98</v>
      </c>
    </row>
    <row r="6402" spans="1:4" x14ac:dyDescent="0.3">
      <c r="A6402" s="12"/>
      <c r="B6402" s="12"/>
      <c r="C6402" s="14" t="s">
        <v>53</v>
      </c>
      <c r="D6402" s="18">
        <v>2299.9899999999998</v>
      </c>
    </row>
    <row r="6403" spans="1:4" x14ac:dyDescent="0.3">
      <c r="A6403" s="12"/>
      <c r="B6403" s="10" t="s">
        <v>1916</v>
      </c>
      <c r="C6403" s="11"/>
      <c r="D6403" s="17">
        <v>6456.9400000000005</v>
      </c>
    </row>
    <row r="6404" spans="1:4" x14ac:dyDescent="0.3">
      <c r="A6404" s="10" t="s">
        <v>1607</v>
      </c>
      <c r="B6404" s="11"/>
      <c r="C6404" s="11"/>
      <c r="D6404" s="17">
        <v>6456.9400000000005</v>
      </c>
    </row>
    <row r="6405" spans="1:4" x14ac:dyDescent="0.3">
      <c r="A6405" s="10">
        <v>1312</v>
      </c>
      <c r="B6405" s="10" t="s">
        <v>11</v>
      </c>
      <c r="C6405" s="10" t="s">
        <v>28</v>
      </c>
      <c r="D6405" s="17">
        <v>269.99</v>
      </c>
    </row>
    <row r="6406" spans="1:4" x14ac:dyDescent="0.3">
      <c r="A6406" s="12"/>
      <c r="B6406" s="12"/>
      <c r="C6406" s="14" t="s">
        <v>10</v>
      </c>
      <c r="D6406" s="18">
        <v>599.99</v>
      </c>
    </row>
    <row r="6407" spans="1:4" x14ac:dyDescent="0.3">
      <c r="A6407" s="12"/>
      <c r="B6407" s="12"/>
      <c r="C6407" s="14" t="s">
        <v>60</v>
      </c>
      <c r="D6407" s="18">
        <v>501.98</v>
      </c>
    </row>
    <row r="6408" spans="1:4" x14ac:dyDescent="0.3">
      <c r="A6408" s="12"/>
      <c r="B6408" s="10" t="s">
        <v>1915</v>
      </c>
      <c r="C6408" s="11"/>
      <c r="D6408" s="17">
        <v>1371.96</v>
      </c>
    </row>
    <row r="6409" spans="1:4" x14ac:dyDescent="0.3">
      <c r="A6409" s="10" t="s">
        <v>1608</v>
      </c>
      <c r="B6409" s="11"/>
      <c r="C6409" s="11"/>
      <c r="D6409" s="17">
        <v>1371.96</v>
      </c>
    </row>
    <row r="6410" spans="1:4" x14ac:dyDescent="0.3">
      <c r="A6410" s="10">
        <v>1313</v>
      </c>
      <c r="B6410" s="10" t="s">
        <v>11</v>
      </c>
      <c r="C6410" s="10" t="s">
        <v>95</v>
      </c>
      <c r="D6410" s="17">
        <v>599.99</v>
      </c>
    </row>
    <row r="6411" spans="1:4" x14ac:dyDescent="0.3">
      <c r="A6411" s="12"/>
      <c r="B6411" s="12"/>
      <c r="C6411" s="14" t="s">
        <v>89</v>
      </c>
      <c r="D6411" s="18">
        <v>416.99</v>
      </c>
    </row>
    <row r="6412" spans="1:4" x14ac:dyDescent="0.3">
      <c r="A6412" s="12"/>
      <c r="B6412" s="12"/>
      <c r="C6412" s="14" t="s">
        <v>67</v>
      </c>
      <c r="D6412" s="18">
        <v>469.99</v>
      </c>
    </row>
    <row r="6413" spans="1:4" x14ac:dyDescent="0.3">
      <c r="A6413" s="12"/>
      <c r="B6413" s="10" t="s">
        <v>1915</v>
      </c>
      <c r="C6413" s="11"/>
      <c r="D6413" s="17">
        <v>1486.97</v>
      </c>
    </row>
    <row r="6414" spans="1:4" x14ac:dyDescent="0.3">
      <c r="A6414" s="10" t="s">
        <v>1609</v>
      </c>
      <c r="B6414" s="11"/>
      <c r="C6414" s="11"/>
      <c r="D6414" s="17">
        <v>1486.97</v>
      </c>
    </row>
    <row r="6415" spans="1:4" x14ac:dyDescent="0.3">
      <c r="A6415" s="10">
        <v>1314</v>
      </c>
      <c r="B6415" s="10" t="s">
        <v>18</v>
      </c>
      <c r="C6415" s="10" t="s">
        <v>59</v>
      </c>
      <c r="D6415" s="17">
        <v>249.99</v>
      </c>
    </row>
    <row r="6416" spans="1:4" x14ac:dyDescent="0.3">
      <c r="A6416" s="12"/>
      <c r="B6416" s="12"/>
      <c r="C6416" s="14" t="s">
        <v>44</v>
      </c>
      <c r="D6416" s="18">
        <v>1239.98</v>
      </c>
    </row>
    <row r="6417" spans="1:4" x14ac:dyDescent="0.3">
      <c r="A6417" s="12"/>
      <c r="B6417" s="12"/>
      <c r="C6417" s="14" t="s">
        <v>68</v>
      </c>
      <c r="D6417" s="18">
        <v>875.99</v>
      </c>
    </row>
    <row r="6418" spans="1:4" x14ac:dyDescent="0.3">
      <c r="A6418" s="12"/>
      <c r="B6418" s="10" t="s">
        <v>1916</v>
      </c>
      <c r="C6418" s="11"/>
      <c r="D6418" s="17">
        <v>2365.96</v>
      </c>
    </row>
    <row r="6419" spans="1:4" x14ac:dyDescent="0.3">
      <c r="A6419" s="10" t="s">
        <v>1610</v>
      </c>
      <c r="B6419" s="11"/>
      <c r="C6419" s="11"/>
      <c r="D6419" s="17">
        <v>2365.96</v>
      </c>
    </row>
    <row r="6420" spans="1:4" x14ac:dyDescent="0.3">
      <c r="A6420" s="10">
        <v>1315</v>
      </c>
      <c r="B6420" s="10" t="s">
        <v>37</v>
      </c>
      <c r="C6420" s="10" t="s">
        <v>25</v>
      </c>
      <c r="D6420" s="17">
        <v>549.99</v>
      </c>
    </row>
    <row r="6421" spans="1:4" x14ac:dyDescent="0.3">
      <c r="A6421" s="12"/>
      <c r="B6421" s="12"/>
      <c r="C6421" s="14" t="s">
        <v>14</v>
      </c>
      <c r="D6421" s="18">
        <v>1799.97</v>
      </c>
    </row>
    <row r="6422" spans="1:4" x14ac:dyDescent="0.3">
      <c r="A6422" s="12"/>
      <c r="B6422" s="12"/>
      <c r="C6422" s="14" t="s">
        <v>77</v>
      </c>
      <c r="D6422" s="18">
        <v>1469.99</v>
      </c>
    </row>
    <row r="6423" spans="1:4" x14ac:dyDescent="0.3">
      <c r="A6423" s="12"/>
      <c r="B6423" s="12"/>
      <c r="C6423" s="14" t="s">
        <v>87</v>
      </c>
      <c r="D6423" s="18">
        <v>963.98</v>
      </c>
    </row>
    <row r="6424" spans="1:4" x14ac:dyDescent="0.3">
      <c r="A6424" s="12"/>
      <c r="B6424" s="10" t="s">
        <v>1917</v>
      </c>
      <c r="C6424" s="11"/>
      <c r="D6424" s="17">
        <v>4783.93</v>
      </c>
    </row>
    <row r="6425" spans="1:4" x14ac:dyDescent="0.3">
      <c r="A6425" s="10" t="s">
        <v>1611</v>
      </c>
      <c r="B6425" s="11"/>
      <c r="C6425" s="11"/>
      <c r="D6425" s="17">
        <v>4783.93</v>
      </c>
    </row>
    <row r="6426" spans="1:4" x14ac:dyDescent="0.3">
      <c r="A6426" s="10">
        <v>1316</v>
      </c>
      <c r="B6426" s="10" t="s">
        <v>11</v>
      </c>
      <c r="C6426" s="10" t="s">
        <v>48</v>
      </c>
      <c r="D6426" s="17">
        <v>599.98</v>
      </c>
    </row>
    <row r="6427" spans="1:4" x14ac:dyDescent="0.3">
      <c r="A6427" s="12"/>
      <c r="B6427" s="12"/>
      <c r="C6427" s="14" t="s">
        <v>56</v>
      </c>
      <c r="D6427" s="18">
        <v>209.99</v>
      </c>
    </row>
    <row r="6428" spans="1:4" x14ac:dyDescent="0.3">
      <c r="A6428" s="12"/>
      <c r="B6428" s="10" t="s">
        <v>1915</v>
      </c>
      <c r="C6428" s="11"/>
      <c r="D6428" s="17">
        <v>809.97</v>
      </c>
    </row>
    <row r="6429" spans="1:4" x14ac:dyDescent="0.3">
      <c r="A6429" s="10" t="s">
        <v>1612</v>
      </c>
      <c r="B6429" s="11"/>
      <c r="C6429" s="11"/>
      <c r="D6429" s="17">
        <v>809.97</v>
      </c>
    </row>
    <row r="6430" spans="1:4" x14ac:dyDescent="0.3">
      <c r="A6430" s="10">
        <v>1317</v>
      </c>
      <c r="B6430" s="10" t="s">
        <v>11</v>
      </c>
      <c r="C6430" s="10" t="s">
        <v>100</v>
      </c>
      <c r="D6430" s="17">
        <v>659.99</v>
      </c>
    </row>
    <row r="6431" spans="1:4" x14ac:dyDescent="0.3">
      <c r="A6431" s="12"/>
      <c r="B6431" s="10" t="s">
        <v>1915</v>
      </c>
      <c r="C6431" s="11"/>
      <c r="D6431" s="17">
        <v>659.99</v>
      </c>
    </row>
    <row r="6432" spans="1:4" x14ac:dyDescent="0.3">
      <c r="A6432" s="10" t="s">
        <v>1613</v>
      </c>
      <c r="B6432" s="11"/>
      <c r="C6432" s="11"/>
      <c r="D6432" s="17">
        <v>659.99</v>
      </c>
    </row>
    <row r="6433" spans="1:4" x14ac:dyDescent="0.3">
      <c r="A6433" s="10">
        <v>1318</v>
      </c>
      <c r="B6433" s="10" t="s">
        <v>18</v>
      </c>
      <c r="C6433" s="10" t="s">
        <v>100</v>
      </c>
      <c r="D6433" s="17">
        <v>1319.98</v>
      </c>
    </row>
    <row r="6434" spans="1:4" x14ac:dyDescent="0.3">
      <c r="A6434" s="12"/>
      <c r="B6434" s="12"/>
      <c r="C6434" s="14" t="s">
        <v>111</v>
      </c>
      <c r="D6434" s="18">
        <v>209.99</v>
      </c>
    </row>
    <row r="6435" spans="1:4" x14ac:dyDescent="0.3">
      <c r="A6435" s="12"/>
      <c r="B6435" s="12"/>
      <c r="C6435" s="14" t="s">
        <v>112</v>
      </c>
      <c r="D6435" s="18">
        <v>470.99</v>
      </c>
    </row>
    <row r="6436" spans="1:4" x14ac:dyDescent="0.3">
      <c r="A6436" s="12"/>
      <c r="B6436" s="12"/>
      <c r="C6436" s="14" t="s">
        <v>50</v>
      </c>
      <c r="D6436" s="18">
        <v>6999.98</v>
      </c>
    </row>
    <row r="6437" spans="1:4" x14ac:dyDescent="0.3">
      <c r="A6437" s="12"/>
      <c r="B6437" s="10" t="s">
        <v>1916</v>
      </c>
      <c r="C6437" s="11"/>
      <c r="D6437" s="17">
        <v>9000.9399999999987</v>
      </c>
    </row>
    <row r="6438" spans="1:4" x14ac:dyDescent="0.3">
      <c r="A6438" s="10" t="s">
        <v>1614</v>
      </c>
      <c r="B6438" s="11"/>
      <c r="C6438" s="11"/>
      <c r="D6438" s="17">
        <v>9000.9399999999987</v>
      </c>
    </row>
    <row r="6439" spans="1:4" x14ac:dyDescent="0.3">
      <c r="A6439" s="10">
        <v>1319</v>
      </c>
      <c r="B6439" s="10" t="s">
        <v>18</v>
      </c>
      <c r="C6439" s="10" t="s">
        <v>95</v>
      </c>
      <c r="D6439" s="17">
        <v>599.99</v>
      </c>
    </row>
    <row r="6440" spans="1:4" x14ac:dyDescent="0.3">
      <c r="A6440" s="12"/>
      <c r="B6440" s="12"/>
      <c r="C6440" s="14" t="s">
        <v>97</v>
      </c>
      <c r="D6440" s="18">
        <v>349.99</v>
      </c>
    </row>
    <row r="6441" spans="1:4" x14ac:dyDescent="0.3">
      <c r="A6441" s="12"/>
      <c r="B6441" s="10" t="s">
        <v>1916</v>
      </c>
      <c r="C6441" s="11"/>
      <c r="D6441" s="17">
        <v>949.98</v>
      </c>
    </row>
    <row r="6442" spans="1:4" x14ac:dyDescent="0.3">
      <c r="A6442" s="10" t="s">
        <v>1615</v>
      </c>
      <c r="B6442" s="11"/>
      <c r="C6442" s="11"/>
      <c r="D6442" s="17">
        <v>949.98</v>
      </c>
    </row>
    <row r="6443" spans="1:4" x14ac:dyDescent="0.3">
      <c r="A6443" s="10">
        <v>1320</v>
      </c>
      <c r="B6443" s="10" t="s">
        <v>11</v>
      </c>
      <c r="C6443" s="10" t="s">
        <v>52</v>
      </c>
      <c r="D6443" s="17">
        <v>599.98</v>
      </c>
    </row>
    <row r="6444" spans="1:4" x14ac:dyDescent="0.3">
      <c r="A6444" s="12"/>
      <c r="B6444" s="12"/>
      <c r="C6444" s="14" t="s">
        <v>110</v>
      </c>
      <c r="D6444" s="18">
        <v>209.99</v>
      </c>
    </row>
    <row r="6445" spans="1:4" x14ac:dyDescent="0.3">
      <c r="A6445" s="12"/>
      <c r="B6445" s="12"/>
      <c r="C6445" s="14" t="s">
        <v>87</v>
      </c>
      <c r="D6445" s="18">
        <v>481.99</v>
      </c>
    </row>
    <row r="6446" spans="1:4" x14ac:dyDescent="0.3">
      <c r="A6446" s="12"/>
      <c r="B6446" s="10" t="s">
        <v>1915</v>
      </c>
      <c r="C6446" s="11"/>
      <c r="D6446" s="17">
        <v>1291.96</v>
      </c>
    </row>
    <row r="6447" spans="1:4" x14ac:dyDescent="0.3">
      <c r="A6447" s="10" t="s">
        <v>1616</v>
      </c>
      <c r="B6447" s="11"/>
      <c r="C6447" s="11"/>
      <c r="D6447" s="17">
        <v>1291.96</v>
      </c>
    </row>
    <row r="6448" spans="1:4" x14ac:dyDescent="0.3">
      <c r="A6448" s="10">
        <v>1321</v>
      </c>
      <c r="B6448" s="10" t="s">
        <v>11</v>
      </c>
      <c r="C6448" s="10" t="s">
        <v>89</v>
      </c>
      <c r="D6448" s="17">
        <v>416.99</v>
      </c>
    </row>
    <row r="6449" spans="1:4" x14ac:dyDescent="0.3">
      <c r="A6449" s="12"/>
      <c r="B6449" s="12"/>
      <c r="C6449" s="14" t="s">
        <v>30</v>
      </c>
      <c r="D6449" s="18">
        <v>3361.98</v>
      </c>
    </row>
    <row r="6450" spans="1:4" x14ac:dyDescent="0.3">
      <c r="A6450" s="12"/>
      <c r="B6450" s="12"/>
      <c r="C6450" s="14" t="s">
        <v>107</v>
      </c>
      <c r="D6450" s="18">
        <v>469.99</v>
      </c>
    </row>
    <row r="6451" spans="1:4" x14ac:dyDescent="0.3">
      <c r="A6451" s="12"/>
      <c r="B6451" s="10" t="s">
        <v>1915</v>
      </c>
      <c r="C6451" s="11"/>
      <c r="D6451" s="17">
        <v>4248.96</v>
      </c>
    </row>
    <row r="6452" spans="1:4" x14ac:dyDescent="0.3">
      <c r="A6452" s="10" t="s">
        <v>1617</v>
      </c>
      <c r="B6452" s="11"/>
      <c r="C6452" s="11"/>
      <c r="D6452" s="17">
        <v>4248.96</v>
      </c>
    </row>
    <row r="6453" spans="1:4" x14ac:dyDescent="0.3">
      <c r="A6453" s="10">
        <v>1322</v>
      </c>
      <c r="B6453" s="10" t="s">
        <v>18</v>
      </c>
      <c r="C6453" s="10" t="s">
        <v>87</v>
      </c>
      <c r="D6453" s="17">
        <v>963.98</v>
      </c>
    </row>
    <row r="6454" spans="1:4" x14ac:dyDescent="0.3">
      <c r="A6454" s="12"/>
      <c r="B6454" s="12"/>
      <c r="C6454" s="14" t="s">
        <v>86</v>
      </c>
      <c r="D6454" s="18">
        <v>4999.9799999999996</v>
      </c>
    </row>
    <row r="6455" spans="1:4" x14ac:dyDescent="0.3">
      <c r="A6455" s="12"/>
      <c r="B6455" s="10" t="s">
        <v>1916</v>
      </c>
      <c r="C6455" s="11"/>
      <c r="D6455" s="17">
        <v>5963.9599999999991</v>
      </c>
    </row>
    <row r="6456" spans="1:4" x14ac:dyDescent="0.3">
      <c r="A6456" s="10" t="s">
        <v>1618</v>
      </c>
      <c r="B6456" s="11"/>
      <c r="C6456" s="11"/>
      <c r="D6456" s="17">
        <v>5963.9599999999991</v>
      </c>
    </row>
    <row r="6457" spans="1:4" x14ac:dyDescent="0.3">
      <c r="A6457" s="10">
        <v>1323</v>
      </c>
      <c r="B6457" s="10" t="s">
        <v>18</v>
      </c>
      <c r="C6457" s="10" t="s">
        <v>73</v>
      </c>
      <c r="D6457" s="17">
        <v>659.99</v>
      </c>
    </row>
    <row r="6458" spans="1:4" x14ac:dyDescent="0.3">
      <c r="A6458" s="12"/>
      <c r="B6458" s="12"/>
      <c r="C6458" s="14" t="s">
        <v>10</v>
      </c>
      <c r="D6458" s="18">
        <v>599.99</v>
      </c>
    </row>
    <row r="6459" spans="1:4" x14ac:dyDescent="0.3">
      <c r="A6459" s="12"/>
      <c r="B6459" s="12"/>
      <c r="C6459" s="14" t="s">
        <v>106</v>
      </c>
      <c r="D6459" s="18">
        <v>1999.98</v>
      </c>
    </row>
    <row r="6460" spans="1:4" x14ac:dyDescent="0.3">
      <c r="A6460" s="12"/>
      <c r="B6460" s="10" t="s">
        <v>1916</v>
      </c>
      <c r="C6460" s="11"/>
      <c r="D6460" s="17">
        <v>3259.96</v>
      </c>
    </row>
    <row r="6461" spans="1:4" x14ac:dyDescent="0.3">
      <c r="A6461" s="10" t="s">
        <v>1619</v>
      </c>
      <c r="B6461" s="11"/>
      <c r="C6461" s="11"/>
      <c r="D6461" s="17">
        <v>3259.96</v>
      </c>
    </row>
    <row r="6462" spans="1:4" x14ac:dyDescent="0.3">
      <c r="A6462" s="10">
        <v>1324</v>
      </c>
      <c r="B6462" s="10" t="s">
        <v>18</v>
      </c>
      <c r="C6462" s="10" t="s">
        <v>120</v>
      </c>
      <c r="D6462" s="17">
        <v>899.99</v>
      </c>
    </row>
    <row r="6463" spans="1:4" x14ac:dyDescent="0.3">
      <c r="A6463" s="12"/>
      <c r="B6463" s="12"/>
      <c r="C6463" s="14" t="s">
        <v>92</v>
      </c>
      <c r="D6463" s="18">
        <v>250.99</v>
      </c>
    </row>
    <row r="6464" spans="1:4" x14ac:dyDescent="0.3">
      <c r="A6464" s="12"/>
      <c r="B6464" s="12"/>
      <c r="C6464" s="14" t="s">
        <v>20</v>
      </c>
      <c r="D6464" s="18">
        <v>999.99</v>
      </c>
    </row>
    <row r="6465" spans="1:4" x14ac:dyDescent="0.3">
      <c r="A6465" s="12"/>
      <c r="B6465" s="12"/>
      <c r="C6465" s="14" t="s">
        <v>119</v>
      </c>
      <c r="D6465" s="18">
        <v>4999.9799999999996</v>
      </c>
    </row>
    <row r="6466" spans="1:4" x14ac:dyDescent="0.3">
      <c r="A6466" s="12"/>
      <c r="B6466" s="10" t="s">
        <v>1916</v>
      </c>
      <c r="C6466" s="11"/>
      <c r="D6466" s="17">
        <v>7150.95</v>
      </c>
    </row>
    <row r="6467" spans="1:4" x14ac:dyDescent="0.3">
      <c r="A6467" s="10" t="s">
        <v>1620</v>
      </c>
      <c r="B6467" s="11"/>
      <c r="C6467" s="11"/>
      <c r="D6467" s="17">
        <v>7150.95</v>
      </c>
    </row>
    <row r="6468" spans="1:4" x14ac:dyDescent="0.3">
      <c r="A6468" s="10">
        <v>1325</v>
      </c>
      <c r="B6468" s="10" t="s">
        <v>37</v>
      </c>
      <c r="C6468" s="10" t="s">
        <v>122</v>
      </c>
      <c r="D6468" s="17">
        <v>899.99</v>
      </c>
    </row>
    <row r="6469" spans="1:4" x14ac:dyDescent="0.3">
      <c r="A6469" s="12"/>
      <c r="B6469" s="12"/>
      <c r="C6469" s="14" t="s">
        <v>86</v>
      </c>
      <c r="D6469" s="18">
        <v>2499.9899999999998</v>
      </c>
    </row>
    <row r="6470" spans="1:4" x14ac:dyDescent="0.3">
      <c r="A6470" s="12"/>
      <c r="B6470" s="12"/>
      <c r="C6470" s="14" t="s">
        <v>123</v>
      </c>
      <c r="D6470" s="18">
        <v>2999.99</v>
      </c>
    </row>
    <row r="6471" spans="1:4" x14ac:dyDescent="0.3">
      <c r="A6471" s="12"/>
      <c r="B6471" s="12"/>
      <c r="C6471" s="14" t="s">
        <v>121</v>
      </c>
      <c r="D6471" s="18">
        <v>2999.99</v>
      </c>
    </row>
    <row r="6472" spans="1:4" x14ac:dyDescent="0.3">
      <c r="A6472" s="12"/>
      <c r="B6472" s="10" t="s">
        <v>1917</v>
      </c>
      <c r="C6472" s="11"/>
      <c r="D6472" s="17">
        <v>9399.9599999999991</v>
      </c>
    </row>
    <row r="6473" spans="1:4" x14ac:dyDescent="0.3">
      <c r="A6473" s="10" t="s">
        <v>1621</v>
      </c>
      <c r="B6473" s="11"/>
      <c r="C6473" s="11"/>
      <c r="D6473" s="17">
        <v>9399.9599999999991</v>
      </c>
    </row>
    <row r="6474" spans="1:4" x14ac:dyDescent="0.3">
      <c r="A6474" s="10">
        <v>1326</v>
      </c>
      <c r="B6474" s="10" t="s">
        <v>37</v>
      </c>
      <c r="C6474" s="10" t="s">
        <v>124</v>
      </c>
      <c r="D6474" s="17">
        <v>5599.98</v>
      </c>
    </row>
    <row r="6475" spans="1:4" x14ac:dyDescent="0.3">
      <c r="A6475" s="12"/>
      <c r="B6475" s="12"/>
      <c r="C6475" s="14" t="s">
        <v>125</v>
      </c>
      <c r="D6475" s="18">
        <v>399.98</v>
      </c>
    </row>
    <row r="6476" spans="1:4" x14ac:dyDescent="0.3">
      <c r="A6476" s="12"/>
      <c r="B6476" s="10" t="s">
        <v>1917</v>
      </c>
      <c r="C6476" s="11"/>
      <c r="D6476" s="17">
        <v>5999.9599999999991</v>
      </c>
    </row>
    <row r="6477" spans="1:4" x14ac:dyDescent="0.3">
      <c r="A6477" s="10" t="s">
        <v>1622</v>
      </c>
      <c r="B6477" s="11"/>
      <c r="C6477" s="11"/>
      <c r="D6477" s="17">
        <v>5999.9599999999991</v>
      </c>
    </row>
    <row r="6478" spans="1:4" x14ac:dyDescent="0.3">
      <c r="A6478" s="10">
        <v>1327</v>
      </c>
      <c r="B6478" s="10" t="s">
        <v>18</v>
      </c>
      <c r="C6478" s="10" t="s">
        <v>120</v>
      </c>
      <c r="D6478" s="17">
        <v>1799.98</v>
      </c>
    </row>
    <row r="6479" spans="1:4" x14ac:dyDescent="0.3">
      <c r="A6479" s="12"/>
      <c r="B6479" s="12"/>
      <c r="C6479" s="14" t="s">
        <v>127</v>
      </c>
      <c r="D6479" s="18">
        <v>919.99</v>
      </c>
    </row>
    <row r="6480" spans="1:4" x14ac:dyDescent="0.3">
      <c r="A6480" s="12"/>
      <c r="B6480" s="12"/>
      <c r="C6480" s="14" t="s">
        <v>126</v>
      </c>
      <c r="D6480" s="18">
        <v>3099.98</v>
      </c>
    </row>
    <row r="6481" spans="1:4" x14ac:dyDescent="0.3">
      <c r="A6481" s="12"/>
      <c r="B6481" s="12"/>
      <c r="C6481" s="14" t="s">
        <v>84</v>
      </c>
      <c r="D6481" s="18">
        <v>2999.98</v>
      </c>
    </row>
    <row r="6482" spans="1:4" x14ac:dyDescent="0.3">
      <c r="A6482" s="12"/>
      <c r="B6482" s="10" t="s">
        <v>1916</v>
      </c>
      <c r="C6482" s="11"/>
      <c r="D6482" s="17">
        <v>8819.93</v>
      </c>
    </row>
    <row r="6483" spans="1:4" x14ac:dyDescent="0.3">
      <c r="A6483" s="10" t="s">
        <v>1623</v>
      </c>
      <c r="B6483" s="11"/>
      <c r="C6483" s="11"/>
      <c r="D6483" s="17">
        <v>8819.93</v>
      </c>
    </row>
    <row r="6484" spans="1:4" x14ac:dyDescent="0.3">
      <c r="A6484" s="10">
        <v>1328</v>
      </c>
      <c r="B6484" s="10" t="s">
        <v>18</v>
      </c>
      <c r="C6484" s="10" t="s">
        <v>130</v>
      </c>
      <c r="D6484" s="17">
        <v>319.99</v>
      </c>
    </row>
    <row r="6485" spans="1:4" x14ac:dyDescent="0.3">
      <c r="A6485" s="12"/>
      <c r="B6485" s="12"/>
      <c r="C6485" s="14" t="s">
        <v>128</v>
      </c>
      <c r="D6485" s="18">
        <v>1499.98</v>
      </c>
    </row>
    <row r="6486" spans="1:4" x14ac:dyDescent="0.3">
      <c r="A6486" s="12"/>
      <c r="B6486" s="12"/>
      <c r="C6486" s="14" t="s">
        <v>131</v>
      </c>
      <c r="D6486" s="18">
        <v>599.99</v>
      </c>
    </row>
    <row r="6487" spans="1:4" x14ac:dyDescent="0.3">
      <c r="A6487" s="12"/>
      <c r="B6487" s="12"/>
      <c r="C6487" s="14" t="s">
        <v>129</v>
      </c>
      <c r="D6487" s="18">
        <v>1839.98</v>
      </c>
    </row>
    <row r="6488" spans="1:4" x14ac:dyDescent="0.3">
      <c r="A6488" s="12"/>
      <c r="B6488" s="10" t="s">
        <v>1916</v>
      </c>
      <c r="C6488" s="11"/>
      <c r="D6488" s="17">
        <v>4259.9400000000005</v>
      </c>
    </row>
    <row r="6489" spans="1:4" x14ac:dyDescent="0.3">
      <c r="A6489" s="10" t="s">
        <v>1624</v>
      </c>
      <c r="B6489" s="11"/>
      <c r="C6489" s="11"/>
      <c r="D6489" s="17">
        <v>4259.9400000000005</v>
      </c>
    </row>
    <row r="6490" spans="1:4" x14ac:dyDescent="0.3">
      <c r="A6490" s="10">
        <v>1329</v>
      </c>
      <c r="B6490" s="10" t="s">
        <v>11</v>
      </c>
      <c r="C6490" s="10" t="s">
        <v>31</v>
      </c>
      <c r="D6490" s="17">
        <v>269.99</v>
      </c>
    </row>
    <row r="6491" spans="1:4" x14ac:dyDescent="0.3">
      <c r="A6491" s="12"/>
      <c r="B6491" s="12"/>
      <c r="C6491" s="14" t="s">
        <v>133</v>
      </c>
      <c r="D6491" s="18">
        <v>639.98</v>
      </c>
    </row>
    <row r="6492" spans="1:4" x14ac:dyDescent="0.3">
      <c r="A6492" s="12"/>
      <c r="B6492" s="12"/>
      <c r="C6492" s="14" t="s">
        <v>89</v>
      </c>
      <c r="D6492" s="18">
        <v>416.99</v>
      </c>
    </row>
    <row r="6493" spans="1:4" x14ac:dyDescent="0.3">
      <c r="A6493" s="12"/>
      <c r="B6493" s="12"/>
      <c r="C6493" s="14" t="s">
        <v>132</v>
      </c>
      <c r="D6493" s="18">
        <v>1099.99</v>
      </c>
    </row>
    <row r="6494" spans="1:4" x14ac:dyDescent="0.3">
      <c r="A6494" s="12"/>
      <c r="B6494" s="12"/>
      <c r="C6494" s="14" t="s">
        <v>76</v>
      </c>
      <c r="D6494" s="18">
        <v>2699.99</v>
      </c>
    </row>
    <row r="6495" spans="1:4" x14ac:dyDescent="0.3">
      <c r="A6495" s="12"/>
      <c r="B6495" s="10" t="s">
        <v>1915</v>
      </c>
      <c r="C6495" s="11"/>
      <c r="D6495" s="17">
        <v>5126.9399999999996</v>
      </c>
    </row>
    <row r="6496" spans="1:4" x14ac:dyDescent="0.3">
      <c r="A6496" s="10" t="s">
        <v>1625</v>
      </c>
      <c r="B6496" s="11"/>
      <c r="C6496" s="11"/>
      <c r="D6496" s="17">
        <v>5126.9399999999996</v>
      </c>
    </row>
    <row r="6497" spans="1:4" x14ac:dyDescent="0.3">
      <c r="A6497" s="10">
        <v>1330</v>
      </c>
      <c r="B6497" s="10" t="s">
        <v>18</v>
      </c>
      <c r="C6497" s="10" t="s">
        <v>136</v>
      </c>
      <c r="D6497" s="17">
        <v>859.98</v>
      </c>
    </row>
    <row r="6498" spans="1:4" x14ac:dyDescent="0.3">
      <c r="A6498" s="12"/>
      <c r="B6498" s="12"/>
      <c r="C6498" s="14" t="s">
        <v>134</v>
      </c>
      <c r="D6498" s="18">
        <v>479.99</v>
      </c>
    </row>
    <row r="6499" spans="1:4" x14ac:dyDescent="0.3">
      <c r="A6499" s="12"/>
      <c r="B6499" s="12"/>
      <c r="C6499" s="14" t="s">
        <v>137</v>
      </c>
      <c r="D6499" s="18">
        <v>279.99</v>
      </c>
    </row>
    <row r="6500" spans="1:4" x14ac:dyDescent="0.3">
      <c r="A6500" s="12"/>
      <c r="B6500" s="12"/>
      <c r="C6500" s="14" t="s">
        <v>135</v>
      </c>
      <c r="D6500" s="18">
        <v>1359.98</v>
      </c>
    </row>
    <row r="6501" spans="1:4" x14ac:dyDescent="0.3">
      <c r="A6501" s="12"/>
      <c r="B6501" s="12"/>
      <c r="C6501" s="14" t="s">
        <v>51</v>
      </c>
      <c r="D6501" s="18">
        <v>979.98</v>
      </c>
    </row>
    <row r="6502" spans="1:4" x14ac:dyDescent="0.3">
      <c r="A6502" s="12"/>
      <c r="B6502" s="10" t="s">
        <v>1916</v>
      </c>
      <c r="C6502" s="11"/>
      <c r="D6502" s="17">
        <v>3959.92</v>
      </c>
    </row>
    <row r="6503" spans="1:4" x14ac:dyDescent="0.3">
      <c r="A6503" s="10" t="s">
        <v>1626</v>
      </c>
      <c r="B6503" s="11"/>
      <c r="C6503" s="11"/>
      <c r="D6503" s="17">
        <v>3959.92</v>
      </c>
    </row>
    <row r="6504" spans="1:4" x14ac:dyDescent="0.3">
      <c r="A6504" s="10">
        <v>1331</v>
      </c>
      <c r="B6504" s="10" t="s">
        <v>18</v>
      </c>
      <c r="C6504" s="10" t="s">
        <v>139</v>
      </c>
      <c r="D6504" s="17">
        <v>369.99</v>
      </c>
    </row>
    <row r="6505" spans="1:4" x14ac:dyDescent="0.3">
      <c r="A6505" s="12"/>
      <c r="B6505" s="12"/>
      <c r="C6505" s="14" t="s">
        <v>141</v>
      </c>
      <c r="D6505" s="18">
        <v>799.99</v>
      </c>
    </row>
    <row r="6506" spans="1:4" x14ac:dyDescent="0.3">
      <c r="A6506" s="12"/>
      <c r="B6506" s="12"/>
      <c r="C6506" s="14" t="s">
        <v>138</v>
      </c>
      <c r="D6506" s="18">
        <v>2599.9899999999998</v>
      </c>
    </row>
    <row r="6507" spans="1:4" x14ac:dyDescent="0.3">
      <c r="A6507" s="12"/>
      <c r="B6507" s="12"/>
      <c r="C6507" s="14" t="s">
        <v>140</v>
      </c>
      <c r="D6507" s="18">
        <v>3599.98</v>
      </c>
    </row>
    <row r="6508" spans="1:4" x14ac:dyDescent="0.3">
      <c r="A6508" s="12"/>
      <c r="B6508" s="10" t="s">
        <v>1916</v>
      </c>
      <c r="C6508" s="11"/>
      <c r="D6508" s="17">
        <v>7369.95</v>
      </c>
    </row>
    <row r="6509" spans="1:4" x14ac:dyDescent="0.3">
      <c r="A6509" s="10" t="s">
        <v>1627</v>
      </c>
      <c r="B6509" s="11"/>
      <c r="C6509" s="11"/>
      <c r="D6509" s="17">
        <v>7369.95</v>
      </c>
    </row>
    <row r="6510" spans="1:4" x14ac:dyDescent="0.3">
      <c r="A6510" s="10">
        <v>1332</v>
      </c>
      <c r="B6510" s="10" t="s">
        <v>18</v>
      </c>
      <c r="C6510" s="10" t="s">
        <v>142</v>
      </c>
      <c r="D6510" s="17">
        <v>369.99</v>
      </c>
    </row>
    <row r="6511" spans="1:4" x14ac:dyDescent="0.3">
      <c r="A6511" s="12"/>
      <c r="B6511" s="12"/>
      <c r="C6511" s="14" t="s">
        <v>144</v>
      </c>
      <c r="D6511" s="18">
        <v>279.99</v>
      </c>
    </row>
    <row r="6512" spans="1:4" x14ac:dyDescent="0.3">
      <c r="A6512" s="12"/>
      <c r="B6512" s="12"/>
      <c r="C6512" s="14" t="s">
        <v>110</v>
      </c>
      <c r="D6512" s="18">
        <v>419.98</v>
      </c>
    </row>
    <row r="6513" spans="1:4" x14ac:dyDescent="0.3">
      <c r="A6513" s="12"/>
      <c r="B6513" s="12"/>
      <c r="C6513" s="14" t="s">
        <v>143</v>
      </c>
      <c r="D6513" s="18">
        <v>1839.98</v>
      </c>
    </row>
    <row r="6514" spans="1:4" x14ac:dyDescent="0.3">
      <c r="A6514" s="12"/>
      <c r="B6514" s="10" t="s">
        <v>1916</v>
      </c>
      <c r="C6514" s="11"/>
      <c r="D6514" s="17">
        <v>2909.94</v>
      </c>
    </row>
    <row r="6515" spans="1:4" x14ac:dyDescent="0.3">
      <c r="A6515" s="10" t="s">
        <v>1628</v>
      </c>
      <c r="B6515" s="11"/>
      <c r="C6515" s="11"/>
      <c r="D6515" s="17">
        <v>2909.94</v>
      </c>
    </row>
    <row r="6516" spans="1:4" x14ac:dyDescent="0.3">
      <c r="A6516" s="10">
        <v>1333</v>
      </c>
      <c r="B6516" s="10" t="s">
        <v>37</v>
      </c>
      <c r="C6516" s="10" t="s">
        <v>52</v>
      </c>
      <c r="D6516" s="17">
        <v>599.98</v>
      </c>
    </row>
    <row r="6517" spans="1:4" x14ac:dyDescent="0.3">
      <c r="A6517" s="12"/>
      <c r="B6517" s="12"/>
      <c r="C6517" s="14" t="s">
        <v>25</v>
      </c>
      <c r="D6517" s="18">
        <v>549.99</v>
      </c>
    </row>
    <row r="6518" spans="1:4" x14ac:dyDescent="0.3">
      <c r="A6518" s="12"/>
      <c r="B6518" s="12"/>
      <c r="C6518" s="14" t="s">
        <v>146</v>
      </c>
      <c r="D6518" s="18">
        <v>1359.98</v>
      </c>
    </row>
    <row r="6519" spans="1:4" x14ac:dyDescent="0.3">
      <c r="A6519" s="12"/>
      <c r="B6519" s="12"/>
      <c r="C6519" s="14" t="s">
        <v>57</v>
      </c>
      <c r="D6519" s="18">
        <v>647.99</v>
      </c>
    </row>
    <row r="6520" spans="1:4" x14ac:dyDescent="0.3">
      <c r="A6520" s="12"/>
      <c r="B6520" s="12"/>
      <c r="C6520" s="14" t="s">
        <v>145</v>
      </c>
      <c r="D6520" s="18">
        <v>9999.98</v>
      </c>
    </row>
    <row r="6521" spans="1:4" x14ac:dyDescent="0.3">
      <c r="A6521" s="12"/>
      <c r="B6521" s="10" t="s">
        <v>1917</v>
      </c>
      <c r="C6521" s="11"/>
      <c r="D6521" s="17">
        <v>13157.919999999998</v>
      </c>
    </row>
    <row r="6522" spans="1:4" x14ac:dyDescent="0.3">
      <c r="A6522" s="10" t="s">
        <v>1629</v>
      </c>
      <c r="B6522" s="11"/>
      <c r="C6522" s="11"/>
      <c r="D6522" s="17">
        <v>13157.919999999998</v>
      </c>
    </row>
    <row r="6523" spans="1:4" x14ac:dyDescent="0.3">
      <c r="A6523" s="10">
        <v>1334</v>
      </c>
      <c r="B6523" s="10" t="s">
        <v>18</v>
      </c>
      <c r="C6523" s="10" t="s">
        <v>31</v>
      </c>
      <c r="D6523" s="17">
        <v>269.99</v>
      </c>
    </row>
    <row r="6524" spans="1:4" x14ac:dyDescent="0.3">
      <c r="A6524" s="12"/>
      <c r="B6524" s="12"/>
      <c r="C6524" s="14" t="s">
        <v>83</v>
      </c>
      <c r="D6524" s="18">
        <v>219.98</v>
      </c>
    </row>
    <row r="6525" spans="1:4" x14ac:dyDescent="0.3">
      <c r="A6525" s="12"/>
      <c r="B6525" s="12"/>
      <c r="C6525" s="14" t="s">
        <v>148</v>
      </c>
      <c r="D6525" s="18">
        <v>8999.98</v>
      </c>
    </row>
    <row r="6526" spans="1:4" x14ac:dyDescent="0.3">
      <c r="A6526" s="12"/>
      <c r="B6526" s="12"/>
      <c r="C6526" s="14" t="s">
        <v>53</v>
      </c>
      <c r="D6526" s="18">
        <v>2299.9899999999998</v>
      </c>
    </row>
    <row r="6527" spans="1:4" x14ac:dyDescent="0.3">
      <c r="A6527" s="12"/>
      <c r="B6527" s="12"/>
      <c r="C6527" s="14" t="s">
        <v>147</v>
      </c>
      <c r="D6527" s="18">
        <v>9999.98</v>
      </c>
    </row>
    <row r="6528" spans="1:4" x14ac:dyDescent="0.3">
      <c r="A6528" s="12"/>
      <c r="B6528" s="10" t="s">
        <v>1916</v>
      </c>
      <c r="C6528" s="11"/>
      <c r="D6528" s="17">
        <v>21789.919999999998</v>
      </c>
    </row>
    <row r="6529" spans="1:4" x14ac:dyDescent="0.3">
      <c r="A6529" s="10" t="s">
        <v>1630</v>
      </c>
      <c r="B6529" s="11"/>
      <c r="C6529" s="11"/>
      <c r="D6529" s="17">
        <v>21789.919999999998</v>
      </c>
    </row>
    <row r="6530" spans="1:4" x14ac:dyDescent="0.3">
      <c r="A6530" s="10">
        <v>1335</v>
      </c>
      <c r="B6530" s="10" t="s">
        <v>18</v>
      </c>
      <c r="C6530" s="10" t="s">
        <v>149</v>
      </c>
      <c r="D6530" s="17">
        <v>4499.9799999999996</v>
      </c>
    </row>
    <row r="6531" spans="1:4" x14ac:dyDescent="0.3">
      <c r="A6531" s="12"/>
      <c r="B6531" s="10" t="s">
        <v>1916</v>
      </c>
      <c r="C6531" s="11"/>
      <c r="D6531" s="17">
        <v>4499.9799999999996</v>
      </c>
    </row>
    <row r="6532" spans="1:4" x14ac:dyDescent="0.3">
      <c r="A6532" s="10" t="s">
        <v>1631</v>
      </c>
      <c r="B6532" s="11"/>
      <c r="C6532" s="11"/>
      <c r="D6532" s="17">
        <v>4499.9799999999996</v>
      </c>
    </row>
    <row r="6533" spans="1:4" x14ac:dyDescent="0.3">
      <c r="A6533" s="10">
        <v>1336</v>
      </c>
      <c r="B6533" s="10" t="s">
        <v>11</v>
      </c>
      <c r="C6533" s="10" t="s">
        <v>31</v>
      </c>
      <c r="D6533" s="17">
        <v>539.98</v>
      </c>
    </row>
    <row r="6534" spans="1:4" x14ac:dyDescent="0.3">
      <c r="A6534" s="12"/>
      <c r="B6534" s="12"/>
      <c r="C6534" s="14" t="s">
        <v>151</v>
      </c>
      <c r="D6534" s="18">
        <v>3999.99</v>
      </c>
    </row>
    <row r="6535" spans="1:4" x14ac:dyDescent="0.3">
      <c r="A6535" s="12"/>
      <c r="B6535" s="12"/>
      <c r="C6535" s="14" t="s">
        <v>152</v>
      </c>
      <c r="D6535" s="18">
        <v>2799.99</v>
      </c>
    </row>
    <row r="6536" spans="1:4" x14ac:dyDescent="0.3">
      <c r="A6536" s="12"/>
      <c r="B6536" s="12"/>
      <c r="C6536" s="14" t="s">
        <v>150</v>
      </c>
      <c r="D6536" s="18">
        <v>6499.99</v>
      </c>
    </row>
    <row r="6537" spans="1:4" x14ac:dyDescent="0.3">
      <c r="A6537" s="12"/>
      <c r="B6537" s="12"/>
      <c r="C6537" s="14" t="s">
        <v>71</v>
      </c>
      <c r="D6537" s="18">
        <v>1999.98</v>
      </c>
    </row>
    <row r="6538" spans="1:4" x14ac:dyDescent="0.3">
      <c r="A6538" s="12"/>
      <c r="B6538" s="10" t="s">
        <v>1915</v>
      </c>
      <c r="C6538" s="11"/>
      <c r="D6538" s="17">
        <v>15839.929999999998</v>
      </c>
    </row>
    <row r="6539" spans="1:4" x14ac:dyDescent="0.3">
      <c r="A6539" s="10" t="s">
        <v>1632</v>
      </c>
      <c r="B6539" s="11"/>
      <c r="C6539" s="11"/>
      <c r="D6539" s="17">
        <v>15839.929999999998</v>
      </c>
    </row>
    <row r="6540" spans="1:4" x14ac:dyDescent="0.3">
      <c r="A6540" s="10">
        <v>1337</v>
      </c>
      <c r="B6540" s="10" t="s">
        <v>18</v>
      </c>
      <c r="C6540" s="10" t="s">
        <v>153</v>
      </c>
      <c r="D6540" s="17">
        <v>4999.99</v>
      </c>
    </row>
    <row r="6541" spans="1:4" x14ac:dyDescent="0.3">
      <c r="A6541" s="12"/>
      <c r="B6541" s="10" t="s">
        <v>1916</v>
      </c>
      <c r="C6541" s="11"/>
      <c r="D6541" s="17">
        <v>4999.99</v>
      </c>
    </row>
    <row r="6542" spans="1:4" x14ac:dyDescent="0.3">
      <c r="A6542" s="10" t="s">
        <v>1633</v>
      </c>
      <c r="B6542" s="11"/>
      <c r="C6542" s="11"/>
      <c r="D6542" s="17">
        <v>4999.99</v>
      </c>
    </row>
    <row r="6543" spans="1:4" x14ac:dyDescent="0.3">
      <c r="A6543" s="10">
        <v>1338</v>
      </c>
      <c r="B6543" s="10" t="s">
        <v>18</v>
      </c>
      <c r="C6543" s="10" t="s">
        <v>154</v>
      </c>
      <c r="D6543" s="17">
        <v>12999.98</v>
      </c>
    </row>
    <row r="6544" spans="1:4" x14ac:dyDescent="0.3">
      <c r="A6544" s="12"/>
      <c r="B6544" s="10" t="s">
        <v>1916</v>
      </c>
      <c r="C6544" s="11"/>
      <c r="D6544" s="17">
        <v>12999.98</v>
      </c>
    </row>
    <row r="6545" spans="1:4" x14ac:dyDescent="0.3">
      <c r="A6545" s="10" t="s">
        <v>1634</v>
      </c>
      <c r="B6545" s="11"/>
      <c r="C6545" s="11"/>
      <c r="D6545" s="17">
        <v>12999.98</v>
      </c>
    </row>
    <row r="6546" spans="1:4" x14ac:dyDescent="0.3">
      <c r="A6546" s="10">
        <v>1339</v>
      </c>
      <c r="B6546" s="10" t="s">
        <v>11</v>
      </c>
      <c r="C6546" s="10" t="s">
        <v>155</v>
      </c>
      <c r="D6546" s="17">
        <v>3199.99</v>
      </c>
    </row>
    <row r="6547" spans="1:4" x14ac:dyDescent="0.3">
      <c r="A6547" s="12"/>
      <c r="B6547" s="10" t="s">
        <v>1915</v>
      </c>
      <c r="C6547" s="11"/>
      <c r="D6547" s="17">
        <v>3199.99</v>
      </c>
    </row>
    <row r="6548" spans="1:4" x14ac:dyDescent="0.3">
      <c r="A6548" s="10" t="s">
        <v>1635</v>
      </c>
      <c r="B6548" s="11"/>
      <c r="C6548" s="11"/>
      <c r="D6548" s="17">
        <v>3199.99</v>
      </c>
    </row>
    <row r="6549" spans="1:4" x14ac:dyDescent="0.3">
      <c r="A6549" s="10">
        <v>1340</v>
      </c>
      <c r="B6549" s="10" t="s">
        <v>11</v>
      </c>
      <c r="C6549" s="10" t="s">
        <v>156</v>
      </c>
      <c r="D6549" s="17">
        <v>1699.98</v>
      </c>
    </row>
    <row r="6550" spans="1:4" x14ac:dyDescent="0.3">
      <c r="A6550" s="12"/>
      <c r="B6550" s="12"/>
      <c r="C6550" s="14" t="s">
        <v>138</v>
      </c>
      <c r="D6550" s="18">
        <v>2599.9899999999998</v>
      </c>
    </row>
    <row r="6551" spans="1:4" x14ac:dyDescent="0.3">
      <c r="A6551" s="12"/>
      <c r="B6551" s="12"/>
      <c r="C6551" s="14" t="s">
        <v>111</v>
      </c>
      <c r="D6551" s="18">
        <v>419.98</v>
      </c>
    </row>
    <row r="6552" spans="1:4" x14ac:dyDescent="0.3">
      <c r="A6552" s="12"/>
      <c r="B6552" s="10" t="s">
        <v>1915</v>
      </c>
      <c r="C6552" s="11"/>
      <c r="D6552" s="17">
        <v>4719.9499999999989</v>
      </c>
    </row>
    <row r="6553" spans="1:4" x14ac:dyDescent="0.3">
      <c r="A6553" s="10" t="s">
        <v>1636</v>
      </c>
      <c r="B6553" s="11"/>
      <c r="C6553" s="11"/>
      <c r="D6553" s="17">
        <v>4719.9499999999989</v>
      </c>
    </row>
    <row r="6554" spans="1:4" x14ac:dyDescent="0.3">
      <c r="A6554" s="10">
        <v>1341</v>
      </c>
      <c r="B6554" s="10" t="s">
        <v>18</v>
      </c>
      <c r="C6554" s="10" t="s">
        <v>158</v>
      </c>
      <c r="D6554" s="17">
        <v>1799.98</v>
      </c>
    </row>
    <row r="6555" spans="1:4" x14ac:dyDescent="0.3">
      <c r="A6555" s="12"/>
      <c r="B6555" s="12"/>
      <c r="C6555" s="14" t="s">
        <v>157</v>
      </c>
      <c r="D6555" s="18">
        <v>1499.98</v>
      </c>
    </row>
    <row r="6556" spans="1:4" x14ac:dyDescent="0.3">
      <c r="A6556" s="12"/>
      <c r="B6556" s="12"/>
      <c r="C6556" s="14" t="s">
        <v>92</v>
      </c>
      <c r="D6556" s="18">
        <v>501.98</v>
      </c>
    </row>
    <row r="6557" spans="1:4" x14ac:dyDescent="0.3">
      <c r="A6557" s="12"/>
      <c r="B6557" s="12"/>
      <c r="C6557" s="14" t="s">
        <v>41</v>
      </c>
      <c r="D6557" s="18">
        <v>10999.98</v>
      </c>
    </row>
    <row r="6558" spans="1:4" x14ac:dyDescent="0.3">
      <c r="A6558" s="12"/>
      <c r="B6558" s="10" t="s">
        <v>1916</v>
      </c>
      <c r="C6558" s="11"/>
      <c r="D6558" s="17">
        <v>14801.92</v>
      </c>
    </row>
    <row r="6559" spans="1:4" x14ac:dyDescent="0.3">
      <c r="A6559" s="10" t="s">
        <v>1637</v>
      </c>
      <c r="B6559" s="11"/>
      <c r="C6559" s="11"/>
      <c r="D6559" s="17">
        <v>14801.92</v>
      </c>
    </row>
    <row r="6560" spans="1:4" x14ac:dyDescent="0.3">
      <c r="A6560" s="10">
        <v>1342</v>
      </c>
      <c r="B6560" s="10" t="s">
        <v>18</v>
      </c>
      <c r="C6560" s="10" t="s">
        <v>101</v>
      </c>
      <c r="D6560" s="17">
        <v>1559.99</v>
      </c>
    </row>
    <row r="6561" spans="1:4" x14ac:dyDescent="0.3">
      <c r="A6561" s="12"/>
      <c r="B6561" s="12"/>
      <c r="C6561" s="14" t="s">
        <v>159</v>
      </c>
      <c r="D6561" s="18">
        <v>209.99</v>
      </c>
    </row>
    <row r="6562" spans="1:4" x14ac:dyDescent="0.3">
      <c r="A6562" s="12"/>
      <c r="B6562" s="10" t="s">
        <v>1916</v>
      </c>
      <c r="C6562" s="11"/>
      <c r="D6562" s="17">
        <v>1769.98</v>
      </c>
    </row>
    <row r="6563" spans="1:4" x14ac:dyDescent="0.3">
      <c r="A6563" s="10" t="s">
        <v>1638</v>
      </c>
      <c r="B6563" s="11"/>
      <c r="C6563" s="11"/>
      <c r="D6563" s="17">
        <v>1769.98</v>
      </c>
    </row>
    <row r="6564" spans="1:4" x14ac:dyDescent="0.3">
      <c r="A6564" s="10">
        <v>1343</v>
      </c>
      <c r="B6564" s="10" t="s">
        <v>18</v>
      </c>
      <c r="C6564" s="10" t="s">
        <v>52</v>
      </c>
      <c r="D6564" s="17">
        <v>299.99</v>
      </c>
    </row>
    <row r="6565" spans="1:4" x14ac:dyDescent="0.3">
      <c r="A6565" s="12"/>
      <c r="B6565" s="12"/>
      <c r="C6565" s="14" t="s">
        <v>160</v>
      </c>
      <c r="D6565" s="18">
        <v>559.99</v>
      </c>
    </row>
    <row r="6566" spans="1:4" x14ac:dyDescent="0.3">
      <c r="A6566" s="12"/>
      <c r="B6566" s="12"/>
      <c r="C6566" s="14" t="s">
        <v>114</v>
      </c>
      <c r="D6566" s="18">
        <v>693.98</v>
      </c>
    </row>
    <row r="6567" spans="1:4" x14ac:dyDescent="0.3">
      <c r="A6567" s="12"/>
      <c r="B6567" s="12"/>
      <c r="C6567" s="14" t="s">
        <v>162</v>
      </c>
      <c r="D6567" s="18">
        <v>3299.99</v>
      </c>
    </row>
    <row r="6568" spans="1:4" x14ac:dyDescent="0.3">
      <c r="A6568" s="12"/>
      <c r="B6568" s="12"/>
      <c r="C6568" s="14" t="s">
        <v>161</v>
      </c>
      <c r="D6568" s="18">
        <v>6999.98</v>
      </c>
    </row>
    <row r="6569" spans="1:4" x14ac:dyDescent="0.3">
      <c r="A6569" s="12"/>
      <c r="B6569" s="10" t="s">
        <v>1916</v>
      </c>
      <c r="C6569" s="11"/>
      <c r="D6569" s="17">
        <v>11853.93</v>
      </c>
    </row>
    <row r="6570" spans="1:4" x14ac:dyDescent="0.3">
      <c r="A6570" s="10" t="s">
        <v>1639</v>
      </c>
      <c r="B6570" s="11"/>
      <c r="C6570" s="11"/>
      <c r="D6570" s="17">
        <v>11853.93</v>
      </c>
    </row>
    <row r="6571" spans="1:4" x14ac:dyDescent="0.3">
      <c r="A6571" s="10">
        <v>1344</v>
      </c>
      <c r="B6571" s="10" t="s">
        <v>18</v>
      </c>
      <c r="C6571" s="10" t="s">
        <v>113</v>
      </c>
      <c r="D6571" s="17">
        <v>1599.98</v>
      </c>
    </row>
    <row r="6572" spans="1:4" x14ac:dyDescent="0.3">
      <c r="A6572" s="12"/>
      <c r="B6572" s="12"/>
      <c r="C6572" s="14" t="s">
        <v>40</v>
      </c>
      <c r="D6572" s="18">
        <v>1103.98</v>
      </c>
    </row>
    <row r="6573" spans="1:4" x14ac:dyDescent="0.3">
      <c r="A6573" s="12"/>
      <c r="B6573" s="12"/>
      <c r="C6573" s="14" t="s">
        <v>20</v>
      </c>
      <c r="D6573" s="18">
        <v>999.99</v>
      </c>
    </row>
    <row r="6574" spans="1:4" x14ac:dyDescent="0.3">
      <c r="A6574" s="12"/>
      <c r="B6574" s="12"/>
      <c r="C6574" s="14" t="s">
        <v>45</v>
      </c>
      <c r="D6574" s="18">
        <v>4999.99</v>
      </c>
    </row>
    <row r="6575" spans="1:4" x14ac:dyDescent="0.3">
      <c r="A6575" s="12"/>
      <c r="B6575" s="10" t="s">
        <v>1916</v>
      </c>
      <c r="C6575" s="11"/>
      <c r="D6575" s="17">
        <v>8703.9399999999987</v>
      </c>
    </row>
    <row r="6576" spans="1:4" x14ac:dyDescent="0.3">
      <c r="A6576" s="10" t="s">
        <v>1640</v>
      </c>
      <c r="B6576" s="11"/>
      <c r="C6576" s="11"/>
      <c r="D6576" s="17">
        <v>8703.9399999999987</v>
      </c>
    </row>
    <row r="6577" spans="1:4" x14ac:dyDescent="0.3">
      <c r="A6577" s="10">
        <v>1345</v>
      </c>
      <c r="B6577" s="10" t="s">
        <v>18</v>
      </c>
      <c r="C6577" s="10" t="s">
        <v>22</v>
      </c>
      <c r="D6577" s="17">
        <v>1499.98</v>
      </c>
    </row>
    <row r="6578" spans="1:4" x14ac:dyDescent="0.3">
      <c r="A6578" s="12"/>
      <c r="B6578" s="12"/>
      <c r="C6578" s="14" t="s">
        <v>164</v>
      </c>
      <c r="D6578" s="18">
        <v>3098</v>
      </c>
    </row>
    <row r="6579" spans="1:4" x14ac:dyDescent="0.3">
      <c r="A6579" s="12"/>
      <c r="B6579" s="12"/>
      <c r="C6579" s="14" t="s">
        <v>163</v>
      </c>
      <c r="D6579" s="18">
        <v>6399.98</v>
      </c>
    </row>
    <row r="6580" spans="1:4" x14ac:dyDescent="0.3">
      <c r="A6580" s="12"/>
      <c r="B6580" s="12"/>
      <c r="C6580" s="14" t="s">
        <v>104</v>
      </c>
      <c r="D6580" s="18">
        <v>9999.98</v>
      </c>
    </row>
    <row r="6581" spans="1:4" x14ac:dyDescent="0.3">
      <c r="A6581" s="12"/>
      <c r="B6581" s="10" t="s">
        <v>1916</v>
      </c>
      <c r="C6581" s="11"/>
      <c r="D6581" s="17">
        <v>20997.94</v>
      </c>
    </row>
    <row r="6582" spans="1:4" x14ac:dyDescent="0.3">
      <c r="A6582" s="10" t="s">
        <v>1641</v>
      </c>
      <c r="B6582" s="11"/>
      <c r="C6582" s="11"/>
      <c r="D6582" s="17">
        <v>20997.94</v>
      </c>
    </row>
    <row r="6583" spans="1:4" x14ac:dyDescent="0.3">
      <c r="A6583" s="10">
        <v>1346</v>
      </c>
      <c r="B6583" s="10" t="s">
        <v>37</v>
      </c>
      <c r="C6583" s="10" t="s">
        <v>167</v>
      </c>
      <c r="D6583" s="17">
        <v>749.99</v>
      </c>
    </row>
    <row r="6584" spans="1:4" x14ac:dyDescent="0.3">
      <c r="A6584" s="12"/>
      <c r="B6584" s="12"/>
      <c r="C6584" s="14" t="s">
        <v>24</v>
      </c>
      <c r="D6584" s="18">
        <v>898</v>
      </c>
    </row>
    <row r="6585" spans="1:4" x14ac:dyDescent="0.3">
      <c r="A6585" s="12"/>
      <c r="B6585" s="12"/>
      <c r="C6585" s="14" t="s">
        <v>168</v>
      </c>
      <c r="D6585" s="18">
        <v>179.98</v>
      </c>
    </row>
    <row r="6586" spans="1:4" x14ac:dyDescent="0.3">
      <c r="A6586" s="12"/>
      <c r="B6586" s="12"/>
      <c r="C6586" s="14" t="s">
        <v>166</v>
      </c>
      <c r="D6586" s="18">
        <v>4499.99</v>
      </c>
    </row>
    <row r="6587" spans="1:4" x14ac:dyDescent="0.3">
      <c r="A6587" s="12"/>
      <c r="B6587" s="12"/>
      <c r="C6587" s="14" t="s">
        <v>165</v>
      </c>
      <c r="D6587" s="18">
        <v>2999.98</v>
      </c>
    </row>
    <row r="6588" spans="1:4" x14ac:dyDescent="0.3">
      <c r="A6588" s="12"/>
      <c r="B6588" s="10" t="s">
        <v>1917</v>
      </c>
      <c r="C6588" s="11"/>
      <c r="D6588" s="17">
        <v>9327.94</v>
      </c>
    </row>
    <row r="6589" spans="1:4" x14ac:dyDescent="0.3">
      <c r="A6589" s="10" t="s">
        <v>1642</v>
      </c>
      <c r="B6589" s="11"/>
      <c r="C6589" s="11"/>
      <c r="D6589" s="17">
        <v>9327.94</v>
      </c>
    </row>
    <row r="6590" spans="1:4" x14ac:dyDescent="0.3">
      <c r="A6590" s="10">
        <v>1347</v>
      </c>
      <c r="B6590" s="10" t="s">
        <v>11</v>
      </c>
      <c r="C6590" s="10" t="s">
        <v>42</v>
      </c>
      <c r="D6590" s="17">
        <v>749.99</v>
      </c>
    </row>
    <row r="6591" spans="1:4" x14ac:dyDescent="0.3">
      <c r="A6591" s="12"/>
      <c r="B6591" s="12"/>
      <c r="C6591" s="14" t="s">
        <v>62</v>
      </c>
      <c r="D6591" s="18">
        <v>10599.98</v>
      </c>
    </row>
    <row r="6592" spans="1:4" x14ac:dyDescent="0.3">
      <c r="A6592" s="12"/>
      <c r="B6592" s="10" t="s">
        <v>1915</v>
      </c>
      <c r="C6592" s="11"/>
      <c r="D6592" s="17">
        <v>11349.97</v>
      </c>
    </row>
    <row r="6593" spans="1:4" x14ac:dyDescent="0.3">
      <c r="A6593" s="10" t="s">
        <v>1643</v>
      </c>
      <c r="B6593" s="11"/>
      <c r="C6593" s="11"/>
      <c r="D6593" s="17">
        <v>11349.97</v>
      </c>
    </row>
    <row r="6594" spans="1:4" x14ac:dyDescent="0.3">
      <c r="A6594" s="10">
        <v>1348</v>
      </c>
      <c r="B6594" s="10" t="s">
        <v>11</v>
      </c>
      <c r="C6594" s="10" t="s">
        <v>170</v>
      </c>
      <c r="D6594" s="17">
        <v>1799.99</v>
      </c>
    </row>
    <row r="6595" spans="1:4" x14ac:dyDescent="0.3">
      <c r="A6595" s="12"/>
      <c r="B6595" s="12"/>
      <c r="C6595" s="14" t="s">
        <v>169</v>
      </c>
      <c r="D6595" s="18">
        <v>5499.99</v>
      </c>
    </row>
    <row r="6596" spans="1:4" x14ac:dyDescent="0.3">
      <c r="A6596" s="12"/>
      <c r="B6596" s="12"/>
      <c r="C6596" s="14" t="s">
        <v>81</v>
      </c>
      <c r="D6596" s="18">
        <v>9999.98</v>
      </c>
    </row>
    <row r="6597" spans="1:4" x14ac:dyDescent="0.3">
      <c r="A6597" s="12"/>
      <c r="B6597" s="12"/>
      <c r="C6597" s="14" t="s">
        <v>147</v>
      </c>
      <c r="D6597" s="18">
        <v>4999.99</v>
      </c>
    </row>
    <row r="6598" spans="1:4" x14ac:dyDescent="0.3">
      <c r="A6598" s="12"/>
      <c r="B6598" s="10" t="s">
        <v>1915</v>
      </c>
      <c r="C6598" s="11"/>
      <c r="D6598" s="17">
        <v>22299.949999999997</v>
      </c>
    </row>
    <row r="6599" spans="1:4" x14ac:dyDescent="0.3">
      <c r="A6599" s="10" t="s">
        <v>1644</v>
      </c>
      <c r="B6599" s="11"/>
      <c r="C6599" s="11"/>
      <c r="D6599" s="17">
        <v>22299.949999999997</v>
      </c>
    </row>
    <row r="6600" spans="1:4" x14ac:dyDescent="0.3">
      <c r="A6600" s="10">
        <v>1349</v>
      </c>
      <c r="B6600" s="10" t="s">
        <v>18</v>
      </c>
      <c r="C6600" s="10" t="s">
        <v>171</v>
      </c>
      <c r="D6600" s="17">
        <v>3098</v>
      </c>
    </row>
    <row r="6601" spans="1:4" x14ac:dyDescent="0.3">
      <c r="A6601" s="12"/>
      <c r="B6601" s="12"/>
      <c r="C6601" s="14" t="s">
        <v>161</v>
      </c>
      <c r="D6601" s="18">
        <v>3499.99</v>
      </c>
    </row>
    <row r="6602" spans="1:4" x14ac:dyDescent="0.3">
      <c r="A6602" s="12"/>
      <c r="B6602" s="12"/>
      <c r="C6602" s="14" t="s">
        <v>149</v>
      </c>
      <c r="D6602" s="18">
        <v>4499.9799999999996</v>
      </c>
    </row>
    <row r="6603" spans="1:4" x14ac:dyDescent="0.3">
      <c r="A6603" s="12"/>
      <c r="B6603" s="12"/>
      <c r="C6603" s="14" t="s">
        <v>145</v>
      </c>
      <c r="D6603" s="18">
        <v>9999.98</v>
      </c>
    </row>
    <row r="6604" spans="1:4" x14ac:dyDescent="0.3">
      <c r="A6604" s="12"/>
      <c r="B6604" s="10" t="s">
        <v>1916</v>
      </c>
      <c r="C6604" s="11"/>
      <c r="D6604" s="17">
        <v>21097.949999999997</v>
      </c>
    </row>
    <row r="6605" spans="1:4" x14ac:dyDescent="0.3">
      <c r="A6605" s="10" t="s">
        <v>1645</v>
      </c>
      <c r="B6605" s="11"/>
      <c r="C6605" s="11"/>
      <c r="D6605" s="17">
        <v>21097.949999999997</v>
      </c>
    </row>
    <row r="6606" spans="1:4" x14ac:dyDescent="0.3">
      <c r="A6606" s="10">
        <v>1350</v>
      </c>
      <c r="B6606" s="10" t="s">
        <v>18</v>
      </c>
      <c r="C6606" s="10" t="s">
        <v>31</v>
      </c>
      <c r="D6606" s="17">
        <v>539.98</v>
      </c>
    </row>
    <row r="6607" spans="1:4" x14ac:dyDescent="0.3">
      <c r="A6607" s="12"/>
      <c r="B6607" s="12"/>
      <c r="C6607" s="14" t="s">
        <v>172</v>
      </c>
      <c r="D6607" s="18">
        <v>749.99</v>
      </c>
    </row>
    <row r="6608" spans="1:4" x14ac:dyDescent="0.3">
      <c r="A6608" s="12"/>
      <c r="B6608" s="12"/>
      <c r="C6608" s="14" t="s">
        <v>173</v>
      </c>
      <c r="D6608" s="18">
        <v>2599.9899999999998</v>
      </c>
    </row>
    <row r="6609" spans="1:4" x14ac:dyDescent="0.3">
      <c r="A6609" s="12"/>
      <c r="B6609" s="12"/>
      <c r="C6609" s="14" t="s">
        <v>138</v>
      </c>
      <c r="D6609" s="18">
        <v>2599.9899999999998</v>
      </c>
    </row>
    <row r="6610" spans="1:4" x14ac:dyDescent="0.3">
      <c r="A6610" s="12"/>
      <c r="B6610" s="12"/>
      <c r="C6610" s="14" t="s">
        <v>174</v>
      </c>
      <c r="D6610" s="18">
        <v>2299.9899999999998</v>
      </c>
    </row>
    <row r="6611" spans="1:4" x14ac:dyDescent="0.3">
      <c r="A6611" s="12"/>
      <c r="B6611" s="10" t="s">
        <v>1916</v>
      </c>
      <c r="C6611" s="11"/>
      <c r="D6611" s="17">
        <v>8789.9399999999987</v>
      </c>
    </row>
    <row r="6612" spans="1:4" x14ac:dyDescent="0.3">
      <c r="A6612" s="10" t="s">
        <v>1646</v>
      </c>
      <c r="B6612" s="11"/>
      <c r="C6612" s="11"/>
      <c r="D6612" s="17">
        <v>8789.9399999999987</v>
      </c>
    </row>
    <row r="6613" spans="1:4" x14ac:dyDescent="0.3">
      <c r="A6613" s="10">
        <v>1351</v>
      </c>
      <c r="B6613" s="10" t="s">
        <v>18</v>
      </c>
      <c r="C6613" s="10" t="s">
        <v>175</v>
      </c>
      <c r="D6613" s="17">
        <v>559.98</v>
      </c>
    </row>
    <row r="6614" spans="1:4" x14ac:dyDescent="0.3">
      <c r="A6614" s="12"/>
      <c r="B6614" s="12"/>
      <c r="C6614" s="14" t="s">
        <v>176</v>
      </c>
      <c r="D6614" s="18">
        <v>1499.99</v>
      </c>
    </row>
    <row r="6615" spans="1:4" x14ac:dyDescent="0.3">
      <c r="A6615" s="12"/>
      <c r="B6615" s="10" t="s">
        <v>1916</v>
      </c>
      <c r="C6615" s="11"/>
      <c r="D6615" s="17">
        <v>2059.9700000000003</v>
      </c>
    </row>
    <row r="6616" spans="1:4" x14ac:dyDescent="0.3">
      <c r="A6616" s="10" t="s">
        <v>1647</v>
      </c>
      <c r="B6616" s="11"/>
      <c r="C6616" s="11"/>
      <c r="D6616" s="17">
        <v>2059.9700000000003</v>
      </c>
    </row>
    <row r="6617" spans="1:4" x14ac:dyDescent="0.3">
      <c r="A6617" s="10">
        <v>1352</v>
      </c>
      <c r="B6617" s="10" t="s">
        <v>18</v>
      </c>
      <c r="C6617" s="10" t="s">
        <v>137</v>
      </c>
      <c r="D6617" s="17">
        <v>559.98</v>
      </c>
    </row>
    <row r="6618" spans="1:4" x14ac:dyDescent="0.3">
      <c r="A6618" s="12"/>
      <c r="B6618" s="12"/>
      <c r="C6618" s="14" t="s">
        <v>105</v>
      </c>
      <c r="D6618" s="18">
        <v>489.99</v>
      </c>
    </row>
    <row r="6619" spans="1:4" x14ac:dyDescent="0.3">
      <c r="A6619" s="12"/>
      <c r="B6619" s="12"/>
      <c r="C6619" s="14" t="s">
        <v>68</v>
      </c>
      <c r="D6619" s="18">
        <v>1751.98</v>
      </c>
    </row>
    <row r="6620" spans="1:4" x14ac:dyDescent="0.3">
      <c r="A6620" s="12"/>
      <c r="B6620" s="12"/>
      <c r="C6620" s="14" t="s">
        <v>115</v>
      </c>
      <c r="D6620" s="18">
        <v>299.98</v>
      </c>
    </row>
    <row r="6621" spans="1:4" x14ac:dyDescent="0.3">
      <c r="A6621" s="12"/>
      <c r="B6621" s="12"/>
      <c r="C6621" s="14" t="s">
        <v>177</v>
      </c>
      <c r="D6621" s="18">
        <v>1799.99</v>
      </c>
    </row>
    <row r="6622" spans="1:4" x14ac:dyDescent="0.3">
      <c r="A6622" s="12"/>
      <c r="B6622" s="10" t="s">
        <v>1916</v>
      </c>
      <c r="C6622" s="11"/>
      <c r="D6622" s="17">
        <v>4901.92</v>
      </c>
    </row>
    <row r="6623" spans="1:4" x14ac:dyDescent="0.3">
      <c r="A6623" s="10" t="s">
        <v>1648</v>
      </c>
      <c r="B6623" s="11"/>
      <c r="C6623" s="11"/>
      <c r="D6623" s="17">
        <v>4901.92</v>
      </c>
    </row>
    <row r="6624" spans="1:4" x14ac:dyDescent="0.3">
      <c r="A6624" s="10">
        <v>1353</v>
      </c>
      <c r="B6624" s="10" t="s">
        <v>18</v>
      </c>
      <c r="C6624" s="10" t="s">
        <v>178</v>
      </c>
      <c r="D6624" s="17">
        <v>639.99</v>
      </c>
    </row>
    <row r="6625" spans="1:4" x14ac:dyDescent="0.3">
      <c r="A6625" s="12"/>
      <c r="B6625" s="12"/>
      <c r="C6625" s="14" t="s">
        <v>141</v>
      </c>
      <c r="D6625" s="18">
        <v>799.99</v>
      </c>
    </row>
    <row r="6626" spans="1:4" x14ac:dyDescent="0.3">
      <c r="A6626" s="12"/>
      <c r="B6626" s="12"/>
      <c r="C6626" s="14" t="s">
        <v>89</v>
      </c>
      <c r="D6626" s="18">
        <v>833.98</v>
      </c>
    </row>
    <row r="6627" spans="1:4" x14ac:dyDescent="0.3">
      <c r="A6627" s="12"/>
      <c r="B6627" s="12"/>
      <c r="C6627" s="14" t="s">
        <v>115</v>
      </c>
      <c r="D6627" s="18">
        <v>299.98</v>
      </c>
    </row>
    <row r="6628" spans="1:4" x14ac:dyDescent="0.3">
      <c r="A6628" s="12"/>
      <c r="B6628" s="10" t="s">
        <v>1916</v>
      </c>
      <c r="C6628" s="11"/>
      <c r="D6628" s="17">
        <v>2573.94</v>
      </c>
    </row>
    <row r="6629" spans="1:4" x14ac:dyDescent="0.3">
      <c r="A6629" s="10" t="s">
        <v>1649</v>
      </c>
      <c r="B6629" s="11"/>
      <c r="C6629" s="11"/>
      <c r="D6629" s="17">
        <v>2573.94</v>
      </c>
    </row>
    <row r="6630" spans="1:4" x14ac:dyDescent="0.3">
      <c r="A6630" s="10">
        <v>1354</v>
      </c>
      <c r="B6630" s="10" t="s">
        <v>11</v>
      </c>
      <c r="C6630" s="10" t="s">
        <v>179</v>
      </c>
      <c r="D6630" s="17">
        <v>1499.98</v>
      </c>
    </row>
    <row r="6631" spans="1:4" x14ac:dyDescent="0.3">
      <c r="A6631" s="12"/>
      <c r="B6631" s="10" t="s">
        <v>1915</v>
      </c>
      <c r="C6631" s="11"/>
      <c r="D6631" s="17">
        <v>1499.98</v>
      </c>
    </row>
    <row r="6632" spans="1:4" x14ac:dyDescent="0.3">
      <c r="A6632" s="10" t="s">
        <v>1650</v>
      </c>
      <c r="B6632" s="11"/>
      <c r="C6632" s="11"/>
      <c r="D6632" s="17">
        <v>1499.98</v>
      </c>
    </row>
    <row r="6633" spans="1:4" x14ac:dyDescent="0.3">
      <c r="A6633" s="10">
        <v>1355</v>
      </c>
      <c r="B6633" s="10" t="s">
        <v>18</v>
      </c>
      <c r="C6633" s="10" t="s">
        <v>138</v>
      </c>
      <c r="D6633" s="17">
        <v>2599.9899999999998</v>
      </c>
    </row>
    <row r="6634" spans="1:4" x14ac:dyDescent="0.3">
      <c r="A6634" s="12"/>
      <c r="B6634" s="12"/>
      <c r="C6634" s="14" t="s">
        <v>181</v>
      </c>
      <c r="D6634" s="18">
        <v>899.98</v>
      </c>
    </row>
    <row r="6635" spans="1:4" x14ac:dyDescent="0.3">
      <c r="A6635" s="12"/>
      <c r="B6635" s="12"/>
      <c r="C6635" s="14" t="s">
        <v>175</v>
      </c>
      <c r="D6635" s="18">
        <v>279.99</v>
      </c>
    </row>
    <row r="6636" spans="1:4" x14ac:dyDescent="0.3">
      <c r="A6636" s="12"/>
      <c r="B6636" s="12"/>
      <c r="C6636" s="14" t="s">
        <v>180</v>
      </c>
      <c r="D6636" s="18">
        <v>7499.99</v>
      </c>
    </row>
    <row r="6637" spans="1:4" x14ac:dyDescent="0.3">
      <c r="A6637" s="12"/>
      <c r="B6637" s="10" t="s">
        <v>1916</v>
      </c>
      <c r="C6637" s="11"/>
      <c r="D6637" s="17">
        <v>11279.95</v>
      </c>
    </row>
    <row r="6638" spans="1:4" x14ac:dyDescent="0.3">
      <c r="A6638" s="10" t="s">
        <v>1651</v>
      </c>
      <c r="B6638" s="11"/>
      <c r="C6638" s="11"/>
      <c r="D6638" s="17">
        <v>11279.95</v>
      </c>
    </row>
    <row r="6639" spans="1:4" x14ac:dyDescent="0.3">
      <c r="A6639" s="10">
        <v>1356</v>
      </c>
      <c r="B6639" s="10" t="s">
        <v>18</v>
      </c>
      <c r="C6639" s="10" t="s">
        <v>182</v>
      </c>
      <c r="D6639" s="17">
        <v>5999.98</v>
      </c>
    </row>
    <row r="6640" spans="1:4" x14ac:dyDescent="0.3">
      <c r="A6640" s="12"/>
      <c r="B6640" s="12"/>
      <c r="C6640" s="14" t="s">
        <v>173</v>
      </c>
      <c r="D6640" s="18">
        <v>2599.9899999999998</v>
      </c>
    </row>
    <row r="6641" spans="1:4" x14ac:dyDescent="0.3">
      <c r="A6641" s="12"/>
      <c r="B6641" s="12"/>
      <c r="C6641" s="14" t="s">
        <v>183</v>
      </c>
      <c r="D6641" s="18">
        <v>639.98</v>
      </c>
    </row>
    <row r="6642" spans="1:4" x14ac:dyDescent="0.3">
      <c r="A6642" s="12"/>
      <c r="B6642" s="10" t="s">
        <v>1916</v>
      </c>
      <c r="C6642" s="11"/>
      <c r="D6642" s="17">
        <v>9239.9499999999989</v>
      </c>
    </row>
    <row r="6643" spans="1:4" x14ac:dyDescent="0.3">
      <c r="A6643" s="10" t="s">
        <v>1652</v>
      </c>
      <c r="B6643" s="11"/>
      <c r="C6643" s="11"/>
      <c r="D6643" s="17">
        <v>9239.9499999999989</v>
      </c>
    </row>
    <row r="6644" spans="1:4" x14ac:dyDescent="0.3">
      <c r="A6644" s="10">
        <v>1357</v>
      </c>
      <c r="B6644" s="10" t="s">
        <v>18</v>
      </c>
      <c r="C6644" s="10" t="s">
        <v>101</v>
      </c>
      <c r="D6644" s="17">
        <v>1559.99</v>
      </c>
    </row>
    <row r="6645" spans="1:4" x14ac:dyDescent="0.3">
      <c r="A6645" s="12"/>
      <c r="B6645" s="12"/>
      <c r="C6645" s="14" t="s">
        <v>140</v>
      </c>
      <c r="D6645" s="18">
        <v>3599.98</v>
      </c>
    </row>
    <row r="6646" spans="1:4" x14ac:dyDescent="0.3">
      <c r="A6646" s="12"/>
      <c r="B6646" s="12"/>
      <c r="C6646" s="14" t="s">
        <v>184</v>
      </c>
      <c r="D6646" s="18">
        <v>919.99</v>
      </c>
    </row>
    <row r="6647" spans="1:4" x14ac:dyDescent="0.3">
      <c r="A6647" s="12"/>
      <c r="B6647" s="10" t="s">
        <v>1916</v>
      </c>
      <c r="C6647" s="11"/>
      <c r="D6647" s="17">
        <v>6079.96</v>
      </c>
    </row>
    <row r="6648" spans="1:4" x14ac:dyDescent="0.3">
      <c r="A6648" s="10" t="s">
        <v>1653</v>
      </c>
      <c r="B6648" s="11"/>
      <c r="C6648" s="11"/>
      <c r="D6648" s="17">
        <v>6079.96</v>
      </c>
    </row>
    <row r="6649" spans="1:4" x14ac:dyDescent="0.3">
      <c r="A6649" s="10">
        <v>1358</v>
      </c>
      <c r="B6649" s="10" t="s">
        <v>11</v>
      </c>
      <c r="C6649" s="10" t="s">
        <v>122</v>
      </c>
      <c r="D6649" s="17">
        <v>1799.98</v>
      </c>
    </row>
    <row r="6650" spans="1:4" x14ac:dyDescent="0.3">
      <c r="A6650" s="12"/>
      <c r="B6650" s="10" t="s">
        <v>1915</v>
      </c>
      <c r="C6650" s="11"/>
      <c r="D6650" s="17">
        <v>1799.98</v>
      </c>
    </row>
    <row r="6651" spans="1:4" x14ac:dyDescent="0.3">
      <c r="A6651" s="10" t="s">
        <v>1654</v>
      </c>
      <c r="B6651" s="11"/>
      <c r="C6651" s="11"/>
      <c r="D6651" s="17">
        <v>1799.98</v>
      </c>
    </row>
    <row r="6652" spans="1:4" x14ac:dyDescent="0.3">
      <c r="A6652" s="10">
        <v>1359</v>
      </c>
      <c r="B6652" s="10" t="s">
        <v>37</v>
      </c>
      <c r="C6652" s="10" t="s">
        <v>100</v>
      </c>
      <c r="D6652" s="17">
        <v>659.99</v>
      </c>
    </row>
    <row r="6653" spans="1:4" x14ac:dyDescent="0.3">
      <c r="A6653" s="12"/>
      <c r="B6653" s="12"/>
      <c r="C6653" s="14" t="s">
        <v>137</v>
      </c>
      <c r="D6653" s="18">
        <v>279.99</v>
      </c>
    </row>
    <row r="6654" spans="1:4" x14ac:dyDescent="0.3">
      <c r="A6654" s="12"/>
      <c r="B6654" s="10" t="s">
        <v>1917</v>
      </c>
      <c r="C6654" s="11"/>
      <c r="D6654" s="17">
        <v>939.98</v>
      </c>
    </row>
    <row r="6655" spans="1:4" x14ac:dyDescent="0.3">
      <c r="A6655" s="10" t="s">
        <v>1655</v>
      </c>
      <c r="B6655" s="11"/>
      <c r="C6655" s="11"/>
      <c r="D6655" s="17">
        <v>939.98</v>
      </c>
    </row>
    <row r="6656" spans="1:4" x14ac:dyDescent="0.3">
      <c r="A6656" s="10">
        <v>1360</v>
      </c>
      <c r="B6656" s="10" t="s">
        <v>18</v>
      </c>
      <c r="C6656" s="10" t="s">
        <v>102</v>
      </c>
      <c r="D6656" s="17">
        <v>1632.99</v>
      </c>
    </row>
    <row r="6657" spans="1:4" x14ac:dyDescent="0.3">
      <c r="A6657" s="12"/>
      <c r="B6657" s="10" t="s">
        <v>1916</v>
      </c>
      <c r="C6657" s="11"/>
      <c r="D6657" s="17">
        <v>1632.99</v>
      </c>
    </row>
    <row r="6658" spans="1:4" x14ac:dyDescent="0.3">
      <c r="A6658" s="10" t="s">
        <v>1656</v>
      </c>
      <c r="B6658" s="11"/>
      <c r="C6658" s="11"/>
      <c r="D6658" s="17">
        <v>1632.99</v>
      </c>
    </row>
    <row r="6659" spans="1:4" x14ac:dyDescent="0.3">
      <c r="A6659" s="10">
        <v>1361</v>
      </c>
      <c r="B6659" s="10" t="s">
        <v>18</v>
      </c>
      <c r="C6659" s="10" t="s">
        <v>185</v>
      </c>
      <c r="D6659" s="17">
        <v>1499.98</v>
      </c>
    </row>
    <row r="6660" spans="1:4" x14ac:dyDescent="0.3">
      <c r="A6660" s="12"/>
      <c r="B6660" s="12"/>
      <c r="C6660" s="14" t="s">
        <v>186</v>
      </c>
      <c r="D6660" s="18">
        <v>2698</v>
      </c>
    </row>
    <row r="6661" spans="1:4" x14ac:dyDescent="0.3">
      <c r="A6661" s="12"/>
      <c r="B6661" s="12"/>
      <c r="C6661" s="14" t="s">
        <v>153</v>
      </c>
      <c r="D6661" s="18">
        <v>4999.99</v>
      </c>
    </row>
    <row r="6662" spans="1:4" x14ac:dyDescent="0.3">
      <c r="A6662" s="12"/>
      <c r="B6662" s="10" t="s">
        <v>1916</v>
      </c>
      <c r="C6662" s="11"/>
      <c r="D6662" s="17">
        <v>9197.9699999999993</v>
      </c>
    </row>
    <row r="6663" spans="1:4" x14ac:dyDescent="0.3">
      <c r="A6663" s="10" t="s">
        <v>1657</v>
      </c>
      <c r="B6663" s="11"/>
      <c r="C6663" s="11"/>
      <c r="D6663" s="17">
        <v>9197.9699999999993</v>
      </c>
    </row>
    <row r="6664" spans="1:4" x14ac:dyDescent="0.3">
      <c r="A6664" s="10">
        <v>1362</v>
      </c>
      <c r="B6664" s="10" t="s">
        <v>18</v>
      </c>
      <c r="C6664" s="10" t="s">
        <v>106</v>
      </c>
      <c r="D6664" s="17">
        <v>1999.98</v>
      </c>
    </row>
    <row r="6665" spans="1:4" x14ac:dyDescent="0.3">
      <c r="A6665" s="12"/>
      <c r="B6665" s="12"/>
      <c r="C6665" s="14" t="s">
        <v>16</v>
      </c>
      <c r="D6665" s="18">
        <v>5799.98</v>
      </c>
    </row>
    <row r="6666" spans="1:4" x14ac:dyDescent="0.3">
      <c r="A6666" s="12"/>
      <c r="B6666" s="12"/>
      <c r="C6666" s="14" t="s">
        <v>187</v>
      </c>
      <c r="D6666" s="18">
        <v>7199.98</v>
      </c>
    </row>
    <row r="6667" spans="1:4" x14ac:dyDescent="0.3">
      <c r="A6667" s="12"/>
      <c r="B6667" s="10" t="s">
        <v>1916</v>
      </c>
      <c r="C6667" s="11"/>
      <c r="D6667" s="17">
        <v>14999.939999999999</v>
      </c>
    </row>
    <row r="6668" spans="1:4" x14ac:dyDescent="0.3">
      <c r="A6668" s="10" t="s">
        <v>1658</v>
      </c>
      <c r="B6668" s="11"/>
      <c r="C6668" s="11"/>
      <c r="D6668" s="17">
        <v>14999.939999999999</v>
      </c>
    </row>
    <row r="6669" spans="1:4" x14ac:dyDescent="0.3">
      <c r="A6669" s="10">
        <v>1363</v>
      </c>
      <c r="B6669" s="10" t="s">
        <v>18</v>
      </c>
      <c r="C6669" s="10" t="s">
        <v>92</v>
      </c>
      <c r="D6669" s="17">
        <v>501.98</v>
      </c>
    </row>
    <row r="6670" spans="1:4" x14ac:dyDescent="0.3">
      <c r="A6670" s="12"/>
      <c r="B6670" s="10" t="s">
        <v>1916</v>
      </c>
      <c r="C6670" s="11"/>
      <c r="D6670" s="17">
        <v>501.98</v>
      </c>
    </row>
    <row r="6671" spans="1:4" x14ac:dyDescent="0.3">
      <c r="A6671" s="10" t="s">
        <v>1659</v>
      </c>
      <c r="B6671" s="11"/>
      <c r="C6671" s="11"/>
      <c r="D6671" s="17">
        <v>501.98</v>
      </c>
    </row>
    <row r="6672" spans="1:4" x14ac:dyDescent="0.3">
      <c r="A6672" s="10">
        <v>1364</v>
      </c>
      <c r="B6672" s="10" t="s">
        <v>18</v>
      </c>
      <c r="C6672" s="10" t="s">
        <v>57</v>
      </c>
      <c r="D6672" s="17">
        <v>647.99</v>
      </c>
    </row>
    <row r="6673" spans="1:4" x14ac:dyDescent="0.3">
      <c r="A6673" s="12"/>
      <c r="B6673" s="12"/>
      <c r="C6673" s="14" t="s">
        <v>65</v>
      </c>
      <c r="D6673" s="18">
        <v>470.99</v>
      </c>
    </row>
    <row r="6674" spans="1:4" x14ac:dyDescent="0.3">
      <c r="A6674" s="12"/>
      <c r="B6674" s="12"/>
      <c r="C6674" s="14" t="s">
        <v>189</v>
      </c>
      <c r="D6674" s="18">
        <v>2499.9899999999998</v>
      </c>
    </row>
    <row r="6675" spans="1:4" x14ac:dyDescent="0.3">
      <c r="A6675" s="12"/>
      <c r="B6675" s="12"/>
      <c r="C6675" s="14" t="s">
        <v>188</v>
      </c>
      <c r="D6675" s="18">
        <v>23999.98</v>
      </c>
    </row>
    <row r="6676" spans="1:4" x14ac:dyDescent="0.3">
      <c r="A6676" s="12"/>
      <c r="B6676" s="10" t="s">
        <v>1916</v>
      </c>
      <c r="C6676" s="11"/>
      <c r="D6676" s="17">
        <v>27618.95</v>
      </c>
    </row>
    <row r="6677" spans="1:4" x14ac:dyDescent="0.3">
      <c r="A6677" s="10" t="s">
        <v>1660</v>
      </c>
      <c r="B6677" s="11"/>
      <c r="C6677" s="11"/>
      <c r="D6677" s="17">
        <v>27618.95</v>
      </c>
    </row>
    <row r="6678" spans="1:4" x14ac:dyDescent="0.3">
      <c r="A6678" s="10">
        <v>1365</v>
      </c>
      <c r="B6678" s="10" t="s">
        <v>18</v>
      </c>
      <c r="C6678" s="10" t="s">
        <v>191</v>
      </c>
      <c r="D6678" s="17">
        <v>749.99</v>
      </c>
    </row>
    <row r="6679" spans="1:4" x14ac:dyDescent="0.3">
      <c r="A6679" s="12"/>
      <c r="B6679" s="12"/>
      <c r="C6679" s="14" t="s">
        <v>190</v>
      </c>
      <c r="D6679" s="18">
        <v>1549.99</v>
      </c>
    </row>
    <row r="6680" spans="1:4" x14ac:dyDescent="0.3">
      <c r="A6680" s="12"/>
      <c r="B6680" s="12"/>
      <c r="C6680" s="14" t="s">
        <v>81</v>
      </c>
      <c r="D6680" s="18">
        <v>4999.99</v>
      </c>
    </row>
    <row r="6681" spans="1:4" x14ac:dyDescent="0.3">
      <c r="A6681" s="12"/>
      <c r="B6681" s="10" t="s">
        <v>1916</v>
      </c>
      <c r="C6681" s="11"/>
      <c r="D6681" s="17">
        <v>7299.9699999999993</v>
      </c>
    </row>
    <row r="6682" spans="1:4" x14ac:dyDescent="0.3">
      <c r="A6682" s="10" t="s">
        <v>1661</v>
      </c>
      <c r="B6682" s="11"/>
      <c r="C6682" s="11"/>
      <c r="D6682" s="17">
        <v>7299.9699999999993</v>
      </c>
    </row>
    <row r="6683" spans="1:4" x14ac:dyDescent="0.3">
      <c r="A6683" s="10">
        <v>1366</v>
      </c>
      <c r="B6683" s="10" t="s">
        <v>18</v>
      </c>
      <c r="C6683" s="10" t="s">
        <v>193</v>
      </c>
      <c r="D6683" s="17">
        <v>3798</v>
      </c>
    </row>
    <row r="6684" spans="1:4" x14ac:dyDescent="0.3">
      <c r="A6684" s="12"/>
      <c r="B6684" s="12"/>
      <c r="C6684" s="14" t="s">
        <v>192</v>
      </c>
      <c r="D6684" s="18">
        <v>3199.99</v>
      </c>
    </row>
    <row r="6685" spans="1:4" x14ac:dyDescent="0.3">
      <c r="A6685" s="12"/>
      <c r="B6685" s="12"/>
      <c r="C6685" s="14" t="s">
        <v>194</v>
      </c>
      <c r="D6685" s="18">
        <v>3499.99</v>
      </c>
    </row>
    <row r="6686" spans="1:4" x14ac:dyDescent="0.3">
      <c r="A6686" s="12"/>
      <c r="B6686" s="10" t="s">
        <v>1916</v>
      </c>
      <c r="C6686" s="11"/>
      <c r="D6686" s="17">
        <v>10497.98</v>
      </c>
    </row>
    <row r="6687" spans="1:4" x14ac:dyDescent="0.3">
      <c r="A6687" s="10" t="s">
        <v>1662</v>
      </c>
      <c r="B6687" s="11"/>
      <c r="C6687" s="11"/>
      <c r="D6687" s="17">
        <v>10497.98</v>
      </c>
    </row>
    <row r="6688" spans="1:4" x14ac:dyDescent="0.3">
      <c r="A6688" s="10">
        <v>1367</v>
      </c>
      <c r="B6688" s="10" t="s">
        <v>11</v>
      </c>
      <c r="C6688" s="10" t="s">
        <v>25</v>
      </c>
      <c r="D6688" s="17">
        <v>1099.98</v>
      </c>
    </row>
    <row r="6689" spans="1:4" x14ac:dyDescent="0.3">
      <c r="A6689" s="12"/>
      <c r="B6689" s="12"/>
      <c r="C6689" s="14" t="s">
        <v>196</v>
      </c>
      <c r="D6689" s="18">
        <v>5198</v>
      </c>
    </row>
    <row r="6690" spans="1:4" x14ac:dyDescent="0.3">
      <c r="A6690" s="12"/>
      <c r="B6690" s="12"/>
      <c r="C6690" s="14" t="s">
        <v>197</v>
      </c>
      <c r="D6690" s="18">
        <v>1499</v>
      </c>
    </row>
    <row r="6691" spans="1:4" x14ac:dyDescent="0.3">
      <c r="A6691" s="12"/>
      <c r="B6691" s="12"/>
      <c r="C6691" s="14" t="s">
        <v>195</v>
      </c>
      <c r="D6691" s="18">
        <v>1499.99</v>
      </c>
    </row>
    <row r="6692" spans="1:4" x14ac:dyDescent="0.3">
      <c r="A6692" s="12"/>
      <c r="B6692" s="10" t="s">
        <v>1915</v>
      </c>
      <c r="C6692" s="11"/>
      <c r="D6692" s="17">
        <v>9296.9699999999993</v>
      </c>
    </row>
    <row r="6693" spans="1:4" x14ac:dyDescent="0.3">
      <c r="A6693" s="10" t="s">
        <v>1663</v>
      </c>
      <c r="B6693" s="11"/>
      <c r="C6693" s="11"/>
      <c r="D6693" s="17">
        <v>9296.9699999999993</v>
      </c>
    </row>
    <row r="6694" spans="1:4" x14ac:dyDescent="0.3">
      <c r="A6694" s="10">
        <v>1368</v>
      </c>
      <c r="B6694" s="10" t="s">
        <v>18</v>
      </c>
      <c r="C6694" s="10" t="s">
        <v>92</v>
      </c>
      <c r="D6694" s="17">
        <v>250.99</v>
      </c>
    </row>
    <row r="6695" spans="1:4" x14ac:dyDescent="0.3">
      <c r="A6695" s="12"/>
      <c r="B6695" s="12"/>
      <c r="C6695" s="14" t="s">
        <v>199</v>
      </c>
      <c r="D6695" s="18">
        <v>4499.99</v>
      </c>
    </row>
    <row r="6696" spans="1:4" x14ac:dyDescent="0.3">
      <c r="A6696" s="12"/>
      <c r="B6696" s="12"/>
      <c r="C6696" s="14" t="s">
        <v>198</v>
      </c>
      <c r="D6696" s="18">
        <v>979.98</v>
      </c>
    </row>
    <row r="6697" spans="1:4" x14ac:dyDescent="0.3">
      <c r="A6697" s="12"/>
      <c r="B6697" s="10" t="s">
        <v>1916</v>
      </c>
      <c r="C6697" s="11"/>
      <c r="D6697" s="17">
        <v>5730.9599999999991</v>
      </c>
    </row>
    <row r="6698" spans="1:4" x14ac:dyDescent="0.3">
      <c r="A6698" s="10" t="s">
        <v>1664</v>
      </c>
      <c r="B6698" s="11"/>
      <c r="C6698" s="11"/>
      <c r="D6698" s="17">
        <v>5730.9599999999991</v>
      </c>
    </row>
    <row r="6699" spans="1:4" x14ac:dyDescent="0.3">
      <c r="A6699" s="10">
        <v>1369</v>
      </c>
      <c r="B6699" s="10" t="s">
        <v>18</v>
      </c>
      <c r="C6699" s="10" t="s">
        <v>200</v>
      </c>
      <c r="D6699" s="17">
        <v>539.98</v>
      </c>
    </row>
    <row r="6700" spans="1:4" x14ac:dyDescent="0.3">
      <c r="A6700" s="12"/>
      <c r="B6700" s="10" t="s">
        <v>1916</v>
      </c>
      <c r="C6700" s="11"/>
      <c r="D6700" s="17">
        <v>539.98</v>
      </c>
    </row>
    <row r="6701" spans="1:4" x14ac:dyDescent="0.3">
      <c r="A6701" s="10" t="s">
        <v>1665</v>
      </c>
      <c r="B6701" s="11"/>
      <c r="C6701" s="11"/>
      <c r="D6701" s="17">
        <v>539.98</v>
      </c>
    </row>
    <row r="6702" spans="1:4" x14ac:dyDescent="0.3">
      <c r="A6702" s="10">
        <v>1370</v>
      </c>
      <c r="B6702" s="10" t="s">
        <v>18</v>
      </c>
      <c r="C6702" s="10" t="s">
        <v>201</v>
      </c>
      <c r="D6702" s="17">
        <v>3599.98</v>
      </c>
    </row>
    <row r="6703" spans="1:4" x14ac:dyDescent="0.3">
      <c r="A6703" s="12"/>
      <c r="B6703" s="12"/>
      <c r="C6703" s="14" t="s">
        <v>94</v>
      </c>
      <c r="D6703" s="18">
        <v>419.98</v>
      </c>
    </row>
    <row r="6704" spans="1:4" x14ac:dyDescent="0.3">
      <c r="A6704" s="12"/>
      <c r="B6704" s="12"/>
      <c r="C6704" s="14" t="s">
        <v>165</v>
      </c>
      <c r="D6704" s="18">
        <v>1499.99</v>
      </c>
    </row>
    <row r="6705" spans="1:4" x14ac:dyDescent="0.3">
      <c r="A6705" s="12"/>
      <c r="B6705" s="12"/>
      <c r="C6705" s="14" t="s">
        <v>29</v>
      </c>
      <c r="D6705" s="18">
        <v>3999.99</v>
      </c>
    </row>
    <row r="6706" spans="1:4" x14ac:dyDescent="0.3">
      <c r="A6706" s="12"/>
      <c r="B6706" s="10" t="s">
        <v>1916</v>
      </c>
      <c r="C6706" s="11"/>
      <c r="D6706" s="17">
        <v>9519.9399999999987</v>
      </c>
    </row>
    <row r="6707" spans="1:4" x14ac:dyDescent="0.3">
      <c r="A6707" s="10" t="s">
        <v>1666</v>
      </c>
      <c r="B6707" s="11"/>
      <c r="C6707" s="11"/>
      <c r="D6707" s="17">
        <v>9519.9399999999987</v>
      </c>
    </row>
    <row r="6708" spans="1:4" x14ac:dyDescent="0.3">
      <c r="A6708" s="10">
        <v>1371</v>
      </c>
      <c r="B6708" s="10" t="s">
        <v>18</v>
      </c>
      <c r="C6708" s="10" t="s">
        <v>202</v>
      </c>
      <c r="D6708" s="17">
        <v>1059.98</v>
      </c>
    </row>
    <row r="6709" spans="1:4" x14ac:dyDescent="0.3">
      <c r="A6709" s="12"/>
      <c r="B6709" s="12"/>
      <c r="C6709" s="14" t="s">
        <v>12</v>
      </c>
      <c r="D6709" s="18">
        <v>3599.98</v>
      </c>
    </row>
    <row r="6710" spans="1:4" x14ac:dyDescent="0.3">
      <c r="A6710" s="12"/>
      <c r="B6710" s="10" t="s">
        <v>1916</v>
      </c>
      <c r="C6710" s="11"/>
      <c r="D6710" s="17">
        <v>4659.96</v>
      </c>
    </row>
    <row r="6711" spans="1:4" x14ac:dyDescent="0.3">
      <c r="A6711" s="10" t="s">
        <v>1667</v>
      </c>
      <c r="B6711" s="11"/>
      <c r="C6711" s="11"/>
      <c r="D6711" s="17">
        <v>4659.96</v>
      </c>
    </row>
    <row r="6712" spans="1:4" x14ac:dyDescent="0.3">
      <c r="A6712" s="10">
        <v>1372</v>
      </c>
      <c r="B6712" s="10" t="s">
        <v>18</v>
      </c>
      <c r="C6712" s="10" t="s">
        <v>133</v>
      </c>
      <c r="D6712" s="17">
        <v>639.98</v>
      </c>
    </row>
    <row r="6713" spans="1:4" x14ac:dyDescent="0.3">
      <c r="A6713" s="12"/>
      <c r="B6713" s="12"/>
      <c r="C6713" s="14" t="s">
        <v>185</v>
      </c>
      <c r="D6713" s="18">
        <v>749.99</v>
      </c>
    </row>
    <row r="6714" spans="1:4" x14ac:dyDescent="0.3">
      <c r="A6714" s="12"/>
      <c r="B6714" s="10" t="s">
        <v>1916</v>
      </c>
      <c r="C6714" s="11"/>
      <c r="D6714" s="17">
        <v>1389.97</v>
      </c>
    </row>
    <row r="6715" spans="1:4" x14ac:dyDescent="0.3">
      <c r="A6715" s="10" t="s">
        <v>1668</v>
      </c>
      <c r="B6715" s="11"/>
      <c r="C6715" s="11"/>
      <c r="D6715" s="17">
        <v>1389.97</v>
      </c>
    </row>
    <row r="6716" spans="1:4" x14ac:dyDescent="0.3">
      <c r="A6716" s="10">
        <v>1373</v>
      </c>
      <c r="B6716" s="10" t="s">
        <v>37</v>
      </c>
      <c r="C6716" s="10" t="s">
        <v>75</v>
      </c>
      <c r="D6716" s="17">
        <v>3499.99</v>
      </c>
    </row>
    <row r="6717" spans="1:4" x14ac:dyDescent="0.3">
      <c r="A6717" s="12"/>
      <c r="B6717" s="10" t="s">
        <v>1917</v>
      </c>
      <c r="C6717" s="11"/>
      <c r="D6717" s="17">
        <v>3499.99</v>
      </c>
    </row>
    <row r="6718" spans="1:4" x14ac:dyDescent="0.3">
      <c r="A6718" s="10" t="s">
        <v>1669</v>
      </c>
      <c r="B6718" s="11"/>
      <c r="C6718" s="11"/>
      <c r="D6718" s="17">
        <v>3499.99</v>
      </c>
    </row>
    <row r="6719" spans="1:4" x14ac:dyDescent="0.3">
      <c r="A6719" s="10">
        <v>1374</v>
      </c>
      <c r="B6719" s="10" t="s">
        <v>11</v>
      </c>
      <c r="C6719" s="10" t="s">
        <v>203</v>
      </c>
      <c r="D6719" s="17">
        <v>4399.9799999999996</v>
      </c>
    </row>
    <row r="6720" spans="1:4" x14ac:dyDescent="0.3">
      <c r="A6720" s="12"/>
      <c r="B6720" s="12"/>
      <c r="C6720" s="14" t="s">
        <v>184</v>
      </c>
      <c r="D6720" s="18">
        <v>1839.98</v>
      </c>
    </row>
    <row r="6721" spans="1:4" x14ac:dyDescent="0.3">
      <c r="A6721" s="12"/>
      <c r="B6721" s="10" t="s">
        <v>1915</v>
      </c>
      <c r="C6721" s="11"/>
      <c r="D6721" s="17">
        <v>6239.9599999999991</v>
      </c>
    </row>
    <row r="6722" spans="1:4" x14ac:dyDescent="0.3">
      <c r="A6722" s="10" t="s">
        <v>1670</v>
      </c>
      <c r="B6722" s="11"/>
      <c r="C6722" s="11"/>
      <c r="D6722" s="17">
        <v>6239.9599999999991</v>
      </c>
    </row>
    <row r="6723" spans="1:4" x14ac:dyDescent="0.3">
      <c r="A6723" s="10">
        <v>1375</v>
      </c>
      <c r="B6723" s="10" t="s">
        <v>37</v>
      </c>
      <c r="C6723" s="10" t="s">
        <v>170</v>
      </c>
      <c r="D6723" s="17">
        <v>3599.98</v>
      </c>
    </row>
    <row r="6724" spans="1:4" x14ac:dyDescent="0.3">
      <c r="A6724" s="12"/>
      <c r="B6724" s="12"/>
      <c r="C6724" s="14" t="s">
        <v>204</v>
      </c>
      <c r="D6724" s="18">
        <v>2499.9899999999998</v>
      </c>
    </row>
    <row r="6725" spans="1:4" x14ac:dyDescent="0.3">
      <c r="A6725" s="12"/>
      <c r="B6725" s="10" t="s">
        <v>1917</v>
      </c>
      <c r="C6725" s="11"/>
      <c r="D6725" s="17">
        <v>6099.9699999999993</v>
      </c>
    </row>
    <row r="6726" spans="1:4" x14ac:dyDescent="0.3">
      <c r="A6726" s="10" t="s">
        <v>1671</v>
      </c>
      <c r="B6726" s="11"/>
      <c r="C6726" s="11"/>
      <c r="D6726" s="17">
        <v>6099.9699999999993</v>
      </c>
    </row>
    <row r="6727" spans="1:4" x14ac:dyDescent="0.3">
      <c r="A6727" s="10">
        <v>1376</v>
      </c>
      <c r="B6727" s="10" t="s">
        <v>11</v>
      </c>
      <c r="C6727" s="10" t="s">
        <v>34</v>
      </c>
      <c r="D6727" s="17">
        <v>1320.99</v>
      </c>
    </row>
    <row r="6728" spans="1:4" x14ac:dyDescent="0.3">
      <c r="A6728" s="12"/>
      <c r="B6728" s="10" t="s">
        <v>1915</v>
      </c>
      <c r="C6728" s="11"/>
      <c r="D6728" s="17">
        <v>1320.99</v>
      </c>
    </row>
    <row r="6729" spans="1:4" x14ac:dyDescent="0.3">
      <c r="A6729" s="10" t="s">
        <v>1672</v>
      </c>
      <c r="B6729" s="11"/>
      <c r="C6729" s="11"/>
      <c r="D6729" s="17">
        <v>1320.99</v>
      </c>
    </row>
    <row r="6730" spans="1:4" x14ac:dyDescent="0.3">
      <c r="A6730" s="10">
        <v>1377</v>
      </c>
      <c r="B6730" s="10" t="s">
        <v>18</v>
      </c>
      <c r="C6730" s="10" t="s">
        <v>153</v>
      </c>
      <c r="D6730" s="17">
        <v>9999.98</v>
      </c>
    </row>
    <row r="6731" spans="1:4" x14ac:dyDescent="0.3">
      <c r="A6731" s="12"/>
      <c r="B6731" s="12"/>
      <c r="C6731" s="14" t="s">
        <v>84</v>
      </c>
      <c r="D6731" s="18">
        <v>1499.99</v>
      </c>
    </row>
    <row r="6732" spans="1:4" x14ac:dyDescent="0.3">
      <c r="A6732" s="12"/>
      <c r="B6732" s="12"/>
      <c r="C6732" s="14" t="s">
        <v>184</v>
      </c>
      <c r="D6732" s="18">
        <v>919.99</v>
      </c>
    </row>
    <row r="6733" spans="1:4" x14ac:dyDescent="0.3">
      <c r="A6733" s="12"/>
      <c r="B6733" s="12"/>
      <c r="C6733" s="14" t="s">
        <v>205</v>
      </c>
      <c r="D6733" s="18">
        <v>6999.98</v>
      </c>
    </row>
    <row r="6734" spans="1:4" x14ac:dyDescent="0.3">
      <c r="A6734" s="12"/>
      <c r="B6734" s="10" t="s">
        <v>1916</v>
      </c>
      <c r="C6734" s="11"/>
      <c r="D6734" s="17">
        <v>19419.939999999999</v>
      </c>
    </row>
    <row r="6735" spans="1:4" x14ac:dyDescent="0.3">
      <c r="A6735" s="10" t="s">
        <v>1673</v>
      </c>
      <c r="B6735" s="11"/>
      <c r="C6735" s="11"/>
      <c r="D6735" s="17">
        <v>19419.939999999999</v>
      </c>
    </row>
    <row r="6736" spans="1:4" x14ac:dyDescent="0.3">
      <c r="A6736" s="10">
        <v>1378</v>
      </c>
      <c r="B6736" s="10" t="s">
        <v>11</v>
      </c>
      <c r="C6736" s="10" t="s">
        <v>91</v>
      </c>
      <c r="D6736" s="17">
        <v>699.98</v>
      </c>
    </row>
    <row r="6737" spans="1:4" x14ac:dyDescent="0.3">
      <c r="A6737" s="12"/>
      <c r="B6737" s="12"/>
      <c r="C6737" s="14" t="s">
        <v>22</v>
      </c>
      <c r="D6737" s="18">
        <v>1499.98</v>
      </c>
    </row>
    <row r="6738" spans="1:4" x14ac:dyDescent="0.3">
      <c r="A6738" s="12"/>
      <c r="B6738" s="12"/>
      <c r="C6738" s="14" t="s">
        <v>65</v>
      </c>
      <c r="D6738" s="18">
        <v>470.99</v>
      </c>
    </row>
    <row r="6739" spans="1:4" x14ac:dyDescent="0.3">
      <c r="A6739" s="12"/>
      <c r="B6739" s="12"/>
      <c r="C6739" s="14" t="s">
        <v>206</v>
      </c>
      <c r="D6739" s="18">
        <v>6399.98</v>
      </c>
    </row>
    <row r="6740" spans="1:4" x14ac:dyDescent="0.3">
      <c r="A6740" s="12"/>
      <c r="B6740" s="12"/>
      <c r="C6740" s="14" t="s">
        <v>129</v>
      </c>
      <c r="D6740" s="18">
        <v>1839.98</v>
      </c>
    </row>
    <row r="6741" spans="1:4" x14ac:dyDescent="0.3">
      <c r="A6741" s="12"/>
      <c r="B6741" s="10" t="s">
        <v>1915</v>
      </c>
      <c r="C6741" s="11"/>
      <c r="D6741" s="17">
        <v>10910.91</v>
      </c>
    </row>
    <row r="6742" spans="1:4" x14ac:dyDescent="0.3">
      <c r="A6742" s="10" t="s">
        <v>1674</v>
      </c>
      <c r="B6742" s="11"/>
      <c r="C6742" s="11"/>
      <c r="D6742" s="17">
        <v>10910.91</v>
      </c>
    </row>
    <row r="6743" spans="1:4" x14ac:dyDescent="0.3">
      <c r="A6743" s="10">
        <v>1379</v>
      </c>
      <c r="B6743" s="10" t="s">
        <v>18</v>
      </c>
      <c r="C6743" s="10" t="s">
        <v>27</v>
      </c>
      <c r="D6743" s="17">
        <v>529.99</v>
      </c>
    </row>
    <row r="6744" spans="1:4" x14ac:dyDescent="0.3">
      <c r="A6744" s="12"/>
      <c r="B6744" s="12"/>
      <c r="C6744" s="14" t="s">
        <v>168</v>
      </c>
      <c r="D6744" s="18">
        <v>179.98</v>
      </c>
    </row>
    <row r="6745" spans="1:4" x14ac:dyDescent="0.3">
      <c r="A6745" s="12"/>
      <c r="B6745" s="12"/>
      <c r="C6745" s="14" t="s">
        <v>207</v>
      </c>
      <c r="D6745" s="18">
        <v>999.99</v>
      </c>
    </row>
    <row r="6746" spans="1:4" x14ac:dyDescent="0.3">
      <c r="A6746" s="12"/>
      <c r="B6746" s="10" t="s">
        <v>1916</v>
      </c>
      <c r="C6746" s="11"/>
      <c r="D6746" s="17">
        <v>1709.96</v>
      </c>
    </row>
    <row r="6747" spans="1:4" x14ac:dyDescent="0.3">
      <c r="A6747" s="10" t="s">
        <v>1675</v>
      </c>
      <c r="B6747" s="11"/>
      <c r="C6747" s="11"/>
      <c r="D6747" s="17">
        <v>1709.96</v>
      </c>
    </row>
    <row r="6748" spans="1:4" x14ac:dyDescent="0.3">
      <c r="A6748" s="10">
        <v>1380</v>
      </c>
      <c r="B6748" s="10" t="s">
        <v>11</v>
      </c>
      <c r="C6748" s="10" t="s">
        <v>209</v>
      </c>
      <c r="D6748" s="17">
        <v>859.98</v>
      </c>
    </row>
    <row r="6749" spans="1:4" x14ac:dyDescent="0.3">
      <c r="A6749" s="12"/>
      <c r="B6749" s="12"/>
      <c r="C6749" s="14" t="s">
        <v>208</v>
      </c>
      <c r="D6749" s="18">
        <v>1799.98</v>
      </c>
    </row>
    <row r="6750" spans="1:4" x14ac:dyDescent="0.3">
      <c r="A6750" s="12"/>
      <c r="B6750" s="10" t="s">
        <v>1915</v>
      </c>
      <c r="C6750" s="11"/>
      <c r="D6750" s="17">
        <v>2659.96</v>
      </c>
    </row>
    <row r="6751" spans="1:4" x14ac:dyDescent="0.3">
      <c r="A6751" s="10" t="s">
        <v>1676</v>
      </c>
      <c r="B6751" s="11"/>
      <c r="C6751" s="11"/>
      <c r="D6751" s="17">
        <v>2659.96</v>
      </c>
    </row>
    <row r="6752" spans="1:4" x14ac:dyDescent="0.3">
      <c r="A6752" s="10">
        <v>1381</v>
      </c>
      <c r="B6752" s="10" t="s">
        <v>18</v>
      </c>
      <c r="C6752" s="10" t="s">
        <v>211</v>
      </c>
      <c r="D6752" s="17">
        <v>1799.98</v>
      </c>
    </row>
    <row r="6753" spans="1:4" x14ac:dyDescent="0.3">
      <c r="A6753" s="12"/>
      <c r="B6753" s="12"/>
      <c r="C6753" s="14" t="s">
        <v>210</v>
      </c>
      <c r="D6753" s="18">
        <v>459.98</v>
      </c>
    </row>
    <row r="6754" spans="1:4" x14ac:dyDescent="0.3">
      <c r="A6754" s="12"/>
      <c r="B6754" s="10" t="s">
        <v>1916</v>
      </c>
      <c r="C6754" s="11"/>
      <c r="D6754" s="17">
        <v>2259.96</v>
      </c>
    </row>
    <row r="6755" spans="1:4" x14ac:dyDescent="0.3">
      <c r="A6755" s="10" t="s">
        <v>1677</v>
      </c>
      <c r="B6755" s="11"/>
      <c r="C6755" s="11"/>
      <c r="D6755" s="17">
        <v>2259.96</v>
      </c>
    </row>
    <row r="6756" spans="1:4" x14ac:dyDescent="0.3">
      <c r="A6756" s="10">
        <v>1382</v>
      </c>
      <c r="B6756" s="10" t="s">
        <v>18</v>
      </c>
      <c r="C6756" s="10" t="s">
        <v>99</v>
      </c>
      <c r="D6756" s="17">
        <v>2199.98</v>
      </c>
    </row>
    <row r="6757" spans="1:4" x14ac:dyDescent="0.3">
      <c r="A6757" s="12"/>
      <c r="B6757" s="12"/>
      <c r="C6757" s="14" t="s">
        <v>134</v>
      </c>
      <c r="D6757" s="18">
        <v>479.99</v>
      </c>
    </row>
    <row r="6758" spans="1:4" x14ac:dyDescent="0.3">
      <c r="A6758" s="12"/>
      <c r="B6758" s="12"/>
      <c r="C6758" s="14" t="s">
        <v>212</v>
      </c>
      <c r="D6758" s="18">
        <v>959.99</v>
      </c>
    </row>
    <row r="6759" spans="1:4" x14ac:dyDescent="0.3">
      <c r="A6759" s="12"/>
      <c r="B6759" s="12"/>
      <c r="C6759" s="14" t="s">
        <v>185</v>
      </c>
      <c r="D6759" s="18">
        <v>749.99</v>
      </c>
    </row>
    <row r="6760" spans="1:4" x14ac:dyDescent="0.3">
      <c r="A6760" s="12"/>
      <c r="B6760" s="12"/>
      <c r="C6760" s="14" t="s">
        <v>213</v>
      </c>
      <c r="D6760" s="18">
        <v>1499.99</v>
      </c>
    </row>
    <row r="6761" spans="1:4" x14ac:dyDescent="0.3">
      <c r="A6761" s="12"/>
      <c r="B6761" s="10" t="s">
        <v>1916</v>
      </c>
      <c r="C6761" s="11"/>
      <c r="D6761" s="17">
        <v>5889.94</v>
      </c>
    </row>
    <row r="6762" spans="1:4" x14ac:dyDescent="0.3">
      <c r="A6762" s="10" t="s">
        <v>1678</v>
      </c>
      <c r="B6762" s="11"/>
      <c r="C6762" s="11"/>
      <c r="D6762" s="17">
        <v>5889.94</v>
      </c>
    </row>
    <row r="6763" spans="1:4" x14ac:dyDescent="0.3">
      <c r="A6763" s="10">
        <v>1383</v>
      </c>
      <c r="B6763" s="10" t="s">
        <v>11</v>
      </c>
      <c r="C6763" s="10" t="s">
        <v>114</v>
      </c>
      <c r="D6763" s="17">
        <v>693.98</v>
      </c>
    </row>
    <row r="6764" spans="1:4" x14ac:dyDescent="0.3">
      <c r="A6764" s="12"/>
      <c r="B6764" s="12"/>
      <c r="C6764" s="14" t="s">
        <v>205</v>
      </c>
      <c r="D6764" s="18">
        <v>6999.98</v>
      </c>
    </row>
    <row r="6765" spans="1:4" x14ac:dyDescent="0.3">
      <c r="A6765" s="12"/>
      <c r="B6765" s="10" t="s">
        <v>1915</v>
      </c>
      <c r="C6765" s="11"/>
      <c r="D6765" s="17">
        <v>7693.9599999999991</v>
      </c>
    </row>
    <row r="6766" spans="1:4" x14ac:dyDescent="0.3">
      <c r="A6766" s="10" t="s">
        <v>1679</v>
      </c>
      <c r="B6766" s="11"/>
      <c r="C6766" s="11"/>
      <c r="D6766" s="17">
        <v>7693.9599999999991</v>
      </c>
    </row>
    <row r="6767" spans="1:4" x14ac:dyDescent="0.3">
      <c r="A6767" s="10">
        <v>1384</v>
      </c>
      <c r="B6767" s="10" t="s">
        <v>18</v>
      </c>
      <c r="C6767" s="10" t="s">
        <v>55</v>
      </c>
      <c r="D6767" s="17">
        <v>349.99</v>
      </c>
    </row>
    <row r="6768" spans="1:4" x14ac:dyDescent="0.3">
      <c r="A6768" s="12"/>
      <c r="B6768" s="12"/>
      <c r="C6768" s="14" t="s">
        <v>46</v>
      </c>
      <c r="D6768" s="18">
        <v>469.99</v>
      </c>
    </row>
    <row r="6769" spans="1:4" x14ac:dyDescent="0.3">
      <c r="A6769" s="12"/>
      <c r="B6769" s="12"/>
      <c r="C6769" s="14" t="s">
        <v>206</v>
      </c>
      <c r="D6769" s="18">
        <v>6399.98</v>
      </c>
    </row>
    <row r="6770" spans="1:4" x14ac:dyDescent="0.3">
      <c r="A6770" s="12"/>
      <c r="B6770" s="12"/>
      <c r="C6770" s="14" t="s">
        <v>94</v>
      </c>
      <c r="D6770" s="18">
        <v>209.99</v>
      </c>
    </row>
    <row r="6771" spans="1:4" x14ac:dyDescent="0.3">
      <c r="A6771" s="12"/>
      <c r="B6771" s="10" t="s">
        <v>1916</v>
      </c>
      <c r="C6771" s="11"/>
      <c r="D6771" s="17">
        <v>7429.9499999999989</v>
      </c>
    </row>
    <row r="6772" spans="1:4" x14ac:dyDescent="0.3">
      <c r="A6772" s="10" t="s">
        <v>1680</v>
      </c>
      <c r="B6772" s="11"/>
      <c r="C6772" s="11"/>
      <c r="D6772" s="17">
        <v>7429.9499999999989</v>
      </c>
    </row>
    <row r="6773" spans="1:4" x14ac:dyDescent="0.3">
      <c r="A6773" s="10">
        <v>1385</v>
      </c>
      <c r="B6773" s="10" t="s">
        <v>37</v>
      </c>
      <c r="C6773" s="10" t="s">
        <v>25</v>
      </c>
      <c r="D6773" s="17">
        <v>1099.98</v>
      </c>
    </row>
    <row r="6774" spans="1:4" x14ac:dyDescent="0.3">
      <c r="A6774" s="12"/>
      <c r="B6774" s="12"/>
      <c r="C6774" s="14" t="s">
        <v>140</v>
      </c>
      <c r="D6774" s="18">
        <v>1799.99</v>
      </c>
    </row>
    <row r="6775" spans="1:4" x14ac:dyDescent="0.3">
      <c r="A6775" s="12"/>
      <c r="B6775" s="12"/>
      <c r="C6775" s="14" t="s">
        <v>72</v>
      </c>
      <c r="D6775" s="18">
        <v>2999.98</v>
      </c>
    </row>
    <row r="6776" spans="1:4" x14ac:dyDescent="0.3">
      <c r="A6776" s="12"/>
      <c r="B6776" s="12"/>
      <c r="C6776" s="14" t="s">
        <v>213</v>
      </c>
      <c r="D6776" s="18">
        <v>1499.99</v>
      </c>
    </row>
    <row r="6777" spans="1:4" x14ac:dyDescent="0.3">
      <c r="A6777" s="12"/>
      <c r="B6777" s="10" t="s">
        <v>1917</v>
      </c>
      <c r="C6777" s="11"/>
      <c r="D6777" s="17">
        <v>7399.9400000000005</v>
      </c>
    </row>
    <row r="6778" spans="1:4" x14ac:dyDescent="0.3">
      <c r="A6778" s="10" t="s">
        <v>1681</v>
      </c>
      <c r="B6778" s="11"/>
      <c r="C6778" s="11"/>
      <c r="D6778" s="17">
        <v>7399.9400000000005</v>
      </c>
    </row>
    <row r="6779" spans="1:4" x14ac:dyDescent="0.3">
      <c r="A6779" s="10">
        <v>1386</v>
      </c>
      <c r="B6779" s="10" t="s">
        <v>11</v>
      </c>
      <c r="C6779" s="10" t="s">
        <v>214</v>
      </c>
      <c r="D6779" s="17">
        <v>369.99</v>
      </c>
    </row>
    <row r="6780" spans="1:4" x14ac:dyDescent="0.3">
      <c r="A6780" s="12"/>
      <c r="B6780" s="12"/>
      <c r="C6780" s="14" t="s">
        <v>208</v>
      </c>
      <c r="D6780" s="18">
        <v>899.99</v>
      </c>
    </row>
    <row r="6781" spans="1:4" x14ac:dyDescent="0.3">
      <c r="A6781" s="12"/>
      <c r="B6781" s="12"/>
      <c r="C6781" s="14" t="s">
        <v>166</v>
      </c>
      <c r="D6781" s="18">
        <v>4499.99</v>
      </c>
    </row>
    <row r="6782" spans="1:4" x14ac:dyDescent="0.3">
      <c r="A6782" s="12"/>
      <c r="B6782" s="12"/>
      <c r="C6782" s="14" t="s">
        <v>215</v>
      </c>
      <c r="D6782" s="18">
        <v>249.99</v>
      </c>
    </row>
    <row r="6783" spans="1:4" x14ac:dyDescent="0.3">
      <c r="A6783" s="12"/>
      <c r="B6783" s="10" t="s">
        <v>1915</v>
      </c>
      <c r="C6783" s="11"/>
      <c r="D6783" s="17">
        <v>6019.9599999999991</v>
      </c>
    </row>
    <row r="6784" spans="1:4" x14ac:dyDescent="0.3">
      <c r="A6784" s="10" t="s">
        <v>1682</v>
      </c>
      <c r="B6784" s="11"/>
      <c r="C6784" s="11"/>
      <c r="D6784" s="17">
        <v>6019.9599999999991</v>
      </c>
    </row>
    <row r="6785" spans="1:4" x14ac:dyDescent="0.3">
      <c r="A6785" s="10">
        <v>1387</v>
      </c>
      <c r="B6785" s="10" t="s">
        <v>18</v>
      </c>
      <c r="C6785" s="10" t="s">
        <v>39</v>
      </c>
      <c r="D6785" s="17">
        <v>449.99</v>
      </c>
    </row>
    <row r="6786" spans="1:4" x14ac:dyDescent="0.3">
      <c r="A6786" s="12"/>
      <c r="B6786" s="10" t="s">
        <v>1916</v>
      </c>
      <c r="C6786" s="11"/>
      <c r="D6786" s="17">
        <v>449.99</v>
      </c>
    </row>
    <row r="6787" spans="1:4" x14ac:dyDescent="0.3">
      <c r="A6787" s="10" t="s">
        <v>1683</v>
      </c>
      <c r="B6787" s="11"/>
      <c r="C6787" s="11"/>
      <c r="D6787" s="17">
        <v>449.99</v>
      </c>
    </row>
    <row r="6788" spans="1:4" x14ac:dyDescent="0.3">
      <c r="A6788" s="10">
        <v>1388</v>
      </c>
      <c r="B6788" s="10" t="s">
        <v>18</v>
      </c>
      <c r="C6788" s="10" t="s">
        <v>216</v>
      </c>
      <c r="D6788" s="17">
        <v>2999.99</v>
      </c>
    </row>
    <row r="6789" spans="1:4" x14ac:dyDescent="0.3">
      <c r="A6789" s="12"/>
      <c r="B6789" s="10" t="s">
        <v>1916</v>
      </c>
      <c r="C6789" s="11"/>
      <c r="D6789" s="17">
        <v>2999.99</v>
      </c>
    </row>
    <row r="6790" spans="1:4" x14ac:dyDescent="0.3">
      <c r="A6790" s="10" t="s">
        <v>1684</v>
      </c>
      <c r="B6790" s="11"/>
      <c r="C6790" s="11"/>
      <c r="D6790" s="17">
        <v>2999.99</v>
      </c>
    </row>
    <row r="6791" spans="1:4" x14ac:dyDescent="0.3">
      <c r="A6791" s="10">
        <v>1389</v>
      </c>
      <c r="B6791" s="10" t="s">
        <v>18</v>
      </c>
      <c r="C6791" s="10" t="s">
        <v>218</v>
      </c>
      <c r="D6791" s="17">
        <v>319.99</v>
      </c>
    </row>
    <row r="6792" spans="1:4" x14ac:dyDescent="0.3">
      <c r="A6792" s="12"/>
      <c r="B6792" s="12"/>
      <c r="C6792" s="14" t="s">
        <v>38</v>
      </c>
      <c r="D6792" s="18">
        <v>659.98</v>
      </c>
    </row>
    <row r="6793" spans="1:4" x14ac:dyDescent="0.3">
      <c r="A6793" s="12"/>
      <c r="B6793" s="12"/>
      <c r="C6793" s="14" t="s">
        <v>217</v>
      </c>
      <c r="D6793" s="18">
        <v>6399.98</v>
      </c>
    </row>
    <row r="6794" spans="1:4" x14ac:dyDescent="0.3">
      <c r="A6794" s="12"/>
      <c r="B6794" s="10" t="s">
        <v>1916</v>
      </c>
      <c r="C6794" s="11"/>
      <c r="D6794" s="17">
        <v>7379.95</v>
      </c>
    </row>
    <row r="6795" spans="1:4" x14ac:dyDescent="0.3">
      <c r="A6795" s="10" t="s">
        <v>1685</v>
      </c>
      <c r="B6795" s="11"/>
      <c r="C6795" s="11"/>
      <c r="D6795" s="17">
        <v>7379.95</v>
      </c>
    </row>
    <row r="6796" spans="1:4" x14ac:dyDescent="0.3">
      <c r="A6796" s="10">
        <v>1390</v>
      </c>
      <c r="B6796" s="10" t="s">
        <v>18</v>
      </c>
      <c r="C6796" s="10" t="s">
        <v>208</v>
      </c>
      <c r="D6796" s="17">
        <v>899.99</v>
      </c>
    </row>
    <row r="6797" spans="1:4" x14ac:dyDescent="0.3">
      <c r="A6797" s="12"/>
      <c r="B6797" s="12"/>
      <c r="C6797" s="14" t="s">
        <v>77</v>
      </c>
      <c r="D6797" s="18">
        <v>2939.98</v>
      </c>
    </row>
    <row r="6798" spans="1:4" x14ac:dyDescent="0.3">
      <c r="A6798" s="12"/>
      <c r="B6798" s="12"/>
      <c r="C6798" s="14" t="s">
        <v>87</v>
      </c>
      <c r="D6798" s="18">
        <v>481.99</v>
      </c>
    </row>
    <row r="6799" spans="1:4" x14ac:dyDescent="0.3">
      <c r="A6799" s="12"/>
      <c r="B6799" s="12"/>
      <c r="C6799" s="14" t="s">
        <v>106</v>
      </c>
      <c r="D6799" s="18">
        <v>1999.98</v>
      </c>
    </row>
    <row r="6800" spans="1:4" x14ac:dyDescent="0.3">
      <c r="A6800" s="12"/>
      <c r="B6800" s="12"/>
      <c r="C6800" s="14" t="s">
        <v>170</v>
      </c>
      <c r="D6800" s="18">
        <v>3599.98</v>
      </c>
    </row>
    <row r="6801" spans="1:4" x14ac:dyDescent="0.3">
      <c r="A6801" s="12"/>
      <c r="B6801" s="10" t="s">
        <v>1916</v>
      </c>
      <c r="C6801" s="11"/>
      <c r="D6801" s="17">
        <v>9921.92</v>
      </c>
    </row>
    <row r="6802" spans="1:4" x14ac:dyDescent="0.3">
      <c r="A6802" s="10" t="s">
        <v>1686</v>
      </c>
      <c r="B6802" s="11"/>
      <c r="C6802" s="11"/>
      <c r="D6802" s="17">
        <v>9921.92</v>
      </c>
    </row>
    <row r="6803" spans="1:4" x14ac:dyDescent="0.3">
      <c r="A6803" s="10">
        <v>1391</v>
      </c>
      <c r="B6803" s="10" t="s">
        <v>18</v>
      </c>
      <c r="C6803" s="10" t="s">
        <v>202</v>
      </c>
      <c r="D6803" s="17">
        <v>1059.98</v>
      </c>
    </row>
    <row r="6804" spans="1:4" x14ac:dyDescent="0.3">
      <c r="A6804" s="12"/>
      <c r="B6804" s="12"/>
      <c r="C6804" s="14" t="s">
        <v>219</v>
      </c>
      <c r="D6804" s="18">
        <v>639.98</v>
      </c>
    </row>
    <row r="6805" spans="1:4" x14ac:dyDescent="0.3">
      <c r="A6805" s="12"/>
      <c r="B6805" s="12"/>
      <c r="C6805" s="14" t="s">
        <v>220</v>
      </c>
      <c r="D6805" s="18">
        <v>369.99</v>
      </c>
    </row>
    <row r="6806" spans="1:4" x14ac:dyDescent="0.3">
      <c r="A6806" s="12"/>
      <c r="B6806" s="10" t="s">
        <v>1916</v>
      </c>
      <c r="C6806" s="11"/>
      <c r="D6806" s="17">
        <v>2069.9499999999998</v>
      </c>
    </row>
    <row r="6807" spans="1:4" x14ac:dyDescent="0.3">
      <c r="A6807" s="10" t="s">
        <v>1687</v>
      </c>
      <c r="B6807" s="11"/>
      <c r="C6807" s="11"/>
      <c r="D6807" s="17">
        <v>2069.9499999999998</v>
      </c>
    </row>
    <row r="6808" spans="1:4" x14ac:dyDescent="0.3">
      <c r="A6808" s="10">
        <v>1392</v>
      </c>
      <c r="B6808" s="10" t="s">
        <v>18</v>
      </c>
      <c r="C6808" s="10" t="s">
        <v>221</v>
      </c>
      <c r="D6808" s="17">
        <v>1799.98</v>
      </c>
    </row>
    <row r="6809" spans="1:4" x14ac:dyDescent="0.3">
      <c r="A6809" s="12"/>
      <c r="B6809" s="12"/>
      <c r="C6809" s="14" t="s">
        <v>117</v>
      </c>
      <c r="D6809" s="18">
        <v>379.98</v>
      </c>
    </row>
    <row r="6810" spans="1:4" x14ac:dyDescent="0.3">
      <c r="A6810" s="12"/>
      <c r="B6810" s="10" t="s">
        <v>1916</v>
      </c>
      <c r="C6810" s="11"/>
      <c r="D6810" s="17">
        <v>2179.96</v>
      </c>
    </row>
    <row r="6811" spans="1:4" x14ac:dyDescent="0.3">
      <c r="A6811" s="10" t="s">
        <v>1688</v>
      </c>
      <c r="B6811" s="11"/>
      <c r="C6811" s="11"/>
      <c r="D6811" s="17">
        <v>2179.96</v>
      </c>
    </row>
    <row r="6812" spans="1:4" x14ac:dyDescent="0.3">
      <c r="A6812" s="10">
        <v>1393</v>
      </c>
      <c r="B6812" s="10" t="s">
        <v>18</v>
      </c>
      <c r="C6812" s="10" t="s">
        <v>100</v>
      </c>
      <c r="D6812" s="17">
        <v>659.99</v>
      </c>
    </row>
    <row r="6813" spans="1:4" x14ac:dyDescent="0.3">
      <c r="A6813" s="12"/>
      <c r="B6813" s="12"/>
      <c r="C6813" s="14" t="s">
        <v>111</v>
      </c>
      <c r="D6813" s="18">
        <v>209.99</v>
      </c>
    </row>
    <row r="6814" spans="1:4" x14ac:dyDescent="0.3">
      <c r="A6814" s="12"/>
      <c r="B6814" s="12"/>
      <c r="C6814" s="14" t="s">
        <v>222</v>
      </c>
      <c r="D6814" s="18">
        <v>319.98</v>
      </c>
    </row>
    <row r="6815" spans="1:4" x14ac:dyDescent="0.3">
      <c r="A6815" s="12"/>
      <c r="B6815" s="12"/>
      <c r="C6815" s="14" t="s">
        <v>54</v>
      </c>
      <c r="D6815" s="18">
        <v>10599.98</v>
      </c>
    </row>
    <row r="6816" spans="1:4" x14ac:dyDescent="0.3">
      <c r="A6816" s="12"/>
      <c r="B6816" s="10" t="s">
        <v>1916</v>
      </c>
      <c r="C6816" s="11"/>
      <c r="D6816" s="17">
        <v>11789.939999999999</v>
      </c>
    </row>
    <row r="6817" spans="1:4" x14ac:dyDescent="0.3">
      <c r="A6817" s="10" t="s">
        <v>1689</v>
      </c>
      <c r="B6817" s="11"/>
      <c r="C6817" s="11"/>
      <c r="D6817" s="17">
        <v>11789.939999999999</v>
      </c>
    </row>
    <row r="6818" spans="1:4" x14ac:dyDescent="0.3">
      <c r="A6818" s="10">
        <v>1394</v>
      </c>
      <c r="B6818" s="10" t="s">
        <v>37</v>
      </c>
      <c r="C6818" s="10" t="s">
        <v>223</v>
      </c>
      <c r="D6818" s="17">
        <v>4999.9799999999996</v>
      </c>
    </row>
    <row r="6819" spans="1:4" x14ac:dyDescent="0.3">
      <c r="A6819" s="12"/>
      <c r="B6819" s="10" t="s">
        <v>1917</v>
      </c>
      <c r="C6819" s="11"/>
      <c r="D6819" s="17">
        <v>4999.9799999999996</v>
      </c>
    </row>
    <row r="6820" spans="1:4" x14ac:dyDescent="0.3">
      <c r="A6820" s="10" t="s">
        <v>1690</v>
      </c>
      <c r="B6820" s="11"/>
      <c r="C6820" s="11"/>
      <c r="D6820" s="17">
        <v>4999.9799999999996</v>
      </c>
    </row>
    <row r="6821" spans="1:4" x14ac:dyDescent="0.3">
      <c r="A6821" s="10">
        <v>1395</v>
      </c>
      <c r="B6821" s="10" t="s">
        <v>11</v>
      </c>
      <c r="C6821" s="10" t="s">
        <v>146</v>
      </c>
      <c r="D6821" s="17">
        <v>679.99</v>
      </c>
    </row>
    <row r="6822" spans="1:4" x14ac:dyDescent="0.3">
      <c r="A6822" s="12"/>
      <c r="B6822" s="12"/>
      <c r="C6822" s="14" t="s">
        <v>127</v>
      </c>
      <c r="D6822" s="18">
        <v>1839.98</v>
      </c>
    </row>
    <row r="6823" spans="1:4" x14ac:dyDescent="0.3">
      <c r="A6823" s="12"/>
      <c r="B6823" s="12"/>
      <c r="C6823" s="14" t="s">
        <v>84</v>
      </c>
      <c r="D6823" s="18">
        <v>2999.98</v>
      </c>
    </row>
    <row r="6824" spans="1:4" x14ac:dyDescent="0.3">
      <c r="A6824" s="12"/>
      <c r="B6824" s="12"/>
      <c r="C6824" s="14" t="s">
        <v>187</v>
      </c>
      <c r="D6824" s="18">
        <v>3599.99</v>
      </c>
    </row>
    <row r="6825" spans="1:4" x14ac:dyDescent="0.3">
      <c r="A6825" s="12"/>
      <c r="B6825" s="10" t="s">
        <v>1915</v>
      </c>
      <c r="C6825" s="11"/>
      <c r="D6825" s="17">
        <v>9119.94</v>
      </c>
    </row>
    <row r="6826" spans="1:4" x14ac:dyDescent="0.3">
      <c r="A6826" s="10" t="s">
        <v>1691</v>
      </c>
      <c r="B6826" s="11"/>
      <c r="C6826" s="11"/>
      <c r="D6826" s="17">
        <v>9119.94</v>
      </c>
    </row>
    <row r="6827" spans="1:4" x14ac:dyDescent="0.3">
      <c r="A6827" s="10">
        <v>1396</v>
      </c>
      <c r="B6827" s="10" t="s">
        <v>18</v>
      </c>
      <c r="C6827" s="10" t="s">
        <v>203</v>
      </c>
      <c r="D6827" s="17">
        <v>2199.9899999999998</v>
      </c>
    </row>
    <row r="6828" spans="1:4" x14ac:dyDescent="0.3">
      <c r="A6828" s="12"/>
      <c r="B6828" s="12"/>
      <c r="C6828" s="14" t="s">
        <v>103</v>
      </c>
      <c r="D6828" s="18">
        <v>1999.99</v>
      </c>
    </row>
    <row r="6829" spans="1:4" x14ac:dyDescent="0.3">
      <c r="A6829" s="12"/>
      <c r="B6829" s="10" t="s">
        <v>1916</v>
      </c>
      <c r="C6829" s="11"/>
      <c r="D6829" s="17">
        <v>4199.9799999999996</v>
      </c>
    </row>
    <row r="6830" spans="1:4" x14ac:dyDescent="0.3">
      <c r="A6830" s="10" t="s">
        <v>1692</v>
      </c>
      <c r="B6830" s="11"/>
      <c r="C6830" s="11"/>
      <c r="D6830" s="17">
        <v>4199.9799999999996</v>
      </c>
    </row>
    <row r="6831" spans="1:4" x14ac:dyDescent="0.3">
      <c r="A6831" s="10">
        <v>1397</v>
      </c>
      <c r="B6831" s="10" t="s">
        <v>18</v>
      </c>
      <c r="C6831" s="10" t="s">
        <v>167</v>
      </c>
      <c r="D6831" s="17">
        <v>749.99</v>
      </c>
    </row>
    <row r="6832" spans="1:4" x14ac:dyDescent="0.3">
      <c r="A6832" s="12"/>
      <c r="B6832" s="12"/>
      <c r="C6832" s="14" t="s">
        <v>57</v>
      </c>
      <c r="D6832" s="18">
        <v>1295.98</v>
      </c>
    </row>
    <row r="6833" spans="1:4" x14ac:dyDescent="0.3">
      <c r="A6833" s="12"/>
      <c r="B6833" s="12"/>
      <c r="C6833" s="14" t="s">
        <v>224</v>
      </c>
      <c r="D6833" s="18">
        <v>939.98</v>
      </c>
    </row>
    <row r="6834" spans="1:4" x14ac:dyDescent="0.3">
      <c r="A6834" s="12"/>
      <c r="B6834" s="12"/>
      <c r="C6834" s="14" t="s">
        <v>121</v>
      </c>
      <c r="D6834" s="18">
        <v>2999.99</v>
      </c>
    </row>
    <row r="6835" spans="1:4" x14ac:dyDescent="0.3">
      <c r="A6835" s="12"/>
      <c r="B6835" s="12"/>
      <c r="C6835" s="14" t="s">
        <v>29</v>
      </c>
      <c r="D6835" s="18">
        <v>3999.99</v>
      </c>
    </row>
    <row r="6836" spans="1:4" x14ac:dyDescent="0.3">
      <c r="A6836" s="12"/>
      <c r="B6836" s="10" t="s">
        <v>1916</v>
      </c>
      <c r="C6836" s="11"/>
      <c r="D6836" s="17">
        <v>9985.93</v>
      </c>
    </row>
    <row r="6837" spans="1:4" x14ac:dyDescent="0.3">
      <c r="A6837" s="10" t="s">
        <v>1693</v>
      </c>
      <c r="B6837" s="11"/>
      <c r="C6837" s="11"/>
      <c r="D6837" s="17">
        <v>9985.93</v>
      </c>
    </row>
    <row r="6838" spans="1:4" x14ac:dyDescent="0.3">
      <c r="A6838" s="10">
        <v>1398</v>
      </c>
      <c r="B6838" s="10" t="s">
        <v>11</v>
      </c>
      <c r="C6838" s="10" t="s">
        <v>89</v>
      </c>
      <c r="D6838" s="17">
        <v>833.98</v>
      </c>
    </row>
    <row r="6839" spans="1:4" x14ac:dyDescent="0.3">
      <c r="A6839" s="12"/>
      <c r="B6839" s="12"/>
      <c r="C6839" s="14" t="s">
        <v>42</v>
      </c>
      <c r="D6839" s="18">
        <v>749.99</v>
      </c>
    </row>
    <row r="6840" spans="1:4" x14ac:dyDescent="0.3">
      <c r="A6840" s="12"/>
      <c r="B6840" s="10" t="s">
        <v>1915</v>
      </c>
      <c r="C6840" s="11"/>
      <c r="D6840" s="17">
        <v>1583.97</v>
      </c>
    </row>
    <row r="6841" spans="1:4" x14ac:dyDescent="0.3">
      <c r="A6841" s="10" t="s">
        <v>1694</v>
      </c>
      <c r="B6841" s="11"/>
      <c r="C6841" s="11"/>
      <c r="D6841" s="17">
        <v>1583.97</v>
      </c>
    </row>
    <row r="6842" spans="1:4" x14ac:dyDescent="0.3">
      <c r="A6842" s="10">
        <v>1399</v>
      </c>
      <c r="B6842" s="10" t="s">
        <v>18</v>
      </c>
      <c r="C6842" s="10" t="s">
        <v>225</v>
      </c>
      <c r="D6842" s="17">
        <v>479.99</v>
      </c>
    </row>
    <row r="6843" spans="1:4" x14ac:dyDescent="0.3">
      <c r="A6843" s="12"/>
      <c r="B6843" s="12"/>
      <c r="C6843" s="14" t="s">
        <v>86</v>
      </c>
      <c r="D6843" s="18">
        <v>2499.9899999999998</v>
      </c>
    </row>
    <row r="6844" spans="1:4" x14ac:dyDescent="0.3">
      <c r="A6844" s="12"/>
      <c r="B6844" s="12"/>
      <c r="C6844" s="14" t="s">
        <v>224</v>
      </c>
      <c r="D6844" s="18">
        <v>939.98</v>
      </c>
    </row>
    <row r="6845" spans="1:4" x14ac:dyDescent="0.3">
      <c r="A6845" s="12"/>
      <c r="B6845" s="12"/>
      <c r="C6845" s="14" t="s">
        <v>171</v>
      </c>
      <c r="D6845" s="18">
        <v>3098</v>
      </c>
    </row>
    <row r="6846" spans="1:4" x14ac:dyDescent="0.3">
      <c r="A6846" s="12"/>
      <c r="B6846" s="10" t="s">
        <v>1916</v>
      </c>
      <c r="C6846" s="11"/>
      <c r="D6846" s="17">
        <v>7017.9599999999991</v>
      </c>
    </row>
    <row r="6847" spans="1:4" x14ac:dyDescent="0.3">
      <c r="A6847" s="10" t="s">
        <v>1695</v>
      </c>
      <c r="B6847" s="11"/>
      <c r="C6847" s="11"/>
      <c r="D6847" s="17">
        <v>7017.9599999999991</v>
      </c>
    </row>
    <row r="6848" spans="1:4" x14ac:dyDescent="0.3">
      <c r="A6848" s="10">
        <v>1400</v>
      </c>
      <c r="B6848" s="10" t="s">
        <v>18</v>
      </c>
      <c r="C6848" s="10" t="s">
        <v>226</v>
      </c>
      <c r="D6848" s="17">
        <v>1819.98</v>
      </c>
    </row>
    <row r="6849" spans="1:4" x14ac:dyDescent="0.3">
      <c r="A6849" s="12"/>
      <c r="B6849" s="12"/>
      <c r="C6849" s="14" t="s">
        <v>25</v>
      </c>
      <c r="D6849" s="18">
        <v>1099.98</v>
      </c>
    </row>
    <row r="6850" spans="1:4" x14ac:dyDescent="0.3">
      <c r="A6850" s="12"/>
      <c r="B6850" s="12"/>
      <c r="C6850" s="14" t="s">
        <v>56</v>
      </c>
      <c r="D6850" s="18">
        <v>209.99</v>
      </c>
    </row>
    <row r="6851" spans="1:4" x14ac:dyDescent="0.3">
      <c r="A6851" s="12"/>
      <c r="B6851" s="12"/>
      <c r="C6851" s="14" t="s">
        <v>227</v>
      </c>
      <c r="D6851" s="18">
        <v>229.99</v>
      </c>
    </row>
    <row r="6852" spans="1:4" x14ac:dyDescent="0.3">
      <c r="A6852" s="12"/>
      <c r="B6852" s="10" t="s">
        <v>1916</v>
      </c>
      <c r="C6852" s="11"/>
      <c r="D6852" s="17">
        <v>3359.9399999999996</v>
      </c>
    </row>
    <row r="6853" spans="1:4" x14ac:dyDescent="0.3">
      <c r="A6853" s="10" t="s">
        <v>1696</v>
      </c>
      <c r="B6853" s="11"/>
      <c r="C6853" s="11"/>
      <c r="D6853" s="17">
        <v>3359.9399999999996</v>
      </c>
    </row>
    <row r="6854" spans="1:4" x14ac:dyDescent="0.3">
      <c r="A6854" s="10">
        <v>1401</v>
      </c>
      <c r="B6854" s="10" t="s">
        <v>18</v>
      </c>
      <c r="C6854" s="10" t="s">
        <v>136</v>
      </c>
      <c r="D6854" s="17">
        <v>429.99</v>
      </c>
    </row>
    <row r="6855" spans="1:4" x14ac:dyDescent="0.3">
      <c r="A6855" s="12"/>
      <c r="B6855" s="12"/>
      <c r="C6855" s="14" t="s">
        <v>172</v>
      </c>
      <c r="D6855" s="18">
        <v>1499.98</v>
      </c>
    </row>
    <row r="6856" spans="1:4" x14ac:dyDescent="0.3">
      <c r="A6856" s="12"/>
      <c r="B6856" s="12"/>
      <c r="C6856" s="14" t="s">
        <v>228</v>
      </c>
      <c r="D6856" s="18">
        <v>379.99</v>
      </c>
    </row>
    <row r="6857" spans="1:4" x14ac:dyDescent="0.3">
      <c r="A6857" s="12"/>
      <c r="B6857" s="10" t="s">
        <v>1916</v>
      </c>
      <c r="C6857" s="11"/>
      <c r="D6857" s="17">
        <v>2309.96</v>
      </c>
    </row>
    <row r="6858" spans="1:4" x14ac:dyDescent="0.3">
      <c r="A6858" s="10" t="s">
        <v>1697</v>
      </c>
      <c r="B6858" s="11"/>
      <c r="C6858" s="11"/>
      <c r="D6858" s="17">
        <v>2309.96</v>
      </c>
    </row>
    <row r="6859" spans="1:4" x14ac:dyDescent="0.3">
      <c r="A6859" s="10">
        <v>1402</v>
      </c>
      <c r="B6859" s="10" t="s">
        <v>18</v>
      </c>
      <c r="C6859" s="10" t="s">
        <v>86</v>
      </c>
      <c r="D6859" s="17">
        <v>4999.9799999999996</v>
      </c>
    </row>
    <row r="6860" spans="1:4" x14ac:dyDescent="0.3">
      <c r="A6860" s="12"/>
      <c r="B6860" s="12"/>
      <c r="C6860" s="14" t="s">
        <v>229</v>
      </c>
      <c r="D6860" s="18">
        <v>5599.98</v>
      </c>
    </row>
    <row r="6861" spans="1:4" x14ac:dyDescent="0.3">
      <c r="A6861" s="12"/>
      <c r="B6861" s="12"/>
      <c r="C6861" s="14" t="s">
        <v>147</v>
      </c>
      <c r="D6861" s="18">
        <v>4999.99</v>
      </c>
    </row>
    <row r="6862" spans="1:4" x14ac:dyDescent="0.3">
      <c r="A6862" s="12"/>
      <c r="B6862" s="12"/>
      <c r="C6862" s="14" t="s">
        <v>230</v>
      </c>
      <c r="D6862" s="18">
        <v>289.99</v>
      </c>
    </row>
    <row r="6863" spans="1:4" x14ac:dyDescent="0.3">
      <c r="A6863" s="12"/>
      <c r="B6863" s="10" t="s">
        <v>1916</v>
      </c>
      <c r="C6863" s="11"/>
      <c r="D6863" s="17">
        <v>15889.939999999999</v>
      </c>
    </row>
    <row r="6864" spans="1:4" x14ac:dyDescent="0.3">
      <c r="A6864" s="10" t="s">
        <v>1698</v>
      </c>
      <c r="B6864" s="11"/>
      <c r="C6864" s="11"/>
      <c r="D6864" s="17">
        <v>15889.939999999999</v>
      </c>
    </row>
    <row r="6865" spans="1:4" x14ac:dyDescent="0.3">
      <c r="A6865" s="10">
        <v>1403</v>
      </c>
      <c r="B6865" s="10" t="s">
        <v>18</v>
      </c>
      <c r="C6865" s="10" t="s">
        <v>110</v>
      </c>
      <c r="D6865" s="17">
        <v>419.98</v>
      </c>
    </row>
    <row r="6866" spans="1:4" x14ac:dyDescent="0.3">
      <c r="A6866" s="12"/>
      <c r="B6866" s="10" t="s">
        <v>1916</v>
      </c>
      <c r="C6866" s="11"/>
      <c r="D6866" s="17">
        <v>419.98</v>
      </c>
    </row>
    <row r="6867" spans="1:4" x14ac:dyDescent="0.3">
      <c r="A6867" s="10" t="s">
        <v>1699</v>
      </c>
      <c r="B6867" s="11"/>
      <c r="C6867" s="11"/>
      <c r="D6867" s="17">
        <v>419.98</v>
      </c>
    </row>
    <row r="6868" spans="1:4" x14ac:dyDescent="0.3">
      <c r="A6868" s="10">
        <v>1404</v>
      </c>
      <c r="B6868" s="10" t="s">
        <v>11</v>
      </c>
      <c r="C6868" s="10" t="s">
        <v>231</v>
      </c>
      <c r="D6868" s="17">
        <v>269.99</v>
      </c>
    </row>
    <row r="6869" spans="1:4" x14ac:dyDescent="0.3">
      <c r="A6869" s="12"/>
      <c r="B6869" s="12"/>
      <c r="C6869" s="14" t="s">
        <v>228</v>
      </c>
      <c r="D6869" s="18">
        <v>759.98</v>
      </c>
    </row>
    <row r="6870" spans="1:4" x14ac:dyDescent="0.3">
      <c r="A6870" s="12"/>
      <c r="B6870" s="12"/>
      <c r="C6870" s="14" t="s">
        <v>232</v>
      </c>
      <c r="D6870" s="18">
        <v>5599.98</v>
      </c>
    </row>
    <row r="6871" spans="1:4" x14ac:dyDescent="0.3">
      <c r="A6871" s="12"/>
      <c r="B6871" s="10" t="s">
        <v>1915</v>
      </c>
      <c r="C6871" s="11"/>
      <c r="D6871" s="17">
        <v>6629.95</v>
      </c>
    </row>
    <row r="6872" spans="1:4" x14ac:dyDescent="0.3">
      <c r="A6872" s="10" t="s">
        <v>1700</v>
      </c>
      <c r="B6872" s="11"/>
      <c r="C6872" s="11"/>
      <c r="D6872" s="17">
        <v>6629.95</v>
      </c>
    </row>
    <row r="6873" spans="1:4" x14ac:dyDescent="0.3">
      <c r="A6873" s="10">
        <v>1405</v>
      </c>
      <c r="B6873" s="10" t="s">
        <v>18</v>
      </c>
      <c r="C6873" s="10" t="s">
        <v>233</v>
      </c>
      <c r="D6873" s="17">
        <v>5999.98</v>
      </c>
    </row>
    <row r="6874" spans="1:4" x14ac:dyDescent="0.3">
      <c r="A6874" s="12"/>
      <c r="B6874" s="10" t="s">
        <v>1916</v>
      </c>
      <c r="C6874" s="11"/>
      <c r="D6874" s="17">
        <v>5999.98</v>
      </c>
    </row>
    <row r="6875" spans="1:4" x14ac:dyDescent="0.3">
      <c r="A6875" s="10" t="s">
        <v>1701</v>
      </c>
      <c r="B6875" s="11"/>
      <c r="C6875" s="11"/>
      <c r="D6875" s="17">
        <v>5999.98</v>
      </c>
    </row>
    <row r="6876" spans="1:4" x14ac:dyDescent="0.3">
      <c r="A6876" s="10">
        <v>1406</v>
      </c>
      <c r="B6876" s="10" t="s">
        <v>18</v>
      </c>
      <c r="C6876" s="10" t="s">
        <v>136</v>
      </c>
      <c r="D6876" s="17">
        <v>859.98</v>
      </c>
    </row>
    <row r="6877" spans="1:4" x14ac:dyDescent="0.3">
      <c r="A6877" s="12"/>
      <c r="B6877" s="12"/>
      <c r="C6877" s="14" t="s">
        <v>198</v>
      </c>
      <c r="D6877" s="18">
        <v>489.99</v>
      </c>
    </row>
    <row r="6878" spans="1:4" x14ac:dyDescent="0.3">
      <c r="A6878" s="12"/>
      <c r="B6878" s="10" t="s">
        <v>1916</v>
      </c>
      <c r="C6878" s="11"/>
      <c r="D6878" s="17">
        <v>1349.97</v>
      </c>
    </row>
    <row r="6879" spans="1:4" x14ac:dyDescent="0.3">
      <c r="A6879" s="10" t="s">
        <v>1702</v>
      </c>
      <c r="B6879" s="11"/>
      <c r="C6879" s="11"/>
      <c r="D6879" s="17">
        <v>1349.97</v>
      </c>
    </row>
    <row r="6880" spans="1:4" x14ac:dyDescent="0.3">
      <c r="A6880" s="10">
        <v>1407</v>
      </c>
      <c r="B6880" s="10" t="s">
        <v>18</v>
      </c>
      <c r="C6880" s="10" t="s">
        <v>141</v>
      </c>
      <c r="D6880" s="17">
        <v>799.99</v>
      </c>
    </row>
    <row r="6881" spans="1:4" x14ac:dyDescent="0.3">
      <c r="A6881" s="12"/>
      <c r="B6881" s="12"/>
      <c r="C6881" s="14" t="s">
        <v>109</v>
      </c>
      <c r="D6881" s="18">
        <v>832.99</v>
      </c>
    </row>
    <row r="6882" spans="1:4" x14ac:dyDescent="0.3">
      <c r="A6882" s="12"/>
      <c r="B6882" s="12"/>
      <c r="C6882" s="14" t="s">
        <v>116</v>
      </c>
      <c r="D6882" s="18">
        <v>1665.98</v>
      </c>
    </row>
    <row r="6883" spans="1:4" x14ac:dyDescent="0.3">
      <c r="A6883" s="12"/>
      <c r="B6883" s="12"/>
      <c r="C6883" s="14" t="s">
        <v>234</v>
      </c>
      <c r="D6883" s="18">
        <v>399.99</v>
      </c>
    </row>
    <row r="6884" spans="1:4" x14ac:dyDescent="0.3">
      <c r="A6884" s="12"/>
      <c r="B6884" s="10" t="s">
        <v>1916</v>
      </c>
      <c r="C6884" s="11"/>
      <c r="D6884" s="17">
        <v>3698.95</v>
      </c>
    </row>
    <row r="6885" spans="1:4" x14ac:dyDescent="0.3">
      <c r="A6885" s="10" t="s">
        <v>1703</v>
      </c>
      <c r="B6885" s="11"/>
      <c r="C6885" s="11"/>
      <c r="D6885" s="17">
        <v>3698.95</v>
      </c>
    </row>
    <row r="6886" spans="1:4" x14ac:dyDescent="0.3">
      <c r="A6886" s="10">
        <v>1408</v>
      </c>
      <c r="B6886" s="10" t="s">
        <v>18</v>
      </c>
      <c r="C6886" s="10" t="s">
        <v>33</v>
      </c>
      <c r="D6886" s="17">
        <v>599.98</v>
      </c>
    </row>
    <row r="6887" spans="1:4" x14ac:dyDescent="0.3">
      <c r="A6887" s="12"/>
      <c r="B6887" s="12"/>
      <c r="C6887" s="14" t="s">
        <v>236</v>
      </c>
      <c r="D6887" s="18">
        <v>5198</v>
      </c>
    </row>
    <row r="6888" spans="1:4" x14ac:dyDescent="0.3">
      <c r="A6888" s="12"/>
      <c r="B6888" s="12"/>
      <c r="C6888" s="14" t="s">
        <v>179</v>
      </c>
      <c r="D6888" s="18">
        <v>749.99</v>
      </c>
    </row>
    <row r="6889" spans="1:4" x14ac:dyDescent="0.3">
      <c r="A6889" s="12"/>
      <c r="B6889" s="12"/>
      <c r="C6889" s="14" t="s">
        <v>235</v>
      </c>
      <c r="D6889" s="18">
        <v>579.99</v>
      </c>
    </row>
    <row r="6890" spans="1:4" x14ac:dyDescent="0.3">
      <c r="A6890" s="12"/>
      <c r="B6890" s="10" t="s">
        <v>1916</v>
      </c>
      <c r="C6890" s="11"/>
      <c r="D6890" s="17">
        <v>7127.9599999999991</v>
      </c>
    </row>
    <row r="6891" spans="1:4" x14ac:dyDescent="0.3">
      <c r="A6891" s="10" t="s">
        <v>1704</v>
      </c>
      <c r="B6891" s="11"/>
      <c r="C6891" s="11"/>
      <c r="D6891" s="17">
        <v>7127.9599999999991</v>
      </c>
    </row>
    <row r="6892" spans="1:4" x14ac:dyDescent="0.3">
      <c r="A6892" s="10">
        <v>1409</v>
      </c>
      <c r="B6892" s="10" t="s">
        <v>37</v>
      </c>
      <c r="C6892" s="10" t="s">
        <v>240</v>
      </c>
      <c r="D6892" s="17">
        <v>269.99</v>
      </c>
    </row>
    <row r="6893" spans="1:4" x14ac:dyDescent="0.3">
      <c r="A6893" s="12"/>
      <c r="B6893" s="12"/>
      <c r="C6893" s="14" t="s">
        <v>237</v>
      </c>
      <c r="D6893" s="18">
        <v>1799.98</v>
      </c>
    </row>
    <row r="6894" spans="1:4" x14ac:dyDescent="0.3">
      <c r="A6894" s="12"/>
      <c r="B6894" s="12"/>
      <c r="C6894" s="14" t="s">
        <v>239</v>
      </c>
      <c r="D6894" s="18">
        <v>289.99</v>
      </c>
    </row>
    <row r="6895" spans="1:4" x14ac:dyDescent="0.3">
      <c r="A6895" s="12"/>
      <c r="B6895" s="12"/>
      <c r="C6895" s="14" t="s">
        <v>238</v>
      </c>
      <c r="D6895" s="18">
        <v>1299.99</v>
      </c>
    </row>
    <row r="6896" spans="1:4" x14ac:dyDescent="0.3">
      <c r="A6896" s="12"/>
      <c r="B6896" s="12"/>
      <c r="C6896" s="14" t="s">
        <v>217</v>
      </c>
      <c r="D6896" s="18">
        <v>6399.98</v>
      </c>
    </row>
    <row r="6897" spans="1:4" x14ac:dyDescent="0.3">
      <c r="A6897" s="12"/>
      <c r="B6897" s="10" t="s">
        <v>1917</v>
      </c>
      <c r="C6897" s="11"/>
      <c r="D6897" s="17">
        <v>10059.93</v>
      </c>
    </row>
    <row r="6898" spans="1:4" x14ac:dyDescent="0.3">
      <c r="A6898" s="10" t="s">
        <v>1705</v>
      </c>
      <c r="B6898" s="11"/>
      <c r="C6898" s="11"/>
      <c r="D6898" s="17">
        <v>10059.93</v>
      </c>
    </row>
    <row r="6899" spans="1:4" x14ac:dyDescent="0.3">
      <c r="A6899" s="10">
        <v>1410</v>
      </c>
      <c r="B6899" s="10" t="s">
        <v>18</v>
      </c>
      <c r="C6899" s="10" t="s">
        <v>146</v>
      </c>
      <c r="D6899" s="17">
        <v>679.99</v>
      </c>
    </row>
    <row r="6900" spans="1:4" x14ac:dyDescent="0.3">
      <c r="A6900" s="12"/>
      <c r="B6900" s="12"/>
      <c r="C6900" s="14" t="s">
        <v>147</v>
      </c>
      <c r="D6900" s="18">
        <v>9999.98</v>
      </c>
    </row>
    <row r="6901" spans="1:4" x14ac:dyDescent="0.3">
      <c r="A6901" s="12"/>
      <c r="B6901" s="12"/>
      <c r="C6901" s="14" t="s">
        <v>145</v>
      </c>
      <c r="D6901" s="18">
        <v>9999.98</v>
      </c>
    </row>
    <row r="6902" spans="1:4" x14ac:dyDescent="0.3">
      <c r="A6902" s="12"/>
      <c r="B6902" s="10" t="s">
        <v>1916</v>
      </c>
      <c r="C6902" s="11"/>
      <c r="D6902" s="17">
        <v>20679.949999999997</v>
      </c>
    </row>
    <row r="6903" spans="1:4" x14ac:dyDescent="0.3">
      <c r="A6903" s="10" t="s">
        <v>1706</v>
      </c>
      <c r="B6903" s="11"/>
      <c r="C6903" s="11"/>
      <c r="D6903" s="17">
        <v>20679.949999999997</v>
      </c>
    </row>
    <row r="6904" spans="1:4" x14ac:dyDescent="0.3">
      <c r="A6904" s="10">
        <v>1411</v>
      </c>
      <c r="B6904" s="10" t="s">
        <v>11</v>
      </c>
      <c r="C6904" s="10" t="s">
        <v>241</v>
      </c>
      <c r="D6904" s="17">
        <v>1499.98</v>
      </c>
    </row>
    <row r="6905" spans="1:4" x14ac:dyDescent="0.3">
      <c r="A6905" s="12"/>
      <c r="B6905" s="12"/>
      <c r="C6905" s="14" t="s">
        <v>26</v>
      </c>
      <c r="D6905" s="18">
        <v>2999.99</v>
      </c>
    </row>
    <row r="6906" spans="1:4" x14ac:dyDescent="0.3">
      <c r="A6906" s="12"/>
      <c r="B6906" s="10" t="s">
        <v>1915</v>
      </c>
      <c r="C6906" s="11"/>
      <c r="D6906" s="17">
        <v>4499.9699999999993</v>
      </c>
    </row>
    <row r="6907" spans="1:4" x14ac:dyDescent="0.3">
      <c r="A6907" s="10" t="s">
        <v>1707</v>
      </c>
      <c r="B6907" s="11"/>
      <c r="C6907" s="11"/>
      <c r="D6907" s="17">
        <v>4499.9699999999993</v>
      </c>
    </row>
    <row r="6908" spans="1:4" x14ac:dyDescent="0.3">
      <c r="A6908" s="10">
        <v>1412</v>
      </c>
      <c r="B6908" s="10" t="s">
        <v>18</v>
      </c>
      <c r="C6908" s="10" t="s">
        <v>49</v>
      </c>
      <c r="D6908" s="17">
        <v>833.98</v>
      </c>
    </row>
    <row r="6909" spans="1:4" x14ac:dyDescent="0.3">
      <c r="A6909" s="12"/>
      <c r="B6909" s="12"/>
      <c r="C6909" s="14" t="s">
        <v>127</v>
      </c>
      <c r="D6909" s="18">
        <v>1839.98</v>
      </c>
    </row>
    <row r="6910" spans="1:4" x14ac:dyDescent="0.3">
      <c r="A6910" s="12"/>
      <c r="B6910" s="12"/>
      <c r="C6910" s="14" t="s">
        <v>62</v>
      </c>
      <c r="D6910" s="18">
        <v>5299.99</v>
      </c>
    </row>
    <row r="6911" spans="1:4" x14ac:dyDescent="0.3">
      <c r="A6911" s="12"/>
      <c r="B6911" s="10" t="s">
        <v>1916</v>
      </c>
      <c r="C6911" s="11"/>
      <c r="D6911" s="17">
        <v>7973.95</v>
      </c>
    </row>
    <row r="6912" spans="1:4" x14ac:dyDescent="0.3">
      <c r="A6912" s="10" t="s">
        <v>1708</v>
      </c>
      <c r="B6912" s="11"/>
      <c r="C6912" s="11"/>
      <c r="D6912" s="17">
        <v>7973.95</v>
      </c>
    </row>
    <row r="6913" spans="1:4" x14ac:dyDescent="0.3">
      <c r="A6913" s="10">
        <v>1413</v>
      </c>
      <c r="B6913" s="10" t="s">
        <v>37</v>
      </c>
      <c r="C6913" s="10" t="s">
        <v>175</v>
      </c>
      <c r="D6913" s="17">
        <v>559.98</v>
      </c>
    </row>
    <row r="6914" spans="1:4" x14ac:dyDescent="0.3">
      <c r="A6914" s="12"/>
      <c r="B6914" s="10" t="s">
        <v>1917</v>
      </c>
      <c r="C6914" s="11"/>
      <c r="D6914" s="17">
        <v>559.98</v>
      </c>
    </row>
    <row r="6915" spans="1:4" x14ac:dyDescent="0.3">
      <c r="A6915" s="10" t="s">
        <v>1709</v>
      </c>
      <c r="B6915" s="11"/>
      <c r="C6915" s="11"/>
      <c r="D6915" s="17">
        <v>559.98</v>
      </c>
    </row>
    <row r="6916" spans="1:4" x14ac:dyDescent="0.3">
      <c r="A6916" s="10">
        <v>1414</v>
      </c>
      <c r="B6916" s="10" t="s">
        <v>18</v>
      </c>
      <c r="C6916" s="10" t="s">
        <v>214</v>
      </c>
      <c r="D6916" s="17">
        <v>739.98</v>
      </c>
    </row>
    <row r="6917" spans="1:4" x14ac:dyDescent="0.3">
      <c r="A6917" s="12"/>
      <c r="B6917" s="12"/>
      <c r="C6917" s="14" t="s">
        <v>233</v>
      </c>
      <c r="D6917" s="18">
        <v>5999.98</v>
      </c>
    </row>
    <row r="6918" spans="1:4" x14ac:dyDescent="0.3">
      <c r="A6918" s="12"/>
      <c r="B6918" s="10" t="s">
        <v>1916</v>
      </c>
      <c r="C6918" s="11"/>
      <c r="D6918" s="17">
        <v>6739.9599999999991</v>
      </c>
    </row>
    <row r="6919" spans="1:4" x14ac:dyDescent="0.3">
      <c r="A6919" s="10" t="s">
        <v>1710</v>
      </c>
      <c r="B6919" s="11"/>
      <c r="C6919" s="11"/>
      <c r="D6919" s="17">
        <v>6739.9599999999991</v>
      </c>
    </row>
    <row r="6920" spans="1:4" x14ac:dyDescent="0.3">
      <c r="A6920" s="10">
        <v>1415</v>
      </c>
      <c r="B6920" s="10" t="s">
        <v>18</v>
      </c>
      <c r="C6920" s="10" t="s">
        <v>243</v>
      </c>
      <c r="D6920" s="17">
        <v>659.99</v>
      </c>
    </row>
    <row r="6921" spans="1:4" x14ac:dyDescent="0.3">
      <c r="A6921" s="12"/>
      <c r="B6921" s="12"/>
      <c r="C6921" s="14" t="s">
        <v>23</v>
      </c>
      <c r="D6921" s="18">
        <v>429</v>
      </c>
    </row>
    <row r="6922" spans="1:4" x14ac:dyDescent="0.3">
      <c r="A6922" s="12"/>
      <c r="B6922" s="12"/>
      <c r="C6922" s="14" t="s">
        <v>242</v>
      </c>
      <c r="D6922" s="18">
        <v>499.98</v>
      </c>
    </row>
    <row r="6923" spans="1:4" x14ac:dyDescent="0.3">
      <c r="A6923" s="12"/>
      <c r="B6923" s="12"/>
      <c r="C6923" s="14" t="s">
        <v>102</v>
      </c>
      <c r="D6923" s="18">
        <v>3265.98</v>
      </c>
    </row>
    <row r="6924" spans="1:4" x14ac:dyDescent="0.3">
      <c r="A6924" s="12"/>
      <c r="B6924" s="10" t="s">
        <v>1916</v>
      </c>
      <c r="C6924" s="11"/>
      <c r="D6924" s="17">
        <v>4854.95</v>
      </c>
    </row>
    <row r="6925" spans="1:4" x14ac:dyDescent="0.3">
      <c r="A6925" s="10" t="s">
        <v>1711</v>
      </c>
      <c r="B6925" s="11"/>
      <c r="C6925" s="11"/>
      <c r="D6925" s="17">
        <v>4854.95</v>
      </c>
    </row>
    <row r="6926" spans="1:4" x14ac:dyDescent="0.3">
      <c r="A6926" s="10">
        <v>1416</v>
      </c>
      <c r="B6926" s="10" t="s">
        <v>37</v>
      </c>
      <c r="C6926" s="10" t="s">
        <v>245</v>
      </c>
      <c r="D6926" s="17">
        <v>1399.98</v>
      </c>
    </row>
    <row r="6927" spans="1:4" x14ac:dyDescent="0.3">
      <c r="A6927" s="12"/>
      <c r="B6927" s="12"/>
      <c r="C6927" s="14" t="s">
        <v>111</v>
      </c>
      <c r="D6927" s="18">
        <v>419.98</v>
      </c>
    </row>
    <row r="6928" spans="1:4" x14ac:dyDescent="0.3">
      <c r="A6928" s="12"/>
      <c r="B6928" s="12"/>
      <c r="C6928" s="14" t="s">
        <v>244</v>
      </c>
      <c r="D6928" s="18">
        <v>3499.99</v>
      </c>
    </row>
    <row r="6929" spans="1:4" x14ac:dyDescent="0.3">
      <c r="A6929" s="12"/>
      <c r="B6929" s="10" t="s">
        <v>1917</v>
      </c>
      <c r="C6929" s="11"/>
      <c r="D6929" s="17">
        <v>5319.95</v>
      </c>
    </row>
    <row r="6930" spans="1:4" x14ac:dyDescent="0.3">
      <c r="A6930" s="10" t="s">
        <v>1712</v>
      </c>
      <c r="B6930" s="11"/>
      <c r="C6930" s="11"/>
      <c r="D6930" s="17">
        <v>5319.95</v>
      </c>
    </row>
    <row r="6931" spans="1:4" x14ac:dyDescent="0.3">
      <c r="A6931" s="10">
        <v>1417</v>
      </c>
      <c r="B6931" s="10" t="s">
        <v>11</v>
      </c>
      <c r="C6931" s="10" t="s">
        <v>246</v>
      </c>
      <c r="D6931" s="17">
        <v>1279.98</v>
      </c>
    </row>
    <row r="6932" spans="1:4" x14ac:dyDescent="0.3">
      <c r="A6932" s="12"/>
      <c r="B6932" s="10" t="s">
        <v>1915</v>
      </c>
      <c r="C6932" s="11"/>
      <c r="D6932" s="17">
        <v>1279.98</v>
      </c>
    </row>
    <row r="6933" spans="1:4" x14ac:dyDescent="0.3">
      <c r="A6933" s="10" t="s">
        <v>1713</v>
      </c>
      <c r="B6933" s="11"/>
      <c r="C6933" s="11"/>
      <c r="D6933" s="17">
        <v>1279.98</v>
      </c>
    </row>
    <row r="6934" spans="1:4" x14ac:dyDescent="0.3">
      <c r="A6934" s="10">
        <v>1418</v>
      </c>
      <c r="B6934" s="10" t="s">
        <v>18</v>
      </c>
      <c r="C6934" s="10" t="s">
        <v>135</v>
      </c>
      <c r="D6934" s="17">
        <v>1359.98</v>
      </c>
    </row>
    <row r="6935" spans="1:4" x14ac:dyDescent="0.3">
      <c r="A6935" s="12"/>
      <c r="B6935" s="12"/>
      <c r="C6935" s="14" t="s">
        <v>119</v>
      </c>
      <c r="D6935" s="18">
        <v>4999.9799999999996</v>
      </c>
    </row>
    <row r="6936" spans="1:4" x14ac:dyDescent="0.3">
      <c r="A6936" s="12"/>
      <c r="B6936" s="10" t="s">
        <v>1916</v>
      </c>
      <c r="C6936" s="11"/>
      <c r="D6936" s="17">
        <v>6359.9599999999991</v>
      </c>
    </row>
    <row r="6937" spans="1:4" x14ac:dyDescent="0.3">
      <c r="A6937" s="10" t="s">
        <v>1714</v>
      </c>
      <c r="B6937" s="11"/>
      <c r="C6937" s="11"/>
      <c r="D6937" s="17">
        <v>6359.9599999999991</v>
      </c>
    </row>
    <row r="6938" spans="1:4" x14ac:dyDescent="0.3">
      <c r="A6938" s="10">
        <v>1419</v>
      </c>
      <c r="B6938" s="10" t="s">
        <v>18</v>
      </c>
      <c r="C6938" s="10" t="s">
        <v>158</v>
      </c>
      <c r="D6938" s="17">
        <v>899.99</v>
      </c>
    </row>
    <row r="6939" spans="1:4" x14ac:dyDescent="0.3">
      <c r="A6939" s="12"/>
      <c r="B6939" s="12"/>
      <c r="C6939" s="14" t="s">
        <v>120</v>
      </c>
      <c r="D6939" s="18">
        <v>1799.98</v>
      </c>
    </row>
    <row r="6940" spans="1:4" x14ac:dyDescent="0.3">
      <c r="A6940" s="12"/>
      <c r="B6940" s="12"/>
      <c r="C6940" s="14" t="s">
        <v>197</v>
      </c>
      <c r="D6940" s="18">
        <v>1499</v>
      </c>
    </row>
    <row r="6941" spans="1:4" x14ac:dyDescent="0.3">
      <c r="A6941" s="12"/>
      <c r="B6941" s="10" t="s">
        <v>1916</v>
      </c>
      <c r="C6941" s="11"/>
      <c r="D6941" s="17">
        <v>4198.97</v>
      </c>
    </row>
    <row r="6942" spans="1:4" x14ac:dyDescent="0.3">
      <c r="A6942" s="10" t="s">
        <v>1715</v>
      </c>
      <c r="B6942" s="11"/>
      <c r="C6942" s="11"/>
      <c r="D6942" s="17">
        <v>4198.97</v>
      </c>
    </row>
    <row r="6943" spans="1:4" x14ac:dyDescent="0.3">
      <c r="A6943" s="10">
        <v>1420</v>
      </c>
      <c r="B6943" s="10" t="s">
        <v>18</v>
      </c>
      <c r="C6943" s="10" t="s">
        <v>193</v>
      </c>
      <c r="D6943" s="17">
        <v>1899</v>
      </c>
    </row>
    <row r="6944" spans="1:4" x14ac:dyDescent="0.3">
      <c r="A6944" s="12"/>
      <c r="B6944" s="12"/>
      <c r="C6944" s="14" t="s">
        <v>247</v>
      </c>
      <c r="D6944" s="18">
        <v>2299.9899999999998</v>
      </c>
    </row>
    <row r="6945" spans="1:4" x14ac:dyDescent="0.3">
      <c r="A6945" s="12"/>
      <c r="B6945" s="12"/>
      <c r="C6945" s="14" t="s">
        <v>244</v>
      </c>
      <c r="D6945" s="18">
        <v>6999.98</v>
      </c>
    </row>
    <row r="6946" spans="1:4" x14ac:dyDescent="0.3">
      <c r="A6946" s="12"/>
      <c r="B6946" s="10" t="s">
        <v>1916</v>
      </c>
      <c r="C6946" s="11"/>
      <c r="D6946" s="17">
        <v>11198.97</v>
      </c>
    </row>
    <row r="6947" spans="1:4" x14ac:dyDescent="0.3">
      <c r="A6947" s="10" t="s">
        <v>1716</v>
      </c>
      <c r="B6947" s="11"/>
      <c r="C6947" s="11"/>
      <c r="D6947" s="17">
        <v>11198.97</v>
      </c>
    </row>
    <row r="6948" spans="1:4" x14ac:dyDescent="0.3">
      <c r="A6948" s="10">
        <v>1421</v>
      </c>
      <c r="B6948" s="10" t="s">
        <v>18</v>
      </c>
      <c r="C6948" s="10" t="s">
        <v>144</v>
      </c>
      <c r="D6948" s="17">
        <v>559.98</v>
      </c>
    </row>
    <row r="6949" spans="1:4" x14ac:dyDescent="0.3">
      <c r="A6949" s="12"/>
      <c r="B6949" s="10" t="s">
        <v>1916</v>
      </c>
      <c r="C6949" s="11"/>
      <c r="D6949" s="17">
        <v>559.98</v>
      </c>
    </row>
    <row r="6950" spans="1:4" x14ac:dyDescent="0.3">
      <c r="A6950" s="10" t="s">
        <v>1717</v>
      </c>
      <c r="B6950" s="11"/>
      <c r="C6950" s="11"/>
      <c r="D6950" s="17">
        <v>559.98</v>
      </c>
    </row>
    <row r="6951" spans="1:4" x14ac:dyDescent="0.3">
      <c r="A6951" s="10">
        <v>1422</v>
      </c>
      <c r="B6951" s="10" t="s">
        <v>37</v>
      </c>
      <c r="C6951" s="10" t="s">
        <v>135</v>
      </c>
      <c r="D6951" s="17">
        <v>679.99</v>
      </c>
    </row>
    <row r="6952" spans="1:4" x14ac:dyDescent="0.3">
      <c r="A6952" s="12"/>
      <c r="B6952" s="12"/>
      <c r="C6952" s="14" t="s">
        <v>63</v>
      </c>
      <c r="D6952" s="18">
        <v>1523.98</v>
      </c>
    </row>
    <row r="6953" spans="1:4" x14ac:dyDescent="0.3">
      <c r="A6953" s="12"/>
      <c r="B6953" s="12"/>
      <c r="C6953" s="14" t="s">
        <v>127</v>
      </c>
      <c r="D6953" s="18">
        <v>1839.98</v>
      </c>
    </row>
    <row r="6954" spans="1:4" x14ac:dyDescent="0.3">
      <c r="A6954" s="12"/>
      <c r="B6954" s="10" t="s">
        <v>1917</v>
      </c>
      <c r="C6954" s="11"/>
      <c r="D6954" s="17">
        <v>4043.9500000000003</v>
      </c>
    </row>
    <row r="6955" spans="1:4" x14ac:dyDescent="0.3">
      <c r="A6955" s="10" t="s">
        <v>1718</v>
      </c>
      <c r="B6955" s="11"/>
      <c r="C6955" s="11"/>
      <c r="D6955" s="17">
        <v>4043.9500000000003</v>
      </c>
    </row>
    <row r="6956" spans="1:4" x14ac:dyDescent="0.3">
      <c r="A6956" s="10">
        <v>1423</v>
      </c>
      <c r="B6956" s="10" t="s">
        <v>11</v>
      </c>
      <c r="C6956" s="10" t="s">
        <v>248</v>
      </c>
      <c r="D6956" s="17">
        <v>449.99</v>
      </c>
    </row>
    <row r="6957" spans="1:4" x14ac:dyDescent="0.3">
      <c r="A6957" s="12"/>
      <c r="B6957" s="12"/>
      <c r="C6957" s="14" t="s">
        <v>167</v>
      </c>
      <c r="D6957" s="18">
        <v>749.99</v>
      </c>
    </row>
    <row r="6958" spans="1:4" x14ac:dyDescent="0.3">
      <c r="A6958" s="12"/>
      <c r="B6958" s="12"/>
      <c r="C6958" s="14" t="s">
        <v>78</v>
      </c>
      <c r="D6958" s="18">
        <v>416.99</v>
      </c>
    </row>
    <row r="6959" spans="1:4" x14ac:dyDescent="0.3">
      <c r="A6959" s="12"/>
      <c r="B6959" s="12"/>
      <c r="C6959" s="14" t="s">
        <v>198</v>
      </c>
      <c r="D6959" s="18">
        <v>979.98</v>
      </c>
    </row>
    <row r="6960" spans="1:4" x14ac:dyDescent="0.3">
      <c r="A6960" s="12"/>
      <c r="B6960" s="10" t="s">
        <v>1915</v>
      </c>
      <c r="C6960" s="11"/>
      <c r="D6960" s="17">
        <v>2596.9499999999998</v>
      </c>
    </row>
    <row r="6961" spans="1:4" x14ac:dyDescent="0.3">
      <c r="A6961" s="10" t="s">
        <v>1719</v>
      </c>
      <c r="B6961" s="11"/>
      <c r="C6961" s="11"/>
      <c r="D6961" s="17">
        <v>2596.9499999999998</v>
      </c>
    </row>
    <row r="6962" spans="1:4" x14ac:dyDescent="0.3">
      <c r="A6962" s="10">
        <v>1424</v>
      </c>
      <c r="B6962" s="10" t="s">
        <v>11</v>
      </c>
      <c r="C6962" s="10" t="s">
        <v>249</v>
      </c>
      <c r="D6962" s="17">
        <v>9999.98</v>
      </c>
    </row>
    <row r="6963" spans="1:4" x14ac:dyDescent="0.3">
      <c r="A6963" s="12"/>
      <c r="B6963" s="10" t="s">
        <v>1915</v>
      </c>
      <c r="C6963" s="11"/>
      <c r="D6963" s="17">
        <v>9999.98</v>
      </c>
    </row>
    <row r="6964" spans="1:4" x14ac:dyDescent="0.3">
      <c r="A6964" s="10" t="s">
        <v>1720</v>
      </c>
      <c r="B6964" s="11"/>
      <c r="C6964" s="11"/>
      <c r="D6964" s="17">
        <v>9999.98</v>
      </c>
    </row>
    <row r="6965" spans="1:4" x14ac:dyDescent="0.3">
      <c r="A6965" s="10">
        <v>1425</v>
      </c>
      <c r="B6965" s="10" t="s">
        <v>18</v>
      </c>
      <c r="C6965" s="10" t="s">
        <v>218</v>
      </c>
      <c r="D6965" s="17">
        <v>639.98</v>
      </c>
    </row>
    <row r="6966" spans="1:4" x14ac:dyDescent="0.3">
      <c r="A6966" s="12"/>
      <c r="B6966" s="12"/>
      <c r="C6966" s="14" t="s">
        <v>110</v>
      </c>
      <c r="D6966" s="18">
        <v>209.99</v>
      </c>
    </row>
    <row r="6967" spans="1:4" x14ac:dyDescent="0.3">
      <c r="A6967" s="12"/>
      <c r="B6967" s="12"/>
      <c r="C6967" s="14" t="s">
        <v>168</v>
      </c>
      <c r="D6967" s="18">
        <v>89.99</v>
      </c>
    </row>
    <row r="6968" spans="1:4" x14ac:dyDescent="0.3">
      <c r="A6968" s="12"/>
      <c r="B6968" s="12"/>
      <c r="C6968" s="14" t="s">
        <v>140</v>
      </c>
      <c r="D6968" s="18">
        <v>3599.98</v>
      </c>
    </row>
    <row r="6969" spans="1:4" x14ac:dyDescent="0.3">
      <c r="A6969" s="12"/>
      <c r="B6969" s="12"/>
      <c r="C6969" s="14" t="s">
        <v>69</v>
      </c>
      <c r="D6969" s="18">
        <v>6399.98</v>
      </c>
    </row>
    <row r="6970" spans="1:4" x14ac:dyDescent="0.3">
      <c r="A6970" s="12"/>
      <c r="B6970" s="10" t="s">
        <v>1916</v>
      </c>
      <c r="C6970" s="11"/>
      <c r="D6970" s="17">
        <v>10939.92</v>
      </c>
    </row>
    <row r="6971" spans="1:4" x14ac:dyDescent="0.3">
      <c r="A6971" s="10" t="s">
        <v>1721</v>
      </c>
      <c r="B6971" s="11"/>
      <c r="C6971" s="11"/>
      <c r="D6971" s="17">
        <v>10939.92</v>
      </c>
    </row>
    <row r="6972" spans="1:4" x14ac:dyDescent="0.3">
      <c r="A6972" s="10">
        <v>1426</v>
      </c>
      <c r="B6972" s="10" t="s">
        <v>18</v>
      </c>
      <c r="C6972" s="10" t="s">
        <v>218</v>
      </c>
      <c r="D6972" s="17">
        <v>319.99</v>
      </c>
    </row>
    <row r="6973" spans="1:4" x14ac:dyDescent="0.3">
      <c r="A6973" s="12"/>
      <c r="B6973" s="12"/>
      <c r="C6973" s="14" t="s">
        <v>157</v>
      </c>
      <c r="D6973" s="18">
        <v>749.99</v>
      </c>
    </row>
    <row r="6974" spans="1:4" x14ac:dyDescent="0.3">
      <c r="A6974" s="12"/>
      <c r="B6974" s="12"/>
      <c r="C6974" s="14" t="s">
        <v>10</v>
      </c>
      <c r="D6974" s="18">
        <v>1199.98</v>
      </c>
    </row>
    <row r="6975" spans="1:4" x14ac:dyDescent="0.3">
      <c r="A6975" s="12"/>
      <c r="B6975" s="10" t="s">
        <v>1916</v>
      </c>
      <c r="C6975" s="11"/>
      <c r="D6975" s="17">
        <v>2269.96</v>
      </c>
    </row>
    <row r="6976" spans="1:4" x14ac:dyDescent="0.3">
      <c r="A6976" s="10" t="s">
        <v>1722</v>
      </c>
      <c r="B6976" s="11"/>
      <c r="C6976" s="11"/>
      <c r="D6976" s="17">
        <v>2269.96</v>
      </c>
    </row>
    <row r="6977" spans="1:4" x14ac:dyDescent="0.3">
      <c r="A6977" s="10">
        <v>1427</v>
      </c>
      <c r="B6977" s="10" t="s">
        <v>18</v>
      </c>
      <c r="C6977" s="10" t="s">
        <v>136</v>
      </c>
      <c r="D6977" s="17">
        <v>859.98</v>
      </c>
    </row>
    <row r="6978" spans="1:4" x14ac:dyDescent="0.3">
      <c r="A6978" s="12"/>
      <c r="B6978" s="12"/>
      <c r="C6978" s="14" t="s">
        <v>164</v>
      </c>
      <c r="D6978" s="18">
        <v>3098</v>
      </c>
    </row>
    <row r="6979" spans="1:4" x14ac:dyDescent="0.3">
      <c r="A6979" s="12"/>
      <c r="B6979" s="12"/>
      <c r="C6979" s="14" t="s">
        <v>121</v>
      </c>
      <c r="D6979" s="18">
        <v>2999.99</v>
      </c>
    </row>
    <row r="6980" spans="1:4" x14ac:dyDescent="0.3">
      <c r="A6980" s="12"/>
      <c r="B6980" s="10" t="s">
        <v>1916</v>
      </c>
      <c r="C6980" s="11"/>
      <c r="D6980" s="17">
        <v>6957.9699999999993</v>
      </c>
    </row>
    <row r="6981" spans="1:4" x14ac:dyDescent="0.3">
      <c r="A6981" s="10" t="s">
        <v>1723</v>
      </c>
      <c r="B6981" s="11"/>
      <c r="C6981" s="11"/>
      <c r="D6981" s="17">
        <v>6957.9699999999993</v>
      </c>
    </row>
    <row r="6982" spans="1:4" x14ac:dyDescent="0.3">
      <c r="A6982" s="10">
        <v>1428</v>
      </c>
      <c r="B6982" s="10" t="s">
        <v>18</v>
      </c>
      <c r="C6982" s="10" t="s">
        <v>250</v>
      </c>
      <c r="D6982" s="17">
        <v>1799.98</v>
      </c>
    </row>
    <row r="6983" spans="1:4" x14ac:dyDescent="0.3">
      <c r="A6983" s="12"/>
      <c r="B6983" s="12"/>
      <c r="C6983" s="14" t="s">
        <v>251</v>
      </c>
      <c r="D6983" s="18">
        <v>469.99</v>
      </c>
    </row>
    <row r="6984" spans="1:4" x14ac:dyDescent="0.3">
      <c r="A6984" s="12"/>
      <c r="B6984" s="12"/>
      <c r="C6984" s="14" t="s">
        <v>86</v>
      </c>
      <c r="D6984" s="18">
        <v>2499.9899999999998</v>
      </c>
    </row>
    <row r="6985" spans="1:4" x14ac:dyDescent="0.3">
      <c r="A6985" s="12"/>
      <c r="B6985" s="12"/>
      <c r="C6985" s="14" t="s">
        <v>252</v>
      </c>
      <c r="D6985" s="18">
        <v>5599.98</v>
      </c>
    </row>
    <row r="6986" spans="1:4" x14ac:dyDescent="0.3">
      <c r="A6986" s="12"/>
      <c r="B6986" s="12"/>
      <c r="C6986" s="14" t="s">
        <v>244</v>
      </c>
      <c r="D6986" s="18">
        <v>6999.98</v>
      </c>
    </row>
    <row r="6987" spans="1:4" x14ac:dyDescent="0.3">
      <c r="A6987" s="12"/>
      <c r="B6987" s="10" t="s">
        <v>1916</v>
      </c>
      <c r="C6987" s="11"/>
      <c r="D6987" s="17">
        <v>17369.919999999998</v>
      </c>
    </row>
    <row r="6988" spans="1:4" x14ac:dyDescent="0.3">
      <c r="A6988" s="10" t="s">
        <v>1724</v>
      </c>
      <c r="B6988" s="11"/>
      <c r="C6988" s="11"/>
      <c r="D6988" s="17">
        <v>17369.919999999998</v>
      </c>
    </row>
    <row r="6989" spans="1:4" x14ac:dyDescent="0.3">
      <c r="A6989" s="10">
        <v>1429</v>
      </c>
      <c r="B6989" s="10" t="s">
        <v>18</v>
      </c>
      <c r="C6989" s="10" t="s">
        <v>73</v>
      </c>
      <c r="D6989" s="17">
        <v>1319.98</v>
      </c>
    </row>
    <row r="6990" spans="1:4" x14ac:dyDescent="0.3">
      <c r="A6990" s="12"/>
      <c r="B6990" s="10" t="s">
        <v>1916</v>
      </c>
      <c r="C6990" s="11"/>
      <c r="D6990" s="17">
        <v>1319.98</v>
      </c>
    </row>
    <row r="6991" spans="1:4" x14ac:dyDescent="0.3">
      <c r="A6991" s="10" t="s">
        <v>1725</v>
      </c>
      <c r="B6991" s="11"/>
      <c r="C6991" s="11"/>
      <c r="D6991" s="17">
        <v>1319.98</v>
      </c>
    </row>
    <row r="6992" spans="1:4" x14ac:dyDescent="0.3">
      <c r="A6992" s="10">
        <v>1430</v>
      </c>
      <c r="B6992" s="10" t="s">
        <v>18</v>
      </c>
      <c r="C6992" s="10" t="s">
        <v>218</v>
      </c>
      <c r="D6992" s="17">
        <v>319.99</v>
      </c>
    </row>
    <row r="6993" spans="1:4" x14ac:dyDescent="0.3">
      <c r="A6993" s="12"/>
      <c r="B6993" s="12"/>
      <c r="C6993" s="14" t="s">
        <v>253</v>
      </c>
      <c r="D6993" s="18">
        <v>319.99</v>
      </c>
    </row>
    <row r="6994" spans="1:4" x14ac:dyDescent="0.3">
      <c r="A6994" s="12"/>
      <c r="B6994" s="10" t="s">
        <v>1916</v>
      </c>
      <c r="C6994" s="11"/>
      <c r="D6994" s="17">
        <v>639.98</v>
      </c>
    </row>
    <row r="6995" spans="1:4" x14ac:dyDescent="0.3">
      <c r="A6995" s="10" t="s">
        <v>1726</v>
      </c>
      <c r="B6995" s="11"/>
      <c r="C6995" s="11"/>
      <c r="D6995" s="17">
        <v>639.98</v>
      </c>
    </row>
    <row r="6996" spans="1:4" x14ac:dyDescent="0.3">
      <c r="A6996" s="10">
        <v>1431</v>
      </c>
      <c r="B6996" s="10" t="s">
        <v>18</v>
      </c>
      <c r="C6996" s="10" t="s">
        <v>172</v>
      </c>
      <c r="D6996" s="17">
        <v>749.99</v>
      </c>
    </row>
    <row r="6997" spans="1:4" x14ac:dyDescent="0.3">
      <c r="A6997" s="12"/>
      <c r="B6997" s="12"/>
      <c r="C6997" s="14" t="s">
        <v>182</v>
      </c>
      <c r="D6997" s="18">
        <v>2999.99</v>
      </c>
    </row>
    <row r="6998" spans="1:4" x14ac:dyDescent="0.3">
      <c r="A6998" s="12"/>
      <c r="B6998" s="12"/>
      <c r="C6998" s="14" t="s">
        <v>42</v>
      </c>
      <c r="D6998" s="18">
        <v>749.99</v>
      </c>
    </row>
    <row r="6999" spans="1:4" x14ac:dyDescent="0.3">
      <c r="A6999" s="12"/>
      <c r="B6999" s="12"/>
      <c r="C6999" s="14" t="s">
        <v>151</v>
      </c>
      <c r="D6999" s="18">
        <v>3999.99</v>
      </c>
    </row>
    <row r="7000" spans="1:4" x14ac:dyDescent="0.3">
      <c r="A7000" s="12"/>
      <c r="B7000" s="10" t="s">
        <v>1916</v>
      </c>
      <c r="C7000" s="11"/>
      <c r="D7000" s="17">
        <v>8499.9599999999991</v>
      </c>
    </row>
    <row r="7001" spans="1:4" x14ac:dyDescent="0.3">
      <c r="A7001" s="10" t="s">
        <v>1727</v>
      </c>
      <c r="B7001" s="11"/>
      <c r="C7001" s="11"/>
      <c r="D7001" s="17">
        <v>8499.9599999999991</v>
      </c>
    </row>
    <row r="7002" spans="1:4" x14ac:dyDescent="0.3">
      <c r="A7002" s="10">
        <v>1432</v>
      </c>
      <c r="B7002" s="10" t="s">
        <v>18</v>
      </c>
      <c r="C7002" s="10" t="s">
        <v>254</v>
      </c>
      <c r="D7002" s="17">
        <v>1899</v>
      </c>
    </row>
    <row r="7003" spans="1:4" x14ac:dyDescent="0.3">
      <c r="A7003" s="12"/>
      <c r="B7003" s="10" t="s">
        <v>1916</v>
      </c>
      <c r="C7003" s="11"/>
      <c r="D7003" s="17">
        <v>1899</v>
      </c>
    </row>
    <row r="7004" spans="1:4" x14ac:dyDescent="0.3">
      <c r="A7004" s="10" t="s">
        <v>1728</v>
      </c>
      <c r="B7004" s="11"/>
      <c r="C7004" s="11"/>
      <c r="D7004" s="17">
        <v>1899</v>
      </c>
    </row>
    <row r="7005" spans="1:4" x14ac:dyDescent="0.3">
      <c r="A7005" s="10">
        <v>1433</v>
      </c>
      <c r="B7005" s="10" t="s">
        <v>18</v>
      </c>
      <c r="C7005" s="10" t="s">
        <v>242</v>
      </c>
      <c r="D7005" s="17">
        <v>249.99</v>
      </c>
    </row>
    <row r="7006" spans="1:4" x14ac:dyDescent="0.3">
      <c r="A7006" s="12"/>
      <c r="B7006" s="10" t="s">
        <v>1916</v>
      </c>
      <c r="C7006" s="11"/>
      <c r="D7006" s="17">
        <v>249.99</v>
      </c>
    </row>
    <row r="7007" spans="1:4" x14ac:dyDescent="0.3">
      <c r="A7007" s="10" t="s">
        <v>1729</v>
      </c>
      <c r="B7007" s="11"/>
      <c r="C7007" s="11"/>
      <c r="D7007" s="17">
        <v>249.99</v>
      </c>
    </row>
    <row r="7008" spans="1:4" x14ac:dyDescent="0.3">
      <c r="A7008" s="10">
        <v>1434</v>
      </c>
      <c r="B7008" s="10" t="s">
        <v>18</v>
      </c>
      <c r="C7008" s="10" t="s">
        <v>209</v>
      </c>
      <c r="D7008" s="17">
        <v>859.98</v>
      </c>
    </row>
    <row r="7009" spans="1:4" x14ac:dyDescent="0.3">
      <c r="A7009" s="12"/>
      <c r="B7009" s="12"/>
      <c r="C7009" s="14" t="s">
        <v>255</v>
      </c>
      <c r="D7009" s="18">
        <v>559.98</v>
      </c>
    </row>
    <row r="7010" spans="1:4" x14ac:dyDescent="0.3">
      <c r="A7010" s="12"/>
      <c r="B7010" s="12"/>
      <c r="C7010" s="14" t="s">
        <v>216</v>
      </c>
      <c r="D7010" s="18">
        <v>2999.99</v>
      </c>
    </row>
    <row r="7011" spans="1:4" x14ac:dyDescent="0.3">
      <c r="A7011" s="12"/>
      <c r="B7011" s="12"/>
      <c r="C7011" s="14" t="s">
        <v>45</v>
      </c>
      <c r="D7011" s="18">
        <v>9999.98</v>
      </c>
    </row>
    <row r="7012" spans="1:4" x14ac:dyDescent="0.3">
      <c r="A7012" s="12"/>
      <c r="B7012" s="10" t="s">
        <v>1916</v>
      </c>
      <c r="C7012" s="11"/>
      <c r="D7012" s="17">
        <v>14419.93</v>
      </c>
    </row>
    <row r="7013" spans="1:4" x14ac:dyDescent="0.3">
      <c r="A7013" s="10" t="s">
        <v>1730</v>
      </c>
      <c r="B7013" s="11"/>
      <c r="C7013" s="11"/>
      <c r="D7013" s="17">
        <v>14419.93</v>
      </c>
    </row>
    <row r="7014" spans="1:4" x14ac:dyDescent="0.3">
      <c r="A7014" s="10">
        <v>1435</v>
      </c>
      <c r="B7014" s="10" t="s">
        <v>18</v>
      </c>
      <c r="C7014" s="10" t="s">
        <v>141</v>
      </c>
      <c r="D7014" s="17">
        <v>799.99</v>
      </c>
    </row>
    <row r="7015" spans="1:4" x14ac:dyDescent="0.3">
      <c r="A7015" s="12"/>
      <c r="B7015" s="12"/>
      <c r="C7015" s="14" t="s">
        <v>101</v>
      </c>
      <c r="D7015" s="18">
        <v>1559.99</v>
      </c>
    </row>
    <row r="7016" spans="1:4" x14ac:dyDescent="0.3">
      <c r="A7016" s="12"/>
      <c r="B7016" s="12"/>
      <c r="C7016" s="14" t="s">
        <v>256</v>
      </c>
      <c r="D7016" s="18">
        <v>3199.98</v>
      </c>
    </row>
    <row r="7017" spans="1:4" x14ac:dyDescent="0.3">
      <c r="A7017" s="12"/>
      <c r="B7017" s="12"/>
      <c r="C7017" s="14" t="s">
        <v>71</v>
      </c>
      <c r="D7017" s="18">
        <v>999.99</v>
      </c>
    </row>
    <row r="7018" spans="1:4" x14ac:dyDescent="0.3">
      <c r="A7018" s="12"/>
      <c r="B7018" s="10" t="s">
        <v>1916</v>
      </c>
      <c r="C7018" s="11"/>
      <c r="D7018" s="17">
        <v>6559.95</v>
      </c>
    </row>
    <row r="7019" spans="1:4" x14ac:dyDescent="0.3">
      <c r="A7019" s="10" t="s">
        <v>1731</v>
      </c>
      <c r="B7019" s="11"/>
      <c r="C7019" s="11"/>
      <c r="D7019" s="17">
        <v>6559.95</v>
      </c>
    </row>
    <row r="7020" spans="1:4" x14ac:dyDescent="0.3">
      <c r="A7020" s="10">
        <v>1436</v>
      </c>
      <c r="B7020" s="10" t="s">
        <v>18</v>
      </c>
      <c r="C7020" s="10" t="s">
        <v>160</v>
      </c>
      <c r="D7020" s="17">
        <v>1119.98</v>
      </c>
    </row>
    <row r="7021" spans="1:4" x14ac:dyDescent="0.3">
      <c r="A7021" s="12"/>
      <c r="B7021" s="10" t="s">
        <v>1916</v>
      </c>
      <c r="C7021" s="11"/>
      <c r="D7021" s="17">
        <v>1119.98</v>
      </c>
    </row>
    <row r="7022" spans="1:4" x14ac:dyDescent="0.3">
      <c r="A7022" s="10" t="s">
        <v>1732</v>
      </c>
      <c r="B7022" s="11"/>
      <c r="C7022" s="11"/>
      <c r="D7022" s="17">
        <v>1119.98</v>
      </c>
    </row>
    <row r="7023" spans="1:4" x14ac:dyDescent="0.3">
      <c r="A7023" s="10">
        <v>1437</v>
      </c>
      <c r="B7023" s="10" t="s">
        <v>11</v>
      </c>
      <c r="C7023" s="10" t="s">
        <v>256</v>
      </c>
      <c r="D7023" s="17">
        <v>3199.98</v>
      </c>
    </row>
    <row r="7024" spans="1:4" x14ac:dyDescent="0.3">
      <c r="A7024" s="12"/>
      <c r="B7024" s="10" t="s">
        <v>1915</v>
      </c>
      <c r="C7024" s="11"/>
      <c r="D7024" s="17">
        <v>3199.98</v>
      </c>
    </row>
    <row r="7025" spans="1:4" x14ac:dyDescent="0.3">
      <c r="A7025" s="10" t="s">
        <v>1733</v>
      </c>
      <c r="B7025" s="11"/>
      <c r="C7025" s="11"/>
      <c r="D7025" s="17">
        <v>3199.98</v>
      </c>
    </row>
    <row r="7026" spans="1:4" x14ac:dyDescent="0.3">
      <c r="A7026" s="10">
        <v>1438</v>
      </c>
      <c r="B7026" s="10" t="s">
        <v>18</v>
      </c>
      <c r="C7026" s="10" t="s">
        <v>99</v>
      </c>
      <c r="D7026" s="17">
        <v>2199.98</v>
      </c>
    </row>
    <row r="7027" spans="1:4" x14ac:dyDescent="0.3">
      <c r="A7027" s="12"/>
      <c r="B7027" s="12"/>
      <c r="C7027" s="14" t="s">
        <v>212</v>
      </c>
      <c r="D7027" s="18">
        <v>959.99</v>
      </c>
    </row>
    <row r="7028" spans="1:4" x14ac:dyDescent="0.3">
      <c r="A7028" s="12"/>
      <c r="B7028" s="12"/>
      <c r="C7028" s="14" t="s">
        <v>236</v>
      </c>
      <c r="D7028" s="18">
        <v>2599</v>
      </c>
    </row>
    <row r="7029" spans="1:4" x14ac:dyDescent="0.3">
      <c r="A7029" s="12"/>
      <c r="B7029" s="12"/>
      <c r="C7029" s="14" t="s">
        <v>124</v>
      </c>
      <c r="D7029" s="18">
        <v>5599.98</v>
      </c>
    </row>
    <row r="7030" spans="1:4" x14ac:dyDescent="0.3">
      <c r="A7030" s="12"/>
      <c r="B7030" s="12"/>
      <c r="C7030" s="14" t="s">
        <v>249</v>
      </c>
      <c r="D7030" s="18">
        <v>4999.99</v>
      </c>
    </row>
    <row r="7031" spans="1:4" x14ac:dyDescent="0.3">
      <c r="A7031" s="12"/>
      <c r="B7031" s="10" t="s">
        <v>1916</v>
      </c>
      <c r="C7031" s="11"/>
      <c r="D7031" s="17">
        <v>16358.94</v>
      </c>
    </row>
    <row r="7032" spans="1:4" x14ac:dyDescent="0.3">
      <c r="A7032" s="10" t="s">
        <v>1734</v>
      </c>
      <c r="B7032" s="11"/>
      <c r="C7032" s="11"/>
      <c r="D7032" s="17">
        <v>16358.94</v>
      </c>
    </row>
    <row r="7033" spans="1:4" x14ac:dyDescent="0.3">
      <c r="A7033" s="10">
        <v>1439</v>
      </c>
      <c r="B7033" s="10" t="s">
        <v>18</v>
      </c>
      <c r="C7033" s="10" t="s">
        <v>51</v>
      </c>
      <c r="D7033" s="17">
        <v>979.98</v>
      </c>
    </row>
    <row r="7034" spans="1:4" x14ac:dyDescent="0.3">
      <c r="A7034" s="12"/>
      <c r="B7034" s="12"/>
      <c r="C7034" s="14" t="s">
        <v>168</v>
      </c>
      <c r="D7034" s="18">
        <v>89.99</v>
      </c>
    </row>
    <row r="7035" spans="1:4" x14ac:dyDescent="0.3">
      <c r="A7035" s="12"/>
      <c r="B7035" s="12"/>
      <c r="C7035" s="14" t="s">
        <v>180</v>
      </c>
      <c r="D7035" s="18">
        <v>7499.99</v>
      </c>
    </row>
    <row r="7036" spans="1:4" x14ac:dyDescent="0.3">
      <c r="A7036" s="12"/>
      <c r="B7036" s="12"/>
      <c r="C7036" s="14" t="s">
        <v>53</v>
      </c>
      <c r="D7036" s="18">
        <v>2299.9899999999998</v>
      </c>
    </row>
    <row r="7037" spans="1:4" x14ac:dyDescent="0.3">
      <c r="A7037" s="12"/>
      <c r="B7037" s="10" t="s">
        <v>1916</v>
      </c>
      <c r="C7037" s="11"/>
      <c r="D7037" s="17">
        <v>10869.949999999999</v>
      </c>
    </row>
    <row r="7038" spans="1:4" x14ac:dyDescent="0.3">
      <c r="A7038" s="10" t="s">
        <v>1735</v>
      </c>
      <c r="B7038" s="11"/>
      <c r="C7038" s="11"/>
      <c r="D7038" s="17">
        <v>10869.949999999999</v>
      </c>
    </row>
    <row r="7039" spans="1:4" x14ac:dyDescent="0.3">
      <c r="A7039" s="10">
        <v>1440</v>
      </c>
      <c r="B7039" s="10" t="s">
        <v>37</v>
      </c>
      <c r="C7039" s="10" t="s">
        <v>49</v>
      </c>
      <c r="D7039" s="17">
        <v>416.99</v>
      </c>
    </row>
    <row r="7040" spans="1:4" x14ac:dyDescent="0.3">
      <c r="A7040" s="12"/>
      <c r="B7040" s="12"/>
      <c r="C7040" s="14" t="s">
        <v>60</v>
      </c>
      <c r="D7040" s="18">
        <v>501.98</v>
      </c>
    </row>
    <row r="7041" spans="1:4" x14ac:dyDescent="0.3">
      <c r="A7041" s="12"/>
      <c r="B7041" s="12"/>
      <c r="C7041" s="14" t="s">
        <v>199</v>
      </c>
      <c r="D7041" s="18">
        <v>4499.99</v>
      </c>
    </row>
    <row r="7042" spans="1:4" x14ac:dyDescent="0.3">
      <c r="A7042" s="12"/>
      <c r="B7042" s="12"/>
      <c r="C7042" s="14" t="s">
        <v>258</v>
      </c>
      <c r="D7042" s="18">
        <v>1499.98</v>
      </c>
    </row>
    <row r="7043" spans="1:4" x14ac:dyDescent="0.3">
      <c r="A7043" s="12"/>
      <c r="B7043" s="12"/>
      <c r="C7043" s="14" t="s">
        <v>257</v>
      </c>
      <c r="D7043" s="18">
        <v>1499.98</v>
      </c>
    </row>
    <row r="7044" spans="1:4" x14ac:dyDescent="0.3">
      <c r="A7044" s="12"/>
      <c r="B7044" s="10" t="s">
        <v>1917</v>
      </c>
      <c r="C7044" s="11"/>
      <c r="D7044" s="17">
        <v>8418.92</v>
      </c>
    </row>
    <row r="7045" spans="1:4" x14ac:dyDescent="0.3">
      <c r="A7045" s="10" t="s">
        <v>1736</v>
      </c>
      <c r="B7045" s="11"/>
      <c r="C7045" s="11"/>
      <c r="D7045" s="17">
        <v>8418.92</v>
      </c>
    </row>
    <row r="7046" spans="1:4" x14ac:dyDescent="0.3">
      <c r="A7046" s="10">
        <v>1441</v>
      </c>
      <c r="B7046" s="10" t="s">
        <v>37</v>
      </c>
      <c r="C7046" s="10" t="s">
        <v>245</v>
      </c>
      <c r="D7046" s="17">
        <v>1399.98</v>
      </c>
    </row>
    <row r="7047" spans="1:4" x14ac:dyDescent="0.3">
      <c r="A7047" s="12"/>
      <c r="B7047" s="12"/>
      <c r="C7047" s="14" t="s">
        <v>118</v>
      </c>
      <c r="D7047" s="18">
        <v>1409.99</v>
      </c>
    </row>
    <row r="7048" spans="1:4" x14ac:dyDescent="0.3">
      <c r="A7048" s="12"/>
      <c r="B7048" s="12"/>
      <c r="C7048" s="14" t="s">
        <v>32</v>
      </c>
      <c r="D7048" s="18">
        <v>469.99</v>
      </c>
    </row>
    <row r="7049" spans="1:4" x14ac:dyDescent="0.3">
      <c r="A7049" s="12"/>
      <c r="B7049" s="10" t="s">
        <v>1917</v>
      </c>
      <c r="C7049" s="11"/>
      <c r="D7049" s="17">
        <v>3279.96</v>
      </c>
    </row>
    <row r="7050" spans="1:4" x14ac:dyDescent="0.3">
      <c r="A7050" s="10" t="s">
        <v>1737</v>
      </c>
      <c r="B7050" s="11"/>
      <c r="C7050" s="11"/>
      <c r="D7050" s="17">
        <v>3279.96</v>
      </c>
    </row>
    <row r="7051" spans="1:4" x14ac:dyDescent="0.3">
      <c r="A7051" s="10">
        <v>1442</v>
      </c>
      <c r="B7051" s="10" t="s">
        <v>18</v>
      </c>
      <c r="C7051" s="10" t="s">
        <v>231</v>
      </c>
      <c r="D7051" s="17">
        <v>269.99</v>
      </c>
    </row>
    <row r="7052" spans="1:4" x14ac:dyDescent="0.3">
      <c r="A7052" s="12"/>
      <c r="B7052" s="12"/>
      <c r="C7052" s="14" t="s">
        <v>148</v>
      </c>
      <c r="D7052" s="18">
        <v>4499.99</v>
      </c>
    </row>
    <row r="7053" spans="1:4" x14ac:dyDescent="0.3">
      <c r="A7053" s="12"/>
      <c r="B7053" s="12"/>
      <c r="C7053" s="14" t="s">
        <v>259</v>
      </c>
      <c r="D7053" s="18">
        <v>419.98</v>
      </c>
    </row>
    <row r="7054" spans="1:4" x14ac:dyDescent="0.3">
      <c r="A7054" s="12"/>
      <c r="B7054" s="10" t="s">
        <v>1916</v>
      </c>
      <c r="C7054" s="11"/>
      <c r="D7054" s="17">
        <v>5189.9599999999991</v>
      </c>
    </row>
    <row r="7055" spans="1:4" x14ac:dyDescent="0.3">
      <c r="A7055" s="10" t="s">
        <v>1738</v>
      </c>
      <c r="B7055" s="11"/>
      <c r="C7055" s="11"/>
      <c r="D7055" s="17">
        <v>5189.9599999999991</v>
      </c>
    </row>
    <row r="7056" spans="1:4" x14ac:dyDescent="0.3">
      <c r="A7056" s="10">
        <v>1443</v>
      </c>
      <c r="B7056" s="10" t="s">
        <v>18</v>
      </c>
      <c r="C7056" s="10" t="s">
        <v>80</v>
      </c>
      <c r="D7056" s="17">
        <v>679.98</v>
      </c>
    </row>
    <row r="7057" spans="1:4" x14ac:dyDescent="0.3">
      <c r="A7057" s="12"/>
      <c r="B7057" s="12"/>
      <c r="C7057" s="14" t="s">
        <v>103</v>
      </c>
      <c r="D7057" s="18">
        <v>1999.99</v>
      </c>
    </row>
    <row r="7058" spans="1:4" x14ac:dyDescent="0.3">
      <c r="A7058" s="12"/>
      <c r="B7058" s="12"/>
      <c r="C7058" s="14" t="s">
        <v>148</v>
      </c>
      <c r="D7058" s="18">
        <v>4499.99</v>
      </c>
    </row>
    <row r="7059" spans="1:4" x14ac:dyDescent="0.3">
      <c r="A7059" s="12"/>
      <c r="B7059" s="10" t="s">
        <v>1916</v>
      </c>
      <c r="C7059" s="11"/>
      <c r="D7059" s="17">
        <v>7179.96</v>
      </c>
    </row>
    <row r="7060" spans="1:4" x14ac:dyDescent="0.3">
      <c r="A7060" s="10" t="s">
        <v>1739</v>
      </c>
      <c r="B7060" s="11"/>
      <c r="C7060" s="11"/>
      <c r="D7060" s="17">
        <v>7179.96</v>
      </c>
    </row>
    <row r="7061" spans="1:4" x14ac:dyDescent="0.3">
      <c r="A7061" s="10">
        <v>1444</v>
      </c>
      <c r="B7061" s="10" t="s">
        <v>18</v>
      </c>
      <c r="C7061" s="10" t="s">
        <v>193</v>
      </c>
      <c r="D7061" s="17">
        <v>3798</v>
      </c>
    </row>
    <row r="7062" spans="1:4" x14ac:dyDescent="0.3">
      <c r="A7062" s="12"/>
      <c r="B7062" s="12"/>
      <c r="C7062" s="14" t="s">
        <v>56</v>
      </c>
      <c r="D7062" s="18">
        <v>209.99</v>
      </c>
    </row>
    <row r="7063" spans="1:4" x14ac:dyDescent="0.3">
      <c r="A7063" s="12"/>
      <c r="B7063" s="10" t="s">
        <v>1916</v>
      </c>
      <c r="C7063" s="11"/>
      <c r="D7063" s="17">
        <v>4007.99</v>
      </c>
    </row>
    <row r="7064" spans="1:4" x14ac:dyDescent="0.3">
      <c r="A7064" s="10" t="s">
        <v>1740</v>
      </c>
      <c r="B7064" s="11"/>
      <c r="C7064" s="11"/>
      <c r="D7064" s="17">
        <v>4007.99</v>
      </c>
    </row>
    <row r="7065" spans="1:4" x14ac:dyDescent="0.3">
      <c r="A7065" s="10">
        <v>1445</v>
      </c>
      <c r="B7065" s="10" t="s">
        <v>18</v>
      </c>
      <c r="C7065" s="10" t="s">
        <v>246</v>
      </c>
      <c r="D7065" s="17">
        <v>1279.98</v>
      </c>
    </row>
    <row r="7066" spans="1:4" x14ac:dyDescent="0.3">
      <c r="A7066" s="12"/>
      <c r="B7066" s="12"/>
      <c r="C7066" s="14" t="s">
        <v>68</v>
      </c>
      <c r="D7066" s="18">
        <v>875.99</v>
      </c>
    </row>
    <row r="7067" spans="1:4" x14ac:dyDescent="0.3">
      <c r="A7067" s="12"/>
      <c r="B7067" s="12"/>
      <c r="C7067" s="14" t="s">
        <v>260</v>
      </c>
      <c r="D7067" s="18">
        <v>1999.98</v>
      </c>
    </row>
    <row r="7068" spans="1:4" x14ac:dyDescent="0.3">
      <c r="A7068" s="12"/>
      <c r="B7068" s="10" t="s">
        <v>1916</v>
      </c>
      <c r="C7068" s="11"/>
      <c r="D7068" s="17">
        <v>4155.9500000000007</v>
      </c>
    </row>
    <row r="7069" spans="1:4" x14ac:dyDescent="0.3">
      <c r="A7069" s="10" t="s">
        <v>1741</v>
      </c>
      <c r="B7069" s="11"/>
      <c r="C7069" s="11"/>
      <c r="D7069" s="17">
        <v>4155.9500000000007</v>
      </c>
    </row>
    <row r="7070" spans="1:4" x14ac:dyDescent="0.3">
      <c r="A7070" s="10">
        <v>1446</v>
      </c>
      <c r="B7070" s="10" t="s">
        <v>18</v>
      </c>
      <c r="C7070" s="10" t="s">
        <v>218</v>
      </c>
      <c r="D7070" s="17">
        <v>319.99</v>
      </c>
    </row>
    <row r="7071" spans="1:4" x14ac:dyDescent="0.3">
      <c r="A7071" s="12"/>
      <c r="B7071" s="12"/>
      <c r="C7071" s="14" t="s">
        <v>178</v>
      </c>
      <c r="D7071" s="18">
        <v>1279.98</v>
      </c>
    </row>
    <row r="7072" spans="1:4" x14ac:dyDescent="0.3">
      <c r="A7072" s="12"/>
      <c r="B7072" s="12"/>
      <c r="C7072" s="14" t="s">
        <v>158</v>
      </c>
      <c r="D7072" s="18">
        <v>1799.98</v>
      </c>
    </row>
    <row r="7073" spans="1:4" x14ac:dyDescent="0.3">
      <c r="A7073" s="12"/>
      <c r="B7073" s="10" t="s">
        <v>1916</v>
      </c>
      <c r="C7073" s="11"/>
      <c r="D7073" s="17">
        <v>3399.95</v>
      </c>
    </row>
    <row r="7074" spans="1:4" x14ac:dyDescent="0.3">
      <c r="A7074" s="10" t="s">
        <v>1742</v>
      </c>
      <c r="B7074" s="11"/>
      <c r="C7074" s="11"/>
      <c r="D7074" s="17">
        <v>3399.95</v>
      </c>
    </row>
    <row r="7075" spans="1:4" x14ac:dyDescent="0.3">
      <c r="A7075" s="10">
        <v>1447</v>
      </c>
      <c r="B7075" s="10" t="s">
        <v>11</v>
      </c>
      <c r="C7075" s="10" t="s">
        <v>169</v>
      </c>
      <c r="D7075" s="17">
        <v>5499.99</v>
      </c>
    </row>
    <row r="7076" spans="1:4" x14ac:dyDescent="0.3">
      <c r="A7076" s="12"/>
      <c r="B7076" s="10" t="s">
        <v>1915</v>
      </c>
      <c r="C7076" s="11"/>
      <c r="D7076" s="17">
        <v>5499.99</v>
      </c>
    </row>
    <row r="7077" spans="1:4" x14ac:dyDescent="0.3">
      <c r="A7077" s="10" t="s">
        <v>1743</v>
      </c>
      <c r="B7077" s="11"/>
      <c r="C7077" s="11"/>
      <c r="D7077" s="17">
        <v>5499.99</v>
      </c>
    </row>
    <row r="7078" spans="1:4" x14ac:dyDescent="0.3">
      <c r="A7078" s="10">
        <v>1448</v>
      </c>
      <c r="B7078" s="10" t="s">
        <v>18</v>
      </c>
      <c r="C7078" s="10" t="s">
        <v>241</v>
      </c>
      <c r="D7078" s="17">
        <v>749.99</v>
      </c>
    </row>
    <row r="7079" spans="1:4" x14ac:dyDescent="0.3">
      <c r="A7079" s="12"/>
      <c r="B7079" s="10" t="s">
        <v>1916</v>
      </c>
      <c r="C7079" s="11"/>
      <c r="D7079" s="17">
        <v>749.99</v>
      </c>
    </row>
    <row r="7080" spans="1:4" x14ac:dyDescent="0.3">
      <c r="A7080" s="10" t="s">
        <v>1744</v>
      </c>
      <c r="B7080" s="11"/>
      <c r="C7080" s="11"/>
      <c r="D7080" s="17">
        <v>749.99</v>
      </c>
    </row>
    <row r="7081" spans="1:4" x14ac:dyDescent="0.3">
      <c r="A7081" s="10">
        <v>1449</v>
      </c>
      <c r="B7081" s="10" t="s">
        <v>18</v>
      </c>
      <c r="C7081" s="10" t="s">
        <v>28</v>
      </c>
      <c r="D7081" s="17">
        <v>539.98</v>
      </c>
    </row>
    <row r="7082" spans="1:4" x14ac:dyDescent="0.3">
      <c r="A7082" s="12"/>
      <c r="B7082" s="12"/>
      <c r="C7082" s="14" t="s">
        <v>141</v>
      </c>
      <c r="D7082" s="18">
        <v>1599.98</v>
      </c>
    </row>
    <row r="7083" spans="1:4" x14ac:dyDescent="0.3">
      <c r="A7083" s="12"/>
      <c r="B7083" s="12"/>
      <c r="C7083" s="14" t="s">
        <v>182</v>
      </c>
      <c r="D7083" s="18">
        <v>5999.98</v>
      </c>
    </row>
    <row r="7084" spans="1:4" x14ac:dyDescent="0.3">
      <c r="A7084" s="12"/>
      <c r="B7084" s="12"/>
      <c r="C7084" s="14" t="s">
        <v>76</v>
      </c>
      <c r="D7084" s="18">
        <v>2699.99</v>
      </c>
    </row>
    <row r="7085" spans="1:4" x14ac:dyDescent="0.3">
      <c r="A7085" s="12"/>
      <c r="B7085" s="12"/>
      <c r="C7085" s="14" t="s">
        <v>174</v>
      </c>
      <c r="D7085" s="18">
        <v>2299.9899999999998</v>
      </c>
    </row>
    <row r="7086" spans="1:4" x14ac:dyDescent="0.3">
      <c r="A7086" s="12"/>
      <c r="B7086" s="10" t="s">
        <v>1916</v>
      </c>
      <c r="C7086" s="11"/>
      <c r="D7086" s="17">
        <v>13139.92</v>
      </c>
    </row>
    <row r="7087" spans="1:4" x14ac:dyDescent="0.3">
      <c r="A7087" s="10" t="s">
        <v>1745</v>
      </c>
      <c r="B7087" s="11"/>
      <c r="C7087" s="11"/>
      <c r="D7087" s="17">
        <v>13139.92</v>
      </c>
    </row>
    <row r="7088" spans="1:4" x14ac:dyDescent="0.3">
      <c r="A7088" s="10">
        <v>1450</v>
      </c>
      <c r="B7088" s="10" t="s">
        <v>18</v>
      </c>
      <c r="C7088" s="10" t="s">
        <v>120</v>
      </c>
      <c r="D7088" s="17">
        <v>1799.98</v>
      </c>
    </row>
    <row r="7089" spans="1:4" x14ac:dyDescent="0.3">
      <c r="A7089" s="12"/>
      <c r="B7089" s="12"/>
      <c r="C7089" s="14" t="s">
        <v>82</v>
      </c>
      <c r="D7089" s="18">
        <v>489.99</v>
      </c>
    </row>
    <row r="7090" spans="1:4" x14ac:dyDescent="0.3">
      <c r="A7090" s="12"/>
      <c r="B7090" s="12"/>
      <c r="C7090" s="14" t="s">
        <v>262</v>
      </c>
      <c r="D7090" s="18">
        <v>559.99</v>
      </c>
    </row>
    <row r="7091" spans="1:4" x14ac:dyDescent="0.3">
      <c r="A7091" s="12"/>
      <c r="B7091" s="12"/>
      <c r="C7091" s="14" t="s">
        <v>123</v>
      </c>
      <c r="D7091" s="18">
        <v>5999.98</v>
      </c>
    </row>
    <row r="7092" spans="1:4" x14ac:dyDescent="0.3">
      <c r="A7092" s="12"/>
      <c r="B7092" s="12"/>
      <c r="C7092" s="14" t="s">
        <v>261</v>
      </c>
      <c r="D7092" s="18">
        <v>6399.98</v>
      </c>
    </row>
    <row r="7093" spans="1:4" x14ac:dyDescent="0.3">
      <c r="A7093" s="12"/>
      <c r="B7093" s="10" t="s">
        <v>1916</v>
      </c>
      <c r="C7093" s="11"/>
      <c r="D7093" s="17">
        <v>15249.919999999998</v>
      </c>
    </row>
    <row r="7094" spans="1:4" x14ac:dyDescent="0.3">
      <c r="A7094" s="10" t="s">
        <v>1746</v>
      </c>
      <c r="B7094" s="11"/>
      <c r="C7094" s="11"/>
      <c r="D7094" s="17">
        <v>15249.919999999998</v>
      </c>
    </row>
    <row r="7095" spans="1:4" x14ac:dyDescent="0.3">
      <c r="A7095" s="10">
        <v>1451</v>
      </c>
      <c r="B7095" s="10" t="s">
        <v>18</v>
      </c>
      <c r="C7095" s="10" t="s">
        <v>263</v>
      </c>
      <c r="D7095" s="17">
        <v>1469.99</v>
      </c>
    </row>
    <row r="7096" spans="1:4" x14ac:dyDescent="0.3">
      <c r="A7096" s="12"/>
      <c r="B7096" s="10" t="s">
        <v>1916</v>
      </c>
      <c r="C7096" s="11"/>
      <c r="D7096" s="17">
        <v>1469.99</v>
      </c>
    </row>
    <row r="7097" spans="1:4" x14ac:dyDescent="0.3">
      <c r="A7097" s="10" t="s">
        <v>1747</v>
      </c>
      <c r="B7097" s="11"/>
      <c r="C7097" s="11"/>
      <c r="D7097" s="17">
        <v>1469.99</v>
      </c>
    </row>
    <row r="7098" spans="1:4" x14ac:dyDescent="0.3">
      <c r="A7098" s="10">
        <v>1452</v>
      </c>
      <c r="B7098" s="10" t="s">
        <v>11</v>
      </c>
      <c r="C7098" s="10" t="s">
        <v>158</v>
      </c>
      <c r="D7098" s="17">
        <v>899.99</v>
      </c>
    </row>
    <row r="7099" spans="1:4" x14ac:dyDescent="0.3">
      <c r="A7099" s="12"/>
      <c r="B7099" s="12"/>
      <c r="C7099" s="14" t="s">
        <v>52</v>
      </c>
      <c r="D7099" s="18">
        <v>599.98</v>
      </c>
    </row>
    <row r="7100" spans="1:4" x14ac:dyDescent="0.3">
      <c r="A7100" s="12"/>
      <c r="B7100" s="12"/>
      <c r="C7100" s="14" t="s">
        <v>49</v>
      </c>
      <c r="D7100" s="18">
        <v>833.98</v>
      </c>
    </row>
    <row r="7101" spans="1:4" x14ac:dyDescent="0.3">
      <c r="A7101" s="12"/>
      <c r="B7101" s="12"/>
      <c r="C7101" s="14" t="s">
        <v>115</v>
      </c>
      <c r="D7101" s="18">
        <v>299.98</v>
      </c>
    </row>
    <row r="7102" spans="1:4" x14ac:dyDescent="0.3">
      <c r="A7102" s="12"/>
      <c r="B7102" s="10" t="s">
        <v>1915</v>
      </c>
      <c r="C7102" s="11"/>
      <c r="D7102" s="17">
        <v>2633.93</v>
      </c>
    </row>
    <row r="7103" spans="1:4" x14ac:dyDescent="0.3">
      <c r="A7103" s="10" t="s">
        <v>1748</v>
      </c>
      <c r="B7103" s="11"/>
      <c r="C7103" s="11"/>
      <c r="D7103" s="17">
        <v>2633.93</v>
      </c>
    </row>
    <row r="7104" spans="1:4" x14ac:dyDescent="0.3">
      <c r="A7104" s="10">
        <v>1453</v>
      </c>
      <c r="B7104" s="10" t="s">
        <v>11</v>
      </c>
      <c r="C7104" s="10" t="s">
        <v>94</v>
      </c>
      <c r="D7104" s="17">
        <v>419.98</v>
      </c>
    </row>
    <row r="7105" spans="1:4" x14ac:dyDescent="0.3">
      <c r="A7105" s="12"/>
      <c r="B7105" s="10" t="s">
        <v>1915</v>
      </c>
      <c r="C7105" s="11"/>
      <c r="D7105" s="17">
        <v>419.98</v>
      </c>
    </row>
    <row r="7106" spans="1:4" x14ac:dyDescent="0.3">
      <c r="A7106" s="10" t="s">
        <v>1749</v>
      </c>
      <c r="B7106" s="11"/>
      <c r="C7106" s="11"/>
      <c r="D7106" s="17">
        <v>419.98</v>
      </c>
    </row>
    <row r="7107" spans="1:4" x14ac:dyDescent="0.3">
      <c r="A7107" s="10">
        <v>1454</v>
      </c>
      <c r="B7107" s="10" t="s">
        <v>18</v>
      </c>
      <c r="C7107" s="10" t="s">
        <v>133</v>
      </c>
      <c r="D7107" s="17">
        <v>319.99</v>
      </c>
    </row>
    <row r="7108" spans="1:4" x14ac:dyDescent="0.3">
      <c r="A7108" s="12"/>
      <c r="B7108" s="12"/>
      <c r="C7108" s="14" t="s">
        <v>93</v>
      </c>
      <c r="D7108" s="18">
        <v>1099.98</v>
      </c>
    </row>
    <row r="7109" spans="1:4" x14ac:dyDescent="0.3">
      <c r="A7109" s="12"/>
      <c r="B7109" s="12"/>
      <c r="C7109" s="14" t="s">
        <v>109</v>
      </c>
      <c r="D7109" s="18">
        <v>1665.98</v>
      </c>
    </row>
    <row r="7110" spans="1:4" x14ac:dyDescent="0.3">
      <c r="A7110" s="12"/>
      <c r="B7110" s="12"/>
      <c r="C7110" s="14" t="s">
        <v>197</v>
      </c>
      <c r="D7110" s="18">
        <v>1499</v>
      </c>
    </row>
    <row r="7111" spans="1:4" x14ac:dyDescent="0.3">
      <c r="A7111" s="12"/>
      <c r="B7111" s="10" t="s">
        <v>1916</v>
      </c>
      <c r="C7111" s="11"/>
      <c r="D7111" s="17">
        <v>4584.95</v>
      </c>
    </row>
    <row r="7112" spans="1:4" x14ac:dyDescent="0.3">
      <c r="A7112" s="10" t="s">
        <v>1750</v>
      </c>
      <c r="B7112" s="11"/>
      <c r="C7112" s="11"/>
      <c r="D7112" s="17">
        <v>4584.95</v>
      </c>
    </row>
    <row r="7113" spans="1:4" x14ac:dyDescent="0.3">
      <c r="A7113" s="10">
        <v>1455</v>
      </c>
      <c r="B7113" s="10" t="s">
        <v>18</v>
      </c>
      <c r="C7113" s="10" t="s">
        <v>80</v>
      </c>
      <c r="D7113" s="17">
        <v>679.98</v>
      </c>
    </row>
    <row r="7114" spans="1:4" x14ac:dyDescent="0.3">
      <c r="A7114" s="12"/>
      <c r="B7114" s="12"/>
      <c r="C7114" s="14" t="s">
        <v>172</v>
      </c>
      <c r="D7114" s="18">
        <v>749.99</v>
      </c>
    </row>
    <row r="7115" spans="1:4" x14ac:dyDescent="0.3">
      <c r="A7115" s="12"/>
      <c r="B7115" s="10" t="s">
        <v>1916</v>
      </c>
      <c r="C7115" s="11"/>
      <c r="D7115" s="17">
        <v>1429.97</v>
      </c>
    </row>
    <row r="7116" spans="1:4" x14ac:dyDescent="0.3">
      <c r="A7116" s="10" t="s">
        <v>1751</v>
      </c>
      <c r="B7116" s="11"/>
      <c r="C7116" s="11"/>
      <c r="D7116" s="17">
        <v>1429.97</v>
      </c>
    </row>
    <row r="7117" spans="1:4" x14ac:dyDescent="0.3">
      <c r="A7117" s="10">
        <v>1456</v>
      </c>
      <c r="B7117" s="10" t="s">
        <v>18</v>
      </c>
      <c r="C7117" s="10" t="s">
        <v>264</v>
      </c>
      <c r="D7117" s="17">
        <v>639.99</v>
      </c>
    </row>
    <row r="7118" spans="1:4" x14ac:dyDescent="0.3">
      <c r="A7118" s="12"/>
      <c r="B7118" s="12"/>
      <c r="C7118" s="14" t="s">
        <v>251</v>
      </c>
      <c r="D7118" s="18">
        <v>469.99</v>
      </c>
    </row>
    <row r="7119" spans="1:4" x14ac:dyDescent="0.3">
      <c r="A7119" s="12"/>
      <c r="B7119" s="12"/>
      <c r="C7119" s="14" t="s">
        <v>222</v>
      </c>
      <c r="D7119" s="18">
        <v>319.98</v>
      </c>
    </row>
    <row r="7120" spans="1:4" x14ac:dyDescent="0.3">
      <c r="A7120" s="12"/>
      <c r="B7120" s="12"/>
      <c r="C7120" s="14" t="s">
        <v>232</v>
      </c>
      <c r="D7120" s="18">
        <v>5599.98</v>
      </c>
    </row>
    <row r="7121" spans="1:4" x14ac:dyDescent="0.3">
      <c r="A7121" s="12"/>
      <c r="B7121" s="12"/>
      <c r="C7121" s="14" t="s">
        <v>265</v>
      </c>
      <c r="D7121" s="18">
        <v>289.99</v>
      </c>
    </row>
    <row r="7122" spans="1:4" x14ac:dyDescent="0.3">
      <c r="A7122" s="12"/>
      <c r="B7122" s="10" t="s">
        <v>1916</v>
      </c>
      <c r="C7122" s="11"/>
      <c r="D7122" s="17">
        <v>7319.9299999999994</v>
      </c>
    </row>
    <row r="7123" spans="1:4" x14ac:dyDescent="0.3">
      <c r="A7123" s="10" t="s">
        <v>1752</v>
      </c>
      <c r="B7123" s="11"/>
      <c r="C7123" s="11"/>
      <c r="D7123" s="17">
        <v>7319.9299999999994</v>
      </c>
    </row>
    <row r="7124" spans="1:4" x14ac:dyDescent="0.3">
      <c r="A7124" s="10">
        <v>1457</v>
      </c>
      <c r="B7124" s="10" t="s">
        <v>18</v>
      </c>
      <c r="C7124" s="10" t="s">
        <v>112</v>
      </c>
      <c r="D7124" s="17">
        <v>470.99</v>
      </c>
    </row>
    <row r="7125" spans="1:4" x14ac:dyDescent="0.3">
      <c r="A7125" s="12"/>
      <c r="B7125" s="12"/>
      <c r="C7125" s="14" t="s">
        <v>189</v>
      </c>
      <c r="D7125" s="18">
        <v>4999.9799999999996</v>
      </c>
    </row>
    <row r="7126" spans="1:4" x14ac:dyDescent="0.3">
      <c r="A7126" s="12"/>
      <c r="B7126" s="12"/>
      <c r="C7126" s="14" t="s">
        <v>222</v>
      </c>
      <c r="D7126" s="18">
        <v>159.99</v>
      </c>
    </row>
    <row r="7127" spans="1:4" x14ac:dyDescent="0.3">
      <c r="A7127" s="12"/>
      <c r="B7127" s="12"/>
      <c r="C7127" s="14" t="s">
        <v>198</v>
      </c>
      <c r="D7127" s="18">
        <v>489.99</v>
      </c>
    </row>
    <row r="7128" spans="1:4" x14ac:dyDescent="0.3">
      <c r="A7128" s="12"/>
      <c r="B7128" s="10" t="s">
        <v>1916</v>
      </c>
      <c r="C7128" s="11"/>
      <c r="D7128" s="17">
        <v>6120.9499999999989</v>
      </c>
    </row>
    <row r="7129" spans="1:4" x14ac:dyDescent="0.3">
      <c r="A7129" s="10" t="s">
        <v>1753</v>
      </c>
      <c r="B7129" s="11"/>
      <c r="C7129" s="11"/>
      <c r="D7129" s="17">
        <v>6120.9499999999989</v>
      </c>
    </row>
    <row r="7130" spans="1:4" x14ac:dyDescent="0.3">
      <c r="A7130" s="10">
        <v>1458</v>
      </c>
      <c r="B7130" s="10" t="s">
        <v>37</v>
      </c>
      <c r="C7130" s="10" t="s">
        <v>25</v>
      </c>
      <c r="D7130" s="17">
        <v>549.99</v>
      </c>
    </row>
    <row r="7131" spans="1:4" x14ac:dyDescent="0.3">
      <c r="A7131" s="12"/>
      <c r="B7131" s="12"/>
      <c r="C7131" s="14" t="s">
        <v>219</v>
      </c>
      <c r="D7131" s="18">
        <v>639.98</v>
      </c>
    </row>
    <row r="7132" spans="1:4" x14ac:dyDescent="0.3">
      <c r="A7132" s="12"/>
      <c r="B7132" s="12"/>
      <c r="C7132" s="14" t="s">
        <v>57</v>
      </c>
      <c r="D7132" s="18">
        <v>1295.98</v>
      </c>
    </row>
    <row r="7133" spans="1:4" x14ac:dyDescent="0.3">
      <c r="A7133" s="12"/>
      <c r="B7133" s="12"/>
      <c r="C7133" s="14" t="s">
        <v>96</v>
      </c>
      <c r="D7133" s="18">
        <v>533.99</v>
      </c>
    </row>
    <row r="7134" spans="1:4" x14ac:dyDescent="0.3">
      <c r="A7134" s="12"/>
      <c r="B7134" s="10" t="s">
        <v>1917</v>
      </c>
      <c r="C7134" s="11"/>
      <c r="D7134" s="17">
        <v>3019.9399999999996</v>
      </c>
    </row>
    <row r="7135" spans="1:4" x14ac:dyDescent="0.3">
      <c r="A7135" s="10" t="s">
        <v>1754</v>
      </c>
      <c r="B7135" s="11"/>
      <c r="C7135" s="11"/>
      <c r="D7135" s="17">
        <v>3019.9399999999996</v>
      </c>
    </row>
    <row r="7136" spans="1:4" x14ac:dyDescent="0.3">
      <c r="A7136" s="10">
        <v>1459</v>
      </c>
      <c r="B7136" s="10" t="s">
        <v>18</v>
      </c>
      <c r="C7136" s="10" t="s">
        <v>266</v>
      </c>
      <c r="D7136" s="17">
        <v>1259.9000000000001</v>
      </c>
    </row>
    <row r="7137" spans="1:4" x14ac:dyDescent="0.3">
      <c r="A7137" s="12"/>
      <c r="B7137" s="10" t="s">
        <v>1916</v>
      </c>
      <c r="C7137" s="11"/>
      <c r="D7137" s="17">
        <v>1259.9000000000001</v>
      </c>
    </row>
    <row r="7138" spans="1:4" x14ac:dyDescent="0.3">
      <c r="A7138" s="10" t="s">
        <v>1755</v>
      </c>
      <c r="B7138" s="11"/>
      <c r="C7138" s="11"/>
      <c r="D7138" s="17">
        <v>1259.9000000000001</v>
      </c>
    </row>
    <row r="7139" spans="1:4" x14ac:dyDescent="0.3">
      <c r="A7139" s="10">
        <v>1460</v>
      </c>
      <c r="B7139" s="10" t="s">
        <v>18</v>
      </c>
      <c r="C7139" s="10" t="s">
        <v>48</v>
      </c>
      <c r="D7139" s="17">
        <v>299.99</v>
      </c>
    </row>
    <row r="7140" spans="1:4" x14ac:dyDescent="0.3">
      <c r="A7140" s="12"/>
      <c r="B7140" s="12"/>
      <c r="C7140" s="14" t="s">
        <v>268</v>
      </c>
      <c r="D7140" s="18">
        <v>749.99</v>
      </c>
    </row>
    <row r="7141" spans="1:4" x14ac:dyDescent="0.3">
      <c r="A7141" s="12"/>
      <c r="B7141" s="12"/>
      <c r="C7141" s="14" t="s">
        <v>260</v>
      </c>
      <c r="D7141" s="18">
        <v>1999.98</v>
      </c>
    </row>
    <row r="7142" spans="1:4" x14ac:dyDescent="0.3">
      <c r="A7142" s="12"/>
      <c r="B7142" s="12"/>
      <c r="C7142" s="14" t="s">
        <v>267</v>
      </c>
      <c r="D7142" s="18">
        <v>4499.99</v>
      </c>
    </row>
    <row r="7143" spans="1:4" x14ac:dyDescent="0.3">
      <c r="A7143" s="12"/>
      <c r="B7143" s="12"/>
      <c r="C7143" s="14" t="s">
        <v>29</v>
      </c>
      <c r="D7143" s="18">
        <v>7999.98</v>
      </c>
    </row>
    <row r="7144" spans="1:4" x14ac:dyDescent="0.3">
      <c r="A7144" s="12"/>
      <c r="B7144" s="10" t="s">
        <v>1916</v>
      </c>
      <c r="C7144" s="11"/>
      <c r="D7144" s="17">
        <v>15549.93</v>
      </c>
    </row>
    <row r="7145" spans="1:4" x14ac:dyDescent="0.3">
      <c r="A7145" s="10" t="s">
        <v>1756</v>
      </c>
      <c r="B7145" s="11"/>
      <c r="C7145" s="11"/>
      <c r="D7145" s="17">
        <v>15549.93</v>
      </c>
    </row>
    <row r="7146" spans="1:4" x14ac:dyDescent="0.3">
      <c r="A7146" s="10">
        <v>1461</v>
      </c>
      <c r="B7146" s="10" t="s">
        <v>18</v>
      </c>
      <c r="C7146" s="10" t="s">
        <v>245</v>
      </c>
      <c r="D7146" s="17">
        <v>1399.98</v>
      </c>
    </row>
    <row r="7147" spans="1:4" x14ac:dyDescent="0.3">
      <c r="A7147" s="12"/>
      <c r="B7147" s="12"/>
      <c r="C7147" s="14" t="s">
        <v>84</v>
      </c>
      <c r="D7147" s="18">
        <v>1499.99</v>
      </c>
    </row>
    <row r="7148" spans="1:4" x14ac:dyDescent="0.3">
      <c r="A7148" s="12"/>
      <c r="B7148" s="10" t="s">
        <v>1916</v>
      </c>
      <c r="C7148" s="11"/>
      <c r="D7148" s="17">
        <v>2899.9700000000003</v>
      </c>
    </row>
    <row r="7149" spans="1:4" x14ac:dyDescent="0.3">
      <c r="A7149" s="10" t="s">
        <v>1757</v>
      </c>
      <c r="B7149" s="11"/>
      <c r="C7149" s="11"/>
      <c r="D7149" s="17">
        <v>2899.9700000000003</v>
      </c>
    </row>
    <row r="7150" spans="1:4" x14ac:dyDescent="0.3">
      <c r="A7150" s="10">
        <v>1462</v>
      </c>
      <c r="B7150" s="10" t="s">
        <v>18</v>
      </c>
      <c r="C7150" s="10" t="s">
        <v>202</v>
      </c>
      <c r="D7150" s="17">
        <v>529.99</v>
      </c>
    </row>
    <row r="7151" spans="1:4" x14ac:dyDescent="0.3">
      <c r="A7151" s="12"/>
      <c r="B7151" s="12"/>
      <c r="C7151" s="14" t="s">
        <v>269</v>
      </c>
      <c r="D7151" s="18">
        <v>369.99</v>
      </c>
    </row>
    <row r="7152" spans="1:4" x14ac:dyDescent="0.3">
      <c r="A7152" s="12"/>
      <c r="B7152" s="12"/>
      <c r="C7152" s="14" t="s">
        <v>216</v>
      </c>
      <c r="D7152" s="18">
        <v>2999.99</v>
      </c>
    </row>
    <row r="7153" spans="1:4" x14ac:dyDescent="0.3">
      <c r="A7153" s="12"/>
      <c r="B7153" s="12"/>
      <c r="C7153" s="14" t="s">
        <v>35</v>
      </c>
      <c r="D7153" s="18">
        <v>499.99</v>
      </c>
    </row>
    <row r="7154" spans="1:4" x14ac:dyDescent="0.3">
      <c r="A7154" s="12"/>
      <c r="B7154" s="12"/>
      <c r="C7154" s="14" t="s">
        <v>168</v>
      </c>
      <c r="D7154" s="18">
        <v>89.99</v>
      </c>
    </row>
    <row r="7155" spans="1:4" x14ac:dyDescent="0.3">
      <c r="A7155" s="12"/>
      <c r="B7155" s="10" t="s">
        <v>1916</v>
      </c>
      <c r="C7155" s="11"/>
      <c r="D7155" s="17">
        <v>4489.95</v>
      </c>
    </row>
    <row r="7156" spans="1:4" x14ac:dyDescent="0.3">
      <c r="A7156" s="10" t="s">
        <v>1758</v>
      </c>
      <c r="B7156" s="11"/>
      <c r="C7156" s="11"/>
      <c r="D7156" s="17">
        <v>4489.95</v>
      </c>
    </row>
    <row r="7157" spans="1:4" x14ac:dyDescent="0.3">
      <c r="A7157" s="10">
        <v>1463</v>
      </c>
      <c r="B7157" s="10" t="s">
        <v>18</v>
      </c>
      <c r="C7157" s="10" t="s">
        <v>171</v>
      </c>
      <c r="D7157" s="17">
        <v>1549</v>
      </c>
    </row>
    <row r="7158" spans="1:4" x14ac:dyDescent="0.3">
      <c r="A7158" s="12"/>
      <c r="B7158" s="12"/>
      <c r="C7158" s="14" t="s">
        <v>90</v>
      </c>
      <c r="D7158" s="18">
        <v>12999.98</v>
      </c>
    </row>
    <row r="7159" spans="1:4" x14ac:dyDescent="0.3">
      <c r="A7159" s="12"/>
      <c r="B7159" s="10" t="s">
        <v>1916</v>
      </c>
      <c r="C7159" s="11"/>
      <c r="D7159" s="17">
        <v>14548.98</v>
      </c>
    </row>
    <row r="7160" spans="1:4" x14ac:dyDescent="0.3">
      <c r="A7160" s="10" t="s">
        <v>1759</v>
      </c>
      <c r="B7160" s="11"/>
      <c r="C7160" s="11"/>
      <c r="D7160" s="17">
        <v>14548.98</v>
      </c>
    </row>
    <row r="7161" spans="1:4" x14ac:dyDescent="0.3">
      <c r="A7161" s="10">
        <v>1464</v>
      </c>
      <c r="B7161" s="10" t="s">
        <v>18</v>
      </c>
      <c r="C7161" s="10" t="s">
        <v>49</v>
      </c>
      <c r="D7161" s="17">
        <v>833.98</v>
      </c>
    </row>
    <row r="7162" spans="1:4" x14ac:dyDescent="0.3">
      <c r="A7162" s="12"/>
      <c r="B7162" s="12"/>
      <c r="C7162" s="14" t="s">
        <v>197</v>
      </c>
      <c r="D7162" s="18">
        <v>1499</v>
      </c>
    </row>
    <row r="7163" spans="1:4" x14ac:dyDescent="0.3">
      <c r="A7163" s="12"/>
      <c r="B7163" s="12"/>
      <c r="C7163" s="14" t="s">
        <v>223</v>
      </c>
      <c r="D7163" s="18">
        <v>4999.9799999999996</v>
      </c>
    </row>
    <row r="7164" spans="1:4" x14ac:dyDescent="0.3">
      <c r="A7164" s="12"/>
      <c r="B7164" s="12"/>
      <c r="C7164" s="14" t="s">
        <v>126</v>
      </c>
      <c r="D7164" s="18">
        <v>3099.98</v>
      </c>
    </row>
    <row r="7165" spans="1:4" x14ac:dyDescent="0.3">
      <c r="A7165" s="12"/>
      <c r="B7165" s="10" t="s">
        <v>1916</v>
      </c>
      <c r="C7165" s="11"/>
      <c r="D7165" s="17">
        <v>10432.939999999999</v>
      </c>
    </row>
    <row r="7166" spans="1:4" x14ac:dyDescent="0.3">
      <c r="A7166" s="10" t="s">
        <v>1760</v>
      </c>
      <c r="B7166" s="11"/>
      <c r="C7166" s="11"/>
      <c r="D7166" s="17">
        <v>10432.939999999999</v>
      </c>
    </row>
    <row r="7167" spans="1:4" x14ac:dyDescent="0.3">
      <c r="A7167" s="10">
        <v>1465</v>
      </c>
      <c r="B7167" s="10" t="s">
        <v>18</v>
      </c>
      <c r="C7167" s="10" t="s">
        <v>73</v>
      </c>
      <c r="D7167" s="17">
        <v>1319.98</v>
      </c>
    </row>
    <row r="7168" spans="1:4" x14ac:dyDescent="0.3">
      <c r="A7168" s="12"/>
      <c r="B7168" s="10" t="s">
        <v>1916</v>
      </c>
      <c r="C7168" s="11"/>
      <c r="D7168" s="17">
        <v>1319.98</v>
      </c>
    </row>
    <row r="7169" spans="1:4" x14ac:dyDescent="0.3">
      <c r="A7169" s="10" t="s">
        <v>1761</v>
      </c>
      <c r="B7169" s="11"/>
      <c r="C7169" s="11"/>
      <c r="D7169" s="17">
        <v>1319.98</v>
      </c>
    </row>
    <row r="7170" spans="1:4" x14ac:dyDescent="0.3">
      <c r="A7170" s="10">
        <v>1466</v>
      </c>
      <c r="B7170" s="10" t="s">
        <v>11</v>
      </c>
      <c r="C7170" s="10" t="s">
        <v>221</v>
      </c>
      <c r="D7170" s="17">
        <v>1799.98</v>
      </c>
    </row>
    <row r="7171" spans="1:4" x14ac:dyDescent="0.3">
      <c r="A7171" s="12"/>
      <c r="B7171" s="12"/>
      <c r="C7171" s="14" t="s">
        <v>216</v>
      </c>
      <c r="D7171" s="18">
        <v>2999.99</v>
      </c>
    </row>
    <row r="7172" spans="1:4" x14ac:dyDescent="0.3">
      <c r="A7172" s="12"/>
      <c r="B7172" s="12"/>
      <c r="C7172" s="14" t="s">
        <v>186</v>
      </c>
      <c r="D7172" s="18">
        <v>2698</v>
      </c>
    </row>
    <row r="7173" spans="1:4" x14ac:dyDescent="0.3">
      <c r="A7173" s="12"/>
      <c r="B7173" s="12"/>
      <c r="C7173" s="14" t="s">
        <v>72</v>
      </c>
      <c r="D7173" s="18">
        <v>2999.98</v>
      </c>
    </row>
    <row r="7174" spans="1:4" x14ac:dyDescent="0.3">
      <c r="A7174" s="12"/>
      <c r="B7174" s="10" t="s">
        <v>1915</v>
      </c>
      <c r="C7174" s="11"/>
      <c r="D7174" s="17">
        <v>10497.949999999999</v>
      </c>
    </row>
    <row r="7175" spans="1:4" x14ac:dyDescent="0.3">
      <c r="A7175" s="10" t="s">
        <v>1762</v>
      </c>
      <c r="B7175" s="11"/>
      <c r="C7175" s="11"/>
      <c r="D7175" s="17">
        <v>10497.949999999999</v>
      </c>
    </row>
    <row r="7176" spans="1:4" x14ac:dyDescent="0.3">
      <c r="A7176" s="10">
        <v>1467</v>
      </c>
      <c r="B7176" s="10" t="s">
        <v>18</v>
      </c>
      <c r="C7176" s="10" t="s">
        <v>24</v>
      </c>
      <c r="D7176" s="17">
        <v>449</v>
      </c>
    </row>
    <row r="7177" spans="1:4" x14ac:dyDescent="0.3">
      <c r="A7177" s="12"/>
      <c r="B7177" s="12"/>
      <c r="C7177" s="14" t="s">
        <v>192</v>
      </c>
      <c r="D7177" s="18">
        <v>3199.99</v>
      </c>
    </row>
    <row r="7178" spans="1:4" x14ac:dyDescent="0.3">
      <c r="A7178" s="12"/>
      <c r="B7178" s="12"/>
      <c r="C7178" s="14" t="s">
        <v>270</v>
      </c>
      <c r="D7178" s="18">
        <v>739.98</v>
      </c>
    </row>
    <row r="7179" spans="1:4" x14ac:dyDescent="0.3">
      <c r="A7179" s="12"/>
      <c r="B7179" s="10" t="s">
        <v>1916</v>
      </c>
      <c r="C7179" s="11"/>
      <c r="D7179" s="17">
        <v>4388.9699999999993</v>
      </c>
    </row>
    <row r="7180" spans="1:4" x14ac:dyDescent="0.3">
      <c r="A7180" s="10" t="s">
        <v>1763</v>
      </c>
      <c r="B7180" s="11"/>
      <c r="C7180" s="11"/>
      <c r="D7180" s="17">
        <v>4388.9699999999993</v>
      </c>
    </row>
    <row r="7181" spans="1:4" x14ac:dyDescent="0.3">
      <c r="A7181" s="10">
        <v>1468</v>
      </c>
      <c r="B7181" s="10" t="s">
        <v>11</v>
      </c>
      <c r="C7181" s="10" t="s">
        <v>81</v>
      </c>
      <c r="D7181" s="17">
        <v>4999.99</v>
      </c>
    </row>
    <row r="7182" spans="1:4" x14ac:dyDescent="0.3">
      <c r="A7182" s="12"/>
      <c r="B7182" s="12"/>
      <c r="C7182" s="14" t="s">
        <v>125</v>
      </c>
      <c r="D7182" s="18">
        <v>199.99</v>
      </c>
    </row>
    <row r="7183" spans="1:4" x14ac:dyDescent="0.3">
      <c r="A7183" s="12"/>
      <c r="B7183" s="12"/>
      <c r="C7183" s="14" t="s">
        <v>79</v>
      </c>
      <c r="D7183" s="18">
        <v>11999.98</v>
      </c>
    </row>
    <row r="7184" spans="1:4" x14ac:dyDescent="0.3">
      <c r="A7184" s="12"/>
      <c r="B7184" s="10" t="s">
        <v>1915</v>
      </c>
      <c r="C7184" s="11"/>
      <c r="D7184" s="17">
        <v>17199.96</v>
      </c>
    </row>
    <row r="7185" spans="1:4" x14ac:dyDescent="0.3">
      <c r="A7185" s="10" t="s">
        <v>1764</v>
      </c>
      <c r="B7185" s="11"/>
      <c r="C7185" s="11"/>
      <c r="D7185" s="17">
        <v>17199.96</v>
      </c>
    </row>
    <row r="7186" spans="1:4" x14ac:dyDescent="0.3">
      <c r="A7186" s="10">
        <v>1469</v>
      </c>
      <c r="B7186" s="10" t="s">
        <v>37</v>
      </c>
      <c r="C7186" s="10" t="s">
        <v>113</v>
      </c>
      <c r="D7186" s="17">
        <v>1599.98</v>
      </c>
    </row>
    <row r="7187" spans="1:4" x14ac:dyDescent="0.3">
      <c r="A7187" s="12"/>
      <c r="B7187" s="12"/>
      <c r="C7187" s="14" t="s">
        <v>156</v>
      </c>
      <c r="D7187" s="18">
        <v>1699.98</v>
      </c>
    </row>
    <row r="7188" spans="1:4" x14ac:dyDescent="0.3">
      <c r="A7188" s="12"/>
      <c r="B7188" s="12"/>
      <c r="C7188" s="14" t="s">
        <v>105</v>
      </c>
      <c r="D7188" s="18">
        <v>979.98</v>
      </c>
    </row>
    <row r="7189" spans="1:4" x14ac:dyDescent="0.3">
      <c r="A7189" s="12"/>
      <c r="B7189" s="12"/>
      <c r="C7189" s="14" t="s">
        <v>204</v>
      </c>
      <c r="D7189" s="18">
        <v>2499.9899999999998</v>
      </c>
    </row>
    <row r="7190" spans="1:4" x14ac:dyDescent="0.3">
      <c r="A7190" s="12"/>
      <c r="B7190" s="10" t="s">
        <v>1917</v>
      </c>
      <c r="C7190" s="11"/>
      <c r="D7190" s="17">
        <v>6779.93</v>
      </c>
    </row>
    <row r="7191" spans="1:4" x14ac:dyDescent="0.3">
      <c r="A7191" s="10" t="s">
        <v>1765</v>
      </c>
      <c r="B7191" s="11"/>
      <c r="C7191" s="11"/>
      <c r="D7191" s="17">
        <v>6779.93</v>
      </c>
    </row>
    <row r="7192" spans="1:4" x14ac:dyDescent="0.3">
      <c r="A7192" s="10">
        <v>1470</v>
      </c>
      <c r="B7192" s="10" t="s">
        <v>18</v>
      </c>
      <c r="C7192" s="10" t="s">
        <v>271</v>
      </c>
      <c r="D7192" s="17">
        <v>279.99</v>
      </c>
    </row>
    <row r="7193" spans="1:4" x14ac:dyDescent="0.3">
      <c r="A7193" s="12"/>
      <c r="B7193" s="12"/>
      <c r="C7193" s="14" t="s">
        <v>182</v>
      </c>
      <c r="D7193" s="18">
        <v>5999.98</v>
      </c>
    </row>
    <row r="7194" spans="1:4" x14ac:dyDescent="0.3">
      <c r="A7194" s="12"/>
      <c r="B7194" s="12"/>
      <c r="C7194" s="14" t="s">
        <v>65</v>
      </c>
      <c r="D7194" s="18">
        <v>941.98</v>
      </c>
    </row>
    <row r="7195" spans="1:4" x14ac:dyDescent="0.3">
      <c r="A7195" s="12"/>
      <c r="B7195" s="10" t="s">
        <v>1916</v>
      </c>
      <c r="C7195" s="11"/>
      <c r="D7195" s="17">
        <v>7221.9499999999989</v>
      </c>
    </row>
    <row r="7196" spans="1:4" x14ac:dyDescent="0.3">
      <c r="A7196" s="10" t="s">
        <v>1766</v>
      </c>
      <c r="B7196" s="11"/>
      <c r="C7196" s="11"/>
      <c r="D7196" s="17">
        <v>7221.9499999999989</v>
      </c>
    </row>
    <row r="7197" spans="1:4" x14ac:dyDescent="0.3">
      <c r="A7197" s="10">
        <v>1471</v>
      </c>
      <c r="B7197" s="10" t="s">
        <v>18</v>
      </c>
      <c r="C7197" s="10" t="s">
        <v>74</v>
      </c>
      <c r="D7197" s="17">
        <v>5199.9799999999996</v>
      </c>
    </row>
    <row r="7198" spans="1:4" x14ac:dyDescent="0.3">
      <c r="A7198" s="12"/>
      <c r="B7198" s="12"/>
      <c r="C7198" s="14" t="s">
        <v>177</v>
      </c>
      <c r="D7198" s="18">
        <v>1799.99</v>
      </c>
    </row>
    <row r="7199" spans="1:4" x14ac:dyDescent="0.3">
      <c r="A7199" s="12"/>
      <c r="B7199" s="10" t="s">
        <v>1916</v>
      </c>
      <c r="C7199" s="11"/>
      <c r="D7199" s="17">
        <v>6999.9699999999993</v>
      </c>
    </row>
    <row r="7200" spans="1:4" x14ac:dyDescent="0.3">
      <c r="A7200" s="10" t="s">
        <v>1767</v>
      </c>
      <c r="B7200" s="11"/>
      <c r="C7200" s="11"/>
      <c r="D7200" s="17">
        <v>6999.9699999999993</v>
      </c>
    </row>
    <row r="7201" spans="1:4" x14ac:dyDescent="0.3">
      <c r="A7201" s="10">
        <v>1472</v>
      </c>
      <c r="B7201" s="10" t="s">
        <v>18</v>
      </c>
      <c r="C7201" s="10" t="s">
        <v>141</v>
      </c>
      <c r="D7201" s="17">
        <v>799.99</v>
      </c>
    </row>
    <row r="7202" spans="1:4" x14ac:dyDescent="0.3">
      <c r="A7202" s="12"/>
      <c r="B7202" s="12"/>
      <c r="C7202" s="14" t="s">
        <v>83</v>
      </c>
      <c r="D7202" s="18">
        <v>109.99</v>
      </c>
    </row>
    <row r="7203" spans="1:4" x14ac:dyDescent="0.3">
      <c r="A7203" s="12"/>
      <c r="B7203" s="10" t="s">
        <v>1916</v>
      </c>
      <c r="C7203" s="11"/>
      <c r="D7203" s="17">
        <v>909.98</v>
      </c>
    </row>
    <row r="7204" spans="1:4" x14ac:dyDescent="0.3">
      <c r="A7204" s="10" t="s">
        <v>1768</v>
      </c>
      <c r="B7204" s="11"/>
      <c r="C7204" s="11"/>
      <c r="D7204" s="17">
        <v>909.98</v>
      </c>
    </row>
    <row r="7205" spans="1:4" x14ac:dyDescent="0.3">
      <c r="A7205" s="10">
        <v>1473</v>
      </c>
      <c r="B7205" s="10" t="s">
        <v>11</v>
      </c>
      <c r="C7205" s="10" t="s">
        <v>51</v>
      </c>
      <c r="D7205" s="17">
        <v>489.99</v>
      </c>
    </row>
    <row r="7206" spans="1:4" x14ac:dyDescent="0.3">
      <c r="A7206" s="12"/>
      <c r="B7206" s="12"/>
      <c r="C7206" s="14" t="s">
        <v>83</v>
      </c>
      <c r="D7206" s="18">
        <v>219.98</v>
      </c>
    </row>
    <row r="7207" spans="1:4" x14ac:dyDescent="0.3">
      <c r="A7207" s="12"/>
      <c r="B7207" s="10" t="s">
        <v>1915</v>
      </c>
      <c r="C7207" s="11"/>
      <c r="D7207" s="17">
        <v>709.97</v>
      </c>
    </row>
    <row r="7208" spans="1:4" x14ac:dyDescent="0.3">
      <c r="A7208" s="10" t="s">
        <v>1769</v>
      </c>
      <c r="B7208" s="11"/>
      <c r="C7208" s="11"/>
      <c r="D7208" s="17">
        <v>709.97</v>
      </c>
    </row>
    <row r="7209" spans="1:4" x14ac:dyDescent="0.3">
      <c r="A7209" s="10">
        <v>1474</v>
      </c>
      <c r="B7209" s="10" t="s">
        <v>11</v>
      </c>
      <c r="C7209" s="10" t="s">
        <v>237</v>
      </c>
      <c r="D7209" s="17">
        <v>899.99</v>
      </c>
    </row>
    <row r="7210" spans="1:4" x14ac:dyDescent="0.3">
      <c r="A7210" s="12"/>
      <c r="B7210" s="12"/>
      <c r="C7210" s="14" t="s">
        <v>260</v>
      </c>
      <c r="D7210" s="18">
        <v>999.99</v>
      </c>
    </row>
    <row r="7211" spans="1:4" x14ac:dyDescent="0.3">
      <c r="A7211" s="12"/>
      <c r="B7211" s="10" t="s">
        <v>1915</v>
      </c>
      <c r="C7211" s="11"/>
      <c r="D7211" s="17">
        <v>1899.98</v>
      </c>
    </row>
    <row r="7212" spans="1:4" x14ac:dyDescent="0.3">
      <c r="A7212" s="10" t="s">
        <v>1770</v>
      </c>
      <c r="B7212" s="11"/>
      <c r="C7212" s="11"/>
      <c r="D7212" s="17">
        <v>1899.98</v>
      </c>
    </row>
    <row r="7213" spans="1:4" x14ac:dyDescent="0.3">
      <c r="A7213" s="10">
        <v>1475</v>
      </c>
      <c r="B7213" s="10" t="s">
        <v>18</v>
      </c>
      <c r="C7213" s="10" t="s">
        <v>237</v>
      </c>
      <c r="D7213" s="17">
        <v>1799.98</v>
      </c>
    </row>
    <row r="7214" spans="1:4" x14ac:dyDescent="0.3">
      <c r="A7214" s="12"/>
      <c r="B7214" s="12"/>
      <c r="C7214" s="14" t="s">
        <v>208</v>
      </c>
      <c r="D7214" s="18">
        <v>1799.98</v>
      </c>
    </row>
    <row r="7215" spans="1:4" x14ac:dyDescent="0.3">
      <c r="A7215" s="12"/>
      <c r="B7215" s="12"/>
      <c r="C7215" s="14" t="s">
        <v>272</v>
      </c>
      <c r="D7215" s="18">
        <v>1199.98</v>
      </c>
    </row>
    <row r="7216" spans="1:4" x14ac:dyDescent="0.3">
      <c r="A7216" s="12"/>
      <c r="B7216" s="12"/>
      <c r="C7216" s="14" t="s">
        <v>254</v>
      </c>
      <c r="D7216" s="18">
        <v>3798</v>
      </c>
    </row>
    <row r="7217" spans="1:4" x14ac:dyDescent="0.3">
      <c r="A7217" s="12"/>
      <c r="B7217" s="10" t="s">
        <v>1916</v>
      </c>
      <c r="C7217" s="11"/>
      <c r="D7217" s="17">
        <v>8597.94</v>
      </c>
    </row>
    <row r="7218" spans="1:4" x14ac:dyDescent="0.3">
      <c r="A7218" s="10" t="s">
        <v>1771</v>
      </c>
      <c r="B7218" s="11"/>
      <c r="C7218" s="11"/>
      <c r="D7218" s="17">
        <v>8597.94</v>
      </c>
    </row>
    <row r="7219" spans="1:4" x14ac:dyDescent="0.3">
      <c r="A7219" s="10">
        <v>1476</v>
      </c>
      <c r="B7219" s="10" t="s">
        <v>18</v>
      </c>
      <c r="C7219" s="10" t="s">
        <v>273</v>
      </c>
      <c r="D7219" s="17">
        <v>2799.99</v>
      </c>
    </row>
    <row r="7220" spans="1:4" x14ac:dyDescent="0.3">
      <c r="A7220" s="12"/>
      <c r="B7220" s="12"/>
      <c r="C7220" s="14" t="s">
        <v>239</v>
      </c>
      <c r="D7220" s="18">
        <v>579.98</v>
      </c>
    </row>
    <row r="7221" spans="1:4" x14ac:dyDescent="0.3">
      <c r="A7221" s="12"/>
      <c r="B7221" s="12"/>
      <c r="C7221" s="14" t="s">
        <v>206</v>
      </c>
      <c r="D7221" s="18">
        <v>6399.98</v>
      </c>
    </row>
    <row r="7222" spans="1:4" x14ac:dyDescent="0.3">
      <c r="A7222" s="12"/>
      <c r="B7222" s="12"/>
      <c r="C7222" s="14" t="s">
        <v>62</v>
      </c>
      <c r="D7222" s="18">
        <v>5299.99</v>
      </c>
    </row>
    <row r="7223" spans="1:4" x14ac:dyDescent="0.3">
      <c r="A7223" s="12"/>
      <c r="B7223" s="12"/>
      <c r="C7223" s="14" t="s">
        <v>97</v>
      </c>
      <c r="D7223" s="18">
        <v>699.98</v>
      </c>
    </row>
    <row r="7224" spans="1:4" x14ac:dyDescent="0.3">
      <c r="A7224" s="12"/>
      <c r="B7224" s="10" t="s">
        <v>1916</v>
      </c>
      <c r="C7224" s="11"/>
      <c r="D7224" s="17">
        <v>15779.919999999998</v>
      </c>
    </row>
    <row r="7225" spans="1:4" x14ac:dyDescent="0.3">
      <c r="A7225" s="10" t="s">
        <v>1772</v>
      </c>
      <c r="B7225" s="11"/>
      <c r="C7225" s="11"/>
      <c r="D7225" s="17">
        <v>15779.919999999998</v>
      </c>
    </row>
    <row r="7226" spans="1:4" x14ac:dyDescent="0.3">
      <c r="A7226" s="10">
        <v>1477</v>
      </c>
      <c r="B7226" s="10" t="s">
        <v>18</v>
      </c>
      <c r="C7226" s="10" t="s">
        <v>171</v>
      </c>
      <c r="D7226" s="17">
        <v>3098</v>
      </c>
    </row>
    <row r="7227" spans="1:4" x14ac:dyDescent="0.3">
      <c r="A7227" s="12"/>
      <c r="B7227" s="10" t="s">
        <v>1916</v>
      </c>
      <c r="C7227" s="11"/>
      <c r="D7227" s="17">
        <v>3098</v>
      </c>
    </row>
    <row r="7228" spans="1:4" x14ac:dyDescent="0.3">
      <c r="A7228" s="10" t="s">
        <v>1773</v>
      </c>
      <c r="B7228" s="11"/>
      <c r="C7228" s="11"/>
      <c r="D7228" s="17">
        <v>3098</v>
      </c>
    </row>
    <row r="7229" spans="1:4" x14ac:dyDescent="0.3">
      <c r="A7229" s="10">
        <v>1478</v>
      </c>
      <c r="B7229" s="10" t="s">
        <v>18</v>
      </c>
      <c r="C7229" s="10" t="s">
        <v>105</v>
      </c>
      <c r="D7229" s="17">
        <v>979.98</v>
      </c>
    </row>
    <row r="7230" spans="1:4" x14ac:dyDescent="0.3">
      <c r="A7230" s="12"/>
      <c r="B7230" s="12"/>
      <c r="C7230" s="14" t="s">
        <v>260</v>
      </c>
      <c r="D7230" s="18">
        <v>999.99</v>
      </c>
    </row>
    <row r="7231" spans="1:4" x14ac:dyDescent="0.3">
      <c r="A7231" s="12"/>
      <c r="B7231" s="10" t="s">
        <v>1916</v>
      </c>
      <c r="C7231" s="11"/>
      <c r="D7231" s="17">
        <v>1979.97</v>
      </c>
    </row>
    <row r="7232" spans="1:4" x14ac:dyDescent="0.3">
      <c r="A7232" s="10" t="s">
        <v>1774</v>
      </c>
      <c r="B7232" s="11"/>
      <c r="C7232" s="11"/>
      <c r="D7232" s="17">
        <v>1979.97</v>
      </c>
    </row>
    <row r="7233" spans="1:4" x14ac:dyDescent="0.3">
      <c r="A7233" s="10">
        <v>1479</v>
      </c>
      <c r="B7233" s="10" t="s">
        <v>18</v>
      </c>
      <c r="C7233" s="10" t="s">
        <v>274</v>
      </c>
      <c r="D7233" s="17">
        <v>899.99</v>
      </c>
    </row>
    <row r="7234" spans="1:4" x14ac:dyDescent="0.3">
      <c r="A7234" s="12"/>
      <c r="B7234" s="12"/>
      <c r="C7234" s="14" t="s">
        <v>182</v>
      </c>
      <c r="D7234" s="18">
        <v>2999.99</v>
      </c>
    </row>
    <row r="7235" spans="1:4" x14ac:dyDescent="0.3">
      <c r="A7235" s="12"/>
      <c r="B7235" s="10" t="s">
        <v>1916</v>
      </c>
      <c r="C7235" s="11"/>
      <c r="D7235" s="17">
        <v>3899.9799999999996</v>
      </c>
    </row>
    <row r="7236" spans="1:4" x14ac:dyDescent="0.3">
      <c r="A7236" s="10" t="s">
        <v>1775</v>
      </c>
      <c r="B7236" s="11"/>
      <c r="C7236" s="11"/>
      <c r="D7236" s="17">
        <v>3899.9799999999996</v>
      </c>
    </row>
    <row r="7237" spans="1:4" x14ac:dyDescent="0.3">
      <c r="A7237" s="10">
        <v>1480</v>
      </c>
      <c r="B7237" s="10" t="s">
        <v>18</v>
      </c>
      <c r="C7237" s="10" t="s">
        <v>100</v>
      </c>
      <c r="D7237" s="17">
        <v>1319.98</v>
      </c>
    </row>
    <row r="7238" spans="1:4" x14ac:dyDescent="0.3">
      <c r="A7238" s="12"/>
      <c r="B7238" s="12"/>
      <c r="C7238" s="14" t="s">
        <v>212</v>
      </c>
      <c r="D7238" s="18">
        <v>1919.98</v>
      </c>
    </row>
    <row r="7239" spans="1:4" x14ac:dyDescent="0.3">
      <c r="A7239" s="12"/>
      <c r="B7239" s="12"/>
      <c r="C7239" s="14" t="s">
        <v>241</v>
      </c>
      <c r="D7239" s="18">
        <v>1499.98</v>
      </c>
    </row>
    <row r="7240" spans="1:4" x14ac:dyDescent="0.3">
      <c r="A7240" s="12"/>
      <c r="B7240" s="12"/>
      <c r="C7240" s="14" t="s">
        <v>111</v>
      </c>
      <c r="D7240" s="18">
        <v>419.98</v>
      </c>
    </row>
    <row r="7241" spans="1:4" x14ac:dyDescent="0.3">
      <c r="A7241" s="12"/>
      <c r="B7241" s="10" t="s">
        <v>1916</v>
      </c>
      <c r="C7241" s="11"/>
      <c r="D7241" s="17">
        <v>5159.92</v>
      </c>
    </row>
    <row r="7242" spans="1:4" x14ac:dyDescent="0.3">
      <c r="A7242" s="10" t="s">
        <v>1776</v>
      </c>
      <c r="B7242" s="11"/>
      <c r="C7242" s="11"/>
      <c r="D7242" s="17">
        <v>5159.92</v>
      </c>
    </row>
    <row r="7243" spans="1:4" x14ac:dyDescent="0.3">
      <c r="A7243" s="10">
        <v>1481</v>
      </c>
      <c r="B7243" s="10" t="s">
        <v>18</v>
      </c>
      <c r="C7243" s="10" t="s">
        <v>42</v>
      </c>
      <c r="D7243" s="17">
        <v>1499.98</v>
      </c>
    </row>
    <row r="7244" spans="1:4" x14ac:dyDescent="0.3">
      <c r="A7244" s="12"/>
      <c r="B7244" s="12"/>
      <c r="C7244" s="14" t="s">
        <v>184</v>
      </c>
      <c r="D7244" s="18">
        <v>919.99</v>
      </c>
    </row>
    <row r="7245" spans="1:4" x14ac:dyDescent="0.3">
      <c r="A7245" s="12"/>
      <c r="B7245" s="10" t="s">
        <v>1916</v>
      </c>
      <c r="C7245" s="11"/>
      <c r="D7245" s="17">
        <v>2419.9700000000003</v>
      </c>
    </row>
    <row r="7246" spans="1:4" x14ac:dyDescent="0.3">
      <c r="A7246" s="10" t="s">
        <v>1777</v>
      </c>
      <c r="B7246" s="11"/>
      <c r="C7246" s="11"/>
      <c r="D7246" s="17">
        <v>2419.9700000000003</v>
      </c>
    </row>
    <row r="7247" spans="1:4" x14ac:dyDescent="0.3">
      <c r="A7247" s="10">
        <v>1482</v>
      </c>
      <c r="B7247" s="10" t="s">
        <v>18</v>
      </c>
      <c r="C7247" s="10" t="s">
        <v>84</v>
      </c>
      <c r="D7247" s="17">
        <v>1499.99</v>
      </c>
    </row>
    <row r="7248" spans="1:4" x14ac:dyDescent="0.3">
      <c r="A7248" s="12"/>
      <c r="B7248" s="12"/>
      <c r="C7248" s="14" t="s">
        <v>104</v>
      </c>
      <c r="D7248" s="18">
        <v>4999.99</v>
      </c>
    </row>
    <row r="7249" spans="1:4" x14ac:dyDescent="0.3">
      <c r="A7249" s="12"/>
      <c r="B7249" s="12"/>
      <c r="C7249" s="14" t="s">
        <v>81</v>
      </c>
      <c r="D7249" s="18">
        <v>9999.98</v>
      </c>
    </row>
    <row r="7250" spans="1:4" x14ac:dyDescent="0.3">
      <c r="A7250" s="12"/>
      <c r="B7250" s="12"/>
      <c r="C7250" s="14" t="s">
        <v>198</v>
      </c>
      <c r="D7250" s="18">
        <v>489.99</v>
      </c>
    </row>
    <row r="7251" spans="1:4" x14ac:dyDescent="0.3">
      <c r="A7251" s="12"/>
      <c r="B7251" s="12"/>
      <c r="C7251" s="14" t="s">
        <v>145</v>
      </c>
      <c r="D7251" s="18">
        <v>9999.98</v>
      </c>
    </row>
    <row r="7252" spans="1:4" x14ac:dyDescent="0.3">
      <c r="A7252" s="12"/>
      <c r="B7252" s="10" t="s">
        <v>1916</v>
      </c>
      <c r="C7252" s="11"/>
      <c r="D7252" s="17">
        <v>26989.93</v>
      </c>
    </row>
    <row r="7253" spans="1:4" x14ac:dyDescent="0.3">
      <c r="A7253" s="10" t="s">
        <v>1778</v>
      </c>
      <c r="B7253" s="11"/>
      <c r="C7253" s="11"/>
      <c r="D7253" s="17">
        <v>26989.93</v>
      </c>
    </row>
    <row r="7254" spans="1:4" x14ac:dyDescent="0.3">
      <c r="A7254" s="10">
        <v>1483</v>
      </c>
      <c r="B7254" s="10" t="s">
        <v>18</v>
      </c>
      <c r="C7254" s="10" t="s">
        <v>146</v>
      </c>
      <c r="D7254" s="17">
        <v>1359.98</v>
      </c>
    </row>
    <row r="7255" spans="1:4" x14ac:dyDescent="0.3">
      <c r="A7255" s="12"/>
      <c r="B7255" s="12"/>
      <c r="C7255" s="14" t="s">
        <v>275</v>
      </c>
      <c r="D7255" s="18">
        <v>489.99</v>
      </c>
    </row>
    <row r="7256" spans="1:4" x14ac:dyDescent="0.3">
      <c r="A7256" s="12"/>
      <c r="B7256" s="10" t="s">
        <v>1916</v>
      </c>
      <c r="C7256" s="11"/>
      <c r="D7256" s="17">
        <v>1849.97</v>
      </c>
    </row>
    <row r="7257" spans="1:4" x14ac:dyDescent="0.3">
      <c r="A7257" s="10" t="s">
        <v>1779</v>
      </c>
      <c r="B7257" s="11"/>
      <c r="C7257" s="11"/>
      <c r="D7257" s="17">
        <v>1849.97</v>
      </c>
    </row>
    <row r="7258" spans="1:4" x14ac:dyDescent="0.3">
      <c r="A7258" s="10">
        <v>1484</v>
      </c>
      <c r="B7258" s="10" t="s">
        <v>18</v>
      </c>
      <c r="C7258" s="10" t="s">
        <v>146</v>
      </c>
      <c r="D7258" s="17">
        <v>1359.98</v>
      </c>
    </row>
    <row r="7259" spans="1:4" x14ac:dyDescent="0.3">
      <c r="A7259" s="12"/>
      <c r="B7259" s="12"/>
      <c r="C7259" s="14" t="s">
        <v>219</v>
      </c>
      <c r="D7259" s="18">
        <v>639.98</v>
      </c>
    </row>
    <row r="7260" spans="1:4" x14ac:dyDescent="0.3">
      <c r="A7260" s="12"/>
      <c r="B7260" s="12"/>
      <c r="C7260" s="14" t="s">
        <v>70</v>
      </c>
      <c r="D7260" s="18">
        <v>6999.98</v>
      </c>
    </row>
    <row r="7261" spans="1:4" x14ac:dyDescent="0.3">
      <c r="A7261" s="12"/>
      <c r="B7261" s="10" t="s">
        <v>1916</v>
      </c>
      <c r="C7261" s="11"/>
      <c r="D7261" s="17">
        <v>8999.9399999999987</v>
      </c>
    </row>
    <row r="7262" spans="1:4" x14ac:dyDescent="0.3">
      <c r="A7262" s="10" t="s">
        <v>1780</v>
      </c>
      <c r="B7262" s="11"/>
      <c r="C7262" s="11"/>
      <c r="D7262" s="17">
        <v>8999.9399999999987</v>
      </c>
    </row>
    <row r="7263" spans="1:4" x14ac:dyDescent="0.3">
      <c r="A7263" s="10">
        <v>1485</v>
      </c>
      <c r="B7263" s="10" t="s">
        <v>18</v>
      </c>
      <c r="C7263" s="10" t="s">
        <v>276</v>
      </c>
      <c r="D7263" s="17">
        <v>4999.9799999999996</v>
      </c>
    </row>
    <row r="7264" spans="1:4" x14ac:dyDescent="0.3">
      <c r="A7264" s="12"/>
      <c r="B7264" s="12"/>
      <c r="C7264" s="14" t="s">
        <v>183</v>
      </c>
      <c r="D7264" s="18">
        <v>319.99</v>
      </c>
    </row>
    <row r="7265" spans="1:4" x14ac:dyDescent="0.3">
      <c r="A7265" s="12"/>
      <c r="B7265" s="10" t="s">
        <v>1916</v>
      </c>
      <c r="C7265" s="11"/>
      <c r="D7265" s="17">
        <v>5319.9699999999993</v>
      </c>
    </row>
    <row r="7266" spans="1:4" x14ac:dyDescent="0.3">
      <c r="A7266" s="10" t="s">
        <v>1781</v>
      </c>
      <c r="B7266" s="11"/>
      <c r="C7266" s="11"/>
      <c r="D7266" s="17">
        <v>5319.9699999999993</v>
      </c>
    </row>
    <row r="7267" spans="1:4" x14ac:dyDescent="0.3">
      <c r="A7267" s="10">
        <v>1486</v>
      </c>
      <c r="B7267" s="10" t="s">
        <v>18</v>
      </c>
      <c r="C7267" s="10" t="s">
        <v>82</v>
      </c>
      <c r="D7267" s="17">
        <v>489.99</v>
      </c>
    </row>
    <row r="7268" spans="1:4" x14ac:dyDescent="0.3">
      <c r="A7268" s="12"/>
      <c r="B7268" s="12"/>
      <c r="C7268" s="14" t="s">
        <v>101</v>
      </c>
      <c r="D7268" s="18">
        <v>3119.98</v>
      </c>
    </row>
    <row r="7269" spans="1:4" x14ac:dyDescent="0.3">
      <c r="A7269" s="12"/>
      <c r="B7269" s="12"/>
      <c r="C7269" s="14" t="s">
        <v>198</v>
      </c>
      <c r="D7269" s="18">
        <v>489.99</v>
      </c>
    </row>
    <row r="7270" spans="1:4" x14ac:dyDescent="0.3">
      <c r="A7270" s="12"/>
      <c r="B7270" s="12"/>
      <c r="C7270" s="14" t="s">
        <v>125</v>
      </c>
      <c r="D7270" s="18">
        <v>199.99</v>
      </c>
    </row>
    <row r="7271" spans="1:4" x14ac:dyDescent="0.3">
      <c r="A7271" s="12"/>
      <c r="B7271" s="10" t="s">
        <v>1916</v>
      </c>
      <c r="C7271" s="11"/>
      <c r="D7271" s="17">
        <v>4299.95</v>
      </c>
    </row>
    <row r="7272" spans="1:4" x14ac:dyDescent="0.3">
      <c r="A7272" s="10" t="s">
        <v>1782</v>
      </c>
      <c r="B7272" s="11"/>
      <c r="C7272" s="11"/>
      <c r="D7272" s="17">
        <v>4299.95</v>
      </c>
    </row>
    <row r="7273" spans="1:4" x14ac:dyDescent="0.3">
      <c r="A7273" s="10">
        <v>1487</v>
      </c>
      <c r="B7273" s="10" t="s">
        <v>11</v>
      </c>
      <c r="C7273" s="10" t="s">
        <v>91</v>
      </c>
      <c r="D7273" s="17">
        <v>699.98</v>
      </c>
    </row>
    <row r="7274" spans="1:4" x14ac:dyDescent="0.3">
      <c r="A7274" s="12"/>
      <c r="B7274" s="12"/>
      <c r="C7274" s="14" t="s">
        <v>216</v>
      </c>
      <c r="D7274" s="18">
        <v>2999.99</v>
      </c>
    </row>
    <row r="7275" spans="1:4" x14ac:dyDescent="0.3">
      <c r="A7275" s="12"/>
      <c r="B7275" s="12"/>
      <c r="C7275" s="14" t="s">
        <v>126</v>
      </c>
      <c r="D7275" s="18">
        <v>3099.98</v>
      </c>
    </row>
    <row r="7276" spans="1:4" x14ac:dyDescent="0.3">
      <c r="A7276" s="12"/>
      <c r="B7276" s="12"/>
      <c r="C7276" s="14" t="s">
        <v>148</v>
      </c>
      <c r="D7276" s="18">
        <v>4499.99</v>
      </c>
    </row>
    <row r="7277" spans="1:4" x14ac:dyDescent="0.3">
      <c r="A7277" s="12"/>
      <c r="B7277" s="12"/>
      <c r="C7277" s="14" t="s">
        <v>277</v>
      </c>
      <c r="D7277" s="18">
        <v>2299.9899999999998</v>
      </c>
    </row>
    <row r="7278" spans="1:4" x14ac:dyDescent="0.3">
      <c r="A7278" s="12"/>
      <c r="B7278" s="10" t="s">
        <v>1915</v>
      </c>
      <c r="C7278" s="11"/>
      <c r="D7278" s="17">
        <v>13599.929999999998</v>
      </c>
    </row>
    <row r="7279" spans="1:4" x14ac:dyDescent="0.3">
      <c r="A7279" s="10" t="s">
        <v>1783</v>
      </c>
      <c r="B7279" s="11"/>
      <c r="C7279" s="11"/>
      <c r="D7279" s="17">
        <v>13599.929999999998</v>
      </c>
    </row>
    <row r="7280" spans="1:4" x14ac:dyDescent="0.3">
      <c r="A7280" s="10">
        <v>1488</v>
      </c>
      <c r="B7280" s="10" t="s">
        <v>11</v>
      </c>
      <c r="C7280" s="10" t="s">
        <v>276</v>
      </c>
      <c r="D7280" s="17">
        <v>2499.9899999999998</v>
      </c>
    </row>
    <row r="7281" spans="1:4" x14ac:dyDescent="0.3">
      <c r="A7281" s="12"/>
      <c r="B7281" s="12"/>
      <c r="C7281" s="14" t="s">
        <v>53</v>
      </c>
      <c r="D7281" s="18">
        <v>2299.9899999999998</v>
      </c>
    </row>
    <row r="7282" spans="1:4" x14ac:dyDescent="0.3">
      <c r="A7282" s="12"/>
      <c r="B7282" s="10" t="s">
        <v>1915</v>
      </c>
      <c r="C7282" s="11"/>
      <c r="D7282" s="17">
        <v>4799.9799999999996</v>
      </c>
    </row>
    <row r="7283" spans="1:4" x14ac:dyDescent="0.3">
      <c r="A7283" s="10" t="s">
        <v>1784</v>
      </c>
      <c r="B7283" s="11"/>
      <c r="C7283" s="11"/>
      <c r="D7283" s="17">
        <v>4799.9799999999996</v>
      </c>
    </row>
    <row r="7284" spans="1:4" x14ac:dyDescent="0.3">
      <c r="A7284" s="10">
        <v>1489</v>
      </c>
      <c r="B7284" s="10" t="s">
        <v>11</v>
      </c>
      <c r="C7284" s="10" t="s">
        <v>137</v>
      </c>
      <c r="D7284" s="17">
        <v>559.98</v>
      </c>
    </row>
    <row r="7285" spans="1:4" x14ac:dyDescent="0.3">
      <c r="A7285" s="12"/>
      <c r="B7285" s="12"/>
      <c r="C7285" s="14" t="s">
        <v>216</v>
      </c>
      <c r="D7285" s="18">
        <v>2999.99</v>
      </c>
    </row>
    <row r="7286" spans="1:4" x14ac:dyDescent="0.3">
      <c r="A7286" s="12"/>
      <c r="B7286" s="12"/>
      <c r="C7286" s="14" t="s">
        <v>68</v>
      </c>
      <c r="D7286" s="18">
        <v>875.99</v>
      </c>
    </row>
    <row r="7287" spans="1:4" x14ac:dyDescent="0.3">
      <c r="A7287" s="12"/>
      <c r="B7287" s="10" t="s">
        <v>1915</v>
      </c>
      <c r="C7287" s="11"/>
      <c r="D7287" s="17">
        <v>4435.96</v>
      </c>
    </row>
    <row r="7288" spans="1:4" x14ac:dyDescent="0.3">
      <c r="A7288" s="10" t="s">
        <v>1785</v>
      </c>
      <c r="B7288" s="11"/>
      <c r="C7288" s="11"/>
      <c r="D7288" s="17">
        <v>4435.96</v>
      </c>
    </row>
    <row r="7289" spans="1:4" x14ac:dyDescent="0.3">
      <c r="A7289" s="10">
        <v>1490</v>
      </c>
      <c r="B7289" s="10" t="s">
        <v>11</v>
      </c>
      <c r="C7289" s="10" t="s">
        <v>278</v>
      </c>
      <c r="D7289" s="17">
        <v>319.99</v>
      </c>
    </row>
    <row r="7290" spans="1:4" x14ac:dyDescent="0.3">
      <c r="A7290" s="12"/>
      <c r="B7290" s="12"/>
      <c r="C7290" s="14" t="s">
        <v>52</v>
      </c>
      <c r="D7290" s="18">
        <v>299.99</v>
      </c>
    </row>
    <row r="7291" spans="1:4" x14ac:dyDescent="0.3">
      <c r="A7291" s="12"/>
      <c r="B7291" s="12"/>
      <c r="C7291" s="14" t="s">
        <v>172</v>
      </c>
      <c r="D7291" s="18">
        <v>749.99</v>
      </c>
    </row>
    <row r="7292" spans="1:4" x14ac:dyDescent="0.3">
      <c r="A7292" s="12"/>
      <c r="B7292" s="10" t="s">
        <v>1915</v>
      </c>
      <c r="C7292" s="11"/>
      <c r="D7292" s="17">
        <v>1369.97</v>
      </c>
    </row>
    <row r="7293" spans="1:4" x14ac:dyDescent="0.3">
      <c r="A7293" s="10" t="s">
        <v>1786</v>
      </c>
      <c r="B7293" s="11"/>
      <c r="C7293" s="11"/>
      <c r="D7293" s="17">
        <v>1369.97</v>
      </c>
    </row>
    <row r="7294" spans="1:4" x14ac:dyDescent="0.3">
      <c r="A7294" s="10">
        <v>1491</v>
      </c>
      <c r="B7294" s="10" t="s">
        <v>11</v>
      </c>
      <c r="C7294" s="10" t="s">
        <v>48</v>
      </c>
      <c r="D7294" s="17">
        <v>599.98</v>
      </c>
    </row>
    <row r="7295" spans="1:4" x14ac:dyDescent="0.3">
      <c r="A7295" s="12"/>
      <c r="B7295" s="12"/>
      <c r="C7295" s="14" t="s">
        <v>248</v>
      </c>
      <c r="D7295" s="18">
        <v>449.99</v>
      </c>
    </row>
    <row r="7296" spans="1:4" x14ac:dyDescent="0.3">
      <c r="A7296" s="12"/>
      <c r="B7296" s="12"/>
      <c r="C7296" s="14" t="s">
        <v>101</v>
      </c>
      <c r="D7296" s="18">
        <v>3119.98</v>
      </c>
    </row>
    <row r="7297" spans="1:4" x14ac:dyDescent="0.3">
      <c r="A7297" s="12"/>
      <c r="B7297" s="12"/>
      <c r="C7297" s="14" t="s">
        <v>121</v>
      </c>
      <c r="D7297" s="18">
        <v>5999.98</v>
      </c>
    </row>
    <row r="7298" spans="1:4" x14ac:dyDescent="0.3">
      <c r="A7298" s="12"/>
      <c r="B7298" s="10" t="s">
        <v>1915</v>
      </c>
      <c r="C7298" s="11"/>
      <c r="D7298" s="17">
        <v>10169.93</v>
      </c>
    </row>
    <row r="7299" spans="1:4" x14ac:dyDescent="0.3">
      <c r="A7299" s="10" t="s">
        <v>1787</v>
      </c>
      <c r="B7299" s="11"/>
      <c r="C7299" s="11"/>
      <c r="D7299" s="17">
        <v>10169.93</v>
      </c>
    </row>
    <row r="7300" spans="1:4" x14ac:dyDescent="0.3">
      <c r="A7300" s="10">
        <v>1492</v>
      </c>
      <c r="B7300" s="10" t="s">
        <v>18</v>
      </c>
      <c r="C7300" s="10" t="s">
        <v>98</v>
      </c>
      <c r="D7300" s="17">
        <v>759.98</v>
      </c>
    </row>
    <row r="7301" spans="1:4" x14ac:dyDescent="0.3">
      <c r="A7301" s="12"/>
      <c r="B7301" s="10" t="s">
        <v>1916</v>
      </c>
      <c r="C7301" s="11"/>
      <c r="D7301" s="17">
        <v>759.98</v>
      </c>
    </row>
    <row r="7302" spans="1:4" x14ac:dyDescent="0.3">
      <c r="A7302" s="10" t="s">
        <v>1788</v>
      </c>
      <c r="B7302" s="11"/>
      <c r="C7302" s="11"/>
      <c r="D7302" s="17">
        <v>759.98</v>
      </c>
    </row>
    <row r="7303" spans="1:4" x14ac:dyDescent="0.3">
      <c r="A7303" s="10">
        <v>1493</v>
      </c>
      <c r="B7303" s="10" t="s">
        <v>37</v>
      </c>
      <c r="C7303" s="10" t="s">
        <v>136</v>
      </c>
      <c r="D7303" s="17">
        <v>429.99</v>
      </c>
    </row>
    <row r="7304" spans="1:4" x14ac:dyDescent="0.3">
      <c r="A7304" s="12"/>
      <c r="B7304" s="10" t="s">
        <v>1917</v>
      </c>
      <c r="C7304" s="11"/>
      <c r="D7304" s="17">
        <v>429.99</v>
      </c>
    </row>
    <row r="7305" spans="1:4" x14ac:dyDescent="0.3">
      <c r="A7305" s="10" t="s">
        <v>1789</v>
      </c>
      <c r="B7305" s="11"/>
      <c r="C7305" s="11"/>
      <c r="D7305" s="17">
        <v>429.99</v>
      </c>
    </row>
    <row r="7306" spans="1:4" x14ac:dyDescent="0.3">
      <c r="A7306" s="10">
        <v>1494</v>
      </c>
      <c r="B7306" s="10" t="s">
        <v>11</v>
      </c>
      <c r="C7306" s="10" t="s">
        <v>136</v>
      </c>
      <c r="D7306" s="17">
        <v>859.98</v>
      </c>
    </row>
    <row r="7307" spans="1:4" x14ac:dyDescent="0.3">
      <c r="A7307" s="12"/>
      <c r="B7307" s="12"/>
      <c r="C7307" s="14" t="s">
        <v>242</v>
      </c>
      <c r="D7307" s="18">
        <v>499.98</v>
      </c>
    </row>
    <row r="7308" spans="1:4" x14ac:dyDescent="0.3">
      <c r="A7308" s="12"/>
      <c r="B7308" s="12"/>
      <c r="C7308" s="14" t="s">
        <v>258</v>
      </c>
      <c r="D7308" s="18">
        <v>1499.98</v>
      </c>
    </row>
    <row r="7309" spans="1:4" x14ac:dyDescent="0.3">
      <c r="A7309" s="12"/>
      <c r="B7309" s="10" t="s">
        <v>1915</v>
      </c>
      <c r="C7309" s="11"/>
      <c r="D7309" s="17">
        <v>2859.94</v>
      </c>
    </row>
    <row r="7310" spans="1:4" x14ac:dyDescent="0.3">
      <c r="A7310" s="10" t="s">
        <v>1790</v>
      </c>
      <c r="B7310" s="11"/>
      <c r="C7310" s="11"/>
      <c r="D7310" s="17">
        <v>2859.94</v>
      </c>
    </row>
    <row r="7311" spans="1:4" x14ac:dyDescent="0.3">
      <c r="A7311" s="10">
        <v>1495</v>
      </c>
      <c r="B7311" s="10" t="s">
        <v>18</v>
      </c>
      <c r="C7311" s="10" t="s">
        <v>214</v>
      </c>
      <c r="D7311" s="17">
        <v>739.98</v>
      </c>
    </row>
    <row r="7312" spans="1:4" x14ac:dyDescent="0.3">
      <c r="A7312" s="12"/>
      <c r="B7312" s="12"/>
      <c r="C7312" s="14" t="s">
        <v>241</v>
      </c>
      <c r="D7312" s="18">
        <v>1499.98</v>
      </c>
    </row>
    <row r="7313" spans="1:4" x14ac:dyDescent="0.3">
      <c r="A7313" s="12"/>
      <c r="B7313" s="12"/>
      <c r="C7313" s="14" t="s">
        <v>236</v>
      </c>
      <c r="D7313" s="18">
        <v>2599</v>
      </c>
    </row>
    <row r="7314" spans="1:4" x14ac:dyDescent="0.3">
      <c r="A7314" s="12"/>
      <c r="B7314" s="10" t="s">
        <v>1916</v>
      </c>
      <c r="C7314" s="11"/>
      <c r="D7314" s="17">
        <v>4838.96</v>
      </c>
    </row>
    <row r="7315" spans="1:4" x14ac:dyDescent="0.3">
      <c r="A7315" s="10" t="s">
        <v>1791</v>
      </c>
      <c r="B7315" s="11"/>
      <c r="C7315" s="11"/>
      <c r="D7315" s="17">
        <v>4838.96</v>
      </c>
    </row>
    <row r="7316" spans="1:4" x14ac:dyDescent="0.3">
      <c r="A7316" s="10">
        <v>1496</v>
      </c>
      <c r="B7316" s="10" t="s">
        <v>11</v>
      </c>
      <c r="C7316" s="10" t="s">
        <v>225</v>
      </c>
      <c r="D7316" s="17">
        <v>959.98</v>
      </c>
    </row>
    <row r="7317" spans="1:4" x14ac:dyDescent="0.3">
      <c r="A7317" s="12"/>
      <c r="B7317" s="12"/>
      <c r="C7317" s="14" t="s">
        <v>212</v>
      </c>
      <c r="D7317" s="18">
        <v>1919.98</v>
      </c>
    </row>
    <row r="7318" spans="1:4" x14ac:dyDescent="0.3">
      <c r="A7318" s="12"/>
      <c r="B7318" s="12"/>
      <c r="C7318" s="14" t="s">
        <v>211</v>
      </c>
      <c r="D7318" s="18">
        <v>899.99</v>
      </c>
    </row>
    <row r="7319" spans="1:4" x14ac:dyDescent="0.3">
      <c r="A7319" s="12"/>
      <c r="B7319" s="12"/>
      <c r="C7319" s="14" t="s">
        <v>248</v>
      </c>
      <c r="D7319" s="18">
        <v>449.99</v>
      </c>
    </row>
    <row r="7320" spans="1:4" x14ac:dyDescent="0.3">
      <c r="A7320" s="12"/>
      <c r="B7320" s="12"/>
      <c r="C7320" s="14" t="s">
        <v>272</v>
      </c>
      <c r="D7320" s="18">
        <v>599.99</v>
      </c>
    </row>
    <row r="7321" spans="1:4" x14ac:dyDescent="0.3">
      <c r="A7321" s="12"/>
      <c r="B7321" s="10" t="s">
        <v>1915</v>
      </c>
      <c r="C7321" s="11"/>
      <c r="D7321" s="17">
        <v>4829.9299999999994</v>
      </c>
    </row>
    <row r="7322" spans="1:4" x14ac:dyDescent="0.3">
      <c r="A7322" s="10" t="s">
        <v>1792</v>
      </c>
      <c r="B7322" s="11"/>
      <c r="C7322" s="11"/>
      <c r="D7322" s="17">
        <v>4829.9299999999994</v>
      </c>
    </row>
    <row r="7323" spans="1:4" x14ac:dyDescent="0.3">
      <c r="A7323" s="10">
        <v>1497</v>
      </c>
      <c r="B7323" s="10" t="s">
        <v>11</v>
      </c>
      <c r="C7323" s="10" t="s">
        <v>216</v>
      </c>
      <c r="D7323" s="17">
        <v>5999.98</v>
      </c>
    </row>
    <row r="7324" spans="1:4" x14ac:dyDescent="0.3">
      <c r="A7324" s="12"/>
      <c r="B7324" s="12"/>
      <c r="C7324" s="14" t="s">
        <v>256</v>
      </c>
      <c r="D7324" s="18">
        <v>3199.98</v>
      </c>
    </row>
    <row r="7325" spans="1:4" x14ac:dyDescent="0.3">
      <c r="A7325" s="12"/>
      <c r="B7325" s="12"/>
      <c r="C7325" s="14" t="s">
        <v>187</v>
      </c>
      <c r="D7325" s="18">
        <v>7199.98</v>
      </c>
    </row>
    <row r="7326" spans="1:4" x14ac:dyDescent="0.3">
      <c r="A7326" s="12"/>
      <c r="B7326" s="10" t="s">
        <v>1915</v>
      </c>
      <c r="C7326" s="11"/>
      <c r="D7326" s="17">
        <v>16399.939999999999</v>
      </c>
    </row>
    <row r="7327" spans="1:4" x14ac:dyDescent="0.3">
      <c r="A7327" s="10" t="s">
        <v>1793</v>
      </c>
      <c r="B7327" s="11"/>
      <c r="C7327" s="11"/>
      <c r="D7327" s="17">
        <v>16399.939999999999</v>
      </c>
    </row>
    <row r="7328" spans="1:4" x14ac:dyDescent="0.3">
      <c r="A7328" s="10">
        <v>1498</v>
      </c>
      <c r="B7328" s="10" t="s">
        <v>11</v>
      </c>
      <c r="C7328" s="10" t="s">
        <v>141</v>
      </c>
      <c r="D7328" s="17">
        <v>1599.98</v>
      </c>
    </row>
    <row r="7329" spans="1:4" x14ac:dyDescent="0.3">
      <c r="A7329" s="12"/>
      <c r="B7329" s="12"/>
      <c r="C7329" s="14" t="s">
        <v>163</v>
      </c>
      <c r="D7329" s="18">
        <v>3199.99</v>
      </c>
    </row>
    <row r="7330" spans="1:4" x14ac:dyDescent="0.3">
      <c r="A7330" s="12"/>
      <c r="B7330" s="10" t="s">
        <v>1915</v>
      </c>
      <c r="C7330" s="11"/>
      <c r="D7330" s="17">
        <v>4799.9699999999993</v>
      </c>
    </row>
    <row r="7331" spans="1:4" x14ac:dyDescent="0.3">
      <c r="A7331" s="10" t="s">
        <v>1794</v>
      </c>
      <c r="B7331" s="11"/>
      <c r="C7331" s="11"/>
      <c r="D7331" s="17">
        <v>4799.9699999999993</v>
      </c>
    </row>
    <row r="7332" spans="1:4" x14ac:dyDescent="0.3">
      <c r="A7332" s="10">
        <v>1499</v>
      </c>
      <c r="B7332" s="10" t="s">
        <v>11</v>
      </c>
      <c r="C7332" s="10" t="s">
        <v>22</v>
      </c>
      <c r="D7332" s="17">
        <v>749.99</v>
      </c>
    </row>
    <row r="7333" spans="1:4" x14ac:dyDescent="0.3">
      <c r="A7333" s="12"/>
      <c r="B7333" s="12"/>
      <c r="C7333" s="14" t="s">
        <v>65</v>
      </c>
      <c r="D7333" s="18">
        <v>470.99</v>
      </c>
    </row>
    <row r="7334" spans="1:4" x14ac:dyDescent="0.3">
      <c r="A7334" s="12"/>
      <c r="B7334" s="12"/>
      <c r="C7334" s="14" t="s">
        <v>201</v>
      </c>
      <c r="D7334" s="18">
        <v>1799.99</v>
      </c>
    </row>
    <row r="7335" spans="1:4" x14ac:dyDescent="0.3">
      <c r="A7335" s="12"/>
      <c r="B7335" s="12"/>
      <c r="C7335" s="14" t="s">
        <v>217</v>
      </c>
      <c r="D7335" s="18">
        <v>6399.98</v>
      </c>
    </row>
    <row r="7336" spans="1:4" x14ac:dyDescent="0.3">
      <c r="A7336" s="12"/>
      <c r="B7336" s="12"/>
      <c r="C7336" s="14" t="s">
        <v>222</v>
      </c>
      <c r="D7336" s="18">
        <v>319.98</v>
      </c>
    </row>
    <row r="7337" spans="1:4" x14ac:dyDescent="0.3">
      <c r="A7337" s="12"/>
      <c r="B7337" s="10" t="s">
        <v>1915</v>
      </c>
      <c r="C7337" s="11"/>
      <c r="D7337" s="17">
        <v>9740.93</v>
      </c>
    </row>
    <row r="7338" spans="1:4" x14ac:dyDescent="0.3">
      <c r="A7338" s="10" t="s">
        <v>1795</v>
      </c>
      <c r="B7338" s="11"/>
      <c r="C7338" s="11"/>
      <c r="D7338" s="17">
        <v>9740.93</v>
      </c>
    </row>
    <row r="7339" spans="1:4" x14ac:dyDescent="0.3">
      <c r="A7339" s="10">
        <v>1500</v>
      </c>
      <c r="B7339" s="10" t="s">
        <v>11</v>
      </c>
      <c r="C7339" s="10" t="s">
        <v>279</v>
      </c>
      <c r="D7339" s="17">
        <v>319.99</v>
      </c>
    </row>
    <row r="7340" spans="1:4" x14ac:dyDescent="0.3">
      <c r="A7340" s="12"/>
      <c r="B7340" s="12"/>
      <c r="C7340" s="14" t="s">
        <v>77</v>
      </c>
      <c r="D7340" s="18">
        <v>2939.98</v>
      </c>
    </row>
    <row r="7341" spans="1:4" x14ac:dyDescent="0.3">
      <c r="A7341" s="12"/>
      <c r="B7341" s="10" t="s">
        <v>1915</v>
      </c>
      <c r="C7341" s="11"/>
      <c r="D7341" s="17">
        <v>3259.9700000000003</v>
      </c>
    </row>
    <row r="7342" spans="1:4" x14ac:dyDescent="0.3">
      <c r="A7342" s="10" t="s">
        <v>1796</v>
      </c>
      <c r="B7342" s="11"/>
      <c r="C7342" s="11"/>
      <c r="D7342" s="17">
        <v>3259.9700000000003</v>
      </c>
    </row>
    <row r="7343" spans="1:4" x14ac:dyDescent="0.3">
      <c r="A7343" s="10">
        <v>1501</v>
      </c>
      <c r="B7343" s="10" t="s">
        <v>18</v>
      </c>
      <c r="C7343" s="10" t="s">
        <v>27</v>
      </c>
      <c r="D7343" s="17">
        <v>529.99</v>
      </c>
    </row>
    <row r="7344" spans="1:4" x14ac:dyDescent="0.3">
      <c r="A7344" s="12"/>
      <c r="B7344" s="12"/>
      <c r="C7344" s="14" t="s">
        <v>246</v>
      </c>
      <c r="D7344" s="18">
        <v>639.99</v>
      </c>
    </row>
    <row r="7345" spans="1:4" x14ac:dyDescent="0.3">
      <c r="A7345" s="12"/>
      <c r="B7345" s="12"/>
      <c r="C7345" s="14" t="s">
        <v>272</v>
      </c>
      <c r="D7345" s="18">
        <v>599.99</v>
      </c>
    </row>
    <row r="7346" spans="1:4" x14ac:dyDescent="0.3">
      <c r="A7346" s="12"/>
      <c r="B7346" s="12"/>
      <c r="C7346" s="14" t="s">
        <v>60</v>
      </c>
      <c r="D7346" s="18">
        <v>250.99</v>
      </c>
    </row>
    <row r="7347" spans="1:4" x14ac:dyDescent="0.3">
      <c r="A7347" s="12"/>
      <c r="B7347" s="12"/>
      <c r="C7347" s="14" t="s">
        <v>171</v>
      </c>
      <c r="D7347" s="18">
        <v>1549</v>
      </c>
    </row>
    <row r="7348" spans="1:4" x14ac:dyDescent="0.3">
      <c r="A7348" s="12"/>
      <c r="B7348" s="10" t="s">
        <v>1916</v>
      </c>
      <c r="C7348" s="11"/>
      <c r="D7348" s="17">
        <v>3569.96</v>
      </c>
    </row>
    <row r="7349" spans="1:4" x14ac:dyDescent="0.3">
      <c r="A7349" s="10" t="s">
        <v>1797</v>
      </c>
      <c r="B7349" s="11"/>
      <c r="C7349" s="11"/>
      <c r="D7349" s="17">
        <v>3569.96</v>
      </c>
    </row>
    <row r="7350" spans="1:4" x14ac:dyDescent="0.3">
      <c r="A7350" s="10">
        <v>1502</v>
      </c>
      <c r="B7350" s="10" t="s">
        <v>18</v>
      </c>
      <c r="C7350" s="10" t="s">
        <v>280</v>
      </c>
      <c r="D7350" s="17">
        <v>1059.98</v>
      </c>
    </row>
    <row r="7351" spans="1:4" x14ac:dyDescent="0.3">
      <c r="A7351" s="12"/>
      <c r="B7351" s="12"/>
      <c r="C7351" s="14" t="s">
        <v>208</v>
      </c>
      <c r="D7351" s="18">
        <v>899.99</v>
      </c>
    </row>
    <row r="7352" spans="1:4" x14ac:dyDescent="0.3">
      <c r="A7352" s="12"/>
      <c r="B7352" s="12"/>
      <c r="C7352" s="14" t="s">
        <v>14</v>
      </c>
      <c r="D7352" s="18">
        <v>1199.98</v>
      </c>
    </row>
    <row r="7353" spans="1:4" x14ac:dyDescent="0.3">
      <c r="A7353" s="12"/>
      <c r="B7353" s="12"/>
      <c r="C7353" s="14" t="s">
        <v>36</v>
      </c>
      <c r="D7353" s="18">
        <v>898</v>
      </c>
    </row>
    <row r="7354" spans="1:4" x14ac:dyDescent="0.3">
      <c r="A7354" s="12"/>
      <c r="B7354" s="12"/>
      <c r="C7354" s="14" t="s">
        <v>222</v>
      </c>
      <c r="D7354" s="18">
        <v>159.99</v>
      </c>
    </row>
    <row r="7355" spans="1:4" x14ac:dyDescent="0.3">
      <c r="A7355" s="12"/>
      <c r="B7355" s="10" t="s">
        <v>1916</v>
      </c>
      <c r="C7355" s="11"/>
      <c r="D7355" s="17">
        <v>4217.9399999999996</v>
      </c>
    </row>
    <row r="7356" spans="1:4" x14ac:dyDescent="0.3">
      <c r="A7356" s="10" t="s">
        <v>1798</v>
      </c>
      <c r="B7356" s="11"/>
      <c r="C7356" s="11"/>
      <c r="D7356" s="17">
        <v>4217.9399999999996</v>
      </c>
    </row>
    <row r="7357" spans="1:4" x14ac:dyDescent="0.3">
      <c r="A7357" s="10">
        <v>1503</v>
      </c>
      <c r="B7357" s="10" t="s">
        <v>11</v>
      </c>
      <c r="C7357" s="10" t="s">
        <v>226</v>
      </c>
      <c r="D7357" s="17">
        <v>909.99</v>
      </c>
    </row>
    <row r="7358" spans="1:4" x14ac:dyDescent="0.3">
      <c r="A7358" s="12"/>
      <c r="B7358" s="12"/>
      <c r="C7358" s="14" t="s">
        <v>248</v>
      </c>
      <c r="D7358" s="18">
        <v>899.98</v>
      </c>
    </row>
    <row r="7359" spans="1:4" x14ac:dyDescent="0.3">
      <c r="A7359" s="12"/>
      <c r="B7359" s="10" t="s">
        <v>1915</v>
      </c>
      <c r="C7359" s="11"/>
      <c r="D7359" s="17">
        <v>1809.97</v>
      </c>
    </row>
    <row r="7360" spans="1:4" x14ac:dyDescent="0.3">
      <c r="A7360" s="10" t="s">
        <v>1799</v>
      </c>
      <c r="B7360" s="11"/>
      <c r="C7360" s="11"/>
      <c r="D7360" s="17">
        <v>1809.97</v>
      </c>
    </row>
    <row r="7361" spans="1:4" x14ac:dyDescent="0.3">
      <c r="A7361" s="10">
        <v>1504</v>
      </c>
      <c r="B7361" s="10" t="s">
        <v>11</v>
      </c>
      <c r="C7361" s="10" t="s">
        <v>183</v>
      </c>
      <c r="D7361" s="17">
        <v>319.99</v>
      </c>
    </row>
    <row r="7362" spans="1:4" x14ac:dyDescent="0.3">
      <c r="A7362" s="12"/>
      <c r="B7362" s="10" t="s">
        <v>1915</v>
      </c>
      <c r="C7362" s="11"/>
      <c r="D7362" s="17">
        <v>319.99</v>
      </c>
    </row>
    <row r="7363" spans="1:4" x14ac:dyDescent="0.3">
      <c r="A7363" s="10" t="s">
        <v>1800</v>
      </c>
      <c r="B7363" s="11"/>
      <c r="C7363" s="11"/>
      <c r="D7363" s="17">
        <v>319.99</v>
      </c>
    </row>
    <row r="7364" spans="1:4" x14ac:dyDescent="0.3">
      <c r="A7364" s="10">
        <v>1505</v>
      </c>
      <c r="B7364" s="10" t="s">
        <v>18</v>
      </c>
      <c r="C7364" s="10" t="s">
        <v>202</v>
      </c>
      <c r="D7364" s="17">
        <v>1059.98</v>
      </c>
    </row>
    <row r="7365" spans="1:4" x14ac:dyDescent="0.3">
      <c r="A7365" s="12"/>
      <c r="B7365" s="12"/>
      <c r="C7365" s="14" t="s">
        <v>25</v>
      </c>
      <c r="D7365" s="18">
        <v>1099.98</v>
      </c>
    </row>
    <row r="7366" spans="1:4" x14ac:dyDescent="0.3">
      <c r="A7366" s="12"/>
      <c r="B7366" s="12"/>
      <c r="C7366" s="14" t="s">
        <v>62</v>
      </c>
      <c r="D7366" s="18">
        <v>10599.98</v>
      </c>
    </row>
    <row r="7367" spans="1:4" x14ac:dyDescent="0.3">
      <c r="A7367" s="12"/>
      <c r="B7367" s="10" t="s">
        <v>1916</v>
      </c>
      <c r="C7367" s="11"/>
      <c r="D7367" s="17">
        <v>12759.939999999999</v>
      </c>
    </row>
    <row r="7368" spans="1:4" x14ac:dyDescent="0.3">
      <c r="A7368" s="10" t="s">
        <v>1801</v>
      </c>
      <c r="B7368" s="11"/>
      <c r="C7368" s="11"/>
      <c r="D7368" s="17">
        <v>12759.939999999999</v>
      </c>
    </row>
    <row r="7369" spans="1:4" x14ac:dyDescent="0.3">
      <c r="A7369" s="10">
        <v>1506</v>
      </c>
      <c r="B7369" s="10" t="s">
        <v>18</v>
      </c>
      <c r="C7369" s="10" t="s">
        <v>161</v>
      </c>
      <c r="D7369" s="17">
        <v>3499.99</v>
      </c>
    </row>
    <row r="7370" spans="1:4" x14ac:dyDescent="0.3">
      <c r="A7370" s="12"/>
      <c r="B7370" s="12"/>
      <c r="C7370" s="14" t="s">
        <v>153</v>
      </c>
      <c r="D7370" s="18">
        <v>9999.98</v>
      </c>
    </row>
    <row r="7371" spans="1:4" x14ac:dyDescent="0.3">
      <c r="A7371" s="12"/>
      <c r="B7371" s="12"/>
      <c r="C7371" s="14" t="s">
        <v>180</v>
      </c>
      <c r="D7371" s="18">
        <v>14999.98</v>
      </c>
    </row>
    <row r="7372" spans="1:4" x14ac:dyDescent="0.3">
      <c r="A7372" s="12"/>
      <c r="B7372" s="10" t="s">
        <v>1916</v>
      </c>
      <c r="C7372" s="11"/>
      <c r="D7372" s="17">
        <v>28499.949999999997</v>
      </c>
    </row>
    <row r="7373" spans="1:4" x14ac:dyDescent="0.3">
      <c r="A7373" s="10" t="s">
        <v>1802</v>
      </c>
      <c r="B7373" s="11"/>
      <c r="C7373" s="11"/>
      <c r="D7373" s="17">
        <v>28499.949999999997</v>
      </c>
    </row>
    <row r="7374" spans="1:4" x14ac:dyDescent="0.3">
      <c r="A7374" s="10">
        <v>1507</v>
      </c>
      <c r="B7374" s="10" t="s">
        <v>18</v>
      </c>
      <c r="C7374" s="10" t="s">
        <v>281</v>
      </c>
      <c r="D7374" s="17">
        <v>1199.99</v>
      </c>
    </row>
    <row r="7375" spans="1:4" x14ac:dyDescent="0.3">
      <c r="A7375" s="12"/>
      <c r="B7375" s="12"/>
      <c r="C7375" s="14" t="s">
        <v>218</v>
      </c>
      <c r="D7375" s="18">
        <v>319.99</v>
      </c>
    </row>
    <row r="7376" spans="1:4" x14ac:dyDescent="0.3">
      <c r="A7376" s="12"/>
      <c r="B7376" s="12"/>
      <c r="C7376" s="14" t="s">
        <v>279</v>
      </c>
      <c r="D7376" s="18">
        <v>639.98</v>
      </c>
    </row>
    <row r="7377" spans="1:4" x14ac:dyDescent="0.3">
      <c r="A7377" s="12"/>
      <c r="B7377" s="12"/>
      <c r="C7377" s="14" t="s">
        <v>30</v>
      </c>
      <c r="D7377" s="18">
        <v>3361.98</v>
      </c>
    </row>
    <row r="7378" spans="1:4" x14ac:dyDescent="0.3">
      <c r="A7378" s="12"/>
      <c r="B7378" s="12"/>
      <c r="C7378" s="14" t="s">
        <v>72</v>
      </c>
      <c r="D7378" s="18">
        <v>2999.98</v>
      </c>
    </row>
    <row r="7379" spans="1:4" x14ac:dyDescent="0.3">
      <c r="A7379" s="12"/>
      <c r="B7379" s="10" t="s">
        <v>1916</v>
      </c>
      <c r="C7379" s="11"/>
      <c r="D7379" s="17">
        <v>8521.92</v>
      </c>
    </row>
    <row r="7380" spans="1:4" x14ac:dyDescent="0.3">
      <c r="A7380" s="10" t="s">
        <v>1803</v>
      </c>
      <c r="B7380" s="11"/>
      <c r="C7380" s="11"/>
      <c r="D7380" s="17">
        <v>8521.92</v>
      </c>
    </row>
    <row r="7381" spans="1:4" x14ac:dyDescent="0.3">
      <c r="A7381" s="10">
        <v>1508</v>
      </c>
      <c r="B7381" s="10" t="s">
        <v>18</v>
      </c>
      <c r="C7381" s="10" t="s">
        <v>98</v>
      </c>
      <c r="D7381" s="17">
        <v>379.99</v>
      </c>
    </row>
    <row r="7382" spans="1:4" x14ac:dyDescent="0.3">
      <c r="A7382" s="12"/>
      <c r="B7382" s="12"/>
      <c r="C7382" s="14" t="s">
        <v>49</v>
      </c>
      <c r="D7382" s="18">
        <v>416.99</v>
      </c>
    </row>
    <row r="7383" spans="1:4" x14ac:dyDescent="0.3">
      <c r="A7383" s="12"/>
      <c r="B7383" s="12"/>
      <c r="C7383" s="14" t="s">
        <v>68</v>
      </c>
      <c r="D7383" s="18">
        <v>1751.98</v>
      </c>
    </row>
    <row r="7384" spans="1:4" x14ac:dyDescent="0.3">
      <c r="A7384" s="12"/>
      <c r="B7384" s="12"/>
      <c r="C7384" s="14" t="s">
        <v>64</v>
      </c>
      <c r="D7384" s="18">
        <v>189.99</v>
      </c>
    </row>
    <row r="7385" spans="1:4" x14ac:dyDescent="0.3">
      <c r="A7385" s="12"/>
      <c r="B7385" s="10" t="s">
        <v>1916</v>
      </c>
      <c r="C7385" s="11"/>
      <c r="D7385" s="17">
        <v>2738.95</v>
      </c>
    </row>
    <row r="7386" spans="1:4" x14ac:dyDescent="0.3">
      <c r="A7386" s="10" t="s">
        <v>1804</v>
      </c>
      <c r="B7386" s="11"/>
      <c r="C7386" s="11"/>
      <c r="D7386" s="17">
        <v>2738.95</v>
      </c>
    </row>
    <row r="7387" spans="1:4" x14ac:dyDescent="0.3">
      <c r="A7387" s="10">
        <v>1509</v>
      </c>
      <c r="B7387" s="10" t="s">
        <v>11</v>
      </c>
      <c r="C7387" s="10" t="s">
        <v>157</v>
      </c>
      <c r="D7387" s="17">
        <v>1499.98</v>
      </c>
    </row>
    <row r="7388" spans="1:4" x14ac:dyDescent="0.3">
      <c r="A7388" s="12"/>
      <c r="B7388" s="10" t="s">
        <v>1915</v>
      </c>
      <c r="C7388" s="11"/>
      <c r="D7388" s="17">
        <v>1499.98</v>
      </c>
    </row>
    <row r="7389" spans="1:4" x14ac:dyDescent="0.3">
      <c r="A7389" s="10" t="s">
        <v>1805</v>
      </c>
      <c r="B7389" s="11"/>
      <c r="C7389" s="11"/>
      <c r="D7389" s="17">
        <v>1499.98</v>
      </c>
    </row>
    <row r="7390" spans="1:4" x14ac:dyDescent="0.3">
      <c r="A7390" s="10">
        <v>1510</v>
      </c>
      <c r="B7390" s="10" t="s">
        <v>18</v>
      </c>
      <c r="C7390" s="10" t="s">
        <v>231</v>
      </c>
      <c r="D7390" s="17">
        <v>539.98</v>
      </c>
    </row>
    <row r="7391" spans="1:4" x14ac:dyDescent="0.3">
      <c r="A7391" s="12"/>
      <c r="B7391" s="12"/>
      <c r="C7391" s="14" t="s">
        <v>216</v>
      </c>
      <c r="D7391" s="18">
        <v>5999.98</v>
      </c>
    </row>
    <row r="7392" spans="1:4" x14ac:dyDescent="0.3">
      <c r="A7392" s="12"/>
      <c r="B7392" s="12"/>
      <c r="C7392" s="14" t="s">
        <v>236</v>
      </c>
      <c r="D7392" s="18">
        <v>2599</v>
      </c>
    </row>
    <row r="7393" spans="1:4" x14ac:dyDescent="0.3">
      <c r="A7393" s="12"/>
      <c r="B7393" s="12"/>
      <c r="C7393" s="14" t="s">
        <v>39</v>
      </c>
      <c r="D7393" s="18">
        <v>449.99</v>
      </c>
    </row>
    <row r="7394" spans="1:4" x14ac:dyDescent="0.3">
      <c r="A7394" s="12"/>
      <c r="B7394" s="12"/>
      <c r="C7394" s="14" t="s">
        <v>206</v>
      </c>
      <c r="D7394" s="18">
        <v>6399.98</v>
      </c>
    </row>
    <row r="7395" spans="1:4" x14ac:dyDescent="0.3">
      <c r="A7395" s="12"/>
      <c r="B7395" s="10" t="s">
        <v>1916</v>
      </c>
      <c r="C7395" s="11"/>
      <c r="D7395" s="17">
        <v>15988.929999999998</v>
      </c>
    </row>
    <row r="7396" spans="1:4" x14ac:dyDescent="0.3">
      <c r="A7396" s="10" t="s">
        <v>1806</v>
      </c>
      <c r="B7396" s="11"/>
      <c r="C7396" s="11"/>
      <c r="D7396" s="17">
        <v>15988.929999999998</v>
      </c>
    </row>
    <row r="7397" spans="1:4" x14ac:dyDescent="0.3">
      <c r="A7397" s="10">
        <v>1511</v>
      </c>
      <c r="B7397" s="10" t="s">
        <v>18</v>
      </c>
      <c r="C7397" s="10" t="s">
        <v>282</v>
      </c>
      <c r="D7397" s="17">
        <v>389.99</v>
      </c>
    </row>
    <row r="7398" spans="1:4" x14ac:dyDescent="0.3">
      <c r="A7398" s="12"/>
      <c r="B7398" s="12"/>
      <c r="C7398" s="14" t="s">
        <v>77</v>
      </c>
      <c r="D7398" s="18">
        <v>1469.99</v>
      </c>
    </row>
    <row r="7399" spans="1:4" x14ac:dyDescent="0.3">
      <c r="A7399" s="12"/>
      <c r="B7399" s="12"/>
      <c r="C7399" s="14" t="s">
        <v>23</v>
      </c>
      <c r="D7399" s="18">
        <v>858</v>
      </c>
    </row>
    <row r="7400" spans="1:4" x14ac:dyDescent="0.3">
      <c r="A7400" s="12"/>
      <c r="B7400" s="12"/>
      <c r="C7400" s="14" t="s">
        <v>197</v>
      </c>
      <c r="D7400" s="18">
        <v>2998</v>
      </c>
    </row>
    <row r="7401" spans="1:4" x14ac:dyDescent="0.3">
      <c r="A7401" s="12"/>
      <c r="B7401" s="12"/>
      <c r="C7401" s="14" t="s">
        <v>190</v>
      </c>
      <c r="D7401" s="18">
        <v>3099.98</v>
      </c>
    </row>
    <row r="7402" spans="1:4" x14ac:dyDescent="0.3">
      <c r="A7402" s="12"/>
      <c r="B7402" s="10" t="s">
        <v>1916</v>
      </c>
      <c r="C7402" s="11"/>
      <c r="D7402" s="17">
        <v>8815.9599999999991</v>
      </c>
    </row>
    <row r="7403" spans="1:4" x14ac:dyDescent="0.3">
      <c r="A7403" s="10" t="s">
        <v>1807</v>
      </c>
      <c r="B7403" s="11"/>
      <c r="C7403" s="11"/>
      <c r="D7403" s="17">
        <v>8815.9599999999991</v>
      </c>
    </row>
    <row r="7404" spans="1:4" x14ac:dyDescent="0.3">
      <c r="A7404" s="10">
        <v>1512</v>
      </c>
      <c r="B7404" s="10" t="s">
        <v>37</v>
      </c>
      <c r="C7404" s="10" t="s">
        <v>226</v>
      </c>
      <c r="D7404" s="17">
        <v>909.99</v>
      </c>
    </row>
    <row r="7405" spans="1:4" x14ac:dyDescent="0.3">
      <c r="A7405" s="12"/>
      <c r="B7405" s="10" t="s">
        <v>1917</v>
      </c>
      <c r="C7405" s="11"/>
      <c r="D7405" s="17">
        <v>909.99</v>
      </c>
    </row>
    <row r="7406" spans="1:4" x14ac:dyDescent="0.3">
      <c r="A7406" s="10" t="s">
        <v>1808</v>
      </c>
      <c r="B7406" s="11"/>
      <c r="C7406" s="11"/>
      <c r="D7406" s="17">
        <v>909.99</v>
      </c>
    </row>
    <row r="7407" spans="1:4" x14ac:dyDescent="0.3">
      <c r="A7407" s="10">
        <v>1513</v>
      </c>
      <c r="B7407" s="10" t="s">
        <v>11</v>
      </c>
      <c r="C7407" s="10" t="s">
        <v>179</v>
      </c>
      <c r="D7407" s="17">
        <v>749.99</v>
      </c>
    </row>
    <row r="7408" spans="1:4" x14ac:dyDescent="0.3">
      <c r="A7408" s="12"/>
      <c r="B7408" s="12"/>
      <c r="C7408" s="14" t="s">
        <v>174</v>
      </c>
      <c r="D7408" s="18">
        <v>4599.9799999999996</v>
      </c>
    </row>
    <row r="7409" spans="1:4" x14ac:dyDescent="0.3">
      <c r="A7409" s="12"/>
      <c r="B7409" s="12"/>
      <c r="C7409" s="14" t="s">
        <v>45</v>
      </c>
      <c r="D7409" s="18">
        <v>9999.98</v>
      </c>
    </row>
    <row r="7410" spans="1:4" x14ac:dyDescent="0.3">
      <c r="A7410" s="12"/>
      <c r="B7410" s="10" t="s">
        <v>1915</v>
      </c>
      <c r="C7410" s="11"/>
      <c r="D7410" s="17">
        <v>15349.949999999999</v>
      </c>
    </row>
    <row r="7411" spans="1:4" x14ac:dyDescent="0.3">
      <c r="A7411" s="10" t="s">
        <v>1809</v>
      </c>
      <c r="B7411" s="11"/>
      <c r="C7411" s="11"/>
      <c r="D7411" s="17">
        <v>15349.949999999999</v>
      </c>
    </row>
    <row r="7412" spans="1:4" x14ac:dyDescent="0.3">
      <c r="A7412" s="10">
        <v>1514</v>
      </c>
      <c r="B7412" s="10" t="s">
        <v>11</v>
      </c>
      <c r="C7412" s="10" t="s">
        <v>221</v>
      </c>
      <c r="D7412" s="17">
        <v>1799.98</v>
      </c>
    </row>
    <row r="7413" spans="1:4" x14ac:dyDescent="0.3">
      <c r="A7413" s="12"/>
      <c r="B7413" s="12"/>
      <c r="C7413" s="14" t="s">
        <v>147</v>
      </c>
      <c r="D7413" s="18">
        <v>9999.98</v>
      </c>
    </row>
    <row r="7414" spans="1:4" x14ac:dyDescent="0.3">
      <c r="A7414" s="12"/>
      <c r="B7414" s="10" t="s">
        <v>1915</v>
      </c>
      <c r="C7414" s="11"/>
      <c r="D7414" s="17">
        <v>11799.96</v>
      </c>
    </row>
    <row r="7415" spans="1:4" x14ac:dyDescent="0.3">
      <c r="A7415" s="10" t="s">
        <v>1810</v>
      </c>
      <c r="B7415" s="11"/>
      <c r="C7415" s="11"/>
      <c r="D7415" s="17">
        <v>11799.96</v>
      </c>
    </row>
    <row r="7416" spans="1:4" x14ac:dyDescent="0.3">
      <c r="A7416" s="10">
        <v>1515</v>
      </c>
      <c r="B7416" s="10" t="s">
        <v>37</v>
      </c>
      <c r="C7416" s="10" t="s">
        <v>221</v>
      </c>
      <c r="D7416" s="17">
        <v>1799.98</v>
      </c>
    </row>
    <row r="7417" spans="1:4" x14ac:dyDescent="0.3">
      <c r="A7417" s="12"/>
      <c r="B7417" s="12"/>
      <c r="C7417" s="14" t="s">
        <v>106</v>
      </c>
      <c r="D7417" s="18">
        <v>1999.98</v>
      </c>
    </row>
    <row r="7418" spans="1:4" x14ac:dyDescent="0.3">
      <c r="A7418" s="12"/>
      <c r="B7418" s="12"/>
      <c r="C7418" s="14" t="s">
        <v>284</v>
      </c>
      <c r="D7418" s="18">
        <v>1919.98</v>
      </c>
    </row>
    <row r="7419" spans="1:4" x14ac:dyDescent="0.3">
      <c r="A7419" s="12"/>
      <c r="B7419" s="12"/>
      <c r="C7419" s="14" t="s">
        <v>104</v>
      </c>
      <c r="D7419" s="18">
        <v>4999.99</v>
      </c>
    </row>
    <row r="7420" spans="1:4" x14ac:dyDescent="0.3">
      <c r="A7420" s="12"/>
      <c r="B7420" s="12"/>
      <c r="C7420" s="14" t="s">
        <v>283</v>
      </c>
      <c r="D7420" s="18">
        <v>6999.98</v>
      </c>
    </row>
    <row r="7421" spans="1:4" x14ac:dyDescent="0.3">
      <c r="A7421" s="12"/>
      <c r="B7421" s="10" t="s">
        <v>1917</v>
      </c>
      <c r="C7421" s="11"/>
      <c r="D7421" s="17">
        <v>17719.91</v>
      </c>
    </row>
    <row r="7422" spans="1:4" x14ac:dyDescent="0.3">
      <c r="A7422" s="10" t="s">
        <v>1811</v>
      </c>
      <c r="B7422" s="11"/>
      <c r="C7422" s="11"/>
      <c r="D7422" s="17">
        <v>17719.91</v>
      </c>
    </row>
    <row r="7423" spans="1:4" x14ac:dyDescent="0.3">
      <c r="A7423" s="10">
        <v>1516</v>
      </c>
      <c r="B7423" s="10" t="s">
        <v>11</v>
      </c>
      <c r="C7423" s="10" t="s">
        <v>281</v>
      </c>
      <c r="D7423" s="17">
        <v>2399.98</v>
      </c>
    </row>
    <row r="7424" spans="1:4" x14ac:dyDescent="0.3">
      <c r="A7424" s="12"/>
      <c r="B7424" s="12"/>
      <c r="C7424" s="14" t="s">
        <v>138</v>
      </c>
      <c r="D7424" s="18">
        <v>2599.9899999999998</v>
      </c>
    </row>
    <row r="7425" spans="1:4" x14ac:dyDescent="0.3">
      <c r="A7425" s="12"/>
      <c r="B7425" s="12"/>
      <c r="C7425" s="14" t="s">
        <v>163</v>
      </c>
      <c r="D7425" s="18">
        <v>6399.98</v>
      </c>
    </row>
    <row r="7426" spans="1:4" x14ac:dyDescent="0.3">
      <c r="A7426" s="12"/>
      <c r="B7426" s="12"/>
      <c r="C7426" s="14" t="s">
        <v>259</v>
      </c>
      <c r="D7426" s="18">
        <v>419.98</v>
      </c>
    </row>
    <row r="7427" spans="1:4" x14ac:dyDescent="0.3">
      <c r="A7427" s="12"/>
      <c r="B7427" s="12"/>
      <c r="C7427" s="14" t="s">
        <v>277</v>
      </c>
      <c r="D7427" s="18">
        <v>4599.9799999999996</v>
      </c>
    </row>
    <row r="7428" spans="1:4" x14ac:dyDescent="0.3">
      <c r="A7428" s="12"/>
      <c r="B7428" s="10" t="s">
        <v>1915</v>
      </c>
      <c r="C7428" s="11"/>
      <c r="D7428" s="17">
        <v>16419.909999999996</v>
      </c>
    </row>
    <row r="7429" spans="1:4" x14ac:dyDescent="0.3">
      <c r="A7429" s="10" t="s">
        <v>1812</v>
      </c>
      <c r="B7429" s="11"/>
      <c r="C7429" s="11"/>
      <c r="D7429" s="17">
        <v>16419.909999999996</v>
      </c>
    </row>
    <row r="7430" spans="1:4" x14ac:dyDescent="0.3">
      <c r="A7430" s="10">
        <v>1517</v>
      </c>
      <c r="B7430" s="10" t="s">
        <v>11</v>
      </c>
      <c r="C7430" s="10" t="s">
        <v>173</v>
      </c>
      <c r="D7430" s="17">
        <v>5199.9799999999996</v>
      </c>
    </row>
    <row r="7431" spans="1:4" x14ac:dyDescent="0.3">
      <c r="A7431" s="12"/>
      <c r="B7431" s="12"/>
      <c r="C7431" s="14" t="s">
        <v>146</v>
      </c>
      <c r="D7431" s="18">
        <v>1359.98</v>
      </c>
    </row>
    <row r="7432" spans="1:4" x14ac:dyDescent="0.3">
      <c r="A7432" s="12"/>
      <c r="B7432" s="10" t="s">
        <v>1915</v>
      </c>
      <c r="C7432" s="11"/>
      <c r="D7432" s="17">
        <v>6559.9599999999991</v>
      </c>
    </row>
    <row r="7433" spans="1:4" x14ac:dyDescent="0.3">
      <c r="A7433" s="10" t="s">
        <v>1813</v>
      </c>
      <c r="B7433" s="11"/>
      <c r="C7433" s="11"/>
      <c r="D7433" s="17">
        <v>6559.9599999999991</v>
      </c>
    </row>
    <row r="7434" spans="1:4" x14ac:dyDescent="0.3">
      <c r="A7434" s="10">
        <v>1518</v>
      </c>
      <c r="B7434" s="10" t="s">
        <v>11</v>
      </c>
      <c r="C7434" s="10" t="s">
        <v>182</v>
      </c>
      <c r="D7434" s="17">
        <v>5999.98</v>
      </c>
    </row>
    <row r="7435" spans="1:4" x14ac:dyDescent="0.3">
      <c r="A7435" s="12"/>
      <c r="B7435" s="12"/>
      <c r="C7435" s="14" t="s">
        <v>146</v>
      </c>
      <c r="D7435" s="18">
        <v>1359.98</v>
      </c>
    </row>
    <row r="7436" spans="1:4" x14ac:dyDescent="0.3">
      <c r="A7436" s="12"/>
      <c r="B7436" s="12"/>
      <c r="C7436" s="14" t="s">
        <v>204</v>
      </c>
      <c r="D7436" s="18">
        <v>4999.9799999999996</v>
      </c>
    </row>
    <row r="7437" spans="1:4" x14ac:dyDescent="0.3">
      <c r="A7437" s="12"/>
      <c r="B7437" s="10" t="s">
        <v>1915</v>
      </c>
      <c r="C7437" s="11"/>
      <c r="D7437" s="17">
        <v>12359.939999999999</v>
      </c>
    </row>
    <row r="7438" spans="1:4" x14ac:dyDescent="0.3">
      <c r="A7438" s="10" t="s">
        <v>1814</v>
      </c>
      <c r="B7438" s="11"/>
      <c r="C7438" s="11"/>
      <c r="D7438" s="17">
        <v>12359.939999999999</v>
      </c>
    </row>
    <row r="7439" spans="1:4" x14ac:dyDescent="0.3">
      <c r="A7439" s="10">
        <v>1519</v>
      </c>
      <c r="B7439" s="10" t="s">
        <v>18</v>
      </c>
      <c r="C7439" s="10" t="s">
        <v>38</v>
      </c>
      <c r="D7439" s="17">
        <v>659.98</v>
      </c>
    </row>
    <row r="7440" spans="1:4" x14ac:dyDescent="0.3">
      <c r="A7440" s="12"/>
      <c r="B7440" s="12"/>
      <c r="C7440" s="14" t="s">
        <v>239</v>
      </c>
      <c r="D7440" s="18">
        <v>579.98</v>
      </c>
    </row>
    <row r="7441" spans="1:4" x14ac:dyDescent="0.3">
      <c r="A7441" s="12"/>
      <c r="B7441" s="12"/>
      <c r="C7441" s="14" t="s">
        <v>114</v>
      </c>
      <c r="D7441" s="18">
        <v>346.99</v>
      </c>
    </row>
    <row r="7442" spans="1:4" x14ac:dyDescent="0.3">
      <c r="A7442" s="12"/>
      <c r="B7442" s="12"/>
      <c r="C7442" s="14" t="s">
        <v>197</v>
      </c>
      <c r="D7442" s="18">
        <v>2998</v>
      </c>
    </row>
    <row r="7443" spans="1:4" x14ac:dyDescent="0.3">
      <c r="A7443" s="12"/>
      <c r="B7443" s="12"/>
      <c r="C7443" s="14" t="s">
        <v>166</v>
      </c>
      <c r="D7443" s="18">
        <v>4499.99</v>
      </c>
    </row>
    <row r="7444" spans="1:4" x14ac:dyDescent="0.3">
      <c r="A7444" s="12"/>
      <c r="B7444" s="10" t="s">
        <v>1916</v>
      </c>
      <c r="C7444" s="11"/>
      <c r="D7444" s="17">
        <v>9084.9399999999987</v>
      </c>
    </row>
    <row r="7445" spans="1:4" x14ac:dyDescent="0.3">
      <c r="A7445" s="10" t="s">
        <v>1815</v>
      </c>
      <c r="B7445" s="11"/>
      <c r="C7445" s="11"/>
      <c r="D7445" s="17">
        <v>9084.9399999999987</v>
      </c>
    </row>
    <row r="7446" spans="1:4" x14ac:dyDescent="0.3">
      <c r="A7446" s="10">
        <v>1520</v>
      </c>
      <c r="B7446" s="10" t="s">
        <v>37</v>
      </c>
      <c r="C7446" s="10" t="s">
        <v>221</v>
      </c>
      <c r="D7446" s="17">
        <v>1799.98</v>
      </c>
    </row>
    <row r="7447" spans="1:4" x14ac:dyDescent="0.3">
      <c r="A7447" s="12"/>
      <c r="B7447" s="12"/>
      <c r="C7447" s="14" t="s">
        <v>168</v>
      </c>
      <c r="D7447" s="18">
        <v>179.98</v>
      </c>
    </row>
    <row r="7448" spans="1:4" x14ac:dyDescent="0.3">
      <c r="A7448" s="12"/>
      <c r="B7448" s="12"/>
      <c r="C7448" s="14" t="s">
        <v>199</v>
      </c>
      <c r="D7448" s="18">
        <v>4499.99</v>
      </c>
    </row>
    <row r="7449" spans="1:4" x14ac:dyDescent="0.3">
      <c r="A7449" s="12"/>
      <c r="B7449" s="12"/>
      <c r="C7449" s="14" t="s">
        <v>205</v>
      </c>
      <c r="D7449" s="18">
        <v>6999.98</v>
      </c>
    </row>
    <row r="7450" spans="1:4" x14ac:dyDescent="0.3">
      <c r="A7450" s="12"/>
      <c r="B7450" s="10" t="s">
        <v>1917</v>
      </c>
      <c r="C7450" s="11"/>
      <c r="D7450" s="17">
        <v>13479.93</v>
      </c>
    </row>
    <row r="7451" spans="1:4" x14ac:dyDescent="0.3">
      <c r="A7451" s="10" t="s">
        <v>1816</v>
      </c>
      <c r="B7451" s="11"/>
      <c r="C7451" s="11"/>
      <c r="D7451" s="17">
        <v>13479.93</v>
      </c>
    </row>
    <row r="7452" spans="1:4" x14ac:dyDescent="0.3">
      <c r="A7452" s="10">
        <v>1521</v>
      </c>
      <c r="B7452" s="10" t="s">
        <v>11</v>
      </c>
      <c r="C7452" s="10" t="s">
        <v>105</v>
      </c>
      <c r="D7452" s="17">
        <v>489.99</v>
      </c>
    </row>
    <row r="7453" spans="1:4" x14ac:dyDescent="0.3">
      <c r="A7453" s="12"/>
      <c r="B7453" s="12"/>
      <c r="C7453" s="14" t="s">
        <v>135</v>
      </c>
      <c r="D7453" s="18">
        <v>1359.98</v>
      </c>
    </row>
    <row r="7454" spans="1:4" x14ac:dyDescent="0.3">
      <c r="A7454" s="12"/>
      <c r="B7454" s="12"/>
      <c r="C7454" s="14" t="s">
        <v>260</v>
      </c>
      <c r="D7454" s="18">
        <v>999.99</v>
      </c>
    </row>
    <row r="7455" spans="1:4" x14ac:dyDescent="0.3">
      <c r="A7455" s="12"/>
      <c r="B7455" s="12"/>
      <c r="C7455" s="14" t="s">
        <v>213</v>
      </c>
      <c r="D7455" s="18">
        <v>2999.98</v>
      </c>
    </row>
    <row r="7456" spans="1:4" x14ac:dyDescent="0.3">
      <c r="A7456" s="12"/>
      <c r="B7456" s="10" t="s">
        <v>1915</v>
      </c>
      <c r="C7456" s="11"/>
      <c r="D7456" s="17">
        <v>5849.9400000000005</v>
      </c>
    </row>
    <row r="7457" spans="1:4" x14ac:dyDescent="0.3">
      <c r="A7457" s="10" t="s">
        <v>1817</v>
      </c>
      <c r="B7457" s="11"/>
      <c r="C7457" s="11"/>
      <c r="D7457" s="17">
        <v>5849.9400000000005</v>
      </c>
    </row>
    <row r="7458" spans="1:4" x14ac:dyDescent="0.3">
      <c r="A7458" s="10">
        <v>1522</v>
      </c>
      <c r="B7458" s="10" t="s">
        <v>11</v>
      </c>
      <c r="C7458" s="10" t="s">
        <v>48</v>
      </c>
      <c r="D7458" s="17">
        <v>299.99</v>
      </c>
    </row>
    <row r="7459" spans="1:4" x14ac:dyDescent="0.3">
      <c r="A7459" s="12"/>
      <c r="B7459" s="12"/>
      <c r="C7459" s="14" t="s">
        <v>256</v>
      </c>
      <c r="D7459" s="18">
        <v>1599.99</v>
      </c>
    </row>
    <row r="7460" spans="1:4" x14ac:dyDescent="0.3">
      <c r="A7460" s="12"/>
      <c r="B7460" s="12"/>
      <c r="C7460" s="14" t="s">
        <v>263</v>
      </c>
      <c r="D7460" s="18">
        <v>1469.99</v>
      </c>
    </row>
    <row r="7461" spans="1:4" x14ac:dyDescent="0.3">
      <c r="A7461" s="12"/>
      <c r="B7461" s="10" t="s">
        <v>1915</v>
      </c>
      <c r="C7461" s="11"/>
      <c r="D7461" s="17">
        <v>3369.9700000000003</v>
      </c>
    </row>
    <row r="7462" spans="1:4" x14ac:dyDescent="0.3">
      <c r="A7462" s="10" t="s">
        <v>1818</v>
      </c>
      <c r="B7462" s="11"/>
      <c r="C7462" s="11"/>
      <c r="D7462" s="17">
        <v>3369.9700000000003</v>
      </c>
    </row>
    <row r="7463" spans="1:4" x14ac:dyDescent="0.3">
      <c r="A7463" s="10">
        <v>1523</v>
      </c>
      <c r="B7463" s="10" t="s">
        <v>18</v>
      </c>
      <c r="C7463" s="10" t="s">
        <v>128</v>
      </c>
      <c r="D7463" s="17">
        <v>1499.98</v>
      </c>
    </row>
    <row r="7464" spans="1:4" x14ac:dyDescent="0.3">
      <c r="A7464" s="12"/>
      <c r="B7464" s="10" t="s">
        <v>1916</v>
      </c>
      <c r="C7464" s="11"/>
      <c r="D7464" s="17">
        <v>1499.98</v>
      </c>
    </row>
    <row r="7465" spans="1:4" x14ac:dyDescent="0.3">
      <c r="A7465" s="10" t="s">
        <v>1819</v>
      </c>
      <c r="B7465" s="11"/>
      <c r="C7465" s="11"/>
      <c r="D7465" s="17">
        <v>1499.98</v>
      </c>
    </row>
    <row r="7466" spans="1:4" x14ac:dyDescent="0.3">
      <c r="A7466" s="10">
        <v>1524</v>
      </c>
      <c r="B7466" s="10" t="s">
        <v>18</v>
      </c>
      <c r="C7466" s="10" t="s">
        <v>182</v>
      </c>
      <c r="D7466" s="17">
        <v>5999.98</v>
      </c>
    </row>
    <row r="7467" spans="1:4" x14ac:dyDescent="0.3">
      <c r="A7467" s="12"/>
      <c r="B7467" s="12"/>
      <c r="C7467" s="14" t="s">
        <v>181</v>
      </c>
      <c r="D7467" s="18">
        <v>449.99</v>
      </c>
    </row>
    <row r="7468" spans="1:4" x14ac:dyDescent="0.3">
      <c r="A7468" s="12"/>
      <c r="B7468" s="12"/>
      <c r="C7468" s="14" t="s">
        <v>219</v>
      </c>
      <c r="D7468" s="18">
        <v>639.98</v>
      </c>
    </row>
    <row r="7469" spans="1:4" x14ac:dyDescent="0.3">
      <c r="A7469" s="12"/>
      <c r="B7469" s="12"/>
      <c r="C7469" s="14" t="s">
        <v>171</v>
      </c>
      <c r="D7469" s="18">
        <v>1549</v>
      </c>
    </row>
    <row r="7470" spans="1:4" x14ac:dyDescent="0.3">
      <c r="A7470" s="12"/>
      <c r="B7470" s="10" t="s">
        <v>1916</v>
      </c>
      <c r="C7470" s="11"/>
      <c r="D7470" s="17">
        <v>8638.9499999999989</v>
      </c>
    </row>
    <row r="7471" spans="1:4" x14ac:dyDescent="0.3">
      <c r="A7471" s="10" t="s">
        <v>1820</v>
      </c>
      <c r="B7471" s="11"/>
      <c r="C7471" s="11"/>
      <c r="D7471" s="17">
        <v>8638.9499999999989</v>
      </c>
    </row>
    <row r="7472" spans="1:4" x14ac:dyDescent="0.3">
      <c r="A7472" s="10">
        <v>1525</v>
      </c>
      <c r="B7472" s="10" t="s">
        <v>18</v>
      </c>
      <c r="C7472" s="10" t="s">
        <v>186</v>
      </c>
      <c r="D7472" s="17">
        <v>2698</v>
      </c>
    </row>
    <row r="7473" spans="1:4" x14ac:dyDescent="0.3">
      <c r="A7473" s="12"/>
      <c r="B7473" s="12"/>
      <c r="C7473" s="14" t="s">
        <v>285</v>
      </c>
      <c r="D7473" s="18">
        <v>6499.99</v>
      </c>
    </row>
    <row r="7474" spans="1:4" x14ac:dyDescent="0.3">
      <c r="A7474" s="12"/>
      <c r="B7474" s="12"/>
      <c r="C7474" s="14" t="s">
        <v>232</v>
      </c>
      <c r="D7474" s="18">
        <v>2799.99</v>
      </c>
    </row>
    <row r="7475" spans="1:4" x14ac:dyDescent="0.3">
      <c r="A7475" s="12"/>
      <c r="B7475" s="10" t="s">
        <v>1916</v>
      </c>
      <c r="C7475" s="11"/>
      <c r="D7475" s="17">
        <v>11997.98</v>
      </c>
    </row>
    <row r="7476" spans="1:4" x14ac:dyDescent="0.3">
      <c r="A7476" s="10" t="s">
        <v>1821</v>
      </c>
      <c r="B7476" s="11"/>
      <c r="C7476" s="11"/>
      <c r="D7476" s="17">
        <v>11997.98</v>
      </c>
    </row>
    <row r="7477" spans="1:4" x14ac:dyDescent="0.3">
      <c r="A7477" s="10">
        <v>1526</v>
      </c>
      <c r="B7477" s="10" t="s">
        <v>18</v>
      </c>
      <c r="C7477" s="10" t="s">
        <v>185</v>
      </c>
      <c r="D7477" s="17">
        <v>749.99</v>
      </c>
    </row>
    <row r="7478" spans="1:4" x14ac:dyDescent="0.3">
      <c r="A7478" s="12"/>
      <c r="B7478" s="12"/>
      <c r="C7478" s="14" t="s">
        <v>135</v>
      </c>
      <c r="D7478" s="18">
        <v>679.99</v>
      </c>
    </row>
    <row r="7479" spans="1:4" x14ac:dyDescent="0.3">
      <c r="A7479" s="12"/>
      <c r="B7479" s="12"/>
      <c r="C7479" s="14" t="s">
        <v>126</v>
      </c>
      <c r="D7479" s="18">
        <v>1549.99</v>
      </c>
    </row>
    <row r="7480" spans="1:4" x14ac:dyDescent="0.3">
      <c r="A7480" s="12"/>
      <c r="B7480" s="12"/>
      <c r="C7480" s="14" t="s">
        <v>41</v>
      </c>
      <c r="D7480" s="18">
        <v>5499.99</v>
      </c>
    </row>
    <row r="7481" spans="1:4" x14ac:dyDescent="0.3">
      <c r="A7481" s="12"/>
      <c r="B7481" s="10" t="s">
        <v>1916</v>
      </c>
      <c r="C7481" s="11"/>
      <c r="D7481" s="17">
        <v>8479.9599999999991</v>
      </c>
    </row>
    <row r="7482" spans="1:4" x14ac:dyDescent="0.3">
      <c r="A7482" s="10" t="s">
        <v>1822</v>
      </c>
      <c r="B7482" s="11"/>
      <c r="C7482" s="11"/>
      <c r="D7482" s="17">
        <v>8479.9599999999991</v>
      </c>
    </row>
    <row r="7483" spans="1:4" x14ac:dyDescent="0.3">
      <c r="A7483" s="10">
        <v>1527</v>
      </c>
      <c r="B7483" s="10" t="s">
        <v>37</v>
      </c>
      <c r="C7483" s="10" t="s">
        <v>40</v>
      </c>
      <c r="D7483" s="17">
        <v>551.99</v>
      </c>
    </row>
    <row r="7484" spans="1:4" x14ac:dyDescent="0.3">
      <c r="A7484" s="12"/>
      <c r="B7484" s="12"/>
      <c r="C7484" s="14" t="s">
        <v>67</v>
      </c>
      <c r="D7484" s="18">
        <v>469.99</v>
      </c>
    </row>
    <row r="7485" spans="1:4" x14ac:dyDescent="0.3">
      <c r="A7485" s="12"/>
      <c r="B7485" s="12"/>
      <c r="C7485" s="14" t="s">
        <v>103</v>
      </c>
      <c r="D7485" s="18">
        <v>3999.98</v>
      </c>
    </row>
    <row r="7486" spans="1:4" x14ac:dyDescent="0.3">
      <c r="A7486" s="12"/>
      <c r="B7486" s="10" t="s">
        <v>1917</v>
      </c>
      <c r="C7486" s="11"/>
      <c r="D7486" s="17">
        <v>5021.96</v>
      </c>
    </row>
    <row r="7487" spans="1:4" x14ac:dyDescent="0.3">
      <c r="A7487" s="10" t="s">
        <v>1823</v>
      </c>
      <c r="B7487" s="11"/>
      <c r="C7487" s="11"/>
      <c r="D7487" s="17">
        <v>5021.96</v>
      </c>
    </row>
    <row r="7488" spans="1:4" x14ac:dyDescent="0.3">
      <c r="A7488" s="10">
        <v>1528</v>
      </c>
      <c r="B7488" s="10" t="s">
        <v>37</v>
      </c>
      <c r="C7488" s="10" t="s">
        <v>209</v>
      </c>
      <c r="D7488" s="17">
        <v>859.98</v>
      </c>
    </row>
    <row r="7489" spans="1:4" x14ac:dyDescent="0.3">
      <c r="A7489" s="12"/>
      <c r="B7489" s="10" t="s">
        <v>1917</v>
      </c>
      <c r="C7489" s="11"/>
      <c r="D7489" s="17">
        <v>859.98</v>
      </c>
    </row>
    <row r="7490" spans="1:4" x14ac:dyDescent="0.3">
      <c r="A7490" s="10" t="s">
        <v>1824</v>
      </c>
      <c r="B7490" s="11"/>
      <c r="C7490" s="11"/>
      <c r="D7490" s="17">
        <v>859.98</v>
      </c>
    </row>
    <row r="7491" spans="1:4" x14ac:dyDescent="0.3">
      <c r="A7491" s="10">
        <v>1529</v>
      </c>
      <c r="B7491" s="10" t="s">
        <v>37</v>
      </c>
      <c r="C7491" s="10" t="s">
        <v>33</v>
      </c>
      <c r="D7491" s="17">
        <v>299.99</v>
      </c>
    </row>
    <row r="7492" spans="1:4" x14ac:dyDescent="0.3">
      <c r="A7492" s="12"/>
      <c r="B7492" s="12"/>
      <c r="C7492" s="14" t="s">
        <v>79</v>
      </c>
      <c r="D7492" s="18">
        <v>11999.98</v>
      </c>
    </row>
    <row r="7493" spans="1:4" x14ac:dyDescent="0.3">
      <c r="A7493" s="12"/>
      <c r="B7493" s="10" t="s">
        <v>1917</v>
      </c>
      <c r="C7493" s="11"/>
      <c r="D7493" s="17">
        <v>12299.97</v>
      </c>
    </row>
    <row r="7494" spans="1:4" x14ac:dyDescent="0.3">
      <c r="A7494" s="10" t="s">
        <v>1825</v>
      </c>
      <c r="B7494" s="11"/>
      <c r="C7494" s="11"/>
      <c r="D7494" s="17">
        <v>12299.97</v>
      </c>
    </row>
    <row r="7495" spans="1:4" x14ac:dyDescent="0.3">
      <c r="A7495" s="10">
        <v>1530</v>
      </c>
      <c r="B7495" s="10" t="s">
        <v>11</v>
      </c>
      <c r="C7495" s="10" t="s">
        <v>200</v>
      </c>
      <c r="D7495" s="17">
        <v>539.98</v>
      </c>
    </row>
    <row r="7496" spans="1:4" x14ac:dyDescent="0.3">
      <c r="A7496" s="12"/>
      <c r="B7496" s="12"/>
      <c r="C7496" s="14" t="s">
        <v>257</v>
      </c>
      <c r="D7496" s="18">
        <v>749.99</v>
      </c>
    </row>
    <row r="7497" spans="1:4" x14ac:dyDescent="0.3">
      <c r="A7497" s="12"/>
      <c r="B7497" s="10" t="s">
        <v>1915</v>
      </c>
      <c r="C7497" s="11"/>
      <c r="D7497" s="17">
        <v>1289.97</v>
      </c>
    </row>
    <row r="7498" spans="1:4" x14ac:dyDescent="0.3">
      <c r="A7498" s="10" t="s">
        <v>1826</v>
      </c>
      <c r="B7498" s="11"/>
      <c r="C7498" s="11"/>
      <c r="D7498" s="17">
        <v>1289.97</v>
      </c>
    </row>
    <row r="7499" spans="1:4" x14ac:dyDescent="0.3">
      <c r="A7499" s="10">
        <v>1531</v>
      </c>
      <c r="B7499" s="10" t="s">
        <v>11</v>
      </c>
      <c r="C7499" s="10" t="s">
        <v>193</v>
      </c>
      <c r="D7499" s="17">
        <v>1899</v>
      </c>
    </row>
    <row r="7500" spans="1:4" x14ac:dyDescent="0.3">
      <c r="A7500" s="12"/>
      <c r="B7500" s="10" t="s">
        <v>1915</v>
      </c>
      <c r="C7500" s="11"/>
      <c r="D7500" s="17">
        <v>1899</v>
      </c>
    </row>
    <row r="7501" spans="1:4" x14ac:dyDescent="0.3">
      <c r="A7501" s="10" t="s">
        <v>1827</v>
      </c>
      <c r="B7501" s="11"/>
      <c r="C7501" s="11"/>
      <c r="D7501" s="17">
        <v>1899</v>
      </c>
    </row>
    <row r="7502" spans="1:4" x14ac:dyDescent="0.3">
      <c r="A7502" s="10">
        <v>1532</v>
      </c>
      <c r="B7502" s="10" t="s">
        <v>18</v>
      </c>
      <c r="C7502" s="10" t="s">
        <v>123</v>
      </c>
      <c r="D7502" s="17">
        <v>5999.98</v>
      </c>
    </row>
    <row r="7503" spans="1:4" x14ac:dyDescent="0.3">
      <c r="A7503" s="12"/>
      <c r="B7503" s="10" t="s">
        <v>1916</v>
      </c>
      <c r="C7503" s="11"/>
      <c r="D7503" s="17">
        <v>5999.98</v>
      </c>
    </row>
    <row r="7504" spans="1:4" x14ac:dyDescent="0.3">
      <c r="A7504" s="10" t="s">
        <v>1828</v>
      </c>
      <c r="B7504" s="11"/>
      <c r="C7504" s="11"/>
      <c r="D7504" s="17">
        <v>5999.98</v>
      </c>
    </row>
    <row r="7505" spans="1:4" x14ac:dyDescent="0.3">
      <c r="A7505" s="10">
        <v>1533</v>
      </c>
      <c r="B7505" s="10" t="s">
        <v>18</v>
      </c>
      <c r="C7505" s="10" t="s">
        <v>120</v>
      </c>
      <c r="D7505" s="17">
        <v>1799.98</v>
      </c>
    </row>
    <row r="7506" spans="1:4" x14ac:dyDescent="0.3">
      <c r="A7506" s="12"/>
      <c r="B7506" s="12"/>
      <c r="C7506" s="14" t="s">
        <v>91</v>
      </c>
      <c r="D7506" s="18">
        <v>349.99</v>
      </c>
    </row>
    <row r="7507" spans="1:4" x14ac:dyDescent="0.3">
      <c r="A7507" s="12"/>
      <c r="B7507" s="12"/>
      <c r="C7507" s="14" t="s">
        <v>57</v>
      </c>
      <c r="D7507" s="18">
        <v>647.99</v>
      </c>
    </row>
    <row r="7508" spans="1:4" x14ac:dyDescent="0.3">
      <c r="A7508" s="12"/>
      <c r="B7508" s="12"/>
      <c r="C7508" s="14" t="s">
        <v>210</v>
      </c>
      <c r="D7508" s="18">
        <v>459.98</v>
      </c>
    </row>
    <row r="7509" spans="1:4" x14ac:dyDescent="0.3">
      <c r="A7509" s="12"/>
      <c r="B7509" s="12"/>
      <c r="C7509" s="14" t="s">
        <v>90</v>
      </c>
      <c r="D7509" s="18">
        <v>6499.99</v>
      </c>
    </row>
    <row r="7510" spans="1:4" x14ac:dyDescent="0.3">
      <c r="A7510" s="12"/>
      <c r="B7510" s="10" t="s">
        <v>1916</v>
      </c>
      <c r="C7510" s="11"/>
      <c r="D7510" s="17">
        <v>9757.93</v>
      </c>
    </row>
    <row r="7511" spans="1:4" x14ac:dyDescent="0.3">
      <c r="A7511" s="10" t="s">
        <v>1829</v>
      </c>
      <c r="B7511" s="11"/>
      <c r="C7511" s="11"/>
      <c r="D7511" s="17">
        <v>9757.93</v>
      </c>
    </row>
    <row r="7512" spans="1:4" x14ac:dyDescent="0.3">
      <c r="A7512" s="10">
        <v>1534</v>
      </c>
      <c r="B7512" s="10" t="s">
        <v>18</v>
      </c>
      <c r="C7512" s="10" t="s">
        <v>163</v>
      </c>
      <c r="D7512" s="17">
        <v>6399.98</v>
      </c>
    </row>
    <row r="7513" spans="1:4" x14ac:dyDescent="0.3">
      <c r="A7513" s="12"/>
      <c r="B7513" s="12"/>
      <c r="C7513" s="14" t="s">
        <v>125</v>
      </c>
      <c r="D7513" s="18">
        <v>399.98</v>
      </c>
    </row>
    <row r="7514" spans="1:4" x14ac:dyDescent="0.3">
      <c r="A7514" s="12"/>
      <c r="B7514" s="12"/>
      <c r="C7514" s="14" t="s">
        <v>263</v>
      </c>
      <c r="D7514" s="18">
        <v>1469.99</v>
      </c>
    </row>
    <row r="7515" spans="1:4" x14ac:dyDescent="0.3">
      <c r="A7515" s="12"/>
      <c r="B7515" s="12"/>
      <c r="C7515" s="14" t="s">
        <v>244</v>
      </c>
      <c r="D7515" s="18">
        <v>3499.99</v>
      </c>
    </row>
    <row r="7516" spans="1:4" x14ac:dyDescent="0.3">
      <c r="A7516" s="12"/>
      <c r="B7516" s="10" t="s">
        <v>1916</v>
      </c>
      <c r="C7516" s="11"/>
      <c r="D7516" s="17">
        <v>11769.939999999999</v>
      </c>
    </row>
    <row r="7517" spans="1:4" x14ac:dyDescent="0.3">
      <c r="A7517" s="10" t="s">
        <v>1830</v>
      </c>
      <c r="B7517" s="11"/>
      <c r="C7517" s="11"/>
      <c r="D7517" s="17">
        <v>11769.939999999999</v>
      </c>
    </row>
    <row r="7518" spans="1:4" x14ac:dyDescent="0.3">
      <c r="A7518" s="10">
        <v>1535</v>
      </c>
      <c r="B7518" s="10" t="s">
        <v>18</v>
      </c>
      <c r="C7518" s="10" t="s">
        <v>95</v>
      </c>
      <c r="D7518" s="17">
        <v>1199.98</v>
      </c>
    </row>
    <row r="7519" spans="1:4" x14ac:dyDescent="0.3">
      <c r="A7519" s="12"/>
      <c r="B7519" s="12"/>
      <c r="C7519" s="14" t="s">
        <v>111</v>
      </c>
      <c r="D7519" s="18">
        <v>209.99</v>
      </c>
    </row>
    <row r="7520" spans="1:4" x14ac:dyDescent="0.3">
      <c r="A7520" s="12"/>
      <c r="B7520" s="10" t="s">
        <v>1916</v>
      </c>
      <c r="C7520" s="11"/>
      <c r="D7520" s="17">
        <v>1409.97</v>
      </c>
    </row>
    <row r="7521" spans="1:4" x14ac:dyDescent="0.3">
      <c r="A7521" s="10" t="s">
        <v>1831</v>
      </c>
      <c r="B7521" s="11"/>
      <c r="C7521" s="11"/>
      <c r="D7521" s="17">
        <v>1409.97</v>
      </c>
    </row>
    <row r="7522" spans="1:4" x14ac:dyDescent="0.3">
      <c r="A7522" s="10">
        <v>1536</v>
      </c>
      <c r="B7522" s="10" t="s">
        <v>18</v>
      </c>
      <c r="C7522" s="10" t="s">
        <v>152</v>
      </c>
      <c r="D7522" s="17">
        <v>5599.98</v>
      </c>
    </row>
    <row r="7523" spans="1:4" x14ac:dyDescent="0.3">
      <c r="A7523" s="12"/>
      <c r="B7523" s="12"/>
      <c r="C7523" s="14" t="s">
        <v>286</v>
      </c>
      <c r="D7523" s="18">
        <v>2199.9899999999998</v>
      </c>
    </row>
    <row r="7524" spans="1:4" x14ac:dyDescent="0.3">
      <c r="A7524" s="12"/>
      <c r="B7524" s="12"/>
      <c r="C7524" s="14" t="s">
        <v>277</v>
      </c>
      <c r="D7524" s="18">
        <v>4599.9799999999996</v>
      </c>
    </row>
    <row r="7525" spans="1:4" x14ac:dyDescent="0.3">
      <c r="A7525" s="12"/>
      <c r="B7525" s="10" t="s">
        <v>1916</v>
      </c>
      <c r="C7525" s="11"/>
      <c r="D7525" s="17">
        <v>12399.949999999999</v>
      </c>
    </row>
    <row r="7526" spans="1:4" x14ac:dyDescent="0.3">
      <c r="A7526" s="10" t="s">
        <v>1832</v>
      </c>
      <c r="B7526" s="11"/>
      <c r="C7526" s="11"/>
      <c r="D7526" s="17">
        <v>12399.949999999999</v>
      </c>
    </row>
    <row r="7527" spans="1:4" x14ac:dyDescent="0.3">
      <c r="A7527" s="10">
        <v>1537</v>
      </c>
      <c r="B7527" s="10" t="s">
        <v>18</v>
      </c>
      <c r="C7527" s="10" t="s">
        <v>156</v>
      </c>
      <c r="D7527" s="17">
        <v>1699.98</v>
      </c>
    </row>
    <row r="7528" spans="1:4" x14ac:dyDescent="0.3">
      <c r="A7528" s="12"/>
      <c r="B7528" s="10" t="s">
        <v>1916</v>
      </c>
      <c r="C7528" s="11"/>
      <c r="D7528" s="17">
        <v>1699.98</v>
      </c>
    </row>
    <row r="7529" spans="1:4" x14ac:dyDescent="0.3">
      <c r="A7529" s="10" t="s">
        <v>1833</v>
      </c>
      <c r="B7529" s="11"/>
      <c r="C7529" s="11"/>
      <c r="D7529" s="17">
        <v>1699.98</v>
      </c>
    </row>
    <row r="7530" spans="1:4" x14ac:dyDescent="0.3">
      <c r="A7530" s="10">
        <v>1538</v>
      </c>
      <c r="B7530" s="10" t="s">
        <v>18</v>
      </c>
      <c r="C7530" s="10" t="s">
        <v>208</v>
      </c>
      <c r="D7530" s="17">
        <v>1799.98</v>
      </c>
    </row>
    <row r="7531" spans="1:4" x14ac:dyDescent="0.3">
      <c r="A7531" s="12"/>
      <c r="B7531" s="12"/>
      <c r="C7531" s="14" t="s">
        <v>118</v>
      </c>
      <c r="D7531" s="18">
        <v>2819.98</v>
      </c>
    </row>
    <row r="7532" spans="1:4" x14ac:dyDescent="0.3">
      <c r="A7532" s="12"/>
      <c r="B7532" s="12"/>
      <c r="C7532" s="14" t="s">
        <v>162</v>
      </c>
      <c r="D7532" s="18">
        <v>3299.99</v>
      </c>
    </row>
    <row r="7533" spans="1:4" x14ac:dyDescent="0.3">
      <c r="A7533" s="12"/>
      <c r="B7533" s="12"/>
      <c r="C7533" s="14" t="s">
        <v>263</v>
      </c>
      <c r="D7533" s="18">
        <v>1469.99</v>
      </c>
    </row>
    <row r="7534" spans="1:4" x14ac:dyDescent="0.3">
      <c r="A7534" s="12"/>
      <c r="B7534" s="12"/>
      <c r="C7534" s="14" t="s">
        <v>247</v>
      </c>
      <c r="D7534" s="18">
        <v>2299.9899999999998</v>
      </c>
    </row>
    <row r="7535" spans="1:4" x14ac:dyDescent="0.3">
      <c r="A7535" s="12"/>
      <c r="B7535" s="10" t="s">
        <v>1916</v>
      </c>
      <c r="C7535" s="11"/>
      <c r="D7535" s="17">
        <v>11689.93</v>
      </c>
    </row>
    <row r="7536" spans="1:4" x14ac:dyDescent="0.3">
      <c r="A7536" s="10" t="s">
        <v>1834</v>
      </c>
      <c r="B7536" s="11"/>
      <c r="C7536" s="11"/>
      <c r="D7536" s="17">
        <v>11689.93</v>
      </c>
    </row>
    <row r="7537" spans="1:4" x14ac:dyDescent="0.3">
      <c r="A7537" s="10">
        <v>1539</v>
      </c>
      <c r="B7537" s="10" t="s">
        <v>37</v>
      </c>
      <c r="C7537" s="10" t="s">
        <v>25</v>
      </c>
      <c r="D7537" s="17">
        <v>1099.98</v>
      </c>
    </row>
    <row r="7538" spans="1:4" x14ac:dyDescent="0.3">
      <c r="A7538" s="12"/>
      <c r="B7538" s="12"/>
      <c r="C7538" s="14" t="s">
        <v>32</v>
      </c>
      <c r="D7538" s="18">
        <v>939.98</v>
      </c>
    </row>
    <row r="7539" spans="1:4" x14ac:dyDescent="0.3">
      <c r="A7539" s="12"/>
      <c r="B7539" s="10" t="s">
        <v>1917</v>
      </c>
      <c r="C7539" s="11"/>
      <c r="D7539" s="17">
        <v>2039.96</v>
      </c>
    </row>
    <row r="7540" spans="1:4" x14ac:dyDescent="0.3">
      <c r="A7540" s="10" t="s">
        <v>1835</v>
      </c>
      <c r="B7540" s="11"/>
      <c r="C7540" s="11"/>
      <c r="D7540" s="17">
        <v>2039.96</v>
      </c>
    </row>
    <row r="7541" spans="1:4" x14ac:dyDescent="0.3">
      <c r="A7541" s="10">
        <v>1540</v>
      </c>
      <c r="B7541" s="10" t="s">
        <v>11</v>
      </c>
      <c r="C7541" s="10" t="s">
        <v>225</v>
      </c>
      <c r="D7541" s="17">
        <v>479.99</v>
      </c>
    </row>
    <row r="7542" spans="1:4" x14ac:dyDescent="0.3">
      <c r="A7542" s="12"/>
      <c r="B7542" s="12"/>
      <c r="C7542" s="14" t="s">
        <v>191</v>
      </c>
      <c r="D7542" s="18">
        <v>749.99</v>
      </c>
    </row>
    <row r="7543" spans="1:4" x14ac:dyDescent="0.3">
      <c r="A7543" s="12"/>
      <c r="B7543" s="12"/>
      <c r="C7543" s="14" t="s">
        <v>78</v>
      </c>
      <c r="D7543" s="18">
        <v>833.98</v>
      </c>
    </row>
    <row r="7544" spans="1:4" x14ac:dyDescent="0.3">
      <c r="A7544" s="12"/>
      <c r="B7544" s="12"/>
      <c r="C7544" s="14" t="s">
        <v>57</v>
      </c>
      <c r="D7544" s="18">
        <v>647.99</v>
      </c>
    </row>
    <row r="7545" spans="1:4" x14ac:dyDescent="0.3">
      <c r="A7545" s="12"/>
      <c r="B7545" s="12"/>
      <c r="C7545" s="14" t="s">
        <v>287</v>
      </c>
      <c r="D7545" s="18">
        <v>10999.98</v>
      </c>
    </row>
    <row r="7546" spans="1:4" x14ac:dyDescent="0.3">
      <c r="A7546" s="12"/>
      <c r="B7546" s="10" t="s">
        <v>1915</v>
      </c>
      <c r="C7546" s="11"/>
      <c r="D7546" s="17">
        <v>13711.93</v>
      </c>
    </row>
    <row r="7547" spans="1:4" x14ac:dyDescent="0.3">
      <c r="A7547" s="10" t="s">
        <v>1836</v>
      </c>
      <c r="B7547" s="11"/>
      <c r="C7547" s="11"/>
      <c r="D7547" s="17">
        <v>13711.93</v>
      </c>
    </row>
    <row r="7548" spans="1:4" x14ac:dyDescent="0.3">
      <c r="A7548" s="10">
        <v>1541</v>
      </c>
      <c r="B7548" s="10" t="s">
        <v>18</v>
      </c>
      <c r="C7548" s="10" t="s">
        <v>272</v>
      </c>
      <c r="D7548" s="17">
        <v>1199.98</v>
      </c>
    </row>
    <row r="7549" spans="1:4" x14ac:dyDescent="0.3">
      <c r="A7549" s="12"/>
      <c r="B7549" s="12"/>
      <c r="C7549" s="14" t="s">
        <v>23</v>
      </c>
      <c r="D7549" s="18">
        <v>429</v>
      </c>
    </row>
    <row r="7550" spans="1:4" x14ac:dyDescent="0.3">
      <c r="A7550" s="12"/>
      <c r="B7550" s="12"/>
      <c r="C7550" s="14" t="s">
        <v>188</v>
      </c>
      <c r="D7550" s="18">
        <v>23999.98</v>
      </c>
    </row>
    <row r="7551" spans="1:4" x14ac:dyDescent="0.3">
      <c r="A7551" s="12"/>
      <c r="B7551" s="12"/>
      <c r="C7551" s="14" t="s">
        <v>206</v>
      </c>
      <c r="D7551" s="18">
        <v>6399.98</v>
      </c>
    </row>
    <row r="7552" spans="1:4" x14ac:dyDescent="0.3">
      <c r="A7552" s="12"/>
      <c r="B7552" s="12"/>
      <c r="C7552" s="14" t="s">
        <v>115</v>
      </c>
      <c r="D7552" s="18">
        <v>299.98</v>
      </c>
    </row>
    <row r="7553" spans="1:4" x14ac:dyDescent="0.3">
      <c r="A7553" s="12"/>
      <c r="B7553" s="10" t="s">
        <v>1916</v>
      </c>
      <c r="C7553" s="11"/>
      <c r="D7553" s="17">
        <v>32328.92</v>
      </c>
    </row>
    <row r="7554" spans="1:4" x14ac:dyDescent="0.3">
      <c r="A7554" s="10" t="s">
        <v>1837</v>
      </c>
      <c r="B7554" s="11"/>
      <c r="C7554" s="11"/>
      <c r="D7554" s="17">
        <v>32328.92</v>
      </c>
    </row>
    <row r="7555" spans="1:4" x14ac:dyDescent="0.3">
      <c r="A7555" s="10">
        <v>1542</v>
      </c>
      <c r="B7555" s="10" t="s">
        <v>18</v>
      </c>
      <c r="C7555" s="10" t="s">
        <v>175</v>
      </c>
      <c r="D7555" s="17">
        <v>279.99</v>
      </c>
    </row>
    <row r="7556" spans="1:4" x14ac:dyDescent="0.3">
      <c r="A7556" s="12"/>
      <c r="B7556" s="12"/>
      <c r="C7556" s="14" t="s">
        <v>98</v>
      </c>
      <c r="D7556" s="18">
        <v>759.98</v>
      </c>
    </row>
    <row r="7557" spans="1:4" x14ac:dyDescent="0.3">
      <c r="A7557" s="12"/>
      <c r="B7557" s="12"/>
      <c r="C7557" s="14" t="s">
        <v>58</v>
      </c>
      <c r="D7557" s="18">
        <v>402.99</v>
      </c>
    </row>
    <row r="7558" spans="1:4" x14ac:dyDescent="0.3">
      <c r="A7558" s="12"/>
      <c r="B7558" s="12"/>
      <c r="C7558" s="14" t="s">
        <v>276</v>
      </c>
      <c r="D7558" s="18">
        <v>4999.9799999999996</v>
      </c>
    </row>
    <row r="7559" spans="1:4" x14ac:dyDescent="0.3">
      <c r="A7559" s="12"/>
      <c r="B7559" s="12"/>
      <c r="C7559" s="14" t="s">
        <v>161</v>
      </c>
      <c r="D7559" s="18">
        <v>6999.98</v>
      </c>
    </row>
    <row r="7560" spans="1:4" x14ac:dyDescent="0.3">
      <c r="A7560" s="12"/>
      <c r="B7560" s="10" t="s">
        <v>1916</v>
      </c>
      <c r="C7560" s="11"/>
      <c r="D7560" s="17">
        <v>13442.919999999998</v>
      </c>
    </row>
    <row r="7561" spans="1:4" x14ac:dyDescent="0.3">
      <c r="A7561" s="10" t="s">
        <v>1838</v>
      </c>
      <c r="B7561" s="11"/>
      <c r="C7561" s="11"/>
      <c r="D7561" s="17">
        <v>13442.919999999998</v>
      </c>
    </row>
    <row r="7562" spans="1:4" x14ac:dyDescent="0.3">
      <c r="A7562" s="10">
        <v>1543</v>
      </c>
      <c r="B7562" s="10" t="s">
        <v>18</v>
      </c>
      <c r="C7562" s="10" t="s">
        <v>55</v>
      </c>
      <c r="D7562" s="17">
        <v>699.98</v>
      </c>
    </row>
    <row r="7563" spans="1:4" x14ac:dyDescent="0.3">
      <c r="A7563" s="12"/>
      <c r="B7563" s="12"/>
      <c r="C7563" s="14" t="s">
        <v>110</v>
      </c>
      <c r="D7563" s="18">
        <v>209.99</v>
      </c>
    </row>
    <row r="7564" spans="1:4" x14ac:dyDescent="0.3">
      <c r="A7564" s="12"/>
      <c r="B7564" s="12"/>
      <c r="C7564" s="14" t="s">
        <v>85</v>
      </c>
      <c r="D7564" s="18">
        <v>899.98</v>
      </c>
    </row>
    <row r="7565" spans="1:4" x14ac:dyDescent="0.3">
      <c r="A7565" s="12"/>
      <c r="B7565" s="12"/>
      <c r="C7565" s="14" t="s">
        <v>284</v>
      </c>
      <c r="D7565" s="18">
        <v>1919.98</v>
      </c>
    </row>
    <row r="7566" spans="1:4" x14ac:dyDescent="0.3">
      <c r="A7566" s="12"/>
      <c r="B7566" s="12"/>
      <c r="C7566" s="14" t="s">
        <v>177</v>
      </c>
      <c r="D7566" s="18">
        <v>1799.99</v>
      </c>
    </row>
    <row r="7567" spans="1:4" x14ac:dyDescent="0.3">
      <c r="A7567" s="12"/>
      <c r="B7567" s="10" t="s">
        <v>1916</v>
      </c>
      <c r="C7567" s="11"/>
      <c r="D7567" s="17">
        <v>5529.92</v>
      </c>
    </row>
    <row r="7568" spans="1:4" x14ac:dyDescent="0.3">
      <c r="A7568" s="10" t="s">
        <v>1839</v>
      </c>
      <c r="B7568" s="11"/>
      <c r="C7568" s="11"/>
      <c r="D7568" s="17">
        <v>5529.92</v>
      </c>
    </row>
    <row r="7569" spans="1:4" x14ac:dyDescent="0.3">
      <c r="A7569" s="10">
        <v>1544</v>
      </c>
      <c r="B7569" s="10" t="s">
        <v>11</v>
      </c>
      <c r="C7569" s="10" t="s">
        <v>89</v>
      </c>
      <c r="D7569" s="17">
        <v>833.98</v>
      </c>
    </row>
    <row r="7570" spans="1:4" x14ac:dyDescent="0.3">
      <c r="A7570" s="12"/>
      <c r="B7570" s="12"/>
      <c r="C7570" s="14" t="s">
        <v>244</v>
      </c>
      <c r="D7570" s="18">
        <v>6999.98</v>
      </c>
    </row>
    <row r="7571" spans="1:4" x14ac:dyDescent="0.3">
      <c r="A7571" s="12"/>
      <c r="B7571" s="10" t="s">
        <v>1915</v>
      </c>
      <c r="C7571" s="11"/>
      <c r="D7571" s="17">
        <v>7833.9599999999991</v>
      </c>
    </row>
    <row r="7572" spans="1:4" x14ac:dyDescent="0.3">
      <c r="A7572" s="10" t="s">
        <v>1840</v>
      </c>
      <c r="B7572" s="11"/>
      <c r="C7572" s="11"/>
      <c r="D7572" s="17">
        <v>7833.9599999999991</v>
      </c>
    </row>
    <row r="7573" spans="1:4" x14ac:dyDescent="0.3">
      <c r="A7573" s="10">
        <v>1545</v>
      </c>
      <c r="B7573" s="10" t="s">
        <v>11</v>
      </c>
      <c r="C7573" s="10" t="s">
        <v>88</v>
      </c>
      <c r="D7573" s="17">
        <v>869.99</v>
      </c>
    </row>
    <row r="7574" spans="1:4" x14ac:dyDescent="0.3">
      <c r="A7574" s="12"/>
      <c r="B7574" s="10" t="s">
        <v>1915</v>
      </c>
      <c r="C7574" s="11"/>
      <c r="D7574" s="17">
        <v>869.99</v>
      </c>
    </row>
    <row r="7575" spans="1:4" x14ac:dyDescent="0.3">
      <c r="A7575" s="10" t="s">
        <v>1841</v>
      </c>
      <c r="B7575" s="11"/>
      <c r="C7575" s="11"/>
      <c r="D7575" s="17">
        <v>869.99</v>
      </c>
    </row>
    <row r="7576" spans="1:4" x14ac:dyDescent="0.3">
      <c r="A7576" s="10">
        <v>1546</v>
      </c>
      <c r="B7576" s="10" t="s">
        <v>11</v>
      </c>
      <c r="C7576" s="10" t="s">
        <v>157</v>
      </c>
      <c r="D7576" s="17">
        <v>749.99</v>
      </c>
    </row>
    <row r="7577" spans="1:4" x14ac:dyDescent="0.3">
      <c r="A7577" s="12"/>
      <c r="B7577" s="12"/>
      <c r="C7577" s="14" t="s">
        <v>35</v>
      </c>
      <c r="D7577" s="18">
        <v>499.99</v>
      </c>
    </row>
    <row r="7578" spans="1:4" x14ac:dyDescent="0.3">
      <c r="A7578" s="12"/>
      <c r="B7578" s="12"/>
      <c r="C7578" s="14" t="s">
        <v>152</v>
      </c>
      <c r="D7578" s="18">
        <v>5599.98</v>
      </c>
    </row>
    <row r="7579" spans="1:4" x14ac:dyDescent="0.3">
      <c r="A7579" s="12"/>
      <c r="B7579" s="12"/>
      <c r="C7579" s="14" t="s">
        <v>285</v>
      </c>
      <c r="D7579" s="18">
        <v>6499.99</v>
      </c>
    </row>
    <row r="7580" spans="1:4" x14ac:dyDescent="0.3">
      <c r="A7580" s="12"/>
      <c r="B7580" s="10" t="s">
        <v>1915</v>
      </c>
      <c r="C7580" s="11"/>
      <c r="D7580" s="17">
        <v>13349.949999999999</v>
      </c>
    </row>
    <row r="7581" spans="1:4" x14ac:dyDescent="0.3">
      <c r="A7581" s="10" t="s">
        <v>1842</v>
      </c>
      <c r="B7581" s="11"/>
      <c r="C7581" s="11"/>
      <c r="D7581" s="17">
        <v>13349.949999999999</v>
      </c>
    </row>
    <row r="7582" spans="1:4" x14ac:dyDescent="0.3">
      <c r="A7582" s="10">
        <v>1547</v>
      </c>
      <c r="B7582" s="10" t="s">
        <v>11</v>
      </c>
      <c r="C7582" s="10" t="s">
        <v>39</v>
      </c>
      <c r="D7582" s="17">
        <v>899.98</v>
      </c>
    </row>
    <row r="7583" spans="1:4" x14ac:dyDescent="0.3">
      <c r="A7583" s="12"/>
      <c r="B7583" s="12"/>
      <c r="C7583" s="14" t="s">
        <v>187</v>
      </c>
      <c r="D7583" s="18">
        <v>3599.99</v>
      </c>
    </row>
    <row r="7584" spans="1:4" x14ac:dyDescent="0.3">
      <c r="A7584" s="12"/>
      <c r="B7584" s="10" t="s">
        <v>1915</v>
      </c>
      <c r="C7584" s="11"/>
      <c r="D7584" s="17">
        <v>4499.9699999999993</v>
      </c>
    </row>
    <row r="7585" spans="1:4" x14ac:dyDescent="0.3">
      <c r="A7585" s="10" t="s">
        <v>1843</v>
      </c>
      <c r="B7585" s="11"/>
      <c r="C7585" s="11"/>
      <c r="D7585" s="17">
        <v>4499.9699999999993</v>
      </c>
    </row>
    <row r="7586" spans="1:4" x14ac:dyDescent="0.3">
      <c r="A7586" s="10">
        <v>1548</v>
      </c>
      <c r="B7586" s="10" t="s">
        <v>11</v>
      </c>
      <c r="C7586" s="10" t="s">
        <v>50</v>
      </c>
      <c r="D7586" s="17">
        <v>6999.98</v>
      </c>
    </row>
    <row r="7587" spans="1:4" x14ac:dyDescent="0.3">
      <c r="A7587" s="12"/>
      <c r="B7587" s="12"/>
      <c r="C7587" s="14" t="s">
        <v>46</v>
      </c>
      <c r="D7587" s="18">
        <v>469.99</v>
      </c>
    </row>
    <row r="7588" spans="1:4" x14ac:dyDescent="0.3">
      <c r="A7588" s="12"/>
      <c r="B7588" s="12"/>
      <c r="C7588" s="14" t="s">
        <v>283</v>
      </c>
      <c r="D7588" s="18">
        <v>3499.99</v>
      </c>
    </row>
    <row r="7589" spans="1:4" x14ac:dyDescent="0.3">
      <c r="A7589" s="12"/>
      <c r="B7589" s="10" t="s">
        <v>1915</v>
      </c>
      <c r="C7589" s="11"/>
      <c r="D7589" s="17">
        <v>10969.96</v>
      </c>
    </row>
    <row r="7590" spans="1:4" x14ac:dyDescent="0.3">
      <c r="A7590" s="10" t="s">
        <v>1844</v>
      </c>
      <c r="B7590" s="11"/>
      <c r="C7590" s="11"/>
      <c r="D7590" s="17">
        <v>10969.96</v>
      </c>
    </row>
    <row r="7591" spans="1:4" x14ac:dyDescent="0.3">
      <c r="A7591" s="10">
        <v>1549</v>
      </c>
      <c r="B7591" s="10" t="s">
        <v>18</v>
      </c>
      <c r="C7591" s="10" t="s">
        <v>245</v>
      </c>
      <c r="D7591" s="17">
        <v>1399.98</v>
      </c>
    </row>
    <row r="7592" spans="1:4" x14ac:dyDescent="0.3">
      <c r="A7592" s="12"/>
      <c r="B7592" s="12"/>
      <c r="C7592" s="14" t="s">
        <v>167</v>
      </c>
      <c r="D7592" s="18">
        <v>1499.98</v>
      </c>
    </row>
    <row r="7593" spans="1:4" x14ac:dyDescent="0.3">
      <c r="A7593" s="12"/>
      <c r="B7593" s="12"/>
      <c r="C7593" s="14" t="s">
        <v>284</v>
      </c>
      <c r="D7593" s="18">
        <v>959.99</v>
      </c>
    </row>
    <row r="7594" spans="1:4" x14ac:dyDescent="0.3">
      <c r="A7594" s="12"/>
      <c r="B7594" s="12"/>
      <c r="C7594" s="14" t="s">
        <v>288</v>
      </c>
      <c r="D7594" s="18">
        <v>469.99</v>
      </c>
    </row>
    <row r="7595" spans="1:4" x14ac:dyDescent="0.3">
      <c r="A7595" s="12"/>
      <c r="B7595" s="10" t="s">
        <v>1916</v>
      </c>
      <c r="C7595" s="11"/>
      <c r="D7595" s="17">
        <v>4329.9399999999996</v>
      </c>
    </row>
    <row r="7596" spans="1:4" x14ac:dyDescent="0.3">
      <c r="A7596" s="10" t="s">
        <v>1845</v>
      </c>
      <c r="B7596" s="11"/>
      <c r="C7596" s="11"/>
      <c r="D7596" s="17">
        <v>4329.9399999999996</v>
      </c>
    </row>
    <row r="7597" spans="1:4" x14ac:dyDescent="0.3">
      <c r="A7597" s="10">
        <v>1550</v>
      </c>
      <c r="B7597" s="10" t="s">
        <v>18</v>
      </c>
      <c r="C7597" s="10" t="s">
        <v>160</v>
      </c>
      <c r="D7597" s="17">
        <v>1119.98</v>
      </c>
    </row>
    <row r="7598" spans="1:4" x14ac:dyDescent="0.3">
      <c r="A7598" s="12"/>
      <c r="B7598" s="12"/>
      <c r="C7598" s="14" t="s">
        <v>243</v>
      </c>
      <c r="D7598" s="18">
        <v>659.99</v>
      </c>
    </row>
    <row r="7599" spans="1:4" x14ac:dyDescent="0.3">
      <c r="A7599" s="12"/>
      <c r="B7599" s="12"/>
      <c r="C7599" s="14" t="s">
        <v>152</v>
      </c>
      <c r="D7599" s="18">
        <v>5599.98</v>
      </c>
    </row>
    <row r="7600" spans="1:4" x14ac:dyDescent="0.3">
      <c r="A7600" s="12"/>
      <c r="B7600" s="12"/>
      <c r="C7600" s="14" t="s">
        <v>169</v>
      </c>
      <c r="D7600" s="18">
        <v>5499.99</v>
      </c>
    </row>
    <row r="7601" spans="1:4" x14ac:dyDescent="0.3">
      <c r="A7601" s="12"/>
      <c r="B7601" s="12"/>
      <c r="C7601" s="14" t="s">
        <v>115</v>
      </c>
      <c r="D7601" s="18">
        <v>299.98</v>
      </c>
    </row>
    <row r="7602" spans="1:4" x14ac:dyDescent="0.3">
      <c r="A7602" s="12"/>
      <c r="B7602" s="10" t="s">
        <v>1916</v>
      </c>
      <c r="C7602" s="11"/>
      <c r="D7602" s="17">
        <v>13179.919999999998</v>
      </c>
    </row>
    <row r="7603" spans="1:4" x14ac:dyDescent="0.3">
      <c r="A7603" s="10" t="s">
        <v>1846</v>
      </c>
      <c r="B7603" s="11"/>
      <c r="C7603" s="11"/>
      <c r="D7603" s="17">
        <v>13179.919999999998</v>
      </c>
    </row>
    <row r="7604" spans="1:4" x14ac:dyDescent="0.3">
      <c r="A7604" s="10">
        <v>1551</v>
      </c>
      <c r="B7604" s="10" t="s">
        <v>18</v>
      </c>
      <c r="C7604" s="10" t="s">
        <v>151</v>
      </c>
      <c r="D7604" s="17">
        <v>7999.98</v>
      </c>
    </row>
    <row r="7605" spans="1:4" x14ac:dyDescent="0.3">
      <c r="A7605" s="12"/>
      <c r="B7605" s="10" t="s">
        <v>1916</v>
      </c>
      <c r="C7605" s="11"/>
      <c r="D7605" s="17">
        <v>7999.98</v>
      </c>
    </row>
    <row r="7606" spans="1:4" x14ac:dyDescent="0.3">
      <c r="A7606" s="10" t="s">
        <v>1847</v>
      </c>
      <c r="B7606" s="11"/>
      <c r="C7606" s="11"/>
      <c r="D7606" s="17">
        <v>7999.98</v>
      </c>
    </row>
    <row r="7607" spans="1:4" x14ac:dyDescent="0.3">
      <c r="A7607" s="10">
        <v>1552</v>
      </c>
      <c r="B7607" s="10" t="s">
        <v>18</v>
      </c>
      <c r="C7607" s="10" t="s">
        <v>77</v>
      </c>
      <c r="D7607" s="17">
        <v>2939.98</v>
      </c>
    </row>
    <row r="7608" spans="1:4" x14ac:dyDescent="0.3">
      <c r="A7608" s="12"/>
      <c r="B7608" s="12"/>
      <c r="C7608" s="14" t="s">
        <v>247</v>
      </c>
      <c r="D7608" s="18">
        <v>2299.9899999999998</v>
      </c>
    </row>
    <row r="7609" spans="1:4" x14ac:dyDescent="0.3">
      <c r="A7609" s="12"/>
      <c r="B7609" s="10" t="s">
        <v>1916</v>
      </c>
      <c r="C7609" s="11"/>
      <c r="D7609" s="17">
        <v>5239.9699999999993</v>
      </c>
    </row>
    <row r="7610" spans="1:4" x14ac:dyDescent="0.3">
      <c r="A7610" s="10" t="s">
        <v>1848</v>
      </c>
      <c r="B7610" s="11"/>
      <c r="C7610" s="11"/>
      <c r="D7610" s="17">
        <v>5239.9699999999993</v>
      </c>
    </row>
    <row r="7611" spans="1:4" x14ac:dyDescent="0.3">
      <c r="A7611" s="10">
        <v>1553</v>
      </c>
      <c r="B7611" s="10" t="s">
        <v>11</v>
      </c>
      <c r="C7611" s="10" t="s">
        <v>216</v>
      </c>
      <c r="D7611" s="17">
        <v>2999.99</v>
      </c>
    </row>
    <row r="7612" spans="1:4" x14ac:dyDescent="0.3">
      <c r="A7612" s="12"/>
      <c r="B7612" s="12"/>
      <c r="C7612" s="14" t="s">
        <v>25</v>
      </c>
      <c r="D7612" s="18">
        <v>549.99</v>
      </c>
    </row>
    <row r="7613" spans="1:4" x14ac:dyDescent="0.3">
      <c r="A7613" s="12"/>
      <c r="B7613" s="12"/>
      <c r="C7613" s="14" t="s">
        <v>51</v>
      </c>
      <c r="D7613" s="18">
        <v>489.99</v>
      </c>
    </row>
    <row r="7614" spans="1:4" x14ac:dyDescent="0.3">
      <c r="A7614" s="12"/>
      <c r="B7614" s="12"/>
      <c r="C7614" s="14" t="s">
        <v>94</v>
      </c>
      <c r="D7614" s="18">
        <v>209.99</v>
      </c>
    </row>
    <row r="7615" spans="1:4" x14ac:dyDescent="0.3">
      <c r="A7615" s="12"/>
      <c r="B7615" s="10" t="s">
        <v>1915</v>
      </c>
      <c r="C7615" s="11"/>
      <c r="D7615" s="17">
        <v>4249.9599999999991</v>
      </c>
    </row>
    <row r="7616" spans="1:4" x14ac:dyDescent="0.3">
      <c r="A7616" s="10" t="s">
        <v>1849</v>
      </c>
      <c r="B7616" s="11"/>
      <c r="C7616" s="11"/>
      <c r="D7616" s="17">
        <v>4249.9599999999991</v>
      </c>
    </row>
    <row r="7617" spans="1:4" x14ac:dyDescent="0.3">
      <c r="A7617" s="10">
        <v>1554</v>
      </c>
      <c r="B7617" s="10" t="s">
        <v>11</v>
      </c>
      <c r="C7617" s="10" t="s">
        <v>289</v>
      </c>
      <c r="D7617" s="17">
        <v>279.99</v>
      </c>
    </row>
    <row r="7618" spans="1:4" x14ac:dyDescent="0.3">
      <c r="A7618" s="12"/>
      <c r="B7618" s="12"/>
      <c r="C7618" s="14" t="s">
        <v>179</v>
      </c>
      <c r="D7618" s="18">
        <v>749.99</v>
      </c>
    </row>
    <row r="7619" spans="1:4" x14ac:dyDescent="0.3">
      <c r="A7619" s="12"/>
      <c r="B7619" s="10" t="s">
        <v>1915</v>
      </c>
      <c r="C7619" s="11"/>
      <c r="D7619" s="17">
        <v>1029.98</v>
      </c>
    </row>
    <row r="7620" spans="1:4" x14ac:dyDescent="0.3">
      <c r="A7620" s="10" t="s">
        <v>1850</v>
      </c>
      <c r="B7620" s="11"/>
      <c r="C7620" s="11"/>
      <c r="D7620" s="17">
        <v>1029.98</v>
      </c>
    </row>
    <row r="7621" spans="1:4" x14ac:dyDescent="0.3">
      <c r="A7621" s="10">
        <v>1555</v>
      </c>
      <c r="B7621" s="10" t="s">
        <v>18</v>
      </c>
      <c r="C7621" s="10" t="s">
        <v>25</v>
      </c>
      <c r="D7621" s="17">
        <v>1099.98</v>
      </c>
    </row>
    <row r="7622" spans="1:4" x14ac:dyDescent="0.3">
      <c r="A7622" s="12"/>
      <c r="B7622" s="12"/>
      <c r="C7622" s="14" t="s">
        <v>251</v>
      </c>
      <c r="D7622" s="18">
        <v>469.99</v>
      </c>
    </row>
    <row r="7623" spans="1:4" x14ac:dyDescent="0.3">
      <c r="A7623" s="12"/>
      <c r="B7623" s="12"/>
      <c r="C7623" s="14" t="s">
        <v>193</v>
      </c>
      <c r="D7623" s="18">
        <v>3798</v>
      </c>
    </row>
    <row r="7624" spans="1:4" x14ac:dyDescent="0.3">
      <c r="A7624" s="12"/>
      <c r="B7624" s="12"/>
      <c r="C7624" s="14" t="s">
        <v>285</v>
      </c>
      <c r="D7624" s="18">
        <v>6499.99</v>
      </c>
    </row>
    <row r="7625" spans="1:4" x14ac:dyDescent="0.3">
      <c r="A7625" s="12"/>
      <c r="B7625" s="12"/>
      <c r="C7625" s="14" t="s">
        <v>290</v>
      </c>
      <c r="D7625" s="18">
        <v>3199.99</v>
      </c>
    </row>
    <row r="7626" spans="1:4" x14ac:dyDescent="0.3">
      <c r="A7626" s="12"/>
      <c r="B7626" s="10" t="s">
        <v>1916</v>
      </c>
      <c r="C7626" s="11"/>
      <c r="D7626" s="17">
        <v>15067.949999999999</v>
      </c>
    </row>
    <row r="7627" spans="1:4" x14ac:dyDescent="0.3">
      <c r="A7627" s="10" t="s">
        <v>1851</v>
      </c>
      <c r="B7627" s="11"/>
      <c r="C7627" s="11"/>
      <c r="D7627" s="17">
        <v>15067.949999999999</v>
      </c>
    </row>
    <row r="7628" spans="1:4" x14ac:dyDescent="0.3">
      <c r="A7628" s="10">
        <v>1556</v>
      </c>
      <c r="B7628" s="10" t="s">
        <v>18</v>
      </c>
      <c r="C7628" s="10" t="s">
        <v>100</v>
      </c>
      <c r="D7628" s="17">
        <v>659.99</v>
      </c>
    </row>
    <row r="7629" spans="1:4" x14ac:dyDescent="0.3">
      <c r="A7629" s="12"/>
      <c r="B7629" s="12"/>
      <c r="C7629" s="14" t="s">
        <v>120</v>
      </c>
      <c r="D7629" s="18">
        <v>1799.98</v>
      </c>
    </row>
    <row r="7630" spans="1:4" x14ac:dyDescent="0.3">
      <c r="A7630" s="12"/>
      <c r="B7630" s="12"/>
      <c r="C7630" s="14" t="s">
        <v>239</v>
      </c>
      <c r="D7630" s="18">
        <v>289.99</v>
      </c>
    </row>
    <row r="7631" spans="1:4" x14ac:dyDescent="0.3">
      <c r="A7631" s="12"/>
      <c r="B7631" s="12"/>
      <c r="C7631" s="14" t="s">
        <v>70</v>
      </c>
      <c r="D7631" s="18">
        <v>6999.98</v>
      </c>
    </row>
    <row r="7632" spans="1:4" x14ac:dyDescent="0.3">
      <c r="A7632" s="12"/>
      <c r="B7632" s="12"/>
      <c r="C7632" s="14" t="s">
        <v>288</v>
      </c>
      <c r="D7632" s="18">
        <v>939.98</v>
      </c>
    </row>
    <row r="7633" spans="1:4" x14ac:dyDescent="0.3">
      <c r="A7633" s="12"/>
      <c r="B7633" s="10" t="s">
        <v>1916</v>
      </c>
      <c r="C7633" s="11"/>
      <c r="D7633" s="17">
        <v>10689.919999999998</v>
      </c>
    </row>
    <row r="7634" spans="1:4" x14ac:dyDescent="0.3">
      <c r="A7634" s="10" t="s">
        <v>1852</v>
      </c>
      <c r="B7634" s="11"/>
      <c r="C7634" s="11"/>
      <c r="D7634" s="17">
        <v>10689.919999999998</v>
      </c>
    </row>
    <row r="7635" spans="1:4" x14ac:dyDescent="0.3">
      <c r="A7635" s="10">
        <v>1557</v>
      </c>
      <c r="B7635" s="10" t="s">
        <v>11</v>
      </c>
      <c r="C7635" s="10" t="s">
        <v>186</v>
      </c>
      <c r="D7635" s="17">
        <v>2698</v>
      </c>
    </row>
    <row r="7636" spans="1:4" x14ac:dyDescent="0.3">
      <c r="A7636" s="12"/>
      <c r="B7636" s="10" t="s">
        <v>1915</v>
      </c>
      <c r="C7636" s="11"/>
      <c r="D7636" s="17">
        <v>2698</v>
      </c>
    </row>
    <row r="7637" spans="1:4" x14ac:dyDescent="0.3">
      <c r="A7637" s="10" t="s">
        <v>1853</v>
      </c>
      <c r="B7637" s="11"/>
      <c r="C7637" s="11"/>
      <c r="D7637" s="17">
        <v>2698</v>
      </c>
    </row>
    <row r="7638" spans="1:4" x14ac:dyDescent="0.3">
      <c r="A7638" s="10">
        <v>1558</v>
      </c>
      <c r="B7638" s="10" t="s">
        <v>18</v>
      </c>
      <c r="C7638" s="10" t="s">
        <v>138</v>
      </c>
      <c r="D7638" s="17">
        <v>2599.9899999999998</v>
      </c>
    </row>
    <row r="7639" spans="1:4" x14ac:dyDescent="0.3">
      <c r="A7639" s="12"/>
      <c r="B7639" s="12"/>
      <c r="C7639" s="14" t="s">
        <v>118</v>
      </c>
      <c r="D7639" s="18">
        <v>2819.98</v>
      </c>
    </row>
    <row r="7640" spans="1:4" x14ac:dyDescent="0.3">
      <c r="A7640" s="12"/>
      <c r="B7640" s="12"/>
      <c r="C7640" s="14" t="s">
        <v>76</v>
      </c>
      <c r="D7640" s="18">
        <v>2699.99</v>
      </c>
    </row>
    <row r="7641" spans="1:4" x14ac:dyDescent="0.3">
      <c r="A7641" s="12"/>
      <c r="B7641" s="12"/>
      <c r="C7641" s="14" t="s">
        <v>260</v>
      </c>
      <c r="D7641" s="18">
        <v>999.99</v>
      </c>
    </row>
    <row r="7642" spans="1:4" x14ac:dyDescent="0.3">
      <c r="A7642" s="12"/>
      <c r="B7642" s="12"/>
      <c r="C7642" s="14" t="s">
        <v>16</v>
      </c>
      <c r="D7642" s="18">
        <v>2899.99</v>
      </c>
    </row>
    <row r="7643" spans="1:4" x14ac:dyDescent="0.3">
      <c r="A7643" s="12"/>
      <c r="B7643" s="10" t="s">
        <v>1916</v>
      </c>
      <c r="C7643" s="11"/>
      <c r="D7643" s="17">
        <v>12019.939999999999</v>
      </c>
    </row>
    <row r="7644" spans="1:4" x14ac:dyDescent="0.3">
      <c r="A7644" s="10" t="s">
        <v>1854</v>
      </c>
      <c r="B7644" s="11"/>
      <c r="C7644" s="11"/>
      <c r="D7644" s="17">
        <v>12019.939999999999</v>
      </c>
    </row>
    <row r="7645" spans="1:4" x14ac:dyDescent="0.3">
      <c r="A7645" s="10">
        <v>1559</v>
      </c>
      <c r="B7645" s="10" t="s">
        <v>18</v>
      </c>
      <c r="C7645" s="10" t="s">
        <v>253</v>
      </c>
      <c r="D7645" s="17">
        <v>319.99</v>
      </c>
    </row>
    <row r="7646" spans="1:4" x14ac:dyDescent="0.3">
      <c r="A7646" s="12"/>
      <c r="B7646" s="12"/>
      <c r="C7646" s="14" t="s">
        <v>80</v>
      </c>
      <c r="D7646" s="18">
        <v>679.98</v>
      </c>
    </row>
    <row r="7647" spans="1:4" x14ac:dyDescent="0.3">
      <c r="A7647" s="12"/>
      <c r="B7647" s="12"/>
      <c r="C7647" s="14" t="s">
        <v>24</v>
      </c>
      <c r="D7647" s="18">
        <v>449</v>
      </c>
    </row>
    <row r="7648" spans="1:4" x14ac:dyDescent="0.3">
      <c r="A7648" s="12"/>
      <c r="B7648" s="12"/>
      <c r="C7648" s="14" t="s">
        <v>69</v>
      </c>
      <c r="D7648" s="18">
        <v>6399.98</v>
      </c>
    </row>
    <row r="7649" spans="1:4" x14ac:dyDescent="0.3">
      <c r="A7649" s="12"/>
      <c r="B7649" s="10" t="s">
        <v>1916</v>
      </c>
      <c r="C7649" s="11"/>
      <c r="D7649" s="17">
        <v>7848.95</v>
      </c>
    </row>
    <row r="7650" spans="1:4" x14ac:dyDescent="0.3">
      <c r="A7650" s="10" t="s">
        <v>1855</v>
      </c>
      <c r="B7650" s="11"/>
      <c r="C7650" s="11"/>
      <c r="D7650" s="17">
        <v>7848.95</v>
      </c>
    </row>
    <row r="7651" spans="1:4" x14ac:dyDescent="0.3">
      <c r="A7651" s="10">
        <v>1560</v>
      </c>
      <c r="B7651" s="10" t="s">
        <v>18</v>
      </c>
      <c r="C7651" s="10" t="s">
        <v>77</v>
      </c>
      <c r="D7651" s="17">
        <v>1469.99</v>
      </c>
    </row>
    <row r="7652" spans="1:4" x14ac:dyDescent="0.3">
      <c r="A7652" s="12"/>
      <c r="B7652" s="12"/>
      <c r="C7652" s="14" t="s">
        <v>207</v>
      </c>
      <c r="D7652" s="18">
        <v>1999.98</v>
      </c>
    </row>
    <row r="7653" spans="1:4" x14ac:dyDescent="0.3">
      <c r="A7653" s="12"/>
      <c r="B7653" s="10" t="s">
        <v>1916</v>
      </c>
      <c r="C7653" s="11"/>
      <c r="D7653" s="17">
        <v>3469.9700000000003</v>
      </c>
    </row>
    <row r="7654" spans="1:4" x14ac:dyDescent="0.3">
      <c r="A7654" s="10" t="s">
        <v>1856</v>
      </c>
      <c r="B7654" s="11"/>
      <c r="C7654" s="11"/>
      <c r="D7654" s="17">
        <v>3469.9700000000003</v>
      </c>
    </row>
    <row r="7655" spans="1:4" x14ac:dyDescent="0.3">
      <c r="A7655" s="10">
        <v>1561</v>
      </c>
      <c r="B7655" s="10" t="s">
        <v>18</v>
      </c>
      <c r="C7655" s="10" t="s">
        <v>175</v>
      </c>
      <c r="D7655" s="17">
        <v>559.98</v>
      </c>
    </row>
    <row r="7656" spans="1:4" x14ac:dyDescent="0.3">
      <c r="A7656" s="12"/>
      <c r="B7656" s="12"/>
      <c r="C7656" s="14" t="s">
        <v>203</v>
      </c>
      <c r="D7656" s="18">
        <v>4399.9799999999996</v>
      </c>
    </row>
    <row r="7657" spans="1:4" x14ac:dyDescent="0.3">
      <c r="A7657" s="12"/>
      <c r="B7657" s="10" t="s">
        <v>1916</v>
      </c>
      <c r="C7657" s="11"/>
      <c r="D7657" s="17">
        <v>4959.9599999999991</v>
      </c>
    </row>
    <row r="7658" spans="1:4" x14ac:dyDescent="0.3">
      <c r="A7658" s="10" t="s">
        <v>1857</v>
      </c>
      <c r="B7658" s="11"/>
      <c r="C7658" s="11"/>
      <c r="D7658" s="17">
        <v>4959.9599999999991</v>
      </c>
    </row>
    <row r="7659" spans="1:4" x14ac:dyDescent="0.3">
      <c r="A7659" s="10">
        <v>1562</v>
      </c>
      <c r="B7659" s="10" t="s">
        <v>18</v>
      </c>
      <c r="C7659" s="10" t="s">
        <v>92</v>
      </c>
      <c r="D7659" s="17">
        <v>250.99</v>
      </c>
    </row>
    <row r="7660" spans="1:4" x14ac:dyDescent="0.3">
      <c r="A7660" s="12"/>
      <c r="B7660" s="12"/>
      <c r="C7660" s="14" t="s">
        <v>69</v>
      </c>
      <c r="D7660" s="18">
        <v>3199.99</v>
      </c>
    </row>
    <row r="7661" spans="1:4" x14ac:dyDescent="0.3">
      <c r="A7661" s="12"/>
      <c r="B7661" s="12"/>
      <c r="C7661" s="14" t="s">
        <v>192</v>
      </c>
      <c r="D7661" s="18">
        <v>6399.98</v>
      </c>
    </row>
    <row r="7662" spans="1:4" x14ac:dyDescent="0.3">
      <c r="A7662" s="12"/>
      <c r="B7662" s="10" t="s">
        <v>1916</v>
      </c>
      <c r="C7662" s="11"/>
      <c r="D7662" s="17">
        <v>9850.9599999999991</v>
      </c>
    </row>
    <row r="7663" spans="1:4" x14ac:dyDescent="0.3">
      <c r="A7663" s="10" t="s">
        <v>1858</v>
      </c>
      <c r="B7663" s="11"/>
      <c r="C7663" s="11"/>
      <c r="D7663" s="17">
        <v>9850.9599999999991</v>
      </c>
    </row>
    <row r="7664" spans="1:4" x14ac:dyDescent="0.3">
      <c r="A7664" s="10">
        <v>1563</v>
      </c>
      <c r="B7664" s="10" t="s">
        <v>37</v>
      </c>
      <c r="C7664" s="10" t="s">
        <v>205</v>
      </c>
      <c r="D7664" s="17">
        <v>3499.99</v>
      </c>
    </row>
    <row r="7665" spans="1:4" x14ac:dyDescent="0.3">
      <c r="A7665" s="12"/>
      <c r="B7665" s="10" t="s">
        <v>1917</v>
      </c>
      <c r="C7665" s="11"/>
      <c r="D7665" s="17">
        <v>3499.99</v>
      </c>
    </row>
    <row r="7666" spans="1:4" x14ac:dyDescent="0.3">
      <c r="A7666" s="10" t="s">
        <v>1859</v>
      </c>
      <c r="B7666" s="11"/>
      <c r="C7666" s="11"/>
      <c r="D7666" s="17">
        <v>3499.99</v>
      </c>
    </row>
    <row r="7667" spans="1:4" x14ac:dyDescent="0.3">
      <c r="A7667" s="10">
        <v>1564</v>
      </c>
      <c r="B7667" s="10" t="s">
        <v>11</v>
      </c>
      <c r="C7667" s="10" t="s">
        <v>28</v>
      </c>
      <c r="D7667" s="17">
        <v>269.99</v>
      </c>
    </row>
    <row r="7668" spans="1:4" x14ac:dyDescent="0.3">
      <c r="A7668" s="12"/>
      <c r="B7668" s="12"/>
      <c r="C7668" s="14" t="s">
        <v>274</v>
      </c>
      <c r="D7668" s="18">
        <v>899.99</v>
      </c>
    </row>
    <row r="7669" spans="1:4" x14ac:dyDescent="0.3">
      <c r="A7669" s="12"/>
      <c r="B7669" s="10" t="s">
        <v>1915</v>
      </c>
      <c r="C7669" s="11"/>
      <c r="D7669" s="17">
        <v>1169.98</v>
      </c>
    </row>
    <row r="7670" spans="1:4" x14ac:dyDescent="0.3">
      <c r="A7670" s="10" t="s">
        <v>1860</v>
      </c>
      <c r="B7670" s="11"/>
      <c r="C7670" s="11"/>
      <c r="D7670" s="17">
        <v>1169.98</v>
      </c>
    </row>
    <row r="7671" spans="1:4" x14ac:dyDescent="0.3">
      <c r="A7671" s="10">
        <v>1565</v>
      </c>
      <c r="B7671" s="10" t="s">
        <v>11</v>
      </c>
      <c r="C7671" s="10" t="s">
        <v>48</v>
      </c>
      <c r="D7671" s="17">
        <v>299.99</v>
      </c>
    </row>
    <row r="7672" spans="1:4" x14ac:dyDescent="0.3">
      <c r="A7672" s="12"/>
      <c r="B7672" s="12"/>
      <c r="C7672" s="14" t="s">
        <v>237</v>
      </c>
      <c r="D7672" s="18">
        <v>899.99</v>
      </c>
    </row>
    <row r="7673" spans="1:4" x14ac:dyDescent="0.3">
      <c r="A7673" s="12"/>
      <c r="B7673" s="12"/>
      <c r="C7673" s="14" t="s">
        <v>146</v>
      </c>
      <c r="D7673" s="18">
        <v>1359.98</v>
      </c>
    </row>
    <row r="7674" spans="1:4" x14ac:dyDescent="0.3">
      <c r="A7674" s="12"/>
      <c r="B7674" s="12"/>
      <c r="C7674" s="14" t="s">
        <v>98</v>
      </c>
      <c r="D7674" s="18">
        <v>379.99</v>
      </c>
    </row>
    <row r="7675" spans="1:4" x14ac:dyDescent="0.3">
      <c r="A7675" s="12"/>
      <c r="B7675" s="12"/>
      <c r="C7675" s="14" t="s">
        <v>111</v>
      </c>
      <c r="D7675" s="18">
        <v>209.99</v>
      </c>
    </row>
    <row r="7676" spans="1:4" x14ac:dyDescent="0.3">
      <c r="A7676" s="12"/>
      <c r="B7676" s="10" t="s">
        <v>1915</v>
      </c>
      <c r="C7676" s="11"/>
      <c r="D7676" s="17">
        <v>3149.9399999999996</v>
      </c>
    </row>
    <row r="7677" spans="1:4" x14ac:dyDescent="0.3">
      <c r="A7677" s="10" t="s">
        <v>1861</v>
      </c>
      <c r="B7677" s="11"/>
      <c r="C7677" s="11"/>
      <c r="D7677" s="17">
        <v>3149.9399999999996</v>
      </c>
    </row>
    <row r="7678" spans="1:4" x14ac:dyDescent="0.3">
      <c r="A7678" s="10">
        <v>1566</v>
      </c>
      <c r="B7678" s="10" t="s">
        <v>11</v>
      </c>
      <c r="C7678" s="10" t="s">
        <v>143</v>
      </c>
      <c r="D7678" s="17">
        <v>919.99</v>
      </c>
    </row>
    <row r="7679" spans="1:4" x14ac:dyDescent="0.3">
      <c r="A7679" s="12"/>
      <c r="B7679" s="12"/>
      <c r="C7679" s="14" t="s">
        <v>45</v>
      </c>
      <c r="D7679" s="18">
        <v>9999.98</v>
      </c>
    </row>
    <row r="7680" spans="1:4" x14ac:dyDescent="0.3">
      <c r="A7680" s="12"/>
      <c r="B7680" s="10" t="s">
        <v>1915</v>
      </c>
      <c r="C7680" s="11"/>
      <c r="D7680" s="17">
        <v>10919.97</v>
      </c>
    </row>
    <row r="7681" spans="1:4" x14ac:dyDescent="0.3">
      <c r="A7681" s="10" t="s">
        <v>1862</v>
      </c>
      <c r="B7681" s="11"/>
      <c r="C7681" s="11"/>
      <c r="D7681" s="17">
        <v>10919.97</v>
      </c>
    </row>
    <row r="7682" spans="1:4" x14ac:dyDescent="0.3">
      <c r="A7682" s="10">
        <v>1567</v>
      </c>
      <c r="B7682" s="10" t="s">
        <v>11</v>
      </c>
      <c r="C7682" s="10" t="s">
        <v>291</v>
      </c>
      <c r="D7682" s="17">
        <v>319.99</v>
      </c>
    </row>
    <row r="7683" spans="1:4" x14ac:dyDescent="0.3">
      <c r="A7683" s="12"/>
      <c r="B7683" s="10" t="s">
        <v>1915</v>
      </c>
      <c r="C7683" s="11"/>
      <c r="D7683" s="17">
        <v>319.99</v>
      </c>
    </row>
    <row r="7684" spans="1:4" x14ac:dyDescent="0.3">
      <c r="A7684" s="10" t="s">
        <v>1863</v>
      </c>
      <c r="B7684" s="11"/>
      <c r="C7684" s="11"/>
      <c r="D7684" s="17">
        <v>319.99</v>
      </c>
    </row>
    <row r="7685" spans="1:4" x14ac:dyDescent="0.3">
      <c r="A7685" s="10">
        <v>1568</v>
      </c>
      <c r="B7685" s="10" t="s">
        <v>11</v>
      </c>
      <c r="C7685" s="10" t="s">
        <v>237</v>
      </c>
      <c r="D7685" s="17">
        <v>899.99</v>
      </c>
    </row>
    <row r="7686" spans="1:4" x14ac:dyDescent="0.3">
      <c r="A7686" s="12"/>
      <c r="B7686" s="12"/>
      <c r="C7686" s="14" t="s">
        <v>96</v>
      </c>
      <c r="D7686" s="18">
        <v>533.99</v>
      </c>
    </row>
    <row r="7687" spans="1:4" x14ac:dyDescent="0.3">
      <c r="A7687" s="12"/>
      <c r="B7687" s="12"/>
      <c r="C7687" s="14" t="s">
        <v>292</v>
      </c>
      <c r="D7687" s="18">
        <v>4999.99</v>
      </c>
    </row>
    <row r="7688" spans="1:4" x14ac:dyDescent="0.3">
      <c r="A7688" s="12"/>
      <c r="B7688" s="10" t="s">
        <v>1915</v>
      </c>
      <c r="C7688" s="11"/>
      <c r="D7688" s="17">
        <v>6433.9699999999993</v>
      </c>
    </row>
    <row r="7689" spans="1:4" x14ac:dyDescent="0.3">
      <c r="A7689" s="10" t="s">
        <v>1864</v>
      </c>
      <c r="B7689" s="11"/>
      <c r="C7689" s="11"/>
      <c r="D7689" s="17">
        <v>6433.9699999999993</v>
      </c>
    </row>
    <row r="7690" spans="1:4" x14ac:dyDescent="0.3">
      <c r="A7690" s="10">
        <v>1569</v>
      </c>
      <c r="B7690" s="10" t="s">
        <v>18</v>
      </c>
      <c r="C7690" s="10" t="s">
        <v>182</v>
      </c>
      <c r="D7690" s="17">
        <v>2999.99</v>
      </c>
    </row>
    <row r="7691" spans="1:4" x14ac:dyDescent="0.3">
      <c r="A7691" s="12"/>
      <c r="B7691" s="10" t="s">
        <v>1916</v>
      </c>
      <c r="C7691" s="11"/>
      <c r="D7691" s="17">
        <v>2999.99</v>
      </c>
    </row>
    <row r="7692" spans="1:4" x14ac:dyDescent="0.3">
      <c r="A7692" s="10" t="s">
        <v>1865</v>
      </c>
      <c r="B7692" s="11"/>
      <c r="C7692" s="11"/>
      <c r="D7692" s="17">
        <v>2999.99</v>
      </c>
    </row>
    <row r="7693" spans="1:4" x14ac:dyDescent="0.3">
      <c r="A7693" s="10">
        <v>1570</v>
      </c>
      <c r="B7693" s="10" t="s">
        <v>18</v>
      </c>
      <c r="C7693" s="10" t="s">
        <v>188</v>
      </c>
      <c r="D7693" s="17">
        <v>11999.99</v>
      </c>
    </row>
    <row r="7694" spans="1:4" x14ac:dyDescent="0.3">
      <c r="A7694" s="12"/>
      <c r="B7694" s="10" t="s">
        <v>1916</v>
      </c>
      <c r="C7694" s="11"/>
      <c r="D7694" s="17">
        <v>11999.99</v>
      </c>
    </row>
    <row r="7695" spans="1:4" x14ac:dyDescent="0.3">
      <c r="A7695" s="10" t="s">
        <v>1866</v>
      </c>
      <c r="B7695" s="11"/>
      <c r="C7695" s="11"/>
      <c r="D7695" s="17">
        <v>11999.99</v>
      </c>
    </row>
    <row r="7696" spans="1:4" x14ac:dyDescent="0.3">
      <c r="A7696" s="10">
        <v>1571</v>
      </c>
      <c r="B7696" s="10" t="s">
        <v>18</v>
      </c>
      <c r="C7696" s="10" t="s">
        <v>245</v>
      </c>
      <c r="D7696" s="17">
        <v>1399.98</v>
      </c>
    </row>
    <row r="7697" spans="1:4" x14ac:dyDescent="0.3">
      <c r="A7697" s="12"/>
      <c r="B7697" s="12"/>
      <c r="C7697" s="14" t="s">
        <v>262</v>
      </c>
      <c r="D7697" s="18">
        <v>559.99</v>
      </c>
    </row>
    <row r="7698" spans="1:4" x14ac:dyDescent="0.3">
      <c r="A7698" s="12"/>
      <c r="B7698" s="12"/>
      <c r="C7698" s="14" t="s">
        <v>10</v>
      </c>
      <c r="D7698" s="18">
        <v>1199.98</v>
      </c>
    </row>
    <row r="7699" spans="1:4" x14ac:dyDescent="0.3">
      <c r="A7699" s="12"/>
      <c r="B7699" s="10" t="s">
        <v>1916</v>
      </c>
      <c r="C7699" s="11"/>
      <c r="D7699" s="17">
        <v>3159.95</v>
      </c>
    </row>
    <row r="7700" spans="1:4" x14ac:dyDescent="0.3">
      <c r="A7700" s="10" t="s">
        <v>1867</v>
      </c>
      <c r="B7700" s="11"/>
      <c r="C7700" s="11"/>
      <c r="D7700" s="17">
        <v>3159.95</v>
      </c>
    </row>
    <row r="7701" spans="1:4" x14ac:dyDescent="0.3">
      <c r="A7701" s="10">
        <v>1572</v>
      </c>
      <c r="B7701" s="10" t="s">
        <v>37</v>
      </c>
      <c r="C7701" s="10" t="s">
        <v>250</v>
      </c>
      <c r="D7701" s="17">
        <v>1799.98</v>
      </c>
    </row>
    <row r="7702" spans="1:4" x14ac:dyDescent="0.3">
      <c r="A7702" s="12"/>
      <c r="B7702" s="12"/>
      <c r="C7702" s="14" t="s">
        <v>216</v>
      </c>
      <c r="D7702" s="18">
        <v>2999.99</v>
      </c>
    </row>
    <row r="7703" spans="1:4" x14ac:dyDescent="0.3">
      <c r="A7703" s="12"/>
      <c r="B7703" s="12"/>
      <c r="C7703" s="14" t="s">
        <v>146</v>
      </c>
      <c r="D7703" s="18">
        <v>1359.98</v>
      </c>
    </row>
    <row r="7704" spans="1:4" x14ac:dyDescent="0.3">
      <c r="A7704" s="12"/>
      <c r="B7704" s="12"/>
      <c r="C7704" s="14" t="s">
        <v>192</v>
      </c>
      <c r="D7704" s="18">
        <v>3199.99</v>
      </c>
    </row>
    <row r="7705" spans="1:4" x14ac:dyDescent="0.3">
      <c r="A7705" s="12"/>
      <c r="B7705" s="10" t="s">
        <v>1917</v>
      </c>
      <c r="C7705" s="11"/>
      <c r="D7705" s="17">
        <v>9359.9399999999987</v>
      </c>
    </row>
    <row r="7706" spans="1:4" x14ac:dyDescent="0.3">
      <c r="A7706" s="10" t="s">
        <v>1868</v>
      </c>
      <c r="B7706" s="11"/>
      <c r="C7706" s="11"/>
      <c r="D7706" s="17">
        <v>9359.9399999999987</v>
      </c>
    </row>
    <row r="7707" spans="1:4" x14ac:dyDescent="0.3">
      <c r="A7707" s="10">
        <v>1573</v>
      </c>
      <c r="B7707" s="10" t="s">
        <v>11</v>
      </c>
      <c r="C7707" s="10" t="s">
        <v>27</v>
      </c>
      <c r="D7707" s="17">
        <v>1059.98</v>
      </c>
    </row>
    <row r="7708" spans="1:4" x14ac:dyDescent="0.3">
      <c r="A7708" s="12"/>
      <c r="B7708" s="12"/>
      <c r="C7708" s="14" t="s">
        <v>250</v>
      </c>
      <c r="D7708" s="18">
        <v>1799.98</v>
      </c>
    </row>
    <row r="7709" spans="1:4" x14ac:dyDescent="0.3">
      <c r="A7709" s="12"/>
      <c r="B7709" s="12"/>
      <c r="C7709" s="14" t="s">
        <v>168</v>
      </c>
      <c r="D7709" s="18">
        <v>179.98</v>
      </c>
    </row>
    <row r="7710" spans="1:4" x14ac:dyDescent="0.3">
      <c r="A7710" s="12"/>
      <c r="B7710" s="12"/>
      <c r="C7710" s="14" t="s">
        <v>26</v>
      </c>
      <c r="D7710" s="18">
        <v>2999.99</v>
      </c>
    </row>
    <row r="7711" spans="1:4" x14ac:dyDescent="0.3">
      <c r="A7711" s="12"/>
      <c r="B7711" s="12"/>
      <c r="C7711" s="14" t="s">
        <v>129</v>
      </c>
      <c r="D7711" s="18">
        <v>919.99</v>
      </c>
    </row>
    <row r="7712" spans="1:4" x14ac:dyDescent="0.3">
      <c r="A7712" s="12"/>
      <c r="B7712" s="10" t="s">
        <v>1915</v>
      </c>
      <c r="C7712" s="11"/>
      <c r="D7712" s="17">
        <v>6959.92</v>
      </c>
    </row>
    <row r="7713" spans="1:4" x14ac:dyDescent="0.3">
      <c r="A7713" s="10" t="s">
        <v>1869</v>
      </c>
      <c r="B7713" s="11"/>
      <c r="C7713" s="11"/>
      <c r="D7713" s="17">
        <v>6959.92</v>
      </c>
    </row>
    <row r="7714" spans="1:4" x14ac:dyDescent="0.3">
      <c r="A7714" s="10">
        <v>1574</v>
      </c>
      <c r="B7714" s="10" t="s">
        <v>11</v>
      </c>
      <c r="C7714" s="10" t="s">
        <v>224</v>
      </c>
      <c r="D7714" s="17">
        <v>469.99</v>
      </c>
    </row>
    <row r="7715" spans="1:4" x14ac:dyDescent="0.3">
      <c r="A7715" s="12"/>
      <c r="B7715" s="10" t="s">
        <v>1915</v>
      </c>
      <c r="C7715" s="11"/>
      <c r="D7715" s="17">
        <v>469.99</v>
      </c>
    </row>
    <row r="7716" spans="1:4" x14ac:dyDescent="0.3">
      <c r="A7716" s="10" t="s">
        <v>1870</v>
      </c>
      <c r="B7716" s="11"/>
      <c r="C7716" s="11"/>
      <c r="D7716" s="17">
        <v>469.99</v>
      </c>
    </row>
    <row r="7717" spans="1:4" x14ac:dyDescent="0.3">
      <c r="A7717" s="10">
        <v>1575</v>
      </c>
      <c r="B7717" s="10" t="s">
        <v>11</v>
      </c>
      <c r="C7717" s="10" t="s">
        <v>200</v>
      </c>
      <c r="D7717" s="17">
        <v>269.99</v>
      </c>
    </row>
    <row r="7718" spans="1:4" x14ac:dyDescent="0.3">
      <c r="A7718" s="12"/>
      <c r="B7718" s="12"/>
      <c r="C7718" s="14" t="s">
        <v>111</v>
      </c>
      <c r="D7718" s="18">
        <v>419.98</v>
      </c>
    </row>
    <row r="7719" spans="1:4" x14ac:dyDescent="0.3">
      <c r="A7719" s="12"/>
      <c r="B7719" s="12"/>
      <c r="C7719" s="14" t="s">
        <v>108</v>
      </c>
      <c r="D7719" s="18">
        <v>539.99</v>
      </c>
    </row>
    <row r="7720" spans="1:4" x14ac:dyDescent="0.3">
      <c r="A7720" s="12"/>
      <c r="B7720" s="12"/>
      <c r="C7720" s="14" t="s">
        <v>251</v>
      </c>
      <c r="D7720" s="18">
        <v>939.98</v>
      </c>
    </row>
    <row r="7721" spans="1:4" x14ac:dyDescent="0.3">
      <c r="A7721" s="12"/>
      <c r="B7721" s="12"/>
      <c r="C7721" s="14" t="s">
        <v>151</v>
      </c>
      <c r="D7721" s="18">
        <v>7999.98</v>
      </c>
    </row>
    <row r="7722" spans="1:4" x14ac:dyDescent="0.3">
      <c r="A7722" s="12"/>
      <c r="B7722" s="10" t="s">
        <v>1915</v>
      </c>
      <c r="C7722" s="11"/>
      <c r="D7722" s="17">
        <v>10169.92</v>
      </c>
    </row>
    <row r="7723" spans="1:4" x14ac:dyDescent="0.3">
      <c r="A7723" s="10" t="s">
        <v>1871</v>
      </c>
      <c r="B7723" s="11"/>
      <c r="C7723" s="11"/>
      <c r="D7723" s="17">
        <v>10169.92</v>
      </c>
    </row>
    <row r="7724" spans="1:4" x14ac:dyDescent="0.3">
      <c r="A7724" s="10">
        <v>1576</v>
      </c>
      <c r="B7724" s="10" t="s">
        <v>18</v>
      </c>
      <c r="C7724" s="10" t="s">
        <v>279</v>
      </c>
      <c r="D7724" s="17">
        <v>319.99</v>
      </c>
    </row>
    <row r="7725" spans="1:4" x14ac:dyDescent="0.3">
      <c r="A7725" s="12"/>
      <c r="B7725" s="12"/>
      <c r="C7725" s="14" t="s">
        <v>89</v>
      </c>
      <c r="D7725" s="18">
        <v>416.99</v>
      </c>
    </row>
    <row r="7726" spans="1:4" x14ac:dyDescent="0.3">
      <c r="A7726" s="12"/>
      <c r="B7726" s="12"/>
      <c r="C7726" s="14" t="s">
        <v>283</v>
      </c>
      <c r="D7726" s="18">
        <v>6999.98</v>
      </c>
    </row>
    <row r="7727" spans="1:4" x14ac:dyDescent="0.3">
      <c r="A7727" s="12"/>
      <c r="B7727" s="10" t="s">
        <v>1916</v>
      </c>
      <c r="C7727" s="11"/>
      <c r="D7727" s="17">
        <v>7736.9599999999991</v>
      </c>
    </row>
    <row r="7728" spans="1:4" x14ac:dyDescent="0.3">
      <c r="A7728" s="10" t="s">
        <v>1872</v>
      </c>
      <c r="B7728" s="11"/>
      <c r="C7728" s="11"/>
      <c r="D7728" s="17">
        <v>7736.9599999999991</v>
      </c>
    </row>
    <row r="7729" spans="1:4" x14ac:dyDescent="0.3">
      <c r="A7729" s="10">
        <v>1577</v>
      </c>
      <c r="B7729" s="10" t="s">
        <v>18</v>
      </c>
      <c r="C7729" s="10" t="s">
        <v>137</v>
      </c>
      <c r="D7729" s="17">
        <v>559.98</v>
      </c>
    </row>
    <row r="7730" spans="1:4" x14ac:dyDescent="0.3">
      <c r="A7730" s="12"/>
      <c r="B7730" s="12"/>
      <c r="C7730" s="14" t="s">
        <v>141</v>
      </c>
      <c r="D7730" s="18">
        <v>1599.98</v>
      </c>
    </row>
    <row r="7731" spans="1:4" x14ac:dyDescent="0.3">
      <c r="A7731" s="12"/>
      <c r="B7731" s="12"/>
      <c r="C7731" s="14" t="s">
        <v>144</v>
      </c>
      <c r="D7731" s="18">
        <v>559.98</v>
      </c>
    </row>
    <row r="7732" spans="1:4" x14ac:dyDescent="0.3">
      <c r="A7732" s="12"/>
      <c r="B7732" s="12"/>
      <c r="C7732" s="14" t="s">
        <v>196</v>
      </c>
      <c r="D7732" s="18">
        <v>5198</v>
      </c>
    </row>
    <row r="7733" spans="1:4" x14ac:dyDescent="0.3">
      <c r="A7733" s="12"/>
      <c r="B7733" s="12"/>
      <c r="C7733" s="14" t="s">
        <v>112</v>
      </c>
      <c r="D7733" s="18">
        <v>941.98</v>
      </c>
    </row>
    <row r="7734" spans="1:4" x14ac:dyDescent="0.3">
      <c r="A7734" s="12"/>
      <c r="B7734" s="10" t="s">
        <v>1916</v>
      </c>
      <c r="C7734" s="11"/>
      <c r="D7734" s="17">
        <v>8859.92</v>
      </c>
    </row>
    <row r="7735" spans="1:4" x14ac:dyDescent="0.3">
      <c r="A7735" s="10" t="s">
        <v>1873</v>
      </c>
      <c r="B7735" s="11"/>
      <c r="C7735" s="11"/>
      <c r="D7735" s="17">
        <v>8859.92</v>
      </c>
    </row>
    <row r="7736" spans="1:4" x14ac:dyDescent="0.3">
      <c r="A7736" s="10">
        <v>1578</v>
      </c>
      <c r="B7736" s="10" t="s">
        <v>18</v>
      </c>
      <c r="C7736" s="10" t="s">
        <v>221</v>
      </c>
      <c r="D7736" s="17">
        <v>899.99</v>
      </c>
    </row>
    <row r="7737" spans="1:4" x14ac:dyDescent="0.3">
      <c r="A7737" s="12"/>
      <c r="B7737" s="12"/>
      <c r="C7737" s="14" t="s">
        <v>128</v>
      </c>
      <c r="D7737" s="18">
        <v>1499.98</v>
      </c>
    </row>
    <row r="7738" spans="1:4" x14ac:dyDescent="0.3">
      <c r="A7738" s="12"/>
      <c r="B7738" s="12"/>
      <c r="C7738" s="14" t="s">
        <v>187</v>
      </c>
      <c r="D7738" s="18">
        <v>7199.98</v>
      </c>
    </row>
    <row r="7739" spans="1:4" x14ac:dyDescent="0.3">
      <c r="A7739" s="12"/>
      <c r="B7739" s="10" t="s">
        <v>1916</v>
      </c>
      <c r="C7739" s="11"/>
      <c r="D7739" s="17">
        <v>9599.9500000000007</v>
      </c>
    </row>
    <row r="7740" spans="1:4" x14ac:dyDescent="0.3">
      <c r="A7740" s="10" t="s">
        <v>1874</v>
      </c>
      <c r="B7740" s="11"/>
      <c r="C7740" s="11"/>
      <c r="D7740" s="17">
        <v>9599.9500000000007</v>
      </c>
    </row>
    <row r="7741" spans="1:4" x14ac:dyDescent="0.3">
      <c r="A7741" s="10">
        <v>1579</v>
      </c>
      <c r="B7741" s="10" t="s">
        <v>11</v>
      </c>
      <c r="C7741" s="10" t="s">
        <v>255</v>
      </c>
      <c r="D7741" s="17">
        <v>279.99</v>
      </c>
    </row>
    <row r="7742" spans="1:4" x14ac:dyDescent="0.3">
      <c r="A7742" s="12"/>
      <c r="B7742" s="12"/>
      <c r="C7742" s="14" t="s">
        <v>211</v>
      </c>
      <c r="D7742" s="18">
        <v>899.99</v>
      </c>
    </row>
    <row r="7743" spans="1:4" x14ac:dyDescent="0.3">
      <c r="A7743" s="12"/>
      <c r="B7743" s="12"/>
      <c r="C7743" s="14" t="s">
        <v>114</v>
      </c>
      <c r="D7743" s="18">
        <v>693.98</v>
      </c>
    </row>
    <row r="7744" spans="1:4" x14ac:dyDescent="0.3">
      <c r="A7744" s="12"/>
      <c r="B7744" s="12"/>
      <c r="C7744" s="14" t="s">
        <v>70</v>
      </c>
      <c r="D7744" s="18">
        <v>3499.99</v>
      </c>
    </row>
    <row r="7745" spans="1:4" x14ac:dyDescent="0.3">
      <c r="A7745" s="12"/>
      <c r="B7745" s="10" t="s">
        <v>1915</v>
      </c>
      <c r="C7745" s="11"/>
      <c r="D7745" s="17">
        <v>5373.95</v>
      </c>
    </row>
    <row r="7746" spans="1:4" x14ac:dyDescent="0.3">
      <c r="A7746" s="10" t="s">
        <v>1875</v>
      </c>
      <c r="B7746" s="11"/>
      <c r="C7746" s="11"/>
      <c r="D7746" s="17">
        <v>5373.95</v>
      </c>
    </row>
    <row r="7747" spans="1:4" x14ac:dyDescent="0.3">
      <c r="A7747" s="10">
        <v>1580</v>
      </c>
      <c r="B7747" s="10" t="s">
        <v>11</v>
      </c>
      <c r="C7747" s="10" t="s">
        <v>115</v>
      </c>
      <c r="D7747" s="17">
        <v>299.98</v>
      </c>
    </row>
    <row r="7748" spans="1:4" x14ac:dyDescent="0.3">
      <c r="A7748" s="12"/>
      <c r="B7748" s="12"/>
      <c r="C7748" s="14" t="s">
        <v>288</v>
      </c>
      <c r="D7748" s="18">
        <v>939.98</v>
      </c>
    </row>
    <row r="7749" spans="1:4" x14ac:dyDescent="0.3">
      <c r="A7749" s="12"/>
      <c r="B7749" s="10" t="s">
        <v>1915</v>
      </c>
      <c r="C7749" s="11"/>
      <c r="D7749" s="17">
        <v>1239.96</v>
      </c>
    </row>
    <row r="7750" spans="1:4" x14ac:dyDescent="0.3">
      <c r="A7750" s="10" t="s">
        <v>1876</v>
      </c>
      <c r="B7750" s="11"/>
      <c r="C7750" s="11"/>
      <c r="D7750" s="17">
        <v>1239.96</v>
      </c>
    </row>
    <row r="7751" spans="1:4" x14ac:dyDescent="0.3">
      <c r="A7751" s="10">
        <v>1581</v>
      </c>
      <c r="B7751" s="10" t="s">
        <v>11</v>
      </c>
      <c r="C7751" s="10" t="s">
        <v>51</v>
      </c>
      <c r="D7751" s="17">
        <v>489.99</v>
      </c>
    </row>
    <row r="7752" spans="1:4" x14ac:dyDescent="0.3">
      <c r="A7752" s="12"/>
      <c r="B7752" s="12"/>
      <c r="C7752" s="14" t="s">
        <v>265</v>
      </c>
      <c r="D7752" s="18">
        <v>289.99</v>
      </c>
    </row>
    <row r="7753" spans="1:4" x14ac:dyDescent="0.3">
      <c r="A7753" s="12"/>
      <c r="B7753" s="10" t="s">
        <v>1915</v>
      </c>
      <c r="C7753" s="11"/>
      <c r="D7753" s="17">
        <v>779.98</v>
      </c>
    </row>
    <row r="7754" spans="1:4" x14ac:dyDescent="0.3">
      <c r="A7754" s="10" t="s">
        <v>1877</v>
      </c>
      <c r="B7754" s="11"/>
      <c r="C7754" s="11"/>
      <c r="D7754" s="17">
        <v>779.98</v>
      </c>
    </row>
    <row r="7755" spans="1:4" x14ac:dyDescent="0.3">
      <c r="A7755" s="10">
        <v>1582</v>
      </c>
      <c r="B7755" s="10" t="s">
        <v>11</v>
      </c>
      <c r="C7755" s="10" t="s">
        <v>95</v>
      </c>
      <c r="D7755" s="17">
        <v>599.99</v>
      </c>
    </row>
    <row r="7756" spans="1:4" x14ac:dyDescent="0.3">
      <c r="A7756" s="12"/>
      <c r="B7756" s="12"/>
      <c r="C7756" s="14" t="s">
        <v>176</v>
      </c>
      <c r="D7756" s="18">
        <v>2999.98</v>
      </c>
    </row>
    <row r="7757" spans="1:4" x14ac:dyDescent="0.3">
      <c r="A7757" s="12"/>
      <c r="B7757" s="10" t="s">
        <v>1915</v>
      </c>
      <c r="C7757" s="11"/>
      <c r="D7757" s="17">
        <v>3599.9700000000003</v>
      </c>
    </row>
    <row r="7758" spans="1:4" x14ac:dyDescent="0.3">
      <c r="A7758" s="10" t="s">
        <v>1878</v>
      </c>
      <c r="B7758" s="11"/>
      <c r="C7758" s="11"/>
      <c r="D7758" s="17">
        <v>3599.9700000000003</v>
      </c>
    </row>
    <row r="7759" spans="1:4" x14ac:dyDescent="0.3">
      <c r="A7759" s="10">
        <v>1583</v>
      </c>
      <c r="B7759" s="10" t="s">
        <v>18</v>
      </c>
      <c r="C7759" s="10" t="s">
        <v>27</v>
      </c>
      <c r="D7759" s="17">
        <v>529.99</v>
      </c>
    </row>
    <row r="7760" spans="1:4" x14ac:dyDescent="0.3">
      <c r="A7760" s="12"/>
      <c r="B7760" s="12"/>
      <c r="C7760" s="14" t="s">
        <v>239</v>
      </c>
      <c r="D7760" s="18">
        <v>579.98</v>
      </c>
    </row>
    <row r="7761" spans="1:4" x14ac:dyDescent="0.3">
      <c r="A7761" s="12"/>
      <c r="B7761" s="10" t="s">
        <v>1916</v>
      </c>
      <c r="C7761" s="11"/>
      <c r="D7761" s="17">
        <v>1109.97</v>
      </c>
    </row>
    <row r="7762" spans="1:4" x14ac:dyDescent="0.3">
      <c r="A7762" s="10" t="s">
        <v>1879</v>
      </c>
      <c r="B7762" s="11"/>
      <c r="C7762" s="11"/>
      <c r="D7762" s="17">
        <v>1109.97</v>
      </c>
    </row>
    <row r="7763" spans="1:4" x14ac:dyDescent="0.3">
      <c r="A7763" s="10">
        <v>1584</v>
      </c>
      <c r="B7763" s="10" t="s">
        <v>11</v>
      </c>
      <c r="C7763" s="10" t="s">
        <v>250</v>
      </c>
      <c r="D7763" s="17">
        <v>1799.98</v>
      </c>
    </row>
    <row r="7764" spans="1:4" x14ac:dyDescent="0.3">
      <c r="A7764" s="12"/>
      <c r="B7764" s="12"/>
      <c r="C7764" s="14" t="s">
        <v>88</v>
      </c>
      <c r="D7764" s="18">
        <v>1739.98</v>
      </c>
    </row>
    <row r="7765" spans="1:4" x14ac:dyDescent="0.3">
      <c r="A7765" s="12"/>
      <c r="B7765" s="12"/>
      <c r="C7765" s="14" t="s">
        <v>170</v>
      </c>
      <c r="D7765" s="18">
        <v>3599.98</v>
      </c>
    </row>
    <row r="7766" spans="1:4" x14ac:dyDescent="0.3">
      <c r="A7766" s="12"/>
      <c r="B7766" s="12"/>
      <c r="C7766" s="14" t="s">
        <v>62</v>
      </c>
      <c r="D7766" s="18">
        <v>5299.99</v>
      </c>
    </row>
    <row r="7767" spans="1:4" x14ac:dyDescent="0.3">
      <c r="A7767" s="12"/>
      <c r="B7767" s="12"/>
      <c r="C7767" s="14" t="s">
        <v>252</v>
      </c>
      <c r="D7767" s="18">
        <v>2799.99</v>
      </c>
    </row>
    <row r="7768" spans="1:4" x14ac:dyDescent="0.3">
      <c r="A7768" s="12"/>
      <c r="B7768" s="10" t="s">
        <v>1915</v>
      </c>
      <c r="C7768" s="11"/>
      <c r="D7768" s="17">
        <v>15239.92</v>
      </c>
    </row>
    <row r="7769" spans="1:4" x14ac:dyDescent="0.3">
      <c r="A7769" s="10" t="s">
        <v>1880</v>
      </c>
      <c r="B7769" s="11"/>
      <c r="C7769" s="11"/>
      <c r="D7769" s="17">
        <v>15239.92</v>
      </c>
    </row>
    <row r="7770" spans="1:4" x14ac:dyDescent="0.3">
      <c r="A7770" s="10">
        <v>1585</v>
      </c>
      <c r="B7770" s="10" t="s">
        <v>11</v>
      </c>
      <c r="C7770" s="10" t="s">
        <v>48</v>
      </c>
      <c r="D7770" s="17">
        <v>299.99</v>
      </c>
    </row>
    <row r="7771" spans="1:4" x14ac:dyDescent="0.3">
      <c r="A7771" s="12"/>
      <c r="B7771" s="12"/>
      <c r="C7771" s="14" t="s">
        <v>273</v>
      </c>
      <c r="D7771" s="18">
        <v>2799.99</v>
      </c>
    </row>
    <row r="7772" spans="1:4" x14ac:dyDescent="0.3">
      <c r="A7772" s="12"/>
      <c r="B7772" s="12"/>
      <c r="C7772" s="14" t="s">
        <v>181</v>
      </c>
      <c r="D7772" s="18">
        <v>449.99</v>
      </c>
    </row>
    <row r="7773" spans="1:4" x14ac:dyDescent="0.3">
      <c r="A7773" s="12"/>
      <c r="B7773" s="12"/>
      <c r="C7773" s="14" t="s">
        <v>39</v>
      </c>
      <c r="D7773" s="18">
        <v>899.98</v>
      </c>
    </row>
    <row r="7774" spans="1:4" x14ac:dyDescent="0.3">
      <c r="A7774" s="12"/>
      <c r="B7774" s="12"/>
      <c r="C7774" s="14" t="s">
        <v>151</v>
      </c>
      <c r="D7774" s="18">
        <v>7999.98</v>
      </c>
    </row>
    <row r="7775" spans="1:4" x14ac:dyDescent="0.3">
      <c r="A7775" s="12"/>
      <c r="B7775" s="10" t="s">
        <v>1915</v>
      </c>
      <c r="C7775" s="11"/>
      <c r="D7775" s="17">
        <v>12449.929999999998</v>
      </c>
    </row>
    <row r="7776" spans="1:4" x14ac:dyDescent="0.3">
      <c r="A7776" s="10" t="s">
        <v>1881</v>
      </c>
      <c r="B7776" s="11"/>
      <c r="C7776" s="11"/>
      <c r="D7776" s="17">
        <v>12449.929999999998</v>
      </c>
    </row>
    <row r="7777" spans="1:4" x14ac:dyDescent="0.3">
      <c r="A7777" s="10">
        <v>1586</v>
      </c>
      <c r="B7777" s="10" t="s">
        <v>11</v>
      </c>
      <c r="C7777" s="10" t="s">
        <v>28</v>
      </c>
      <c r="D7777" s="17">
        <v>539.98</v>
      </c>
    </row>
    <row r="7778" spans="1:4" x14ac:dyDescent="0.3">
      <c r="A7778" s="12"/>
      <c r="B7778" s="12"/>
      <c r="C7778" s="14" t="s">
        <v>219</v>
      </c>
      <c r="D7778" s="18">
        <v>319.99</v>
      </c>
    </row>
    <row r="7779" spans="1:4" x14ac:dyDescent="0.3">
      <c r="A7779" s="12"/>
      <c r="B7779" s="12"/>
      <c r="C7779" s="14" t="s">
        <v>116</v>
      </c>
      <c r="D7779" s="18">
        <v>832.99</v>
      </c>
    </row>
    <row r="7780" spans="1:4" x14ac:dyDescent="0.3">
      <c r="A7780" s="12"/>
      <c r="B7780" s="12"/>
      <c r="C7780" s="14" t="s">
        <v>261</v>
      </c>
      <c r="D7780" s="18">
        <v>3199.99</v>
      </c>
    </row>
    <row r="7781" spans="1:4" x14ac:dyDescent="0.3">
      <c r="A7781" s="12"/>
      <c r="B7781" s="12"/>
      <c r="C7781" s="14" t="s">
        <v>220</v>
      </c>
      <c r="D7781" s="18">
        <v>369.99</v>
      </c>
    </row>
    <row r="7782" spans="1:4" x14ac:dyDescent="0.3">
      <c r="A7782" s="12"/>
      <c r="B7782" s="10" t="s">
        <v>1915</v>
      </c>
      <c r="C7782" s="11"/>
      <c r="D7782" s="17">
        <v>5262.94</v>
      </c>
    </row>
    <row r="7783" spans="1:4" x14ac:dyDescent="0.3">
      <c r="A7783" s="10" t="s">
        <v>1882</v>
      </c>
      <c r="B7783" s="11"/>
      <c r="C7783" s="11"/>
      <c r="D7783" s="17">
        <v>5262.94</v>
      </c>
    </row>
    <row r="7784" spans="1:4" x14ac:dyDescent="0.3">
      <c r="A7784" s="10">
        <v>1587</v>
      </c>
      <c r="B7784" s="10" t="s">
        <v>11</v>
      </c>
      <c r="C7784" s="10" t="s">
        <v>141</v>
      </c>
      <c r="D7784" s="17">
        <v>1599.98</v>
      </c>
    </row>
    <row r="7785" spans="1:4" x14ac:dyDescent="0.3">
      <c r="A7785" s="12"/>
      <c r="B7785" s="12"/>
      <c r="C7785" s="14" t="s">
        <v>57</v>
      </c>
      <c r="D7785" s="18">
        <v>1295.98</v>
      </c>
    </row>
    <row r="7786" spans="1:4" x14ac:dyDescent="0.3">
      <c r="A7786" s="12"/>
      <c r="B7786" s="12"/>
      <c r="C7786" s="14" t="s">
        <v>87</v>
      </c>
      <c r="D7786" s="18">
        <v>481.99</v>
      </c>
    </row>
    <row r="7787" spans="1:4" x14ac:dyDescent="0.3">
      <c r="A7787" s="12"/>
      <c r="B7787" s="12"/>
      <c r="C7787" s="14" t="s">
        <v>75</v>
      </c>
      <c r="D7787" s="18">
        <v>6999.98</v>
      </c>
    </row>
    <row r="7788" spans="1:4" x14ac:dyDescent="0.3">
      <c r="A7788" s="12"/>
      <c r="B7788" s="10" t="s">
        <v>1915</v>
      </c>
      <c r="C7788" s="11"/>
      <c r="D7788" s="17">
        <v>10377.93</v>
      </c>
    </row>
    <row r="7789" spans="1:4" x14ac:dyDescent="0.3">
      <c r="A7789" s="10" t="s">
        <v>1883</v>
      </c>
      <c r="B7789" s="11"/>
      <c r="C7789" s="11"/>
      <c r="D7789" s="17">
        <v>10377.93</v>
      </c>
    </row>
    <row r="7790" spans="1:4" x14ac:dyDescent="0.3">
      <c r="A7790" s="10">
        <v>1588</v>
      </c>
      <c r="B7790" s="10" t="s">
        <v>18</v>
      </c>
      <c r="C7790" s="10" t="s">
        <v>110</v>
      </c>
      <c r="D7790" s="17">
        <v>419.98</v>
      </c>
    </row>
    <row r="7791" spans="1:4" x14ac:dyDescent="0.3">
      <c r="A7791" s="12"/>
      <c r="B7791" s="10" t="s">
        <v>1916</v>
      </c>
      <c r="C7791" s="11"/>
      <c r="D7791" s="17">
        <v>419.98</v>
      </c>
    </row>
    <row r="7792" spans="1:4" x14ac:dyDescent="0.3">
      <c r="A7792" s="10" t="s">
        <v>1884</v>
      </c>
      <c r="B7792" s="11"/>
      <c r="C7792" s="11"/>
      <c r="D7792" s="17">
        <v>419.98</v>
      </c>
    </row>
    <row r="7793" spans="1:4" x14ac:dyDescent="0.3">
      <c r="A7793" s="10">
        <v>1589</v>
      </c>
      <c r="B7793" s="10" t="s">
        <v>11</v>
      </c>
      <c r="C7793" s="10" t="s">
        <v>141</v>
      </c>
      <c r="D7793" s="17">
        <v>799.99</v>
      </c>
    </row>
    <row r="7794" spans="1:4" x14ac:dyDescent="0.3">
      <c r="A7794" s="12"/>
      <c r="B7794" s="12"/>
      <c r="C7794" s="14" t="s">
        <v>264</v>
      </c>
      <c r="D7794" s="18">
        <v>1279.98</v>
      </c>
    </row>
    <row r="7795" spans="1:4" x14ac:dyDescent="0.3">
      <c r="A7795" s="12"/>
      <c r="B7795" s="12"/>
      <c r="C7795" s="14" t="s">
        <v>86</v>
      </c>
      <c r="D7795" s="18">
        <v>4999.9799999999996</v>
      </c>
    </row>
    <row r="7796" spans="1:4" x14ac:dyDescent="0.3">
      <c r="A7796" s="12"/>
      <c r="B7796" s="10" t="s">
        <v>1915</v>
      </c>
      <c r="C7796" s="11"/>
      <c r="D7796" s="17">
        <v>7079.95</v>
      </c>
    </row>
    <row r="7797" spans="1:4" x14ac:dyDescent="0.3">
      <c r="A7797" s="10" t="s">
        <v>1885</v>
      </c>
      <c r="B7797" s="11"/>
      <c r="C7797" s="11"/>
      <c r="D7797" s="17">
        <v>7079.95</v>
      </c>
    </row>
    <row r="7798" spans="1:4" x14ac:dyDescent="0.3">
      <c r="A7798" s="10">
        <v>1590</v>
      </c>
      <c r="B7798" s="10" t="s">
        <v>11</v>
      </c>
      <c r="C7798" s="10" t="s">
        <v>33</v>
      </c>
      <c r="D7798" s="17">
        <v>299.99</v>
      </c>
    </row>
    <row r="7799" spans="1:4" x14ac:dyDescent="0.3">
      <c r="A7799" s="12"/>
      <c r="B7799" s="12"/>
      <c r="C7799" s="14" t="s">
        <v>272</v>
      </c>
      <c r="D7799" s="18">
        <v>599.99</v>
      </c>
    </row>
    <row r="7800" spans="1:4" x14ac:dyDescent="0.3">
      <c r="A7800" s="12"/>
      <c r="B7800" s="12"/>
      <c r="C7800" s="14" t="s">
        <v>155</v>
      </c>
      <c r="D7800" s="18">
        <v>6399.98</v>
      </c>
    </row>
    <row r="7801" spans="1:4" x14ac:dyDescent="0.3">
      <c r="A7801" s="12"/>
      <c r="B7801" s="10" t="s">
        <v>1915</v>
      </c>
      <c r="C7801" s="11"/>
      <c r="D7801" s="17">
        <v>7299.9599999999991</v>
      </c>
    </row>
    <row r="7802" spans="1:4" x14ac:dyDescent="0.3">
      <c r="A7802" s="10" t="s">
        <v>1886</v>
      </c>
      <c r="B7802" s="11"/>
      <c r="C7802" s="11"/>
      <c r="D7802" s="17">
        <v>7299.9599999999991</v>
      </c>
    </row>
    <row r="7803" spans="1:4" x14ac:dyDescent="0.3">
      <c r="A7803" s="10">
        <v>1591</v>
      </c>
      <c r="B7803" s="10" t="s">
        <v>11</v>
      </c>
      <c r="C7803" s="10" t="s">
        <v>55</v>
      </c>
      <c r="D7803" s="17">
        <v>699.98</v>
      </c>
    </row>
    <row r="7804" spans="1:4" x14ac:dyDescent="0.3">
      <c r="A7804" s="12"/>
      <c r="B7804" s="12"/>
      <c r="C7804" s="14" t="s">
        <v>255</v>
      </c>
      <c r="D7804" s="18">
        <v>559.98</v>
      </c>
    </row>
    <row r="7805" spans="1:4" x14ac:dyDescent="0.3">
      <c r="A7805" s="12"/>
      <c r="B7805" s="12"/>
      <c r="C7805" s="14" t="s">
        <v>239</v>
      </c>
      <c r="D7805" s="18">
        <v>289.99</v>
      </c>
    </row>
    <row r="7806" spans="1:4" x14ac:dyDescent="0.3">
      <c r="A7806" s="12"/>
      <c r="B7806" s="12"/>
      <c r="C7806" s="14" t="s">
        <v>251</v>
      </c>
      <c r="D7806" s="18">
        <v>939.98</v>
      </c>
    </row>
    <row r="7807" spans="1:4" x14ac:dyDescent="0.3">
      <c r="A7807" s="12"/>
      <c r="B7807" s="12"/>
      <c r="C7807" s="14" t="s">
        <v>149</v>
      </c>
      <c r="D7807" s="18">
        <v>4499.9799999999996</v>
      </c>
    </row>
    <row r="7808" spans="1:4" x14ac:dyDescent="0.3">
      <c r="A7808" s="12"/>
      <c r="B7808" s="10" t="s">
        <v>1915</v>
      </c>
      <c r="C7808" s="11"/>
      <c r="D7808" s="17">
        <v>6989.91</v>
      </c>
    </row>
    <row r="7809" spans="1:4" x14ac:dyDescent="0.3">
      <c r="A7809" s="10" t="s">
        <v>1887</v>
      </c>
      <c r="B7809" s="11"/>
      <c r="C7809" s="11"/>
      <c r="D7809" s="17">
        <v>6989.91</v>
      </c>
    </row>
    <row r="7810" spans="1:4" x14ac:dyDescent="0.3">
      <c r="A7810" s="10">
        <v>1592</v>
      </c>
      <c r="B7810" s="10" t="s">
        <v>18</v>
      </c>
      <c r="C7810" s="10" t="s">
        <v>164</v>
      </c>
      <c r="D7810" s="17">
        <v>3098</v>
      </c>
    </row>
    <row r="7811" spans="1:4" x14ac:dyDescent="0.3">
      <c r="A7811" s="12"/>
      <c r="B7811" s="12"/>
      <c r="C7811" s="14" t="s">
        <v>26</v>
      </c>
      <c r="D7811" s="18">
        <v>2999.99</v>
      </c>
    </row>
    <row r="7812" spans="1:4" x14ac:dyDescent="0.3">
      <c r="A7812" s="12"/>
      <c r="B7812" s="12"/>
      <c r="C7812" s="14" t="s">
        <v>174</v>
      </c>
      <c r="D7812" s="18">
        <v>2299.9899999999998</v>
      </c>
    </row>
    <row r="7813" spans="1:4" x14ac:dyDescent="0.3">
      <c r="A7813" s="12"/>
      <c r="B7813" s="12"/>
      <c r="C7813" s="14" t="s">
        <v>104</v>
      </c>
      <c r="D7813" s="18">
        <v>9999.98</v>
      </c>
    </row>
    <row r="7814" spans="1:4" x14ac:dyDescent="0.3">
      <c r="A7814" s="12"/>
      <c r="B7814" s="12"/>
      <c r="C7814" s="14" t="s">
        <v>259</v>
      </c>
      <c r="D7814" s="18">
        <v>419.98</v>
      </c>
    </row>
    <row r="7815" spans="1:4" x14ac:dyDescent="0.3">
      <c r="A7815" s="12"/>
      <c r="B7815" s="10" t="s">
        <v>1916</v>
      </c>
      <c r="C7815" s="11"/>
      <c r="D7815" s="17">
        <v>18817.939999999999</v>
      </c>
    </row>
    <row r="7816" spans="1:4" x14ac:dyDescent="0.3">
      <c r="A7816" s="10" t="s">
        <v>1888</v>
      </c>
      <c r="B7816" s="11"/>
      <c r="C7816" s="11"/>
      <c r="D7816" s="17">
        <v>18817.939999999999</v>
      </c>
    </row>
    <row r="7817" spans="1:4" x14ac:dyDescent="0.3">
      <c r="A7817" s="10">
        <v>1593</v>
      </c>
      <c r="B7817" s="10" t="s">
        <v>18</v>
      </c>
      <c r="C7817" s="10" t="s">
        <v>55</v>
      </c>
      <c r="D7817" s="17">
        <v>699.98</v>
      </c>
    </row>
    <row r="7818" spans="1:4" x14ac:dyDescent="0.3">
      <c r="A7818" s="12"/>
      <c r="B7818" s="12"/>
      <c r="C7818" s="14" t="s">
        <v>89</v>
      </c>
      <c r="D7818" s="18">
        <v>416.99</v>
      </c>
    </row>
    <row r="7819" spans="1:4" x14ac:dyDescent="0.3">
      <c r="A7819" s="12"/>
      <c r="B7819" s="12"/>
      <c r="C7819" s="14" t="s">
        <v>124</v>
      </c>
      <c r="D7819" s="18">
        <v>5599.98</v>
      </c>
    </row>
    <row r="7820" spans="1:4" x14ac:dyDescent="0.3">
      <c r="A7820" s="12"/>
      <c r="B7820" s="12"/>
      <c r="C7820" s="14" t="s">
        <v>154</v>
      </c>
      <c r="D7820" s="18">
        <v>12999.98</v>
      </c>
    </row>
    <row r="7821" spans="1:4" x14ac:dyDescent="0.3">
      <c r="A7821" s="12"/>
      <c r="B7821" s="12"/>
      <c r="C7821" s="14" t="s">
        <v>107</v>
      </c>
      <c r="D7821" s="18">
        <v>469.99</v>
      </c>
    </row>
    <row r="7822" spans="1:4" x14ac:dyDescent="0.3">
      <c r="A7822" s="12"/>
      <c r="B7822" s="10" t="s">
        <v>1916</v>
      </c>
      <c r="C7822" s="11"/>
      <c r="D7822" s="17">
        <v>20186.920000000002</v>
      </c>
    </row>
    <row r="7823" spans="1:4" x14ac:dyDescent="0.3">
      <c r="A7823" s="10" t="s">
        <v>1889</v>
      </c>
      <c r="B7823" s="11"/>
      <c r="C7823" s="11"/>
      <c r="D7823" s="17">
        <v>20186.920000000002</v>
      </c>
    </row>
    <row r="7824" spans="1:4" x14ac:dyDescent="0.3">
      <c r="A7824" s="10">
        <v>1594</v>
      </c>
      <c r="B7824" s="10" t="s">
        <v>18</v>
      </c>
      <c r="C7824" s="10" t="s">
        <v>58</v>
      </c>
      <c r="D7824" s="17">
        <v>805.98</v>
      </c>
    </row>
    <row r="7825" spans="1:4" x14ac:dyDescent="0.3">
      <c r="A7825" s="12"/>
      <c r="B7825" s="12"/>
      <c r="C7825" s="14" t="s">
        <v>96</v>
      </c>
      <c r="D7825" s="18">
        <v>533.99</v>
      </c>
    </row>
    <row r="7826" spans="1:4" x14ac:dyDescent="0.3">
      <c r="A7826" s="12"/>
      <c r="B7826" s="10" t="s">
        <v>1916</v>
      </c>
      <c r="C7826" s="11"/>
      <c r="D7826" s="17">
        <v>1339.97</v>
      </c>
    </row>
    <row r="7827" spans="1:4" x14ac:dyDescent="0.3">
      <c r="A7827" s="10" t="s">
        <v>1890</v>
      </c>
      <c r="B7827" s="11"/>
      <c r="C7827" s="11"/>
      <c r="D7827" s="17">
        <v>1339.97</v>
      </c>
    </row>
    <row r="7828" spans="1:4" x14ac:dyDescent="0.3">
      <c r="A7828" s="10">
        <v>1595</v>
      </c>
      <c r="B7828" s="10" t="s">
        <v>18</v>
      </c>
      <c r="C7828" s="10" t="s">
        <v>228</v>
      </c>
      <c r="D7828" s="17">
        <v>379.99</v>
      </c>
    </row>
    <row r="7829" spans="1:4" x14ac:dyDescent="0.3">
      <c r="A7829" s="12"/>
      <c r="B7829" s="10" t="s">
        <v>1916</v>
      </c>
      <c r="C7829" s="11"/>
      <c r="D7829" s="17">
        <v>379.99</v>
      </c>
    </row>
    <row r="7830" spans="1:4" x14ac:dyDescent="0.3">
      <c r="A7830" s="10" t="s">
        <v>1891</v>
      </c>
      <c r="B7830" s="11"/>
      <c r="C7830" s="11"/>
      <c r="D7830" s="17">
        <v>379.99</v>
      </c>
    </row>
    <row r="7831" spans="1:4" x14ac:dyDescent="0.3">
      <c r="A7831" s="10">
        <v>1596</v>
      </c>
      <c r="B7831" s="10" t="s">
        <v>37</v>
      </c>
      <c r="C7831" s="10" t="s">
        <v>24</v>
      </c>
      <c r="D7831" s="17">
        <v>449</v>
      </c>
    </row>
    <row r="7832" spans="1:4" x14ac:dyDescent="0.3">
      <c r="A7832" s="12"/>
      <c r="B7832" s="12"/>
      <c r="C7832" s="14" t="s">
        <v>97</v>
      </c>
      <c r="D7832" s="18">
        <v>349.99</v>
      </c>
    </row>
    <row r="7833" spans="1:4" x14ac:dyDescent="0.3">
      <c r="A7833" s="12"/>
      <c r="B7833" s="10" t="s">
        <v>1917</v>
      </c>
      <c r="C7833" s="11"/>
      <c r="D7833" s="17">
        <v>798.99</v>
      </c>
    </row>
    <row r="7834" spans="1:4" x14ac:dyDescent="0.3">
      <c r="A7834" s="10" t="s">
        <v>1892</v>
      </c>
      <c r="B7834" s="11"/>
      <c r="C7834" s="11"/>
      <c r="D7834" s="17">
        <v>798.99</v>
      </c>
    </row>
    <row r="7835" spans="1:4" x14ac:dyDescent="0.3">
      <c r="A7835" s="10">
        <v>1597</v>
      </c>
      <c r="B7835" s="10" t="s">
        <v>37</v>
      </c>
      <c r="C7835" s="10" t="s">
        <v>74</v>
      </c>
      <c r="D7835" s="17">
        <v>2599.9899999999998</v>
      </c>
    </row>
    <row r="7836" spans="1:4" x14ac:dyDescent="0.3">
      <c r="A7836" s="12"/>
      <c r="B7836" s="12"/>
      <c r="C7836" s="14" t="s">
        <v>293</v>
      </c>
      <c r="D7836" s="18">
        <v>3199.99</v>
      </c>
    </row>
    <row r="7837" spans="1:4" x14ac:dyDescent="0.3">
      <c r="A7837" s="12"/>
      <c r="B7837" s="10" t="s">
        <v>1917</v>
      </c>
      <c r="C7837" s="11"/>
      <c r="D7837" s="17">
        <v>5799.98</v>
      </c>
    </row>
    <row r="7838" spans="1:4" x14ac:dyDescent="0.3">
      <c r="A7838" s="10" t="s">
        <v>1893</v>
      </c>
      <c r="B7838" s="11"/>
      <c r="C7838" s="11"/>
      <c r="D7838" s="17">
        <v>5799.98</v>
      </c>
    </row>
    <row r="7839" spans="1:4" x14ac:dyDescent="0.3">
      <c r="A7839" s="10">
        <v>1598</v>
      </c>
      <c r="B7839" s="10" t="s">
        <v>11</v>
      </c>
      <c r="C7839" s="10" t="s">
        <v>131</v>
      </c>
      <c r="D7839" s="17">
        <v>599.99</v>
      </c>
    </row>
    <row r="7840" spans="1:4" x14ac:dyDescent="0.3">
      <c r="A7840" s="12"/>
      <c r="B7840" s="12"/>
      <c r="C7840" s="14" t="s">
        <v>70</v>
      </c>
      <c r="D7840" s="18">
        <v>6999.98</v>
      </c>
    </row>
    <row r="7841" spans="1:4" x14ac:dyDescent="0.3">
      <c r="A7841" s="12"/>
      <c r="B7841" s="12"/>
      <c r="C7841" s="14" t="s">
        <v>64</v>
      </c>
      <c r="D7841" s="18">
        <v>189.99</v>
      </c>
    </row>
    <row r="7842" spans="1:4" x14ac:dyDescent="0.3">
      <c r="A7842" s="12"/>
      <c r="B7842" s="10" t="s">
        <v>1915</v>
      </c>
      <c r="C7842" s="11"/>
      <c r="D7842" s="17">
        <v>7789.9599999999991</v>
      </c>
    </row>
    <row r="7843" spans="1:4" x14ac:dyDescent="0.3">
      <c r="A7843" s="10" t="s">
        <v>1894</v>
      </c>
      <c r="B7843" s="11"/>
      <c r="C7843" s="11"/>
      <c r="D7843" s="17">
        <v>7789.9599999999991</v>
      </c>
    </row>
    <row r="7844" spans="1:4" x14ac:dyDescent="0.3">
      <c r="A7844" s="10">
        <v>1599</v>
      </c>
      <c r="B7844" s="10" t="s">
        <v>18</v>
      </c>
      <c r="C7844" s="10" t="s">
        <v>87</v>
      </c>
      <c r="D7844" s="17">
        <v>963.98</v>
      </c>
    </row>
    <row r="7845" spans="1:4" x14ac:dyDescent="0.3">
      <c r="A7845" s="12"/>
      <c r="B7845" s="10" t="s">
        <v>1916</v>
      </c>
      <c r="C7845" s="11"/>
      <c r="D7845" s="17">
        <v>963.98</v>
      </c>
    </row>
    <row r="7846" spans="1:4" x14ac:dyDescent="0.3">
      <c r="A7846" s="10" t="s">
        <v>1895</v>
      </c>
      <c r="B7846" s="11"/>
      <c r="C7846" s="11"/>
      <c r="D7846" s="17">
        <v>963.98</v>
      </c>
    </row>
    <row r="7847" spans="1:4" x14ac:dyDescent="0.3">
      <c r="A7847" s="10">
        <v>1600</v>
      </c>
      <c r="B7847" s="10" t="s">
        <v>18</v>
      </c>
      <c r="C7847" s="10" t="s">
        <v>219</v>
      </c>
      <c r="D7847" s="17">
        <v>319.99</v>
      </c>
    </row>
    <row r="7848" spans="1:4" x14ac:dyDescent="0.3">
      <c r="A7848" s="12"/>
      <c r="B7848" s="12"/>
      <c r="C7848" s="14" t="s">
        <v>116</v>
      </c>
      <c r="D7848" s="18">
        <v>832.99</v>
      </c>
    </row>
    <row r="7849" spans="1:4" x14ac:dyDescent="0.3">
      <c r="A7849" s="12"/>
      <c r="B7849" s="12"/>
      <c r="C7849" s="14" t="s">
        <v>292</v>
      </c>
      <c r="D7849" s="18">
        <v>4999.99</v>
      </c>
    </row>
    <row r="7850" spans="1:4" x14ac:dyDescent="0.3">
      <c r="A7850" s="12"/>
      <c r="B7850" s="10" t="s">
        <v>1916</v>
      </c>
      <c r="C7850" s="11"/>
      <c r="D7850" s="17">
        <v>6152.9699999999993</v>
      </c>
    </row>
    <row r="7851" spans="1:4" x14ac:dyDescent="0.3">
      <c r="A7851" s="10" t="s">
        <v>1896</v>
      </c>
      <c r="B7851" s="11"/>
      <c r="C7851" s="11"/>
      <c r="D7851" s="17">
        <v>6152.9699999999993</v>
      </c>
    </row>
    <row r="7852" spans="1:4" x14ac:dyDescent="0.3">
      <c r="A7852" s="10">
        <v>1601</v>
      </c>
      <c r="B7852" s="10" t="s">
        <v>37</v>
      </c>
      <c r="C7852" s="10" t="s">
        <v>231</v>
      </c>
      <c r="D7852" s="17">
        <v>539.98</v>
      </c>
    </row>
    <row r="7853" spans="1:4" x14ac:dyDescent="0.3">
      <c r="A7853" s="12"/>
      <c r="B7853" s="12"/>
      <c r="C7853" s="14" t="s">
        <v>13</v>
      </c>
      <c r="D7853" s="18">
        <v>1549</v>
      </c>
    </row>
    <row r="7854" spans="1:4" x14ac:dyDescent="0.3">
      <c r="A7854" s="12"/>
      <c r="B7854" s="12"/>
      <c r="C7854" s="14" t="s">
        <v>127</v>
      </c>
      <c r="D7854" s="18">
        <v>919.99</v>
      </c>
    </row>
    <row r="7855" spans="1:4" x14ac:dyDescent="0.3">
      <c r="A7855" s="12"/>
      <c r="B7855" s="12"/>
      <c r="C7855" s="14" t="s">
        <v>235</v>
      </c>
      <c r="D7855" s="18">
        <v>1159.98</v>
      </c>
    </row>
    <row r="7856" spans="1:4" x14ac:dyDescent="0.3">
      <c r="A7856" s="12"/>
      <c r="B7856" s="12"/>
      <c r="C7856" s="14" t="s">
        <v>29</v>
      </c>
      <c r="D7856" s="18">
        <v>7999.98</v>
      </c>
    </row>
    <row r="7857" spans="1:4" x14ac:dyDescent="0.3">
      <c r="A7857" s="12"/>
      <c r="B7857" s="10" t="s">
        <v>1917</v>
      </c>
      <c r="C7857" s="11"/>
      <c r="D7857" s="17">
        <v>12168.93</v>
      </c>
    </row>
    <row r="7858" spans="1:4" x14ac:dyDescent="0.3">
      <c r="A7858" s="10" t="s">
        <v>1897</v>
      </c>
      <c r="B7858" s="11"/>
      <c r="C7858" s="11"/>
      <c r="D7858" s="17">
        <v>12168.93</v>
      </c>
    </row>
    <row r="7859" spans="1:4" x14ac:dyDescent="0.3">
      <c r="A7859" s="10">
        <v>1602</v>
      </c>
      <c r="B7859" s="10" t="s">
        <v>18</v>
      </c>
      <c r="C7859" s="10" t="s">
        <v>122</v>
      </c>
      <c r="D7859" s="17">
        <v>1799.98</v>
      </c>
    </row>
    <row r="7860" spans="1:4" x14ac:dyDescent="0.3">
      <c r="A7860" s="12"/>
      <c r="B7860" s="12"/>
      <c r="C7860" s="14" t="s">
        <v>98</v>
      </c>
      <c r="D7860" s="18">
        <v>379.99</v>
      </c>
    </row>
    <row r="7861" spans="1:4" x14ac:dyDescent="0.3">
      <c r="A7861" s="12"/>
      <c r="B7861" s="12"/>
      <c r="C7861" s="14" t="s">
        <v>78</v>
      </c>
      <c r="D7861" s="18">
        <v>833.98</v>
      </c>
    </row>
    <row r="7862" spans="1:4" x14ac:dyDescent="0.3">
      <c r="A7862" s="12"/>
      <c r="B7862" s="12"/>
      <c r="C7862" s="14" t="s">
        <v>227</v>
      </c>
      <c r="D7862" s="18">
        <v>459.98</v>
      </c>
    </row>
    <row r="7863" spans="1:4" x14ac:dyDescent="0.3">
      <c r="A7863" s="12"/>
      <c r="B7863" s="10" t="s">
        <v>1916</v>
      </c>
      <c r="C7863" s="11"/>
      <c r="D7863" s="17">
        <v>3473.9300000000003</v>
      </c>
    </row>
    <row r="7864" spans="1:4" x14ac:dyDescent="0.3">
      <c r="A7864" s="10" t="s">
        <v>1898</v>
      </c>
      <c r="B7864" s="11"/>
      <c r="C7864" s="11"/>
      <c r="D7864" s="17">
        <v>3473.9300000000003</v>
      </c>
    </row>
    <row r="7865" spans="1:4" x14ac:dyDescent="0.3">
      <c r="A7865" s="10">
        <v>1603</v>
      </c>
      <c r="B7865" s="10" t="s">
        <v>18</v>
      </c>
      <c r="C7865" s="10" t="s">
        <v>227</v>
      </c>
      <c r="D7865" s="17">
        <v>459.98</v>
      </c>
    </row>
    <row r="7866" spans="1:4" x14ac:dyDescent="0.3">
      <c r="A7866" s="12"/>
      <c r="B7866" s="10" t="s">
        <v>1916</v>
      </c>
      <c r="C7866" s="11"/>
      <c r="D7866" s="17">
        <v>459.98</v>
      </c>
    </row>
    <row r="7867" spans="1:4" x14ac:dyDescent="0.3">
      <c r="A7867" s="10" t="s">
        <v>1899</v>
      </c>
      <c r="B7867" s="11"/>
      <c r="C7867" s="11"/>
      <c r="D7867" s="17">
        <v>459.98</v>
      </c>
    </row>
    <row r="7868" spans="1:4" x14ac:dyDescent="0.3">
      <c r="A7868" s="10">
        <v>1604</v>
      </c>
      <c r="B7868" s="10" t="s">
        <v>18</v>
      </c>
      <c r="C7868" s="10" t="s">
        <v>259</v>
      </c>
      <c r="D7868" s="17">
        <v>209.99</v>
      </c>
    </row>
    <row r="7869" spans="1:4" x14ac:dyDescent="0.3">
      <c r="A7869" s="12"/>
      <c r="B7869" s="10" t="s">
        <v>1916</v>
      </c>
      <c r="C7869" s="11"/>
      <c r="D7869" s="17">
        <v>209.99</v>
      </c>
    </row>
    <row r="7870" spans="1:4" x14ac:dyDescent="0.3">
      <c r="A7870" s="10" t="s">
        <v>1900</v>
      </c>
      <c r="B7870" s="11"/>
      <c r="C7870" s="11"/>
      <c r="D7870" s="17">
        <v>209.99</v>
      </c>
    </row>
    <row r="7871" spans="1:4" x14ac:dyDescent="0.3">
      <c r="A7871" s="10">
        <v>1605</v>
      </c>
      <c r="B7871" s="10" t="s">
        <v>37</v>
      </c>
      <c r="C7871" s="10" t="s">
        <v>237</v>
      </c>
      <c r="D7871" s="17">
        <v>899.99</v>
      </c>
    </row>
    <row r="7872" spans="1:4" x14ac:dyDescent="0.3">
      <c r="A7872" s="12"/>
      <c r="B7872" s="12"/>
      <c r="C7872" s="14" t="s">
        <v>44</v>
      </c>
      <c r="D7872" s="18">
        <v>619.99</v>
      </c>
    </row>
    <row r="7873" spans="1:4" x14ac:dyDescent="0.3">
      <c r="A7873" s="12"/>
      <c r="B7873" s="12"/>
      <c r="C7873" s="14" t="s">
        <v>199</v>
      </c>
      <c r="D7873" s="18">
        <v>4499.99</v>
      </c>
    </row>
    <row r="7874" spans="1:4" x14ac:dyDescent="0.3">
      <c r="A7874" s="12"/>
      <c r="B7874" s="12"/>
      <c r="C7874" s="14" t="s">
        <v>195</v>
      </c>
      <c r="D7874" s="18">
        <v>2999.98</v>
      </c>
    </row>
    <row r="7875" spans="1:4" x14ac:dyDescent="0.3">
      <c r="A7875" s="12"/>
      <c r="B7875" s="12"/>
      <c r="C7875" s="14" t="s">
        <v>71</v>
      </c>
      <c r="D7875" s="18">
        <v>999.99</v>
      </c>
    </row>
    <row r="7876" spans="1:4" x14ac:dyDescent="0.3">
      <c r="A7876" s="12"/>
      <c r="B7876" s="10" t="s">
        <v>1917</v>
      </c>
      <c r="C7876" s="11"/>
      <c r="D7876" s="17">
        <v>10019.939999999999</v>
      </c>
    </row>
    <row r="7877" spans="1:4" x14ac:dyDescent="0.3">
      <c r="A7877" s="10" t="s">
        <v>1901</v>
      </c>
      <c r="B7877" s="11"/>
      <c r="C7877" s="11"/>
      <c r="D7877" s="17">
        <v>10019.939999999999</v>
      </c>
    </row>
    <row r="7878" spans="1:4" x14ac:dyDescent="0.3">
      <c r="A7878" s="10">
        <v>1606</v>
      </c>
      <c r="B7878" s="10" t="s">
        <v>37</v>
      </c>
      <c r="C7878" s="10" t="s">
        <v>243</v>
      </c>
      <c r="D7878" s="17">
        <v>659.99</v>
      </c>
    </row>
    <row r="7879" spans="1:4" x14ac:dyDescent="0.3">
      <c r="A7879" s="12"/>
      <c r="B7879" s="12"/>
      <c r="C7879" s="14" t="s">
        <v>259</v>
      </c>
      <c r="D7879" s="18">
        <v>209.99</v>
      </c>
    </row>
    <row r="7880" spans="1:4" x14ac:dyDescent="0.3">
      <c r="A7880" s="12"/>
      <c r="B7880" s="10" t="s">
        <v>1917</v>
      </c>
      <c r="C7880" s="11"/>
      <c r="D7880" s="17">
        <v>869.98</v>
      </c>
    </row>
    <row r="7881" spans="1:4" x14ac:dyDescent="0.3">
      <c r="A7881" s="10" t="s">
        <v>1902</v>
      </c>
      <c r="B7881" s="11"/>
      <c r="C7881" s="11"/>
      <c r="D7881" s="17">
        <v>869.98</v>
      </c>
    </row>
    <row r="7882" spans="1:4" x14ac:dyDescent="0.3">
      <c r="A7882" s="10">
        <v>1607</v>
      </c>
      <c r="B7882" s="10" t="s">
        <v>11</v>
      </c>
      <c r="C7882" s="10" t="s">
        <v>71</v>
      </c>
      <c r="D7882" s="17">
        <v>999.99</v>
      </c>
    </row>
    <row r="7883" spans="1:4" x14ac:dyDescent="0.3">
      <c r="A7883" s="12"/>
      <c r="B7883" s="10" t="s">
        <v>1915</v>
      </c>
      <c r="C7883" s="11"/>
      <c r="D7883" s="17">
        <v>999.99</v>
      </c>
    </row>
    <row r="7884" spans="1:4" x14ac:dyDescent="0.3">
      <c r="A7884" s="10" t="s">
        <v>1903</v>
      </c>
      <c r="B7884" s="11"/>
      <c r="C7884" s="11"/>
      <c r="D7884" s="17">
        <v>999.99</v>
      </c>
    </row>
    <row r="7885" spans="1:4" x14ac:dyDescent="0.3">
      <c r="A7885" s="10">
        <v>1608</v>
      </c>
      <c r="B7885" s="10" t="s">
        <v>11</v>
      </c>
      <c r="C7885" s="10" t="s">
        <v>280</v>
      </c>
      <c r="D7885" s="17">
        <v>1059.98</v>
      </c>
    </row>
    <row r="7886" spans="1:4" x14ac:dyDescent="0.3">
      <c r="A7886" s="12"/>
      <c r="B7886" s="10" t="s">
        <v>1915</v>
      </c>
      <c r="C7886" s="11"/>
      <c r="D7886" s="17">
        <v>1059.98</v>
      </c>
    </row>
    <row r="7887" spans="1:4" x14ac:dyDescent="0.3">
      <c r="A7887" s="10" t="s">
        <v>1904</v>
      </c>
      <c r="B7887" s="11"/>
      <c r="C7887" s="11"/>
      <c r="D7887" s="17">
        <v>1059.98</v>
      </c>
    </row>
    <row r="7888" spans="1:4" x14ac:dyDescent="0.3">
      <c r="A7888" s="10">
        <v>1609</v>
      </c>
      <c r="B7888" s="10" t="s">
        <v>18</v>
      </c>
      <c r="C7888" s="10" t="s">
        <v>130</v>
      </c>
      <c r="D7888" s="17">
        <v>639.98</v>
      </c>
    </row>
    <row r="7889" spans="1:4" x14ac:dyDescent="0.3">
      <c r="A7889" s="12"/>
      <c r="B7889" s="12"/>
      <c r="C7889" s="14" t="s">
        <v>91</v>
      </c>
      <c r="D7889" s="18">
        <v>349.99</v>
      </c>
    </row>
    <row r="7890" spans="1:4" x14ac:dyDescent="0.3">
      <c r="A7890" s="12"/>
      <c r="B7890" s="12"/>
      <c r="C7890" s="14" t="s">
        <v>185</v>
      </c>
      <c r="D7890" s="18">
        <v>1499.98</v>
      </c>
    </row>
    <row r="7891" spans="1:4" x14ac:dyDescent="0.3">
      <c r="A7891" s="12"/>
      <c r="B7891" s="12"/>
      <c r="C7891" s="14" t="s">
        <v>96</v>
      </c>
      <c r="D7891" s="18">
        <v>533.99</v>
      </c>
    </row>
    <row r="7892" spans="1:4" x14ac:dyDescent="0.3">
      <c r="A7892" s="12"/>
      <c r="B7892" s="10" t="s">
        <v>1916</v>
      </c>
      <c r="C7892" s="11"/>
      <c r="D7892" s="17">
        <v>3023.9399999999996</v>
      </c>
    </row>
    <row r="7893" spans="1:4" x14ac:dyDescent="0.3">
      <c r="A7893" s="10" t="s">
        <v>1905</v>
      </c>
      <c r="B7893" s="11"/>
      <c r="C7893" s="11"/>
      <c r="D7893" s="17">
        <v>3023.9399999999996</v>
      </c>
    </row>
    <row r="7894" spans="1:4" x14ac:dyDescent="0.3">
      <c r="A7894" s="10">
        <v>1610</v>
      </c>
      <c r="B7894" s="10" t="s">
        <v>18</v>
      </c>
      <c r="C7894" s="10" t="s">
        <v>116</v>
      </c>
      <c r="D7894" s="17">
        <v>832.99</v>
      </c>
    </row>
    <row r="7895" spans="1:4" x14ac:dyDescent="0.3">
      <c r="A7895" s="12"/>
      <c r="B7895" s="12"/>
      <c r="C7895" s="14" t="s">
        <v>261</v>
      </c>
      <c r="D7895" s="18">
        <v>6399.98</v>
      </c>
    </row>
    <row r="7896" spans="1:4" x14ac:dyDescent="0.3">
      <c r="A7896" s="12"/>
      <c r="B7896" s="10" t="s">
        <v>1916</v>
      </c>
      <c r="C7896" s="11"/>
      <c r="D7896" s="17">
        <v>7232.9699999999993</v>
      </c>
    </row>
    <row r="7897" spans="1:4" x14ac:dyDescent="0.3">
      <c r="A7897" s="10" t="s">
        <v>1906</v>
      </c>
      <c r="B7897" s="11"/>
      <c r="C7897" s="11"/>
      <c r="D7897" s="17">
        <v>7232.9699999999993</v>
      </c>
    </row>
    <row r="7898" spans="1:4" x14ac:dyDescent="0.3">
      <c r="A7898" s="10">
        <v>1611</v>
      </c>
      <c r="B7898" s="10" t="s">
        <v>18</v>
      </c>
      <c r="C7898" s="10" t="s">
        <v>273</v>
      </c>
      <c r="D7898" s="17">
        <v>2799.99</v>
      </c>
    </row>
    <row r="7899" spans="1:4" x14ac:dyDescent="0.3">
      <c r="A7899" s="12"/>
      <c r="B7899" s="12"/>
      <c r="C7899" s="14" t="s">
        <v>191</v>
      </c>
      <c r="D7899" s="18">
        <v>749.99</v>
      </c>
    </row>
    <row r="7900" spans="1:4" x14ac:dyDescent="0.3">
      <c r="A7900" s="12"/>
      <c r="B7900" s="12"/>
      <c r="C7900" s="14" t="s">
        <v>217</v>
      </c>
      <c r="D7900" s="18">
        <v>6399.98</v>
      </c>
    </row>
    <row r="7901" spans="1:4" x14ac:dyDescent="0.3">
      <c r="A7901" s="12"/>
      <c r="B7901" s="10" t="s">
        <v>1916</v>
      </c>
      <c r="C7901" s="11"/>
      <c r="D7901" s="17">
        <v>9949.9599999999991</v>
      </c>
    </row>
    <row r="7902" spans="1:4" x14ac:dyDescent="0.3">
      <c r="A7902" s="10" t="s">
        <v>1907</v>
      </c>
      <c r="B7902" s="11"/>
      <c r="C7902" s="11"/>
      <c r="D7902" s="17">
        <v>9949.9599999999991</v>
      </c>
    </row>
    <row r="7903" spans="1:4" x14ac:dyDescent="0.3">
      <c r="A7903" s="10">
        <v>1612</v>
      </c>
      <c r="B7903" s="10" t="s">
        <v>11</v>
      </c>
      <c r="C7903" s="10" t="s">
        <v>294</v>
      </c>
      <c r="D7903" s="17">
        <v>639.98</v>
      </c>
    </row>
    <row r="7904" spans="1:4" x14ac:dyDescent="0.3">
      <c r="A7904" s="12"/>
      <c r="B7904" s="12"/>
      <c r="C7904" s="14" t="s">
        <v>279</v>
      </c>
      <c r="D7904" s="18">
        <v>639.98</v>
      </c>
    </row>
    <row r="7905" spans="1:4" x14ac:dyDescent="0.3">
      <c r="A7905" s="12"/>
      <c r="B7905" s="12"/>
      <c r="C7905" s="14" t="s">
        <v>80</v>
      </c>
      <c r="D7905" s="18">
        <v>679.98</v>
      </c>
    </row>
    <row r="7906" spans="1:4" x14ac:dyDescent="0.3">
      <c r="A7906" s="12"/>
      <c r="B7906" s="12"/>
      <c r="C7906" s="14" t="s">
        <v>245</v>
      </c>
      <c r="D7906" s="18">
        <v>699.99</v>
      </c>
    </row>
    <row r="7907" spans="1:4" x14ac:dyDescent="0.3">
      <c r="A7907" s="12"/>
      <c r="B7907" s="12"/>
      <c r="C7907" s="14" t="s">
        <v>101</v>
      </c>
      <c r="D7907" s="18">
        <v>1559.99</v>
      </c>
    </row>
    <row r="7908" spans="1:4" x14ac:dyDescent="0.3">
      <c r="A7908" s="12"/>
      <c r="B7908" s="10" t="s">
        <v>1915</v>
      </c>
      <c r="C7908" s="11"/>
      <c r="D7908" s="17">
        <v>4219.92</v>
      </c>
    </row>
    <row r="7909" spans="1:4" x14ac:dyDescent="0.3">
      <c r="A7909" s="10" t="s">
        <v>1908</v>
      </c>
      <c r="B7909" s="11"/>
      <c r="C7909" s="11"/>
      <c r="D7909" s="17">
        <v>4219.92</v>
      </c>
    </row>
    <row r="7910" spans="1:4" x14ac:dyDescent="0.3">
      <c r="A7910" s="10">
        <v>1613</v>
      </c>
      <c r="B7910" s="10" t="s">
        <v>18</v>
      </c>
      <c r="C7910" s="10" t="s">
        <v>133</v>
      </c>
      <c r="D7910" s="17">
        <v>639.98</v>
      </c>
    </row>
    <row r="7911" spans="1:4" x14ac:dyDescent="0.3">
      <c r="A7911" s="12"/>
      <c r="B7911" s="12"/>
      <c r="C7911" s="14" t="s">
        <v>153</v>
      </c>
      <c r="D7911" s="18">
        <v>4999.99</v>
      </c>
    </row>
    <row r="7912" spans="1:4" x14ac:dyDescent="0.3">
      <c r="A7912" s="12"/>
      <c r="B7912" s="10" t="s">
        <v>1916</v>
      </c>
      <c r="C7912" s="11"/>
      <c r="D7912" s="17">
        <v>5639.9699999999993</v>
      </c>
    </row>
    <row r="7913" spans="1:4" x14ac:dyDescent="0.3">
      <c r="A7913" s="10" t="s">
        <v>1909</v>
      </c>
      <c r="B7913" s="11"/>
      <c r="C7913" s="11"/>
      <c r="D7913" s="17">
        <v>5639.9699999999993</v>
      </c>
    </row>
    <row r="7914" spans="1:4" x14ac:dyDescent="0.3">
      <c r="A7914" s="10">
        <v>1614</v>
      </c>
      <c r="B7914" s="10" t="s">
        <v>37</v>
      </c>
      <c r="C7914" s="10" t="s">
        <v>200</v>
      </c>
      <c r="D7914" s="17">
        <v>539.98</v>
      </c>
    </row>
    <row r="7915" spans="1:4" x14ac:dyDescent="0.3">
      <c r="A7915" s="12"/>
      <c r="B7915" s="12"/>
      <c r="C7915" s="14" t="s">
        <v>197</v>
      </c>
      <c r="D7915" s="18">
        <v>1499</v>
      </c>
    </row>
    <row r="7916" spans="1:4" x14ac:dyDescent="0.3">
      <c r="A7916" s="12"/>
      <c r="B7916" s="12"/>
      <c r="C7916" s="14" t="s">
        <v>174</v>
      </c>
      <c r="D7916" s="18">
        <v>4599.9799999999996</v>
      </c>
    </row>
    <row r="7917" spans="1:4" x14ac:dyDescent="0.3">
      <c r="A7917" s="12"/>
      <c r="B7917" s="10" t="s">
        <v>1917</v>
      </c>
      <c r="C7917" s="11"/>
      <c r="D7917" s="17">
        <v>6638.9599999999991</v>
      </c>
    </row>
    <row r="7918" spans="1:4" x14ac:dyDescent="0.3">
      <c r="A7918" s="10" t="s">
        <v>1910</v>
      </c>
      <c r="B7918" s="11"/>
      <c r="C7918" s="11"/>
      <c r="D7918" s="17">
        <v>6638.9599999999991</v>
      </c>
    </row>
    <row r="7919" spans="1:4" x14ac:dyDescent="0.3">
      <c r="A7919" s="10">
        <v>1615</v>
      </c>
      <c r="B7919" s="10" t="s">
        <v>37</v>
      </c>
      <c r="C7919" s="10" t="s">
        <v>211</v>
      </c>
      <c r="D7919" s="17">
        <v>899.99</v>
      </c>
    </row>
    <row r="7920" spans="1:4" x14ac:dyDescent="0.3">
      <c r="A7920" s="12"/>
      <c r="B7920" s="12"/>
      <c r="C7920" s="14" t="s">
        <v>204</v>
      </c>
      <c r="D7920" s="18">
        <v>2499.9899999999998</v>
      </c>
    </row>
    <row r="7921" spans="1:4" x14ac:dyDescent="0.3">
      <c r="A7921" s="12"/>
      <c r="B7921" s="12"/>
      <c r="C7921" s="14" t="s">
        <v>247</v>
      </c>
      <c r="D7921" s="18">
        <v>4599.9799999999996</v>
      </c>
    </row>
    <row r="7922" spans="1:4" x14ac:dyDescent="0.3">
      <c r="A7922" s="12"/>
      <c r="B7922" s="10" t="s">
        <v>1917</v>
      </c>
      <c r="C7922" s="11"/>
      <c r="D7922" s="17">
        <v>7999.9599999999991</v>
      </c>
    </row>
    <row r="7923" spans="1:4" x14ac:dyDescent="0.3">
      <c r="A7923" s="10" t="s">
        <v>1911</v>
      </c>
      <c r="B7923" s="11"/>
      <c r="C7923" s="11"/>
      <c r="D7923" s="17">
        <v>7999.9599999999991</v>
      </c>
    </row>
    <row r="7924" spans="1:4" x14ac:dyDescent="0.3">
      <c r="A7924" s="10" t="s">
        <v>295</v>
      </c>
      <c r="B7924" s="10" t="s">
        <v>295</v>
      </c>
      <c r="C7924" s="10" t="s">
        <v>295</v>
      </c>
      <c r="D7924" s="17"/>
    </row>
    <row r="7925" spans="1:4" x14ac:dyDescent="0.3">
      <c r="A7925" s="12"/>
      <c r="B7925" s="10" t="s">
        <v>1912</v>
      </c>
      <c r="C7925" s="11"/>
      <c r="D7925" s="17"/>
    </row>
    <row r="7926" spans="1:4" x14ac:dyDescent="0.3">
      <c r="A7926" s="10" t="s">
        <v>1912</v>
      </c>
      <c r="B7926" s="11"/>
      <c r="C7926" s="11"/>
      <c r="D7926" s="17"/>
    </row>
    <row r="7927" spans="1:4" x14ac:dyDescent="0.3">
      <c r="A7927" s="15" t="s">
        <v>296</v>
      </c>
      <c r="B7927" s="16"/>
      <c r="C7927" s="16"/>
      <c r="D7927" s="19">
        <v>8578988.8800007906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56289-E855-4136-AA82-305B35C92A04}">
  <dimension ref="A3:E7"/>
  <sheetViews>
    <sheetView workbookViewId="0">
      <selection activeCell="H24" sqref="H24"/>
    </sheetView>
  </sheetViews>
  <sheetFormatPr defaultRowHeight="14.4" x14ac:dyDescent="0.3"/>
  <cols>
    <col min="1" max="1" width="16.21875" bestFit="1" customWidth="1"/>
    <col min="2" max="2" width="15" bestFit="1" customWidth="1"/>
    <col min="3" max="3" width="12.109375" bestFit="1" customWidth="1"/>
    <col min="4" max="4" width="14.33203125" bestFit="1" customWidth="1"/>
    <col min="5" max="5" width="11" bestFit="1" customWidth="1"/>
    <col min="6" max="6" width="15.88671875" bestFit="1" customWidth="1"/>
    <col min="7" max="7" width="15.77734375" bestFit="1" customWidth="1"/>
    <col min="8" max="8" width="20.6640625" bestFit="1" customWidth="1"/>
    <col min="9" max="9" width="20.5546875" bestFit="1" customWidth="1"/>
  </cols>
  <sheetData>
    <row r="3" spans="1:5" x14ac:dyDescent="0.3">
      <c r="A3" s="20" t="s">
        <v>1913</v>
      </c>
      <c r="B3" s="20" t="s">
        <v>1919</v>
      </c>
    </row>
    <row r="4" spans="1:5" x14ac:dyDescent="0.3">
      <c r="A4" s="20" t="s">
        <v>1918</v>
      </c>
      <c r="B4" t="s">
        <v>18</v>
      </c>
      <c r="C4" t="s">
        <v>37</v>
      </c>
      <c r="D4" t="s">
        <v>11</v>
      </c>
      <c r="E4" t="s">
        <v>296</v>
      </c>
    </row>
    <row r="5" spans="1:5" x14ac:dyDescent="0.3">
      <c r="A5" s="21">
        <v>1</v>
      </c>
      <c r="B5">
        <v>1963667.2299999879</v>
      </c>
      <c r="C5">
        <v>317555.59999999922</v>
      </c>
      <c r="D5">
        <v>592601.42999999691</v>
      </c>
      <c r="E5">
        <v>2873824.2599999839</v>
      </c>
    </row>
    <row r="6" spans="1:5" x14ac:dyDescent="0.3">
      <c r="A6" s="21">
        <v>2</v>
      </c>
      <c r="B6">
        <v>3862574.9799999762</v>
      </c>
      <c r="C6">
        <v>645045.15999999782</v>
      </c>
      <c r="D6">
        <v>1197544.4799999937</v>
      </c>
      <c r="E6">
        <v>5705164.6199999684</v>
      </c>
    </row>
    <row r="7" spans="1:5" x14ac:dyDescent="0.3">
      <c r="A7" s="21" t="s">
        <v>296</v>
      </c>
      <c r="B7">
        <v>5826242.2099999636</v>
      </c>
      <c r="C7">
        <v>962600.75999999698</v>
      </c>
      <c r="D7">
        <v>1790145.9099999906</v>
      </c>
      <c r="E7">
        <v>8578988.8799999524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32313-FA6B-4A8D-8348-7DC6CF6EFC2A}">
  <sheetPr codeName="Sheet2"/>
  <dimension ref="A1:AE4723"/>
  <sheetViews>
    <sheetView topLeftCell="L4" workbookViewId="0">
      <selection activeCell="J28" sqref="J28"/>
    </sheetView>
  </sheetViews>
  <sheetFormatPr defaultRowHeight="14.4" x14ac:dyDescent="0.3"/>
  <cols>
    <col min="3" max="3" width="9.77734375" bestFit="1" customWidth="1"/>
    <col min="5" max="5" width="11.44140625" style="1" customWidth="1"/>
    <col min="6" max="6" width="10.109375" style="1" customWidth="1"/>
    <col min="7" max="7" width="10.44140625" customWidth="1"/>
    <col min="8" max="8" width="10.33203125" style="22" bestFit="1" customWidth="1"/>
    <col min="9" max="9" width="12.88671875" style="1" bestFit="1" customWidth="1"/>
    <col min="10" max="10" width="47.33203125" customWidth="1"/>
    <col min="11" max="11" width="14.33203125" bestFit="1" customWidth="1"/>
    <col min="12" max="12" width="14.33203125" customWidth="1"/>
    <col min="13" max="13" width="19.21875" style="2" bestFit="1" customWidth="1"/>
    <col min="14" max="14" width="25.21875" style="1" customWidth="1"/>
    <col min="15" max="15" width="10.33203125" bestFit="1" customWidth="1"/>
    <col min="16" max="16" width="15.5546875" style="1" customWidth="1"/>
    <col min="17" max="17" width="22.21875" style="1" bestFit="1" customWidth="1"/>
    <col min="18" max="18" width="17.5546875" bestFit="1" customWidth="1"/>
    <col min="19" max="20" width="10.33203125" bestFit="1" customWidth="1"/>
    <col min="21" max="21" width="17.33203125" bestFit="1" customWidth="1"/>
    <col min="23" max="23" width="9.44140625" style="1" bestFit="1" customWidth="1"/>
    <col min="24" max="27" width="9.44140625" bestFit="1" customWidth="1"/>
    <col min="28" max="28" width="9.5546875" bestFit="1" customWidth="1"/>
    <col min="29" max="31" width="9.44140625" bestFit="1" customWidth="1"/>
  </cols>
  <sheetData>
    <row r="1" spans="1:31" x14ac:dyDescent="0.3">
      <c r="A1" t="s">
        <v>0</v>
      </c>
      <c r="B1" t="s">
        <v>1</v>
      </c>
      <c r="C1" t="s">
        <v>2</v>
      </c>
      <c r="D1" t="s">
        <v>3</v>
      </c>
      <c r="E1" s="1" t="s">
        <v>4</v>
      </c>
      <c r="F1" s="1" t="s">
        <v>5</v>
      </c>
      <c r="G1" t="s">
        <v>6</v>
      </c>
      <c r="H1" s="22" t="s">
        <v>1926</v>
      </c>
      <c r="I1" s="1" t="s">
        <v>7</v>
      </c>
      <c r="J1" t="s">
        <v>8</v>
      </c>
      <c r="K1" t="s">
        <v>9</v>
      </c>
    </row>
    <row r="2" spans="1:31" x14ac:dyDescent="0.3">
      <c r="A2">
        <v>1</v>
      </c>
      <c r="B2">
        <v>1</v>
      </c>
      <c r="C2">
        <v>20</v>
      </c>
      <c r="D2">
        <v>1</v>
      </c>
      <c r="E2" s="1">
        <v>599.99</v>
      </c>
      <c r="F2" s="1">
        <v>0.2</v>
      </c>
      <c r="G2">
        <v>599.99</v>
      </c>
      <c r="H2" s="22">
        <f>VLOOKUP(A2,[1]Orders!$A$2:$B$1616,2,0)</f>
        <v>42370</v>
      </c>
      <c r="I2" s="1">
        <v>8578988.8800000008</v>
      </c>
      <c r="J2" t="s">
        <v>10</v>
      </c>
      <c r="K2" t="s">
        <v>11</v>
      </c>
      <c r="M2" s="3"/>
      <c r="O2" s="22"/>
    </row>
    <row r="3" spans="1:31" x14ac:dyDescent="0.3">
      <c r="A3">
        <v>1</v>
      </c>
      <c r="B3">
        <v>2</v>
      </c>
      <c r="C3">
        <v>8</v>
      </c>
      <c r="D3">
        <v>2</v>
      </c>
      <c r="E3" s="1">
        <v>1799.99</v>
      </c>
      <c r="F3" s="1">
        <v>7.0000000000000007E-2</v>
      </c>
      <c r="G3">
        <v>3599.98</v>
      </c>
      <c r="H3" s="22">
        <f>VLOOKUP(A3,[1]Orders!$A$2:$B$1616,2,0)</f>
        <v>42370</v>
      </c>
      <c r="J3" t="s">
        <v>12</v>
      </c>
      <c r="K3" t="s">
        <v>11</v>
      </c>
      <c r="M3" s="3"/>
      <c r="O3" s="22"/>
    </row>
    <row r="4" spans="1:31" x14ac:dyDescent="0.3">
      <c r="A4">
        <v>1</v>
      </c>
      <c r="B4">
        <v>3</v>
      </c>
      <c r="C4">
        <v>10</v>
      </c>
      <c r="D4">
        <v>2</v>
      </c>
      <c r="E4" s="1">
        <v>1549</v>
      </c>
      <c r="F4" s="1">
        <v>0.05</v>
      </c>
      <c r="G4">
        <v>3098</v>
      </c>
      <c r="H4" s="22">
        <f>VLOOKUP(A4,[1]Orders!$A$2:$B$1616,2,0)</f>
        <v>42370</v>
      </c>
      <c r="J4" t="s">
        <v>13</v>
      </c>
      <c r="K4" t="s">
        <v>11</v>
      </c>
      <c r="M4" s="3"/>
    </row>
    <row r="5" spans="1:31" x14ac:dyDescent="0.3">
      <c r="A5">
        <v>1</v>
      </c>
      <c r="B5">
        <v>4</v>
      </c>
      <c r="C5">
        <v>16</v>
      </c>
      <c r="D5">
        <v>2</v>
      </c>
      <c r="E5" s="1">
        <v>599.99</v>
      </c>
      <c r="F5" s="1">
        <v>0.05</v>
      </c>
      <c r="G5">
        <v>1199.98</v>
      </c>
      <c r="H5" s="22">
        <f>VLOOKUP(A5,[1]Orders!$A$2:$B$1616,2,0)</f>
        <v>42370</v>
      </c>
      <c r="J5" t="s">
        <v>14</v>
      </c>
      <c r="K5" t="s">
        <v>11</v>
      </c>
      <c r="M5" s="3"/>
      <c r="P5" s="30" t="s">
        <v>1925</v>
      </c>
      <c r="Q5" s="31"/>
      <c r="R5" s="31"/>
      <c r="W5" s="27"/>
      <c r="X5" s="27"/>
      <c r="Y5" s="27"/>
      <c r="Z5" s="27"/>
      <c r="AA5" s="27"/>
      <c r="AB5" s="27"/>
      <c r="AC5" s="27"/>
      <c r="AD5" s="27"/>
      <c r="AE5" s="27"/>
    </row>
    <row r="6" spans="1:31" x14ac:dyDescent="0.3">
      <c r="A6">
        <v>1</v>
      </c>
      <c r="B6">
        <v>5</v>
      </c>
      <c r="C6">
        <v>4</v>
      </c>
      <c r="D6">
        <v>1</v>
      </c>
      <c r="E6" s="1">
        <v>2899.99</v>
      </c>
      <c r="F6" s="1">
        <v>0.2</v>
      </c>
      <c r="G6">
        <v>2899.99</v>
      </c>
      <c r="H6" s="22">
        <f>VLOOKUP(A6,[1]Orders!$A$2:$B$1616,2,0)</f>
        <v>42370</v>
      </c>
      <c r="J6" t="s">
        <v>16</v>
      </c>
      <c r="K6" t="s">
        <v>11</v>
      </c>
      <c r="M6" s="4" t="s">
        <v>17</v>
      </c>
      <c r="N6" s="5">
        <f>AVERAGE(G:G)</f>
        <v>1816.8125540027095</v>
      </c>
      <c r="P6" s="25" t="s">
        <v>1920</v>
      </c>
      <c r="Q6" s="25" t="s">
        <v>1921</v>
      </c>
      <c r="R6" s="25" t="s">
        <v>1922</v>
      </c>
      <c r="W6" s="28"/>
      <c r="X6" s="1"/>
      <c r="Y6" s="29"/>
      <c r="Z6" s="29"/>
      <c r="AA6" s="29"/>
      <c r="AB6" s="29"/>
      <c r="AC6" s="29"/>
      <c r="AD6" s="29"/>
      <c r="AE6" s="29"/>
    </row>
    <row r="7" spans="1:31" x14ac:dyDescent="0.3">
      <c r="A7">
        <v>2</v>
      </c>
      <c r="B7">
        <v>1</v>
      </c>
      <c r="C7">
        <v>20</v>
      </c>
      <c r="D7">
        <v>1</v>
      </c>
      <c r="E7" s="1">
        <v>599.99</v>
      </c>
      <c r="F7" s="1">
        <v>7.0000000000000007E-2</v>
      </c>
      <c r="G7">
        <v>599.99</v>
      </c>
      <c r="H7" s="22">
        <f>VLOOKUP(A7,[1]Orders!$A$2:$B$1616,2,0)</f>
        <v>42370</v>
      </c>
      <c r="J7" t="s">
        <v>10</v>
      </c>
      <c r="K7" t="s">
        <v>18</v>
      </c>
      <c r="M7" s="4" t="s">
        <v>19</v>
      </c>
      <c r="N7" s="5">
        <f>AVERAGE(F:F)</f>
        <v>0.10537272342227964</v>
      </c>
      <c r="P7" s="24">
        <v>40909</v>
      </c>
      <c r="Q7" s="24">
        <v>41273</v>
      </c>
      <c r="R7" s="26">
        <f t="shared" ref="R7:R16" si="0">YEARFRAC(P7,Q7,1)</f>
        <v>0.99453551912568305</v>
      </c>
      <c r="W7" s="29"/>
      <c r="X7" s="1"/>
      <c r="Y7" s="1"/>
      <c r="Z7" s="1"/>
      <c r="AA7" s="1"/>
      <c r="AB7" s="1"/>
      <c r="AC7" s="1"/>
      <c r="AD7" s="1"/>
      <c r="AE7" s="1"/>
    </row>
    <row r="8" spans="1:31" x14ac:dyDescent="0.3">
      <c r="A8">
        <v>2</v>
      </c>
      <c r="B8">
        <v>2</v>
      </c>
      <c r="C8">
        <v>16</v>
      </c>
      <c r="D8">
        <v>2</v>
      </c>
      <c r="E8" s="1">
        <v>599.99</v>
      </c>
      <c r="F8" s="1">
        <v>0.05</v>
      </c>
      <c r="G8">
        <v>1199.98</v>
      </c>
      <c r="H8" s="22">
        <f>VLOOKUP(A8,[1]Orders!$A$2:$B$1616,2,0)</f>
        <v>42370</v>
      </c>
      <c r="J8" t="s">
        <v>14</v>
      </c>
      <c r="K8" t="s">
        <v>18</v>
      </c>
      <c r="M8" s="4" t="s">
        <v>1924</v>
      </c>
      <c r="N8" s="5">
        <f>2100</f>
        <v>2100</v>
      </c>
      <c r="P8" s="24">
        <v>41275</v>
      </c>
      <c r="Q8" s="24">
        <v>41485</v>
      </c>
      <c r="R8" s="23">
        <f t="shared" si="0"/>
        <v>0.57534246575342463</v>
      </c>
      <c r="W8" s="29"/>
      <c r="X8" s="1"/>
      <c r="Y8" s="1"/>
      <c r="Z8" s="1"/>
      <c r="AA8" s="1"/>
      <c r="AB8" s="1"/>
      <c r="AC8" s="1"/>
      <c r="AD8" s="1"/>
      <c r="AE8" s="1"/>
    </row>
    <row r="9" spans="1:31" x14ac:dyDescent="0.3">
      <c r="A9">
        <v>3</v>
      </c>
      <c r="B9">
        <v>1</v>
      </c>
      <c r="C9">
        <v>3</v>
      </c>
      <c r="D9">
        <v>1</v>
      </c>
      <c r="E9" s="1">
        <v>999.99</v>
      </c>
      <c r="F9" s="1">
        <v>0.05</v>
      </c>
      <c r="G9">
        <v>999.99</v>
      </c>
      <c r="H9" s="22">
        <f>VLOOKUP(A9,[1]Orders!$A$2:$B$1616,2,0)</f>
        <v>42371</v>
      </c>
      <c r="J9" t="s">
        <v>20</v>
      </c>
      <c r="K9" t="s">
        <v>18</v>
      </c>
      <c r="M9" s="4" t="s">
        <v>21</v>
      </c>
      <c r="N9" s="5">
        <f>N6-N7</f>
        <v>1816.7071812792872</v>
      </c>
      <c r="P9" s="24">
        <v>41640</v>
      </c>
      <c r="Q9" s="24">
        <v>41820</v>
      </c>
      <c r="R9" s="23">
        <f t="shared" si="0"/>
        <v>0.49315068493150682</v>
      </c>
      <c r="W9" s="29"/>
      <c r="X9" s="1"/>
      <c r="Y9" s="1"/>
      <c r="Z9" s="1"/>
      <c r="AA9" s="1"/>
      <c r="AB9" s="1"/>
      <c r="AC9" s="1"/>
      <c r="AD9" s="1"/>
      <c r="AE9" s="1"/>
    </row>
    <row r="10" spans="1:31" x14ac:dyDescent="0.3">
      <c r="A10">
        <v>3</v>
      </c>
      <c r="B10">
        <v>2</v>
      </c>
      <c r="C10">
        <v>20</v>
      </c>
      <c r="D10">
        <v>1</v>
      </c>
      <c r="E10" s="1">
        <v>599.99</v>
      </c>
      <c r="F10" s="1">
        <v>0.05</v>
      </c>
      <c r="G10">
        <v>599.99</v>
      </c>
      <c r="H10" s="22">
        <f>VLOOKUP(A10,[1]Orders!$A$2:$B$1616,2,0)</f>
        <v>42371</v>
      </c>
      <c r="J10" t="s">
        <v>10</v>
      </c>
      <c r="K10" t="s">
        <v>18</v>
      </c>
      <c r="P10" s="24">
        <v>42005</v>
      </c>
      <c r="Q10" s="24">
        <v>42154</v>
      </c>
      <c r="R10" s="23">
        <f t="shared" si="0"/>
        <v>0.40821917808219177</v>
      </c>
      <c r="W10" s="29"/>
      <c r="X10" s="1"/>
      <c r="Y10" s="1"/>
      <c r="Z10" s="1"/>
      <c r="AA10" s="1"/>
      <c r="AB10" s="1"/>
      <c r="AC10" s="1"/>
      <c r="AD10" s="1"/>
      <c r="AE10" s="1"/>
    </row>
    <row r="11" spans="1:31" x14ac:dyDescent="0.3">
      <c r="A11">
        <v>4</v>
      </c>
      <c r="B11">
        <v>1</v>
      </c>
      <c r="C11">
        <v>2</v>
      </c>
      <c r="D11">
        <v>2</v>
      </c>
      <c r="E11" s="1">
        <v>749.99</v>
      </c>
      <c r="F11" s="1">
        <v>0.1</v>
      </c>
      <c r="G11">
        <v>1499.98</v>
      </c>
      <c r="H11" s="22">
        <f>VLOOKUP(A11,[1]Orders!$A$2:$B$1616,2,0)</f>
        <v>42372</v>
      </c>
      <c r="J11" t="s">
        <v>22</v>
      </c>
      <c r="K11" t="s">
        <v>11</v>
      </c>
      <c r="M11" s="6" t="s">
        <v>15</v>
      </c>
      <c r="N11" s="7" t="s">
        <v>1923</v>
      </c>
      <c r="P11" s="24">
        <v>42370</v>
      </c>
      <c r="Q11" s="24">
        <v>42734</v>
      </c>
      <c r="R11" s="23">
        <f t="shared" si="0"/>
        <v>0.99453551912568305</v>
      </c>
      <c r="W11" s="29"/>
      <c r="X11" s="1"/>
      <c r="Y11" s="1"/>
      <c r="Z11" s="1"/>
      <c r="AA11" s="1"/>
      <c r="AB11" s="1"/>
      <c r="AC11" s="1"/>
      <c r="AD11" s="1"/>
      <c r="AE11" s="1"/>
    </row>
    <row r="12" spans="1:31" x14ac:dyDescent="0.3">
      <c r="A12">
        <v>5</v>
      </c>
      <c r="B12">
        <v>1</v>
      </c>
      <c r="C12">
        <v>10</v>
      </c>
      <c r="D12">
        <v>2</v>
      </c>
      <c r="E12" s="1">
        <v>1549</v>
      </c>
      <c r="F12" s="1">
        <v>0.05</v>
      </c>
      <c r="G12">
        <v>3098</v>
      </c>
      <c r="H12" s="22">
        <f>VLOOKUP(A12,[1]Orders!$A$2:$B$1616,2,0)</f>
        <v>42372</v>
      </c>
      <c r="J12" t="s">
        <v>13</v>
      </c>
      <c r="K12" t="s">
        <v>18</v>
      </c>
      <c r="M12" s="8"/>
      <c r="N12" s="9">
        <f>N9</f>
        <v>1816.7071812792872</v>
      </c>
      <c r="P12" s="24">
        <v>42736</v>
      </c>
      <c r="Q12" s="24">
        <v>42977</v>
      </c>
      <c r="R12" s="23">
        <f t="shared" si="0"/>
        <v>0.66027397260273968</v>
      </c>
      <c r="W12" s="29"/>
      <c r="X12" s="1"/>
      <c r="Y12" s="1"/>
      <c r="Z12" s="1"/>
      <c r="AA12" s="1"/>
      <c r="AB12" s="1"/>
      <c r="AC12" s="1"/>
      <c r="AD12" s="1"/>
      <c r="AE12" s="1"/>
    </row>
    <row r="13" spans="1:31" x14ac:dyDescent="0.3">
      <c r="A13">
        <v>5</v>
      </c>
      <c r="B13">
        <v>2</v>
      </c>
      <c r="C13">
        <v>17</v>
      </c>
      <c r="D13">
        <v>1</v>
      </c>
      <c r="E13" s="1">
        <v>429</v>
      </c>
      <c r="F13" s="1">
        <v>7.0000000000000007E-2</v>
      </c>
      <c r="G13">
        <v>429</v>
      </c>
      <c r="H13" s="22">
        <f>VLOOKUP(A13,[1]Orders!$A$2:$B$1616,2,0)</f>
        <v>42372</v>
      </c>
      <c r="J13" t="s">
        <v>23</v>
      </c>
      <c r="K13" t="s">
        <v>18</v>
      </c>
      <c r="M13" s="8">
        <v>0.3</v>
      </c>
      <c r="N13" s="8">
        <f t="dataTable" ref="N13:N27" dt2D="0" dtr="0" r1="N7"/>
        <v>1816.5125540027095</v>
      </c>
      <c r="P13" s="24">
        <v>43101</v>
      </c>
      <c r="Q13" s="24">
        <v>43373</v>
      </c>
      <c r="R13" s="23">
        <f t="shared" si="0"/>
        <v>0.74520547945205484</v>
      </c>
      <c r="W13" s="29"/>
      <c r="X13" s="1"/>
      <c r="Y13" s="1"/>
      <c r="Z13" s="1"/>
      <c r="AA13" s="1"/>
      <c r="AB13" s="1"/>
      <c r="AC13" s="1"/>
      <c r="AD13" s="1"/>
      <c r="AE13" s="1"/>
    </row>
    <row r="14" spans="1:31" x14ac:dyDescent="0.3">
      <c r="A14">
        <v>5</v>
      </c>
      <c r="B14">
        <v>3</v>
      </c>
      <c r="C14">
        <v>26</v>
      </c>
      <c r="D14">
        <v>1</v>
      </c>
      <c r="E14" s="1">
        <v>599.99</v>
      </c>
      <c r="F14" s="1">
        <v>7.0000000000000007E-2</v>
      </c>
      <c r="G14">
        <v>599.99</v>
      </c>
      <c r="H14" s="22">
        <f>VLOOKUP(A14,[1]Orders!$A$2:$B$1616,2,0)</f>
        <v>42372</v>
      </c>
      <c r="J14" t="s">
        <v>14</v>
      </c>
      <c r="K14" t="s">
        <v>18</v>
      </c>
      <c r="M14" s="8">
        <v>0.4</v>
      </c>
      <c r="N14" s="8">
        <v>1816.4125540027094</v>
      </c>
      <c r="P14" s="24">
        <v>43466</v>
      </c>
      <c r="Q14" s="24">
        <v>43920</v>
      </c>
      <c r="R14" s="23">
        <f t="shared" si="0"/>
        <v>1.2421340629274966</v>
      </c>
      <c r="W14" s="29"/>
      <c r="X14" s="1"/>
      <c r="Y14" s="1"/>
      <c r="Z14" s="1"/>
      <c r="AA14" s="1"/>
      <c r="AB14" s="1"/>
      <c r="AC14" s="1"/>
      <c r="AD14" s="1"/>
      <c r="AE14" s="1"/>
    </row>
    <row r="15" spans="1:31" x14ac:dyDescent="0.3">
      <c r="A15">
        <v>6</v>
      </c>
      <c r="B15">
        <v>1</v>
      </c>
      <c r="C15">
        <v>18</v>
      </c>
      <c r="D15">
        <v>1</v>
      </c>
      <c r="E15" s="1">
        <v>449</v>
      </c>
      <c r="F15" s="1">
        <v>7.0000000000000007E-2</v>
      </c>
      <c r="G15">
        <v>449</v>
      </c>
      <c r="H15" s="22">
        <f>VLOOKUP(A15,[1]Orders!$A$2:$B$1616,2,0)</f>
        <v>42373</v>
      </c>
      <c r="J15" t="s">
        <v>24</v>
      </c>
      <c r="K15" t="s">
        <v>18</v>
      </c>
      <c r="M15" s="8">
        <v>0.5</v>
      </c>
      <c r="N15" s="8">
        <v>1816.3125540027095</v>
      </c>
      <c r="P15" s="24">
        <v>43831</v>
      </c>
      <c r="Q15" s="24">
        <v>44560</v>
      </c>
      <c r="R15" s="23">
        <f t="shared" si="0"/>
        <v>1.9945280437756499</v>
      </c>
      <c r="S15" s="22"/>
      <c r="W15" s="29"/>
      <c r="X15" s="1"/>
      <c r="Y15" s="1"/>
      <c r="Z15" s="1"/>
      <c r="AA15" s="1"/>
      <c r="AB15" s="1"/>
      <c r="AC15" s="1"/>
      <c r="AD15" s="1"/>
      <c r="AE15" s="1"/>
    </row>
    <row r="16" spans="1:31" x14ac:dyDescent="0.3">
      <c r="A16">
        <v>6</v>
      </c>
      <c r="B16">
        <v>2</v>
      </c>
      <c r="C16">
        <v>12</v>
      </c>
      <c r="D16">
        <v>2</v>
      </c>
      <c r="E16" s="1">
        <v>549.99</v>
      </c>
      <c r="F16" s="1">
        <v>0.05</v>
      </c>
      <c r="G16">
        <v>1099.98</v>
      </c>
      <c r="H16" s="22">
        <f>VLOOKUP(A16,[1]Orders!$A$2:$B$1616,2,0)</f>
        <v>42373</v>
      </c>
      <c r="J16" t="s">
        <v>25</v>
      </c>
      <c r="K16" t="s">
        <v>18</v>
      </c>
      <c r="M16" s="8">
        <v>0.6</v>
      </c>
      <c r="N16" s="8">
        <v>1816.2125540027096</v>
      </c>
      <c r="P16" s="24">
        <v>44197</v>
      </c>
      <c r="Q16" s="24">
        <v>44925</v>
      </c>
      <c r="R16" s="23">
        <f t="shared" si="0"/>
        <v>1.9945205479452055</v>
      </c>
      <c r="W16" s="29"/>
      <c r="X16" s="1"/>
      <c r="Y16" s="1"/>
      <c r="Z16" s="1"/>
      <c r="AA16" s="1"/>
      <c r="AB16" s="1"/>
      <c r="AC16" s="1"/>
      <c r="AD16" s="1"/>
      <c r="AE16" s="1"/>
    </row>
    <row r="17" spans="1:31" x14ac:dyDescent="0.3">
      <c r="A17">
        <v>6</v>
      </c>
      <c r="B17">
        <v>3</v>
      </c>
      <c r="C17">
        <v>20</v>
      </c>
      <c r="D17">
        <v>1</v>
      </c>
      <c r="E17" s="1">
        <v>599.99</v>
      </c>
      <c r="F17" s="1">
        <v>0.1</v>
      </c>
      <c r="G17">
        <v>599.99</v>
      </c>
      <c r="H17" s="22">
        <f>VLOOKUP(A17,[1]Orders!$A$2:$B$1616,2,0)</f>
        <v>42373</v>
      </c>
      <c r="J17" t="s">
        <v>10</v>
      </c>
      <c r="K17" t="s">
        <v>18</v>
      </c>
      <c r="M17" s="8">
        <v>0.7</v>
      </c>
      <c r="N17" s="8">
        <v>1816.1125540027094</v>
      </c>
      <c r="W17" s="29"/>
      <c r="X17" s="1"/>
      <c r="Y17" s="1"/>
      <c r="Z17" s="1"/>
      <c r="AA17" s="1"/>
      <c r="AB17" s="1"/>
      <c r="AC17" s="1"/>
      <c r="AD17" s="1"/>
      <c r="AE17" s="1"/>
    </row>
    <row r="18" spans="1:31" x14ac:dyDescent="0.3">
      <c r="A18">
        <v>6</v>
      </c>
      <c r="B18">
        <v>4</v>
      </c>
      <c r="C18">
        <v>3</v>
      </c>
      <c r="D18">
        <v>2</v>
      </c>
      <c r="E18" s="1">
        <v>999.99</v>
      </c>
      <c r="F18" s="1">
        <v>7.0000000000000007E-2</v>
      </c>
      <c r="G18">
        <v>1999.98</v>
      </c>
      <c r="H18" s="22">
        <f>VLOOKUP(A18,[1]Orders!$A$2:$B$1616,2,0)</f>
        <v>42373</v>
      </c>
      <c r="J18" t="s">
        <v>20</v>
      </c>
      <c r="K18" t="s">
        <v>18</v>
      </c>
      <c r="M18" s="8">
        <v>0.8</v>
      </c>
      <c r="N18" s="8">
        <v>1816.0125540027095</v>
      </c>
      <c r="W18" s="29"/>
      <c r="X18" s="1"/>
      <c r="Y18" s="1"/>
      <c r="Z18" s="1"/>
      <c r="AA18" s="1"/>
      <c r="AB18" s="1"/>
      <c r="AC18" s="1"/>
      <c r="AD18" s="1"/>
      <c r="AE18" s="1"/>
    </row>
    <row r="19" spans="1:31" x14ac:dyDescent="0.3">
      <c r="A19">
        <v>6</v>
      </c>
      <c r="B19">
        <v>5</v>
      </c>
      <c r="C19">
        <v>9</v>
      </c>
      <c r="D19">
        <v>2</v>
      </c>
      <c r="E19" s="1">
        <v>2999.99</v>
      </c>
      <c r="F19" s="1">
        <v>7.0000000000000007E-2</v>
      </c>
      <c r="G19">
        <v>5999.98</v>
      </c>
      <c r="H19" s="22">
        <f>VLOOKUP(A19,[1]Orders!$A$2:$B$1616,2,0)</f>
        <v>42373</v>
      </c>
      <c r="J19" t="s">
        <v>26</v>
      </c>
      <c r="K19" t="s">
        <v>18</v>
      </c>
      <c r="M19" s="8">
        <v>0.9</v>
      </c>
      <c r="N19" s="8">
        <v>1815.9125540027094</v>
      </c>
      <c r="W19" s="29"/>
      <c r="X19" s="1"/>
      <c r="Y19" s="1"/>
      <c r="Z19" s="1"/>
      <c r="AA19" s="1"/>
      <c r="AB19" s="1"/>
      <c r="AC19" s="1"/>
      <c r="AD19" s="1"/>
      <c r="AE19" s="1"/>
    </row>
    <row r="20" spans="1:31" x14ac:dyDescent="0.3">
      <c r="A20">
        <v>7</v>
      </c>
      <c r="B20">
        <v>1</v>
      </c>
      <c r="C20">
        <v>15</v>
      </c>
      <c r="D20">
        <v>1</v>
      </c>
      <c r="E20" s="1">
        <v>529.99</v>
      </c>
      <c r="F20" s="1">
        <v>7.0000000000000007E-2</v>
      </c>
      <c r="G20">
        <v>529.99</v>
      </c>
      <c r="H20" s="22">
        <f>VLOOKUP(A20,[1]Orders!$A$2:$B$1616,2,0)</f>
        <v>42373</v>
      </c>
      <c r="J20" t="s">
        <v>27</v>
      </c>
      <c r="K20" t="s">
        <v>18</v>
      </c>
      <c r="M20" s="8">
        <v>1</v>
      </c>
      <c r="N20" s="8">
        <v>1815.8125540027095</v>
      </c>
      <c r="W20" s="29"/>
      <c r="X20" s="1"/>
      <c r="Y20" s="1"/>
      <c r="Z20" s="1"/>
      <c r="AA20" s="1"/>
      <c r="AB20" s="1"/>
      <c r="AC20" s="1"/>
      <c r="AD20" s="1"/>
      <c r="AE20" s="1"/>
    </row>
    <row r="21" spans="1:31" x14ac:dyDescent="0.3">
      <c r="A21">
        <v>7</v>
      </c>
      <c r="B21">
        <v>2</v>
      </c>
      <c r="C21">
        <v>3</v>
      </c>
      <c r="D21">
        <v>1</v>
      </c>
      <c r="E21" s="1">
        <v>999.99</v>
      </c>
      <c r="F21" s="1">
        <v>0.1</v>
      </c>
      <c r="G21">
        <v>999.99</v>
      </c>
      <c r="H21" s="22">
        <f>VLOOKUP(A21,[1]Orders!$A$2:$B$1616,2,0)</f>
        <v>42373</v>
      </c>
      <c r="J21" t="s">
        <v>20</v>
      </c>
      <c r="K21" t="s">
        <v>18</v>
      </c>
      <c r="M21" s="8">
        <v>1.2</v>
      </c>
      <c r="N21" s="8">
        <v>1815.6125540027094</v>
      </c>
      <c r="W21" s="29"/>
      <c r="X21" s="1"/>
      <c r="Y21" s="1"/>
      <c r="Z21" s="1"/>
      <c r="AA21" s="1"/>
      <c r="AB21" s="1"/>
      <c r="AC21" s="1"/>
      <c r="AD21" s="1"/>
      <c r="AE21" s="1"/>
    </row>
    <row r="22" spans="1:31" x14ac:dyDescent="0.3">
      <c r="A22">
        <v>7</v>
      </c>
      <c r="B22">
        <v>3</v>
      </c>
      <c r="C22">
        <v>17</v>
      </c>
      <c r="D22">
        <v>2</v>
      </c>
      <c r="E22" s="1">
        <v>429</v>
      </c>
      <c r="F22" s="1">
        <v>0.1</v>
      </c>
      <c r="G22">
        <v>858</v>
      </c>
      <c r="H22" s="22">
        <f>VLOOKUP(A22,[1]Orders!$A$2:$B$1616,2,0)</f>
        <v>42373</v>
      </c>
      <c r="J22" t="s">
        <v>23</v>
      </c>
      <c r="K22" t="s">
        <v>18</v>
      </c>
      <c r="M22" s="8">
        <v>1.6</v>
      </c>
      <c r="N22" s="8">
        <v>1815.2125540027096</v>
      </c>
    </row>
    <row r="23" spans="1:31" x14ac:dyDescent="0.3">
      <c r="A23">
        <v>8</v>
      </c>
      <c r="B23">
        <v>1</v>
      </c>
      <c r="C23">
        <v>22</v>
      </c>
      <c r="D23">
        <v>1</v>
      </c>
      <c r="E23" s="1">
        <v>269.99</v>
      </c>
      <c r="F23" s="1">
        <v>0.05</v>
      </c>
      <c r="G23">
        <v>269.99</v>
      </c>
      <c r="H23" s="22">
        <f>VLOOKUP(A23,[1]Orders!$A$2:$B$1616,2,0)</f>
        <v>42373</v>
      </c>
      <c r="J23" t="s">
        <v>28</v>
      </c>
      <c r="K23" t="s">
        <v>18</v>
      </c>
      <c r="M23" s="8">
        <v>1.8</v>
      </c>
      <c r="N23" s="8">
        <v>1815.0125540027095</v>
      </c>
    </row>
    <row r="24" spans="1:31" x14ac:dyDescent="0.3">
      <c r="A24">
        <v>8</v>
      </c>
      <c r="B24">
        <v>2</v>
      </c>
      <c r="C24">
        <v>20</v>
      </c>
      <c r="D24">
        <v>2</v>
      </c>
      <c r="E24" s="1">
        <v>599.99</v>
      </c>
      <c r="F24" s="1">
        <v>7.0000000000000007E-2</v>
      </c>
      <c r="G24">
        <v>1199.98</v>
      </c>
      <c r="H24" s="22">
        <f>VLOOKUP(A24,[1]Orders!$A$2:$B$1616,2,0)</f>
        <v>42373</v>
      </c>
      <c r="J24" t="s">
        <v>10</v>
      </c>
      <c r="K24" t="s">
        <v>18</v>
      </c>
      <c r="M24" s="8">
        <v>2</v>
      </c>
      <c r="N24" s="8">
        <v>1814.8125540027095</v>
      </c>
    </row>
    <row r="25" spans="1:31" x14ac:dyDescent="0.3">
      <c r="A25">
        <v>9</v>
      </c>
      <c r="B25">
        <v>1</v>
      </c>
      <c r="C25">
        <v>7</v>
      </c>
      <c r="D25">
        <v>2</v>
      </c>
      <c r="E25" s="1">
        <v>3999.99</v>
      </c>
      <c r="F25" s="1">
        <v>0.1</v>
      </c>
      <c r="G25">
        <v>7999.98</v>
      </c>
      <c r="H25" s="22">
        <f>VLOOKUP(A25,[1]Orders!$A$2:$B$1616,2,0)</f>
        <v>42374</v>
      </c>
      <c r="J25" t="s">
        <v>29</v>
      </c>
      <c r="K25" t="s">
        <v>11</v>
      </c>
      <c r="M25" s="8">
        <v>2.2000000000000002</v>
      </c>
      <c r="N25" s="8">
        <v>1814.6125540027094</v>
      </c>
    </row>
    <row r="26" spans="1:31" x14ac:dyDescent="0.3">
      <c r="A26">
        <v>10</v>
      </c>
      <c r="B26">
        <v>1</v>
      </c>
      <c r="C26">
        <v>14</v>
      </c>
      <c r="D26">
        <v>1</v>
      </c>
      <c r="E26" s="1">
        <v>269.99</v>
      </c>
      <c r="F26" s="1">
        <v>0.1</v>
      </c>
      <c r="G26">
        <v>269.99</v>
      </c>
      <c r="H26" s="22">
        <f>VLOOKUP(A26,[1]Orders!$A$2:$B$1616,2,0)</f>
        <v>42374</v>
      </c>
      <c r="J26" t="s">
        <v>28</v>
      </c>
      <c r="K26" t="s">
        <v>18</v>
      </c>
      <c r="M26" s="8">
        <v>2.4</v>
      </c>
      <c r="N26" s="8">
        <v>1814.4125540027094</v>
      </c>
    </row>
    <row r="27" spans="1:31" x14ac:dyDescent="0.3">
      <c r="A27">
        <v>11</v>
      </c>
      <c r="B27">
        <v>1</v>
      </c>
      <c r="C27">
        <v>8</v>
      </c>
      <c r="D27">
        <v>1</v>
      </c>
      <c r="E27" s="1">
        <v>1799.99</v>
      </c>
      <c r="F27" s="1">
        <v>0.05</v>
      </c>
      <c r="G27">
        <v>1799.99</v>
      </c>
      <c r="H27" s="22">
        <f>VLOOKUP(A27,[1]Orders!$A$2:$B$1616,2,0)</f>
        <v>42374</v>
      </c>
      <c r="J27" t="s">
        <v>12</v>
      </c>
      <c r="K27" t="s">
        <v>18</v>
      </c>
      <c r="M27" s="8">
        <v>2.5</v>
      </c>
      <c r="N27" s="8">
        <v>1814.3125540027095</v>
      </c>
    </row>
    <row r="28" spans="1:31" x14ac:dyDescent="0.3">
      <c r="A28">
        <v>11</v>
      </c>
      <c r="B28">
        <v>2</v>
      </c>
      <c r="C28">
        <v>22</v>
      </c>
      <c r="D28">
        <v>2</v>
      </c>
      <c r="E28" s="1">
        <v>269.99</v>
      </c>
      <c r="F28" s="1">
        <v>0.1</v>
      </c>
      <c r="G28">
        <v>539.98</v>
      </c>
      <c r="H28" s="22">
        <f>VLOOKUP(A28,[1]Orders!$A$2:$B$1616,2,0)</f>
        <v>42374</v>
      </c>
      <c r="J28" t="s">
        <v>28</v>
      </c>
      <c r="K28" t="s">
        <v>18</v>
      </c>
    </row>
    <row r="29" spans="1:31" x14ac:dyDescent="0.3">
      <c r="A29">
        <v>11</v>
      </c>
      <c r="B29">
        <v>3</v>
      </c>
      <c r="C29">
        <v>16</v>
      </c>
      <c r="D29">
        <v>2</v>
      </c>
      <c r="E29" s="1">
        <v>599.99</v>
      </c>
      <c r="F29" s="1">
        <v>0.2</v>
      </c>
      <c r="G29">
        <v>1199.98</v>
      </c>
      <c r="H29" s="22">
        <f>VLOOKUP(A29,[1]Orders!$A$2:$B$1616,2,0)</f>
        <v>42374</v>
      </c>
      <c r="J29" t="s">
        <v>14</v>
      </c>
      <c r="K29" t="s">
        <v>18</v>
      </c>
    </row>
    <row r="30" spans="1:31" x14ac:dyDescent="0.3">
      <c r="A30">
        <v>12</v>
      </c>
      <c r="B30">
        <v>1</v>
      </c>
      <c r="C30">
        <v>4</v>
      </c>
      <c r="D30">
        <v>2</v>
      </c>
      <c r="E30" s="1">
        <v>2899.99</v>
      </c>
      <c r="F30" s="1">
        <v>0.1</v>
      </c>
      <c r="G30">
        <v>5799.98</v>
      </c>
      <c r="H30" s="22">
        <f>VLOOKUP(A30,[1]Orders!$A$2:$B$1616,2,0)</f>
        <v>42375</v>
      </c>
      <c r="J30" t="s">
        <v>16</v>
      </c>
      <c r="K30" t="s">
        <v>11</v>
      </c>
    </row>
    <row r="31" spans="1:31" x14ac:dyDescent="0.3">
      <c r="A31">
        <v>12</v>
      </c>
      <c r="B31">
        <v>2</v>
      </c>
      <c r="C31">
        <v>11</v>
      </c>
      <c r="D31">
        <v>1</v>
      </c>
      <c r="E31" s="1">
        <v>1680.99</v>
      </c>
      <c r="F31" s="1">
        <v>0.05</v>
      </c>
      <c r="G31">
        <v>1680.99</v>
      </c>
      <c r="H31" s="22">
        <f>VLOOKUP(A31,[1]Orders!$A$2:$B$1616,2,0)</f>
        <v>42375</v>
      </c>
      <c r="J31" t="s">
        <v>30</v>
      </c>
      <c r="K31" t="s">
        <v>11</v>
      </c>
    </row>
    <row r="32" spans="1:31" x14ac:dyDescent="0.3">
      <c r="A32">
        <v>13</v>
      </c>
      <c r="B32">
        <v>1</v>
      </c>
      <c r="C32">
        <v>13</v>
      </c>
      <c r="D32">
        <v>1</v>
      </c>
      <c r="E32" s="1">
        <v>269.99</v>
      </c>
      <c r="F32" s="1">
        <v>0.1</v>
      </c>
      <c r="G32">
        <v>269.99</v>
      </c>
      <c r="H32" s="22">
        <f>VLOOKUP(A32,[1]Orders!$A$2:$B$1616,2,0)</f>
        <v>42377</v>
      </c>
      <c r="J32" t="s">
        <v>31</v>
      </c>
      <c r="K32" t="s">
        <v>18</v>
      </c>
    </row>
    <row r="33" spans="1:11" x14ac:dyDescent="0.3">
      <c r="A33">
        <v>13</v>
      </c>
      <c r="B33">
        <v>2</v>
      </c>
      <c r="C33">
        <v>17</v>
      </c>
      <c r="D33">
        <v>2</v>
      </c>
      <c r="E33" s="1">
        <v>429</v>
      </c>
      <c r="F33" s="1">
        <v>0.05</v>
      </c>
      <c r="G33">
        <v>858</v>
      </c>
      <c r="H33" s="22">
        <f>VLOOKUP(A33,[1]Orders!$A$2:$B$1616,2,0)</f>
        <v>42377</v>
      </c>
      <c r="J33" t="s">
        <v>23</v>
      </c>
      <c r="K33" t="s">
        <v>18</v>
      </c>
    </row>
    <row r="34" spans="1:11" x14ac:dyDescent="0.3">
      <c r="A34">
        <v>13</v>
      </c>
      <c r="B34">
        <v>3</v>
      </c>
      <c r="C34">
        <v>20</v>
      </c>
      <c r="D34">
        <v>2</v>
      </c>
      <c r="E34" s="1">
        <v>599.99</v>
      </c>
      <c r="F34" s="1">
        <v>0.1</v>
      </c>
      <c r="G34">
        <v>1199.98</v>
      </c>
      <c r="H34" s="22">
        <f>VLOOKUP(A34,[1]Orders!$A$2:$B$1616,2,0)</f>
        <v>42377</v>
      </c>
      <c r="J34" t="s">
        <v>10</v>
      </c>
      <c r="K34" t="s">
        <v>18</v>
      </c>
    </row>
    <row r="35" spans="1:11" x14ac:dyDescent="0.3">
      <c r="A35">
        <v>13</v>
      </c>
      <c r="B35">
        <v>4</v>
      </c>
      <c r="C35">
        <v>16</v>
      </c>
      <c r="D35">
        <v>2</v>
      </c>
      <c r="E35" s="1">
        <v>599.99</v>
      </c>
      <c r="F35" s="1">
        <v>0.05</v>
      </c>
      <c r="G35">
        <v>1199.98</v>
      </c>
      <c r="H35" s="22">
        <f>VLOOKUP(A35,[1]Orders!$A$2:$B$1616,2,0)</f>
        <v>42377</v>
      </c>
      <c r="J35" t="s">
        <v>14</v>
      </c>
      <c r="K35" t="s">
        <v>18</v>
      </c>
    </row>
    <row r="36" spans="1:11" x14ac:dyDescent="0.3">
      <c r="A36">
        <v>14</v>
      </c>
      <c r="B36">
        <v>1</v>
      </c>
      <c r="C36">
        <v>6</v>
      </c>
      <c r="D36">
        <v>1</v>
      </c>
      <c r="E36" s="1">
        <v>469.99</v>
      </c>
      <c r="F36" s="1">
        <v>7.0000000000000007E-2</v>
      </c>
      <c r="G36">
        <v>469.99</v>
      </c>
      <c r="H36" s="22">
        <f>VLOOKUP(A36,[1]Orders!$A$2:$B$1616,2,0)</f>
        <v>42378</v>
      </c>
      <c r="J36" t="s">
        <v>32</v>
      </c>
      <c r="K36" t="s">
        <v>11</v>
      </c>
    </row>
    <row r="37" spans="1:11" x14ac:dyDescent="0.3">
      <c r="A37">
        <v>15</v>
      </c>
      <c r="B37">
        <v>1</v>
      </c>
      <c r="C37">
        <v>12</v>
      </c>
      <c r="D37">
        <v>2</v>
      </c>
      <c r="E37" s="1">
        <v>549.99</v>
      </c>
      <c r="F37" s="1">
        <v>7.0000000000000007E-2</v>
      </c>
      <c r="G37">
        <v>1099.98</v>
      </c>
      <c r="H37" s="22">
        <f>VLOOKUP(A37,[1]Orders!$A$2:$B$1616,2,0)</f>
        <v>42378</v>
      </c>
      <c r="J37" t="s">
        <v>25</v>
      </c>
      <c r="K37" t="s">
        <v>18</v>
      </c>
    </row>
    <row r="38" spans="1:11" x14ac:dyDescent="0.3">
      <c r="A38">
        <v>15</v>
      </c>
      <c r="B38">
        <v>2</v>
      </c>
      <c r="C38">
        <v>8</v>
      </c>
      <c r="D38">
        <v>1</v>
      </c>
      <c r="E38" s="1">
        <v>1799.99</v>
      </c>
      <c r="F38" s="1">
        <v>7.0000000000000007E-2</v>
      </c>
      <c r="G38">
        <v>1799.99</v>
      </c>
      <c r="H38" s="22">
        <f>VLOOKUP(A38,[1]Orders!$A$2:$B$1616,2,0)</f>
        <v>42378</v>
      </c>
      <c r="J38" t="s">
        <v>12</v>
      </c>
      <c r="K38" t="s">
        <v>18</v>
      </c>
    </row>
    <row r="39" spans="1:11" x14ac:dyDescent="0.3">
      <c r="A39">
        <v>15</v>
      </c>
      <c r="B39">
        <v>3</v>
      </c>
      <c r="C39">
        <v>18</v>
      </c>
      <c r="D39">
        <v>2</v>
      </c>
      <c r="E39" s="1">
        <v>449</v>
      </c>
      <c r="F39" s="1">
        <v>0.05</v>
      </c>
      <c r="G39">
        <v>898</v>
      </c>
      <c r="H39" s="22">
        <f>VLOOKUP(A39,[1]Orders!$A$2:$B$1616,2,0)</f>
        <v>42378</v>
      </c>
      <c r="J39" t="s">
        <v>24</v>
      </c>
      <c r="K39" t="s">
        <v>18</v>
      </c>
    </row>
    <row r="40" spans="1:11" x14ac:dyDescent="0.3">
      <c r="A40">
        <v>15</v>
      </c>
      <c r="B40">
        <v>4</v>
      </c>
      <c r="C40">
        <v>23</v>
      </c>
      <c r="D40">
        <v>2</v>
      </c>
      <c r="E40" s="1">
        <v>299.99</v>
      </c>
      <c r="F40" s="1">
        <v>0.2</v>
      </c>
      <c r="G40">
        <v>599.98</v>
      </c>
      <c r="H40" s="22">
        <f>VLOOKUP(A40,[1]Orders!$A$2:$B$1616,2,0)</f>
        <v>42378</v>
      </c>
      <c r="J40" t="s">
        <v>33</v>
      </c>
      <c r="K40" t="s">
        <v>18</v>
      </c>
    </row>
    <row r="41" spans="1:11" x14ac:dyDescent="0.3">
      <c r="A41">
        <v>16</v>
      </c>
      <c r="B41">
        <v>1</v>
      </c>
      <c r="C41">
        <v>8</v>
      </c>
      <c r="D41">
        <v>1</v>
      </c>
      <c r="E41" s="1">
        <v>1799.99</v>
      </c>
      <c r="F41" s="1">
        <v>0.2</v>
      </c>
      <c r="G41">
        <v>1799.99</v>
      </c>
      <c r="H41" s="22">
        <f>VLOOKUP(A41,[1]Orders!$A$2:$B$1616,2,0)</f>
        <v>42381</v>
      </c>
      <c r="J41" t="s">
        <v>12</v>
      </c>
      <c r="K41" t="s">
        <v>11</v>
      </c>
    </row>
    <row r="42" spans="1:11" x14ac:dyDescent="0.3">
      <c r="A42">
        <v>16</v>
      </c>
      <c r="B42">
        <v>2</v>
      </c>
      <c r="C42">
        <v>21</v>
      </c>
      <c r="D42">
        <v>1</v>
      </c>
      <c r="E42" s="1">
        <v>269.99</v>
      </c>
      <c r="F42" s="1">
        <v>0.05</v>
      </c>
      <c r="G42">
        <v>269.99</v>
      </c>
      <c r="H42" s="22">
        <f>VLOOKUP(A42,[1]Orders!$A$2:$B$1616,2,0)</f>
        <v>42381</v>
      </c>
      <c r="J42" t="s">
        <v>31</v>
      </c>
      <c r="K42" t="s">
        <v>11</v>
      </c>
    </row>
    <row r="43" spans="1:11" x14ac:dyDescent="0.3">
      <c r="A43">
        <v>16</v>
      </c>
      <c r="B43">
        <v>3</v>
      </c>
      <c r="C43">
        <v>13</v>
      </c>
      <c r="D43">
        <v>2</v>
      </c>
      <c r="E43" s="1">
        <v>269.99</v>
      </c>
      <c r="F43" s="1">
        <v>7.0000000000000007E-2</v>
      </c>
      <c r="G43">
        <v>539.98</v>
      </c>
      <c r="H43" s="22">
        <f>VLOOKUP(A43,[1]Orders!$A$2:$B$1616,2,0)</f>
        <v>42381</v>
      </c>
      <c r="J43" t="s">
        <v>31</v>
      </c>
      <c r="K43" t="s">
        <v>11</v>
      </c>
    </row>
    <row r="44" spans="1:11" x14ac:dyDescent="0.3">
      <c r="A44">
        <v>16</v>
      </c>
      <c r="B44">
        <v>4</v>
      </c>
      <c r="C44">
        <v>14</v>
      </c>
      <c r="D44">
        <v>1</v>
      </c>
      <c r="E44" s="1">
        <v>269.99</v>
      </c>
      <c r="F44" s="1">
        <v>7.0000000000000007E-2</v>
      </c>
      <c r="G44">
        <v>269.99</v>
      </c>
      <c r="H44" s="22">
        <f>VLOOKUP(A44,[1]Orders!$A$2:$B$1616,2,0)</f>
        <v>42381</v>
      </c>
      <c r="J44" t="s">
        <v>28</v>
      </c>
      <c r="K44" t="s">
        <v>11</v>
      </c>
    </row>
    <row r="45" spans="1:11" x14ac:dyDescent="0.3">
      <c r="A45">
        <v>17</v>
      </c>
      <c r="B45">
        <v>1</v>
      </c>
      <c r="C45">
        <v>8</v>
      </c>
      <c r="D45">
        <v>1</v>
      </c>
      <c r="E45" s="1">
        <v>1799.99</v>
      </c>
      <c r="F45" s="1">
        <v>7.0000000000000007E-2</v>
      </c>
      <c r="G45">
        <v>1799.99</v>
      </c>
      <c r="H45" s="22">
        <f>VLOOKUP(A45,[1]Orders!$A$2:$B$1616,2,0)</f>
        <v>42381</v>
      </c>
      <c r="J45" t="s">
        <v>12</v>
      </c>
      <c r="K45" t="s">
        <v>11</v>
      </c>
    </row>
    <row r="46" spans="1:11" x14ac:dyDescent="0.3">
      <c r="A46">
        <v>17</v>
      </c>
      <c r="B46">
        <v>2</v>
      </c>
      <c r="C46">
        <v>23</v>
      </c>
      <c r="D46">
        <v>1</v>
      </c>
      <c r="E46" s="1">
        <v>299.99</v>
      </c>
      <c r="F46" s="1">
        <v>0.1</v>
      </c>
      <c r="G46">
        <v>299.99</v>
      </c>
      <c r="H46" s="22">
        <f>VLOOKUP(A46,[1]Orders!$A$2:$B$1616,2,0)</f>
        <v>42381</v>
      </c>
      <c r="J46" t="s">
        <v>33</v>
      </c>
      <c r="K46" t="s">
        <v>11</v>
      </c>
    </row>
    <row r="47" spans="1:11" x14ac:dyDescent="0.3">
      <c r="A47">
        <v>17</v>
      </c>
      <c r="B47">
        <v>3</v>
      </c>
      <c r="C47">
        <v>5</v>
      </c>
      <c r="D47">
        <v>1</v>
      </c>
      <c r="E47" s="1">
        <v>1320.99</v>
      </c>
      <c r="F47" s="1">
        <v>0.1</v>
      </c>
      <c r="G47">
        <v>1320.99</v>
      </c>
      <c r="H47" s="22">
        <f>VLOOKUP(A47,[1]Orders!$A$2:$B$1616,2,0)</f>
        <v>42381</v>
      </c>
      <c r="J47" t="s">
        <v>34</v>
      </c>
      <c r="K47" t="s">
        <v>11</v>
      </c>
    </row>
    <row r="48" spans="1:11" x14ac:dyDescent="0.3">
      <c r="A48">
        <v>17</v>
      </c>
      <c r="B48">
        <v>4</v>
      </c>
      <c r="C48">
        <v>20</v>
      </c>
      <c r="D48">
        <v>2</v>
      </c>
      <c r="E48" s="1">
        <v>599.99</v>
      </c>
      <c r="F48" s="1">
        <v>0.2</v>
      </c>
      <c r="G48">
        <v>1199.98</v>
      </c>
      <c r="H48" s="22">
        <f>VLOOKUP(A48,[1]Orders!$A$2:$B$1616,2,0)</f>
        <v>42381</v>
      </c>
      <c r="J48" t="s">
        <v>10</v>
      </c>
      <c r="K48" t="s">
        <v>11</v>
      </c>
    </row>
    <row r="49" spans="1:11" x14ac:dyDescent="0.3">
      <c r="A49">
        <v>18</v>
      </c>
      <c r="B49">
        <v>1</v>
      </c>
      <c r="C49">
        <v>2</v>
      </c>
      <c r="D49">
        <v>2</v>
      </c>
      <c r="E49" s="1">
        <v>749.99</v>
      </c>
      <c r="F49" s="1">
        <v>0.2</v>
      </c>
      <c r="G49">
        <v>1499.98</v>
      </c>
      <c r="H49" s="22">
        <f>VLOOKUP(A49,[1]Orders!$A$2:$B$1616,2,0)</f>
        <v>42383</v>
      </c>
      <c r="J49" t="s">
        <v>22</v>
      </c>
      <c r="K49" t="s">
        <v>11</v>
      </c>
    </row>
    <row r="50" spans="1:11" x14ac:dyDescent="0.3">
      <c r="A50">
        <v>18</v>
      </c>
      <c r="B50">
        <v>2</v>
      </c>
      <c r="C50">
        <v>22</v>
      </c>
      <c r="D50">
        <v>1</v>
      </c>
      <c r="E50" s="1">
        <v>269.99</v>
      </c>
      <c r="F50" s="1">
        <v>0.05</v>
      </c>
      <c r="G50">
        <v>269.99</v>
      </c>
      <c r="H50" s="22">
        <f>VLOOKUP(A50,[1]Orders!$A$2:$B$1616,2,0)</f>
        <v>42383</v>
      </c>
      <c r="J50" t="s">
        <v>28</v>
      </c>
      <c r="K50" t="s">
        <v>11</v>
      </c>
    </row>
    <row r="51" spans="1:11" x14ac:dyDescent="0.3">
      <c r="A51">
        <v>18</v>
      </c>
      <c r="B51">
        <v>3</v>
      </c>
      <c r="C51">
        <v>7</v>
      </c>
      <c r="D51">
        <v>1</v>
      </c>
      <c r="E51" s="1">
        <v>3999.99</v>
      </c>
      <c r="F51" s="1">
        <v>0.1</v>
      </c>
      <c r="G51">
        <v>3999.99</v>
      </c>
      <c r="H51" s="22">
        <f>VLOOKUP(A51,[1]Orders!$A$2:$B$1616,2,0)</f>
        <v>42383</v>
      </c>
      <c r="J51" t="s">
        <v>29</v>
      </c>
      <c r="K51" t="s">
        <v>11</v>
      </c>
    </row>
    <row r="52" spans="1:11" x14ac:dyDescent="0.3">
      <c r="A52">
        <v>18</v>
      </c>
      <c r="B52">
        <v>4</v>
      </c>
      <c r="C52">
        <v>25</v>
      </c>
      <c r="D52">
        <v>2</v>
      </c>
      <c r="E52" s="1">
        <v>499.99</v>
      </c>
      <c r="F52" s="1">
        <v>0.05</v>
      </c>
      <c r="G52">
        <v>999.98</v>
      </c>
      <c r="H52" s="22">
        <f>VLOOKUP(A52,[1]Orders!$A$2:$B$1616,2,0)</f>
        <v>42383</v>
      </c>
      <c r="J52" t="s">
        <v>35</v>
      </c>
      <c r="K52" t="s">
        <v>11</v>
      </c>
    </row>
    <row r="53" spans="1:11" x14ac:dyDescent="0.3">
      <c r="A53">
        <v>18</v>
      </c>
      <c r="B53">
        <v>5</v>
      </c>
      <c r="C53">
        <v>9</v>
      </c>
      <c r="D53">
        <v>2</v>
      </c>
      <c r="E53" s="1">
        <v>2999.99</v>
      </c>
      <c r="F53" s="1">
        <v>0.1</v>
      </c>
      <c r="G53">
        <v>5999.98</v>
      </c>
      <c r="H53" s="22">
        <f>VLOOKUP(A53,[1]Orders!$A$2:$B$1616,2,0)</f>
        <v>42383</v>
      </c>
      <c r="J53" t="s">
        <v>26</v>
      </c>
      <c r="K53" t="s">
        <v>11</v>
      </c>
    </row>
    <row r="54" spans="1:11" x14ac:dyDescent="0.3">
      <c r="A54">
        <v>19</v>
      </c>
      <c r="B54">
        <v>1</v>
      </c>
      <c r="C54">
        <v>10</v>
      </c>
      <c r="D54">
        <v>1</v>
      </c>
      <c r="E54" s="1">
        <v>1549</v>
      </c>
      <c r="F54" s="1">
        <v>7.0000000000000007E-2</v>
      </c>
      <c r="G54">
        <v>1549</v>
      </c>
      <c r="H54" s="22">
        <f>VLOOKUP(A54,[1]Orders!$A$2:$B$1616,2,0)</f>
        <v>42383</v>
      </c>
      <c r="J54" t="s">
        <v>13</v>
      </c>
      <c r="K54" t="s">
        <v>11</v>
      </c>
    </row>
    <row r="55" spans="1:11" x14ac:dyDescent="0.3">
      <c r="A55">
        <v>19</v>
      </c>
      <c r="B55">
        <v>2</v>
      </c>
      <c r="C55">
        <v>9</v>
      </c>
      <c r="D55">
        <v>2</v>
      </c>
      <c r="E55" s="1">
        <v>2999.99</v>
      </c>
      <c r="F55" s="1">
        <v>0.2</v>
      </c>
      <c r="G55">
        <v>5999.98</v>
      </c>
      <c r="H55" s="22">
        <f>VLOOKUP(A55,[1]Orders!$A$2:$B$1616,2,0)</f>
        <v>42383</v>
      </c>
      <c r="J55" t="s">
        <v>26</v>
      </c>
      <c r="K55" t="s">
        <v>11</v>
      </c>
    </row>
    <row r="56" spans="1:11" x14ac:dyDescent="0.3">
      <c r="A56">
        <v>20</v>
      </c>
      <c r="B56">
        <v>1</v>
      </c>
      <c r="C56">
        <v>9</v>
      </c>
      <c r="D56">
        <v>1</v>
      </c>
      <c r="E56" s="1">
        <v>2999.99</v>
      </c>
      <c r="F56" s="1">
        <v>7.0000000000000007E-2</v>
      </c>
      <c r="G56">
        <v>2999.99</v>
      </c>
      <c r="H56" s="22">
        <f>VLOOKUP(A56,[1]Orders!$A$2:$B$1616,2,0)</f>
        <v>42383</v>
      </c>
      <c r="J56" t="s">
        <v>26</v>
      </c>
      <c r="K56" t="s">
        <v>11</v>
      </c>
    </row>
    <row r="57" spans="1:11" x14ac:dyDescent="0.3">
      <c r="A57">
        <v>20</v>
      </c>
      <c r="B57">
        <v>2</v>
      </c>
      <c r="C57">
        <v>10</v>
      </c>
      <c r="D57">
        <v>2</v>
      </c>
      <c r="E57" s="1">
        <v>1549</v>
      </c>
      <c r="F57" s="1">
        <v>7.0000000000000007E-2</v>
      </c>
      <c r="G57">
        <v>3098</v>
      </c>
      <c r="H57" s="22">
        <f>VLOOKUP(A57,[1]Orders!$A$2:$B$1616,2,0)</f>
        <v>42383</v>
      </c>
      <c r="J57" t="s">
        <v>13</v>
      </c>
      <c r="K57" t="s">
        <v>11</v>
      </c>
    </row>
    <row r="58" spans="1:11" x14ac:dyDescent="0.3">
      <c r="A58">
        <v>21</v>
      </c>
      <c r="B58">
        <v>1</v>
      </c>
      <c r="C58">
        <v>14</v>
      </c>
      <c r="D58">
        <v>1</v>
      </c>
      <c r="E58" s="1">
        <v>269.99</v>
      </c>
      <c r="F58" s="1">
        <v>0.05</v>
      </c>
      <c r="G58">
        <v>269.99</v>
      </c>
      <c r="H58" s="22">
        <f>VLOOKUP(A58,[1]Orders!$A$2:$B$1616,2,0)</f>
        <v>42384</v>
      </c>
      <c r="J58" t="s">
        <v>28</v>
      </c>
      <c r="K58" t="s">
        <v>18</v>
      </c>
    </row>
    <row r="59" spans="1:11" x14ac:dyDescent="0.3">
      <c r="A59">
        <v>21</v>
      </c>
      <c r="B59">
        <v>2</v>
      </c>
      <c r="C59">
        <v>17</v>
      </c>
      <c r="D59">
        <v>1</v>
      </c>
      <c r="E59" s="1">
        <v>429</v>
      </c>
      <c r="F59" s="1">
        <v>0.1</v>
      </c>
      <c r="G59">
        <v>429</v>
      </c>
      <c r="H59" s="22">
        <f>VLOOKUP(A59,[1]Orders!$A$2:$B$1616,2,0)</f>
        <v>42384</v>
      </c>
      <c r="J59" t="s">
        <v>23</v>
      </c>
      <c r="K59" t="s">
        <v>18</v>
      </c>
    </row>
    <row r="60" spans="1:11" x14ac:dyDescent="0.3">
      <c r="A60">
        <v>21</v>
      </c>
      <c r="B60">
        <v>3</v>
      </c>
      <c r="C60">
        <v>10</v>
      </c>
      <c r="D60">
        <v>1</v>
      </c>
      <c r="E60" s="1">
        <v>1549</v>
      </c>
      <c r="F60" s="1">
        <v>7.0000000000000007E-2</v>
      </c>
      <c r="G60">
        <v>1549</v>
      </c>
      <c r="H60" s="22">
        <f>VLOOKUP(A60,[1]Orders!$A$2:$B$1616,2,0)</f>
        <v>42384</v>
      </c>
      <c r="J60" t="s">
        <v>13</v>
      </c>
      <c r="K60" t="s">
        <v>18</v>
      </c>
    </row>
    <row r="61" spans="1:11" x14ac:dyDescent="0.3">
      <c r="A61">
        <v>22</v>
      </c>
      <c r="B61">
        <v>1</v>
      </c>
      <c r="C61">
        <v>15</v>
      </c>
      <c r="D61">
        <v>2</v>
      </c>
      <c r="E61" s="1">
        <v>529.99</v>
      </c>
      <c r="F61" s="1">
        <v>0.2</v>
      </c>
      <c r="G61">
        <v>1059.98</v>
      </c>
      <c r="H61" s="22">
        <f>VLOOKUP(A61,[1]Orders!$A$2:$B$1616,2,0)</f>
        <v>42385</v>
      </c>
      <c r="J61" t="s">
        <v>27</v>
      </c>
      <c r="K61" t="s">
        <v>11</v>
      </c>
    </row>
    <row r="62" spans="1:11" x14ac:dyDescent="0.3">
      <c r="A62">
        <v>22</v>
      </c>
      <c r="B62">
        <v>2</v>
      </c>
      <c r="C62">
        <v>22</v>
      </c>
      <c r="D62">
        <v>1</v>
      </c>
      <c r="E62" s="1">
        <v>269.99</v>
      </c>
      <c r="F62" s="1">
        <v>0.05</v>
      </c>
      <c r="G62">
        <v>269.99</v>
      </c>
      <c r="H62" s="22">
        <f>VLOOKUP(A62,[1]Orders!$A$2:$B$1616,2,0)</f>
        <v>42385</v>
      </c>
      <c r="J62" t="s">
        <v>28</v>
      </c>
      <c r="K62" t="s">
        <v>11</v>
      </c>
    </row>
    <row r="63" spans="1:11" x14ac:dyDescent="0.3">
      <c r="A63">
        <v>23</v>
      </c>
      <c r="B63">
        <v>1</v>
      </c>
      <c r="C63">
        <v>4</v>
      </c>
      <c r="D63">
        <v>2</v>
      </c>
      <c r="E63" s="1">
        <v>2899.99</v>
      </c>
      <c r="F63" s="1">
        <v>0.05</v>
      </c>
      <c r="G63">
        <v>5799.98</v>
      </c>
      <c r="H63" s="22">
        <f>VLOOKUP(A63,[1]Orders!$A$2:$B$1616,2,0)</f>
        <v>42385</v>
      </c>
      <c r="J63" t="s">
        <v>16</v>
      </c>
      <c r="K63" t="s">
        <v>11</v>
      </c>
    </row>
    <row r="64" spans="1:11" x14ac:dyDescent="0.3">
      <c r="A64">
        <v>23</v>
      </c>
      <c r="B64">
        <v>2</v>
      </c>
      <c r="C64">
        <v>23</v>
      </c>
      <c r="D64">
        <v>2</v>
      </c>
      <c r="E64" s="1">
        <v>299.99</v>
      </c>
      <c r="F64" s="1">
        <v>0.1</v>
      </c>
      <c r="G64">
        <v>599.98</v>
      </c>
      <c r="H64" s="22">
        <f>VLOOKUP(A64,[1]Orders!$A$2:$B$1616,2,0)</f>
        <v>42385</v>
      </c>
      <c r="J64" t="s">
        <v>33</v>
      </c>
      <c r="K64" t="s">
        <v>11</v>
      </c>
    </row>
    <row r="65" spans="1:11" x14ac:dyDescent="0.3">
      <c r="A65">
        <v>23</v>
      </c>
      <c r="B65">
        <v>3</v>
      </c>
      <c r="C65">
        <v>13</v>
      </c>
      <c r="D65">
        <v>1</v>
      </c>
      <c r="E65" s="1">
        <v>269.99</v>
      </c>
      <c r="F65" s="1">
        <v>0.2</v>
      </c>
      <c r="G65">
        <v>269.99</v>
      </c>
      <c r="H65" s="22">
        <f>VLOOKUP(A65,[1]Orders!$A$2:$B$1616,2,0)</f>
        <v>42385</v>
      </c>
      <c r="J65" t="s">
        <v>31</v>
      </c>
      <c r="K65" t="s">
        <v>11</v>
      </c>
    </row>
    <row r="66" spans="1:11" x14ac:dyDescent="0.3">
      <c r="A66">
        <v>24</v>
      </c>
      <c r="B66">
        <v>1</v>
      </c>
      <c r="C66">
        <v>3</v>
      </c>
      <c r="D66">
        <v>2</v>
      </c>
      <c r="E66" s="1">
        <v>999.99</v>
      </c>
      <c r="F66" s="1">
        <v>0.1</v>
      </c>
      <c r="G66">
        <v>1999.98</v>
      </c>
      <c r="H66" s="22">
        <f>VLOOKUP(A66,[1]Orders!$A$2:$B$1616,2,0)</f>
        <v>42387</v>
      </c>
      <c r="J66" t="s">
        <v>20</v>
      </c>
      <c r="K66" t="s">
        <v>18</v>
      </c>
    </row>
    <row r="67" spans="1:11" x14ac:dyDescent="0.3">
      <c r="A67">
        <v>24</v>
      </c>
      <c r="B67">
        <v>2</v>
      </c>
      <c r="C67">
        <v>18</v>
      </c>
      <c r="D67">
        <v>2</v>
      </c>
      <c r="E67" s="1">
        <v>449</v>
      </c>
      <c r="F67" s="1">
        <v>7.0000000000000007E-2</v>
      </c>
      <c r="G67">
        <v>898</v>
      </c>
      <c r="H67" s="22">
        <f>VLOOKUP(A67,[1]Orders!$A$2:$B$1616,2,0)</f>
        <v>42387</v>
      </c>
      <c r="J67" t="s">
        <v>24</v>
      </c>
      <c r="K67" t="s">
        <v>18</v>
      </c>
    </row>
    <row r="68" spans="1:11" x14ac:dyDescent="0.3">
      <c r="A68">
        <v>25</v>
      </c>
      <c r="B68">
        <v>1</v>
      </c>
      <c r="C68">
        <v>23</v>
      </c>
      <c r="D68">
        <v>2</v>
      </c>
      <c r="E68" s="1">
        <v>299.99</v>
      </c>
      <c r="F68" s="1">
        <v>0.2</v>
      </c>
      <c r="G68">
        <v>599.98</v>
      </c>
      <c r="H68" s="22">
        <f>VLOOKUP(A68,[1]Orders!$A$2:$B$1616,2,0)</f>
        <v>42387</v>
      </c>
      <c r="J68" t="s">
        <v>33</v>
      </c>
      <c r="K68" t="s">
        <v>18</v>
      </c>
    </row>
    <row r="69" spans="1:11" x14ac:dyDescent="0.3">
      <c r="A69">
        <v>25</v>
      </c>
      <c r="B69">
        <v>2</v>
      </c>
      <c r="C69">
        <v>10</v>
      </c>
      <c r="D69">
        <v>2</v>
      </c>
      <c r="E69" s="1">
        <v>1549</v>
      </c>
      <c r="F69" s="1">
        <v>0.2</v>
      </c>
      <c r="G69">
        <v>3098</v>
      </c>
      <c r="H69" s="22">
        <f>VLOOKUP(A69,[1]Orders!$A$2:$B$1616,2,0)</f>
        <v>42387</v>
      </c>
      <c r="J69" t="s">
        <v>13</v>
      </c>
      <c r="K69" t="s">
        <v>18</v>
      </c>
    </row>
    <row r="70" spans="1:11" x14ac:dyDescent="0.3">
      <c r="A70">
        <v>25</v>
      </c>
      <c r="B70">
        <v>3</v>
      </c>
      <c r="C70">
        <v>22</v>
      </c>
      <c r="D70">
        <v>1</v>
      </c>
      <c r="E70" s="1">
        <v>269.99</v>
      </c>
      <c r="F70" s="1">
        <v>0.2</v>
      </c>
      <c r="G70">
        <v>269.99</v>
      </c>
      <c r="H70" s="22">
        <f>VLOOKUP(A70,[1]Orders!$A$2:$B$1616,2,0)</f>
        <v>42387</v>
      </c>
      <c r="J70" t="s">
        <v>28</v>
      </c>
      <c r="K70" t="s">
        <v>18</v>
      </c>
    </row>
    <row r="71" spans="1:11" x14ac:dyDescent="0.3">
      <c r="A71">
        <v>25</v>
      </c>
      <c r="B71">
        <v>4</v>
      </c>
      <c r="C71">
        <v>14</v>
      </c>
      <c r="D71">
        <v>1</v>
      </c>
      <c r="E71" s="1">
        <v>269.99</v>
      </c>
      <c r="F71" s="1">
        <v>0.2</v>
      </c>
      <c r="G71">
        <v>269.99</v>
      </c>
      <c r="H71" s="22">
        <f>VLOOKUP(A71,[1]Orders!$A$2:$B$1616,2,0)</f>
        <v>42387</v>
      </c>
      <c r="J71" t="s">
        <v>28</v>
      </c>
      <c r="K71" t="s">
        <v>18</v>
      </c>
    </row>
    <row r="72" spans="1:11" x14ac:dyDescent="0.3">
      <c r="A72">
        <v>25</v>
      </c>
      <c r="B72">
        <v>5</v>
      </c>
      <c r="C72">
        <v>21</v>
      </c>
      <c r="D72">
        <v>1</v>
      </c>
      <c r="E72" s="1">
        <v>269.99</v>
      </c>
      <c r="F72" s="1">
        <v>0.1</v>
      </c>
      <c r="G72">
        <v>269.99</v>
      </c>
      <c r="H72" s="22">
        <f>VLOOKUP(A72,[1]Orders!$A$2:$B$1616,2,0)</f>
        <v>42387</v>
      </c>
      <c r="J72" t="s">
        <v>31</v>
      </c>
      <c r="K72" t="s">
        <v>18</v>
      </c>
    </row>
    <row r="73" spans="1:11" x14ac:dyDescent="0.3">
      <c r="A73">
        <v>26</v>
      </c>
      <c r="B73">
        <v>1</v>
      </c>
      <c r="C73">
        <v>7</v>
      </c>
      <c r="D73">
        <v>1</v>
      </c>
      <c r="E73" s="1">
        <v>3999.99</v>
      </c>
      <c r="F73" s="1">
        <v>0.05</v>
      </c>
      <c r="G73">
        <v>3999.99</v>
      </c>
      <c r="H73" s="22">
        <f>VLOOKUP(A73,[1]Orders!$A$2:$B$1616,2,0)</f>
        <v>42387</v>
      </c>
      <c r="J73" t="s">
        <v>29</v>
      </c>
      <c r="K73" t="s">
        <v>18</v>
      </c>
    </row>
    <row r="74" spans="1:11" x14ac:dyDescent="0.3">
      <c r="A74">
        <v>26</v>
      </c>
      <c r="B74">
        <v>2</v>
      </c>
      <c r="C74">
        <v>2</v>
      </c>
      <c r="D74">
        <v>1</v>
      </c>
      <c r="E74" s="1">
        <v>749.99</v>
      </c>
      <c r="F74" s="1">
        <v>0.2</v>
      </c>
      <c r="G74">
        <v>749.99</v>
      </c>
      <c r="H74" s="22">
        <f>VLOOKUP(A74,[1]Orders!$A$2:$B$1616,2,0)</f>
        <v>42387</v>
      </c>
      <c r="J74" t="s">
        <v>22</v>
      </c>
      <c r="K74" t="s">
        <v>18</v>
      </c>
    </row>
    <row r="75" spans="1:11" x14ac:dyDescent="0.3">
      <c r="A75">
        <v>26</v>
      </c>
      <c r="B75">
        <v>3</v>
      </c>
      <c r="C75">
        <v>12</v>
      </c>
      <c r="D75">
        <v>1</v>
      </c>
      <c r="E75" s="1">
        <v>549.99</v>
      </c>
      <c r="F75" s="1">
        <v>0.2</v>
      </c>
      <c r="G75">
        <v>549.99</v>
      </c>
      <c r="H75" s="22">
        <f>VLOOKUP(A75,[1]Orders!$A$2:$B$1616,2,0)</f>
        <v>42387</v>
      </c>
      <c r="J75" t="s">
        <v>25</v>
      </c>
      <c r="K75" t="s">
        <v>18</v>
      </c>
    </row>
    <row r="76" spans="1:11" x14ac:dyDescent="0.3">
      <c r="A76">
        <v>26</v>
      </c>
      <c r="B76">
        <v>4</v>
      </c>
      <c r="C76">
        <v>21</v>
      </c>
      <c r="D76">
        <v>2</v>
      </c>
      <c r="E76" s="1">
        <v>269.99</v>
      </c>
      <c r="F76" s="1">
        <v>7.0000000000000007E-2</v>
      </c>
      <c r="G76">
        <v>539.98</v>
      </c>
      <c r="H76" s="22">
        <f>VLOOKUP(A76,[1]Orders!$A$2:$B$1616,2,0)</f>
        <v>42387</v>
      </c>
      <c r="J76" t="s">
        <v>31</v>
      </c>
      <c r="K76" t="s">
        <v>18</v>
      </c>
    </row>
    <row r="77" spans="1:11" x14ac:dyDescent="0.3">
      <c r="A77">
        <v>27</v>
      </c>
      <c r="B77">
        <v>1</v>
      </c>
      <c r="C77">
        <v>5</v>
      </c>
      <c r="D77">
        <v>1</v>
      </c>
      <c r="E77" s="1">
        <v>1320.99</v>
      </c>
      <c r="F77" s="1">
        <v>0.2</v>
      </c>
      <c r="G77">
        <v>1320.99</v>
      </c>
      <c r="H77" s="22">
        <f>VLOOKUP(A77,[1]Orders!$A$2:$B$1616,2,0)</f>
        <v>42388</v>
      </c>
      <c r="J77" t="s">
        <v>34</v>
      </c>
      <c r="K77" t="s">
        <v>18</v>
      </c>
    </row>
    <row r="78" spans="1:11" x14ac:dyDescent="0.3">
      <c r="A78">
        <v>27</v>
      </c>
      <c r="B78">
        <v>2</v>
      </c>
      <c r="C78">
        <v>19</v>
      </c>
      <c r="D78">
        <v>1</v>
      </c>
      <c r="E78" s="1">
        <v>449</v>
      </c>
      <c r="F78" s="1">
        <v>0.2</v>
      </c>
      <c r="G78">
        <v>449</v>
      </c>
      <c r="H78" s="22">
        <f>VLOOKUP(A78,[1]Orders!$A$2:$B$1616,2,0)</f>
        <v>42388</v>
      </c>
      <c r="J78" t="s">
        <v>36</v>
      </c>
      <c r="K78" t="s">
        <v>18</v>
      </c>
    </row>
    <row r="79" spans="1:11" x14ac:dyDescent="0.3">
      <c r="A79">
        <v>27</v>
      </c>
      <c r="B79">
        <v>3</v>
      </c>
      <c r="C79">
        <v>26</v>
      </c>
      <c r="D79">
        <v>2</v>
      </c>
      <c r="E79" s="1">
        <v>599.99</v>
      </c>
      <c r="F79" s="1">
        <v>7.0000000000000007E-2</v>
      </c>
      <c r="G79">
        <v>1199.98</v>
      </c>
      <c r="H79" s="22">
        <f>VLOOKUP(A79,[1]Orders!$A$2:$B$1616,2,0)</f>
        <v>42388</v>
      </c>
      <c r="J79" t="s">
        <v>14</v>
      </c>
      <c r="K79" t="s">
        <v>18</v>
      </c>
    </row>
    <row r="80" spans="1:11" x14ac:dyDescent="0.3">
      <c r="A80">
        <v>27</v>
      </c>
      <c r="B80">
        <v>4</v>
      </c>
      <c r="C80">
        <v>8</v>
      </c>
      <c r="D80">
        <v>1</v>
      </c>
      <c r="E80" s="1">
        <v>1799.99</v>
      </c>
      <c r="F80" s="1">
        <v>7.0000000000000007E-2</v>
      </c>
      <c r="G80">
        <v>1799.99</v>
      </c>
      <c r="H80" s="22">
        <f>VLOOKUP(A80,[1]Orders!$A$2:$B$1616,2,0)</f>
        <v>42388</v>
      </c>
      <c r="J80" t="s">
        <v>12</v>
      </c>
      <c r="K80" t="s">
        <v>18</v>
      </c>
    </row>
    <row r="81" spans="1:11" x14ac:dyDescent="0.3">
      <c r="A81">
        <v>28</v>
      </c>
      <c r="B81">
        <v>1</v>
      </c>
      <c r="C81">
        <v>5</v>
      </c>
      <c r="D81">
        <v>1</v>
      </c>
      <c r="E81" s="1">
        <v>1320.99</v>
      </c>
      <c r="F81" s="1">
        <v>0.05</v>
      </c>
      <c r="G81">
        <v>1320.99</v>
      </c>
      <c r="H81" s="22">
        <f>VLOOKUP(A81,[1]Orders!$A$2:$B$1616,2,0)</f>
        <v>42388</v>
      </c>
      <c r="J81" t="s">
        <v>34</v>
      </c>
      <c r="K81" t="s">
        <v>18</v>
      </c>
    </row>
    <row r="82" spans="1:11" x14ac:dyDescent="0.3">
      <c r="A82">
        <v>28</v>
      </c>
      <c r="B82">
        <v>2</v>
      </c>
      <c r="C82">
        <v>7</v>
      </c>
      <c r="D82">
        <v>2</v>
      </c>
      <c r="E82" s="1">
        <v>3999.99</v>
      </c>
      <c r="F82" s="1">
        <v>0.2</v>
      </c>
      <c r="G82">
        <v>7999.98</v>
      </c>
      <c r="H82" s="22">
        <f>VLOOKUP(A82,[1]Orders!$A$2:$B$1616,2,0)</f>
        <v>42388</v>
      </c>
      <c r="J82" t="s">
        <v>29</v>
      </c>
      <c r="K82" t="s">
        <v>18</v>
      </c>
    </row>
    <row r="83" spans="1:11" x14ac:dyDescent="0.3">
      <c r="A83">
        <v>28</v>
      </c>
      <c r="B83">
        <v>3</v>
      </c>
      <c r="C83">
        <v>14</v>
      </c>
      <c r="D83">
        <v>2</v>
      </c>
      <c r="E83" s="1">
        <v>269.99</v>
      </c>
      <c r="F83" s="1">
        <v>0.1</v>
      </c>
      <c r="G83">
        <v>539.98</v>
      </c>
      <c r="H83" s="22">
        <f>VLOOKUP(A83,[1]Orders!$A$2:$B$1616,2,0)</f>
        <v>42388</v>
      </c>
      <c r="J83" t="s">
        <v>28</v>
      </c>
      <c r="K83" t="s">
        <v>18</v>
      </c>
    </row>
    <row r="84" spans="1:11" x14ac:dyDescent="0.3">
      <c r="A84">
        <v>28</v>
      </c>
      <c r="B84">
        <v>4</v>
      </c>
      <c r="C84">
        <v>6</v>
      </c>
      <c r="D84">
        <v>1</v>
      </c>
      <c r="E84" s="1">
        <v>469.99</v>
      </c>
      <c r="F84" s="1">
        <v>0.05</v>
      </c>
      <c r="G84">
        <v>469.99</v>
      </c>
      <c r="H84" s="22">
        <f>VLOOKUP(A84,[1]Orders!$A$2:$B$1616,2,0)</f>
        <v>42388</v>
      </c>
      <c r="J84" t="s">
        <v>32</v>
      </c>
      <c r="K84" t="s">
        <v>18</v>
      </c>
    </row>
    <row r="85" spans="1:11" x14ac:dyDescent="0.3">
      <c r="A85">
        <v>29</v>
      </c>
      <c r="B85">
        <v>1</v>
      </c>
      <c r="C85">
        <v>24</v>
      </c>
      <c r="D85">
        <v>2</v>
      </c>
      <c r="E85" s="1">
        <v>549.99</v>
      </c>
      <c r="F85" s="1">
        <v>0.05</v>
      </c>
      <c r="G85">
        <v>1099.98</v>
      </c>
      <c r="H85" s="22">
        <f>VLOOKUP(A85,[1]Orders!$A$2:$B$1616,2,0)</f>
        <v>42389</v>
      </c>
      <c r="J85" t="s">
        <v>25</v>
      </c>
      <c r="K85" t="s">
        <v>18</v>
      </c>
    </row>
    <row r="86" spans="1:11" x14ac:dyDescent="0.3">
      <c r="A86">
        <v>29</v>
      </c>
      <c r="B86">
        <v>2</v>
      </c>
      <c r="C86">
        <v>6</v>
      </c>
      <c r="D86">
        <v>1</v>
      </c>
      <c r="E86" s="1">
        <v>469.99</v>
      </c>
      <c r="F86" s="1">
        <v>0.2</v>
      </c>
      <c r="G86">
        <v>469.99</v>
      </c>
      <c r="H86" s="22">
        <f>VLOOKUP(A86,[1]Orders!$A$2:$B$1616,2,0)</f>
        <v>42389</v>
      </c>
      <c r="J86" t="s">
        <v>32</v>
      </c>
      <c r="K86" t="s">
        <v>18</v>
      </c>
    </row>
    <row r="87" spans="1:11" x14ac:dyDescent="0.3">
      <c r="A87">
        <v>29</v>
      </c>
      <c r="B87">
        <v>3</v>
      </c>
      <c r="C87">
        <v>21</v>
      </c>
      <c r="D87">
        <v>2</v>
      </c>
      <c r="E87" s="1">
        <v>269.99</v>
      </c>
      <c r="F87" s="1">
        <v>0.1</v>
      </c>
      <c r="G87">
        <v>539.98</v>
      </c>
      <c r="H87" s="22">
        <f>VLOOKUP(A87,[1]Orders!$A$2:$B$1616,2,0)</f>
        <v>42389</v>
      </c>
      <c r="J87" t="s">
        <v>31</v>
      </c>
      <c r="K87" t="s">
        <v>18</v>
      </c>
    </row>
    <row r="88" spans="1:11" x14ac:dyDescent="0.3">
      <c r="A88">
        <v>29</v>
      </c>
      <c r="B88">
        <v>4</v>
      </c>
      <c r="C88">
        <v>8</v>
      </c>
      <c r="D88">
        <v>1</v>
      </c>
      <c r="E88" s="1">
        <v>1799.99</v>
      </c>
      <c r="F88" s="1">
        <v>0.2</v>
      </c>
      <c r="G88">
        <v>1799.99</v>
      </c>
      <c r="H88" s="22">
        <f>VLOOKUP(A88,[1]Orders!$A$2:$B$1616,2,0)</f>
        <v>42389</v>
      </c>
      <c r="J88" t="s">
        <v>12</v>
      </c>
      <c r="K88" t="s">
        <v>18</v>
      </c>
    </row>
    <row r="89" spans="1:11" x14ac:dyDescent="0.3">
      <c r="A89">
        <v>29</v>
      </c>
      <c r="B89">
        <v>5</v>
      </c>
      <c r="C89">
        <v>14</v>
      </c>
      <c r="D89">
        <v>2</v>
      </c>
      <c r="E89" s="1">
        <v>269.99</v>
      </c>
      <c r="F89" s="1">
        <v>0.05</v>
      </c>
      <c r="G89">
        <v>539.98</v>
      </c>
      <c r="H89" s="22">
        <f>VLOOKUP(A89,[1]Orders!$A$2:$B$1616,2,0)</f>
        <v>42389</v>
      </c>
      <c r="J89" t="s">
        <v>28</v>
      </c>
      <c r="K89" t="s">
        <v>18</v>
      </c>
    </row>
    <row r="90" spans="1:11" x14ac:dyDescent="0.3">
      <c r="A90">
        <v>30</v>
      </c>
      <c r="B90">
        <v>1</v>
      </c>
      <c r="C90">
        <v>26</v>
      </c>
      <c r="D90">
        <v>1</v>
      </c>
      <c r="E90" s="1">
        <v>599.99</v>
      </c>
      <c r="F90" s="1">
        <v>0.05</v>
      </c>
      <c r="G90">
        <v>599.99</v>
      </c>
      <c r="H90" s="22">
        <f>VLOOKUP(A90,[1]Orders!$A$2:$B$1616,2,0)</f>
        <v>42389</v>
      </c>
      <c r="J90" t="s">
        <v>14</v>
      </c>
      <c r="K90" t="s">
        <v>18</v>
      </c>
    </row>
    <row r="91" spans="1:11" x14ac:dyDescent="0.3">
      <c r="A91">
        <v>30</v>
      </c>
      <c r="B91">
        <v>2</v>
      </c>
      <c r="C91">
        <v>17</v>
      </c>
      <c r="D91">
        <v>1</v>
      </c>
      <c r="E91" s="1">
        <v>429</v>
      </c>
      <c r="F91" s="1">
        <v>7.0000000000000007E-2</v>
      </c>
      <c r="G91">
        <v>429</v>
      </c>
      <c r="H91" s="22">
        <f>VLOOKUP(A91,[1]Orders!$A$2:$B$1616,2,0)</f>
        <v>42389</v>
      </c>
      <c r="J91" t="s">
        <v>23</v>
      </c>
      <c r="K91" t="s">
        <v>18</v>
      </c>
    </row>
    <row r="92" spans="1:11" x14ac:dyDescent="0.3">
      <c r="A92">
        <v>30</v>
      </c>
      <c r="B92">
        <v>3</v>
      </c>
      <c r="C92">
        <v>19</v>
      </c>
      <c r="D92">
        <v>1</v>
      </c>
      <c r="E92" s="1">
        <v>449</v>
      </c>
      <c r="F92" s="1">
        <v>0.1</v>
      </c>
      <c r="G92">
        <v>449</v>
      </c>
      <c r="H92" s="22">
        <f>VLOOKUP(A92,[1]Orders!$A$2:$B$1616,2,0)</f>
        <v>42389</v>
      </c>
      <c r="J92" t="s">
        <v>36</v>
      </c>
      <c r="K92" t="s">
        <v>18</v>
      </c>
    </row>
    <row r="93" spans="1:11" x14ac:dyDescent="0.3">
      <c r="A93">
        <v>30</v>
      </c>
      <c r="B93">
        <v>4</v>
      </c>
      <c r="C93">
        <v>4</v>
      </c>
      <c r="D93">
        <v>1</v>
      </c>
      <c r="E93" s="1">
        <v>2899.99</v>
      </c>
      <c r="F93" s="1">
        <v>0.1</v>
      </c>
      <c r="G93">
        <v>2899.99</v>
      </c>
      <c r="H93" s="22">
        <f>VLOOKUP(A93,[1]Orders!$A$2:$B$1616,2,0)</f>
        <v>42389</v>
      </c>
      <c r="J93" t="s">
        <v>16</v>
      </c>
      <c r="K93" t="s">
        <v>18</v>
      </c>
    </row>
    <row r="94" spans="1:11" x14ac:dyDescent="0.3">
      <c r="A94">
        <v>30</v>
      </c>
      <c r="B94">
        <v>5</v>
      </c>
      <c r="C94">
        <v>7</v>
      </c>
      <c r="D94">
        <v>2</v>
      </c>
      <c r="E94" s="1">
        <v>3999.99</v>
      </c>
      <c r="F94" s="1">
        <v>0.1</v>
      </c>
      <c r="G94">
        <v>7999.98</v>
      </c>
      <c r="H94" s="22">
        <f>VLOOKUP(A94,[1]Orders!$A$2:$B$1616,2,0)</f>
        <v>42389</v>
      </c>
      <c r="J94" t="s">
        <v>29</v>
      </c>
      <c r="K94" t="s">
        <v>18</v>
      </c>
    </row>
    <row r="95" spans="1:11" x14ac:dyDescent="0.3">
      <c r="A95">
        <v>31</v>
      </c>
      <c r="B95">
        <v>1</v>
      </c>
      <c r="C95">
        <v>11</v>
      </c>
      <c r="D95">
        <v>2</v>
      </c>
      <c r="E95" s="1">
        <v>1680.99</v>
      </c>
      <c r="F95" s="1">
        <v>0.05</v>
      </c>
      <c r="G95">
        <v>3361.98</v>
      </c>
      <c r="H95" s="22">
        <f>VLOOKUP(A95,[1]Orders!$A$2:$B$1616,2,0)</f>
        <v>42389</v>
      </c>
      <c r="J95" t="s">
        <v>30</v>
      </c>
      <c r="K95" t="s">
        <v>37</v>
      </c>
    </row>
    <row r="96" spans="1:11" x14ac:dyDescent="0.3">
      <c r="A96">
        <v>31</v>
      </c>
      <c r="B96">
        <v>2</v>
      </c>
      <c r="C96">
        <v>9</v>
      </c>
      <c r="D96">
        <v>2</v>
      </c>
      <c r="E96" s="1">
        <v>2999.99</v>
      </c>
      <c r="F96" s="1">
        <v>0.2</v>
      </c>
      <c r="G96">
        <v>5999.98</v>
      </c>
      <c r="H96" s="22">
        <f>VLOOKUP(A96,[1]Orders!$A$2:$B$1616,2,0)</f>
        <v>42389</v>
      </c>
      <c r="J96" t="s">
        <v>26</v>
      </c>
      <c r="K96" t="s">
        <v>37</v>
      </c>
    </row>
    <row r="97" spans="1:11" x14ac:dyDescent="0.3">
      <c r="A97">
        <v>32</v>
      </c>
      <c r="B97">
        <v>1</v>
      </c>
      <c r="C97">
        <v>8</v>
      </c>
      <c r="D97">
        <v>2</v>
      </c>
      <c r="E97" s="1">
        <v>1799.99</v>
      </c>
      <c r="F97" s="1">
        <v>7.0000000000000007E-2</v>
      </c>
      <c r="G97">
        <v>3599.98</v>
      </c>
      <c r="H97" s="22">
        <f>VLOOKUP(A97,[1]Orders!$A$2:$B$1616,2,0)</f>
        <v>42390</v>
      </c>
      <c r="J97" t="s">
        <v>12</v>
      </c>
      <c r="K97" t="s">
        <v>11</v>
      </c>
    </row>
    <row r="98" spans="1:11" x14ac:dyDescent="0.3">
      <c r="A98">
        <v>32</v>
      </c>
      <c r="B98">
        <v>2</v>
      </c>
      <c r="C98">
        <v>12</v>
      </c>
      <c r="D98">
        <v>2</v>
      </c>
      <c r="E98" s="1">
        <v>549.99</v>
      </c>
      <c r="F98" s="1">
        <v>7.0000000000000007E-2</v>
      </c>
      <c r="G98">
        <v>1099.98</v>
      </c>
      <c r="H98" s="22">
        <f>VLOOKUP(A98,[1]Orders!$A$2:$B$1616,2,0)</f>
        <v>42390</v>
      </c>
      <c r="J98" t="s">
        <v>25</v>
      </c>
      <c r="K98" t="s">
        <v>11</v>
      </c>
    </row>
    <row r="99" spans="1:11" x14ac:dyDescent="0.3">
      <c r="A99">
        <v>32</v>
      </c>
      <c r="B99">
        <v>3</v>
      </c>
      <c r="C99">
        <v>25</v>
      </c>
      <c r="D99">
        <v>2</v>
      </c>
      <c r="E99" s="1">
        <v>499.99</v>
      </c>
      <c r="F99" s="1">
        <v>0.1</v>
      </c>
      <c r="G99">
        <v>999.98</v>
      </c>
      <c r="H99" s="22">
        <f>VLOOKUP(A99,[1]Orders!$A$2:$B$1616,2,0)</f>
        <v>42390</v>
      </c>
      <c r="J99" t="s">
        <v>35</v>
      </c>
      <c r="K99" t="s">
        <v>11</v>
      </c>
    </row>
    <row r="100" spans="1:11" x14ac:dyDescent="0.3">
      <c r="A100">
        <v>33</v>
      </c>
      <c r="B100">
        <v>1</v>
      </c>
      <c r="C100">
        <v>23</v>
      </c>
      <c r="D100">
        <v>2</v>
      </c>
      <c r="E100" s="1">
        <v>299.99</v>
      </c>
      <c r="F100" s="1">
        <v>7.0000000000000007E-2</v>
      </c>
      <c r="G100">
        <v>599.98</v>
      </c>
      <c r="H100" s="22">
        <f>VLOOKUP(A100,[1]Orders!$A$2:$B$1616,2,0)</f>
        <v>42390</v>
      </c>
      <c r="J100" t="s">
        <v>33</v>
      </c>
      <c r="K100" t="s">
        <v>18</v>
      </c>
    </row>
    <row r="101" spans="1:11" x14ac:dyDescent="0.3">
      <c r="A101">
        <v>33</v>
      </c>
      <c r="B101">
        <v>2</v>
      </c>
      <c r="C101">
        <v>7</v>
      </c>
      <c r="D101">
        <v>1</v>
      </c>
      <c r="E101" s="1">
        <v>3999.99</v>
      </c>
      <c r="F101" s="1">
        <v>0.1</v>
      </c>
      <c r="G101">
        <v>3999.99</v>
      </c>
      <c r="H101" s="22">
        <f>VLOOKUP(A101,[1]Orders!$A$2:$B$1616,2,0)</f>
        <v>42390</v>
      </c>
      <c r="J101" t="s">
        <v>29</v>
      </c>
      <c r="K101" t="s">
        <v>18</v>
      </c>
    </row>
    <row r="102" spans="1:11" x14ac:dyDescent="0.3">
      <c r="A102">
        <v>34</v>
      </c>
      <c r="B102">
        <v>1</v>
      </c>
      <c r="C102">
        <v>8</v>
      </c>
      <c r="D102">
        <v>2</v>
      </c>
      <c r="E102" s="1">
        <v>1799.99</v>
      </c>
      <c r="F102" s="1">
        <v>7.0000000000000007E-2</v>
      </c>
      <c r="G102">
        <v>3599.98</v>
      </c>
      <c r="H102" s="22">
        <f>VLOOKUP(A102,[1]Orders!$A$2:$B$1616,2,0)</f>
        <v>42391</v>
      </c>
      <c r="J102" t="s">
        <v>12</v>
      </c>
      <c r="K102" t="s">
        <v>18</v>
      </c>
    </row>
    <row r="103" spans="1:11" x14ac:dyDescent="0.3">
      <c r="A103">
        <v>34</v>
      </c>
      <c r="B103">
        <v>2</v>
      </c>
      <c r="C103">
        <v>10</v>
      </c>
      <c r="D103">
        <v>2</v>
      </c>
      <c r="E103" s="1">
        <v>1549</v>
      </c>
      <c r="F103" s="1">
        <v>0.1</v>
      </c>
      <c r="G103">
        <v>3098</v>
      </c>
      <c r="H103" s="22">
        <f>VLOOKUP(A103,[1]Orders!$A$2:$B$1616,2,0)</f>
        <v>42391</v>
      </c>
      <c r="J103" t="s">
        <v>13</v>
      </c>
      <c r="K103" t="s">
        <v>18</v>
      </c>
    </row>
    <row r="104" spans="1:11" x14ac:dyDescent="0.3">
      <c r="A104">
        <v>34</v>
      </c>
      <c r="B104">
        <v>3</v>
      </c>
      <c r="C104">
        <v>17</v>
      </c>
      <c r="D104">
        <v>2</v>
      </c>
      <c r="E104" s="1">
        <v>429</v>
      </c>
      <c r="F104" s="1">
        <v>0.2</v>
      </c>
      <c r="G104">
        <v>858</v>
      </c>
      <c r="H104" s="22">
        <f>VLOOKUP(A104,[1]Orders!$A$2:$B$1616,2,0)</f>
        <v>42391</v>
      </c>
      <c r="J104" t="s">
        <v>23</v>
      </c>
      <c r="K104" t="s">
        <v>18</v>
      </c>
    </row>
    <row r="105" spans="1:11" x14ac:dyDescent="0.3">
      <c r="A105">
        <v>35</v>
      </c>
      <c r="B105">
        <v>1</v>
      </c>
      <c r="C105">
        <v>18</v>
      </c>
      <c r="D105">
        <v>1</v>
      </c>
      <c r="E105" s="1">
        <v>449</v>
      </c>
      <c r="F105" s="1">
        <v>0.05</v>
      </c>
      <c r="G105">
        <v>449</v>
      </c>
      <c r="H105" s="22">
        <f>VLOOKUP(A105,[1]Orders!$A$2:$B$1616,2,0)</f>
        <v>42391</v>
      </c>
      <c r="J105" t="s">
        <v>24</v>
      </c>
      <c r="K105" t="s">
        <v>18</v>
      </c>
    </row>
    <row r="106" spans="1:11" x14ac:dyDescent="0.3">
      <c r="A106">
        <v>35</v>
      </c>
      <c r="B106">
        <v>2</v>
      </c>
      <c r="C106">
        <v>20</v>
      </c>
      <c r="D106">
        <v>2</v>
      </c>
      <c r="E106" s="1">
        <v>599.99</v>
      </c>
      <c r="F106" s="1">
        <v>0.05</v>
      </c>
      <c r="G106">
        <v>1199.98</v>
      </c>
      <c r="H106" s="22">
        <f>VLOOKUP(A106,[1]Orders!$A$2:$B$1616,2,0)</f>
        <v>42391</v>
      </c>
      <c r="J106" t="s">
        <v>10</v>
      </c>
      <c r="K106" t="s">
        <v>18</v>
      </c>
    </row>
    <row r="107" spans="1:11" x14ac:dyDescent="0.3">
      <c r="A107">
        <v>35</v>
      </c>
      <c r="B107">
        <v>3</v>
      </c>
      <c r="C107">
        <v>5</v>
      </c>
      <c r="D107">
        <v>1</v>
      </c>
      <c r="E107" s="1">
        <v>1320.99</v>
      </c>
      <c r="F107" s="1">
        <v>0.2</v>
      </c>
      <c r="G107">
        <v>1320.99</v>
      </c>
      <c r="H107" s="22">
        <f>VLOOKUP(A107,[1]Orders!$A$2:$B$1616,2,0)</f>
        <v>42391</v>
      </c>
      <c r="J107" t="s">
        <v>34</v>
      </c>
      <c r="K107" t="s">
        <v>18</v>
      </c>
    </row>
    <row r="108" spans="1:11" x14ac:dyDescent="0.3">
      <c r="A108">
        <v>35</v>
      </c>
      <c r="B108">
        <v>4</v>
      </c>
      <c r="C108">
        <v>21</v>
      </c>
      <c r="D108">
        <v>2</v>
      </c>
      <c r="E108" s="1">
        <v>269.99</v>
      </c>
      <c r="F108" s="1">
        <v>7.0000000000000007E-2</v>
      </c>
      <c r="G108">
        <v>539.98</v>
      </c>
      <c r="H108" s="22">
        <f>VLOOKUP(A108,[1]Orders!$A$2:$B$1616,2,0)</f>
        <v>42391</v>
      </c>
      <c r="J108" t="s">
        <v>31</v>
      </c>
      <c r="K108" t="s">
        <v>18</v>
      </c>
    </row>
    <row r="109" spans="1:11" x14ac:dyDescent="0.3">
      <c r="A109">
        <v>35</v>
      </c>
      <c r="B109">
        <v>5</v>
      </c>
      <c r="C109">
        <v>22</v>
      </c>
      <c r="D109">
        <v>1</v>
      </c>
      <c r="E109" s="1">
        <v>269.99</v>
      </c>
      <c r="F109" s="1">
        <v>7.0000000000000007E-2</v>
      </c>
      <c r="G109">
        <v>269.99</v>
      </c>
      <c r="H109" s="22">
        <f>VLOOKUP(A109,[1]Orders!$A$2:$B$1616,2,0)</f>
        <v>42391</v>
      </c>
      <c r="J109" t="s">
        <v>28</v>
      </c>
      <c r="K109" t="s">
        <v>18</v>
      </c>
    </row>
    <row r="110" spans="1:11" x14ac:dyDescent="0.3">
      <c r="A110">
        <v>36</v>
      </c>
      <c r="B110">
        <v>1</v>
      </c>
      <c r="C110">
        <v>9</v>
      </c>
      <c r="D110">
        <v>1</v>
      </c>
      <c r="E110" s="1">
        <v>2999.99</v>
      </c>
      <c r="F110" s="1">
        <v>7.0000000000000007E-2</v>
      </c>
      <c r="G110">
        <v>2999.99</v>
      </c>
      <c r="H110" s="22">
        <f>VLOOKUP(A110,[1]Orders!$A$2:$B$1616,2,0)</f>
        <v>42392</v>
      </c>
      <c r="J110" t="s">
        <v>26</v>
      </c>
      <c r="K110" t="s">
        <v>18</v>
      </c>
    </row>
    <row r="111" spans="1:11" x14ac:dyDescent="0.3">
      <c r="A111">
        <v>36</v>
      </c>
      <c r="B111">
        <v>2</v>
      </c>
      <c r="C111">
        <v>5</v>
      </c>
      <c r="D111">
        <v>1</v>
      </c>
      <c r="E111" s="1">
        <v>1320.99</v>
      </c>
      <c r="F111" s="1">
        <v>0.05</v>
      </c>
      <c r="G111">
        <v>1320.99</v>
      </c>
      <c r="H111" s="22">
        <f>VLOOKUP(A111,[1]Orders!$A$2:$B$1616,2,0)</f>
        <v>42392</v>
      </c>
      <c r="J111" t="s">
        <v>34</v>
      </c>
      <c r="K111" t="s">
        <v>18</v>
      </c>
    </row>
    <row r="112" spans="1:11" x14ac:dyDescent="0.3">
      <c r="A112">
        <v>36</v>
      </c>
      <c r="B112">
        <v>3</v>
      </c>
      <c r="C112">
        <v>3</v>
      </c>
      <c r="D112">
        <v>2</v>
      </c>
      <c r="E112" s="1">
        <v>999.99</v>
      </c>
      <c r="F112" s="1">
        <v>0.2</v>
      </c>
      <c r="G112">
        <v>1999.98</v>
      </c>
      <c r="H112" s="22">
        <f>VLOOKUP(A112,[1]Orders!$A$2:$B$1616,2,0)</f>
        <v>42392</v>
      </c>
      <c r="J112" t="s">
        <v>20</v>
      </c>
      <c r="K112" t="s">
        <v>18</v>
      </c>
    </row>
    <row r="113" spans="1:11" x14ac:dyDescent="0.3">
      <c r="A113">
        <v>37</v>
      </c>
      <c r="B113">
        <v>1</v>
      </c>
      <c r="C113">
        <v>16</v>
      </c>
      <c r="D113">
        <v>2</v>
      </c>
      <c r="E113" s="1">
        <v>599.99</v>
      </c>
      <c r="F113" s="1">
        <v>0.05</v>
      </c>
      <c r="G113">
        <v>1199.98</v>
      </c>
      <c r="H113" s="22">
        <f>VLOOKUP(A113,[1]Orders!$A$2:$B$1616,2,0)</f>
        <v>42394</v>
      </c>
      <c r="J113" t="s">
        <v>14</v>
      </c>
      <c r="K113" t="s">
        <v>18</v>
      </c>
    </row>
    <row r="114" spans="1:11" x14ac:dyDescent="0.3">
      <c r="A114">
        <v>38</v>
      </c>
      <c r="B114">
        <v>1</v>
      </c>
      <c r="C114">
        <v>7</v>
      </c>
      <c r="D114">
        <v>2</v>
      </c>
      <c r="E114" s="1">
        <v>3999.99</v>
      </c>
      <c r="F114" s="1">
        <v>0.05</v>
      </c>
      <c r="G114">
        <v>7999.98</v>
      </c>
      <c r="H114" s="22">
        <f>VLOOKUP(A114,[1]Orders!$A$2:$B$1616,2,0)</f>
        <v>42394</v>
      </c>
      <c r="J114" t="s">
        <v>29</v>
      </c>
      <c r="K114" t="s">
        <v>18</v>
      </c>
    </row>
    <row r="115" spans="1:11" x14ac:dyDescent="0.3">
      <c r="A115">
        <v>38</v>
      </c>
      <c r="B115">
        <v>2</v>
      </c>
      <c r="C115">
        <v>23</v>
      </c>
      <c r="D115">
        <v>1</v>
      </c>
      <c r="E115" s="1">
        <v>299.99</v>
      </c>
      <c r="F115" s="1">
        <v>7.0000000000000007E-2</v>
      </c>
      <c r="G115">
        <v>299.99</v>
      </c>
      <c r="H115" s="22">
        <f>VLOOKUP(A115,[1]Orders!$A$2:$B$1616,2,0)</f>
        <v>42394</v>
      </c>
      <c r="J115" t="s">
        <v>33</v>
      </c>
      <c r="K115" t="s">
        <v>18</v>
      </c>
    </row>
    <row r="116" spans="1:11" x14ac:dyDescent="0.3">
      <c r="A116">
        <v>38</v>
      </c>
      <c r="B116">
        <v>3</v>
      </c>
      <c r="C116">
        <v>25</v>
      </c>
      <c r="D116">
        <v>1</v>
      </c>
      <c r="E116" s="1">
        <v>499.99</v>
      </c>
      <c r="F116" s="1">
        <v>0.2</v>
      </c>
      <c r="G116">
        <v>499.99</v>
      </c>
      <c r="H116" s="22">
        <f>VLOOKUP(A116,[1]Orders!$A$2:$B$1616,2,0)</f>
        <v>42394</v>
      </c>
      <c r="J116" t="s">
        <v>35</v>
      </c>
      <c r="K116" t="s">
        <v>18</v>
      </c>
    </row>
    <row r="117" spans="1:11" x14ac:dyDescent="0.3">
      <c r="A117">
        <v>38</v>
      </c>
      <c r="B117">
        <v>4</v>
      </c>
      <c r="C117">
        <v>10</v>
      </c>
      <c r="D117">
        <v>2</v>
      </c>
      <c r="E117" s="1">
        <v>1549</v>
      </c>
      <c r="F117" s="1">
        <v>0.1</v>
      </c>
      <c r="G117">
        <v>3098</v>
      </c>
      <c r="H117" s="22">
        <f>VLOOKUP(A117,[1]Orders!$A$2:$B$1616,2,0)</f>
        <v>42394</v>
      </c>
      <c r="J117" t="s">
        <v>13</v>
      </c>
      <c r="K117" t="s">
        <v>18</v>
      </c>
    </row>
    <row r="118" spans="1:11" x14ac:dyDescent="0.3">
      <c r="A118">
        <v>38</v>
      </c>
      <c r="B118">
        <v>5</v>
      </c>
      <c r="C118">
        <v>24</v>
      </c>
      <c r="D118">
        <v>1</v>
      </c>
      <c r="E118" s="1">
        <v>549.99</v>
      </c>
      <c r="F118" s="1">
        <v>7.0000000000000007E-2</v>
      </c>
      <c r="G118">
        <v>549.99</v>
      </c>
      <c r="H118" s="22">
        <f>VLOOKUP(A118,[1]Orders!$A$2:$B$1616,2,0)</f>
        <v>42394</v>
      </c>
      <c r="J118" t="s">
        <v>25</v>
      </c>
      <c r="K118" t="s">
        <v>18</v>
      </c>
    </row>
    <row r="119" spans="1:11" x14ac:dyDescent="0.3">
      <c r="A119">
        <v>39</v>
      </c>
      <c r="B119">
        <v>1</v>
      </c>
      <c r="C119">
        <v>22</v>
      </c>
      <c r="D119">
        <v>2</v>
      </c>
      <c r="E119" s="1">
        <v>269.99</v>
      </c>
      <c r="F119" s="1">
        <v>0.2</v>
      </c>
      <c r="G119">
        <v>539.98</v>
      </c>
      <c r="H119" s="22">
        <f>VLOOKUP(A119,[1]Orders!$A$2:$B$1616,2,0)</f>
        <v>42394</v>
      </c>
      <c r="J119" t="s">
        <v>28</v>
      </c>
      <c r="K119" t="s">
        <v>18</v>
      </c>
    </row>
    <row r="120" spans="1:11" x14ac:dyDescent="0.3">
      <c r="A120">
        <v>39</v>
      </c>
      <c r="B120">
        <v>2</v>
      </c>
      <c r="C120">
        <v>16</v>
      </c>
      <c r="D120">
        <v>2</v>
      </c>
      <c r="E120" s="1">
        <v>599.99</v>
      </c>
      <c r="F120" s="1">
        <v>0.2</v>
      </c>
      <c r="G120">
        <v>1199.98</v>
      </c>
      <c r="H120" s="22">
        <f>VLOOKUP(A120,[1]Orders!$A$2:$B$1616,2,0)</f>
        <v>42394</v>
      </c>
      <c r="J120" t="s">
        <v>14</v>
      </c>
      <c r="K120" t="s">
        <v>18</v>
      </c>
    </row>
    <row r="121" spans="1:11" x14ac:dyDescent="0.3">
      <c r="A121">
        <v>39</v>
      </c>
      <c r="B121">
        <v>3</v>
      </c>
      <c r="C121">
        <v>3</v>
      </c>
      <c r="D121">
        <v>2</v>
      </c>
      <c r="E121" s="1">
        <v>999.99</v>
      </c>
      <c r="F121" s="1">
        <v>0.05</v>
      </c>
      <c r="G121">
        <v>1999.98</v>
      </c>
      <c r="H121" s="22">
        <f>VLOOKUP(A121,[1]Orders!$A$2:$B$1616,2,0)</f>
        <v>42394</v>
      </c>
      <c r="J121" t="s">
        <v>20</v>
      </c>
      <c r="K121" t="s">
        <v>18</v>
      </c>
    </row>
    <row r="122" spans="1:11" x14ac:dyDescent="0.3">
      <c r="A122">
        <v>39</v>
      </c>
      <c r="B122">
        <v>4</v>
      </c>
      <c r="C122">
        <v>15</v>
      </c>
      <c r="D122">
        <v>1</v>
      </c>
      <c r="E122" s="1">
        <v>529.99</v>
      </c>
      <c r="F122" s="1">
        <v>0.1</v>
      </c>
      <c r="G122">
        <v>529.99</v>
      </c>
      <c r="H122" s="22">
        <f>VLOOKUP(A122,[1]Orders!$A$2:$B$1616,2,0)</f>
        <v>42394</v>
      </c>
      <c r="J122" t="s">
        <v>27</v>
      </c>
      <c r="K122" t="s">
        <v>18</v>
      </c>
    </row>
    <row r="123" spans="1:11" x14ac:dyDescent="0.3">
      <c r="A123">
        <v>40</v>
      </c>
      <c r="B123">
        <v>1</v>
      </c>
      <c r="C123">
        <v>17</v>
      </c>
      <c r="D123">
        <v>1</v>
      </c>
      <c r="E123" s="1">
        <v>429</v>
      </c>
      <c r="F123" s="1">
        <v>0.2</v>
      </c>
      <c r="G123">
        <v>429</v>
      </c>
      <c r="H123" s="22">
        <f>VLOOKUP(A123,[1]Orders!$A$2:$B$1616,2,0)</f>
        <v>42396</v>
      </c>
      <c r="J123" t="s">
        <v>23</v>
      </c>
      <c r="K123" t="s">
        <v>11</v>
      </c>
    </row>
    <row r="124" spans="1:11" x14ac:dyDescent="0.3">
      <c r="A124">
        <v>40</v>
      </c>
      <c r="B124">
        <v>2</v>
      </c>
      <c r="C124">
        <v>8</v>
      </c>
      <c r="D124">
        <v>2</v>
      </c>
      <c r="E124" s="1">
        <v>1799.99</v>
      </c>
      <c r="F124" s="1">
        <v>0.2</v>
      </c>
      <c r="G124">
        <v>3599.98</v>
      </c>
      <c r="H124" s="22">
        <f>VLOOKUP(A124,[1]Orders!$A$2:$B$1616,2,0)</f>
        <v>42396</v>
      </c>
      <c r="J124" t="s">
        <v>12</v>
      </c>
      <c r="K124" t="s">
        <v>11</v>
      </c>
    </row>
    <row r="125" spans="1:11" x14ac:dyDescent="0.3">
      <c r="A125">
        <v>41</v>
      </c>
      <c r="B125">
        <v>1</v>
      </c>
      <c r="C125">
        <v>5</v>
      </c>
      <c r="D125">
        <v>1</v>
      </c>
      <c r="E125" s="1">
        <v>1320.99</v>
      </c>
      <c r="F125" s="1">
        <v>0.1</v>
      </c>
      <c r="G125">
        <v>1320.99</v>
      </c>
      <c r="H125" s="22">
        <f>VLOOKUP(A125,[1]Orders!$A$2:$B$1616,2,0)</f>
        <v>42396</v>
      </c>
      <c r="J125" t="s">
        <v>34</v>
      </c>
      <c r="K125" t="s">
        <v>18</v>
      </c>
    </row>
    <row r="126" spans="1:11" x14ac:dyDescent="0.3">
      <c r="A126">
        <v>41</v>
      </c>
      <c r="B126">
        <v>2</v>
      </c>
      <c r="C126">
        <v>19</v>
      </c>
      <c r="D126">
        <v>2</v>
      </c>
      <c r="E126" s="1">
        <v>449</v>
      </c>
      <c r="F126" s="1">
        <v>0.2</v>
      </c>
      <c r="G126">
        <v>898</v>
      </c>
      <c r="H126" s="22">
        <f>VLOOKUP(A126,[1]Orders!$A$2:$B$1616,2,0)</f>
        <v>42396</v>
      </c>
      <c r="J126" t="s">
        <v>36</v>
      </c>
      <c r="K126" t="s">
        <v>18</v>
      </c>
    </row>
    <row r="127" spans="1:11" x14ac:dyDescent="0.3">
      <c r="A127">
        <v>41</v>
      </c>
      <c r="B127">
        <v>3</v>
      </c>
      <c r="C127">
        <v>26</v>
      </c>
      <c r="D127">
        <v>2</v>
      </c>
      <c r="E127" s="1">
        <v>599.99</v>
      </c>
      <c r="F127" s="1">
        <v>0.2</v>
      </c>
      <c r="G127">
        <v>1199.98</v>
      </c>
      <c r="H127" s="22">
        <f>VLOOKUP(A127,[1]Orders!$A$2:$B$1616,2,0)</f>
        <v>42396</v>
      </c>
      <c r="J127" t="s">
        <v>14</v>
      </c>
      <c r="K127" t="s">
        <v>18</v>
      </c>
    </row>
    <row r="128" spans="1:11" x14ac:dyDescent="0.3">
      <c r="A128">
        <v>42</v>
      </c>
      <c r="B128">
        <v>1</v>
      </c>
      <c r="C128">
        <v>19</v>
      </c>
      <c r="D128">
        <v>1</v>
      </c>
      <c r="E128" s="1">
        <v>449</v>
      </c>
      <c r="F128" s="1">
        <v>0.05</v>
      </c>
      <c r="G128">
        <v>449</v>
      </c>
      <c r="H128" s="22">
        <f>VLOOKUP(A128,[1]Orders!$A$2:$B$1616,2,0)</f>
        <v>42396</v>
      </c>
      <c r="J128" t="s">
        <v>36</v>
      </c>
      <c r="K128" t="s">
        <v>18</v>
      </c>
    </row>
    <row r="129" spans="1:11" x14ac:dyDescent="0.3">
      <c r="A129">
        <v>43</v>
      </c>
      <c r="B129">
        <v>1</v>
      </c>
      <c r="C129">
        <v>13</v>
      </c>
      <c r="D129">
        <v>2</v>
      </c>
      <c r="E129" s="1">
        <v>269.99</v>
      </c>
      <c r="F129" s="1">
        <v>0.1</v>
      </c>
      <c r="G129">
        <v>539.98</v>
      </c>
      <c r="H129" s="22">
        <f>VLOOKUP(A129,[1]Orders!$A$2:$B$1616,2,0)</f>
        <v>42396</v>
      </c>
      <c r="J129" t="s">
        <v>31</v>
      </c>
      <c r="K129" t="s">
        <v>18</v>
      </c>
    </row>
    <row r="130" spans="1:11" x14ac:dyDescent="0.3">
      <c r="A130">
        <v>43</v>
      </c>
      <c r="B130">
        <v>2</v>
      </c>
      <c r="C130">
        <v>12</v>
      </c>
      <c r="D130">
        <v>2</v>
      </c>
      <c r="E130" s="1">
        <v>549.99</v>
      </c>
      <c r="F130" s="1">
        <v>0.05</v>
      </c>
      <c r="G130">
        <v>1099.98</v>
      </c>
      <c r="H130" s="22">
        <f>VLOOKUP(A130,[1]Orders!$A$2:$B$1616,2,0)</f>
        <v>42396</v>
      </c>
      <c r="J130" t="s">
        <v>25</v>
      </c>
      <c r="K130" t="s">
        <v>18</v>
      </c>
    </row>
    <row r="131" spans="1:11" x14ac:dyDescent="0.3">
      <c r="A131">
        <v>44</v>
      </c>
      <c r="B131">
        <v>1</v>
      </c>
      <c r="C131">
        <v>7</v>
      </c>
      <c r="D131">
        <v>1</v>
      </c>
      <c r="E131" s="1">
        <v>3999.99</v>
      </c>
      <c r="F131" s="1">
        <v>0.1</v>
      </c>
      <c r="G131">
        <v>3999.99</v>
      </c>
      <c r="H131" s="22">
        <f>VLOOKUP(A131,[1]Orders!$A$2:$B$1616,2,0)</f>
        <v>42397</v>
      </c>
      <c r="J131" t="s">
        <v>29</v>
      </c>
      <c r="K131" t="s">
        <v>18</v>
      </c>
    </row>
    <row r="132" spans="1:11" x14ac:dyDescent="0.3">
      <c r="A132">
        <v>44</v>
      </c>
      <c r="B132">
        <v>2</v>
      </c>
      <c r="C132">
        <v>16</v>
      </c>
      <c r="D132">
        <v>1</v>
      </c>
      <c r="E132" s="1">
        <v>599.99</v>
      </c>
      <c r="F132" s="1">
        <v>0.05</v>
      </c>
      <c r="G132">
        <v>599.99</v>
      </c>
      <c r="H132" s="22">
        <f>VLOOKUP(A132,[1]Orders!$A$2:$B$1616,2,0)</f>
        <v>42397</v>
      </c>
      <c r="J132" t="s">
        <v>14</v>
      </c>
      <c r="K132" t="s">
        <v>18</v>
      </c>
    </row>
    <row r="133" spans="1:11" x14ac:dyDescent="0.3">
      <c r="A133">
        <v>45</v>
      </c>
      <c r="B133">
        <v>1</v>
      </c>
      <c r="C133">
        <v>4</v>
      </c>
      <c r="D133">
        <v>2</v>
      </c>
      <c r="E133" s="1">
        <v>2899.99</v>
      </c>
      <c r="F133" s="1">
        <v>0.2</v>
      </c>
      <c r="G133">
        <v>5799.98</v>
      </c>
      <c r="H133" s="22">
        <f>VLOOKUP(A133,[1]Orders!$A$2:$B$1616,2,0)</f>
        <v>42397</v>
      </c>
      <c r="J133" t="s">
        <v>16</v>
      </c>
      <c r="K133" t="s">
        <v>18</v>
      </c>
    </row>
    <row r="134" spans="1:11" x14ac:dyDescent="0.3">
      <c r="A134">
        <v>45</v>
      </c>
      <c r="B134">
        <v>2</v>
      </c>
      <c r="C134">
        <v>22</v>
      </c>
      <c r="D134">
        <v>1</v>
      </c>
      <c r="E134" s="1">
        <v>269.99</v>
      </c>
      <c r="F134" s="1">
        <v>7.0000000000000007E-2</v>
      </c>
      <c r="G134">
        <v>269.99</v>
      </c>
      <c r="H134" s="22">
        <f>VLOOKUP(A134,[1]Orders!$A$2:$B$1616,2,0)</f>
        <v>42397</v>
      </c>
      <c r="J134" t="s">
        <v>28</v>
      </c>
      <c r="K134" t="s">
        <v>18</v>
      </c>
    </row>
    <row r="135" spans="1:11" x14ac:dyDescent="0.3">
      <c r="A135">
        <v>45</v>
      </c>
      <c r="B135">
        <v>3</v>
      </c>
      <c r="C135">
        <v>21</v>
      </c>
      <c r="D135">
        <v>2</v>
      </c>
      <c r="E135" s="1">
        <v>269.99</v>
      </c>
      <c r="F135" s="1">
        <v>0.05</v>
      </c>
      <c r="G135">
        <v>539.98</v>
      </c>
      <c r="H135" s="22">
        <f>VLOOKUP(A135,[1]Orders!$A$2:$B$1616,2,0)</f>
        <v>42397</v>
      </c>
      <c r="J135" t="s">
        <v>31</v>
      </c>
      <c r="K135" t="s">
        <v>18</v>
      </c>
    </row>
    <row r="136" spans="1:11" x14ac:dyDescent="0.3">
      <c r="A136">
        <v>46</v>
      </c>
      <c r="B136">
        <v>1</v>
      </c>
      <c r="C136">
        <v>17</v>
      </c>
      <c r="D136">
        <v>1</v>
      </c>
      <c r="E136" s="1">
        <v>429</v>
      </c>
      <c r="F136" s="1">
        <v>0.1</v>
      </c>
      <c r="G136">
        <v>429</v>
      </c>
      <c r="H136" s="22">
        <f>VLOOKUP(A136,[1]Orders!$A$2:$B$1616,2,0)</f>
        <v>42398</v>
      </c>
      <c r="J136" t="s">
        <v>23</v>
      </c>
      <c r="K136" t="s">
        <v>18</v>
      </c>
    </row>
    <row r="137" spans="1:11" x14ac:dyDescent="0.3">
      <c r="A137">
        <v>47</v>
      </c>
      <c r="B137">
        <v>1</v>
      </c>
      <c r="C137">
        <v>6</v>
      </c>
      <c r="D137">
        <v>1</v>
      </c>
      <c r="E137" s="1">
        <v>469.99</v>
      </c>
      <c r="F137" s="1">
        <v>0.05</v>
      </c>
      <c r="G137">
        <v>469.99</v>
      </c>
      <c r="H137" s="22">
        <f>VLOOKUP(A137,[1]Orders!$A$2:$B$1616,2,0)</f>
        <v>42398</v>
      </c>
      <c r="J137" t="s">
        <v>32</v>
      </c>
      <c r="K137" t="s">
        <v>18</v>
      </c>
    </row>
    <row r="138" spans="1:11" x14ac:dyDescent="0.3">
      <c r="A138">
        <v>47</v>
      </c>
      <c r="B138">
        <v>2</v>
      </c>
      <c r="C138">
        <v>15</v>
      </c>
      <c r="D138">
        <v>1</v>
      </c>
      <c r="E138" s="1">
        <v>529.99</v>
      </c>
      <c r="F138" s="1">
        <v>0.1</v>
      </c>
      <c r="G138">
        <v>529.99</v>
      </c>
      <c r="H138" s="22">
        <f>VLOOKUP(A138,[1]Orders!$A$2:$B$1616,2,0)</f>
        <v>42398</v>
      </c>
      <c r="J138" t="s">
        <v>27</v>
      </c>
      <c r="K138" t="s">
        <v>18</v>
      </c>
    </row>
    <row r="139" spans="1:11" x14ac:dyDescent="0.3">
      <c r="A139">
        <v>47</v>
      </c>
      <c r="B139">
        <v>3</v>
      </c>
      <c r="C139">
        <v>25</v>
      </c>
      <c r="D139">
        <v>2</v>
      </c>
      <c r="E139" s="1">
        <v>499.99</v>
      </c>
      <c r="F139" s="1">
        <v>7.0000000000000007E-2</v>
      </c>
      <c r="G139">
        <v>999.98</v>
      </c>
      <c r="H139" s="22">
        <f>VLOOKUP(A139,[1]Orders!$A$2:$B$1616,2,0)</f>
        <v>42398</v>
      </c>
      <c r="J139" t="s">
        <v>35</v>
      </c>
      <c r="K139" t="s">
        <v>18</v>
      </c>
    </row>
    <row r="140" spans="1:11" x14ac:dyDescent="0.3">
      <c r="A140">
        <v>47</v>
      </c>
      <c r="B140">
        <v>4</v>
      </c>
      <c r="C140">
        <v>13</v>
      </c>
      <c r="D140">
        <v>1</v>
      </c>
      <c r="E140" s="1">
        <v>269.99</v>
      </c>
      <c r="F140" s="1">
        <v>0.2</v>
      </c>
      <c r="G140">
        <v>269.99</v>
      </c>
      <c r="H140" s="22">
        <f>VLOOKUP(A140,[1]Orders!$A$2:$B$1616,2,0)</f>
        <v>42398</v>
      </c>
      <c r="J140" t="s">
        <v>31</v>
      </c>
      <c r="K140" t="s">
        <v>18</v>
      </c>
    </row>
    <row r="141" spans="1:11" x14ac:dyDescent="0.3">
      <c r="A141">
        <v>48</v>
      </c>
      <c r="B141">
        <v>1</v>
      </c>
      <c r="C141">
        <v>11</v>
      </c>
      <c r="D141">
        <v>1</v>
      </c>
      <c r="E141" s="1">
        <v>1680.99</v>
      </c>
      <c r="F141" s="1">
        <v>0.1</v>
      </c>
      <c r="G141">
        <v>1680.99</v>
      </c>
      <c r="H141" s="22">
        <f>VLOOKUP(A141,[1]Orders!$A$2:$B$1616,2,0)</f>
        <v>42399</v>
      </c>
      <c r="J141" t="s">
        <v>30</v>
      </c>
      <c r="K141" t="s">
        <v>18</v>
      </c>
    </row>
    <row r="142" spans="1:11" x14ac:dyDescent="0.3">
      <c r="A142">
        <v>48</v>
      </c>
      <c r="B142">
        <v>2</v>
      </c>
      <c r="C142">
        <v>4</v>
      </c>
      <c r="D142">
        <v>1</v>
      </c>
      <c r="E142" s="1">
        <v>2899.99</v>
      </c>
      <c r="F142" s="1">
        <v>0.2</v>
      </c>
      <c r="G142">
        <v>2899.99</v>
      </c>
      <c r="H142" s="22">
        <f>VLOOKUP(A142,[1]Orders!$A$2:$B$1616,2,0)</f>
        <v>42399</v>
      </c>
      <c r="J142" t="s">
        <v>16</v>
      </c>
      <c r="K142" t="s">
        <v>18</v>
      </c>
    </row>
    <row r="143" spans="1:11" x14ac:dyDescent="0.3">
      <c r="A143">
        <v>48</v>
      </c>
      <c r="B143">
        <v>3</v>
      </c>
      <c r="C143">
        <v>5</v>
      </c>
      <c r="D143">
        <v>2</v>
      </c>
      <c r="E143" s="1">
        <v>1320.99</v>
      </c>
      <c r="F143" s="1">
        <v>0.1</v>
      </c>
      <c r="G143">
        <v>2641.98</v>
      </c>
      <c r="H143" s="22">
        <f>VLOOKUP(A143,[1]Orders!$A$2:$B$1616,2,0)</f>
        <v>42399</v>
      </c>
      <c r="J143" t="s">
        <v>34</v>
      </c>
      <c r="K143" t="s">
        <v>18</v>
      </c>
    </row>
    <row r="144" spans="1:11" x14ac:dyDescent="0.3">
      <c r="A144">
        <v>48</v>
      </c>
      <c r="B144">
        <v>4</v>
      </c>
      <c r="C144">
        <v>14</v>
      </c>
      <c r="D144">
        <v>2</v>
      </c>
      <c r="E144" s="1">
        <v>269.99</v>
      </c>
      <c r="F144" s="1">
        <v>7.0000000000000007E-2</v>
      </c>
      <c r="G144">
        <v>539.98</v>
      </c>
      <c r="H144" s="22">
        <f>VLOOKUP(A144,[1]Orders!$A$2:$B$1616,2,0)</f>
        <v>42399</v>
      </c>
      <c r="J144" t="s">
        <v>28</v>
      </c>
      <c r="K144" t="s">
        <v>18</v>
      </c>
    </row>
    <row r="145" spans="1:11" x14ac:dyDescent="0.3">
      <c r="A145">
        <v>49</v>
      </c>
      <c r="B145">
        <v>1</v>
      </c>
      <c r="C145">
        <v>13</v>
      </c>
      <c r="D145">
        <v>2</v>
      </c>
      <c r="E145" s="1">
        <v>269.99</v>
      </c>
      <c r="F145" s="1">
        <v>7.0000000000000007E-2</v>
      </c>
      <c r="G145">
        <v>539.98</v>
      </c>
      <c r="H145" s="22">
        <f>VLOOKUP(A145,[1]Orders!$A$2:$B$1616,2,0)</f>
        <v>42400</v>
      </c>
      <c r="J145" t="s">
        <v>31</v>
      </c>
      <c r="K145" t="s">
        <v>18</v>
      </c>
    </row>
    <row r="146" spans="1:11" x14ac:dyDescent="0.3">
      <c r="A146">
        <v>50</v>
      </c>
      <c r="B146">
        <v>1</v>
      </c>
      <c r="C146">
        <v>3</v>
      </c>
      <c r="D146">
        <v>1</v>
      </c>
      <c r="E146" s="1">
        <v>999.99</v>
      </c>
      <c r="F146" s="1">
        <v>0.05</v>
      </c>
      <c r="G146">
        <v>999.99</v>
      </c>
      <c r="H146" s="22">
        <f>VLOOKUP(A146,[1]Orders!$A$2:$B$1616,2,0)</f>
        <v>42400</v>
      </c>
      <c r="J146" t="s">
        <v>20</v>
      </c>
      <c r="K146" t="s">
        <v>37</v>
      </c>
    </row>
    <row r="147" spans="1:11" x14ac:dyDescent="0.3">
      <c r="A147">
        <v>50</v>
      </c>
      <c r="B147">
        <v>2</v>
      </c>
      <c r="C147">
        <v>26</v>
      </c>
      <c r="D147">
        <v>2</v>
      </c>
      <c r="E147" s="1">
        <v>599.99</v>
      </c>
      <c r="F147" s="1">
        <v>7.0000000000000007E-2</v>
      </c>
      <c r="G147">
        <v>1199.98</v>
      </c>
      <c r="H147" s="22">
        <f>VLOOKUP(A147,[1]Orders!$A$2:$B$1616,2,0)</f>
        <v>42400</v>
      </c>
      <c r="J147" t="s">
        <v>14</v>
      </c>
      <c r="K147" t="s">
        <v>37</v>
      </c>
    </row>
    <row r="148" spans="1:11" x14ac:dyDescent="0.3">
      <c r="A148">
        <v>50</v>
      </c>
      <c r="B148">
        <v>3</v>
      </c>
      <c r="C148">
        <v>13</v>
      </c>
      <c r="D148">
        <v>2</v>
      </c>
      <c r="E148" s="1">
        <v>269.99</v>
      </c>
      <c r="F148" s="1">
        <v>0.2</v>
      </c>
      <c r="G148">
        <v>539.98</v>
      </c>
      <c r="H148" s="22">
        <f>VLOOKUP(A148,[1]Orders!$A$2:$B$1616,2,0)</f>
        <v>42400</v>
      </c>
      <c r="J148" t="s">
        <v>31</v>
      </c>
      <c r="K148" t="s">
        <v>37</v>
      </c>
    </row>
    <row r="149" spans="1:11" x14ac:dyDescent="0.3">
      <c r="A149">
        <v>51</v>
      </c>
      <c r="B149">
        <v>1</v>
      </c>
      <c r="C149">
        <v>13</v>
      </c>
      <c r="D149">
        <v>1</v>
      </c>
      <c r="E149" s="1">
        <v>269.99</v>
      </c>
      <c r="F149" s="1">
        <v>0.05</v>
      </c>
      <c r="G149">
        <v>269.99</v>
      </c>
      <c r="H149" s="22">
        <f>VLOOKUP(A149,[1]Orders!$A$2:$B$1616,2,0)</f>
        <v>42401</v>
      </c>
      <c r="J149" t="s">
        <v>31</v>
      </c>
      <c r="K149" t="s">
        <v>18</v>
      </c>
    </row>
    <row r="150" spans="1:11" x14ac:dyDescent="0.3">
      <c r="A150">
        <v>51</v>
      </c>
      <c r="B150">
        <v>2</v>
      </c>
      <c r="C150">
        <v>20</v>
      </c>
      <c r="D150">
        <v>1</v>
      </c>
      <c r="E150" s="1">
        <v>599.99</v>
      </c>
      <c r="F150" s="1">
        <v>0.05</v>
      </c>
      <c r="G150">
        <v>599.99</v>
      </c>
      <c r="H150" s="22">
        <f>VLOOKUP(A150,[1]Orders!$A$2:$B$1616,2,0)</f>
        <v>42401</v>
      </c>
      <c r="J150" t="s">
        <v>10</v>
      </c>
      <c r="K150" t="s">
        <v>18</v>
      </c>
    </row>
    <row r="151" spans="1:11" x14ac:dyDescent="0.3">
      <c r="A151">
        <v>51</v>
      </c>
      <c r="B151">
        <v>3</v>
      </c>
      <c r="C151">
        <v>26</v>
      </c>
      <c r="D151">
        <v>2</v>
      </c>
      <c r="E151" s="1">
        <v>599.99</v>
      </c>
      <c r="F151" s="1">
        <v>0.2</v>
      </c>
      <c r="G151">
        <v>1199.98</v>
      </c>
      <c r="H151" s="22">
        <f>VLOOKUP(A151,[1]Orders!$A$2:$B$1616,2,0)</f>
        <v>42401</v>
      </c>
      <c r="J151" t="s">
        <v>14</v>
      </c>
      <c r="K151" t="s">
        <v>18</v>
      </c>
    </row>
    <row r="152" spans="1:11" x14ac:dyDescent="0.3">
      <c r="A152">
        <v>52</v>
      </c>
      <c r="B152">
        <v>1</v>
      </c>
      <c r="C152">
        <v>25</v>
      </c>
      <c r="D152">
        <v>1</v>
      </c>
      <c r="E152" s="1">
        <v>499.99</v>
      </c>
      <c r="F152" s="1">
        <v>7.0000000000000007E-2</v>
      </c>
      <c r="G152">
        <v>499.99</v>
      </c>
      <c r="H152" s="22">
        <f>VLOOKUP(A152,[1]Orders!$A$2:$B$1616,2,0)</f>
        <v>42403</v>
      </c>
      <c r="J152" t="s">
        <v>35</v>
      </c>
      <c r="K152" t="s">
        <v>11</v>
      </c>
    </row>
    <row r="153" spans="1:11" x14ac:dyDescent="0.3">
      <c r="A153">
        <v>53</v>
      </c>
      <c r="B153">
        <v>1</v>
      </c>
      <c r="C153">
        <v>8</v>
      </c>
      <c r="D153">
        <v>2</v>
      </c>
      <c r="E153" s="1">
        <v>1799.99</v>
      </c>
      <c r="F153" s="1">
        <v>0.2</v>
      </c>
      <c r="G153">
        <v>3599.98</v>
      </c>
      <c r="H153" s="22">
        <f>VLOOKUP(A153,[1]Orders!$A$2:$B$1616,2,0)</f>
        <v>42403</v>
      </c>
      <c r="J153" t="s">
        <v>12</v>
      </c>
      <c r="K153" t="s">
        <v>18</v>
      </c>
    </row>
    <row r="154" spans="1:11" x14ac:dyDescent="0.3">
      <c r="A154">
        <v>53</v>
      </c>
      <c r="B154">
        <v>2</v>
      </c>
      <c r="C154">
        <v>23</v>
      </c>
      <c r="D154">
        <v>2</v>
      </c>
      <c r="E154" s="1">
        <v>299.99</v>
      </c>
      <c r="F154" s="1">
        <v>0.05</v>
      </c>
      <c r="G154">
        <v>599.98</v>
      </c>
      <c r="H154" s="22">
        <f>VLOOKUP(A154,[1]Orders!$A$2:$B$1616,2,0)</f>
        <v>42403</v>
      </c>
      <c r="J154" t="s">
        <v>33</v>
      </c>
      <c r="K154" t="s">
        <v>18</v>
      </c>
    </row>
    <row r="155" spans="1:11" x14ac:dyDescent="0.3">
      <c r="A155">
        <v>53</v>
      </c>
      <c r="B155">
        <v>3</v>
      </c>
      <c r="C155">
        <v>14</v>
      </c>
      <c r="D155">
        <v>2</v>
      </c>
      <c r="E155" s="1">
        <v>269.99</v>
      </c>
      <c r="F155" s="1">
        <v>0.2</v>
      </c>
      <c r="G155">
        <v>539.98</v>
      </c>
      <c r="H155" s="22">
        <f>VLOOKUP(A155,[1]Orders!$A$2:$B$1616,2,0)</f>
        <v>42403</v>
      </c>
      <c r="J155" t="s">
        <v>28</v>
      </c>
      <c r="K155" t="s">
        <v>18</v>
      </c>
    </row>
    <row r="156" spans="1:11" x14ac:dyDescent="0.3">
      <c r="A156">
        <v>53</v>
      </c>
      <c r="B156">
        <v>4</v>
      </c>
      <c r="C156">
        <v>25</v>
      </c>
      <c r="D156">
        <v>2</v>
      </c>
      <c r="E156" s="1">
        <v>499.99</v>
      </c>
      <c r="F156" s="1">
        <v>0.1</v>
      </c>
      <c r="G156">
        <v>999.98</v>
      </c>
      <c r="H156" s="22">
        <f>VLOOKUP(A156,[1]Orders!$A$2:$B$1616,2,0)</f>
        <v>42403</v>
      </c>
      <c r="J156" t="s">
        <v>35</v>
      </c>
      <c r="K156" t="s">
        <v>18</v>
      </c>
    </row>
    <row r="157" spans="1:11" x14ac:dyDescent="0.3">
      <c r="A157">
        <v>54</v>
      </c>
      <c r="B157">
        <v>1</v>
      </c>
      <c r="C157">
        <v>26</v>
      </c>
      <c r="D157">
        <v>2</v>
      </c>
      <c r="E157" s="1">
        <v>599.99</v>
      </c>
      <c r="F157" s="1">
        <v>0.2</v>
      </c>
      <c r="G157">
        <v>1199.98</v>
      </c>
      <c r="H157" s="22">
        <f>VLOOKUP(A157,[1]Orders!$A$2:$B$1616,2,0)</f>
        <v>42404</v>
      </c>
      <c r="J157" t="s">
        <v>14</v>
      </c>
      <c r="K157" t="s">
        <v>18</v>
      </c>
    </row>
    <row r="158" spans="1:11" x14ac:dyDescent="0.3">
      <c r="A158">
        <v>54</v>
      </c>
      <c r="B158">
        <v>2</v>
      </c>
      <c r="C158">
        <v>3</v>
      </c>
      <c r="D158">
        <v>1</v>
      </c>
      <c r="E158" s="1">
        <v>999.99</v>
      </c>
      <c r="F158" s="1">
        <v>0.2</v>
      </c>
      <c r="G158">
        <v>999.99</v>
      </c>
      <c r="H158" s="22">
        <f>VLOOKUP(A158,[1]Orders!$A$2:$B$1616,2,0)</f>
        <v>42404</v>
      </c>
      <c r="J158" t="s">
        <v>20</v>
      </c>
      <c r="K158" t="s">
        <v>18</v>
      </c>
    </row>
    <row r="159" spans="1:11" x14ac:dyDescent="0.3">
      <c r="A159">
        <v>55</v>
      </c>
      <c r="B159">
        <v>1</v>
      </c>
      <c r="C159">
        <v>21</v>
      </c>
      <c r="D159">
        <v>1</v>
      </c>
      <c r="E159" s="1">
        <v>269.99</v>
      </c>
      <c r="F159" s="1">
        <v>0.05</v>
      </c>
      <c r="G159">
        <v>269.99</v>
      </c>
      <c r="H159" s="22">
        <f>VLOOKUP(A159,[1]Orders!$A$2:$B$1616,2,0)</f>
        <v>42404</v>
      </c>
      <c r="J159" t="s">
        <v>31</v>
      </c>
      <c r="K159" t="s">
        <v>18</v>
      </c>
    </row>
    <row r="160" spans="1:11" x14ac:dyDescent="0.3">
      <c r="A160">
        <v>55</v>
      </c>
      <c r="B160">
        <v>2</v>
      </c>
      <c r="C160">
        <v>25</v>
      </c>
      <c r="D160">
        <v>2</v>
      </c>
      <c r="E160" s="1">
        <v>499.99</v>
      </c>
      <c r="F160" s="1">
        <v>0.2</v>
      </c>
      <c r="G160">
        <v>999.98</v>
      </c>
      <c r="H160" s="22">
        <f>VLOOKUP(A160,[1]Orders!$A$2:$B$1616,2,0)</f>
        <v>42404</v>
      </c>
      <c r="J160" t="s">
        <v>35</v>
      </c>
      <c r="K160" t="s">
        <v>18</v>
      </c>
    </row>
    <row r="161" spans="1:11" x14ac:dyDescent="0.3">
      <c r="A161">
        <v>55</v>
      </c>
      <c r="B161">
        <v>3</v>
      </c>
      <c r="C161">
        <v>15</v>
      </c>
      <c r="D161">
        <v>2</v>
      </c>
      <c r="E161" s="1">
        <v>529.99</v>
      </c>
      <c r="F161" s="1">
        <v>0.2</v>
      </c>
      <c r="G161">
        <v>1059.98</v>
      </c>
      <c r="H161" s="22">
        <f>VLOOKUP(A161,[1]Orders!$A$2:$B$1616,2,0)</f>
        <v>42404</v>
      </c>
      <c r="J161" t="s">
        <v>27</v>
      </c>
      <c r="K161" t="s">
        <v>18</v>
      </c>
    </row>
    <row r="162" spans="1:11" x14ac:dyDescent="0.3">
      <c r="A162">
        <v>56</v>
      </c>
      <c r="B162">
        <v>1</v>
      </c>
      <c r="C162">
        <v>20</v>
      </c>
      <c r="D162">
        <v>2</v>
      </c>
      <c r="E162" s="1">
        <v>599.99</v>
      </c>
      <c r="F162" s="1">
        <v>7.0000000000000007E-2</v>
      </c>
      <c r="G162">
        <v>1199.98</v>
      </c>
      <c r="H162" s="22">
        <f>VLOOKUP(A162,[1]Orders!$A$2:$B$1616,2,0)</f>
        <v>42404</v>
      </c>
      <c r="J162" t="s">
        <v>10</v>
      </c>
      <c r="K162" t="s">
        <v>18</v>
      </c>
    </row>
    <row r="163" spans="1:11" x14ac:dyDescent="0.3">
      <c r="A163">
        <v>57</v>
      </c>
      <c r="B163">
        <v>1</v>
      </c>
      <c r="C163">
        <v>23</v>
      </c>
      <c r="D163">
        <v>2</v>
      </c>
      <c r="E163" s="1">
        <v>299.99</v>
      </c>
      <c r="F163" s="1">
        <v>0.1</v>
      </c>
      <c r="G163">
        <v>599.98</v>
      </c>
      <c r="H163" s="22">
        <f>VLOOKUP(A163,[1]Orders!$A$2:$B$1616,2,0)</f>
        <v>42404</v>
      </c>
      <c r="J163" t="s">
        <v>33</v>
      </c>
      <c r="K163" t="s">
        <v>18</v>
      </c>
    </row>
    <row r="164" spans="1:11" x14ac:dyDescent="0.3">
      <c r="A164">
        <v>57</v>
      </c>
      <c r="B164">
        <v>2</v>
      </c>
      <c r="C164">
        <v>19</v>
      </c>
      <c r="D164">
        <v>2</v>
      </c>
      <c r="E164" s="1">
        <v>449</v>
      </c>
      <c r="F164" s="1">
        <v>0.2</v>
      </c>
      <c r="G164">
        <v>898</v>
      </c>
      <c r="H164" s="22">
        <f>VLOOKUP(A164,[1]Orders!$A$2:$B$1616,2,0)</f>
        <v>42404</v>
      </c>
      <c r="J164" t="s">
        <v>36</v>
      </c>
      <c r="K164" t="s">
        <v>18</v>
      </c>
    </row>
    <row r="165" spans="1:11" x14ac:dyDescent="0.3">
      <c r="A165">
        <v>57</v>
      </c>
      <c r="B165">
        <v>3</v>
      </c>
      <c r="C165">
        <v>13</v>
      </c>
      <c r="D165">
        <v>1</v>
      </c>
      <c r="E165" s="1">
        <v>269.99</v>
      </c>
      <c r="F165" s="1">
        <v>7.0000000000000007E-2</v>
      </c>
      <c r="G165">
        <v>269.99</v>
      </c>
      <c r="H165" s="22">
        <f>VLOOKUP(A165,[1]Orders!$A$2:$B$1616,2,0)</f>
        <v>42404</v>
      </c>
      <c r="J165" t="s">
        <v>31</v>
      </c>
      <c r="K165" t="s">
        <v>18</v>
      </c>
    </row>
    <row r="166" spans="1:11" x14ac:dyDescent="0.3">
      <c r="A166">
        <v>58</v>
      </c>
      <c r="B166">
        <v>1</v>
      </c>
      <c r="C166">
        <v>14</v>
      </c>
      <c r="D166">
        <v>2</v>
      </c>
      <c r="E166" s="1">
        <v>269.99</v>
      </c>
      <c r="F166" s="1">
        <v>0.05</v>
      </c>
      <c r="G166">
        <v>539.98</v>
      </c>
      <c r="H166" s="22">
        <f>VLOOKUP(A166,[1]Orders!$A$2:$B$1616,2,0)</f>
        <v>42405</v>
      </c>
      <c r="J166" t="s">
        <v>28</v>
      </c>
      <c r="K166" t="s">
        <v>18</v>
      </c>
    </row>
    <row r="167" spans="1:11" x14ac:dyDescent="0.3">
      <c r="A167">
        <v>58</v>
      </c>
      <c r="B167">
        <v>2</v>
      </c>
      <c r="C167">
        <v>18</v>
      </c>
      <c r="D167">
        <v>1</v>
      </c>
      <c r="E167" s="1">
        <v>449</v>
      </c>
      <c r="F167" s="1">
        <v>7.0000000000000007E-2</v>
      </c>
      <c r="G167">
        <v>449</v>
      </c>
      <c r="H167" s="22">
        <f>VLOOKUP(A167,[1]Orders!$A$2:$B$1616,2,0)</f>
        <v>42405</v>
      </c>
      <c r="J167" t="s">
        <v>24</v>
      </c>
      <c r="K167" t="s">
        <v>18</v>
      </c>
    </row>
    <row r="168" spans="1:11" x14ac:dyDescent="0.3">
      <c r="A168">
        <v>58</v>
      </c>
      <c r="B168">
        <v>3</v>
      </c>
      <c r="C168">
        <v>23</v>
      </c>
      <c r="D168">
        <v>1</v>
      </c>
      <c r="E168" s="1">
        <v>299.99</v>
      </c>
      <c r="F168" s="1">
        <v>0.1</v>
      </c>
      <c r="G168">
        <v>299.99</v>
      </c>
      <c r="H168" s="22">
        <f>VLOOKUP(A168,[1]Orders!$A$2:$B$1616,2,0)</f>
        <v>42405</v>
      </c>
      <c r="J168" t="s">
        <v>33</v>
      </c>
      <c r="K168" t="s">
        <v>18</v>
      </c>
    </row>
    <row r="169" spans="1:11" x14ac:dyDescent="0.3">
      <c r="A169">
        <v>59</v>
      </c>
      <c r="B169">
        <v>1</v>
      </c>
      <c r="C169">
        <v>21</v>
      </c>
      <c r="D169">
        <v>1</v>
      </c>
      <c r="E169" s="1">
        <v>269.99</v>
      </c>
      <c r="F169" s="1">
        <v>0.05</v>
      </c>
      <c r="G169">
        <v>269.99</v>
      </c>
      <c r="H169" s="22">
        <f>VLOOKUP(A169,[1]Orders!$A$2:$B$1616,2,0)</f>
        <v>42405</v>
      </c>
      <c r="J169" t="s">
        <v>31</v>
      </c>
      <c r="K169" t="s">
        <v>18</v>
      </c>
    </row>
    <row r="170" spans="1:11" x14ac:dyDescent="0.3">
      <c r="A170">
        <v>59</v>
      </c>
      <c r="B170">
        <v>2</v>
      </c>
      <c r="C170">
        <v>2</v>
      </c>
      <c r="D170">
        <v>1</v>
      </c>
      <c r="E170" s="1">
        <v>749.99</v>
      </c>
      <c r="F170" s="1">
        <v>0.1</v>
      </c>
      <c r="G170">
        <v>749.99</v>
      </c>
      <c r="H170" s="22">
        <f>VLOOKUP(A170,[1]Orders!$A$2:$B$1616,2,0)</f>
        <v>42405</v>
      </c>
      <c r="J170" t="s">
        <v>22</v>
      </c>
      <c r="K170" t="s">
        <v>18</v>
      </c>
    </row>
    <row r="171" spans="1:11" x14ac:dyDescent="0.3">
      <c r="A171">
        <v>59</v>
      </c>
      <c r="B171">
        <v>3</v>
      </c>
      <c r="C171">
        <v>17</v>
      </c>
      <c r="D171">
        <v>2</v>
      </c>
      <c r="E171" s="1">
        <v>429</v>
      </c>
      <c r="F171" s="1">
        <v>0.1</v>
      </c>
      <c r="G171">
        <v>858</v>
      </c>
      <c r="H171" s="22">
        <f>VLOOKUP(A171,[1]Orders!$A$2:$B$1616,2,0)</f>
        <v>42405</v>
      </c>
      <c r="J171" t="s">
        <v>23</v>
      </c>
      <c r="K171" t="s">
        <v>18</v>
      </c>
    </row>
    <row r="172" spans="1:11" x14ac:dyDescent="0.3">
      <c r="A172">
        <v>60</v>
      </c>
      <c r="B172">
        <v>1</v>
      </c>
      <c r="C172">
        <v>14</v>
      </c>
      <c r="D172">
        <v>2</v>
      </c>
      <c r="E172" s="1">
        <v>269.99</v>
      </c>
      <c r="F172" s="1">
        <v>0.05</v>
      </c>
      <c r="G172">
        <v>539.98</v>
      </c>
      <c r="H172" s="22">
        <f>VLOOKUP(A172,[1]Orders!$A$2:$B$1616,2,0)</f>
        <v>42406</v>
      </c>
      <c r="J172" t="s">
        <v>28</v>
      </c>
      <c r="K172" t="s">
        <v>11</v>
      </c>
    </row>
    <row r="173" spans="1:11" x14ac:dyDescent="0.3">
      <c r="A173">
        <v>60</v>
      </c>
      <c r="B173">
        <v>2</v>
      </c>
      <c r="C173">
        <v>4</v>
      </c>
      <c r="D173">
        <v>1</v>
      </c>
      <c r="E173" s="1">
        <v>2899.99</v>
      </c>
      <c r="F173" s="1">
        <v>0.1</v>
      </c>
      <c r="G173">
        <v>2899.99</v>
      </c>
      <c r="H173" s="22">
        <f>VLOOKUP(A173,[1]Orders!$A$2:$B$1616,2,0)</f>
        <v>42406</v>
      </c>
      <c r="J173" t="s">
        <v>16</v>
      </c>
      <c r="K173" t="s">
        <v>11</v>
      </c>
    </row>
    <row r="174" spans="1:11" x14ac:dyDescent="0.3">
      <c r="A174">
        <v>60</v>
      </c>
      <c r="B174">
        <v>3</v>
      </c>
      <c r="C174">
        <v>15</v>
      </c>
      <c r="D174">
        <v>1</v>
      </c>
      <c r="E174" s="1">
        <v>529.99</v>
      </c>
      <c r="F174" s="1">
        <v>7.0000000000000007E-2</v>
      </c>
      <c r="G174">
        <v>529.99</v>
      </c>
      <c r="H174" s="22">
        <f>VLOOKUP(A174,[1]Orders!$A$2:$B$1616,2,0)</f>
        <v>42406</v>
      </c>
      <c r="J174" t="s">
        <v>27</v>
      </c>
      <c r="K174" t="s">
        <v>11</v>
      </c>
    </row>
    <row r="175" spans="1:11" x14ac:dyDescent="0.3">
      <c r="A175">
        <v>60</v>
      </c>
      <c r="B175">
        <v>4</v>
      </c>
      <c r="C175">
        <v>22</v>
      </c>
      <c r="D175">
        <v>1</v>
      </c>
      <c r="E175" s="1">
        <v>269.99</v>
      </c>
      <c r="F175" s="1">
        <v>0.2</v>
      </c>
      <c r="G175">
        <v>269.99</v>
      </c>
      <c r="H175" s="22">
        <f>VLOOKUP(A175,[1]Orders!$A$2:$B$1616,2,0)</f>
        <v>42406</v>
      </c>
      <c r="J175" t="s">
        <v>28</v>
      </c>
      <c r="K175" t="s">
        <v>11</v>
      </c>
    </row>
    <row r="176" spans="1:11" x14ac:dyDescent="0.3">
      <c r="A176">
        <v>61</v>
      </c>
      <c r="B176">
        <v>1</v>
      </c>
      <c r="C176">
        <v>25</v>
      </c>
      <c r="D176">
        <v>1</v>
      </c>
      <c r="E176" s="1">
        <v>499.99</v>
      </c>
      <c r="F176" s="1">
        <v>0.1</v>
      </c>
      <c r="G176">
        <v>499.99</v>
      </c>
      <c r="H176" s="22">
        <f>VLOOKUP(A176,[1]Orders!$A$2:$B$1616,2,0)</f>
        <v>42406</v>
      </c>
      <c r="J176" t="s">
        <v>35</v>
      </c>
      <c r="K176" t="s">
        <v>18</v>
      </c>
    </row>
    <row r="177" spans="1:11" x14ac:dyDescent="0.3">
      <c r="A177">
        <v>61</v>
      </c>
      <c r="B177">
        <v>2</v>
      </c>
      <c r="C177">
        <v>15</v>
      </c>
      <c r="D177">
        <v>2</v>
      </c>
      <c r="E177" s="1">
        <v>529.99</v>
      </c>
      <c r="F177" s="1">
        <v>0.05</v>
      </c>
      <c r="G177">
        <v>1059.98</v>
      </c>
      <c r="H177" s="22">
        <f>VLOOKUP(A177,[1]Orders!$A$2:$B$1616,2,0)</f>
        <v>42406</v>
      </c>
      <c r="J177" t="s">
        <v>27</v>
      </c>
      <c r="K177" t="s">
        <v>18</v>
      </c>
    </row>
    <row r="178" spans="1:11" x14ac:dyDescent="0.3">
      <c r="A178">
        <v>61</v>
      </c>
      <c r="B178">
        <v>3</v>
      </c>
      <c r="C178">
        <v>5</v>
      </c>
      <c r="D178">
        <v>2</v>
      </c>
      <c r="E178" s="1">
        <v>1320.99</v>
      </c>
      <c r="F178" s="1">
        <v>0.2</v>
      </c>
      <c r="G178">
        <v>2641.98</v>
      </c>
      <c r="H178" s="22">
        <f>VLOOKUP(A178,[1]Orders!$A$2:$B$1616,2,0)</f>
        <v>42406</v>
      </c>
      <c r="J178" t="s">
        <v>34</v>
      </c>
      <c r="K178" t="s">
        <v>18</v>
      </c>
    </row>
    <row r="179" spans="1:11" x14ac:dyDescent="0.3">
      <c r="A179">
        <v>62</v>
      </c>
      <c r="B179">
        <v>1</v>
      </c>
      <c r="C179">
        <v>14</v>
      </c>
      <c r="D179">
        <v>1</v>
      </c>
      <c r="E179" s="1">
        <v>269.99</v>
      </c>
      <c r="F179" s="1">
        <v>7.0000000000000007E-2</v>
      </c>
      <c r="G179">
        <v>269.99</v>
      </c>
      <c r="H179" s="22">
        <f>VLOOKUP(A179,[1]Orders!$A$2:$B$1616,2,0)</f>
        <v>42407</v>
      </c>
      <c r="J179" t="s">
        <v>28</v>
      </c>
      <c r="K179" t="s">
        <v>11</v>
      </c>
    </row>
    <row r="180" spans="1:11" x14ac:dyDescent="0.3">
      <c r="A180">
        <v>62</v>
      </c>
      <c r="B180">
        <v>2</v>
      </c>
      <c r="C180">
        <v>8</v>
      </c>
      <c r="D180">
        <v>2</v>
      </c>
      <c r="E180" s="1">
        <v>1799.99</v>
      </c>
      <c r="F180" s="1">
        <v>0.1</v>
      </c>
      <c r="G180">
        <v>3599.98</v>
      </c>
      <c r="H180" s="22">
        <f>VLOOKUP(A180,[1]Orders!$A$2:$B$1616,2,0)</f>
        <v>42407</v>
      </c>
      <c r="J180" t="s">
        <v>12</v>
      </c>
      <c r="K180" t="s">
        <v>11</v>
      </c>
    </row>
    <row r="181" spans="1:11" x14ac:dyDescent="0.3">
      <c r="A181">
        <v>62</v>
      </c>
      <c r="B181">
        <v>3</v>
      </c>
      <c r="C181">
        <v>22</v>
      </c>
      <c r="D181">
        <v>2</v>
      </c>
      <c r="E181" s="1">
        <v>269.99</v>
      </c>
      <c r="F181" s="1">
        <v>0.1</v>
      </c>
      <c r="G181">
        <v>539.98</v>
      </c>
      <c r="H181" s="22">
        <f>VLOOKUP(A181,[1]Orders!$A$2:$B$1616,2,0)</f>
        <v>42407</v>
      </c>
      <c r="J181" t="s">
        <v>28</v>
      </c>
      <c r="K181" t="s">
        <v>11</v>
      </c>
    </row>
    <row r="182" spans="1:11" x14ac:dyDescent="0.3">
      <c r="A182">
        <v>63</v>
      </c>
      <c r="B182">
        <v>1</v>
      </c>
      <c r="C182">
        <v>25</v>
      </c>
      <c r="D182">
        <v>2</v>
      </c>
      <c r="E182" s="1">
        <v>499.99</v>
      </c>
      <c r="F182" s="1">
        <v>0.1</v>
      </c>
      <c r="G182">
        <v>999.98</v>
      </c>
      <c r="H182" s="22">
        <f>VLOOKUP(A182,[1]Orders!$A$2:$B$1616,2,0)</f>
        <v>42407</v>
      </c>
      <c r="J182" t="s">
        <v>35</v>
      </c>
      <c r="K182" t="s">
        <v>18</v>
      </c>
    </row>
    <row r="183" spans="1:11" x14ac:dyDescent="0.3">
      <c r="A183">
        <v>63</v>
      </c>
      <c r="B183">
        <v>2</v>
      </c>
      <c r="C183">
        <v>19</v>
      </c>
      <c r="D183">
        <v>2</v>
      </c>
      <c r="E183" s="1">
        <v>449</v>
      </c>
      <c r="F183" s="1">
        <v>0.05</v>
      </c>
      <c r="G183">
        <v>898</v>
      </c>
      <c r="H183" s="22">
        <f>VLOOKUP(A183,[1]Orders!$A$2:$B$1616,2,0)</f>
        <v>42407</v>
      </c>
      <c r="J183" t="s">
        <v>36</v>
      </c>
      <c r="K183" t="s">
        <v>18</v>
      </c>
    </row>
    <row r="184" spans="1:11" x14ac:dyDescent="0.3">
      <c r="A184">
        <v>63</v>
      </c>
      <c r="B184">
        <v>3</v>
      </c>
      <c r="C184">
        <v>3</v>
      </c>
      <c r="D184">
        <v>1</v>
      </c>
      <c r="E184" s="1">
        <v>999.99</v>
      </c>
      <c r="F184" s="1">
        <v>0.1</v>
      </c>
      <c r="G184">
        <v>999.99</v>
      </c>
      <c r="H184" s="22">
        <f>VLOOKUP(A184,[1]Orders!$A$2:$B$1616,2,0)</f>
        <v>42407</v>
      </c>
      <c r="J184" t="s">
        <v>20</v>
      </c>
      <c r="K184" t="s">
        <v>18</v>
      </c>
    </row>
    <row r="185" spans="1:11" x14ac:dyDescent="0.3">
      <c r="A185">
        <v>64</v>
      </c>
      <c r="B185">
        <v>1</v>
      </c>
      <c r="C185">
        <v>25</v>
      </c>
      <c r="D185">
        <v>2</v>
      </c>
      <c r="E185" s="1">
        <v>499.99</v>
      </c>
      <c r="F185" s="1">
        <v>0.1</v>
      </c>
      <c r="G185">
        <v>999.98</v>
      </c>
      <c r="H185" s="22">
        <f>VLOOKUP(A185,[1]Orders!$A$2:$B$1616,2,0)</f>
        <v>42407</v>
      </c>
      <c r="J185" t="s">
        <v>35</v>
      </c>
      <c r="K185" t="s">
        <v>18</v>
      </c>
    </row>
    <row r="186" spans="1:11" x14ac:dyDescent="0.3">
      <c r="A186">
        <v>64</v>
      </c>
      <c r="B186">
        <v>2</v>
      </c>
      <c r="C186">
        <v>22</v>
      </c>
      <c r="D186">
        <v>2</v>
      </c>
      <c r="E186" s="1">
        <v>269.99</v>
      </c>
      <c r="F186" s="1">
        <v>0.2</v>
      </c>
      <c r="G186">
        <v>539.98</v>
      </c>
      <c r="H186" s="22">
        <f>VLOOKUP(A186,[1]Orders!$A$2:$B$1616,2,0)</f>
        <v>42407</v>
      </c>
      <c r="J186" t="s">
        <v>28</v>
      </c>
      <c r="K186" t="s">
        <v>18</v>
      </c>
    </row>
    <row r="187" spans="1:11" x14ac:dyDescent="0.3">
      <c r="A187">
        <v>64</v>
      </c>
      <c r="B187">
        <v>3</v>
      </c>
      <c r="C187">
        <v>23</v>
      </c>
      <c r="D187">
        <v>2</v>
      </c>
      <c r="E187" s="1">
        <v>299.99</v>
      </c>
      <c r="F187" s="1">
        <v>0.2</v>
      </c>
      <c r="G187">
        <v>599.98</v>
      </c>
      <c r="H187" s="22">
        <f>VLOOKUP(A187,[1]Orders!$A$2:$B$1616,2,0)</f>
        <v>42407</v>
      </c>
      <c r="J187" t="s">
        <v>33</v>
      </c>
      <c r="K187" t="s">
        <v>18</v>
      </c>
    </row>
    <row r="188" spans="1:11" x14ac:dyDescent="0.3">
      <c r="A188">
        <v>64</v>
      </c>
      <c r="B188">
        <v>4</v>
      </c>
      <c r="C188">
        <v>24</v>
      </c>
      <c r="D188">
        <v>2</v>
      </c>
      <c r="E188" s="1">
        <v>549.99</v>
      </c>
      <c r="F188" s="1">
        <v>0.1</v>
      </c>
      <c r="G188">
        <v>1099.98</v>
      </c>
      <c r="H188" s="22">
        <f>VLOOKUP(A188,[1]Orders!$A$2:$B$1616,2,0)</f>
        <v>42407</v>
      </c>
      <c r="J188" t="s">
        <v>25</v>
      </c>
      <c r="K188" t="s">
        <v>18</v>
      </c>
    </row>
    <row r="189" spans="1:11" x14ac:dyDescent="0.3">
      <c r="A189">
        <v>65</v>
      </c>
      <c r="B189">
        <v>1</v>
      </c>
      <c r="C189">
        <v>12</v>
      </c>
      <c r="D189">
        <v>1</v>
      </c>
      <c r="E189" s="1">
        <v>549.99</v>
      </c>
      <c r="F189" s="1">
        <v>0.1</v>
      </c>
      <c r="G189">
        <v>549.99</v>
      </c>
      <c r="H189" s="22">
        <f>VLOOKUP(A189,[1]Orders!$A$2:$B$1616,2,0)</f>
        <v>42408</v>
      </c>
      <c r="J189" t="s">
        <v>25</v>
      </c>
      <c r="K189" t="s">
        <v>18</v>
      </c>
    </row>
    <row r="190" spans="1:11" x14ac:dyDescent="0.3">
      <c r="A190">
        <v>66</v>
      </c>
      <c r="B190">
        <v>1</v>
      </c>
      <c r="C190">
        <v>2</v>
      </c>
      <c r="D190">
        <v>1</v>
      </c>
      <c r="E190" s="1">
        <v>749.99</v>
      </c>
      <c r="F190" s="1">
        <v>0.2</v>
      </c>
      <c r="G190">
        <v>749.99</v>
      </c>
      <c r="H190" s="22">
        <f>VLOOKUP(A190,[1]Orders!$A$2:$B$1616,2,0)</f>
        <v>42409</v>
      </c>
      <c r="J190" t="s">
        <v>22</v>
      </c>
      <c r="K190" t="s">
        <v>18</v>
      </c>
    </row>
    <row r="191" spans="1:11" x14ac:dyDescent="0.3">
      <c r="A191">
        <v>66</v>
      </c>
      <c r="B191">
        <v>2</v>
      </c>
      <c r="C191">
        <v>23</v>
      </c>
      <c r="D191">
        <v>1</v>
      </c>
      <c r="E191" s="1">
        <v>299.99</v>
      </c>
      <c r="F191" s="1">
        <v>7.0000000000000007E-2</v>
      </c>
      <c r="G191">
        <v>299.99</v>
      </c>
      <c r="H191" s="22">
        <f>VLOOKUP(A191,[1]Orders!$A$2:$B$1616,2,0)</f>
        <v>42409</v>
      </c>
      <c r="J191" t="s">
        <v>33</v>
      </c>
      <c r="K191" t="s">
        <v>18</v>
      </c>
    </row>
    <row r="192" spans="1:11" x14ac:dyDescent="0.3">
      <c r="A192">
        <v>66</v>
      </c>
      <c r="B192">
        <v>3</v>
      </c>
      <c r="C192">
        <v>12</v>
      </c>
      <c r="D192">
        <v>1</v>
      </c>
      <c r="E192" s="1">
        <v>549.99</v>
      </c>
      <c r="F192" s="1">
        <v>7.0000000000000007E-2</v>
      </c>
      <c r="G192">
        <v>549.99</v>
      </c>
      <c r="H192" s="22">
        <f>VLOOKUP(A192,[1]Orders!$A$2:$B$1616,2,0)</f>
        <v>42409</v>
      </c>
      <c r="J192" t="s">
        <v>25</v>
      </c>
      <c r="K192" t="s">
        <v>18</v>
      </c>
    </row>
    <row r="193" spans="1:11" x14ac:dyDescent="0.3">
      <c r="A193">
        <v>67</v>
      </c>
      <c r="B193">
        <v>1</v>
      </c>
      <c r="C193">
        <v>23</v>
      </c>
      <c r="D193">
        <v>2</v>
      </c>
      <c r="E193" s="1">
        <v>299.99</v>
      </c>
      <c r="F193" s="1">
        <v>0.2</v>
      </c>
      <c r="G193">
        <v>599.98</v>
      </c>
      <c r="H193" s="22">
        <f>VLOOKUP(A193,[1]Orders!$A$2:$B$1616,2,0)</f>
        <v>42409</v>
      </c>
      <c r="J193" t="s">
        <v>33</v>
      </c>
      <c r="K193" t="s">
        <v>37</v>
      </c>
    </row>
    <row r="194" spans="1:11" x14ac:dyDescent="0.3">
      <c r="A194">
        <v>67</v>
      </c>
      <c r="B194">
        <v>2</v>
      </c>
      <c r="C194">
        <v>12</v>
      </c>
      <c r="D194">
        <v>2</v>
      </c>
      <c r="E194" s="1">
        <v>549.99</v>
      </c>
      <c r="F194" s="1">
        <v>0.1</v>
      </c>
      <c r="G194">
        <v>1099.98</v>
      </c>
      <c r="H194" s="22">
        <f>VLOOKUP(A194,[1]Orders!$A$2:$B$1616,2,0)</f>
        <v>42409</v>
      </c>
      <c r="J194" t="s">
        <v>25</v>
      </c>
      <c r="K194" t="s">
        <v>37</v>
      </c>
    </row>
    <row r="195" spans="1:11" x14ac:dyDescent="0.3">
      <c r="A195">
        <v>67</v>
      </c>
      <c r="B195">
        <v>3</v>
      </c>
      <c r="C195">
        <v>21</v>
      </c>
      <c r="D195">
        <v>1</v>
      </c>
      <c r="E195" s="1">
        <v>269.99</v>
      </c>
      <c r="F195" s="1">
        <v>0.2</v>
      </c>
      <c r="G195">
        <v>269.99</v>
      </c>
      <c r="H195" s="22">
        <f>VLOOKUP(A195,[1]Orders!$A$2:$B$1616,2,0)</f>
        <v>42409</v>
      </c>
      <c r="J195" t="s">
        <v>31</v>
      </c>
      <c r="K195" t="s">
        <v>37</v>
      </c>
    </row>
    <row r="196" spans="1:11" x14ac:dyDescent="0.3">
      <c r="A196">
        <v>67</v>
      </c>
      <c r="B196">
        <v>4</v>
      </c>
      <c r="C196">
        <v>5</v>
      </c>
      <c r="D196">
        <v>2</v>
      </c>
      <c r="E196" s="1">
        <v>1320.99</v>
      </c>
      <c r="F196" s="1">
        <v>0.1</v>
      </c>
      <c r="G196">
        <v>2641.98</v>
      </c>
      <c r="H196" s="22">
        <f>VLOOKUP(A196,[1]Orders!$A$2:$B$1616,2,0)</f>
        <v>42409</v>
      </c>
      <c r="J196" t="s">
        <v>34</v>
      </c>
      <c r="K196" t="s">
        <v>37</v>
      </c>
    </row>
    <row r="197" spans="1:11" x14ac:dyDescent="0.3">
      <c r="A197">
        <v>67</v>
      </c>
      <c r="B197">
        <v>5</v>
      </c>
      <c r="C197">
        <v>19</v>
      </c>
      <c r="D197">
        <v>1</v>
      </c>
      <c r="E197" s="1">
        <v>449</v>
      </c>
      <c r="F197" s="1">
        <v>0.2</v>
      </c>
      <c r="G197">
        <v>449</v>
      </c>
      <c r="H197" s="22">
        <f>VLOOKUP(A197,[1]Orders!$A$2:$B$1616,2,0)</f>
        <v>42409</v>
      </c>
      <c r="J197" t="s">
        <v>36</v>
      </c>
      <c r="K197" t="s">
        <v>37</v>
      </c>
    </row>
    <row r="198" spans="1:11" x14ac:dyDescent="0.3">
      <c r="A198">
        <v>68</v>
      </c>
      <c r="B198">
        <v>1</v>
      </c>
      <c r="C198">
        <v>13</v>
      </c>
      <c r="D198">
        <v>2</v>
      </c>
      <c r="E198" s="1">
        <v>269.99</v>
      </c>
      <c r="F198" s="1">
        <v>7.0000000000000007E-2</v>
      </c>
      <c r="G198">
        <v>539.98</v>
      </c>
      <c r="H198" s="22">
        <f>VLOOKUP(A198,[1]Orders!$A$2:$B$1616,2,0)</f>
        <v>42410</v>
      </c>
      <c r="J198" t="s">
        <v>31</v>
      </c>
      <c r="K198" t="s">
        <v>18</v>
      </c>
    </row>
    <row r="199" spans="1:11" x14ac:dyDescent="0.3">
      <c r="A199">
        <v>68</v>
      </c>
      <c r="B199">
        <v>2</v>
      </c>
      <c r="C199">
        <v>17</v>
      </c>
      <c r="D199">
        <v>1</v>
      </c>
      <c r="E199" s="1">
        <v>429</v>
      </c>
      <c r="F199" s="1">
        <v>0.1</v>
      </c>
      <c r="G199">
        <v>429</v>
      </c>
      <c r="H199" s="22">
        <f>VLOOKUP(A199,[1]Orders!$A$2:$B$1616,2,0)</f>
        <v>42410</v>
      </c>
      <c r="J199" t="s">
        <v>23</v>
      </c>
      <c r="K199" t="s">
        <v>18</v>
      </c>
    </row>
    <row r="200" spans="1:11" x14ac:dyDescent="0.3">
      <c r="A200">
        <v>69</v>
      </c>
      <c r="B200">
        <v>1</v>
      </c>
      <c r="C200">
        <v>22</v>
      </c>
      <c r="D200">
        <v>2</v>
      </c>
      <c r="E200" s="1">
        <v>269.99</v>
      </c>
      <c r="F200" s="1">
        <v>0.1</v>
      </c>
      <c r="G200">
        <v>539.98</v>
      </c>
      <c r="H200" s="22">
        <f>VLOOKUP(A200,[1]Orders!$A$2:$B$1616,2,0)</f>
        <v>42410</v>
      </c>
      <c r="J200" t="s">
        <v>28</v>
      </c>
      <c r="K200" t="s">
        <v>18</v>
      </c>
    </row>
    <row r="201" spans="1:11" x14ac:dyDescent="0.3">
      <c r="A201">
        <v>69</v>
      </c>
      <c r="B201">
        <v>2</v>
      </c>
      <c r="C201">
        <v>5</v>
      </c>
      <c r="D201">
        <v>1</v>
      </c>
      <c r="E201" s="1">
        <v>1320.99</v>
      </c>
      <c r="F201" s="1">
        <v>0.2</v>
      </c>
      <c r="G201">
        <v>1320.99</v>
      </c>
      <c r="H201" s="22">
        <f>VLOOKUP(A201,[1]Orders!$A$2:$B$1616,2,0)</f>
        <v>42410</v>
      </c>
      <c r="J201" t="s">
        <v>34</v>
      </c>
      <c r="K201" t="s">
        <v>18</v>
      </c>
    </row>
    <row r="202" spans="1:11" x14ac:dyDescent="0.3">
      <c r="A202">
        <v>69</v>
      </c>
      <c r="B202">
        <v>3</v>
      </c>
      <c r="C202">
        <v>10</v>
      </c>
      <c r="D202">
        <v>1</v>
      </c>
      <c r="E202" s="1">
        <v>1549</v>
      </c>
      <c r="F202" s="1">
        <v>0.05</v>
      </c>
      <c r="G202">
        <v>1549</v>
      </c>
      <c r="H202" s="22">
        <f>VLOOKUP(A202,[1]Orders!$A$2:$B$1616,2,0)</f>
        <v>42410</v>
      </c>
      <c r="J202" t="s">
        <v>13</v>
      </c>
      <c r="K202" t="s">
        <v>18</v>
      </c>
    </row>
    <row r="203" spans="1:11" x14ac:dyDescent="0.3">
      <c r="A203">
        <v>70</v>
      </c>
      <c r="B203">
        <v>1</v>
      </c>
      <c r="C203">
        <v>3</v>
      </c>
      <c r="D203">
        <v>2</v>
      </c>
      <c r="E203" s="1">
        <v>999.99</v>
      </c>
      <c r="F203" s="1">
        <v>0.05</v>
      </c>
      <c r="G203">
        <v>1999.98</v>
      </c>
      <c r="H203" s="22">
        <f>VLOOKUP(A203,[1]Orders!$A$2:$B$1616,2,0)</f>
        <v>42411</v>
      </c>
      <c r="J203" t="s">
        <v>20</v>
      </c>
      <c r="K203" t="s">
        <v>37</v>
      </c>
    </row>
    <row r="204" spans="1:11" x14ac:dyDescent="0.3">
      <c r="A204">
        <v>70</v>
      </c>
      <c r="B204">
        <v>2</v>
      </c>
      <c r="C204">
        <v>18</v>
      </c>
      <c r="D204">
        <v>1</v>
      </c>
      <c r="E204" s="1">
        <v>449</v>
      </c>
      <c r="F204" s="1">
        <v>0.2</v>
      </c>
      <c r="G204">
        <v>449</v>
      </c>
      <c r="H204" s="22">
        <f>VLOOKUP(A204,[1]Orders!$A$2:$B$1616,2,0)</f>
        <v>42411</v>
      </c>
      <c r="J204" t="s">
        <v>24</v>
      </c>
      <c r="K204" t="s">
        <v>37</v>
      </c>
    </row>
    <row r="205" spans="1:11" x14ac:dyDescent="0.3">
      <c r="A205">
        <v>70</v>
      </c>
      <c r="B205">
        <v>3</v>
      </c>
      <c r="C205">
        <v>20</v>
      </c>
      <c r="D205">
        <v>1</v>
      </c>
      <c r="E205" s="1">
        <v>599.99</v>
      </c>
      <c r="F205" s="1">
        <v>0.05</v>
      </c>
      <c r="G205">
        <v>599.99</v>
      </c>
      <c r="H205" s="22">
        <f>VLOOKUP(A205,[1]Orders!$A$2:$B$1616,2,0)</f>
        <v>42411</v>
      </c>
      <c r="J205" t="s">
        <v>10</v>
      </c>
      <c r="K205" t="s">
        <v>37</v>
      </c>
    </row>
    <row r="206" spans="1:11" x14ac:dyDescent="0.3">
      <c r="A206">
        <v>71</v>
      </c>
      <c r="B206">
        <v>1</v>
      </c>
      <c r="C206">
        <v>26</v>
      </c>
      <c r="D206">
        <v>2</v>
      </c>
      <c r="E206" s="1">
        <v>599.99</v>
      </c>
      <c r="F206" s="1">
        <v>0.05</v>
      </c>
      <c r="G206">
        <v>1199.98</v>
      </c>
      <c r="H206" s="22">
        <f>VLOOKUP(A206,[1]Orders!$A$2:$B$1616,2,0)</f>
        <v>42411</v>
      </c>
      <c r="J206" t="s">
        <v>14</v>
      </c>
      <c r="K206" t="s">
        <v>18</v>
      </c>
    </row>
    <row r="207" spans="1:11" x14ac:dyDescent="0.3">
      <c r="A207">
        <v>71</v>
      </c>
      <c r="B207">
        <v>2</v>
      </c>
      <c r="C207">
        <v>24</v>
      </c>
      <c r="D207">
        <v>1</v>
      </c>
      <c r="E207" s="1">
        <v>549.99</v>
      </c>
      <c r="F207" s="1">
        <v>0.2</v>
      </c>
      <c r="G207">
        <v>549.99</v>
      </c>
      <c r="H207" s="22">
        <f>VLOOKUP(A207,[1]Orders!$A$2:$B$1616,2,0)</f>
        <v>42411</v>
      </c>
      <c r="J207" t="s">
        <v>25</v>
      </c>
      <c r="K207" t="s">
        <v>18</v>
      </c>
    </row>
    <row r="208" spans="1:11" x14ac:dyDescent="0.3">
      <c r="A208">
        <v>71</v>
      </c>
      <c r="B208">
        <v>3</v>
      </c>
      <c r="C208">
        <v>18</v>
      </c>
      <c r="D208">
        <v>1</v>
      </c>
      <c r="E208" s="1">
        <v>449</v>
      </c>
      <c r="F208" s="1">
        <v>0.1</v>
      </c>
      <c r="G208">
        <v>449</v>
      </c>
      <c r="H208" s="22">
        <f>VLOOKUP(A208,[1]Orders!$A$2:$B$1616,2,0)</f>
        <v>42411</v>
      </c>
      <c r="J208" t="s">
        <v>24</v>
      </c>
      <c r="K208" t="s">
        <v>18</v>
      </c>
    </row>
    <row r="209" spans="1:11" x14ac:dyDescent="0.3">
      <c r="A209">
        <v>72</v>
      </c>
      <c r="B209">
        <v>1</v>
      </c>
      <c r="C209">
        <v>17</v>
      </c>
      <c r="D209">
        <v>2</v>
      </c>
      <c r="E209" s="1">
        <v>429</v>
      </c>
      <c r="F209" s="1">
        <v>7.0000000000000007E-2</v>
      </c>
      <c r="G209">
        <v>858</v>
      </c>
      <c r="H209" s="22">
        <f>VLOOKUP(A209,[1]Orders!$A$2:$B$1616,2,0)</f>
        <v>42412</v>
      </c>
      <c r="J209" t="s">
        <v>23</v>
      </c>
      <c r="K209" t="s">
        <v>11</v>
      </c>
    </row>
    <row r="210" spans="1:11" x14ac:dyDescent="0.3">
      <c r="A210">
        <v>72</v>
      </c>
      <c r="B210">
        <v>2</v>
      </c>
      <c r="C210">
        <v>12</v>
      </c>
      <c r="D210">
        <v>1</v>
      </c>
      <c r="E210" s="1">
        <v>549.99</v>
      </c>
      <c r="F210" s="1">
        <v>0.05</v>
      </c>
      <c r="G210">
        <v>549.99</v>
      </c>
      <c r="H210" s="22">
        <f>VLOOKUP(A210,[1]Orders!$A$2:$B$1616,2,0)</f>
        <v>42412</v>
      </c>
      <c r="J210" t="s">
        <v>25</v>
      </c>
      <c r="K210" t="s">
        <v>11</v>
      </c>
    </row>
    <row r="211" spans="1:11" x14ac:dyDescent="0.3">
      <c r="A211">
        <v>72</v>
      </c>
      <c r="B211">
        <v>3</v>
      </c>
      <c r="C211">
        <v>13</v>
      </c>
      <c r="D211">
        <v>2</v>
      </c>
      <c r="E211" s="1">
        <v>269.99</v>
      </c>
      <c r="F211" s="1">
        <v>0.1</v>
      </c>
      <c r="G211">
        <v>539.98</v>
      </c>
      <c r="H211" s="22">
        <f>VLOOKUP(A211,[1]Orders!$A$2:$B$1616,2,0)</f>
        <v>42412</v>
      </c>
      <c r="J211" t="s">
        <v>31</v>
      </c>
      <c r="K211" t="s">
        <v>11</v>
      </c>
    </row>
    <row r="212" spans="1:11" x14ac:dyDescent="0.3">
      <c r="A212">
        <v>73</v>
      </c>
      <c r="B212">
        <v>1</v>
      </c>
      <c r="C212">
        <v>22</v>
      </c>
      <c r="D212">
        <v>1</v>
      </c>
      <c r="E212" s="1">
        <v>269.99</v>
      </c>
      <c r="F212" s="1">
        <v>7.0000000000000007E-2</v>
      </c>
      <c r="G212">
        <v>269.99</v>
      </c>
      <c r="H212" s="22">
        <f>VLOOKUP(A212,[1]Orders!$A$2:$B$1616,2,0)</f>
        <v>42412</v>
      </c>
      <c r="J212" t="s">
        <v>28</v>
      </c>
      <c r="K212" t="s">
        <v>18</v>
      </c>
    </row>
    <row r="213" spans="1:11" x14ac:dyDescent="0.3">
      <c r="A213">
        <v>73</v>
      </c>
      <c r="B213">
        <v>2</v>
      </c>
      <c r="C213">
        <v>26</v>
      </c>
      <c r="D213">
        <v>2</v>
      </c>
      <c r="E213" s="1">
        <v>599.99</v>
      </c>
      <c r="F213" s="1">
        <v>0.05</v>
      </c>
      <c r="G213">
        <v>1199.98</v>
      </c>
      <c r="H213" s="22">
        <f>VLOOKUP(A213,[1]Orders!$A$2:$B$1616,2,0)</f>
        <v>42412</v>
      </c>
      <c r="J213" t="s">
        <v>14</v>
      </c>
      <c r="K213" t="s">
        <v>18</v>
      </c>
    </row>
    <row r="214" spans="1:11" x14ac:dyDescent="0.3">
      <c r="A214">
        <v>73</v>
      </c>
      <c r="B214">
        <v>3</v>
      </c>
      <c r="C214">
        <v>3</v>
      </c>
      <c r="D214">
        <v>2</v>
      </c>
      <c r="E214" s="1">
        <v>999.99</v>
      </c>
      <c r="F214" s="1">
        <v>7.0000000000000007E-2</v>
      </c>
      <c r="G214">
        <v>1999.98</v>
      </c>
      <c r="H214" s="22">
        <f>VLOOKUP(A214,[1]Orders!$A$2:$B$1616,2,0)</f>
        <v>42412</v>
      </c>
      <c r="J214" t="s">
        <v>20</v>
      </c>
      <c r="K214" t="s">
        <v>18</v>
      </c>
    </row>
    <row r="215" spans="1:11" x14ac:dyDescent="0.3">
      <c r="A215">
        <v>73</v>
      </c>
      <c r="B215">
        <v>4</v>
      </c>
      <c r="C215">
        <v>25</v>
      </c>
      <c r="D215">
        <v>1</v>
      </c>
      <c r="E215" s="1">
        <v>499.99</v>
      </c>
      <c r="F215" s="1">
        <v>7.0000000000000007E-2</v>
      </c>
      <c r="G215">
        <v>499.99</v>
      </c>
      <c r="H215" s="22">
        <f>VLOOKUP(A215,[1]Orders!$A$2:$B$1616,2,0)</f>
        <v>42412</v>
      </c>
      <c r="J215" t="s">
        <v>35</v>
      </c>
      <c r="K215" t="s">
        <v>18</v>
      </c>
    </row>
    <row r="216" spans="1:11" x14ac:dyDescent="0.3">
      <c r="A216">
        <v>73</v>
      </c>
      <c r="B216">
        <v>5</v>
      </c>
      <c r="C216">
        <v>23</v>
      </c>
      <c r="D216">
        <v>2</v>
      </c>
      <c r="E216" s="1">
        <v>299.99</v>
      </c>
      <c r="F216" s="1">
        <v>0.2</v>
      </c>
      <c r="G216">
        <v>599.98</v>
      </c>
      <c r="H216" s="22">
        <f>VLOOKUP(A216,[1]Orders!$A$2:$B$1616,2,0)</f>
        <v>42412</v>
      </c>
      <c r="J216" t="s">
        <v>33</v>
      </c>
      <c r="K216" t="s">
        <v>18</v>
      </c>
    </row>
    <row r="217" spans="1:11" x14ac:dyDescent="0.3">
      <c r="A217">
        <v>74</v>
      </c>
      <c r="B217">
        <v>1</v>
      </c>
      <c r="C217">
        <v>16</v>
      </c>
      <c r="D217">
        <v>2</v>
      </c>
      <c r="E217" s="1">
        <v>599.99</v>
      </c>
      <c r="F217" s="1">
        <v>0.05</v>
      </c>
      <c r="G217">
        <v>1199.98</v>
      </c>
      <c r="H217" s="22">
        <f>VLOOKUP(A217,[1]Orders!$A$2:$B$1616,2,0)</f>
        <v>42413</v>
      </c>
      <c r="J217" t="s">
        <v>14</v>
      </c>
      <c r="K217" t="s">
        <v>18</v>
      </c>
    </row>
    <row r="218" spans="1:11" x14ac:dyDescent="0.3">
      <c r="A218">
        <v>74</v>
      </c>
      <c r="B218">
        <v>2</v>
      </c>
      <c r="C218">
        <v>6</v>
      </c>
      <c r="D218">
        <v>1</v>
      </c>
      <c r="E218" s="1">
        <v>469.99</v>
      </c>
      <c r="F218" s="1">
        <v>7.0000000000000007E-2</v>
      </c>
      <c r="G218">
        <v>469.99</v>
      </c>
      <c r="H218" s="22">
        <f>VLOOKUP(A218,[1]Orders!$A$2:$B$1616,2,0)</f>
        <v>42413</v>
      </c>
      <c r="J218" t="s">
        <v>32</v>
      </c>
      <c r="K218" t="s">
        <v>18</v>
      </c>
    </row>
    <row r="219" spans="1:11" x14ac:dyDescent="0.3">
      <c r="A219">
        <v>75</v>
      </c>
      <c r="B219">
        <v>1</v>
      </c>
      <c r="C219">
        <v>3</v>
      </c>
      <c r="D219">
        <v>1</v>
      </c>
      <c r="E219" s="1">
        <v>999.99</v>
      </c>
      <c r="F219" s="1">
        <v>0.1</v>
      </c>
      <c r="G219">
        <v>999.99</v>
      </c>
      <c r="H219" s="22">
        <f>VLOOKUP(A219,[1]Orders!$A$2:$B$1616,2,0)</f>
        <v>42414</v>
      </c>
      <c r="J219" t="s">
        <v>20</v>
      </c>
      <c r="K219" t="s">
        <v>18</v>
      </c>
    </row>
    <row r="220" spans="1:11" x14ac:dyDescent="0.3">
      <c r="A220">
        <v>75</v>
      </c>
      <c r="B220">
        <v>2</v>
      </c>
      <c r="C220">
        <v>7</v>
      </c>
      <c r="D220">
        <v>2</v>
      </c>
      <c r="E220" s="1">
        <v>3999.99</v>
      </c>
      <c r="F220" s="1">
        <v>7.0000000000000007E-2</v>
      </c>
      <c r="G220">
        <v>7999.98</v>
      </c>
      <c r="H220" s="22">
        <f>VLOOKUP(A220,[1]Orders!$A$2:$B$1616,2,0)</f>
        <v>42414</v>
      </c>
      <c r="J220" t="s">
        <v>29</v>
      </c>
      <c r="K220" t="s">
        <v>18</v>
      </c>
    </row>
    <row r="221" spans="1:11" x14ac:dyDescent="0.3">
      <c r="A221">
        <v>75</v>
      </c>
      <c r="B221">
        <v>3</v>
      </c>
      <c r="C221">
        <v>15</v>
      </c>
      <c r="D221">
        <v>1</v>
      </c>
      <c r="E221" s="1">
        <v>529.99</v>
      </c>
      <c r="F221" s="1">
        <v>0.2</v>
      </c>
      <c r="G221">
        <v>529.99</v>
      </c>
      <c r="H221" s="22">
        <f>VLOOKUP(A221,[1]Orders!$A$2:$B$1616,2,0)</f>
        <v>42414</v>
      </c>
      <c r="J221" t="s">
        <v>27</v>
      </c>
      <c r="K221" t="s">
        <v>18</v>
      </c>
    </row>
    <row r="222" spans="1:11" x14ac:dyDescent="0.3">
      <c r="A222">
        <v>76</v>
      </c>
      <c r="B222">
        <v>1</v>
      </c>
      <c r="C222">
        <v>12</v>
      </c>
      <c r="D222">
        <v>1</v>
      </c>
      <c r="E222" s="1">
        <v>549.99</v>
      </c>
      <c r="F222" s="1">
        <v>0.05</v>
      </c>
      <c r="G222">
        <v>549.99</v>
      </c>
      <c r="H222" s="22">
        <f>VLOOKUP(A222,[1]Orders!$A$2:$B$1616,2,0)</f>
        <v>42416</v>
      </c>
      <c r="J222" t="s">
        <v>25</v>
      </c>
      <c r="K222" t="s">
        <v>18</v>
      </c>
    </row>
    <row r="223" spans="1:11" x14ac:dyDescent="0.3">
      <c r="A223">
        <v>76</v>
      </c>
      <c r="B223">
        <v>2</v>
      </c>
      <c r="C223">
        <v>11</v>
      </c>
      <c r="D223">
        <v>2</v>
      </c>
      <c r="E223" s="1">
        <v>1680.99</v>
      </c>
      <c r="F223" s="1">
        <v>0.1</v>
      </c>
      <c r="G223">
        <v>3361.98</v>
      </c>
      <c r="H223" s="22">
        <f>VLOOKUP(A223,[1]Orders!$A$2:$B$1616,2,0)</f>
        <v>42416</v>
      </c>
      <c r="J223" t="s">
        <v>30</v>
      </c>
      <c r="K223" t="s">
        <v>18</v>
      </c>
    </row>
    <row r="224" spans="1:11" x14ac:dyDescent="0.3">
      <c r="A224">
        <v>76</v>
      </c>
      <c r="B224">
        <v>3</v>
      </c>
      <c r="C224">
        <v>5</v>
      </c>
      <c r="D224">
        <v>1</v>
      </c>
      <c r="E224" s="1">
        <v>1320.99</v>
      </c>
      <c r="F224" s="1">
        <v>7.0000000000000007E-2</v>
      </c>
      <c r="G224">
        <v>1320.99</v>
      </c>
      <c r="H224" s="22">
        <f>VLOOKUP(A224,[1]Orders!$A$2:$B$1616,2,0)</f>
        <v>42416</v>
      </c>
      <c r="J224" t="s">
        <v>34</v>
      </c>
      <c r="K224" t="s">
        <v>18</v>
      </c>
    </row>
    <row r="225" spans="1:11" x14ac:dyDescent="0.3">
      <c r="A225">
        <v>77</v>
      </c>
      <c r="B225">
        <v>1</v>
      </c>
      <c r="C225">
        <v>20</v>
      </c>
      <c r="D225">
        <v>1</v>
      </c>
      <c r="E225" s="1">
        <v>599.99</v>
      </c>
      <c r="F225" s="1">
        <v>7.0000000000000007E-2</v>
      </c>
      <c r="G225">
        <v>599.99</v>
      </c>
      <c r="H225" s="22">
        <f>VLOOKUP(A225,[1]Orders!$A$2:$B$1616,2,0)</f>
        <v>42416</v>
      </c>
      <c r="J225" t="s">
        <v>10</v>
      </c>
      <c r="K225" t="s">
        <v>11</v>
      </c>
    </row>
    <row r="226" spans="1:11" x14ac:dyDescent="0.3">
      <c r="A226">
        <v>77</v>
      </c>
      <c r="B226">
        <v>2</v>
      </c>
      <c r="C226">
        <v>24</v>
      </c>
      <c r="D226">
        <v>2</v>
      </c>
      <c r="E226" s="1">
        <v>549.99</v>
      </c>
      <c r="F226" s="1">
        <v>0.1</v>
      </c>
      <c r="G226">
        <v>1099.98</v>
      </c>
      <c r="H226" s="22">
        <f>VLOOKUP(A226,[1]Orders!$A$2:$B$1616,2,0)</f>
        <v>42416</v>
      </c>
      <c r="J226" t="s">
        <v>25</v>
      </c>
      <c r="K226" t="s">
        <v>11</v>
      </c>
    </row>
    <row r="227" spans="1:11" x14ac:dyDescent="0.3">
      <c r="A227">
        <v>77</v>
      </c>
      <c r="B227">
        <v>3</v>
      </c>
      <c r="C227">
        <v>26</v>
      </c>
      <c r="D227">
        <v>1</v>
      </c>
      <c r="E227" s="1">
        <v>599.99</v>
      </c>
      <c r="F227" s="1">
        <v>0.2</v>
      </c>
      <c r="G227">
        <v>599.99</v>
      </c>
      <c r="H227" s="22">
        <f>VLOOKUP(A227,[1]Orders!$A$2:$B$1616,2,0)</f>
        <v>42416</v>
      </c>
      <c r="J227" t="s">
        <v>14</v>
      </c>
      <c r="K227" t="s">
        <v>11</v>
      </c>
    </row>
    <row r="228" spans="1:11" x14ac:dyDescent="0.3">
      <c r="A228">
        <v>77</v>
      </c>
      <c r="B228">
        <v>4</v>
      </c>
      <c r="C228">
        <v>25</v>
      </c>
      <c r="D228">
        <v>1</v>
      </c>
      <c r="E228" s="1">
        <v>499.99</v>
      </c>
      <c r="F228" s="1">
        <v>0.2</v>
      </c>
      <c r="G228">
        <v>499.99</v>
      </c>
      <c r="H228" s="22">
        <f>VLOOKUP(A228,[1]Orders!$A$2:$B$1616,2,0)</f>
        <v>42416</v>
      </c>
      <c r="J228" t="s">
        <v>35</v>
      </c>
      <c r="K228" t="s">
        <v>11</v>
      </c>
    </row>
    <row r="229" spans="1:11" x14ac:dyDescent="0.3">
      <c r="A229">
        <v>78</v>
      </c>
      <c r="B229">
        <v>1</v>
      </c>
      <c r="C229">
        <v>17</v>
      </c>
      <c r="D229">
        <v>1</v>
      </c>
      <c r="E229" s="1">
        <v>429</v>
      </c>
      <c r="F229" s="1">
        <v>7.0000000000000007E-2</v>
      </c>
      <c r="G229">
        <v>429</v>
      </c>
      <c r="H229" s="22">
        <f>VLOOKUP(A229,[1]Orders!$A$2:$B$1616,2,0)</f>
        <v>42416</v>
      </c>
      <c r="J229" t="s">
        <v>23</v>
      </c>
      <c r="K229" t="s">
        <v>18</v>
      </c>
    </row>
    <row r="230" spans="1:11" x14ac:dyDescent="0.3">
      <c r="A230">
        <v>78</v>
      </c>
      <c r="B230">
        <v>2</v>
      </c>
      <c r="C230">
        <v>19</v>
      </c>
      <c r="D230">
        <v>1</v>
      </c>
      <c r="E230" s="1">
        <v>449</v>
      </c>
      <c r="F230" s="1">
        <v>0.2</v>
      </c>
      <c r="G230">
        <v>449</v>
      </c>
      <c r="H230" s="22">
        <f>VLOOKUP(A230,[1]Orders!$A$2:$B$1616,2,0)</f>
        <v>42416</v>
      </c>
      <c r="J230" t="s">
        <v>36</v>
      </c>
      <c r="K230" t="s">
        <v>18</v>
      </c>
    </row>
    <row r="231" spans="1:11" x14ac:dyDescent="0.3">
      <c r="A231">
        <v>78</v>
      </c>
      <c r="B231">
        <v>3</v>
      </c>
      <c r="C231">
        <v>18</v>
      </c>
      <c r="D231">
        <v>2</v>
      </c>
      <c r="E231" s="1">
        <v>449</v>
      </c>
      <c r="F231" s="1">
        <v>0.1</v>
      </c>
      <c r="G231">
        <v>898</v>
      </c>
      <c r="H231" s="22">
        <f>VLOOKUP(A231,[1]Orders!$A$2:$B$1616,2,0)</f>
        <v>42416</v>
      </c>
      <c r="J231" t="s">
        <v>24</v>
      </c>
      <c r="K231" t="s">
        <v>18</v>
      </c>
    </row>
    <row r="232" spans="1:11" x14ac:dyDescent="0.3">
      <c r="A232">
        <v>78</v>
      </c>
      <c r="B232">
        <v>4</v>
      </c>
      <c r="C232">
        <v>14</v>
      </c>
      <c r="D232">
        <v>2</v>
      </c>
      <c r="E232" s="1">
        <v>269.99</v>
      </c>
      <c r="F232" s="1">
        <v>0.1</v>
      </c>
      <c r="G232">
        <v>539.98</v>
      </c>
      <c r="H232" s="22">
        <f>VLOOKUP(A232,[1]Orders!$A$2:$B$1616,2,0)</f>
        <v>42416</v>
      </c>
      <c r="J232" t="s">
        <v>28</v>
      </c>
      <c r="K232" t="s">
        <v>18</v>
      </c>
    </row>
    <row r="233" spans="1:11" x14ac:dyDescent="0.3">
      <c r="A233">
        <v>79</v>
      </c>
      <c r="B233">
        <v>1</v>
      </c>
      <c r="C233">
        <v>9</v>
      </c>
      <c r="D233">
        <v>2</v>
      </c>
      <c r="E233" s="1">
        <v>2999.99</v>
      </c>
      <c r="F233" s="1">
        <v>0.1</v>
      </c>
      <c r="G233">
        <v>5999.98</v>
      </c>
      <c r="H233" s="22">
        <f>VLOOKUP(A233,[1]Orders!$A$2:$B$1616,2,0)</f>
        <v>42417</v>
      </c>
      <c r="J233" t="s">
        <v>26</v>
      </c>
      <c r="K233" t="s">
        <v>11</v>
      </c>
    </row>
    <row r="234" spans="1:11" x14ac:dyDescent="0.3">
      <c r="A234">
        <v>79</v>
      </c>
      <c r="B234">
        <v>2</v>
      </c>
      <c r="C234">
        <v>17</v>
      </c>
      <c r="D234">
        <v>2</v>
      </c>
      <c r="E234" s="1">
        <v>429</v>
      </c>
      <c r="F234" s="1">
        <v>0.05</v>
      </c>
      <c r="G234">
        <v>858</v>
      </c>
      <c r="H234" s="22">
        <f>VLOOKUP(A234,[1]Orders!$A$2:$B$1616,2,0)</f>
        <v>42417</v>
      </c>
      <c r="J234" t="s">
        <v>23</v>
      </c>
      <c r="K234" t="s">
        <v>11</v>
      </c>
    </row>
    <row r="235" spans="1:11" x14ac:dyDescent="0.3">
      <c r="A235">
        <v>79</v>
      </c>
      <c r="B235">
        <v>3</v>
      </c>
      <c r="C235">
        <v>6</v>
      </c>
      <c r="D235">
        <v>1</v>
      </c>
      <c r="E235" s="1">
        <v>469.99</v>
      </c>
      <c r="F235" s="1">
        <v>0.1</v>
      </c>
      <c r="G235">
        <v>469.99</v>
      </c>
      <c r="H235" s="22">
        <f>VLOOKUP(A235,[1]Orders!$A$2:$B$1616,2,0)</f>
        <v>42417</v>
      </c>
      <c r="J235" t="s">
        <v>32</v>
      </c>
      <c r="K235" t="s">
        <v>11</v>
      </c>
    </row>
    <row r="236" spans="1:11" x14ac:dyDescent="0.3">
      <c r="A236">
        <v>79</v>
      </c>
      <c r="B236">
        <v>4</v>
      </c>
      <c r="C236">
        <v>25</v>
      </c>
      <c r="D236">
        <v>2</v>
      </c>
      <c r="E236" s="1">
        <v>499.99</v>
      </c>
      <c r="F236" s="1">
        <v>7.0000000000000007E-2</v>
      </c>
      <c r="G236">
        <v>999.98</v>
      </c>
      <c r="H236" s="22">
        <f>VLOOKUP(A236,[1]Orders!$A$2:$B$1616,2,0)</f>
        <v>42417</v>
      </c>
      <c r="J236" t="s">
        <v>35</v>
      </c>
      <c r="K236" t="s">
        <v>11</v>
      </c>
    </row>
    <row r="237" spans="1:11" x14ac:dyDescent="0.3">
      <c r="A237">
        <v>80</v>
      </c>
      <c r="B237">
        <v>1</v>
      </c>
      <c r="C237">
        <v>26</v>
      </c>
      <c r="D237">
        <v>1</v>
      </c>
      <c r="E237" s="1">
        <v>599.99</v>
      </c>
      <c r="F237" s="1">
        <v>0.1</v>
      </c>
      <c r="G237">
        <v>599.99</v>
      </c>
      <c r="H237" s="22">
        <f>VLOOKUP(A237,[1]Orders!$A$2:$B$1616,2,0)</f>
        <v>42417</v>
      </c>
      <c r="J237" t="s">
        <v>14</v>
      </c>
      <c r="K237" t="s">
        <v>18</v>
      </c>
    </row>
    <row r="238" spans="1:11" x14ac:dyDescent="0.3">
      <c r="A238">
        <v>80</v>
      </c>
      <c r="B238">
        <v>2</v>
      </c>
      <c r="C238">
        <v>24</v>
      </c>
      <c r="D238">
        <v>1</v>
      </c>
      <c r="E238" s="1">
        <v>549.99</v>
      </c>
      <c r="F238" s="1">
        <v>0.1</v>
      </c>
      <c r="G238">
        <v>549.99</v>
      </c>
      <c r="H238" s="22">
        <f>VLOOKUP(A238,[1]Orders!$A$2:$B$1616,2,0)</f>
        <v>42417</v>
      </c>
      <c r="J238" t="s">
        <v>25</v>
      </c>
      <c r="K238" t="s">
        <v>18</v>
      </c>
    </row>
    <row r="239" spans="1:11" x14ac:dyDescent="0.3">
      <c r="A239">
        <v>80</v>
      </c>
      <c r="B239">
        <v>3</v>
      </c>
      <c r="C239">
        <v>17</v>
      </c>
      <c r="D239">
        <v>1</v>
      </c>
      <c r="E239" s="1">
        <v>429</v>
      </c>
      <c r="F239" s="1">
        <v>0.2</v>
      </c>
      <c r="G239">
        <v>429</v>
      </c>
      <c r="H239" s="22">
        <f>VLOOKUP(A239,[1]Orders!$A$2:$B$1616,2,0)</f>
        <v>42417</v>
      </c>
      <c r="J239" t="s">
        <v>23</v>
      </c>
      <c r="K239" t="s">
        <v>18</v>
      </c>
    </row>
    <row r="240" spans="1:11" x14ac:dyDescent="0.3">
      <c r="A240">
        <v>81</v>
      </c>
      <c r="B240">
        <v>1</v>
      </c>
      <c r="C240">
        <v>10</v>
      </c>
      <c r="D240">
        <v>2</v>
      </c>
      <c r="E240" s="1">
        <v>1549</v>
      </c>
      <c r="F240" s="1">
        <v>0.2</v>
      </c>
      <c r="G240">
        <v>3098</v>
      </c>
      <c r="H240" s="22">
        <f>VLOOKUP(A240,[1]Orders!$A$2:$B$1616,2,0)</f>
        <v>42417</v>
      </c>
      <c r="J240" t="s">
        <v>13</v>
      </c>
      <c r="K240" t="s">
        <v>18</v>
      </c>
    </row>
    <row r="241" spans="1:11" x14ac:dyDescent="0.3">
      <c r="A241">
        <v>81</v>
      </c>
      <c r="B241">
        <v>2</v>
      </c>
      <c r="C241">
        <v>23</v>
      </c>
      <c r="D241">
        <v>2</v>
      </c>
      <c r="E241" s="1">
        <v>299.99</v>
      </c>
      <c r="F241" s="1">
        <v>0.05</v>
      </c>
      <c r="G241">
        <v>599.98</v>
      </c>
      <c r="H241" s="22">
        <f>VLOOKUP(A241,[1]Orders!$A$2:$B$1616,2,0)</f>
        <v>42417</v>
      </c>
      <c r="J241" t="s">
        <v>33</v>
      </c>
      <c r="K241" t="s">
        <v>18</v>
      </c>
    </row>
    <row r="242" spans="1:11" x14ac:dyDescent="0.3">
      <c r="A242">
        <v>81</v>
      </c>
      <c r="B242">
        <v>3</v>
      </c>
      <c r="C242">
        <v>25</v>
      </c>
      <c r="D242">
        <v>2</v>
      </c>
      <c r="E242" s="1">
        <v>499.99</v>
      </c>
      <c r="F242" s="1">
        <v>0.05</v>
      </c>
      <c r="G242">
        <v>999.98</v>
      </c>
      <c r="H242" s="22">
        <f>VLOOKUP(A242,[1]Orders!$A$2:$B$1616,2,0)</f>
        <v>42417</v>
      </c>
      <c r="J242" t="s">
        <v>35</v>
      </c>
      <c r="K242" t="s">
        <v>18</v>
      </c>
    </row>
    <row r="243" spans="1:11" x14ac:dyDescent="0.3">
      <c r="A243">
        <v>82</v>
      </c>
      <c r="B243">
        <v>1</v>
      </c>
      <c r="C243">
        <v>25</v>
      </c>
      <c r="D243">
        <v>2</v>
      </c>
      <c r="E243" s="1">
        <v>499.99</v>
      </c>
      <c r="F243" s="1">
        <v>0.1</v>
      </c>
      <c r="G243">
        <v>999.98</v>
      </c>
      <c r="H243" s="22">
        <f>VLOOKUP(A243,[1]Orders!$A$2:$B$1616,2,0)</f>
        <v>42418</v>
      </c>
      <c r="J243" t="s">
        <v>35</v>
      </c>
      <c r="K243" t="s">
        <v>18</v>
      </c>
    </row>
    <row r="244" spans="1:11" x14ac:dyDescent="0.3">
      <c r="A244">
        <v>82</v>
      </c>
      <c r="B244">
        <v>2</v>
      </c>
      <c r="C244">
        <v>11</v>
      </c>
      <c r="D244">
        <v>2</v>
      </c>
      <c r="E244" s="1">
        <v>1680.99</v>
      </c>
      <c r="F244" s="1">
        <v>0.2</v>
      </c>
      <c r="G244">
        <v>3361.98</v>
      </c>
      <c r="H244" s="22">
        <f>VLOOKUP(A244,[1]Orders!$A$2:$B$1616,2,0)</f>
        <v>42418</v>
      </c>
      <c r="J244" t="s">
        <v>30</v>
      </c>
      <c r="K244" t="s">
        <v>18</v>
      </c>
    </row>
    <row r="245" spans="1:11" x14ac:dyDescent="0.3">
      <c r="A245">
        <v>83</v>
      </c>
      <c r="B245">
        <v>1</v>
      </c>
      <c r="C245">
        <v>20</v>
      </c>
      <c r="D245">
        <v>1</v>
      </c>
      <c r="E245" s="1">
        <v>599.99</v>
      </c>
      <c r="F245" s="1">
        <v>0.2</v>
      </c>
      <c r="G245">
        <v>599.99</v>
      </c>
      <c r="H245" s="22">
        <f>VLOOKUP(A245,[1]Orders!$A$2:$B$1616,2,0)</f>
        <v>42419</v>
      </c>
      <c r="J245" t="s">
        <v>10</v>
      </c>
      <c r="K245" t="s">
        <v>11</v>
      </c>
    </row>
    <row r="246" spans="1:11" x14ac:dyDescent="0.3">
      <c r="A246">
        <v>83</v>
      </c>
      <c r="B246">
        <v>2</v>
      </c>
      <c r="C246">
        <v>3</v>
      </c>
      <c r="D246">
        <v>2</v>
      </c>
      <c r="E246" s="1">
        <v>999.99</v>
      </c>
      <c r="F246" s="1">
        <v>0.05</v>
      </c>
      <c r="G246">
        <v>1999.98</v>
      </c>
      <c r="H246" s="22">
        <f>VLOOKUP(A246,[1]Orders!$A$2:$B$1616,2,0)</f>
        <v>42419</v>
      </c>
      <c r="J246" t="s">
        <v>20</v>
      </c>
      <c r="K246" t="s">
        <v>11</v>
      </c>
    </row>
    <row r="247" spans="1:11" x14ac:dyDescent="0.3">
      <c r="A247">
        <v>84</v>
      </c>
      <c r="B247">
        <v>1</v>
      </c>
      <c r="C247">
        <v>23</v>
      </c>
      <c r="D247">
        <v>2</v>
      </c>
      <c r="E247" s="1">
        <v>299.99</v>
      </c>
      <c r="F247" s="1">
        <v>7.0000000000000007E-2</v>
      </c>
      <c r="G247">
        <v>599.98</v>
      </c>
      <c r="H247" s="22">
        <f>VLOOKUP(A247,[1]Orders!$A$2:$B$1616,2,0)</f>
        <v>42420</v>
      </c>
      <c r="J247" t="s">
        <v>33</v>
      </c>
      <c r="K247" t="s">
        <v>18</v>
      </c>
    </row>
    <row r="248" spans="1:11" x14ac:dyDescent="0.3">
      <c r="A248">
        <v>84</v>
      </c>
      <c r="B248">
        <v>2</v>
      </c>
      <c r="C248">
        <v>15</v>
      </c>
      <c r="D248">
        <v>2</v>
      </c>
      <c r="E248" s="1">
        <v>529.99</v>
      </c>
      <c r="F248" s="1">
        <v>7.0000000000000007E-2</v>
      </c>
      <c r="G248">
        <v>1059.98</v>
      </c>
      <c r="H248" s="22">
        <f>VLOOKUP(A248,[1]Orders!$A$2:$B$1616,2,0)</f>
        <v>42420</v>
      </c>
      <c r="J248" t="s">
        <v>27</v>
      </c>
      <c r="K248" t="s">
        <v>18</v>
      </c>
    </row>
    <row r="249" spans="1:11" x14ac:dyDescent="0.3">
      <c r="A249">
        <v>85</v>
      </c>
      <c r="B249">
        <v>1</v>
      </c>
      <c r="C249">
        <v>4</v>
      </c>
      <c r="D249">
        <v>2</v>
      </c>
      <c r="E249" s="1">
        <v>2899.99</v>
      </c>
      <c r="F249" s="1">
        <v>0.05</v>
      </c>
      <c r="G249">
        <v>5799.98</v>
      </c>
      <c r="H249" s="22">
        <f>VLOOKUP(A249,[1]Orders!$A$2:$B$1616,2,0)</f>
        <v>42420</v>
      </c>
      <c r="J249" t="s">
        <v>16</v>
      </c>
      <c r="K249" t="s">
        <v>18</v>
      </c>
    </row>
    <row r="250" spans="1:11" x14ac:dyDescent="0.3">
      <c r="A250">
        <v>85</v>
      </c>
      <c r="B250">
        <v>2</v>
      </c>
      <c r="C250">
        <v>18</v>
      </c>
      <c r="D250">
        <v>1</v>
      </c>
      <c r="E250" s="1">
        <v>449</v>
      </c>
      <c r="F250" s="1">
        <v>7.0000000000000007E-2</v>
      </c>
      <c r="G250">
        <v>449</v>
      </c>
      <c r="H250" s="22">
        <f>VLOOKUP(A250,[1]Orders!$A$2:$B$1616,2,0)</f>
        <v>42420</v>
      </c>
      <c r="J250" t="s">
        <v>24</v>
      </c>
      <c r="K250" t="s">
        <v>18</v>
      </c>
    </row>
    <row r="251" spans="1:11" x14ac:dyDescent="0.3">
      <c r="A251">
        <v>86</v>
      </c>
      <c r="B251">
        <v>1</v>
      </c>
      <c r="C251">
        <v>9</v>
      </c>
      <c r="D251">
        <v>2</v>
      </c>
      <c r="E251" s="1">
        <v>2999.99</v>
      </c>
      <c r="F251" s="1">
        <v>0.1</v>
      </c>
      <c r="G251">
        <v>5999.98</v>
      </c>
      <c r="H251" s="22">
        <f>VLOOKUP(A251,[1]Orders!$A$2:$B$1616,2,0)</f>
        <v>42421</v>
      </c>
      <c r="J251" t="s">
        <v>26</v>
      </c>
      <c r="K251" t="s">
        <v>18</v>
      </c>
    </row>
    <row r="252" spans="1:11" x14ac:dyDescent="0.3">
      <c r="A252">
        <v>86</v>
      </c>
      <c r="B252">
        <v>2</v>
      </c>
      <c r="C252">
        <v>23</v>
      </c>
      <c r="D252">
        <v>2</v>
      </c>
      <c r="E252" s="1">
        <v>299.99</v>
      </c>
      <c r="F252" s="1">
        <v>7.0000000000000007E-2</v>
      </c>
      <c r="G252">
        <v>599.98</v>
      </c>
      <c r="H252" s="22">
        <f>VLOOKUP(A252,[1]Orders!$A$2:$B$1616,2,0)</f>
        <v>42421</v>
      </c>
      <c r="J252" t="s">
        <v>33</v>
      </c>
      <c r="K252" t="s">
        <v>18</v>
      </c>
    </row>
    <row r="253" spans="1:11" x14ac:dyDescent="0.3">
      <c r="A253">
        <v>86</v>
      </c>
      <c r="B253">
        <v>3</v>
      </c>
      <c r="C253">
        <v>21</v>
      </c>
      <c r="D253">
        <v>2</v>
      </c>
      <c r="E253" s="1">
        <v>269.99</v>
      </c>
      <c r="F253" s="1">
        <v>0.2</v>
      </c>
      <c r="G253">
        <v>539.98</v>
      </c>
      <c r="H253" s="22">
        <f>VLOOKUP(A253,[1]Orders!$A$2:$B$1616,2,0)</f>
        <v>42421</v>
      </c>
      <c r="J253" t="s">
        <v>31</v>
      </c>
      <c r="K253" t="s">
        <v>18</v>
      </c>
    </row>
    <row r="254" spans="1:11" x14ac:dyDescent="0.3">
      <c r="A254">
        <v>86</v>
      </c>
      <c r="B254">
        <v>4</v>
      </c>
      <c r="C254">
        <v>15</v>
      </c>
      <c r="D254">
        <v>1</v>
      </c>
      <c r="E254" s="1">
        <v>529.99</v>
      </c>
      <c r="F254" s="1">
        <v>0.1</v>
      </c>
      <c r="G254">
        <v>529.99</v>
      </c>
      <c r="H254" s="22">
        <f>VLOOKUP(A254,[1]Orders!$A$2:$B$1616,2,0)</f>
        <v>42421</v>
      </c>
      <c r="J254" t="s">
        <v>27</v>
      </c>
      <c r="K254" t="s">
        <v>18</v>
      </c>
    </row>
    <row r="255" spans="1:11" x14ac:dyDescent="0.3">
      <c r="A255">
        <v>87</v>
      </c>
      <c r="B255">
        <v>1</v>
      </c>
      <c r="C255">
        <v>20</v>
      </c>
      <c r="D255">
        <v>2</v>
      </c>
      <c r="E255" s="1">
        <v>599.99</v>
      </c>
      <c r="F255" s="1">
        <v>0.2</v>
      </c>
      <c r="G255">
        <v>1199.98</v>
      </c>
      <c r="H255" s="22">
        <f>VLOOKUP(A255,[1]Orders!$A$2:$B$1616,2,0)</f>
        <v>42421</v>
      </c>
      <c r="J255" t="s">
        <v>10</v>
      </c>
      <c r="K255" t="s">
        <v>18</v>
      </c>
    </row>
    <row r="256" spans="1:11" x14ac:dyDescent="0.3">
      <c r="A256">
        <v>87</v>
      </c>
      <c r="B256">
        <v>2</v>
      </c>
      <c r="C256">
        <v>23</v>
      </c>
      <c r="D256">
        <v>2</v>
      </c>
      <c r="E256" s="1">
        <v>299.99</v>
      </c>
      <c r="F256" s="1">
        <v>0.1</v>
      </c>
      <c r="G256">
        <v>599.98</v>
      </c>
      <c r="H256" s="22">
        <f>VLOOKUP(A256,[1]Orders!$A$2:$B$1616,2,0)</f>
        <v>42421</v>
      </c>
      <c r="J256" t="s">
        <v>33</v>
      </c>
      <c r="K256" t="s">
        <v>18</v>
      </c>
    </row>
    <row r="257" spans="1:11" x14ac:dyDescent="0.3">
      <c r="A257">
        <v>88</v>
      </c>
      <c r="B257">
        <v>1</v>
      </c>
      <c r="C257">
        <v>10</v>
      </c>
      <c r="D257">
        <v>1</v>
      </c>
      <c r="E257" s="1">
        <v>1549</v>
      </c>
      <c r="F257" s="1">
        <v>7.0000000000000007E-2</v>
      </c>
      <c r="G257">
        <v>1549</v>
      </c>
      <c r="H257" s="22">
        <f>VLOOKUP(A257,[1]Orders!$A$2:$B$1616,2,0)</f>
        <v>42421</v>
      </c>
      <c r="J257" t="s">
        <v>13</v>
      </c>
      <c r="K257" t="s">
        <v>18</v>
      </c>
    </row>
    <row r="258" spans="1:11" x14ac:dyDescent="0.3">
      <c r="A258">
        <v>88</v>
      </c>
      <c r="B258">
        <v>2</v>
      </c>
      <c r="C258">
        <v>8</v>
      </c>
      <c r="D258">
        <v>2</v>
      </c>
      <c r="E258" s="1">
        <v>1799.99</v>
      </c>
      <c r="F258" s="1">
        <v>0.1</v>
      </c>
      <c r="G258">
        <v>3599.98</v>
      </c>
      <c r="H258" s="22">
        <f>VLOOKUP(A258,[1]Orders!$A$2:$B$1616,2,0)</f>
        <v>42421</v>
      </c>
      <c r="J258" t="s">
        <v>12</v>
      </c>
      <c r="K258" t="s">
        <v>18</v>
      </c>
    </row>
    <row r="259" spans="1:11" x14ac:dyDescent="0.3">
      <c r="A259">
        <v>88</v>
      </c>
      <c r="B259">
        <v>3</v>
      </c>
      <c r="C259">
        <v>7</v>
      </c>
      <c r="D259">
        <v>1</v>
      </c>
      <c r="E259" s="1">
        <v>3999.99</v>
      </c>
      <c r="F259" s="1">
        <v>0.1</v>
      </c>
      <c r="G259">
        <v>3999.99</v>
      </c>
      <c r="H259" s="22">
        <f>VLOOKUP(A259,[1]Orders!$A$2:$B$1616,2,0)</f>
        <v>42421</v>
      </c>
      <c r="J259" t="s">
        <v>29</v>
      </c>
      <c r="K259" t="s">
        <v>18</v>
      </c>
    </row>
    <row r="260" spans="1:11" x14ac:dyDescent="0.3">
      <c r="A260">
        <v>89</v>
      </c>
      <c r="B260">
        <v>1</v>
      </c>
      <c r="C260">
        <v>5</v>
      </c>
      <c r="D260">
        <v>1</v>
      </c>
      <c r="E260" s="1">
        <v>1320.99</v>
      </c>
      <c r="F260" s="1">
        <v>0.05</v>
      </c>
      <c r="G260">
        <v>1320.99</v>
      </c>
      <c r="H260" s="22">
        <f>VLOOKUP(A260,[1]Orders!$A$2:$B$1616,2,0)</f>
        <v>42421</v>
      </c>
      <c r="J260" t="s">
        <v>34</v>
      </c>
      <c r="K260" t="s">
        <v>37</v>
      </c>
    </row>
    <row r="261" spans="1:11" x14ac:dyDescent="0.3">
      <c r="A261">
        <v>89</v>
      </c>
      <c r="B261">
        <v>2</v>
      </c>
      <c r="C261">
        <v>6</v>
      </c>
      <c r="D261">
        <v>2</v>
      </c>
      <c r="E261" s="1">
        <v>469.99</v>
      </c>
      <c r="F261" s="1">
        <v>0.1</v>
      </c>
      <c r="G261">
        <v>939.98</v>
      </c>
      <c r="H261" s="22">
        <f>VLOOKUP(A261,[1]Orders!$A$2:$B$1616,2,0)</f>
        <v>42421</v>
      </c>
      <c r="J261" t="s">
        <v>32</v>
      </c>
      <c r="K261" t="s">
        <v>37</v>
      </c>
    </row>
    <row r="262" spans="1:11" x14ac:dyDescent="0.3">
      <c r="A262">
        <v>90</v>
      </c>
      <c r="B262">
        <v>1</v>
      </c>
      <c r="C262">
        <v>3</v>
      </c>
      <c r="D262">
        <v>1</v>
      </c>
      <c r="E262" s="1">
        <v>999.99</v>
      </c>
      <c r="F262" s="1">
        <v>0.1</v>
      </c>
      <c r="G262">
        <v>999.99</v>
      </c>
      <c r="H262" s="22">
        <f>VLOOKUP(A262,[1]Orders!$A$2:$B$1616,2,0)</f>
        <v>42423</v>
      </c>
      <c r="J262" t="s">
        <v>20</v>
      </c>
      <c r="K262" t="s">
        <v>18</v>
      </c>
    </row>
    <row r="263" spans="1:11" x14ac:dyDescent="0.3">
      <c r="A263">
        <v>90</v>
      </c>
      <c r="B263">
        <v>2</v>
      </c>
      <c r="C263">
        <v>6</v>
      </c>
      <c r="D263">
        <v>1</v>
      </c>
      <c r="E263" s="1">
        <v>469.99</v>
      </c>
      <c r="F263" s="1">
        <v>7.0000000000000007E-2</v>
      </c>
      <c r="G263">
        <v>469.99</v>
      </c>
      <c r="H263" s="22">
        <f>VLOOKUP(A263,[1]Orders!$A$2:$B$1616,2,0)</f>
        <v>42423</v>
      </c>
      <c r="J263" t="s">
        <v>32</v>
      </c>
      <c r="K263" t="s">
        <v>18</v>
      </c>
    </row>
    <row r="264" spans="1:11" x14ac:dyDescent="0.3">
      <c r="A264">
        <v>91</v>
      </c>
      <c r="B264">
        <v>1</v>
      </c>
      <c r="C264">
        <v>11</v>
      </c>
      <c r="D264">
        <v>1</v>
      </c>
      <c r="E264" s="1">
        <v>1680.99</v>
      </c>
      <c r="F264" s="1">
        <v>0.1</v>
      </c>
      <c r="G264">
        <v>1680.99</v>
      </c>
      <c r="H264" s="22">
        <f>VLOOKUP(A264,[1]Orders!$A$2:$B$1616,2,0)</f>
        <v>42425</v>
      </c>
      <c r="J264" t="s">
        <v>30</v>
      </c>
      <c r="K264" t="s">
        <v>11</v>
      </c>
    </row>
    <row r="265" spans="1:11" x14ac:dyDescent="0.3">
      <c r="A265">
        <v>91</v>
      </c>
      <c r="B265">
        <v>2</v>
      </c>
      <c r="C265">
        <v>25</v>
      </c>
      <c r="D265">
        <v>1</v>
      </c>
      <c r="E265" s="1">
        <v>499.99</v>
      </c>
      <c r="F265" s="1">
        <v>0.05</v>
      </c>
      <c r="G265">
        <v>499.99</v>
      </c>
      <c r="H265" s="22">
        <f>VLOOKUP(A265,[1]Orders!$A$2:$B$1616,2,0)</f>
        <v>42425</v>
      </c>
      <c r="J265" t="s">
        <v>35</v>
      </c>
      <c r="K265" t="s">
        <v>11</v>
      </c>
    </row>
    <row r="266" spans="1:11" x14ac:dyDescent="0.3">
      <c r="A266">
        <v>91</v>
      </c>
      <c r="B266">
        <v>3</v>
      </c>
      <c r="C266">
        <v>15</v>
      </c>
      <c r="D266">
        <v>2</v>
      </c>
      <c r="E266" s="1">
        <v>529.99</v>
      </c>
      <c r="F266" s="1">
        <v>7.0000000000000007E-2</v>
      </c>
      <c r="G266">
        <v>1059.98</v>
      </c>
      <c r="H266" s="22">
        <f>VLOOKUP(A266,[1]Orders!$A$2:$B$1616,2,0)</f>
        <v>42425</v>
      </c>
      <c r="J266" t="s">
        <v>27</v>
      </c>
      <c r="K266" t="s">
        <v>11</v>
      </c>
    </row>
    <row r="267" spans="1:11" x14ac:dyDescent="0.3">
      <c r="A267">
        <v>91</v>
      </c>
      <c r="B267">
        <v>4</v>
      </c>
      <c r="C267">
        <v>13</v>
      </c>
      <c r="D267">
        <v>2</v>
      </c>
      <c r="E267" s="1">
        <v>269.99</v>
      </c>
      <c r="F267" s="1">
        <v>7.0000000000000007E-2</v>
      </c>
      <c r="G267">
        <v>539.98</v>
      </c>
      <c r="H267" s="22">
        <f>VLOOKUP(A267,[1]Orders!$A$2:$B$1616,2,0)</f>
        <v>42425</v>
      </c>
      <c r="J267" t="s">
        <v>31</v>
      </c>
      <c r="K267" t="s">
        <v>11</v>
      </c>
    </row>
    <row r="268" spans="1:11" x14ac:dyDescent="0.3">
      <c r="A268">
        <v>92</v>
      </c>
      <c r="B268">
        <v>1</v>
      </c>
      <c r="C268">
        <v>8</v>
      </c>
      <c r="D268">
        <v>1</v>
      </c>
      <c r="E268" s="1">
        <v>1799.99</v>
      </c>
      <c r="F268" s="1">
        <v>0.1</v>
      </c>
      <c r="G268">
        <v>1799.99</v>
      </c>
      <c r="H268" s="22">
        <f>VLOOKUP(A268,[1]Orders!$A$2:$B$1616,2,0)</f>
        <v>42425</v>
      </c>
      <c r="J268" t="s">
        <v>12</v>
      </c>
      <c r="K268" t="s">
        <v>18</v>
      </c>
    </row>
    <row r="269" spans="1:11" x14ac:dyDescent="0.3">
      <c r="A269">
        <v>93</v>
      </c>
      <c r="B269">
        <v>1</v>
      </c>
      <c r="C269">
        <v>22</v>
      </c>
      <c r="D269">
        <v>2</v>
      </c>
      <c r="E269" s="1">
        <v>269.99</v>
      </c>
      <c r="F269" s="1">
        <v>7.0000000000000007E-2</v>
      </c>
      <c r="G269">
        <v>539.98</v>
      </c>
      <c r="H269" s="22">
        <f>VLOOKUP(A269,[1]Orders!$A$2:$B$1616,2,0)</f>
        <v>42426</v>
      </c>
      <c r="J269" t="s">
        <v>28</v>
      </c>
      <c r="K269" t="s">
        <v>11</v>
      </c>
    </row>
    <row r="270" spans="1:11" x14ac:dyDescent="0.3">
      <c r="A270">
        <v>93</v>
      </c>
      <c r="B270">
        <v>2</v>
      </c>
      <c r="C270">
        <v>17</v>
      </c>
      <c r="D270">
        <v>1</v>
      </c>
      <c r="E270" s="1">
        <v>429</v>
      </c>
      <c r="F270" s="1">
        <v>0.05</v>
      </c>
      <c r="G270">
        <v>429</v>
      </c>
      <c r="H270" s="22">
        <f>VLOOKUP(A270,[1]Orders!$A$2:$B$1616,2,0)</f>
        <v>42426</v>
      </c>
      <c r="J270" t="s">
        <v>23</v>
      </c>
      <c r="K270" t="s">
        <v>11</v>
      </c>
    </row>
    <row r="271" spans="1:11" x14ac:dyDescent="0.3">
      <c r="A271">
        <v>93</v>
      </c>
      <c r="B271">
        <v>3</v>
      </c>
      <c r="C271">
        <v>21</v>
      </c>
      <c r="D271">
        <v>1</v>
      </c>
      <c r="E271" s="1">
        <v>269.99</v>
      </c>
      <c r="F271" s="1">
        <v>0.1</v>
      </c>
      <c r="G271">
        <v>269.99</v>
      </c>
      <c r="H271" s="22">
        <f>VLOOKUP(A271,[1]Orders!$A$2:$B$1616,2,0)</f>
        <v>42426</v>
      </c>
      <c r="J271" t="s">
        <v>31</v>
      </c>
      <c r="K271" t="s">
        <v>11</v>
      </c>
    </row>
    <row r="272" spans="1:11" x14ac:dyDescent="0.3">
      <c r="A272">
        <v>93</v>
      </c>
      <c r="B272">
        <v>4</v>
      </c>
      <c r="C272">
        <v>2</v>
      </c>
      <c r="D272">
        <v>1</v>
      </c>
      <c r="E272" s="1">
        <v>749.99</v>
      </c>
      <c r="F272" s="1">
        <v>0.2</v>
      </c>
      <c r="G272">
        <v>749.99</v>
      </c>
      <c r="H272" s="22">
        <f>VLOOKUP(A272,[1]Orders!$A$2:$B$1616,2,0)</f>
        <v>42426</v>
      </c>
      <c r="J272" t="s">
        <v>22</v>
      </c>
      <c r="K272" t="s">
        <v>11</v>
      </c>
    </row>
    <row r="273" spans="1:11" x14ac:dyDescent="0.3">
      <c r="A273">
        <v>93</v>
      </c>
      <c r="B273">
        <v>5</v>
      </c>
      <c r="C273">
        <v>10</v>
      </c>
      <c r="D273">
        <v>2</v>
      </c>
      <c r="E273" s="1">
        <v>1549</v>
      </c>
      <c r="F273" s="1">
        <v>7.0000000000000007E-2</v>
      </c>
      <c r="G273">
        <v>3098</v>
      </c>
      <c r="H273" s="22">
        <f>VLOOKUP(A273,[1]Orders!$A$2:$B$1616,2,0)</f>
        <v>42426</v>
      </c>
      <c r="J273" t="s">
        <v>13</v>
      </c>
      <c r="K273" t="s">
        <v>11</v>
      </c>
    </row>
    <row r="274" spans="1:11" x14ac:dyDescent="0.3">
      <c r="A274">
        <v>94</v>
      </c>
      <c r="B274">
        <v>1</v>
      </c>
      <c r="C274">
        <v>12</v>
      </c>
      <c r="D274">
        <v>1</v>
      </c>
      <c r="E274" s="1">
        <v>549.99</v>
      </c>
      <c r="F274" s="1">
        <v>0.05</v>
      </c>
      <c r="G274">
        <v>549.99</v>
      </c>
      <c r="H274" s="22">
        <f>VLOOKUP(A274,[1]Orders!$A$2:$B$1616,2,0)</f>
        <v>42427</v>
      </c>
      <c r="J274" t="s">
        <v>25</v>
      </c>
      <c r="K274" t="s">
        <v>11</v>
      </c>
    </row>
    <row r="275" spans="1:11" x14ac:dyDescent="0.3">
      <c r="A275">
        <v>94</v>
      </c>
      <c r="B275">
        <v>2</v>
      </c>
      <c r="C275">
        <v>4</v>
      </c>
      <c r="D275">
        <v>1</v>
      </c>
      <c r="E275" s="1">
        <v>2899.99</v>
      </c>
      <c r="F275" s="1">
        <v>0.2</v>
      </c>
      <c r="G275">
        <v>2899.99</v>
      </c>
      <c r="H275" s="22">
        <f>VLOOKUP(A275,[1]Orders!$A$2:$B$1616,2,0)</f>
        <v>42427</v>
      </c>
      <c r="J275" t="s">
        <v>16</v>
      </c>
      <c r="K275" t="s">
        <v>11</v>
      </c>
    </row>
    <row r="276" spans="1:11" x14ac:dyDescent="0.3">
      <c r="A276">
        <v>94</v>
      </c>
      <c r="B276">
        <v>3</v>
      </c>
      <c r="C276">
        <v>11</v>
      </c>
      <c r="D276">
        <v>1</v>
      </c>
      <c r="E276" s="1">
        <v>1680.99</v>
      </c>
      <c r="F276" s="1">
        <v>0.2</v>
      </c>
      <c r="G276">
        <v>1680.99</v>
      </c>
      <c r="H276" s="22">
        <f>VLOOKUP(A276,[1]Orders!$A$2:$B$1616,2,0)</f>
        <v>42427</v>
      </c>
      <c r="J276" t="s">
        <v>30</v>
      </c>
      <c r="K276" t="s">
        <v>11</v>
      </c>
    </row>
    <row r="277" spans="1:11" x14ac:dyDescent="0.3">
      <c r="A277">
        <v>94</v>
      </c>
      <c r="B277">
        <v>4</v>
      </c>
      <c r="C277">
        <v>21</v>
      </c>
      <c r="D277">
        <v>2</v>
      </c>
      <c r="E277" s="1">
        <v>269.99</v>
      </c>
      <c r="F277" s="1">
        <v>7.0000000000000007E-2</v>
      </c>
      <c r="G277">
        <v>539.98</v>
      </c>
      <c r="H277" s="22">
        <f>VLOOKUP(A277,[1]Orders!$A$2:$B$1616,2,0)</f>
        <v>42427</v>
      </c>
      <c r="J277" t="s">
        <v>31</v>
      </c>
      <c r="K277" t="s">
        <v>11</v>
      </c>
    </row>
    <row r="278" spans="1:11" x14ac:dyDescent="0.3">
      <c r="A278">
        <v>95</v>
      </c>
      <c r="B278">
        <v>1</v>
      </c>
      <c r="C278">
        <v>10</v>
      </c>
      <c r="D278">
        <v>2</v>
      </c>
      <c r="E278" s="1">
        <v>1549</v>
      </c>
      <c r="F278" s="1">
        <v>0.2</v>
      </c>
      <c r="G278">
        <v>3098</v>
      </c>
      <c r="H278" s="22">
        <f>VLOOKUP(A278,[1]Orders!$A$2:$B$1616,2,0)</f>
        <v>42427</v>
      </c>
      <c r="J278" t="s">
        <v>13</v>
      </c>
      <c r="K278" t="s">
        <v>18</v>
      </c>
    </row>
    <row r="279" spans="1:11" x14ac:dyDescent="0.3">
      <c r="A279">
        <v>95</v>
      </c>
      <c r="B279">
        <v>2</v>
      </c>
      <c r="C279">
        <v>19</v>
      </c>
      <c r="D279">
        <v>1</v>
      </c>
      <c r="E279" s="1">
        <v>449</v>
      </c>
      <c r="F279" s="1">
        <v>0.1</v>
      </c>
      <c r="G279">
        <v>449</v>
      </c>
      <c r="H279" s="22">
        <f>VLOOKUP(A279,[1]Orders!$A$2:$B$1616,2,0)</f>
        <v>42427</v>
      </c>
      <c r="J279" t="s">
        <v>36</v>
      </c>
      <c r="K279" t="s">
        <v>18</v>
      </c>
    </row>
    <row r="280" spans="1:11" x14ac:dyDescent="0.3">
      <c r="A280">
        <v>95</v>
      </c>
      <c r="B280">
        <v>3</v>
      </c>
      <c r="C280">
        <v>8</v>
      </c>
      <c r="D280">
        <v>2</v>
      </c>
      <c r="E280" s="1">
        <v>1799.99</v>
      </c>
      <c r="F280" s="1">
        <v>0.2</v>
      </c>
      <c r="G280">
        <v>3599.98</v>
      </c>
      <c r="H280" s="22">
        <f>VLOOKUP(A280,[1]Orders!$A$2:$B$1616,2,0)</f>
        <v>42427</v>
      </c>
      <c r="J280" t="s">
        <v>12</v>
      </c>
      <c r="K280" t="s">
        <v>18</v>
      </c>
    </row>
    <row r="281" spans="1:11" x14ac:dyDescent="0.3">
      <c r="A281">
        <v>95</v>
      </c>
      <c r="B281">
        <v>4</v>
      </c>
      <c r="C281">
        <v>20</v>
      </c>
      <c r="D281">
        <v>2</v>
      </c>
      <c r="E281" s="1">
        <v>599.99</v>
      </c>
      <c r="F281" s="1">
        <v>0.05</v>
      </c>
      <c r="G281">
        <v>1199.98</v>
      </c>
      <c r="H281" s="22">
        <f>VLOOKUP(A281,[1]Orders!$A$2:$B$1616,2,0)</f>
        <v>42427</v>
      </c>
      <c r="J281" t="s">
        <v>10</v>
      </c>
      <c r="K281" t="s">
        <v>18</v>
      </c>
    </row>
    <row r="282" spans="1:11" x14ac:dyDescent="0.3">
      <c r="A282">
        <v>96</v>
      </c>
      <c r="B282">
        <v>1</v>
      </c>
      <c r="C282">
        <v>26</v>
      </c>
      <c r="D282">
        <v>1</v>
      </c>
      <c r="E282" s="1">
        <v>599.99</v>
      </c>
      <c r="F282" s="1">
        <v>0.1</v>
      </c>
      <c r="G282">
        <v>599.99</v>
      </c>
      <c r="H282" s="22">
        <f>VLOOKUP(A282,[1]Orders!$A$2:$B$1616,2,0)</f>
        <v>42427</v>
      </c>
      <c r="J282" t="s">
        <v>14</v>
      </c>
      <c r="K282" t="s">
        <v>18</v>
      </c>
    </row>
    <row r="283" spans="1:11" x14ac:dyDescent="0.3">
      <c r="A283">
        <v>96</v>
      </c>
      <c r="B283">
        <v>2</v>
      </c>
      <c r="C283">
        <v>23</v>
      </c>
      <c r="D283">
        <v>1</v>
      </c>
      <c r="E283" s="1">
        <v>299.99</v>
      </c>
      <c r="F283" s="1">
        <v>0.05</v>
      </c>
      <c r="G283">
        <v>299.99</v>
      </c>
      <c r="H283" s="22">
        <f>VLOOKUP(A283,[1]Orders!$A$2:$B$1616,2,0)</f>
        <v>42427</v>
      </c>
      <c r="J283" t="s">
        <v>33</v>
      </c>
      <c r="K283" t="s">
        <v>18</v>
      </c>
    </row>
    <row r="284" spans="1:11" x14ac:dyDescent="0.3">
      <c r="A284">
        <v>97</v>
      </c>
      <c r="B284">
        <v>1</v>
      </c>
      <c r="C284">
        <v>20</v>
      </c>
      <c r="D284">
        <v>2</v>
      </c>
      <c r="E284" s="1">
        <v>599.99</v>
      </c>
      <c r="F284" s="1">
        <v>0.2</v>
      </c>
      <c r="G284">
        <v>1199.98</v>
      </c>
      <c r="H284" s="22">
        <f>VLOOKUP(A284,[1]Orders!$A$2:$B$1616,2,0)</f>
        <v>42428</v>
      </c>
      <c r="J284" t="s">
        <v>10</v>
      </c>
      <c r="K284" t="s">
        <v>18</v>
      </c>
    </row>
    <row r="285" spans="1:11" x14ac:dyDescent="0.3">
      <c r="A285">
        <v>97</v>
      </c>
      <c r="B285">
        <v>2</v>
      </c>
      <c r="C285">
        <v>2</v>
      </c>
      <c r="D285">
        <v>1</v>
      </c>
      <c r="E285" s="1">
        <v>749.99</v>
      </c>
      <c r="F285" s="1">
        <v>7.0000000000000007E-2</v>
      </c>
      <c r="G285">
        <v>749.99</v>
      </c>
      <c r="H285" s="22">
        <f>VLOOKUP(A285,[1]Orders!$A$2:$B$1616,2,0)</f>
        <v>42428</v>
      </c>
      <c r="J285" t="s">
        <v>22</v>
      </c>
      <c r="K285" t="s">
        <v>18</v>
      </c>
    </row>
    <row r="286" spans="1:11" x14ac:dyDescent="0.3">
      <c r="A286">
        <v>97</v>
      </c>
      <c r="B286">
        <v>3</v>
      </c>
      <c r="C286">
        <v>6</v>
      </c>
      <c r="D286">
        <v>2</v>
      </c>
      <c r="E286" s="1">
        <v>469.99</v>
      </c>
      <c r="F286" s="1">
        <v>0.2</v>
      </c>
      <c r="G286">
        <v>939.98</v>
      </c>
      <c r="H286" s="22">
        <f>VLOOKUP(A286,[1]Orders!$A$2:$B$1616,2,0)</f>
        <v>42428</v>
      </c>
      <c r="J286" t="s">
        <v>32</v>
      </c>
      <c r="K286" t="s">
        <v>18</v>
      </c>
    </row>
    <row r="287" spans="1:11" x14ac:dyDescent="0.3">
      <c r="A287">
        <v>97</v>
      </c>
      <c r="B287">
        <v>4</v>
      </c>
      <c r="C287">
        <v>19</v>
      </c>
      <c r="D287">
        <v>1</v>
      </c>
      <c r="E287" s="1">
        <v>449</v>
      </c>
      <c r="F287" s="1">
        <v>0.1</v>
      </c>
      <c r="G287">
        <v>449</v>
      </c>
      <c r="H287" s="22">
        <f>VLOOKUP(A287,[1]Orders!$A$2:$B$1616,2,0)</f>
        <v>42428</v>
      </c>
      <c r="J287" t="s">
        <v>36</v>
      </c>
      <c r="K287" t="s">
        <v>18</v>
      </c>
    </row>
    <row r="288" spans="1:11" x14ac:dyDescent="0.3">
      <c r="A288">
        <v>98</v>
      </c>
      <c r="B288">
        <v>1</v>
      </c>
      <c r="C288">
        <v>19</v>
      </c>
      <c r="D288">
        <v>1</v>
      </c>
      <c r="E288" s="1">
        <v>449</v>
      </c>
      <c r="F288" s="1">
        <v>7.0000000000000007E-2</v>
      </c>
      <c r="G288">
        <v>449</v>
      </c>
      <c r="H288" s="22">
        <f>VLOOKUP(A288,[1]Orders!$A$2:$B$1616,2,0)</f>
        <v>42428</v>
      </c>
      <c r="J288" t="s">
        <v>36</v>
      </c>
      <c r="K288" t="s">
        <v>18</v>
      </c>
    </row>
    <row r="289" spans="1:11" x14ac:dyDescent="0.3">
      <c r="A289">
        <v>98</v>
      </c>
      <c r="B289">
        <v>2</v>
      </c>
      <c r="C289">
        <v>21</v>
      </c>
      <c r="D289">
        <v>1</v>
      </c>
      <c r="E289" s="1">
        <v>269.99</v>
      </c>
      <c r="F289" s="1">
        <v>0.1</v>
      </c>
      <c r="G289">
        <v>269.99</v>
      </c>
      <c r="H289" s="22">
        <f>VLOOKUP(A289,[1]Orders!$A$2:$B$1616,2,0)</f>
        <v>42428</v>
      </c>
      <c r="J289" t="s">
        <v>31</v>
      </c>
      <c r="K289" t="s">
        <v>18</v>
      </c>
    </row>
    <row r="290" spans="1:11" x14ac:dyDescent="0.3">
      <c r="A290">
        <v>98</v>
      </c>
      <c r="B290">
        <v>3</v>
      </c>
      <c r="C290">
        <v>2</v>
      </c>
      <c r="D290">
        <v>1</v>
      </c>
      <c r="E290" s="1">
        <v>749.99</v>
      </c>
      <c r="F290" s="1">
        <v>0.2</v>
      </c>
      <c r="G290">
        <v>749.99</v>
      </c>
      <c r="H290" s="22">
        <f>VLOOKUP(A290,[1]Orders!$A$2:$B$1616,2,0)</f>
        <v>42428</v>
      </c>
      <c r="J290" t="s">
        <v>22</v>
      </c>
      <c r="K290" t="s">
        <v>18</v>
      </c>
    </row>
    <row r="291" spans="1:11" x14ac:dyDescent="0.3">
      <c r="A291">
        <v>98</v>
      </c>
      <c r="B291">
        <v>4</v>
      </c>
      <c r="C291">
        <v>22</v>
      </c>
      <c r="D291">
        <v>2</v>
      </c>
      <c r="E291" s="1">
        <v>269.99</v>
      </c>
      <c r="F291" s="1">
        <v>0.2</v>
      </c>
      <c r="G291">
        <v>539.98</v>
      </c>
      <c r="H291" s="22">
        <f>VLOOKUP(A291,[1]Orders!$A$2:$B$1616,2,0)</f>
        <v>42428</v>
      </c>
      <c r="J291" t="s">
        <v>28</v>
      </c>
      <c r="K291" t="s">
        <v>18</v>
      </c>
    </row>
    <row r="292" spans="1:11" x14ac:dyDescent="0.3">
      <c r="A292">
        <v>99</v>
      </c>
      <c r="B292">
        <v>1</v>
      </c>
      <c r="C292">
        <v>13</v>
      </c>
      <c r="D292">
        <v>1</v>
      </c>
      <c r="E292" s="1">
        <v>269.99</v>
      </c>
      <c r="F292" s="1">
        <v>0.2</v>
      </c>
      <c r="G292">
        <v>269.99</v>
      </c>
      <c r="H292" s="22">
        <f>VLOOKUP(A292,[1]Orders!$A$2:$B$1616,2,0)</f>
        <v>42429</v>
      </c>
      <c r="J292" t="s">
        <v>31</v>
      </c>
      <c r="K292" t="s">
        <v>37</v>
      </c>
    </row>
    <row r="293" spans="1:11" x14ac:dyDescent="0.3">
      <c r="A293">
        <v>99</v>
      </c>
      <c r="B293">
        <v>2</v>
      </c>
      <c r="C293">
        <v>21</v>
      </c>
      <c r="D293">
        <v>1</v>
      </c>
      <c r="E293" s="1">
        <v>269.99</v>
      </c>
      <c r="F293" s="1">
        <v>0.2</v>
      </c>
      <c r="G293">
        <v>269.99</v>
      </c>
      <c r="H293" s="22">
        <f>VLOOKUP(A293,[1]Orders!$A$2:$B$1616,2,0)</f>
        <v>42429</v>
      </c>
      <c r="J293" t="s">
        <v>31</v>
      </c>
      <c r="K293" t="s">
        <v>37</v>
      </c>
    </row>
    <row r="294" spans="1:11" x14ac:dyDescent="0.3">
      <c r="A294">
        <v>99</v>
      </c>
      <c r="B294">
        <v>3</v>
      </c>
      <c r="C294">
        <v>25</v>
      </c>
      <c r="D294">
        <v>2</v>
      </c>
      <c r="E294" s="1">
        <v>499.99</v>
      </c>
      <c r="F294" s="1">
        <v>0.05</v>
      </c>
      <c r="G294">
        <v>999.98</v>
      </c>
      <c r="H294" s="22">
        <f>VLOOKUP(A294,[1]Orders!$A$2:$B$1616,2,0)</f>
        <v>42429</v>
      </c>
      <c r="J294" t="s">
        <v>35</v>
      </c>
      <c r="K294" t="s">
        <v>37</v>
      </c>
    </row>
    <row r="295" spans="1:11" x14ac:dyDescent="0.3">
      <c r="A295">
        <v>99</v>
      </c>
      <c r="B295">
        <v>4</v>
      </c>
      <c r="C295">
        <v>7</v>
      </c>
      <c r="D295">
        <v>2</v>
      </c>
      <c r="E295" s="1">
        <v>3999.99</v>
      </c>
      <c r="F295" s="1">
        <v>7.0000000000000007E-2</v>
      </c>
      <c r="G295">
        <v>7999.98</v>
      </c>
      <c r="H295" s="22">
        <f>VLOOKUP(A295,[1]Orders!$A$2:$B$1616,2,0)</f>
        <v>42429</v>
      </c>
      <c r="J295" t="s">
        <v>29</v>
      </c>
      <c r="K295" t="s">
        <v>37</v>
      </c>
    </row>
    <row r="296" spans="1:11" x14ac:dyDescent="0.3">
      <c r="A296">
        <v>99</v>
      </c>
      <c r="B296">
        <v>5</v>
      </c>
      <c r="C296">
        <v>23</v>
      </c>
      <c r="D296">
        <v>2</v>
      </c>
      <c r="E296" s="1">
        <v>299.99</v>
      </c>
      <c r="F296" s="1">
        <v>0.2</v>
      </c>
      <c r="G296">
        <v>599.98</v>
      </c>
      <c r="H296" s="22">
        <f>VLOOKUP(A296,[1]Orders!$A$2:$B$1616,2,0)</f>
        <v>42429</v>
      </c>
      <c r="J296" t="s">
        <v>33</v>
      </c>
      <c r="K296" t="s">
        <v>37</v>
      </c>
    </row>
    <row r="297" spans="1:11" x14ac:dyDescent="0.3">
      <c r="A297">
        <v>100</v>
      </c>
      <c r="B297">
        <v>1</v>
      </c>
      <c r="C297">
        <v>12</v>
      </c>
      <c r="D297">
        <v>2</v>
      </c>
      <c r="E297" s="1">
        <v>549.99</v>
      </c>
      <c r="F297" s="1">
        <v>0.05</v>
      </c>
      <c r="G297">
        <v>1099.98</v>
      </c>
      <c r="H297" s="22">
        <f>VLOOKUP(A297,[1]Orders!$A$2:$B$1616,2,0)</f>
        <v>42430</v>
      </c>
      <c r="J297" t="s">
        <v>25</v>
      </c>
      <c r="K297" t="s">
        <v>18</v>
      </c>
    </row>
    <row r="298" spans="1:11" x14ac:dyDescent="0.3">
      <c r="A298">
        <v>100</v>
      </c>
      <c r="B298">
        <v>2</v>
      </c>
      <c r="C298">
        <v>11</v>
      </c>
      <c r="D298">
        <v>2</v>
      </c>
      <c r="E298" s="1">
        <v>1680.99</v>
      </c>
      <c r="F298" s="1">
        <v>0.1</v>
      </c>
      <c r="G298">
        <v>3361.98</v>
      </c>
      <c r="H298" s="22">
        <f>VLOOKUP(A298,[1]Orders!$A$2:$B$1616,2,0)</f>
        <v>42430</v>
      </c>
      <c r="J298" t="s">
        <v>30</v>
      </c>
      <c r="K298" t="s">
        <v>18</v>
      </c>
    </row>
    <row r="299" spans="1:11" x14ac:dyDescent="0.3">
      <c r="A299">
        <v>100</v>
      </c>
      <c r="B299">
        <v>3</v>
      </c>
      <c r="C299">
        <v>7</v>
      </c>
      <c r="D299">
        <v>2</v>
      </c>
      <c r="E299" s="1">
        <v>3999.99</v>
      </c>
      <c r="F299" s="1">
        <v>0.2</v>
      </c>
      <c r="G299">
        <v>7999.98</v>
      </c>
      <c r="H299" s="22">
        <f>VLOOKUP(A299,[1]Orders!$A$2:$B$1616,2,0)</f>
        <v>42430</v>
      </c>
      <c r="J299" t="s">
        <v>29</v>
      </c>
      <c r="K299" t="s">
        <v>18</v>
      </c>
    </row>
    <row r="300" spans="1:11" x14ac:dyDescent="0.3">
      <c r="A300">
        <v>100</v>
      </c>
      <c r="B300">
        <v>4</v>
      </c>
      <c r="C300">
        <v>16</v>
      </c>
      <c r="D300">
        <v>2</v>
      </c>
      <c r="E300" s="1">
        <v>599.99</v>
      </c>
      <c r="F300" s="1">
        <v>0.2</v>
      </c>
      <c r="G300">
        <v>1199.98</v>
      </c>
      <c r="H300" s="22">
        <f>VLOOKUP(A300,[1]Orders!$A$2:$B$1616,2,0)</f>
        <v>42430</v>
      </c>
      <c r="J300" t="s">
        <v>14</v>
      </c>
      <c r="K300" t="s">
        <v>18</v>
      </c>
    </row>
    <row r="301" spans="1:11" x14ac:dyDescent="0.3">
      <c r="A301">
        <v>100</v>
      </c>
      <c r="B301">
        <v>5</v>
      </c>
      <c r="C301">
        <v>24</v>
      </c>
      <c r="D301">
        <v>2</v>
      </c>
      <c r="E301" s="1">
        <v>549.99</v>
      </c>
      <c r="F301" s="1">
        <v>0.1</v>
      </c>
      <c r="G301">
        <v>1099.98</v>
      </c>
      <c r="H301" s="22">
        <f>VLOOKUP(A301,[1]Orders!$A$2:$B$1616,2,0)</f>
        <v>42430</v>
      </c>
      <c r="J301" t="s">
        <v>25</v>
      </c>
      <c r="K301" t="s">
        <v>18</v>
      </c>
    </row>
    <row r="302" spans="1:11" x14ac:dyDescent="0.3">
      <c r="A302">
        <v>101</v>
      </c>
      <c r="B302">
        <v>1</v>
      </c>
      <c r="C302">
        <v>12</v>
      </c>
      <c r="D302">
        <v>2</v>
      </c>
      <c r="E302" s="1">
        <v>549.99</v>
      </c>
      <c r="F302" s="1">
        <v>0.2</v>
      </c>
      <c r="G302">
        <v>1099.98</v>
      </c>
      <c r="H302" s="22">
        <f>VLOOKUP(A302,[1]Orders!$A$2:$B$1616,2,0)</f>
        <v>42430</v>
      </c>
      <c r="J302" t="s">
        <v>25</v>
      </c>
      <c r="K302" t="s">
        <v>37</v>
      </c>
    </row>
    <row r="303" spans="1:11" x14ac:dyDescent="0.3">
      <c r="A303">
        <v>102</v>
      </c>
      <c r="B303">
        <v>1</v>
      </c>
      <c r="C303">
        <v>15</v>
      </c>
      <c r="D303">
        <v>1</v>
      </c>
      <c r="E303" s="1">
        <v>529.99</v>
      </c>
      <c r="F303" s="1">
        <v>0.05</v>
      </c>
      <c r="G303">
        <v>529.99</v>
      </c>
      <c r="H303" s="22">
        <f>VLOOKUP(A303,[1]Orders!$A$2:$B$1616,2,0)</f>
        <v>42431</v>
      </c>
      <c r="J303" t="s">
        <v>27</v>
      </c>
      <c r="K303" t="s">
        <v>18</v>
      </c>
    </row>
    <row r="304" spans="1:11" x14ac:dyDescent="0.3">
      <c r="A304">
        <v>102</v>
      </c>
      <c r="B304">
        <v>2</v>
      </c>
      <c r="C304">
        <v>22</v>
      </c>
      <c r="D304">
        <v>1</v>
      </c>
      <c r="E304" s="1">
        <v>269.99</v>
      </c>
      <c r="F304" s="1">
        <v>7.0000000000000007E-2</v>
      </c>
      <c r="G304">
        <v>269.99</v>
      </c>
      <c r="H304" s="22">
        <f>VLOOKUP(A304,[1]Orders!$A$2:$B$1616,2,0)</f>
        <v>42431</v>
      </c>
      <c r="J304" t="s">
        <v>28</v>
      </c>
      <c r="K304" t="s">
        <v>18</v>
      </c>
    </row>
    <row r="305" spans="1:11" x14ac:dyDescent="0.3">
      <c r="A305">
        <v>103</v>
      </c>
      <c r="B305">
        <v>1</v>
      </c>
      <c r="C305">
        <v>17</v>
      </c>
      <c r="D305">
        <v>1</v>
      </c>
      <c r="E305" s="1">
        <v>429</v>
      </c>
      <c r="F305" s="1">
        <v>7.0000000000000007E-2</v>
      </c>
      <c r="G305">
        <v>429</v>
      </c>
      <c r="H305" s="22">
        <f>VLOOKUP(A305,[1]Orders!$A$2:$B$1616,2,0)</f>
        <v>42432</v>
      </c>
      <c r="J305" t="s">
        <v>23</v>
      </c>
      <c r="K305" t="s">
        <v>11</v>
      </c>
    </row>
    <row r="306" spans="1:11" x14ac:dyDescent="0.3">
      <c r="A306">
        <v>103</v>
      </c>
      <c r="B306">
        <v>2</v>
      </c>
      <c r="C306">
        <v>3</v>
      </c>
      <c r="D306">
        <v>1</v>
      </c>
      <c r="E306" s="1">
        <v>999.99</v>
      </c>
      <c r="F306" s="1">
        <v>0.05</v>
      </c>
      <c r="G306">
        <v>999.99</v>
      </c>
      <c r="H306" s="22">
        <f>VLOOKUP(A306,[1]Orders!$A$2:$B$1616,2,0)</f>
        <v>42432</v>
      </c>
      <c r="J306" t="s">
        <v>20</v>
      </c>
      <c r="K306" t="s">
        <v>11</v>
      </c>
    </row>
    <row r="307" spans="1:11" x14ac:dyDescent="0.3">
      <c r="A307">
        <v>103</v>
      </c>
      <c r="B307">
        <v>3</v>
      </c>
      <c r="C307">
        <v>18</v>
      </c>
      <c r="D307">
        <v>1</v>
      </c>
      <c r="E307" s="1">
        <v>449</v>
      </c>
      <c r="F307" s="1">
        <v>0.2</v>
      </c>
      <c r="G307">
        <v>449</v>
      </c>
      <c r="H307" s="22">
        <f>VLOOKUP(A307,[1]Orders!$A$2:$B$1616,2,0)</f>
        <v>42432</v>
      </c>
      <c r="J307" t="s">
        <v>24</v>
      </c>
      <c r="K307" t="s">
        <v>11</v>
      </c>
    </row>
    <row r="308" spans="1:11" x14ac:dyDescent="0.3">
      <c r="A308">
        <v>103</v>
      </c>
      <c r="B308">
        <v>4</v>
      </c>
      <c r="C308">
        <v>15</v>
      </c>
      <c r="D308">
        <v>2</v>
      </c>
      <c r="E308" s="1">
        <v>529.99</v>
      </c>
      <c r="F308" s="1">
        <v>0.1</v>
      </c>
      <c r="G308">
        <v>1059.98</v>
      </c>
      <c r="H308" s="22">
        <f>VLOOKUP(A308,[1]Orders!$A$2:$B$1616,2,0)</f>
        <v>42432</v>
      </c>
      <c r="J308" t="s">
        <v>27</v>
      </c>
      <c r="K308" t="s">
        <v>11</v>
      </c>
    </row>
    <row r="309" spans="1:11" x14ac:dyDescent="0.3">
      <c r="A309">
        <v>103</v>
      </c>
      <c r="B309">
        <v>5</v>
      </c>
      <c r="C309">
        <v>9</v>
      </c>
      <c r="D309">
        <v>2</v>
      </c>
      <c r="E309" s="1">
        <v>2999.99</v>
      </c>
      <c r="F309" s="1">
        <v>0.1</v>
      </c>
      <c r="G309">
        <v>5999.98</v>
      </c>
      <c r="H309" s="22">
        <f>VLOOKUP(A309,[1]Orders!$A$2:$B$1616,2,0)</f>
        <v>42432</v>
      </c>
      <c r="J309" t="s">
        <v>26</v>
      </c>
      <c r="K309" t="s">
        <v>11</v>
      </c>
    </row>
    <row r="310" spans="1:11" x14ac:dyDescent="0.3">
      <c r="A310">
        <v>104</v>
      </c>
      <c r="B310">
        <v>1</v>
      </c>
      <c r="C310">
        <v>19</v>
      </c>
      <c r="D310">
        <v>2</v>
      </c>
      <c r="E310" s="1">
        <v>449</v>
      </c>
      <c r="F310" s="1">
        <v>0.1</v>
      </c>
      <c r="G310">
        <v>898</v>
      </c>
      <c r="H310" s="22">
        <f>VLOOKUP(A310,[1]Orders!$A$2:$B$1616,2,0)</f>
        <v>42432</v>
      </c>
      <c r="J310" t="s">
        <v>36</v>
      </c>
      <c r="K310" t="s">
        <v>18</v>
      </c>
    </row>
    <row r="311" spans="1:11" x14ac:dyDescent="0.3">
      <c r="A311">
        <v>104</v>
      </c>
      <c r="B311">
        <v>2</v>
      </c>
      <c r="C311">
        <v>26</v>
      </c>
      <c r="D311">
        <v>1</v>
      </c>
      <c r="E311" s="1">
        <v>599.99</v>
      </c>
      <c r="F311" s="1">
        <v>0.05</v>
      </c>
      <c r="G311">
        <v>599.99</v>
      </c>
      <c r="H311" s="22">
        <f>VLOOKUP(A311,[1]Orders!$A$2:$B$1616,2,0)</f>
        <v>42432</v>
      </c>
      <c r="J311" t="s">
        <v>14</v>
      </c>
      <c r="K311" t="s">
        <v>18</v>
      </c>
    </row>
    <row r="312" spans="1:11" x14ac:dyDescent="0.3">
      <c r="A312">
        <v>105</v>
      </c>
      <c r="B312">
        <v>1</v>
      </c>
      <c r="C312">
        <v>11</v>
      </c>
      <c r="D312">
        <v>2</v>
      </c>
      <c r="E312" s="1">
        <v>1680.99</v>
      </c>
      <c r="F312" s="1">
        <v>0.2</v>
      </c>
      <c r="G312">
        <v>3361.98</v>
      </c>
      <c r="H312" s="22">
        <f>VLOOKUP(A312,[1]Orders!$A$2:$B$1616,2,0)</f>
        <v>42432</v>
      </c>
      <c r="J312" t="s">
        <v>30</v>
      </c>
      <c r="K312" t="s">
        <v>18</v>
      </c>
    </row>
    <row r="313" spans="1:11" x14ac:dyDescent="0.3">
      <c r="A313">
        <v>105</v>
      </c>
      <c r="B313">
        <v>2</v>
      </c>
      <c r="C313">
        <v>3</v>
      </c>
      <c r="D313">
        <v>1</v>
      </c>
      <c r="E313" s="1">
        <v>999.99</v>
      </c>
      <c r="F313" s="1">
        <v>0.05</v>
      </c>
      <c r="G313">
        <v>999.99</v>
      </c>
      <c r="H313" s="22">
        <f>VLOOKUP(A313,[1]Orders!$A$2:$B$1616,2,0)</f>
        <v>42432</v>
      </c>
      <c r="J313" t="s">
        <v>20</v>
      </c>
      <c r="K313" t="s">
        <v>18</v>
      </c>
    </row>
    <row r="314" spans="1:11" x14ac:dyDescent="0.3">
      <c r="A314">
        <v>105</v>
      </c>
      <c r="B314">
        <v>3</v>
      </c>
      <c r="C314">
        <v>9</v>
      </c>
      <c r="D314">
        <v>1</v>
      </c>
      <c r="E314" s="1">
        <v>2999.99</v>
      </c>
      <c r="F314" s="1">
        <v>0.05</v>
      </c>
      <c r="G314">
        <v>2999.99</v>
      </c>
      <c r="H314" s="22">
        <f>VLOOKUP(A314,[1]Orders!$A$2:$B$1616,2,0)</f>
        <v>42432</v>
      </c>
      <c r="J314" t="s">
        <v>26</v>
      </c>
      <c r="K314" t="s">
        <v>18</v>
      </c>
    </row>
    <row r="315" spans="1:11" x14ac:dyDescent="0.3">
      <c r="A315">
        <v>106</v>
      </c>
      <c r="B315">
        <v>1</v>
      </c>
      <c r="C315">
        <v>17</v>
      </c>
      <c r="D315">
        <v>1</v>
      </c>
      <c r="E315" s="1">
        <v>429</v>
      </c>
      <c r="F315" s="1">
        <v>0.1</v>
      </c>
      <c r="G315">
        <v>429</v>
      </c>
      <c r="H315" s="22">
        <f>VLOOKUP(A315,[1]Orders!$A$2:$B$1616,2,0)</f>
        <v>42433</v>
      </c>
      <c r="J315" t="s">
        <v>23</v>
      </c>
      <c r="K315" t="s">
        <v>37</v>
      </c>
    </row>
    <row r="316" spans="1:11" x14ac:dyDescent="0.3">
      <c r="A316">
        <v>106</v>
      </c>
      <c r="B316">
        <v>2</v>
      </c>
      <c r="C316">
        <v>13</v>
      </c>
      <c r="D316">
        <v>2</v>
      </c>
      <c r="E316" s="1">
        <v>269.99</v>
      </c>
      <c r="F316" s="1">
        <v>0.1</v>
      </c>
      <c r="G316">
        <v>539.98</v>
      </c>
      <c r="H316" s="22">
        <f>VLOOKUP(A316,[1]Orders!$A$2:$B$1616,2,0)</f>
        <v>42433</v>
      </c>
      <c r="J316" t="s">
        <v>31</v>
      </c>
      <c r="K316" t="s">
        <v>37</v>
      </c>
    </row>
    <row r="317" spans="1:11" x14ac:dyDescent="0.3">
      <c r="A317">
        <v>107</v>
      </c>
      <c r="B317">
        <v>1</v>
      </c>
      <c r="C317">
        <v>19</v>
      </c>
      <c r="D317">
        <v>1</v>
      </c>
      <c r="E317" s="1">
        <v>449</v>
      </c>
      <c r="F317" s="1">
        <v>0.2</v>
      </c>
      <c r="G317">
        <v>449</v>
      </c>
      <c r="H317" s="22">
        <f>VLOOKUP(A317,[1]Orders!$A$2:$B$1616,2,0)</f>
        <v>42435</v>
      </c>
      <c r="J317" t="s">
        <v>36</v>
      </c>
      <c r="K317" t="s">
        <v>11</v>
      </c>
    </row>
    <row r="318" spans="1:11" x14ac:dyDescent="0.3">
      <c r="A318">
        <v>107</v>
      </c>
      <c r="B318">
        <v>2</v>
      </c>
      <c r="C318">
        <v>13</v>
      </c>
      <c r="D318">
        <v>2</v>
      </c>
      <c r="E318" s="1">
        <v>269.99</v>
      </c>
      <c r="F318" s="1">
        <v>0.1</v>
      </c>
      <c r="G318">
        <v>539.98</v>
      </c>
      <c r="H318" s="22">
        <f>VLOOKUP(A318,[1]Orders!$A$2:$B$1616,2,0)</f>
        <v>42435</v>
      </c>
      <c r="J318" t="s">
        <v>31</v>
      </c>
      <c r="K318" t="s">
        <v>11</v>
      </c>
    </row>
    <row r="319" spans="1:11" x14ac:dyDescent="0.3">
      <c r="A319">
        <v>108</v>
      </c>
      <c r="B319">
        <v>1</v>
      </c>
      <c r="C319">
        <v>11</v>
      </c>
      <c r="D319">
        <v>1</v>
      </c>
      <c r="E319" s="1">
        <v>1680.99</v>
      </c>
      <c r="F319" s="1">
        <v>0.1</v>
      </c>
      <c r="G319">
        <v>1680.99</v>
      </c>
      <c r="H319" s="22">
        <f>VLOOKUP(A319,[1]Orders!$A$2:$B$1616,2,0)</f>
        <v>42435</v>
      </c>
      <c r="J319" t="s">
        <v>30</v>
      </c>
      <c r="K319" t="s">
        <v>18</v>
      </c>
    </row>
    <row r="320" spans="1:11" x14ac:dyDescent="0.3">
      <c r="A320">
        <v>108</v>
      </c>
      <c r="B320">
        <v>2</v>
      </c>
      <c r="C320">
        <v>22</v>
      </c>
      <c r="D320">
        <v>2</v>
      </c>
      <c r="E320" s="1">
        <v>269.99</v>
      </c>
      <c r="F320" s="1">
        <v>7.0000000000000007E-2</v>
      </c>
      <c r="G320">
        <v>539.98</v>
      </c>
      <c r="H320" s="22">
        <f>VLOOKUP(A320,[1]Orders!$A$2:$B$1616,2,0)</f>
        <v>42435</v>
      </c>
      <c r="J320" t="s">
        <v>28</v>
      </c>
      <c r="K320" t="s">
        <v>18</v>
      </c>
    </row>
    <row r="321" spans="1:11" x14ac:dyDescent="0.3">
      <c r="A321">
        <v>108</v>
      </c>
      <c r="B321">
        <v>3</v>
      </c>
      <c r="C321">
        <v>16</v>
      </c>
      <c r="D321">
        <v>2</v>
      </c>
      <c r="E321" s="1">
        <v>599.99</v>
      </c>
      <c r="F321" s="1">
        <v>0.05</v>
      </c>
      <c r="G321">
        <v>1199.98</v>
      </c>
      <c r="H321" s="22">
        <f>VLOOKUP(A321,[1]Orders!$A$2:$B$1616,2,0)</f>
        <v>42435</v>
      </c>
      <c r="J321" t="s">
        <v>14</v>
      </c>
      <c r="K321" t="s">
        <v>18</v>
      </c>
    </row>
    <row r="322" spans="1:11" x14ac:dyDescent="0.3">
      <c r="A322">
        <v>109</v>
      </c>
      <c r="B322">
        <v>1</v>
      </c>
      <c r="C322">
        <v>22</v>
      </c>
      <c r="D322">
        <v>2</v>
      </c>
      <c r="E322" s="1">
        <v>269.99</v>
      </c>
      <c r="F322" s="1">
        <v>0.1</v>
      </c>
      <c r="G322">
        <v>539.98</v>
      </c>
      <c r="H322" s="22">
        <f>VLOOKUP(A322,[1]Orders!$A$2:$B$1616,2,0)</f>
        <v>42435</v>
      </c>
      <c r="J322" t="s">
        <v>28</v>
      </c>
      <c r="K322" t="s">
        <v>18</v>
      </c>
    </row>
    <row r="323" spans="1:11" x14ac:dyDescent="0.3">
      <c r="A323">
        <v>109</v>
      </c>
      <c r="B323">
        <v>2</v>
      </c>
      <c r="C323">
        <v>6</v>
      </c>
      <c r="D323">
        <v>1</v>
      </c>
      <c r="E323" s="1">
        <v>469.99</v>
      </c>
      <c r="F323" s="1">
        <v>7.0000000000000007E-2</v>
      </c>
      <c r="G323">
        <v>469.99</v>
      </c>
      <c r="H323" s="22">
        <f>VLOOKUP(A323,[1]Orders!$A$2:$B$1616,2,0)</f>
        <v>42435</v>
      </c>
      <c r="J323" t="s">
        <v>32</v>
      </c>
      <c r="K323" t="s">
        <v>18</v>
      </c>
    </row>
    <row r="324" spans="1:11" x14ac:dyDescent="0.3">
      <c r="A324">
        <v>110</v>
      </c>
      <c r="B324">
        <v>1</v>
      </c>
      <c r="C324">
        <v>14</v>
      </c>
      <c r="D324">
        <v>1</v>
      </c>
      <c r="E324" s="1">
        <v>269.99</v>
      </c>
      <c r="F324" s="1">
        <v>0.1</v>
      </c>
      <c r="G324">
        <v>269.99</v>
      </c>
      <c r="H324" s="22">
        <f>VLOOKUP(A324,[1]Orders!$A$2:$B$1616,2,0)</f>
        <v>42435</v>
      </c>
      <c r="J324" t="s">
        <v>28</v>
      </c>
      <c r="K324" t="s">
        <v>37</v>
      </c>
    </row>
    <row r="325" spans="1:11" x14ac:dyDescent="0.3">
      <c r="A325">
        <v>111</v>
      </c>
      <c r="B325">
        <v>1</v>
      </c>
      <c r="C325">
        <v>14</v>
      </c>
      <c r="D325">
        <v>1</v>
      </c>
      <c r="E325" s="1">
        <v>269.99</v>
      </c>
      <c r="F325" s="1">
        <v>0.1</v>
      </c>
      <c r="G325">
        <v>269.99</v>
      </c>
      <c r="H325" s="22">
        <f>VLOOKUP(A325,[1]Orders!$A$2:$B$1616,2,0)</f>
        <v>42436</v>
      </c>
      <c r="J325" t="s">
        <v>28</v>
      </c>
      <c r="K325" t="s">
        <v>18</v>
      </c>
    </row>
    <row r="326" spans="1:11" x14ac:dyDescent="0.3">
      <c r="A326">
        <v>111</v>
      </c>
      <c r="B326">
        <v>2</v>
      </c>
      <c r="C326">
        <v>12</v>
      </c>
      <c r="D326">
        <v>2</v>
      </c>
      <c r="E326" s="1">
        <v>549.99</v>
      </c>
      <c r="F326" s="1">
        <v>7.0000000000000007E-2</v>
      </c>
      <c r="G326">
        <v>1099.98</v>
      </c>
      <c r="H326" s="22">
        <f>VLOOKUP(A326,[1]Orders!$A$2:$B$1616,2,0)</f>
        <v>42436</v>
      </c>
      <c r="J326" t="s">
        <v>25</v>
      </c>
      <c r="K326" t="s">
        <v>18</v>
      </c>
    </row>
    <row r="327" spans="1:11" x14ac:dyDescent="0.3">
      <c r="A327">
        <v>112</v>
      </c>
      <c r="B327">
        <v>1</v>
      </c>
      <c r="C327">
        <v>23</v>
      </c>
      <c r="D327">
        <v>2</v>
      </c>
      <c r="E327" s="1">
        <v>299.99</v>
      </c>
      <c r="F327" s="1">
        <v>0.2</v>
      </c>
      <c r="G327">
        <v>599.98</v>
      </c>
      <c r="H327" s="22">
        <f>VLOOKUP(A327,[1]Orders!$A$2:$B$1616,2,0)</f>
        <v>42437</v>
      </c>
      <c r="J327" t="s">
        <v>33</v>
      </c>
      <c r="K327" t="s">
        <v>18</v>
      </c>
    </row>
    <row r="328" spans="1:11" x14ac:dyDescent="0.3">
      <c r="A328">
        <v>112</v>
      </c>
      <c r="B328">
        <v>2</v>
      </c>
      <c r="C328">
        <v>25</v>
      </c>
      <c r="D328">
        <v>2</v>
      </c>
      <c r="E328" s="1">
        <v>499.99</v>
      </c>
      <c r="F328" s="1">
        <v>7.0000000000000007E-2</v>
      </c>
      <c r="G328">
        <v>999.98</v>
      </c>
      <c r="H328" s="22">
        <f>VLOOKUP(A328,[1]Orders!$A$2:$B$1616,2,0)</f>
        <v>42437</v>
      </c>
      <c r="J328" t="s">
        <v>35</v>
      </c>
      <c r="K328" t="s">
        <v>18</v>
      </c>
    </row>
    <row r="329" spans="1:11" x14ac:dyDescent="0.3">
      <c r="A329">
        <v>112</v>
      </c>
      <c r="B329">
        <v>3</v>
      </c>
      <c r="C329">
        <v>24</v>
      </c>
      <c r="D329">
        <v>2</v>
      </c>
      <c r="E329" s="1">
        <v>549.99</v>
      </c>
      <c r="F329" s="1">
        <v>0.05</v>
      </c>
      <c r="G329">
        <v>1099.98</v>
      </c>
      <c r="H329" s="22">
        <f>VLOOKUP(A329,[1]Orders!$A$2:$B$1616,2,0)</f>
        <v>42437</v>
      </c>
      <c r="J329" t="s">
        <v>25</v>
      </c>
      <c r="K329" t="s">
        <v>18</v>
      </c>
    </row>
    <row r="330" spans="1:11" x14ac:dyDescent="0.3">
      <c r="A330">
        <v>112</v>
      </c>
      <c r="B330">
        <v>4</v>
      </c>
      <c r="C330">
        <v>5</v>
      </c>
      <c r="D330">
        <v>1</v>
      </c>
      <c r="E330" s="1">
        <v>1320.99</v>
      </c>
      <c r="F330" s="1">
        <v>0.2</v>
      </c>
      <c r="G330">
        <v>1320.99</v>
      </c>
      <c r="H330" s="22">
        <f>VLOOKUP(A330,[1]Orders!$A$2:$B$1616,2,0)</f>
        <v>42437</v>
      </c>
      <c r="J330" t="s">
        <v>34</v>
      </c>
      <c r="K330" t="s">
        <v>18</v>
      </c>
    </row>
    <row r="331" spans="1:11" x14ac:dyDescent="0.3">
      <c r="A331">
        <v>113</v>
      </c>
      <c r="B331">
        <v>1</v>
      </c>
      <c r="C331">
        <v>12</v>
      </c>
      <c r="D331">
        <v>2</v>
      </c>
      <c r="E331" s="1">
        <v>549.99</v>
      </c>
      <c r="F331" s="1">
        <v>7.0000000000000007E-2</v>
      </c>
      <c r="G331">
        <v>1099.98</v>
      </c>
      <c r="H331" s="22">
        <f>VLOOKUP(A331,[1]Orders!$A$2:$B$1616,2,0)</f>
        <v>42437</v>
      </c>
      <c r="J331" t="s">
        <v>25</v>
      </c>
      <c r="K331" t="s">
        <v>18</v>
      </c>
    </row>
    <row r="332" spans="1:11" x14ac:dyDescent="0.3">
      <c r="A332">
        <v>113</v>
      </c>
      <c r="B332">
        <v>2</v>
      </c>
      <c r="C332">
        <v>24</v>
      </c>
      <c r="D332">
        <v>2</v>
      </c>
      <c r="E332" s="1">
        <v>549.99</v>
      </c>
      <c r="F332" s="1">
        <v>0.1</v>
      </c>
      <c r="G332">
        <v>1099.98</v>
      </c>
      <c r="H332" s="22">
        <f>VLOOKUP(A332,[1]Orders!$A$2:$B$1616,2,0)</f>
        <v>42437</v>
      </c>
      <c r="J332" t="s">
        <v>25</v>
      </c>
      <c r="K332" t="s">
        <v>18</v>
      </c>
    </row>
    <row r="333" spans="1:11" x14ac:dyDescent="0.3">
      <c r="A333">
        <v>113</v>
      </c>
      <c r="B333">
        <v>3</v>
      </c>
      <c r="C333">
        <v>6</v>
      </c>
      <c r="D333">
        <v>1</v>
      </c>
      <c r="E333" s="1">
        <v>469.99</v>
      </c>
      <c r="F333" s="1">
        <v>7.0000000000000007E-2</v>
      </c>
      <c r="G333">
        <v>469.99</v>
      </c>
      <c r="H333" s="22">
        <f>VLOOKUP(A333,[1]Orders!$A$2:$B$1616,2,0)</f>
        <v>42437</v>
      </c>
      <c r="J333" t="s">
        <v>32</v>
      </c>
      <c r="K333" t="s">
        <v>18</v>
      </c>
    </row>
    <row r="334" spans="1:11" x14ac:dyDescent="0.3">
      <c r="A334">
        <v>113</v>
      </c>
      <c r="B334">
        <v>4</v>
      </c>
      <c r="C334">
        <v>23</v>
      </c>
      <c r="D334">
        <v>1</v>
      </c>
      <c r="E334" s="1">
        <v>299.99</v>
      </c>
      <c r="F334" s="1">
        <v>0.2</v>
      </c>
      <c r="G334">
        <v>299.99</v>
      </c>
      <c r="H334" s="22">
        <f>VLOOKUP(A334,[1]Orders!$A$2:$B$1616,2,0)</f>
        <v>42437</v>
      </c>
      <c r="J334" t="s">
        <v>33</v>
      </c>
      <c r="K334" t="s">
        <v>18</v>
      </c>
    </row>
    <row r="335" spans="1:11" x14ac:dyDescent="0.3">
      <c r="A335">
        <v>113</v>
      </c>
      <c r="B335">
        <v>5</v>
      </c>
      <c r="C335">
        <v>5</v>
      </c>
      <c r="D335">
        <v>2</v>
      </c>
      <c r="E335" s="1">
        <v>1320.99</v>
      </c>
      <c r="F335" s="1">
        <v>0.2</v>
      </c>
      <c r="G335">
        <v>2641.98</v>
      </c>
      <c r="H335" s="22">
        <f>VLOOKUP(A335,[1]Orders!$A$2:$B$1616,2,0)</f>
        <v>42437</v>
      </c>
      <c r="J335" t="s">
        <v>34</v>
      </c>
      <c r="K335" t="s">
        <v>18</v>
      </c>
    </row>
    <row r="336" spans="1:11" x14ac:dyDescent="0.3">
      <c r="A336">
        <v>114</v>
      </c>
      <c r="B336">
        <v>1</v>
      </c>
      <c r="C336">
        <v>12</v>
      </c>
      <c r="D336">
        <v>1</v>
      </c>
      <c r="E336" s="1">
        <v>549.99</v>
      </c>
      <c r="F336" s="1">
        <v>0.05</v>
      </c>
      <c r="G336">
        <v>549.99</v>
      </c>
      <c r="H336" s="22">
        <f>VLOOKUP(A336,[1]Orders!$A$2:$B$1616,2,0)</f>
        <v>42437</v>
      </c>
      <c r="J336" t="s">
        <v>25</v>
      </c>
      <c r="K336" t="s">
        <v>18</v>
      </c>
    </row>
    <row r="337" spans="1:11" x14ac:dyDescent="0.3">
      <c r="A337">
        <v>114</v>
      </c>
      <c r="B337">
        <v>2</v>
      </c>
      <c r="C337">
        <v>2</v>
      </c>
      <c r="D337">
        <v>1</v>
      </c>
      <c r="E337" s="1">
        <v>749.99</v>
      </c>
      <c r="F337" s="1">
        <v>7.0000000000000007E-2</v>
      </c>
      <c r="G337">
        <v>749.99</v>
      </c>
      <c r="H337" s="22">
        <f>VLOOKUP(A337,[1]Orders!$A$2:$B$1616,2,0)</f>
        <v>42437</v>
      </c>
      <c r="J337" t="s">
        <v>22</v>
      </c>
      <c r="K337" t="s">
        <v>18</v>
      </c>
    </row>
    <row r="338" spans="1:11" x14ac:dyDescent="0.3">
      <c r="A338">
        <v>114</v>
      </c>
      <c r="B338">
        <v>3</v>
      </c>
      <c r="C338">
        <v>13</v>
      </c>
      <c r="D338">
        <v>2</v>
      </c>
      <c r="E338" s="1">
        <v>269.99</v>
      </c>
      <c r="F338" s="1">
        <v>0.1</v>
      </c>
      <c r="G338">
        <v>539.98</v>
      </c>
      <c r="H338" s="22">
        <f>VLOOKUP(A338,[1]Orders!$A$2:$B$1616,2,0)</f>
        <v>42437</v>
      </c>
      <c r="J338" t="s">
        <v>31</v>
      </c>
      <c r="K338" t="s">
        <v>18</v>
      </c>
    </row>
    <row r="339" spans="1:11" x14ac:dyDescent="0.3">
      <c r="A339">
        <v>115</v>
      </c>
      <c r="B339">
        <v>1</v>
      </c>
      <c r="C339">
        <v>22</v>
      </c>
      <c r="D339">
        <v>1</v>
      </c>
      <c r="E339" s="1">
        <v>269.99</v>
      </c>
      <c r="F339" s="1">
        <v>0.2</v>
      </c>
      <c r="G339">
        <v>269.99</v>
      </c>
      <c r="H339" s="22">
        <f>VLOOKUP(A339,[1]Orders!$A$2:$B$1616,2,0)</f>
        <v>42438</v>
      </c>
      <c r="J339" t="s">
        <v>28</v>
      </c>
      <c r="K339" t="s">
        <v>18</v>
      </c>
    </row>
    <row r="340" spans="1:11" x14ac:dyDescent="0.3">
      <c r="A340">
        <v>115</v>
      </c>
      <c r="B340">
        <v>2</v>
      </c>
      <c r="C340">
        <v>19</v>
      </c>
      <c r="D340">
        <v>1</v>
      </c>
      <c r="E340" s="1">
        <v>449</v>
      </c>
      <c r="F340" s="1">
        <v>0.1</v>
      </c>
      <c r="G340">
        <v>449</v>
      </c>
      <c r="H340" s="22">
        <f>VLOOKUP(A340,[1]Orders!$A$2:$B$1616,2,0)</f>
        <v>42438</v>
      </c>
      <c r="J340" t="s">
        <v>36</v>
      </c>
      <c r="K340" t="s">
        <v>18</v>
      </c>
    </row>
    <row r="341" spans="1:11" x14ac:dyDescent="0.3">
      <c r="A341">
        <v>116</v>
      </c>
      <c r="B341">
        <v>1</v>
      </c>
      <c r="C341">
        <v>26</v>
      </c>
      <c r="D341">
        <v>1</v>
      </c>
      <c r="E341" s="1">
        <v>599.99</v>
      </c>
      <c r="F341" s="1">
        <v>0.05</v>
      </c>
      <c r="G341">
        <v>599.99</v>
      </c>
      <c r="H341" s="22">
        <f>VLOOKUP(A341,[1]Orders!$A$2:$B$1616,2,0)</f>
        <v>42439</v>
      </c>
      <c r="J341" t="s">
        <v>14</v>
      </c>
      <c r="K341" t="s">
        <v>18</v>
      </c>
    </row>
    <row r="342" spans="1:11" x14ac:dyDescent="0.3">
      <c r="A342">
        <v>117</v>
      </c>
      <c r="B342">
        <v>1</v>
      </c>
      <c r="C342">
        <v>22</v>
      </c>
      <c r="D342">
        <v>2</v>
      </c>
      <c r="E342" s="1">
        <v>269.99</v>
      </c>
      <c r="F342" s="1">
        <v>0.2</v>
      </c>
      <c r="G342">
        <v>539.98</v>
      </c>
      <c r="H342" s="22">
        <f>VLOOKUP(A342,[1]Orders!$A$2:$B$1616,2,0)</f>
        <v>42439</v>
      </c>
      <c r="J342" t="s">
        <v>28</v>
      </c>
      <c r="K342" t="s">
        <v>18</v>
      </c>
    </row>
    <row r="343" spans="1:11" x14ac:dyDescent="0.3">
      <c r="A343">
        <v>117</v>
      </c>
      <c r="B343">
        <v>2</v>
      </c>
      <c r="C343">
        <v>26</v>
      </c>
      <c r="D343">
        <v>1</v>
      </c>
      <c r="E343" s="1">
        <v>599.99</v>
      </c>
      <c r="F343" s="1">
        <v>0.05</v>
      </c>
      <c r="G343">
        <v>599.99</v>
      </c>
      <c r="H343" s="22">
        <f>VLOOKUP(A343,[1]Orders!$A$2:$B$1616,2,0)</f>
        <v>42439</v>
      </c>
      <c r="J343" t="s">
        <v>14</v>
      </c>
      <c r="K343" t="s">
        <v>18</v>
      </c>
    </row>
    <row r="344" spans="1:11" x14ac:dyDescent="0.3">
      <c r="A344">
        <v>117</v>
      </c>
      <c r="B344">
        <v>3</v>
      </c>
      <c r="C344">
        <v>14</v>
      </c>
      <c r="D344">
        <v>1</v>
      </c>
      <c r="E344" s="1">
        <v>269.99</v>
      </c>
      <c r="F344" s="1">
        <v>0.2</v>
      </c>
      <c r="G344">
        <v>269.99</v>
      </c>
      <c r="H344" s="22">
        <f>VLOOKUP(A344,[1]Orders!$A$2:$B$1616,2,0)</f>
        <v>42439</v>
      </c>
      <c r="J344" t="s">
        <v>28</v>
      </c>
      <c r="K344" t="s">
        <v>18</v>
      </c>
    </row>
    <row r="345" spans="1:11" x14ac:dyDescent="0.3">
      <c r="A345">
        <v>117</v>
      </c>
      <c r="B345">
        <v>4</v>
      </c>
      <c r="C345">
        <v>19</v>
      </c>
      <c r="D345">
        <v>1</v>
      </c>
      <c r="E345" s="1">
        <v>449</v>
      </c>
      <c r="F345" s="1">
        <v>0.05</v>
      </c>
      <c r="G345">
        <v>449</v>
      </c>
      <c r="H345" s="22">
        <f>VLOOKUP(A345,[1]Orders!$A$2:$B$1616,2,0)</f>
        <v>42439</v>
      </c>
      <c r="J345" t="s">
        <v>36</v>
      </c>
      <c r="K345" t="s">
        <v>18</v>
      </c>
    </row>
    <row r="346" spans="1:11" x14ac:dyDescent="0.3">
      <c r="A346">
        <v>118</v>
      </c>
      <c r="B346">
        <v>1</v>
      </c>
      <c r="C346">
        <v>18</v>
      </c>
      <c r="D346">
        <v>1</v>
      </c>
      <c r="E346" s="1">
        <v>449</v>
      </c>
      <c r="F346" s="1">
        <v>7.0000000000000007E-2</v>
      </c>
      <c r="G346">
        <v>449</v>
      </c>
      <c r="H346" s="22">
        <f>VLOOKUP(A346,[1]Orders!$A$2:$B$1616,2,0)</f>
        <v>42441</v>
      </c>
      <c r="J346" t="s">
        <v>24</v>
      </c>
      <c r="K346" t="s">
        <v>11</v>
      </c>
    </row>
    <row r="347" spans="1:11" x14ac:dyDescent="0.3">
      <c r="A347">
        <v>118</v>
      </c>
      <c r="B347">
        <v>2</v>
      </c>
      <c r="C347">
        <v>4</v>
      </c>
      <c r="D347">
        <v>1</v>
      </c>
      <c r="E347" s="1">
        <v>2899.99</v>
      </c>
      <c r="F347" s="1">
        <v>7.0000000000000007E-2</v>
      </c>
      <c r="G347">
        <v>2899.99</v>
      </c>
      <c r="H347" s="22">
        <f>VLOOKUP(A347,[1]Orders!$A$2:$B$1616,2,0)</f>
        <v>42441</v>
      </c>
      <c r="J347" t="s">
        <v>16</v>
      </c>
      <c r="K347" t="s">
        <v>11</v>
      </c>
    </row>
    <row r="348" spans="1:11" x14ac:dyDescent="0.3">
      <c r="A348">
        <v>118</v>
      </c>
      <c r="B348">
        <v>3</v>
      </c>
      <c r="C348">
        <v>6</v>
      </c>
      <c r="D348">
        <v>1</v>
      </c>
      <c r="E348" s="1">
        <v>469.99</v>
      </c>
      <c r="F348" s="1">
        <v>7.0000000000000007E-2</v>
      </c>
      <c r="G348">
        <v>469.99</v>
      </c>
      <c r="H348" s="22">
        <f>VLOOKUP(A348,[1]Orders!$A$2:$B$1616,2,0)</f>
        <v>42441</v>
      </c>
      <c r="J348" t="s">
        <v>32</v>
      </c>
      <c r="K348" t="s">
        <v>11</v>
      </c>
    </row>
    <row r="349" spans="1:11" x14ac:dyDescent="0.3">
      <c r="A349">
        <v>118</v>
      </c>
      <c r="B349">
        <v>4</v>
      </c>
      <c r="C349">
        <v>3</v>
      </c>
      <c r="D349">
        <v>2</v>
      </c>
      <c r="E349" s="1">
        <v>999.99</v>
      </c>
      <c r="F349" s="1">
        <v>0.1</v>
      </c>
      <c r="G349">
        <v>1999.98</v>
      </c>
      <c r="H349" s="22">
        <f>VLOOKUP(A349,[1]Orders!$A$2:$B$1616,2,0)</f>
        <v>42441</v>
      </c>
      <c r="J349" t="s">
        <v>20</v>
      </c>
      <c r="K349" t="s">
        <v>11</v>
      </c>
    </row>
    <row r="350" spans="1:11" x14ac:dyDescent="0.3">
      <c r="A350">
        <v>118</v>
      </c>
      <c r="B350">
        <v>5</v>
      </c>
      <c r="C350">
        <v>23</v>
      </c>
      <c r="D350">
        <v>2</v>
      </c>
      <c r="E350" s="1">
        <v>299.99</v>
      </c>
      <c r="F350" s="1">
        <v>7.0000000000000007E-2</v>
      </c>
      <c r="G350">
        <v>599.98</v>
      </c>
      <c r="H350" s="22">
        <f>VLOOKUP(A350,[1]Orders!$A$2:$B$1616,2,0)</f>
        <v>42441</v>
      </c>
      <c r="J350" t="s">
        <v>33</v>
      </c>
      <c r="K350" t="s">
        <v>11</v>
      </c>
    </row>
    <row r="351" spans="1:11" x14ac:dyDescent="0.3">
      <c r="A351">
        <v>119</v>
      </c>
      <c r="B351">
        <v>1</v>
      </c>
      <c r="C351">
        <v>25</v>
      </c>
      <c r="D351">
        <v>1</v>
      </c>
      <c r="E351" s="1">
        <v>499.99</v>
      </c>
      <c r="F351" s="1">
        <v>0.05</v>
      </c>
      <c r="G351">
        <v>499.99</v>
      </c>
      <c r="H351" s="22">
        <f>VLOOKUP(A351,[1]Orders!$A$2:$B$1616,2,0)</f>
        <v>42441</v>
      </c>
      <c r="J351" t="s">
        <v>35</v>
      </c>
      <c r="K351" t="s">
        <v>18</v>
      </c>
    </row>
    <row r="352" spans="1:11" x14ac:dyDescent="0.3">
      <c r="A352">
        <v>120</v>
      </c>
      <c r="B352">
        <v>1</v>
      </c>
      <c r="C352">
        <v>13</v>
      </c>
      <c r="D352">
        <v>2</v>
      </c>
      <c r="E352" s="1">
        <v>269.99</v>
      </c>
      <c r="F352" s="1">
        <v>0.05</v>
      </c>
      <c r="G352">
        <v>539.98</v>
      </c>
      <c r="H352" s="22">
        <f>VLOOKUP(A352,[1]Orders!$A$2:$B$1616,2,0)</f>
        <v>42443</v>
      </c>
      <c r="J352" t="s">
        <v>31</v>
      </c>
      <c r="K352" t="s">
        <v>18</v>
      </c>
    </row>
    <row r="353" spans="1:11" x14ac:dyDescent="0.3">
      <c r="A353">
        <v>120</v>
      </c>
      <c r="B353">
        <v>2</v>
      </c>
      <c r="C353">
        <v>6</v>
      </c>
      <c r="D353">
        <v>2</v>
      </c>
      <c r="E353" s="1">
        <v>469.99</v>
      </c>
      <c r="F353" s="1">
        <v>0.05</v>
      </c>
      <c r="G353">
        <v>939.98</v>
      </c>
      <c r="H353" s="22">
        <f>VLOOKUP(A353,[1]Orders!$A$2:$B$1616,2,0)</f>
        <v>42443</v>
      </c>
      <c r="J353" t="s">
        <v>32</v>
      </c>
      <c r="K353" t="s">
        <v>18</v>
      </c>
    </row>
    <row r="354" spans="1:11" x14ac:dyDescent="0.3">
      <c r="A354">
        <v>120</v>
      </c>
      <c r="B354">
        <v>3</v>
      </c>
      <c r="C354">
        <v>10</v>
      </c>
      <c r="D354">
        <v>2</v>
      </c>
      <c r="E354" s="1">
        <v>1549</v>
      </c>
      <c r="F354" s="1">
        <v>0.05</v>
      </c>
      <c r="G354">
        <v>3098</v>
      </c>
      <c r="H354" s="22">
        <f>VLOOKUP(A354,[1]Orders!$A$2:$B$1616,2,0)</f>
        <v>42443</v>
      </c>
      <c r="J354" t="s">
        <v>13</v>
      </c>
      <c r="K354" t="s">
        <v>18</v>
      </c>
    </row>
    <row r="355" spans="1:11" x14ac:dyDescent="0.3">
      <c r="A355">
        <v>120</v>
      </c>
      <c r="B355">
        <v>4</v>
      </c>
      <c r="C355">
        <v>17</v>
      </c>
      <c r="D355">
        <v>1</v>
      </c>
      <c r="E355" s="1">
        <v>429</v>
      </c>
      <c r="F355" s="1">
        <v>0.05</v>
      </c>
      <c r="G355">
        <v>429</v>
      </c>
      <c r="H355" s="22">
        <f>VLOOKUP(A355,[1]Orders!$A$2:$B$1616,2,0)</f>
        <v>42443</v>
      </c>
      <c r="J355" t="s">
        <v>23</v>
      </c>
      <c r="K355" t="s">
        <v>18</v>
      </c>
    </row>
    <row r="356" spans="1:11" x14ac:dyDescent="0.3">
      <c r="A356">
        <v>120</v>
      </c>
      <c r="B356">
        <v>5</v>
      </c>
      <c r="C356">
        <v>16</v>
      </c>
      <c r="D356">
        <v>2</v>
      </c>
      <c r="E356" s="1">
        <v>599.99</v>
      </c>
      <c r="F356" s="1">
        <v>0.2</v>
      </c>
      <c r="G356">
        <v>1199.98</v>
      </c>
      <c r="H356" s="22">
        <f>VLOOKUP(A356,[1]Orders!$A$2:$B$1616,2,0)</f>
        <v>42443</v>
      </c>
      <c r="J356" t="s">
        <v>14</v>
      </c>
      <c r="K356" t="s">
        <v>18</v>
      </c>
    </row>
    <row r="357" spans="1:11" x14ac:dyDescent="0.3">
      <c r="A357">
        <v>121</v>
      </c>
      <c r="B357">
        <v>1</v>
      </c>
      <c r="C357">
        <v>5</v>
      </c>
      <c r="D357">
        <v>1</v>
      </c>
      <c r="E357" s="1">
        <v>1320.99</v>
      </c>
      <c r="F357" s="1">
        <v>0.2</v>
      </c>
      <c r="G357">
        <v>1320.99</v>
      </c>
      <c r="H357" s="22">
        <f>VLOOKUP(A357,[1]Orders!$A$2:$B$1616,2,0)</f>
        <v>42443</v>
      </c>
      <c r="J357" t="s">
        <v>34</v>
      </c>
      <c r="K357" t="s">
        <v>18</v>
      </c>
    </row>
    <row r="358" spans="1:11" x14ac:dyDescent="0.3">
      <c r="A358">
        <v>121</v>
      </c>
      <c r="B358">
        <v>2</v>
      </c>
      <c r="C358">
        <v>14</v>
      </c>
      <c r="D358">
        <v>2</v>
      </c>
      <c r="E358" s="1">
        <v>269.99</v>
      </c>
      <c r="F358" s="1">
        <v>0.1</v>
      </c>
      <c r="G358">
        <v>539.98</v>
      </c>
      <c r="H358" s="22">
        <f>VLOOKUP(A358,[1]Orders!$A$2:$B$1616,2,0)</f>
        <v>42443</v>
      </c>
      <c r="J358" t="s">
        <v>28</v>
      </c>
      <c r="K358" t="s">
        <v>18</v>
      </c>
    </row>
    <row r="359" spans="1:11" x14ac:dyDescent="0.3">
      <c r="A359">
        <v>121</v>
      </c>
      <c r="B359">
        <v>3</v>
      </c>
      <c r="C359">
        <v>4</v>
      </c>
      <c r="D359">
        <v>2</v>
      </c>
      <c r="E359" s="1">
        <v>2899.99</v>
      </c>
      <c r="F359" s="1">
        <v>0.1</v>
      </c>
      <c r="G359">
        <v>5799.98</v>
      </c>
      <c r="H359" s="22">
        <f>VLOOKUP(A359,[1]Orders!$A$2:$B$1616,2,0)</f>
        <v>42443</v>
      </c>
      <c r="J359" t="s">
        <v>16</v>
      </c>
      <c r="K359" t="s">
        <v>18</v>
      </c>
    </row>
    <row r="360" spans="1:11" x14ac:dyDescent="0.3">
      <c r="A360">
        <v>121</v>
      </c>
      <c r="B360">
        <v>4</v>
      </c>
      <c r="C360">
        <v>24</v>
      </c>
      <c r="D360">
        <v>2</v>
      </c>
      <c r="E360" s="1">
        <v>549.99</v>
      </c>
      <c r="F360" s="1">
        <v>7.0000000000000007E-2</v>
      </c>
      <c r="G360">
        <v>1099.98</v>
      </c>
      <c r="H360" s="22">
        <f>VLOOKUP(A360,[1]Orders!$A$2:$B$1616,2,0)</f>
        <v>42443</v>
      </c>
      <c r="J360" t="s">
        <v>25</v>
      </c>
      <c r="K360" t="s">
        <v>18</v>
      </c>
    </row>
    <row r="361" spans="1:11" x14ac:dyDescent="0.3">
      <c r="A361">
        <v>121</v>
      </c>
      <c r="B361">
        <v>5</v>
      </c>
      <c r="C361">
        <v>2</v>
      </c>
      <c r="D361">
        <v>2</v>
      </c>
      <c r="E361" s="1">
        <v>749.99</v>
      </c>
      <c r="F361" s="1">
        <v>0.05</v>
      </c>
      <c r="G361">
        <v>1499.98</v>
      </c>
      <c r="H361" s="22">
        <f>VLOOKUP(A361,[1]Orders!$A$2:$B$1616,2,0)</f>
        <v>42443</v>
      </c>
      <c r="J361" t="s">
        <v>22</v>
      </c>
      <c r="K361" t="s">
        <v>18</v>
      </c>
    </row>
    <row r="362" spans="1:11" x14ac:dyDescent="0.3">
      <c r="A362">
        <v>122</v>
      </c>
      <c r="B362">
        <v>1</v>
      </c>
      <c r="C362">
        <v>16</v>
      </c>
      <c r="D362">
        <v>1</v>
      </c>
      <c r="E362" s="1">
        <v>599.99</v>
      </c>
      <c r="F362" s="1">
        <v>0.1</v>
      </c>
      <c r="G362">
        <v>599.99</v>
      </c>
      <c r="H362" s="22">
        <f>VLOOKUP(A362,[1]Orders!$A$2:$B$1616,2,0)</f>
        <v>42443</v>
      </c>
      <c r="J362" t="s">
        <v>14</v>
      </c>
      <c r="K362" t="s">
        <v>18</v>
      </c>
    </row>
    <row r="363" spans="1:11" x14ac:dyDescent="0.3">
      <c r="A363">
        <v>123</v>
      </c>
      <c r="B363">
        <v>1</v>
      </c>
      <c r="C363">
        <v>12</v>
      </c>
      <c r="D363">
        <v>2</v>
      </c>
      <c r="E363" s="1">
        <v>549.99</v>
      </c>
      <c r="F363" s="1">
        <v>0.1</v>
      </c>
      <c r="G363">
        <v>1099.98</v>
      </c>
      <c r="H363" s="22">
        <f>VLOOKUP(A363,[1]Orders!$A$2:$B$1616,2,0)</f>
        <v>42444</v>
      </c>
      <c r="J363" t="s">
        <v>25</v>
      </c>
      <c r="K363" t="s">
        <v>18</v>
      </c>
    </row>
    <row r="364" spans="1:11" x14ac:dyDescent="0.3">
      <c r="A364">
        <v>124</v>
      </c>
      <c r="B364">
        <v>1</v>
      </c>
      <c r="C364">
        <v>16</v>
      </c>
      <c r="D364">
        <v>1</v>
      </c>
      <c r="E364" s="1">
        <v>599.99</v>
      </c>
      <c r="F364" s="1">
        <v>0.05</v>
      </c>
      <c r="G364">
        <v>599.99</v>
      </c>
      <c r="H364" s="22">
        <f>VLOOKUP(A364,[1]Orders!$A$2:$B$1616,2,0)</f>
        <v>42445</v>
      </c>
      <c r="J364" t="s">
        <v>14</v>
      </c>
      <c r="K364" t="s">
        <v>11</v>
      </c>
    </row>
    <row r="365" spans="1:11" x14ac:dyDescent="0.3">
      <c r="A365">
        <v>124</v>
      </c>
      <c r="B365">
        <v>2</v>
      </c>
      <c r="C365">
        <v>4</v>
      </c>
      <c r="D365">
        <v>1</v>
      </c>
      <c r="E365" s="1">
        <v>2899.99</v>
      </c>
      <c r="F365" s="1">
        <v>7.0000000000000007E-2</v>
      </c>
      <c r="G365">
        <v>2899.99</v>
      </c>
      <c r="H365" s="22">
        <f>VLOOKUP(A365,[1]Orders!$A$2:$B$1616,2,0)</f>
        <v>42445</v>
      </c>
      <c r="J365" t="s">
        <v>16</v>
      </c>
      <c r="K365" t="s">
        <v>11</v>
      </c>
    </row>
    <row r="366" spans="1:11" x14ac:dyDescent="0.3">
      <c r="A366">
        <v>124</v>
      </c>
      <c r="B366">
        <v>3</v>
      </c>
      <c r="C366">
        <v>7</v>
      </c>
      <c r="D366">
        <v>2</v>
      </c>
      <c r="E366" s="1">
        <v>3999.99</v>
      </c>
      <c r="F366" s="1">
        <v>0.05</v>
      </c>
      <c r="G366">
        <v>7999.98</v>
      </c>
      <c r="H366" s="22">
        <f>VLOOKUP(A366,[1]Orders!$A$2:$B$1616,2,0)</f>
        <v>42445</v>
      </c>
      <c r="J366" t="s">
        <v>29</v>
      </c>
      <c r="K366" t="s">
        <v>11</v>
      </c>
    </row>
    <row r="367" spans="1:11" x14ac:dyDescent="0.3">
      <c r="A367">
        <v>125</v>
      </c>
      <c r="B367">
        <v>1</v>
      </c>
      <c r="C367">
        <v>17</v>
      </c>
      <c r="D367">
        <v>1</v>
      </c>
      <c r="E367" s="1">
        <v>429</v>
      </c>
      <c r="F367" s="1">
        <v>0.1</v>
      </c>
      <c r="G367">
        <v>429</v>
      </c>
      <c r="H367" s="22">
        <f>VLOOKUP(A367,[1]Orders!$A$2:$B$1616,2,0)</f>
        <v>42445</v>
      </c>
      <c r="J367" t="s">
        <v>23</v>
      </c>
      <c r="K367" t="s">
        <v>18</v>
      </c>
    </row>
    <row r="368" spans="1:11" x14ac:dyDescent="0.3">
      <c r="A368">
        <v>126</v>
      </c>
      <c r="B368">
        <v>1</v>
      </c>
      <c r="C368">
        <v>9</v>
      </c>
      <c r="D368">
        <v>2</v>
      </c>
      <c r="E368" s="1">
        <v>2999.99</v>
      </c>
      <c r="F368" s="1">
        <v>0.05</v>
      </c>
      <c r="G368">
        <v>5999.98</v>
      </c>
      <c r="H368" s="22">
        <f>VLOOKUP(A368,[1]Orders!$A$2:$B$1616,2,0)</f>
        <v>42445</v>
      </c>
      <c r="J368" t="s">
        <v>26</v>
      </c>
      <c r="K368" t="s">
        <v>18</v>
      </c>
    </row>
    <row r="369" spans="1:11" x14ac:dyDescent="0.3">
      <c r="A369">
        <v>127</v>
      </c>
      <c r="B369">
        <v>1</v>
      </c>
      <c r="C369">
        <v>17</v>
      </c>
      <c r="D369">
        <v>1</v>
      </c>
      <c r="E369" s="1">
        <v>429</v>
      </c>
      <c r="F369" s="1">
        <v>7.0000000000000007E-2</v>
      </c>
      <c r="G369">
        <v>429</v>
      </c>
      <c r="H369" s="22">
        <f>VLOOKUP(A369,[1]Orders!$A$2:$B$1616,2,0)</f>
        <v>42446</v>
      </c>
      <c r="J369" t="s">
        <v>23</v>
      </c>
      <c r="K369" t="s">
        <v>37</v>
      </c>
    </row>
    <row r="370" spans="1:11" x14ac:dyDescent="0.3">
      <c r="A370">
        <v>127</v>
      </c>
      <c r="B370">
        <v>2</v>
      </c>
      <c r="C370">
        <v>20</v>
      </c>
      <c r="D370">
        <v>1</v>
      </c>
      <c r="E370" s="1">
        <v>599.99</v>
      </c>
      <c r="F370" s="1">
        <v>0.1</v>
      </c>
      <c r="G370">
        <v>599.99</v>
      </c>
      <c r="H370" s="22">
        <f>VLOOKUP(A370,[1]Orders!$A$2:$B$1616,2,0)</f>
        <v>42446</v>
      </c>
      <c r="J370" t="s">
        <v>10</v>
      </c>
      <c r="K370" t="s">
        <v>37</v>
      </c>
    </row>
    <row r="371" spans="1:11" x14ac:dyDescent="0.3">
      <c r="A371">
        <v>127</v>
      </c>
      <c r="B371">
        <v>3</v>
      </c>
      <c r="C371">
        <v>4</v>
      </c>
      <c r="D371">
        <v>2</v>
      </c>
      <c r="E371" s="1">
        <v>2899.99</v>
      </c>
      <c r="F371" s="1">
        <v>7.0000000000000007E-2</v>
      </c>
      <c r="G371">
        <v>5799.98</v>
      </c>
      <c r="H371" s="22">
        <f>VLOOKUP(A371,[1]Orders!$A$2:$B$1616,2,0)</f>
        <v>42446</v>
      </c>
      <c r="J371" t="s">
        <v>16</v>
      </c>
      <c r="K371" t="s">
        <v>37</v>
      </c>
    </row>
    <row r="372" spans="1:11" x14ac:dyDescent="0.3">
      <c r="A372">
        <v>128</v>
      </c>
      <c r="B372">
        <v>1</v>
      </c>
      <c r="C372">
        <v>24</v>
      </c>
      <c r="D372">
        <v>2</v>
      </c>
      <c r="E372" s="1">
        <v>549.99</v>
      </c>
      <c r="F372" s="1">
        <v>0.1</v>
      </c>
      <c r="G372">
        <v>1099.98</v>
      </c>
      <c r="H372" s="22">
        <f>VLOOKUP(A372,[1]Orders!$A$2:$B$1616,2,0)</f>
        <v>42447</v>
      </c>
      <c r="J372" t="s">
        <v>25</v>
      </c>
      <c r="K372" t="s">
        <v>18</v>
      </c>
    </row>
    <row r="373" spans="1:11" x14ac:dyDescent="0.3">
      <c r="A373">
        <v>128</v>
      </c>
      <c r="B373">
        <v>2</v>
      </c>
      <c r="C373">
        <v>16</v>
      </c>
      <c r="D373">
        <v>2</v>
      </c>
      <c r="E373" s="1">
        <v>599.99</v>
      </c>
      <c r="F373" s="1">
        <v>0.1</v>
      </c>
      <c r="G373">
        <v>1199.98</v>
      </c>
      <c r="H373" s="22">
        <f>VLOOKUP(A373,[1]Orders!$A$2:$B$1616,2,0)</f>
        <v>42447</v>
      </c>
      <c r="J373" t="s">
        <v>14</v>
      </c>
      <c r="K373" t="s">
        <v>18</v>
      </c>
    </row>
    <row r="374" spans="1:11" x14ac:dyDescent="0.3">
      <c r="A374">
        <v>128</v>
      </c>
      <c r="B374">
        <v>3</v>
      </c>
      <c r="C374">
        <v>4</v>
      </c>
      <c r="D374">
        <v>2</v>
      </c>
      <c r="E374" s="1">
        <v>2899.99</v>
      </c>
      <c r="F374" s="1">
        <v>0.2</v>
      </c>
      <c r="G374">
        <v>5799.98</v>
      </c>
      <c r="H374" s="22">
        <f>VLOOKUP(A374,[1]Orders!$A$2:$B$1616,2,0)</f>
        <v>42447</v>
      </c>
      <c r="J374" t="s">
        <v>16</v>
      </c>
      <c r="K374" t="s">
        <v>18</v>
      </c>
    </row>
    <row r="375" spans="1:11" x14ac:dyDescent="0.3">
      <c r="A375">
        <v>128</v>
      </c>
      <c r="B375">
        <v>4</v>
      </c>
      <c r="C375">
        <v>3</v>
      </c>
      <c r="D375">
        <v>2</v>
      </c>
      <c r="E375" s="1">
        <v>999.99</v>
      </c>
      <c r="F375" s="1">
        <v>0.2</v>
      </c>
      <c r="G375">
        <v>1999.98</v>
      </c>
      <c r="H375" s="22">
        <f>VLOOKUP(A375,[1]Orders!$A$2:$B$1616,2,0)</f>
        <v>42447</v>
      </c>
      <c r="J375" t="s">
        <v>20</v>
      </c>
      <c r="K375" t="s">
        <v>18</v>
      </c>
    </row>
    <row r="376" spans="1:11" x14ac:dyDescent="0.3">
      <c r="A376">
        <v>129</v>
      </c>
      <c r="B376">
        <v>1</v>
      </c>
      <c r="C376">
        <v>18</v>
      </c>
      <c r="D376">
        <v>1</v>
      </c>
      <c r="E376" s="1">
        <v>449</v>
      </c>
      <c r="F376" s="1">
        <v>0.1</v>
      </c>
      <c r="G376">
        <v>449</v>
      </c>
      <c r="H376" s="22">
        <f>VLOOKUP(A376,[1]Orders!$A$2:$B$1616,2,0)</f>
        <v>42448</v>
      </c>
      <c r="J376" t="s">
        <v>24</v>
      </c>
      <c r="K376" t="s">
        <v>18</v>
      </c>
    </row>
    <row r="377" spans="1:11" x14ac:dyDescent="0.3">
      <c r="A377">
        <v>129</v>
      </c>
      <c r="B377">
        <v>2</v>
      </c>
      <c r="C377">
        <v>9</v>
      </c>
      <c r="D377">
        <v>1</v>
      </c>
      <c r="E377" s="1">
        <v>2999.99</v>
      </c>
      <c r="F377" s="1">
        <v>0.1</v>
      </c>
      <c r="G377">
        <v>2999.99</v>
      </c>
      <c r="H377" s="22">
        <f>VLOOKUP(A377,[1]Orders!$A$2:$B$1616,2,0)</f>
        <v>42448</v>
      </c>
      <c r="J377" t="s">
        <v>26</v>
      </c>
      <c r="K377" t="s">
        <v>18</v>
      </c>
    </row>
    <row r="378" spans="1:11" x14ac:dyDescent="0.3">
      <c r="A378">
        <v>130</v>
      </c>
      <c r="B378">
        <v>1</v>
      </c>
      <c r="C378">
        <v>26</v>
      </c>
      <c r="D378">
        <v>1</v>
      </c>
      <c r="E378" s="1">
        <v>599.99</v>
      </c>
      <c r="F378" s="1">
        <v>0.05</v>
      </c>
      <c r="G378">
        <v>599.99</v>
      </c>
      <c r="H378" s="22">
        <f>VLOOKUP(A378,[1]Orders!$A$2:$B$1616,2,0)</f>
        <v>42448</v>
      </c>
      <c r="J378" t="s">
        <v>14</v>
      </c>
      <c r="K378" t="s">
        <v>18</v>
      </c>
    </row>
    <row r="379" spans="1:11" x14ac:dyDescent="0.3">
      <c r="A379">
        <v>130</v>
      </c>
      <c r="B379">
        <v>2</v>
      </c>
      <c r="C379">
        <v>5</v>
      </c>
      <c r="D379">
        <v>2</v>
      </c>
      <c r="E379" s="1">
        <v>1320.99</v>
      </c>
      <c r="F379" s="1">
        <v>7.0000000000000007E-2</v>
      </c>
      <c r="G379">
        <v>2641.98</v>
      </c>
      <c r="H379" s="22">
        <f>VLOOKUP(A379,[1]Orders!$A$2:$B$1616,2,0)</f>
        <v>42448</v>
      </c>
      <c r="J379" t="s">
        <v>34</v>
      </c>
      <c r="K379" t="s">
        <v>18</v>
      </c>
    </row>
    <row r="380" spans="1:11" x14ac:dyDescent="0.3">
      <c r="A380">
        <v>131</v>
      </c>
      <c r="B380">
        <v>1</v>
      </c>
      <c r="C380">
        <v>22</v>
      </c>
      <c r="D380">
        <v>2</v>
      </c>
      <c r="E380" s="1">
        <v>269.99</v>
      </c>
      <c r="F380" s="1">
        <v>0.2</v>
      </c>
      <c r="G380">
        <v>539.98</v>
      </c>
      <c r="H380" s="22">
        <f>VLOOKUP(A380,[1]Orders!$A$2:$B$1616,2,0)</f>
        <v>42448</v>
      </c>
      <c r="J380" t="s">
        <v>28</v>
      </c>
      <c r="K380" t="s">
        <v>37</v>
      </c>
    </row>
    <row r="381" spans="1:11" x14ac:dyDescent="0.3">
      <c r="A381">
        <v>131</v>
      </c>
      <c r="B381">
        <v>2</v>
      </c>
      <c r="C381">
        <v>4</v>
      </c>
      <c r="D381">
        <v>2</v>
      </c>
      <c r="E381" s="1">
        <v>2899.99</v>
      </c>
      <c r="F381" s="1">
        <v>7.0000000000000007E-2</v>
      </c>
      <c r="G381">
        <v>5799.98</v>
      </c>
      <c r="H381" s="22">
        <f>VLOOKUP(A381,[1]Orders!$A$2:$B$1616,2,0)</f>
        <v>42448</v>
      </c>
      <c r="J381" t="s">
        <v>16</v>
      </c>
      <c r="K381" t="s">
        <v>37</v>
      </c>
    </row>
    <row r="382" spans="1:11" x14ac:dyDescent="0.3">
      <c r="A382">
        <v>131</v>
      </c>
      <c r="B382">
        <v>3</v>
      </c>
      <c r="C382">
        <v>24</v>
      </c>
      <c r="D382">
        <v>2</v>
      </c>
      <c r="E382" s="1">
        <v>549.99</v>
      </c>
      <c r="F382" s="1">
        <v>0.1</v>
      </c>
      <c r="G382">
        <v>1099.98</v>
      </c>
      <c r="H382" s="22">
        <f>VLOOKUP(A382,[1]Orders!$A$2:$B$1616,2,0)</f>
        <v>42448</v>
      </c>
      <c r="J382" t="s">
        <v>25</v>
      </c>
      <c r="K382" t="s">
        <v>37</v>
      </c>
    </row>
    <row r="383" spans="1:11" x14ac:dyDescent="0.3">
      <c r="A383">
        <v>132</v>
      </c>
      <c r="B383">
        <v>1</v>
      </c>
      <c r="C383">
        <v>2</v>
      </c>
      <c r="D383">
        <v>2</v>
      </c>
      <c r="E383" s="1">
        <v>749.99</v>
      </c>
      <c r="F383" s="1">
        <v>0.05</v>
      </c>
      <c r="G383">
        <v>1499.98</v>
      </c>
      <c r="H383" s="22">
        <f>VLOOKUP(A383,[1]Orders!$A$2:$B$1616,2,0)</f>
        <v>42449</v>
      </c>
      <c r="J383" t="s">
        <v>22</v>
      </c>
      <c r="K383" t="s">
        <v>11</v>
      </c>
    </row>
    <row r="384" spans="1:11" x14ac:dyDescent="0.3">
      <c r="A384">
        <v>132</v>
      </c>
      <c r="B384">
        <v>2</v>
      </c>
      <c r="C384">
        <v>20</v>
      </c>
      <c r="D384">
        <v>1</v>
      </c>
      <c r="E384" s="1">
        <v>599.99</v>
      </c>
      <c r="F384" s="1">
        <v>0.05</v>
      </c>
      <c r="G384">
        <v>599.99</v>
      </c>
      <c r="H384" s="22">
        <f>VLOOKUP(A384,[1]Orders!$A$2:$B$1616,2,0)</f>
        <v>42449</v>
      </c>
      <c r="J384" t="s">
        <v>10</v>
      </c>
      <c r="K384" t="s">
        <v>11</v>
      </c>
    </row>
    <row r="385" spans="1:11" x14ac:dyDescent="0.3">
      <c r="A385">
        <v>132</v>
      </c>
      <c r="B385">
        <v>3</v>
      </c>
      <c r="C385">
        <v>9</v>
      </c>
      <c r="D385">
        <v>1</v>
      </c>
      <c r="E385" s="1">
        <v>2999.99</v>
      </c>
      <c r="F385" s="1">
        <v>0.1</v>
      </c>
      <c r="G385">
        <v>2999.99</v>
      </c>
      <c r="H385" s="22">
        <f>VLOOKUP(A385,[1]Orders!$A$2:$B$1616,2,0)</f>
        <v>42449</v>
      </c>
      <c r="J385" t="s">
        <v>26</v>
      </c>
      <c r="K385" t="s">
        <v>11</v>
      </c>
    </row>
    <row r="386" spans="1:11" x14ac:dyDescent="0.3">
      <c r="A386">
        <v>133</v>
      </c>
      <c r="B386">
        <v>1</v>
      </c>
      <c r="C386">
        <v>13</v>
      </c>
      <c r="D386">
        <v>2</v>
      </c>
      <c r="E386" s="1">
        <v>269.99</v>
      </c>
      <c r="F386" s="1">
        <v>0.05</v>
      </c>
      <c r="G386">
        <v>539.98</v>
      </c>
      <c r="H386" s="22">
        <f>VLOOKUP(A386,[1]Orders!$A$2:$B$1616,2,0)</f>
        <v>42449</v>
      </c>
      <c r="J386" t="s">
        <v>31</v>
      </c>
      <c r="K386" t="s">
        <v>18</v>
      </c>
    </row>
    <row r="387" spans="1:11" x14ac:dyDescent="0.3">
      <c r="A387">
        <v>133</v>
      </c>
      <c r="B387">
        <v>2</v>
      </c>
      <c r="C387">
        <v>22</v>
      </c>
      <c r="D387">
        <v>1</v>
      </c>
      <c r="E387" s="1">
        <v>269.99</v>
      </c>
      <c r="F387" s="1">
        <v>0.2</v>
      </c>
      <c r="G387">
        <v>269.99</v>
      </c>
      <c r="H387" s="22">
        <f>VLOOKUP(A387,[1]Orders!$A$2:$B$1616,2,0)</f>
        <v>42449</v>
      </c>
      <c r="J387" t="s">
        <v>28</v>
      </c>
      <c r="K387" t="s">
        <v>18</v>
      </c>
    </row>
    <row r="388" spans="1:11" x14ac:dyDescent="0.3">
      <c r="A388">
        <v>134</v>
      </c>
      <c r="B388">
        <v>1</v>
      </c>
      <c r="C388">
        <v>19</v>
      </c>
      <c r="D388">
        <v>2</v>
      </c>
      <c r="E388" s="1">
        <v>449</v>
      </c>
      <c r="F388" s="1">
        <v>0.1</v>
      </c>
      <c r="G388">
        <v>898</v>
      </c>
      <c r="H388" s="22">
        <f>VLOOKUP(A388,[1]Orders!$A$2:$B$1616,2,0)</f>
        <v>42449</v>
      </c>
      <c r="J388" t="s">
        <v>36</v>
      </c>
      <c r="K388" t="s">
        <v>18</v>
      </c>
    </row>
    <row r="389" spans="1:11" x14ac:dyDescent="0.3">
      <c r="A389">
        <v>134</v>
      </c>
      <c r="B389">
        <v>2</v>
      </c>
      <c r="C389">
        <v>2</v>
      </c>
      <c r="D389">
        <v>2</v>
      </c>
      <c r="E389" s="1">
        <v>749.99</v>
      </c>
      <c r="F389" s="1">
        <v>7.0000000000000007E-2</v>
      </c>
      <c r="G389">
        <v>1499.98</v>
      </c>
      <c r="H389" s="22">
        <f>VLOOKUP(A389,[1]Orders!$A$2:$B$1616,2,0)</f>
        <v>42449</v>
      </c>
      <c r="J389" t="s">
        <v>22</v>
      </c>
      <c r="K389" t="s">
        <v>18</v>
      </c>
    </row>
    <row r="390" spans="1:11" x14ac:dyDescent="0.3">
      <c r="A390">
        <v>134</v>
      </c>
      <c r="B390">
        <v>3</v>
      </c>
      <c r="C390">
        <v>18</v>
      </c>
      <c r="D390">
        <v>2</v>
      </c>
      <c r="E390" s="1">
        <v>449</v>
      </c>
      <c r="F390" s="1">
        <v>7.0000000000000007E-2</v>
      </c>
      <c r="G390">
        <v>898</v>
      </c>
      <c r="H390" s="22">
        <f>VLOOKUP(A390,[1]Orders!$A$2:$B$1616,2,0)</f>
        <v>42449</v>
      </c>
      <c r="J390" t="s">
        <v>24</v>
      </c>
      <c r="K390" t="s">
        <v>18</v>
      </c>
    </row>
    <row r="391" spans="1:11" x14ac:dyDescent="0.3">
      <c r="A391">
        <v>135</v>
      </c>
      <c r="B391">
        <v>1</v>
      </c>
      <c r="C391">
        <v>5</v>
      </c>
      <c r="D391">
        <v>2</v>
      </c>
      <c r="E391" s="1">
        <v>1320.99</v>
      </c>
      <c r="F391" s="1">
        <v>0.05</v>
      </c>
      <c r="G391">
        <v>2641.98</v>
      </c>
      <c r="H391" s="22">
        <f>VLOOKUP(A391,[1]Orders!$A$2:$B$1616,2,0)</f>
        <v>42450</v>
      </c>
      <c r="J391" t="s">
        <v>34</v>
      </c>
      <c r="K391" t="s">
        <v>18</v>
      </c>
    </row>
    <row r="392" spans="1:11" x14ac:dyDescent="0.3">
      <c r="A392">
        <v>135</v>
      </c>
      <c r="B392">
        <v>2</v>
      </c>
      <c r="C392">
        <v>18</v>
      </c>
      <c r="D392">
        <v>2</v>
      </c>
      <c r="E392" s="1">
        <v>449</v>
      </c>
      <c r="F392" s="1">
        <v>0.05</v>
      </c>
      <c r="G392">
        <v>898</v>
      </c>
      <c r="H392" s="22">
        <f>VLOOKUP(A392,[1]Orders!$A$2:$B$1616,2,0)</f>
        <v>42450</v>
      </c>
      <c r="J392" t="s">
        <v>24</v>
      </c>
      <c r="K392" t="s">
        <v>18</v>
      </c>
    </row>
    <row r="393" spans="1:11" x14ac:dyDescent="0.3">
      <c r="A393">
        <v>135</v>
      </c>
      <c r="B393">
        <v>3</v>
      </c>
      <c r="C393">
        <v>25</v>
      </c>
      <c r="D393">
        <v>1</v>
      </c>
      <c r="E393" s="1">
        <v>499.99</v>
      </c>
      <c r="F393" s="1">
        <v>0.2</v>
      </c>
      <c r="G393">
        <v>499.99</v>
      </c>
      <c r="H393" s="22">
        <f>VLOOKUP(A393,[1]Orders!$A$2:$B$1616,2,0)</f>
        <v>42450</v>
      </c>
      <c r="J393" t="s">
        <v>35</v>
      </c>
      <c r="K393" t="s">
        <v>18</v>
      </c>
    </row>
    <row r="394" spans="1:11" x14ac:dyDescent="0.3">
      <c r="A394">
        <v>135</v>
      </c>
      <c r="B394">
        <v>4</v>
      </c>
      <c r="C394">
        <v>2</v>
      </c>
      <c r="D394">
        <v>1</v>
      </c>
      <c r="E394" s="1">
        <v>749.99</v>
      </c>
      <c r="F394" s="1">
        <v>0.05</v>
      </c>
      <c r="G394">
        <v>749.99</v>
      </c>
      <c r="H394" s="22">
        <f>VLOOKUP(A394,[1]Orders!$A$2:$B$1616,2,0)</f>
        <v>42450</v>
      </c>
      <c r="J394" t="s">
        <v>22</v>
      </c>
      <c r="K394" t="s">
        <v>18</v>
      </c>
    </row>
    <row r="395" spans="1:11" x14ac:dyDescent="0.3">
      <c r="A395">
        <v>136</v>
      </c>
      <c r="B395">
        <v>1</v>
      </c>
      <c r="C395">
        <v>7</v>
      </c>
      <c r="D395">
        <v>2</v>
      </c>
      <c r="E395" s="1">
        <v>3999.99</v>
      </c>
      <c r="F395" s="1">
        <v>0.2</v>
      </c>
      <c r="G395">
        <v>7999.98</v>
      </c>
      <c r="H395" s="22">
        <f>VLOOKUP(A395,[1]Orders!$A$2:$B$1616,2,0)</f>
        <v>42450</v>
      </c>
      <c r="J395" t="s">
        <v>29</v>
      </c>
      <c r="K395" t="s">
        <v>37</v>
      </c>
    </row>
    <row r="396" spans="1:11" x14ac:dyDescent="0.3">
      <c r="A396">
        <v>136</v>
      </c>
      <c r="B396">
        <v>2</v>
      </c>
      <c r="C396">
        <v>3</v>
      </c>
      <c r="D396">
        <v>2</v>
      </c>
      <c r="E396" s="1">
        <v>999.99</v>
      </c>
      <c r="F396" s="1">
        <v>0.05</v>
      </c>
      <c r="G396">
        <v>1999.98</v>
      </c>
      <c r="H396" s="22">
        <f>VLOOKUP(A396,[1]Orders!$A$2:$B$1616,2,0)</f>
        <v>42450</v>
      </c>
      <c r="J396" t="s">
        <v>20</v>
      </c>
      <c r="K396" t="s">
        <v>37</v>
      </c>
    </row>
    <row r="397" spans="1:11" x14ac:dyDescent="0.3">
      <c r="A397">
        <v>137</v>
      </c>
      <c r="B397">
        <v>1</v>
      </c>
      <c r="C397">
        <v>23</v>
      </c>
      <c r="D397">
        <v>1</v>
      </c>
      <c r="E397" s="1">
        <v>299.99</v>
      </c>
      <c r="F397" s="1">
        <v>7.0000000000000007E-2</v>
      </c>
      <c r="G397">
        <v>299.99</v>
      </c>
      <c r="H397" s="22">
        <f>VLOOKUP(A397,[1]Orders!$A$2:$B$1616,2,0)</f>
        <v>42452</v>
      </c>
      <c r="J397" t="s">
        <v>33</v>
      </c>
      <c r="K397" t="s">
        <v>18</v>
      </c>
    </row>
    <row r="398" spans="1:11" x14ac:dyDescent="0.3">
      <c r="A398">
        <v>137</v>
      </c>
      <c r="B398">
        <v>2</v>
      </c>
      <c r="C398">
        <v>22</v>
      </c>
      <c r="D398">
        <v>1</v>
      </c>
      <c r="E398" s="1">
        <v>269.99</v>
      </c>
      <c r="F398" s="1">
        <v>0.1</v>
      </c>
      <c r="G398">
        <v>269.99</v>
      </c>
      <c r="H398" s="22">
        <f>VLOOKUP(A398,[1]Orders!$A$2:$B$1616,2,0)</f>
        <v>42452</v>
      </c>
      <c r="J398" t="s">
        <v>28</v>
      </c>
      <c r="K398" t="s">
        <v>18</v>
      </c>
    </row>
    <row r="399" spans="1:11" x14ac:dyDescent="0.3">
      <c r="A399">
        <v>138</v>
      </c>
      <c r="B399">
        <v>1</v>
      </c>
      <c r="C399">
        <v>16</v>
      </c>
      <c r="D399">
        <v>2</v>
      </c>
      <c r="E399" s="1">
        <v>599.99</v>
      </c>
      <c r="F399" s="1">
        <v>0.1</v>
      </c>
      <c r="G399">
        <v>1199.98</v>
      </c>
      <c r="H399" s="22">
        <f>VLOOKUP(A399,[1]Orders!$A$2:$B$1616,2,0)</f>
        <v>42452</v>
      </c>
      <c r="J399" t="s">
        <v>14</v>
      </c>
      <c r="K399" t="s">
        <v>18</v>
      </c>
    </row>
    <row r="400" spans="1:11" x14ac:dyDescent="0.3">
      <c r="A400">
        <v>138</v>
      </c>
      <c r="B400">
        <v>2</v>
      </c>
      <c r="C400">
        <v>6</v>
      </c>
      <c r="D400">
        <v>1</v>
      </c>
      <c r="E400" s="1">
        <v>469.99</v>
      </c>
      <c r="F400" s="1">
        <v>0.2</v>
      </c>
      <c r="G400">
        <v>469.99</v>
      </c>
      <c r="H400" s="22">
        <f>VLOOKUP(A400,[1]Orders!$A$2:$B$1616,2,0)</f>
        <v>42452</v>
      </c>
      <c r="J400" t="s">
        <v>32</v>
      </c>
      <c r="K400" t="s">
        <v>18</v>
      </c>
    </row>
    <row r="401" spans="1:11" x14ac:dyDescent="0.3">
      <c r="A401">
        <v>139</v>
      </c>
      <c r="B401">
        <v>1</v>
      </c>
      <c r="C401">
        <v>19</v>
      </c>
      <c r="D401">
        <v>2</v>
      </c>
      <c r="E401" s="1">
        <v>449</v>
      </c>
      <c r="F401" s="1">
        <v>7.0000000000000007E-2</v>
      </c>
      <c r="G401">
        <v>898</v>
      </c>
      <c r="H401" s="22">
        <f>VLOOKUP(A401,[1]Orders!$A$2:$B$1616,2,0)</f>
        <v>42452</v>
      </c>
      <c r="J401" t="s">
        <v>36</v>
      </c>
      <c r="K401" t="s">
        <v>18</v>
      </c>
    </row>
    <row r="402" spans="1:11" x14ac:dyDescent="0.3">
      <c r="A402">
        <v>139</v>
      </c>
      <c r="B402">
        <v>2</v>
      </c>
      <c r="C402">
        <v>3</v>
      </c>
      <c r="D402">
        <v>1</v>
      </c>
      <c r="E402" s="1">
        <v>999.99</v>
      </c>
      <c r="F402" s="1">
        <v>7.0000000000000007E-2</v>
      </c>
      <c r="G402">
        <v>999.99</v>
      </c>
      <c r="H402" s="22">
        <f>VLOOKUP(A402,[1]Orders!$A$2:$B$1616,2,0)</f>
        <v>42452</v>
      </c>
      <c r="J402" t="s">
        <v>20</v>
      </c>
      <c r="K402" t="s">
        <v>18</v>
      </c>
    </row>
    <row r="403" spans="1:11" x14ac:dyDescent="0.3">
      <c r="A403">
        <v>140</v>
      </c>
      <c r="B403">
        <v>1</v>
      </c>
      <c r="C403">
        <v>15</v>
      </c>
      <c r="D403">
        <v>1</v>
      </c>
      <c r="E403" s="1">
        <v>529.99</v>
      </c>
      <c r="F403" s="1">
        <v>0.2</v>
      </c>
      <c r="G403">
        <v>529.99</v>
      </c>
      <c r="H403" s="22">
        <f>VLOOKUP(A403,[1]Orders!$A$2:$B$1616,2,0)</f>
        <v>42452</v>
      </c>
      <c r="J403" t="s">
        <v>27</v>
      </c>
      <c r="K403" t="s">
        <v>18</v>
      </c>
    </row>
    <row r="404" spans="1:11" x14ac:dyDescent="0.3">
      <c r="A404">
        <v>140</v>
      </c>
      <c r="B404">
        <v>2</v>
      </c>
      <c r="C404">
        <v>21</v>
      </c>
      <c r="D404">
        <v>1</v>
      </c>
      <c r="E404" s="1">
        <v>269.99</v>
      </c>
      <c r="F404" s="1">
        <v>0.2</v>
      </c>
      <c r="G404">
        <v>269.99</v>
      </c>
      <c r="H404" s="22">
        <f>VLOOKUP(A404,[1]Orders!$A$2:$B$1616,2,0)</f>
        <v>42452</v>
      </c>
      <c r="J404" t="s">
        <v>31</v>
      </c>
      <c r="K404" t="s">
        <v>18</v>
      </c>
    </row>
    <row r="405" spans="1:11" x14ac:dyDescent="0.3">
      <c r="A405">
        <v>140</v>
      </c>
      <c r="B405">
        <v>3</v>
      </c>
      <c r="C405">
        <v>12</v>
      </c>
      <c r="D405">
        <v>2</v>
      </c>
      <c r="E405" s="1">
        <v>549.99</v>
      </c>
      <c r="F405" s="1">
        <v>0.2</v>
      </c>
      <c r="G405">
        <v>1099.98</v>
      </c>
      <c r="H405" s="22">
        <f>VLOOKUP(A405,[1]Orders!$A$2:$B$1616,2,0)</f>
        <v>42452</v>
      </c>
      <c r="J405" t="s">
        <v>25</v>
      </c>
      <c r="K405" t="s">
        <v>18</v>
      </c>
    </row>
    <row r="406" spans="1:11" x14ac:dyDescent="0.3">
      <c r="A406">
        <v>140</v>
      </c>
      <c r="B406">
        <v>4</v>
      </c>
      <c r="C406">
        <v>3</v>
      </c>
      <c r="D406">
        <v>1</v>
      </c>
      <c r="E406" s="1">
        <v>999.99</v>
      </c>
      <c r="F406" s="1">
        <v>0.05</v>
      </c>
      <c r="G406">
        <v>999.99</v>
      </c>
      <c r="H406" s="22">
        <f>VLOOKUP(A406,[1]Orders!$A$2:$B$1616,2,0)</f>
        <v>42452</v>
      </c>
      <c r="J406" t="s">
        <v>20</v>
      </c>
      <c r="K406" t="s">
        <v>18</v>
      </c>
    </row>
    <row r="407" spans="1:11" x14ac:dyDescent="0.3">
      <c r="A407">
        <v>141</v>
      </c>
      <c r="B407">
        <v>1</v>
      </c>
      <c r="C407">
        <v>18</v>
      </c>
      <c r="D407">
        <v>1</v>
      </c>
      <c r="E407" s="1">
        <v>449</v>
      </c>
      <c r="F407" s="1">
        <v>0.2</v>
      </c>
      <c r="G407">
        <v>449</v>
      </c>
      <c r="H407" s="22">
        <f>VLOOKUP(A407,[1]Orders!$A$2:$B$1616,2,0)</f>
        <v>42454</v>
      </c>
      <c r="J407" t="s">
        <v>24</v>
      </c>
      <c r="K407" t="s">
        <v>18</v>
      </c>
    </row>
    <row r="408" spans="1:11" x14ac:dyDescent="0.3">
      <c r="A408">
        <v>142</v>
      </c>
      <c r="B408">
        <v>1</v>
      </c>
      <c r="C408">
        <v>16</v>
      </c>
      <c r="D408">
        <v>2</v>
      </c>
      <c r="E408" s="1">
        <v>599.99</v>
      </c>
      <c r="F408" s="1">
        <v>0.1</v>
      </c>
      <c r="G408">
        <v>1199.98</v>
      </c>
      <c r="H408" s="22">
        <f>VLOOKUP(A408,[1]Orders!$A$2:$B$1616,2,0)</f>
        <v>42455</v>
      </c>
      <c r="J408" t="s">
        <v>14</v>
      </c>
      <c r="K408" t="s">
        <v>11</v>
      </c>
    </row>
    <row r="409" spans="1:11" x14ac:dyDescent="0.3">
      <c r="A409">
        <v>142</v>
      </c>
      <c r="B409">
        <v>2</v>
      </c>
      <c r="C409">
        <v>11</v>
      </c>
      <c r="D409">
        <v>2</v>
      </c>
      <c r="E409" s="1">
        <v>1680.99</v>
      </c>
      <c r="F409" s="1">
        <v>0.1</v>
      </c>
      <c r="G409">
        <v>3361.98</v>
      </c>
      <c r="H409" s="22">
        <f>VLOOKUP(A409,[1]Orders!$A$2:$B$1616,2,0)</f>
        <v>42455</v>
      </c>
      <c r="J409" t="s">
        <v>30</v>
      </c>
      <c r="K409" t="s">
        <v>11</v>
      </c>
    </row>
    <row r="410" spans="1:11" x14ac:dyDescent="0.3">
      <c r="A410">
        <v>142</v>
      </c>
      <c r="B410">
        <v>3</v>
      </c>
      <c r="C410">
        <v>19</v>
      </c>
      <c r="D410">
        <v>1</v>
      </c>
      <c r="E410" s="1">
        <v>449</v>
      </c>
      <c r="F410" s="1">
        <v>7.0000000000000007E-2</v>
      </c>
      <c r="G410">
        <v>449</v>
      </c>
      <c r="H410" s="22">
        <f>VLOOKUP(A410,[1]Orders!$A$2:$B$1616,2,0)</f>
        <v>42455</v>
      </c>
      <c r="J410" t="s">
        <v>36</v>
      </c>
      <c r="K410" t="s">
        <v>11</v>
      </c>
    </row>
    <row r="411" spans="1:11" x14ac:dyDescent="0.3">
      <c r="A411">
        <v>143</v>
      </c>
      <c r="B411">
        <v>1</v>
      </c>
      <c r="C411">
        <v>6</v>
      </c>
      <c r="D411">
        <v>1</v>
      </c>
      <c r="E411" s="1">
        <v>469.99</v>
      </c>
      <c r="F411" s="1">
        <v>0.2</v>
      </c>
      <c r="G411">
        <v>469.99</v>
      </c>
      <c r="H411" s="22">
        <f>VLOOKUP(A411,[1]Orders!$A$2:$B$1616,2,0)</f>
        <v>42455</v>
      </c>
      <c r="J411" t="s">
        <v>32</v>
      </c>
      <c r="K411" t="s">
        <v>18</v>
      </c>
    </row>
    <row r="412" spans="1:11" x14ac:dyDescent="0.3">
      <c r="A412">
        <v>144</v>
      </c>
      <c r="B412">
        <v>1</v>
      </c>
      <c r="C412">
        <v>8</v>
      </c>
      <c r="D412">
        <v>2</v>
      </c>
      <c r="E412" s="1">
        <v>1799.99</v>
      </c>
      <c r="F412" s="1">
        <v>0.05</v>
      </c>
      <c r="G412">
        <v>3599.98</v>
      </c>
      <c r="H412" s="22">
        <f>VLOOKUP(A412,[1]Orders!$A$2:$B$1616,2,0)</f>
        <v>42455</v>
      </c>
      <c r="J412" t="s">
        <v>12</v>
      </c>
      <c r="K412" t="s">
        <v>18</v>
      </c>
    </row>
    <row r="413" spans="1:11" x14ac:dyDescent="0.3">
      <c r="A413">
        <v>145</v>
      </c>
      <c r="B413">
        <v>1</v>
      </c>
      <c r="C413">
        <v>11</v>
      </c>
      <c r="D413">
        <v>1</v>
      </c>
      <c r="E413" s="1">
        <v>1680.99</v>
      </c>
      <c r="F413" s="1">
        <v>0.2</v>
      </c>
      <c r="G413">
        <v>1680.99</v>
      </c>
      <c r="H413" s="22">
        <f>VLOOKUP(A413,[1]Orders!$A$2:$B$1616,2,0)</f>
        <v>42456</v>
      </c>
      <c r="J413" t="s">
        <v>30</v>
      </c>
      <c r="K413" t="s">
        <v>18</v>
      </c>
    </row>
    <row r="414" spans="1:11" x14ac:dyDescent="0.3">
      <c r="A414">
        <v>145</v>
      </c>
      <c r="B414">
        <v>2</v>
      </c>
      <c r="C414">
        <v>9</v>
      </c>
      <c r="D414">
        <v>2</v>
      </c>
      <c r="E414" s="1">
        <v>2999.99</v>
      </c>
      <c r="F414" s="1">
        <v>0.1</v>
      </c>
      <c r="G414">
        <v>5999.98</v>
      </c>
      <c r="H414" s="22">
        <f>VLOOKUP(A414,[1]Orders!$A$2:$B$1616,2,0)</f>
        <v>42456</v>
      </c>
      <c r="J414" t="s">
        <v>26</v>
      </c>
      <c r="K414" t="s">
        <v>18</v>
      </c>
    </row>
    <row r="415" spans="1:11" x14ac:dyDescent="0.3">
      <c r="A415">
        <v>146</v>
      </c>
      <c r="B415">
        <v>1</v>
      </c>
      <c r="C415">
        <v>3</v>
      </c>
      <c r="D415">
        <v>2</v>
      </c>
      <c r="E415" s="1">
        <v>999.99</v>
      </c>
      <c r="F415" s="1">
        <v>0.2</v>
      </c>
      <c r="G415">
        <v>1999.98</v>
      </c>
      <c r="H415" s="22">
        <f>VLOOKUP(A415,[1]Orders!$A$2:$B$1616,2,0)</f>
        <v>42457</v>
      </c>
      <c r="J415" t="s">
        <v>20</v>
      </c>
      <c r="K415" t="s">
        <v>11</v>
      </c>
    </row>
    <row r="416" spans="1:11" x14ac:dyDescent="0.3">
      <c r="A416">
        <v>146</v>
      </c>
      <c r="B416">
        <v>2</v>
      </c>
      <c r="C416">
        <v>12</v>
      </c>
      <c r="D416">
        <v>1</v>
      </c>
      <c r="E416" s="1">
        <v>549.99</v>
      </c>
      <c r="F416" s="1">
        <v>0.1</v>
      </c>
      <c r="G416">
        <v>549.99</v>
      </c>
      <c r="H416" s="22">
        <f>VLOOKUP(A416,[1]Orders!$A$2:$B$1616,2,0)</f>
        <v>42457</v>
      </c>
      <c r="J416" t="s">
        <v>25</v>
      </c>
      <c r="K416" t="s">
        <v>11</v>
      </c>
    </row>
    <row r="417" spans="1:11" x14ac:dyDescent="0.3">
      <c r="A417">
        <v>146</v>
      </c>
      <c r="B417">
        <v>3</v>
      </c>
      <c r="C417">
        <v>20</v>
      </c>
      <c r="D417">
        <v>2</v>
      </c>
      <c r="E417" s="1">
        <v>599.99</v>
      </c>
      <c r="F417" s="1">
        <v>0.1</v>
      </c>
      <c r="G417">
        <v>1199.98</v>
      </c>
      <c r="H417" s="22">
        <f>VLOOKUP(A417,[1]Orders!$A$2:$B$1616,2,0)</f>
        <v>42457</v>
      </c>
      <c r="J417" t="s">
        <v>10</v>
      </c>
      <c r="K417" t="s">
        <v>11</v>
      </c>
    </row>
    <row r="418" spans="1:11" x14ac:dyDescent="0.3">
      <c r="A418">
        <v>146</v>
      </c>
      <c r="B418">
        <v>4</v>
      </c>
      <c r="C418">
        <v>6</v>
      </c>
      <c r="D418">
        <v>2</v>
      </c>
      <c r="E418" s="1">
        <v>469.99</v>
      </c>
      <c r="F418" s="1">
        <v>0.05</v>
      </c>
      <c r="G418">
        <v>939.98</v>
      </c>
      <c r="H418" s="22">
        <f>VLOOKUP(A418,[1]Orders!$A$2:$B$1616,2,0)</f>
        <v>42457</v>
      </c>
      <c r="J418" t="s">
        <v>32</v>
      </c>
      <c r="K418" t="s">
        <v>11</v>
      </c>
    </row>
    <row r="419" spans="1:11" x14ac:dyDescent="0.3">
      <c r="A419">
        <v>146</v>
      </c>
      <c r="B419">
        <v>5</v>
      </c>
      <c r="C419">
        <v>2</v>
      </c>
      <c r="D419">
        <v>1</v>
      </c>
      <c r="E419" s="1">
        <v>749.99</v>
      </c>
      <c r="F419" s="1">
        <v>7.0000000000000007E-2</v>
      </c>
      <c r="G419">
        <v>749.99</v>
      </c>
      <c r="H419" s="22">
        <f>VLOOKUP(A419,[1]Orders!$A$2:$B$1616,2,0)</f>
        <v>42457</v>
      </c>
      <c r="J419" t="s">
        <v>22</v>
      </c>
      <c r="K419" t="s">
        <v>11</v>
      </c>
    </row>
    <row r="420" spans="1:11" x14ac:dyDescent="0.3">
      <c r="A420">
        <v>147</v>
      </c>
      <c r="B420">
        <v>1</v>
      </c>
      <c r="C420">
        <v>26</v>
      </c>
      <c r="D420">
        <v>2</v>
      </c>
      <c r="E420" s="1">
        <v>599.99</v>
      </c>
      <c r="F420" s="1">
        <v>0.2</v>
      </c>
      <c r="G420">
        <v>1199.98</v>
      </c>
      <c r="H420" s="22">
        <f>VLOOKUP(A420,[1]Orders!$A$2:$B$1616,2,0)</f>
        <v>42457</v>
      </c>
      <c r="J420" t="s">
        <v>14</v>
      </c>
      <c r="K420" t="s">
        <v>18</v>
      </c>
    </row>
    <row r="421" spans="1:11" x14ac:dyDescent="0.3">
      <c r="A421">
        <v>148</v>
      </c>
      <c r="B421">
        <v>1</v>
      </c>
      <c r="C421">
        <v>14</v>
      </c>
      <c r="D421">
        <v>1</v>
      </c>
      <c r="E421" s="1">
        <v>269.99</v>
      </c>
      <c r="F421" s="1">
        <v>0.05</v>
      </c>
      <c r="G421">
        <v>269.99</v>
      </c>
      <c r="H421" s="22">
        <f>VLOOKUP(A421,[1]Orders!$A$2:$B$1616,2,0)</f>
        <v>42457</v>
      </c>
      <c r="J421" t="s">
        <v>28</v>
      </c>
      <c r="K421" t="s">
        <v>18</v>
      </c>
    </row>
    <row r="422" spans="1:11" x14ac:dyDescent="0.3">
      <c r="A422">
        <v>149</v>
      </c>
      <c r="B422">
        <v>1</v>
      </c>
      <c r="C422">
        <v>12</v>
      </c>
      <c r="D422">
        <v>2</v>
      </c>
      <c r="E422" s="1">
        <v>549.99</v>
      </c>
      <c r="F422" s="1">
        <v>7.0000000000000007E-2</v>
      </c>
      <c r="G422">
        <v>1099.98</v>
      </c>
      <c r="H422" s="22">
        <f>VLOOKUP(A422,[1]Orders!$A$2:$B$1616,2,0)</f>
        <v>42457</v>
      </c>
      <c r="J422" t="s">
        <v>25</v>
      </c>
      <c r="K422" t="s">
        <v>18</v>
      </c>
    </row>
    <row r="423" spans="1:11" x14ac:dyDescent="0.3">
      <c r="A423">
        <v>149</v>
      </c>
      <c r="B423">
        <v>2</v>
      </c>
      <c r="C423">
        <v>21</v>
      </c>
      <c r="D423">
        <v>2</v>
      </c>
      <c r="E423" s="1">
        <v>269.99</v>
      </c>
      <c r="F423" s="1">
        <v>7.0000000000000007E-2</v>
      </c>
      <c r="G423">
        <v>539.98</v>
      </c>
      <c r="H423" s="22">
        <f>VLOOKUP(A423,[1]Orders!$A$2:$B$1616,2,0)</f>
        <v>42457</v>
      </c>
      <c r="J423" t="s">
        <v>31</v>
      </c>
      <c r="K423" t="s">
        <v>18</v>
      </c>
    </row>
    <row r="424" spans="1:11" x14ac:dyDescent="0.3">
      <c r="A424">
        <v>150</v>
      </c>
      <c r="B424">
        <v>1</v>
      </c>
      <c r="C424">
        <v>7</v>
      </c>
      <c r="D424">
        <v>1</v>
      </c>
      <c r="E424" s="1">
        <v>3999.99</v>
      </c>
      <c r="F424" s="1">
        <v>0.1</v>
      </c>
      <c r="G424">
        <v>3999.99</v>
      </c>
      <c r="H424" s="22">
        <f>VLOOKUP(A424,[1]Orders!$A$2:$B$1616,2,0)</f>
        <v>42458</v>
      </c>
      <c r="J424" t="s">
        <v>29</v>
      </c>
      <c r="K424" t="s">
        <v>11</v>
      </c>
    </row>
    <row r="425" spans="1:11" x14ac:dyDescent="0.3">
      <c r="A425">
        <v>150</v>
      </c>
      <c r="B425">
        <v>2</v>
      </c>
      <c r="C425">
        <v>3</v>
      </c>
      <c r="D425">
        <v>1</v>
      </c>
      <c r="E425" s="1">
        <v>999.99</v>
      </c>
      <c r="F425" s="1">
        <v>0.2</v>
      </c>
      <c r="G425">
        <v>999.99</v>
      </c>
      <c r="H425" s="22">
        <f>VLOOKUP(A425,[1]Orders!$A$2:$B$1616,2,0)</f>
        <v>42458</v>
      </c>
      <c r="J425" t="s">
        <v>20</v>
      </c>
      <c r="K425" t="s">
        <v>11</v>
      </c>
    </row>
    <row r="426" spans="1:11" x14ac:dyDescent="0.3">
      <c r="A426">
        <v>150</v>
      </c>
      <c r="B426">
        <v>3</v>
      </c>
      <c r="C426">
        <v>17</v>
      </c>
      <c r="D426">
        <v>1</v>
      </c>
      <c r="E426" s="1">
        <v>429</v>
      </c>
      <c r="F426" s="1">
        <v>7.0000000000000007E-2</v>
      </c>
      <c r="G426">
        <v>429</v>
      </c>
      <c r="H426" s="22">
        <f>VLOOKUP(A426,[1]Orders!$A$2:$B$1616,2,0)</f>
        <v>42458</v>
      </c>
      <c r="J426" t="s">
        <v>23</v>
      </c>
      <c r="K426" t="s">
        <v>11</v>
      </c>
    </row>
    <row r="427" spans="1:11" x14ac:dyDescent="0.3">
      <c r="A427">
        <v>150</v>
      </c>
      <c r="B427">
        <v>4</v>
      </c>
      <c r="C427">
        <v>25</v>
      </c>
      <c r="D427">
        <v>2</v>
      </c>
      <c r="E427" s="1">
        <v>499.99</v>
      </c>
      <c r="F427" s="1">
        <v>7.0000000000000007E-2</v>
      </c>
      <c r="G427">
        <v>999.98</v>
      </c>
      <c r="H427" s="22">
        <f>VLOOKUP(A427,[1]Orders!$A$2:$B$1616,2,0)</f>
        <v>42458</v>
      </c>
      <c r="J427" t="s">
        <v>35</v>
      </c>
      <c r="K427" t="s">
        <v>11</v>
      </c>
    </row>
    <row r="428" spans="1:11" x14ac:dyDescent="0.3">
      <c r="A428">
        <v>151</v>
      </c>
      <c r="B428">
        <v>1</v>
      </c>
      <c r="C428">
        <v>17</v>
      </c>
      <c r="D428">
        <v>1</v>
      </c>
      <c r="E428" s="1">
        <v>429</v>
      </c>
      <c r="F428" s="1">
        <v>0.1</v>
      </c>
      <c r="G428">
        <v>429</v>
      </c>
      <c r="H428" s="22">
        <f>VLOOKUP(A428,[1]Orders!$A$2:$B$1616,2,0)</f>
        <v>42458</v>
      </c>
      <c r="J428" t="s">
        <v>23</v>
      </c>
      <c r="K428" t="s">
        <v>11</v>
      </c>
    </row>
    <row r="429" spans="1:11" x14ac:dyDescent="0.3">
      <c r="A429">
        <v>151</v>
      </c>
      <c r="B429">
        <v>2</v>
      </c>
      <c r="C429">
        <v>26</v>
      </c>
      <c r="D429">
        <v>1</v>
      </c>
      <c r="E429" s="1">
        <v>599.99</v>
      </c>
      <c r="F429" s="1">
        <v>0.1</v>
      </c>
      <c r="G429">
        <v>599.99</v>
      </c>
      <c r="H429" s="22">
        <f>VLOOKUP(A429,[1]Orders!$A$2:$B$1616,2,0)</f>
        <v>42458</v>
      </c>
      <c r="J429" t="s">
        <v>14</v>
      </c>
      <c r="K429" t="s">
        <v>11</v>
      </c>
    </row>
    <row r="430" spans="1:11" x14ac:dyDescent="0.3">
      <c r="A430">
        <v>152</v>
      </c>
      <c r="B430">
        <v>1</v>
      </c>
      <c r="C430">
        <v>6</v>
      </c>
      <c r="D430">
        <v>2</v>
      </c>
      <c r="E430" s="1">
        <v>469.99</v>
      </c>
      <c r="F430" s="1">
        <v>0.2</v>
      </c>
      <c r="G430">
        <v>939.98</v>
      </c>
      <c r="H430" s="22">
        <f>VLOOKUP(A430,[1]Orders!$A$2:$B$1616,2,0)</f>
        <v>42458</v>
      </c>
      <c r="J430" t="s">
        <v>32</v>
      </c>
      <c r="K430" t="s">
        <v>18</v>
      </c>
    </row>
    <row r="431" spans="1:11" x14ac:dyDescent="0.3">
      <c r="A431">
        <v>152</v>
      </c>
      <c r="B431">
        <v>2</v>
      </c>
      <c r="C431">
        <v>22</v>
      </c>
      <c r="D431">
        <v>2</v>
      </c>
      <c r="E431" s="1">
        <v>269.99</v>
      </c>
      <c r="F431" s="1">
        <v>0.2</v>
      </c>
      <c r="G431">
        <v>539.98</v>
      </c>
      <c r="H431" s="22">
        <f>VLOOKUP(A431,[1]Orders!$A$2:$B$1616,2,0)</f>
        <v>42458</v>
      </c>
      <c r="J431" t="s">
        <v>28</v>
      </c>
      <c r="K431" t="s">
        <v>18</v>
      </c>
    </row>
    <row r="432" spans="1:11" x14ac:dyDescent="0.3">
      <c r="A432">
        <v>152</v>
      </c>
      <c r="B432">
        <v>3</v>
      </c>
      <c r="C432">
        <v>16</v>
      </c>
      <c r="D432">
        <v>2</v>
      </c>
      <c r="E432" s="1">
        <v>599.99</v>
      </c>
      <c r="F432" s="1">
        <v>7.0000000000000007E-2</v>
      </c>
      <c r="G432">
        <v>1199.98</v>
      </c>
      <c r="H432" s="22">
        <f>VLOOKUP(A432,[1]Orders!$A$2:$B$1616,2,0)</f>
        <v>42458</v>
      </c>
      <c r="J432" t="s">
        <v>14</v>
      </c>
      <c r="K432" t="s">
        <v>18</v>
      </c>
    </row>
    <row r="433" spans="1:11" x14ac:dyDescent="0.3">
      <c r="A433">
        <v>153</v>
      </c>
      <c r="B433">
        <v>1</v>
      </c>
      <c r="C433">
        <v>16</v>
      </c>
      <c r="D433">
        <v>1</v>
      </c>
      <c r="E433" s="1">
        <v>599.99</v>
      </c>
      <c r="F433" s="1">
        <v>7.0000000000000007E-2</v>
      </c>
      <c r="G433">
        <v>599.99</v>
      </c>
      <c r="H433" s="22">
        <f>VLOOKUP(A433,[1]Orders!$A$2:$B$1616,2,0)</f>
        <v>42459</v>
      </c>
      <c r="J433" t="s">
        <v>14</v>
      </c>
      <c r="K433" t="s">
        <v>18</v>
      </c>
    </row>
    <row r="434" spans="1:11" x14ac:dyDescent="0.3">
      <c r="A434">
        <v>153</v>
      </c>
      <c r="B434">
        <v>2</v>
      </c>
      <c r="C434">
        <v>8</v>
      </c>
      <c r="D434">
        <v>1</v>
      </c>
      <c r="E434" s="1">
        <v>1799.99</v>
      </c>
      <c r="F434" s="1">
        <v>7.0000000000000007E-2</v>
      </c>
      <c r="G434">
        <v>1799.99</v>
      </c>
      <c r="H434" s="22">
        <f>VLOOKUP(A434,[1]Orders!$A$2:$B$1616,2,0)</f>
        <v>42459</v>
      </c>
      <c r="J434" t="s">
        <v>12</v>
      </c>
      <c r="K434" t="s">
        <v>18</v>
      </c>
    </row>
    <row r="435" spans="1:11" x14ac:dyDescent="0.3">
      <c r="A435">
        <v>153</v>
      </c>
      <c r="B435">
        <v>3</v>
      </c>
      <c r="C435">
        <v>15</v>
      </c>
      <c r="D435">
        <v>2</v>
      </c>
      <c r="E435" s="1">
        <v>529.99</v>
      </c>
      <c r="F435" s="1">
        <v>0.05</v>
      </c>
      <c r="G435">
        <v>1059.98</v>
      </c>
      <c r="H435" s="22">
        <f>VLOOKUP(A435,[1]Orders!$A$2:$B$1616,2,0)</f>
        <v>42459</v>
      </c>
      <c r="J435" t="s">
        <v>27</v>
      </c>
      <c r="K435" t="s">
        <v>18</v>
      </c>
    </row>
    <row r="436" spans="1:11" x14ac:dyDescent="0.3">
      <c r="A436">
        <v>154</v>
      </c>
      <c r="B436">
        <v>1</v>
      </c>
      <c r="C436">
        <v>12</v>
      </c>
      <c r="D436">
        <v>1</v>
      </c>
      <c r="E436" s="1">
        <v>549.99</v>
      </c>
      <c r="F436" s="1">
        <v>0.1</v>
      </c>
      <c r="G436">
        <v>549.99</v>
      </c>
      <c r="H436" s="22">
        <f>VLOOKUP(A436,[1]Orders!$A$2:$B$1616,2,0)</f>
        <v>42460</v>
      </c>
      <c r="J436" t="s">
        <v>25</v>
      </c>
      <c r="K436" t="s">
        <v>11</v>
      </c>
    </row>
    <row r="437" spans="1:11" x14ac:dyDescent="0.3">
      <c r="A437">
        <v>155</v>
      </c>
      <c r="B437">
        <v>1</v>
      </c>
      <c r="C437">
        <v>8</v>
      </c>
      <c r="D437">
        <v>1</v>
      </c>
      <c r="E437" s="1">
        <v>1799.99</v>
      </c>
      <c r="F437" s="1">
        <v>0.1</v>
      </c>
      <c r="G437">
        <v>1799.99</v>
      </c>
      <c r="H437" s="22">
        <f>VLOOKUP(A437,[1]Orders!$A$2:$B$1616,2,0)</f>
        <v>42462</v>
      </c>
      <c r="J437" t="s">
        <v>12</v>
      </c>
      <c r="K437" t="s">
        <v>18</v>
      </c>
    </row>
    <row r="438" spans="1:11" x14ac:dyDescent="0.3">
      <c r="A438">
        <v>156</v>
      </c>
      <c r="B438">
        <v>1</v>
      </c>
      <c r="C438">
        <v>18</v>
      </c>
      <c r="D438">
        <v>2</v>
      </c>
      <c r="E438" s="1">
        <v>449</v>
      </c>
      <c r="F438" s="1">
        <v>0.2</v>
      </c>
      <c r="G438">
        <v>898</v>
      </c>
      <c r="H438" s="22">
        <f>VLOOKUP(A438,[1]Orders!$A$2:$B$1616,2,0)</f>
        <v>42463</v>
      </c>
      <c r="J438" t="s">
        <v>24</v>
      </c>
      <c r="K438" t="s">
        <v>11</v>
      </c>
    </row>
    <row r="439" spans="1:11" x14ac:dyDescent="0.3">
      <c r="A439">
        <v>156</v>
      </c>
      <c r="B439">
        <v>2</v>
      </c>
      <c r="C439">
        <v>17</v>
      </c>
      <c r="D439">
        <v>2</v>
      </c>
      <c r="E439" s="1">
        <v>429</v>
      </c>
      <c r="F439" s="1">
        <v>0.05</v>
      </c>
      <c r="G439">
        <v>858</v>
      </c>
      <c r="H439" s="22">
        <f>VLOOKUP(A439,[1]Orders!$A$2:$B$1616,2,0)</f>
        <v>42463</v>
      </c>
      <c r="J439" t="s">
        <v>23</v>
      </c>
      <c r="K439" t="s">
        <v>11</v>
      </c>
    </row>
    <row r="440" spans="1:11" x14ac:dyDescent="0.3">
      <c r="A440">
        <v>156</v>
      </c>
      <c r="B440">
        <v>3</v>
      </c>
      <c r="C440">
        <v>6</v>
      </c>
      <c r="D440">
        <v>1</v>
      </c>
      <c r="E440" s="1">
        <v>469.99</v>
      </c>
      <c r="F440" s="1">
        <v>7.0000000000000007E-2</v>
      </c>
      <c r="G440">
        <v>469.99</v>
      </c>
      <c r="H440" s="22">
        <f>VLOOKUP(A440,[1]Orders!$A$2:$B$1616,2,0)</f>
        <v>42463</v>
      </c>
      <c r="J440" t="s">
        <v>32</v>
      </c>
      <c r="K440" t="s">
        <v>11</v>
      </c>
    </row>
    <row r="441" spans="1:11" x14ac:dyDescent="0.3">
      <c r="A441">
        <v>157</v>
      </c>
      <c r="B441">
        <v>1</v>
      </c>
      <c r="C441">
        <v>4</v>
      </c>
      <c r="D441">
        <v>1</v>
      </c>
      <c r="E441" s="1">
        <v>2899.99</v>
      </c>
      <c r="F441" s="1">
        <v>0.1</v>
      </c>
      <c r="G441">
        <v>2899.99</v>
      </c>
      <c r="H441" s="22">
        <f>VLOOKUP(A441,[1]Orders!$A$2:$B$1616,2,0)</f>
        <v>42463</v>
      </c>
      <c r="J441" t="s">
        <v>16</v>
      </c>
      <c r="K441" t="s">
        <v>37</v>
      </c>
    </row>
    <row r="442" spans="1:11" x14ac:dyDescent="0.3">
      <c r="A442">
        <v>157</v>
      </c>
      <c r="B442">
        <v>2</v>
      </c>
      <c r="C442">
        <v>7</v>
      </c>
      <c r="D442">
        <v>2</v>
      </c>
      <c r="E442" s="1">
        <v>3999.99</v>
      </c>
      <c r="F442" s="1">
        <v>7.0000000000000007E-2</v>
      </c>
      <c r="G442">
        <v>7999.98</v>
      </c>
      <c r="H442" s="22">
        <f>VLOOKUP(A442,[1]Orders!$A$2:$B$1616,2,0)</f>
        <v>42463</v>
      </c>
      <c r="J442" t="s">
        <v>29</v>
      </c>
      <c r="K442" t="s">
        <v>37</v>
      </c>
    </row>
    <row r="443" spans="1:11" x14ac:dyDescent="0.3">
      <c r="A443">
        <v>158</v>
      </c>
      <c r="B443">
        <v>1</v>
      </c>
      <c r="C443">
        <v>24</v>
      </c>
      <c r="D443">
        <v>1</v>
      </c>
      <c r="E443" s="1">
        <v>549.99</v>
      </c>
      <c r="F443" s="1">
        <v>0.1</v>
      </c>
      <c r="G443">
        <v>549.99</v>
      </c>
      <c r="H443" s="22">
        <f>VLOOKUP(A443,[1]Orders!$A$2:$B$1616,2,0)</f>
        <v>42464</v>
      </c>
      <c r="J443" t="s">
        <v>25</v>
      </c>
      <c r="K443" t="s">
        <v>37</v>
      </c>
    </row>
    <row r="444" spans="1:11" x14ac:dyDescent="0.3">
      <c r="A444">
        <v>159</v>
      </c>
      <c r="B444">
        <v>1</v>
      </c>
      <c r="C444">
        <v>13</v>
      </c>
      <c r="D444">
        <v>1</v>
      </c>
      <c r="E444" s="1">
        <v>269.99</v>
      </c>
      <c r="F444" s="1">
        <v>0.2</v>
      </c>
      <c r="G444">
        <v>269.99</v>
      </c>
      <c r="H444" s="22">
        <f>VLOOKUP(A444,[1]Orders!$A$2:$B$1616,2,0)</f>
        <v>42464</v>
      </c>
      <c r="J444" t="s">
        <v>31</v>
      </c>
      <c r="K444" t="s">
        <v>11</v>
      </c>
    </row>
    <row r="445" spans="1:11" x14ac:dyDescent="0.3">
      <c r="A445">
        <v>160</v>
      </c>
      <c r="B445">
        <v>1</v>
      </c>
      <c r="C445">
        <v>21</v>
      </c>
      <c r="D445">
        <v>1</v>
      </c>
      <c r="E445" s="1">
        <v>269.99</v>
      </c>
      <c r="F445" s="1">
        <v>7.0000000000000007E-2</v>
      </c>
      <c r="G445">
        <v>269.99</v>
      </c>
      <c r="H445" s="22">
        <f>VLOOKUP(A445,[1]Orders!$A$2:$B$1616,2,0)</f>
        <v>42464</v>
      </c>
      <c r="J445" t="s">
        <v>31</v>
      </c>
      <c r="K445" t="s">
        <v>18</v>
      </c>
    </row>
    <row r="446" spans="1:11" x14ac:dyDescent="0.3">
      <c r="A446">
        <v>160</v>
      </c>
      <c r="B446">
        <v>2</v>
      </c>
      <c r="C446">
        <v>15</v>
      </c>
      <c r="D446">
        <v>2</v>
      </c>
      <c r="E446" s="1">
        <v>529.99</v>
      </c>
      <c r="F446" s="1">
        <v>7.0000000000000007E-2</v>
      </c>
      <c r="G446">
        <v>1059.98</v>
      </c>
      <c r="H446" s="22">
        <f>VLOOKUP(A446,[1]Orders!$A$2:$B$1616,2,0)</f>
        <v>42464</v>
      </c>
      <c r="J446" t="s">
        <v>27</v>
      </c>
      <c r="K446" t="s">
        <v>18</v>
      </c>
    </row>
    <row r="447" spans="1:11" x14ac:dyDescent="0.3">
      <c r="A447">
        <v>160</v>
      </c>
      <c r="B447">
        <v>3</v>
      </c>
      <c r="C447">
        <v>18</v>
      </c>
      <c r="D447">
        <v>2</v>
      </c>
      <c r="E447" s="1">
        <v>449</v>
      </c>
      <c r="F447" s="1">
        <v>0.1</v>
      </c>
      <c r="G447">
        <v>898</v>
      </c>
      <c r="H447" s="22">
        <f>VLOOKUP(A447,[1]Orders!$A$2:$B$1616,2,0)</f>
        <v>42464</v>
      </c>
      <c r="J447" t="s">
        <v>24</v>
      </c>
      <c r="K447" t="s">
        <v>18</v>
      </c>
    </row>
    <row r="448" spans="1:11" x14ac:dyDescent="0.3">
      <c r="A448">
        <v>160</v>
      </c>
      <c r="B448">
        <v>4</v>
      </c>
      <c r="C448">
        <v>11</v>
      </c>
      <c r="D448">
        <v>1</v>
      </c>
      <c r="E448" s="1">
        <v>1680.99</v>
      </c>
      <c r="F448" s="1">
        <v>0.05</v>
      </c>
      <c r="G448">
        <v>1680.99</v>
      </c>
      <c r="H448" s="22">
        <f>VLOOKUP(A448,[1]Orders!$A$2:$B$1616,2,0)</f>
        <v>42464</v>
      </c>
      <c r="J448" t="s">
        <v>30</v>
      </c>
      <c r="K448" t="s">
        <v>18</v>
      </c>
    </row>
    <row r="449" spans="1:11" x14ac:dyDescent="0.3">
      <c r="A449">
        <v>161</v>
      </c>
      <c r="B449">
        <v>1</v>
      </c>
      <c r="C449">
        <v>24</v>
      </c>
      <c r="D449">
        <v>2</v>
      </c>
      <c r="E449" s="1">
        <v>549.99</v>
      </c>
      <c r="F449" s="1">
        <v>7.0000000000000007E-2</v>
      </c>
      <c r="G449">
        <v>1099.98</v>
      </c>
      <c r="H449" s="22">
        <f>VLOOKUP(A449,[1]Orders!$A$2:$B$1616,2,0)</f>
        <v>42464</v>
      </c>
      <c r="J449" t="s">
        <v>25</v>
      </c>
      <c r="K449" t="s">
        <v>18</v>
      </c>
    </row>
    <row r="450" spans="1:11" x14ac:dyDescent="0.3">
      <c r="A450">
        <v>161</v>
      </c>
      <c r="B450">
        <v>2</v>
      </c>
      <c r="C450">
        <v>22</v>
      </c>
      <c r="D450">
        <v>1</v>
      </c>
      <c r="E450" s="1">
        <v>269.99</v>
      </c>
      <c r="F450" s="1">
        <v>0.05</v>
      </c>
      <c r="G450">
        <v>269.99</v>
      </c>
      <c r="H450" s="22">
        <f>VLOOKUP(A450,[1]Orders!$A$2:$B$1616,2,0)</f>
        <v>42464</v>
      </c>
      <c r="J450" t="s">
        <v>28</v>
      </c>
      <c r="K450" t="s">
        <v>18</v>
      </c>
    </row>
    <row r="451" spans="1:11" x14ac:dyDescent="0.3">
      <c r="A451">
        <v>161</v>
      </c>
      <c r="B451">
        <v>3</v>
      </c>
      <c r="C451">
        <v>7</v>
      </c>
      <c r="D451">
        <v>2</v>
      </c>
      <c r="E451" s="1">
        <v>3999.99</v>
      </c>
      <c r="F451" s="1">
        <v>0.05</v>
      </c>
      <c r="G451">
        <v>7999.98</v>
      </c>
      <c r="H451" s="22">
        <f>VLOOKUP(A451,[1]Orders!$A$2:$B$1616,2,0)</f>
        <v>42464</v>
      </c>
      <c r="J451" t="s">
        <v>29</v>
      </c>
      <c r="K451" t="s">
        <v>18</v>
      </c>
    </row>
    <row r="452" spans="1:11" x14ac:dyDescent="0.3">
      <c r="A452">
        <v>162</v>
      </c>
      <c r="B452">
        <v>1</v>
      </c>
      <c r="C452">
        <v>18</v>
      </c>
      <c r="D452">
        <v>1</v>
      </c>
      <c r="E452" s="1">
        <v>449</v>
      </c>
      <c r="F452" s="1">
        <v>7.0000000000000007E-2</v>
      </c>
      <c r="G452">
        <v>449</v>
      </c>
      <c r="H452" s="22">
        <f>VLOOKUP(A452,[1]Orders!$A$2:$B$1616,2,0)</f>
        <v>42466</v>
      </c>
      <c r="J452" t="s">
        <v>24</v>
      </c>
      <c r="K452" t="s">
        <v>11</v>
      </c>
    </row>
    <row r="453" spans="1:11" x14ac:dyDescent="0.3">
      <c r="A453">
        <v>162</v>
      </c>
      <c r="B453">
        <v>2</v>
      </c>
      <c r="C453">
        <v>21</v>
      </c>
      <c r="D453">
        <v>2</v>
      </c>
      <c r="E453" s="1">
        <v>269.99</v>
      </c>
      <c r="F453" s="1">
        <v>7.0000000000000007E-2</v>
      </c>
      <c r="G453">
        <v>539.98</v>
      </c>
      <c r="H453" s="22">
        <f>VLOOKUP(A453,[1]Orders!$A$2:$B$1616,2,0)</f>
        <v>42466</v>
      </c>
      <c r="J453" t="s">
        <v>31</v>
      </c>
      <c r="K453" t="s">
        <v>11</v>
      </c>
    </row>
    <row r="454" spans="1:11" x14ac:dyDescent="0.3">
      <c r="A454">
        <v>162</v>
      </c>
      <c r="B454">
        <v>3</v>
      </c>
      <c r="C454">
        <v>3</v>
      </c>
      <c r="D454">
        <v>2</v>
      </c>
      <c r="E454" s="1">
        <v>999.99</v>
      </c>
      <c r="F454" s="1">
        <v>0.1</v>
      </c>
      <c r="G454">
        <v>1999.98</v>
      </c>
      <c r="H454" s="22">
        <f>VLOOKUP(A454,[1]Orders!$A$2:$B$1616,2,0)</f>
        <v>42466</v>
      </c>
      <c r="J454" t="s">
        <v>20</v>
      </c>
      <c r="K454" t="s">
        <v>11</v>
      </c>
    </row>
    <row r="455" spans="1:11" x14ac:dyDescent="0.3">
      <c r="A455">
        <v>163</v>
      </c>
      <c r="B455">
        <v>1</v>
      </c>
      <c r="C455">
        <v>12</v>
      </c>
      <c r="D455">
        <v>1</v>
      </c>
      <c r="E455" s="1">
        <v>549.99</v>
      </c>
      <c r="F455" s="1">
        <v>0.1</v>
      </c>
      <c r="G455">
        <v>549.99</v>
      </c>
      <c r="H455" s="22">
        <f>VLOOKUP(A455,[1]Orders!$A$2:$B$1616,2,0)</f>
        <v>42466</v>
      </c>
      <c r="J455" t="s">
        <v>25</v>
      </c>
      <c r="K455" t="s">
        <v>18</v>
      </c>
    </row>
    <row r="456" spans="1:11" x14ac:dyDescent="0.3">
      <c r="A456">
        <v>163</v>
      </c>
      <c r="B456">
        <v>2</v>
      </c>
      <c r="C456">
        <v>18</v>
      </c>
      <c r="D456">
        <v>1</v>
      </c>
      <c r="E456" s="1">
        <v>449</v>
      </c>
      <c r="F456" s="1">
        <v>0.2</v>
      </c>
      <c r="G456">
        <v>449</v>
      </c>
      <c r="H456" s="22">
        <f>VLOOKUP(A456,[1]Orders!$A$2:$B$1616,2,0)</f>
        <v>42466</v>
      </c>
      <c r="J456" t="s">
        <v>24</v>
      </c>
      <c r="K456" t="s">
        <v>18</v>
      </c>
    </row>
    <row r="457" spans="1:11" x14ac:dyDescent="0.3">
      <c r="A457">
        <v>164</v>
      </c>
      <c r="B457">
        <v>1</v>
      </c>
      <c r="C457">
        <v>4</v>
      </c>
      <c r="D457">
        <v>2</v>
      </c>
      <c r="E457" s="1">
        <v>2899.99</v>
      </c>
      <c r="F457" s="1">
        <v>0.05</v>
      </c>
      <c r="G457">
        <v>5799.98</v>
      </c>
      <c r="H457" s="22">
        <f>VLOOKUP(A457,[1]Orders!$A$2:$B$1616,2,0)</f>
        <v>42467</v>
      </c>
      <c r="J457" t="s">
        <v>16</v>
      </c>
      <c r="K457" t="s">
        <v>18</v>
      </c>
    </row>
    <row r="458" spans="1:11" x14ac:dyDescent="0.3">
      <c r="A458">
        <v>164</v>
      </c>
      <c r="B458">
        <v>2</v>
      </c>
      <c r="C458">
        <v>10</v>
      </c>
      <c r="D458">
        <v>2</v>
      </c>
      <c r="E458" s="1">
        <v>1549</v>
      </c>
      <c r="F458" s="1">
        <v>0.05</v>
      </c>
      <c r="G458">
        <v>3098</v>
      </c>
      <c r="H458" s="22">
        <f>VLOOKUP(A458,[1]Orders!$A$2:$B$1616,2,0)</f>
        <v>42467</v>
      </c>
      <c r="J458" t="s">
        <v>13</v>
      </c>
      <c r="K458" t="s">
        <v>18</v>
      </c>
    </row>
    <row r="459" spans="1:11" x14ac:dyDescent="0.3">
      <c r="A459">
        <v>164</v>
      </c>
      <c r="B459">
        <v>3</v>
      </c>
      <c r="C459">
        <v>14</v>
      </c>
      <c r="D459">
        <v>1</v>
      </c>
      <c r="E459" s="1">
        <v>269.99</v>
      </c>
      <c r="F459" s="1">
        <v>0.1</v>
      </c>
      <c r="G459">
        <v>269.99</v>
      </c>
      <c r="H459" s="22">
        <f>VLOOKUP(A459,[1]Orders!$A$2:$B$1616,2,0)</f>
        <v>42467</v>
      </c>
      <c r="J459" t="s">
        <v>28</v>
      </c>
      <c r="K459" t="s">
        <v>18</v>
      </c>
    </row>
    <row r="460" spans="1:11" x14ac:dyDescent="0.3">
      <c r="A460">
        <v>165</v>
      </c>
      <c r="B460">
        <v>1</v>
      </c>
      <c r="C460">
        <v>4</v>
      </c>
      <c r="D460">
        <v>2</v>
      </c>
      <c r="E460" s="1">
        <v>2899.99</v>
      </c>
      <c r="F460" s="1">
        <v>0.05</v>
      </c>
      <c r="G460">
        <v>5799.98</v>
      </c>
      <c r="H460" s="22">
        <f>VLOOKUP(A460,[1]Orders!$A$2:$B$1616,2,0)</f>
        <v>42468</v>
      </c>
      <c r="J460" t="s">
        <v>16</v>
      </c>
      <c r="K460" t="s">
        <v>11</v>
      </c>
    </row>
    <row r="461" spans="1:11" x14ac:dyDescent="0.3">
      <c r="A461">
        <v>165</v>
      </c>
      <c r="B461">
        <v>2</v>
      </c>
      <c r="C461">
        <v>23</v>
      </c>
      <c r="D461">
        <v>1</v>
      </c>
      <c r="E461" s="1">
        <v>299.99</v>
      </c>
      <c r="F461" s="1">
        <v>0.2</v>
      </c>
      <c r="G461">
        <v>299.99</v>
      </c>
      <c r="H461" s="22">
        <f>VLOOKUP(A461,[1]Orders!$A$2:$B$1616,2,0)</f>
        <v>42468</v>
      </c>
      <c r="J461" t="s">
        <v>33</v>
      </c>
      <c r="K461" t="s">
        <v>11</v>
      </c>
    </row>
    <row r="462" spans="1:11" x14ac:dyDescent="0.3">
      <c r="A462">
        <v>165</v>
      </c>
      <c r="B462">
        <v>3</v>
      </c>
      <c r="C462">
        <v>2</v>
      </c>
      <c r="D462">
        <v>1</v>
      </c>
      <c r="E462" s="1">
        <v>749.99</v>
      </c>
      <c r="F462" s="1">
        <v>0.05</v>
      </c>
      <c r="G462">
        <v>749.99</v>
      </c>
      <c r="H462" s="22">
        <f>VLOOKUP(A462,[1]Orders!$A$2:$B$1616,2,0)</f>
        <v>42468</v>
      </c>
      <c r="J462" t="s">
        <v>22</v>
      </c>
      <c r="K462" t="s">
        <v>11</v>
      </c>
    </row>
    <row r="463" spans="1:11" x14ac:dyDescent="0.3">
      <c r="A463">
        <v>166</v>
      </c>
      <c r="B463">
        <v>1</v>
      </c>
      <c r="C463">
        <v>10</v>
      </c>
      <c r="D463">
        <v>2</v>
      </c>
      <c r="E463" s="1">
        <v>1549</v>
      </c>
      <c r="F463" s="1">
        <v>0.1</v>
      </c>
      <c r="G463">
        <v>3098</v>
      </c>
      <c r="H463" s="22">
        <f>VLOOKUP(A463,[1]Orders!$A$2:$B$1616,2,0)</f>
        <v>42468</v>
      </c>
      <c r="J463" t="s">
        <v>13</v>
      </c>
      <c r="K463" t="s">
        <v>18</v>
      </c>
    </row>
    <row r="464" spans="1:11" x14ac:dyDescent="0.3">
      <c r="A464">
        <v>166</v>
      </c>
      <c r="B464">
        <v>2</v>
      </c>
      <c r="C464">
        <v>11</v>
      </c>
      <c r="D464">
        <v>1</v>
      </c>
      <c r="E464" s="1">
        <v>1680.99</v>
      </c>
      <c r="F464" s="1">
        <v>0.2</v>
      </c>
      <c r="G464">
        <v>1680.99</v>
      </c>
      <c r="H464" s="22">
        <f>VLOOKUP(A464,[1]Orders!$A$2:$B$1616,2,0)</f>
        <v>42468</v>
      </c>
      <c r="J464" t="s">
        <v>30</v>
      </c>
      <c r="K464" t="s">
        <v>18</v>
      </c>
    </row>
    <row r="465" spans="1:11" x14ac:dyDescent="0.3">
      <c r="A465">
        <v>167</v>
      </c>
      <c r="B465">
        <v>1</v>
      </c>
      <c r="C465">
        <v>12</v>
      </c>
      <c r="D465">
        <v>1</v>
      </c>
      <c r="E465" s="1">
        <v>549.99</v>
      </c>
      <c r="F465" s="1">
        <v>0.05</v>
      </c>
      <c r="G465">
        <v>549.99</v>
      </c>
      <c r="H465" s="22">
        <f>VLOOKUP(A465,[1]Orders!$A$2:$B$1616,2,0)</f>
        <v>42468</v>
      </c>
      <c r="J465" t="s">
        <v>25</v>
      </c>
      <c r="K465" t="s">
        <v>18</v>
      </c>
    </row>
    <row r="466" spans="1:11" x14ac:dyDescent="0.3">
      <c r="A466">
        <v>167</v>
      </c>
      <c r="B466">
        <v>2</v>
      </c>
      <c r="C466">
        <v>10</v>
      </c>
      <c r="D466">
        <v>1</v>
      </c>
      <c r="E466" s="1">
        <v>1549</v>
      </c>
      <c r="F466" s="1">
        <v>0.2</v>
      </c>
      <c r="G466">
        <v>1549</v>
      </c>
      <c r="H466" s="22">
        <f>VLOOKUP(A466,[1]Orders!$A$2:$B$1616,2,0)</f>
        <v>42468</v>
      </c>
      <c r="J466" t="s">
        <v>13</v>
      </c>
      <c r="K466" t="s">
        <v>18</v>
      </c>
    </row>
    <row r="467" spans="1:11" x14ac:dyDescent="0.3">
      <c r="A467">
        <v>167</v>
      </c>
      <c r="B467">
        <v>3</v>
      </c>
      <c r="C467">
        <v>13</v>
      </c>
      <c r="D467">
        <v>2</v>
      </c>
      <c r="E467" s="1">
        <v>269.99</v>
      </c>
      <c r="F467" s="1">
        <v>0.05</v>
      </c>
      <c r="G467">
        <v>539.98</v>
      </c>
      <c r="H467" s="22">
        <f>VLOOKUP(A467,[1]Orders!$A$2:$B$1616,2,0)</f>
        <v>42468</v>
      </c>
      <c r="J467" t="s">
        <v>31</v>
      </c>
      <c r="K467" t="s">
        <v>18</v>
      </c>
    </row>
    <row r="468" spans="1:11" x14ac:dyDescent="0.3">
      <c r="A468">
        <v>167</v>
      </c>
      <c r="B468">
        <v>4</v>
      </c>
      <c r="C468">
        <v>7</v>
      </c>
      <c r="D468">
        <v>2</v>
      </c>
      <c r="E468" s="1">
        <v>3999.99</v>
      </c>
      <c r="F468" s="1">
        <v>0.05</v>
      </c>
      <c r="G468">
        <v>7999.98</v>
      </c>
      <c r="H468" s="22">
        <f>VLOOKUP(A468,[1]Orders!$A$2:$B$1616,2,0)</f>
        <v>42468</v>
      </c>
      <c r="J468" t="s">
        <v>29</v>
      </c>
      <c r="K468" t="s">
        <v>18</v>
      </c>
    </row>
    <row r="469" spans="1:11" x14ac:dyDescent="0.3">
      <c r="A469">
        <v>168</v>
      </c>
      <c r="B469">
        <v>1</v>
      </c>
      <c r="C469">
        <v>6</v>
      </c>
      <c r="D469">
        <v>1</v>
      </c>
      <c r="E469" s="1">
        <v>469.99</v>
      </c>
      <c r="F469" s="1">
        <v>0.1</v>
      </c>
      <c r="G469">
        <v>469.99</v>
      </c>
      <c r="H469" s="22">
        <f>VLOOKUP(A469,[1]Orders!$A$2:$B$1616,2,0)</f>
        <v>42469</v>
      </c>
      <c r="J469" t="s">
        <v>32</v>
      </c>
      <c r="K469" t="s">
        <v>11</v>
      </c>
    </row>
    <row r="470" spans="1:11" x14ac:dyDescent="0.3">
      <c r="A470">
        <v>168</v>
      </c>
      <c r="B470">
        <v>2</v>
      </c>
      <c r="C470">
        <v>11</v>
      </c>
      <c r="D470">
        <v>2</v>
      </c>
      <c r="E470" s="1">
        <v>1680.99</v>
      </c>
      <c r="F470" s="1">
        <v>7.0000000000000007E-2</v>
      </c>
      <c r="G470">
        <v>3361.98</v>
      </c>
      <c r="H470" s="22">
        <f>VLOOKUP(A470,[1]Orders!$A$2:$B$1616,2,0)</f>
        <v>42469</v>
      </c>
      <c r="J470" t="s">
        <v>30</v>
      </c>
      <c r="K470" t="s">
        <v>11</v>
      </c>
    </row>
    <row r="471" spans="1:11" x14ac:dyDescent="0.3">
      <c r="A471">
        <v>168</v>
      </c>
      <c r="B471">
        <v>3</v>
      </c>
      <c r="C471">
        <v>12</v>
      </c>
      <c r="D471">
        <v>2</v>
      </c>
      <c r="E471" s="1">
        <v>549.99</v>
      </c>
      <c r="F471" s="1">
        <v>7.0000000000000007E-2</v>
      </c>
      <c r="G471">
        <v>1099.98</v>
      </c>
      <c r="H471" s="22">
        <f>VLOOKUP(A471,[1]Orders!$A$2:$B$1616,2,0)</f>
        <v>42469</v>
      </c>
      <c r="J471" t="s">
        <v>25</v>
      </c>
      <c r="K471" t="s">
        <v>11</v>
      </c>
    </row>
    <row r="472" spans="1:11" x14ac:dyDescent="0.3">
      <c r="A472">
        <v>168</v>
      </c>
      <c r="B472">
        <v>4</v>
      </c>
      <c r="C472">
        <v>22</v>
      </c>
      <c r="D472">
        <v>2</v>
      </c>
      <c r="E472" s="1">
        <v>269.99</v>
      </c>
      <c r="F472" s="1">
        <v>0.2</v>
      </c>
      <c r="G472">
        <v>539.98</v>
      </c>
      <c r="H472" s="22">
        <f>VLOOKUP(A472,[1]Orders!$A$2:$B$1616,2,0)</f>
        <v>42469</v>
      </c>
      <c r="J472" t="s">
        <v>28</v>
      </c>
      <c r="K472" t="s">
        <v>11</v>
      </c>
    </row>
    <row r="473" spans="1:11" x14ac:dyDescent="0.3">
      <c r="A473">
        <v>169</v>
      </c>
      <c r="B473">
        <v>1</v>
      </c>
      <c r="C473">
        <v>20</v>
      </c>
      <c r="D473">
        <v>2</v>
      </c>
      <c r="E473" s="1">
        <v>599.99</v>
      </c>
      <c r="F473" s="1">
        <v>0.1</v>
      </c>
      <c r="G473">
        <v>1199.98</v>
      </c>
      <c r="H473" s="22">
        <f>VLOOKUP(A473,[1]Orders!$A$2:$B$1616,2,0)</f>
        <v>42470</v>
      </c>
      <c r="J473" t="s">
        <v>10</v>
      </c>
      <c r="K473" t="s">
        <v>18</v>
      </c>
    </row>
    <row r="474" spans="1:11" x14ac:dyDescent="0.3">
      <c r="A474">
        <v>169</v>
      </c>
      <c r="B474">
        <v>2</v>
      </c>
      <c r="C474">
        <v>5</v>
      </c>
      <c r="D474">
        <v>1</v>
      </c>
      <c r="E474" s="1">
        <v>1320.99</v>
      </c>
      <c r="F474" s="1">
        <v>0.05</v>
      </c>
      <c r="G474">
        <v>1320.99</v>
      </c>
      <c r="H474" s="22">
        <f>VLOOKUP(A474,[1]Orders!$A$2:$B$1616,2,0)</f>
        <v>42470</v>
      </c>
      <c r="J474" t="s">
        <v>34</v>
      </c>
      <c r="K474" t="s">
        <v>18</v>
      </c>
    </row>
    <row r="475" spans="1:11" x14ac:dyDescent="0.3">
      <c r="A475">
        <v>169</v>
      </c>
      <c r="B475">
        <v>3</v>
      </c>
      <c r="C475">
        <v>10</v>
      </c>
      <c r="D475">
        <v>1</v>
      </c>
      <c r="E475" s="1">
        <v>1549</v>
      </c>
      <c r="F475" s="1">
        <v>0.2</v>
      </c>
      <c r="G475">
        <v>1549</v>
      </c>
      <c r="H475" s="22">
        <f>VLOOKUP(A475,[1]Orders!$A$2:$B$1616,2,0)</f>
        <v>42470</v>
      </c>
      <c r="J475" t="s">
        <v>13</v>
      </c>
      <c r="K475" t="s">
        <v>18</v>
      </c>
    </row>
    <row r="476" spans="1:11" x14ac:dyDescent="0.3">
      <c r="A476">
        <v>169</v>
      </c>
      <c r="B476">
        <v>4</v>
      </c>
      <c r="C476">
        <v>11</v>
      </c>
      <c r="D476">
        <v>1</v>
      </c>
      <c r="E476" s="1">
        <v>1680.99</v>
      </c>
      <c r="F476" s="1">
        <v>0.2</v>
      </c>
      <c r="G476">
        <v>1680.99</v>
      </c>
      <c r="H476" s="22">
        <f>VLOOKUP(A476,[1]Orders!$A$2:$B$1616,2,0)</f>
        <v>42470</v>
      </c>
      <c r="J476" t="s">
        <v>30</v>
      </c>
      <c r="K476" t="s">
        <v>18</v>
      </c>
    </row>
    <row r="477" spans="1:11" x14ac:dyDescent="0.3">
      <c r="A477">
        <v>169</v>
      </c>
      <c r="B477">
        <v>5</v>
      </c>
      <c r="C477">
        <v>14</v>
      </c>
      <c r="D477">
        <v>2</v>
      </c>
      <c r="E477" s="1">
        <v>269.99</v>
      </c>
      <c r="F477" s="1">
        <v>0.05</v>
      </c>
      <c r="G477">
        <v>539.98</v>
      </c>
      <c r="H477" s="22">
        <f>VLOOKUP(A477,[1]Orders!$A$2:$B$1616,2,0)</f>
        <v>42470</v>
      </c>
      <c r="J477" t="s">
        <v>28</v>
      </c>
      <c r="K477" t="s">
        <v>18</v>
      </c>
    </row>
    <row r="478" spans="1:11" x14ac:dyDescent="0.3">
      <c r="A478">
        <v>170</v>
      </c>
      <c r="B478">
        <v>1</v>
      </c>
      <c r="C478">
        <v>12</v>
      </c>
      <c r="D478">
        <v>2</v>
      </c>
      <c r="E478" s="1">
        <v>549.99</v>
      </c>
      <c r="F478" s="1">
        <v>0.1</v>
      </c>
      <c r="G478">
        <v>1099.98</v>
      </c>
      <c r="H478" s="22">
        <f>VLOOKUP(A478,[1]Orders!$A$2:$B$1616,2,0)</f>
        <v>42470</v>
      </c>
      <c r="J478" t="s">
        <v>25</v>
      </c>
      <c r="K478" t="s">
        <v>18</v>
      </c>
    </row>
    <row r="479" spans="1:11" x14ac:dyDescent="0.3">
      <c r="A479">
        <v>170</v>
      </c>
      <c r="B479">
        <v>2</v>
      </c>
      <c r="C479">
        <v>24</v>
      </c>
      <c r="D479">
        <v>1</v>
      </c>
      <c r="E479" s="1">
        <v>549.99</v>
      </c>
      <c r="F479" s="1">
        <v>0.05</v>
      </c>
      <c r="G479">
        <v>549.99</v>
      </c>
      <c r="H479" s="22">
        <f>VLOOKUP(A479,[1]Orders!$A$2:$B$1616,2,0)</f>
        <v>42470</v>
      </c>
      <c r="J479" t="s">
        <v>25</v>
      </c>
      <c r="K479" t="s">
        <v>18</v>
      </c>
    </row>
    <row r="480" spans="1:11" x14ac:dyDescent="0.3">
      <c r="A480">
        <v>170</v>
      </c>
      <c r="B480">
        <v>3</v>
      </c>
      <c r="C480">
        <v>7</v>
      </c>
      <c r="D480">
        <v>1</v>
      </c>
      <c r="E480" s="1">
        <v>3999.99</v>
      </c>
      <c r="F480" s="1">
        <v>0.2</v>
      </c>
      <c r="G480">
        <v>3999.99</v>
      </c>
      <c r="H480" s="22">
        <f>VLOOKUP(A480,[1]Orders!$A$2:$B$1616,2,0)</f>
        <v>42470</v>
      </c>
      <c r="J480" t="s">
        <v>29</v>
      </c>
      <c r="K480" t="s">
        <v>18</v>
      </c>
    </row>
    <row r="481" spans="1:11" x14ac:dyDescent="0.3">
      <c r="A481">
        <v>170</v>
      </c>
      <c r="B481">
        <v>4</v>
      </c>
      <c r="C481">
        <v>18</v>
      </c>
      <c r="D481">
        <v>2</v>
      </c>
      <c r="E481" s="1">
        <v>449</v>
      </c>
      <c r="F481" s="1">
        <v>0.05</v>
      </c>
      <c r="G481">
        <v>898</v>
      </c>
      <c r="H481" s="22">
        <f>VLOOKUP(A481,[1]Orders!$A$2:$B$1616,2,0)</f>
        <v>42470</v>
      </c>
      <c r="J481" t="s">
        <v>24</v>
      </c>
      <c r="K481" t="s">
        <v>18</v>
      </c>
    </row>
    <row r="482" spans="1:11" x14ac:dyDescent="0.3">
      <c r="A482">
        <v>171</v>
      </c>
      <c r="B482">
        <v>1</v>
      </c>
      <c r="C482">
        <v>8</v>
      </c>
      <c r="D482">
        <v>1</v>
      </c>
      <c r="E482" s="1">
        <v>1799.99</v>
      </c>
      <c r="F482" s="1">
        <v>0.05</v>
      </c>
      <c r="G482">
        <v>1799.99</v>
      </c>
      <c r="H482" s="22">
        <f>VLOOKUP(A482,[1]Orders!$A$2:$B$1616,2,0)</f>
        <v>42471</v>
      </c>
      <c r="J482" t="s">
        <v>12</v>
      </c>
      <c r="K482" t="s">
        <v>11</v>
      </c>
    </row>
    <row r="483" spans="1:11" x14ac:dyDescent="0.3">
      <c r="A483">
        <v>172</v>
      </c>
      <c r="B483">
        <v>1</v>
      </c>
      <c r="C483">
        <v>23</v>
      </c>
      <c r="D483">
        <v>1</v>
      </c>
      <c r="E483" s="1">
        <v>299.99</v>
      </c>
      <c r="F483" s="1">
        <v>7.0000000000000007E-2</v>
      </c>
      <c r="G483">
        <v>299.99</v>
      </c>
      <c r="H483" s="22">
        <f>VLOOKUP(A483,[1]Orders!$A$2:$B$1616,2,0)</f>
        <v>42471</v>
      </c>
      <c r="J483" t="s">
        <v>33</v>
      </c>
      <c r="K483" t="s">
        <v>18</v>
      </c>
    </row>
    <row r="484" spans="1:11" x14ac:dyDescent="0.3">
      <c r="A484">
        <v>172</v>
      </c>
      <c r="B484">
        <v>2</v>
      </c>
      <c r="C484">
        <v>16</v>
      </c>
      <c r="D484">
        <v>1</v>
      </c>
      <c r="E484" s="1">
        <v>599.99</v>
      </c>
      <c r="F484" s="1">
        <v>0.2</v>
      </c>
      <c r="G484">
        <v>599.99</v>
      </c>
      <c r="H484" s="22">
        <f>VLOOKUP(A484,[1]Orders!$A$2:$B$1616,2,0)</f>
        <v>42471</v>
      </c>
      <c r="J484" t="s">
        <v>14</v>
      </c>
      <c r="K484" t="s">
        <v>18</v>
      </c>
    </row>
    <row r="485" spans="1:11" x14ac:dyDescent="0.3">
      <c r="A485">
        <v>173</v>
      </c>
      <c r="B485">
        <v>1</v>
      </c>
      <c r="C485">
        <v>14</v>
      </c>
      <c r="D485">
        <v>1</v>
      </c>
      <c r="E485" s="1">
        <v>269.99</v>
      </c>
      <c r="F485" s="1">
        <v>0.05</v>
      </c>
      <c r="G485">
        <v>269.99</v>
      </c>
      <c r="H485" s="22">
        <f>VLOOKUP(A485,[1]Orders!$A$2:$B$1616,2,0)</f>
        <v>42471</v>
      </c>
      <c r="J485" t="s">
        <v>28</v>
      </c>
      <c r="K485" t="s">
        <v>37</v>
      </c>
    </row>
    <row r="486" spans="1:11" x14ac:dyDescent="0.3">
      <c r="A486">
        <v>173</v>
      </c>
      <c r="B486">
        <v>2</v>
      </c>
      <c r="C486">
        <v>16</v>
      </c>
      <c r="D486">
        <v>1</v>
      </c>
      <c r="E486" s="1">
        <v>599.99</v>
      </c>
      <c r="F486" s="1">
        <v>0.2</v>
      </c>
      <c r="G486">
        <v>599.99</v>
      </c>
      <c r="H486" s="22">
        <f>VLOOKUP(A486,[1]Orders!$A$2:$B$1616,2,0)</f>
        <v>42471</v>
      </c>
      <c r="J486" t="s">
        <v>14</v>
      </c>
      <c r="K486" t="s">
        <v>37</v>
      </c>
    </row>
    <row r="487" spans="1:11" x14ac:dyDescent="0.3">
      <c r="A487">
        <v>173</v>
      </c>
      <c r="B487">
        <v>3</v>
      </c>
      <c r="C487">
        <v>20</v>
      </c>
      <c r="D487">
        <v>2</v>
      </c>
      <c r="E487" s="1">
        <v>599.99</v>
      </c>
      <c r="F487" s="1">
        <v>0.05</v>
      </c>
      <c r="G487">
        <v>1199.98</v>
      </c>
      <c r="H487" s="22">
        <f>VLOOKUP(A487,[1]Orders!$A$2:$B$1616,2,0)</f>
        <v>42471</v>
      </c>
      <c r="J487" t="s">
        <v>10</v>
      </c>
      <c r="K487" t="s">
        <v>37</v>
      </c>
    </row>
    <row r="488" spans="1:11" x14ac:dyDescent="0.3">
      <c r="A488">
        <v>174</v>
      </c>
      <c r="B488">
        <v>1</v>
      </c>
      <c r="C488">
        <v>22</v>
      </c>
      <c r="D488">
        <v>2</v>
      </c>
      <c r="E488" s="1">
        <v>269.99</v>
      </c>
      <c r="F488" s="1">
        <v>0.2</v>
      </c>
      <c r="G488">
        <v>539.98</v>
      </c>
      <c r="H488" s="22">
        <f>VLOOKUP(A488,[1]Orders!$A$2:$B$1616,2,0)</f>
        <v>42472</v>
      </c>
      <c r="J488" t="s">
        <v>28</v>
      </c>
      <c r="K488" t="s">
        <v>18</v>
      </c>
    </row>
    <row r="489" spans="1:11" x14ac:dyDescent="0.3">
      <c r="A489">
        <v>174</v>
      </c>
      <c r="B489">
        <v>2</v>
      </c>
      <c r="C489">
        <v>19</v>
      </c>
      <c r="D489">
        <v>2</v>
      </c>
      <c r="E489" s="1">
        <v>449</v>
      </c>
      <c r="F489" s="1">
        <v>0.1</v>
      </c>
      <c r="G489">
        <v>898</v>
      </c>
      <c r="H489" s="22">
        <f>VLOOKUP(A489,[1]Orders!$A$2:$B$1616,2,0)</f>
        <v>42472</v>
      </c>
      <c r="J489" t="s">
        <v>36</v>
      </c>
      <c r="K489" t="s">
        <v>18</v>
      </c>
    </row>
    <row r="490" spans="1:11" x14ac:dyDescent="0.3">
      <c r="A490">
        <v>175</v>
      </c>
      <c r="B490">
        <v>1</v>
      </c>
      <c r="C490">
        <v>5</v>
      </c>
      <c r="D490">
        <v>1</v>
      </c>
      <c r="E490" s="1">
        <v>1320.99</v>
      </c>
      <c r="F490" s="1">
        <v>0.1</v>
      </c>
      <c r="G490">
        <v>1320.99</v>
      </c>
      <c r="H490" s="22">
        <f>VLOOKUP(A490,[1]Orders!$A$2:$B$1616,2,0)</f>
        <v>42473</v>
      </c>
      <c r="J490" t="s">
        <v>34</v>
      </c>
      <c r="K490" t="s">
        <v>18</v>
      </c>
    </row>
    <row r="491" spans="1:11" x14ac:dyDescent="0.3">
      <c r="A491">
        <v>175</v>
      </c>
      <c r="B491">
        <v>2</v>
      </c>
      <c r="C491">
        <v>2</v>
      </c>
      <c r="D491">
        <v>2</v>
      </c>
      <c r="E491" s="1">
        <v>749.99</v>
      </c>
      <c r="F491" s="1">
        <v>0.2</v>
      </c>
      <c r="G491">
        <v>1499.98</v>
      </c>
      <c r="H491" s="22">
        <f>VLOOKUP(A491,[1]Orders!$A$2:$B$1616,2,0)</f>
        <v>42473</v>
      </c>
      <c r="J491" t="s">
        <v>22</v>
      </c>
      <c r="K491" t="s">
        <v>18</v>
      </c>
    </row>
    <row r="492" spans="1:11" x14ac:dyDescent="0.3">
      <c r="A492">
        <v>175</v>
      </c>
      <c r="B492">
        <v>3</v>
      </c>
      <c r="C492">
        <v>21</v>
      </c>
      <c r="D492">
        <v>2</v>
      </c>
      <c r="E492" s="1">
        <v>269.99</v>
      </c>
      <c r="F492" s="1">
        <v>0.1</v>
      </c>
      <c r="G492">
        <v>539.98</v>
      </c>
      <c r="H492" s="22">
        <f>VLOOKUP(A492,[1]Orders!$A$2:$B$1616,2,0)</f>
        <v>42473</v>
      </c>
      <c r="J492" t="s">
        <v>31</v>
      </c>
      <c r="K492" t="s">
        <v>18</v>
      </c>
    </row>
    <row r="493" spans="1:11" x14ac:dyDescent="0.3">
      <c r="A493">
        <v>175</v>
      </c>
      <c r="B493">
        <v>4</v>
      </c>
      <c r="C493">
        <v>19</v>
      </c>
      <c r="D493">
        <v>1</v>
      </c>
      <c r="E493" s="1">
        <v>449</v>
      </c>
      <c r="F493" s="1">
        <v>7.0000000000000007E-2</v>
      </c>
      <c r="G493">
        <v>449</v>
      </c>
      <c r="H493" s="22">
        <f>VLOOKUP(A493,[1]Orders!$A$2:$B$1616,2,0)</f>
        <v>42473</v>
      </c>
      <c r="J493" t="s">
        <v>36</v>
      </c>
      <c r="K493" t="s">
        <v>18</v>
      </c>
    </row>
    <row r="494" spans="1:11" x14ac:dyDescent="0.3">
      <c r="A494">
        <v>176</v>
      </c>
      <c r="B494">
        <v>1</v>
      </c>
      <c r="C494">
        <v>2</v>
      </c>
      <c r="D494">
        <v>2</v>
      </c>
      <c r="E494" s="1">
        <v>749.99</v>
      </c>
      <c r="F494" s="1">
        <v>7.0000000000000007E-2</v>
      </c>
      <c r="G494">
        <v>1499.98</v>
      </c>
      <c r="H494" s="22">
        <f>VLOOKUP(A494,[1]Orders!$A$2:$B$1616,2,0)</f>
        <v>42475</v>
      </c>
      <c r="J494" t="s">
        <v>22</v>
      </c>
      <c r="K494" t="s">
        <v>18</v>
      </c>
    </row>
    <row r="495" spans="1:11" x14ac:dyDescent="0.3">
      <c r="A495">
        <v>176</v>
      </c>
      <c r="B495">
        <v>2</v>
      </c>
      <c r="C495">
        <v>11</v>
      </c>
      <c r="D495">
        <v>2</v>
      </c>
      <c r="E495" s="1">
        <v>1680.99</v>
      </c>
      <c r="F495" s="1">
        <v>0.2</v>
      </c>
      <c r="G495">
        <v>3361.98</v>
      </c>
      <c r="H495" s="22">
        <f>VLOOKUP(A495,[1]Orders!$A$2:$B$1616,2,0)</f>
        <v>42475</v>
      </c>
      <c r="J495" t="s">
        <v>30</v>
      </c>
      <c r="K495" t="s">
        <v>18</v>
      </c>
    </row>
    <row r="496" spans="1:11" x14ac:dyDescent="0.3">
      <c r="A496">
        <v>176</v>
      </c>
      <c r="B496">
        <v>3</v>
      </c>
      <c r="C496">
        <v>16</v>
      </c>
      <c r="D496">
        <v>2</v>
      </c>
      <c r="E496" s="1">
        <v>599.99</v>
      </c>
      <c r="F496" s="1">
        <v>0.05</v>
      </c>
      <c r="G496">
        <v>1199.98</v>
      </c>
      <c r="H496" s="22">
        <f>VLOOKUP(A496,[1]Orders!$A$2:$B$1616,2,0)</f>
        <v>42475</v>
      </c>
      <c r="J496" t="s">
        <v>14</v>
      </c>
      <c r="K496" t="s">
        <v>18</v>
      </c>
    </row>
    <row r="497" spans="1:11" x14ac:dyDescent="0.3">
      <c r="A497">
        <v>177</v>
      </c>
      <c r="B497">
        <v>1</v>
      </c>
      <c r="C497">
        <v>20</v>
      </c>
      <c r="D497">
        <v>2</v>
      </c>
      <c r="E497" s="1">
        <v>599.99</v>
      </c>
      <c r="F497" s="1">
        <v>0.1</v>
      </c>
      <c r="G497">
        <v>1199.98</v>
      </c>
      <c r="H497" s="22">
        <f>VLOOKUP(A497,[1]Orders!$A$2:$B$1616,2,0)</f>
        <v>42476</v>
      </c>
      <c r="J497" t="s">
        <v>10</v>
      </c>
      <c r="K497" t="s">
        <v>11</v>
      </c>
    </row>
    <row r="498" spans="1:11" x14ac:dyDescent="0.3">
      <c r="A498">
        <v>178</v>
      </c>
      <c r="B498">
        <v>1</v>
      </c>
      <c r="C498">
        <v>10</v>
      </c>
      <c r="D498">
        <v>2</v>
      </c>
      <c r="E498" s="1">
        <v>1549</v>
      </c>
      <c r="F498" s="1">
        <v>0.2</v>
      </c>
      <c r="G498">
        <v>3098</v>
      </c>
      <c r="H498" s="22">
        <f>VLOOKUP(A498,[1]Orders!$A$2:$B$1616,2,0)</f>
        <v>42476</v>
      </c>
      <c r="J498" t="s">
        <v>13</v>
      </c>
      <c r="K498" t="s">
        <v>18</v>
      </c>
    </row>
    <row r="499" spans="1:11" x14ac:dyDescent="0.3">
      <c r="A499">
        <v>178</v>
      </c>
      <c r="B499">
        <v>2</v>
      </c>
      <c r="C499">
        <v>12</v>
      </c>
      <c r="D499">
        <v>1</v>
      </c>
      <c r="E499" s="1">
        <v>549.99</v>
      </c>
      <c r="F499" s="1">
        <v>0.05</v>
      </c>
      <c r="G499">
        <v>549.99</v>
      </c>
      <c r="H499" s="22">
        <f>VLOOKUP(A499,[1]Orders!$A$2:$B$1616,2,0)</f>
        <v>42476</v>
      </c>
      <c r="J499" t="s">
        <v>25</v>
      </c>
      <c r="K499" t="s">
        <v>18</v>
      </c>
    </row>
    <row r="500" spans="1:11" x14ac:dyDescent="0.3">
      <c r="A500">
        <v>178</v>
      </c>
      <c r="B500">
        <v>3</v>
      </c>
      <c r="C500">
        <v>3</v>
      </c>
      <c r="D500">
        <v>1</v>
      </c>
      <c r="E500" s="1">
        <v>999.99</v>
      </c>
      <c r="F500" s="1">
        <v>0.1</v>
      </c>
      <c r="G500">
        <v>999.99</v>
      </c>
      <c r="H500" s="22">
        <f>VLOOKUP(A500,[1]Orders!$A$2:$B$1616,2,0)</f>
        <v>42476</v>
      </c>
      <c r="J500" t="s">
        <v>20</v>
      </c>
      <c r="K500" t="s">
        <v>18</v>
      </c>
    </row>
    <row r="501" spans="1:11" x14ac:dyDescent="0.3">
      <c r="A501">
        <v>178</v>
      </c>
      <c r="B501">
        <v>4</v>
      </c>
      <c r="C501">
        <v>18</v>
      </c>
      <c r="D501">
        <v>1</v>
      </c>
      <c r="E501" s="1">
        <v>449</v>
      </c>
      <c r="F501" s="1">
        <v>7.0000000000000007E-2</v>
      </c>
      <c r="G501">
        <v>449</v>
      </c>
      <c r="H501" s="22">
        <f>VLOOKUP(A501,[1]Orders!$A$2:$B$1616,2,0)</f>
        <v>42476</v>
      </c>
      <c r="J501" t="s">
        <v>24</v>
      </c>
      <c r="K501" t="s">
        <v>18</v>
      </c>
    </row>
    <row r="502" spans="1:11" x14ac:dyDescent="0.3">
      <c r="A502">
        <v>179</v>
      </c>
      <c r="B502">
        <v>1</v>
      </c>
      <c r="C502">
        <v>13</v>
      </c>
      <c r="D502">
        <v>2</v>
      </c>
      <c r="E502" s="1">
        <v>269.99</v>
      </c>
      <c r="F502" s="1">
        <v>0.05</v>
      </c>
      <c r="G502">
        <v>539.98</v>
      </c>
      <c r="H502" s="22">
        <f>VLOOKUP(A502,[1]Orders!$A$2:$B$1616,2,0)</f>
        <v>42477</v>
      </c>
      <c r="J502" t="s">
        <v>31</v>
      </c>
      <c r="K502" t="s">
        <v>18</v>
      </c>
    </row>
    <row r="503" spans="1:11" x14ac:dyDescent="0.3">
      <c r="A503">
        <v>179</v>
      </c>
      <c r="B503">
        <v>2</v>
      </c>
      <c r="C503">
        <v>26</v>
      </c>
      <c r="D503">
        <v>1</v>
      </c>
      <c r="E503" s="1">
        <v>599.99</v>
      </c>
      <c r="F503" s="1">
        <v>0.1</v>
      </c>
      <c r="G503">
        <v>599.99</v>
      </c>
      <c r="H503" s="22">
        <f>VLOOKUP(A503,[1]Orders!$A$2:$B$1616,2,0)</f>
        <v>42477</v>
      </c>
      <c r="J503" t="s">
        <v>14</v>
      </c>
      <c r="K503" t="s">
        <v>18</v>
      </c>
    </row>
    <row r="504" spans="1:11" x14ac:dyDescent="0.3">
      <c r="A504">
        <v>179</v>
      </c>
      <c r="B504">
        <v>3</v>
      </c>
      <c r="C504">
        <v>18</v>
      </c>
      <c r="D504">
        <v>1</v>
      </c>
      <c r="E504" s="1">
        <v>449</v>
      </c>
      <c r="F504" s="1">
        <v>0.2</v>
      </c>
      <c r="G504">
        <v>449</v>
      </c>
      <c r="H504" s="22">
        <f>VLOOKUP(A504,[1]Orders!$A$2:$B$1616,2,0)</f>
        <v>42477</v>
      </c>
      <c r="J504" t="s">
        <v>24</v>
      </c>
      <c r="K504" t="s">
        <v>18</v>
      </c>
    </row>
    <row r="505" spans="1:11" x14ac:dyDescent="0.3">
      <c r="A505">
        <v>179</v>
      </c>
      <c r="B505">
        <v>4</v>
      </c>
      <c r="C505">
        <v>12</v>
      </c>
      <c r="D505">
        <v>2</v>
      </c>
      <c r="E505" s="1">
        <v>549.99</v>
      </c>
      <c r="F505" s="1">
        <v>0.2</v>
      </c>
      <c r="G505">
        <v>1099.98</v>
      </c>
      <c r="H505" s="22">
        <f>VLOOKUP(A505,[1]Orders!$A$2:$B$1616,2,0)</f>
        <v>42477</v>
      </c>
      <c r="J505" t="s">
        <v>25</v>
      </c>
      <c r="K505" t="s">
        <v>18</v>
      </c>
    </row>
    <row r="506" spans="1:11" x14ac:dyDescent="0.3">
      <c r="A506">
        <v>179</v>
      </c>
      <c r="B506">
        <v>5</v>
      </c>
      <c r="C506">
        <v>20</v>
      </c>
      <c r="D506">
        <v>2</v>
      </c>
      <c r="E506" s="1">
        <v>599.99</v>
      </c>
      <c r="F506" s="1">
        <v>0.1</v>
      </c>
      <c r="G506">
        <v>1199.98</v>
      </c>
      <c r="H506" s="22">
        <f>VLOOKUP(A506,[1]Orders!$A$2:$B$1616,2,0)</f>
        <v>42477</v>
      </c>
      <c r="J506" t="s">
        <v>10</v>
      </c>
      <c r="K506" t="s">
        <v>18</v>
      </c>
    </row>
    <row r="507" spans="1:11" x14ac:dyDescent="0.3">
      <c r="A507">
        <v>180</v>
      </c>
      <c r="B507">
        <v>1</v>
      </c>
      <c r="C507">
        <v>16</v>
      </c>
      <c r="D507">
        <v>1</v>
      </c>
      <c r="E507" s="1">
        <v>599.99</v>
      </c>
      <c r="F507" s="1">
        <v>7.0000000000000007E-2</v>
      </c>
      <c r="G507">
        <v>599.99</v>
      </c>
      <c r="H507" s="22">
        <f>VLOOKUP(A507,[1]Orders!$A$2:$B$1616,2,0)</f>
        <v>42477</v>
      </c>
      <c r="J507" t="s">
        <v>14</v>
      </c>
      <c r="K507" t="s">
        <v>18</v>
      </c>
    </row>
    <row r="508" spans="1:11" x14ac:dyDescent="0.3">
      <c r="A508">
        <v>181</v>
      </c>
      <c r="B508">
        <v>1</v>
      </c>
      <c r="C508">
        <v>10</v>
      </c>
      <c r="D508">
        <v>1</v>
      </c>
      <c r="E508" s="1">
        <v>1549</v>
      </c>
      <c r="F508" s="1">
        <v>0.05</v>
      </c>
      <c r="G508">
        <v>1549</v>
      </c>
      <c r="H508" s="22">
        <f>VLOOKUP(A508,[1]Orders!$A$2:$B$1616,2,0)</f>
        <v>42478</v>
      </c>
      <c r="J508" t="s">
        <v>13</v>
      </c>
      <c r="K508" t="s">
        <v>11</v>
      </c>
    </row>
    <row r="509" spans="1:11" x14ac:dyDescent="0.3">
      <c r="A509">
        <v>181</v>
      </c>
      <c r="B509">
        <v>2</v>
      </c>
      <c r="C509">
        <v>11</v>
      </c>
      <c r="D509">
        <v>1</v>
      </c>
      <c r="E509" s="1">
        <v>1680.99</v>
      </c>
      <c r="F509" s="1">
        <v>0.1</v>
      </c>
      <c r="G509">
        <v>1680.99</v>
      </c>
      <c r="H509" s="22">
        <f>VLOOKUP(A509,[1]Orders!$A$2:$B$1616,2,0)</f>
        <v>42478</v>
      </c>
      <c r="J509" t="s">
        <v>30</v>
      </c>
      <c r="K509" t="s">
        <v>11</v>
      </c>
    </row>
    <row r="510" spans="1:11" x14ac:dyDescent="0.3">
      <c r="A510">
        <v>181</v>
      </c>
      <c r="B510">
        <v>3</v>
      </c>
      <c r="C510">
        <v>15</v>
      </c>
      <c r="D510">
        <v>2</v>
      </c>
      <c r="E510" s="1">
        <v>529.99</v>
      </c>
      <c r="F510" s="1">
        <v>0.2</v>
      </c>
      <c r="G510">
        <v>1059.98</v>
      </c>
      <c r="H510" s="22">
        <f>VLOOKUP(A510,[1]Orders!$A$2:$B$1616,2,0)</f>
        <v>42478</v>
      </c>
      <c r="J510" t="s">
        <v>27</v>
      </c>
      <c r="K510" t="s">
        <v>11</v>
      </c>
    </row>
    <row r="511" spans="1:11" x14ac:dyDescent="0.3">
      <c r="A511">
        <v>181</v>
      </c>
      <c r="B511">
        <v>4</v>
      </c>
      <c r="C511">
        <v>24</v>
      </c>
      <c r="D511">
        <v>2</v>
      </c>
      <c r="E511" s="1">
        <v>549.99</v>
      </c>
      <c r="F511" s="1">
        <v>0.05</v>
      </c>
      <c r="G511">
        <v>1099.98</v>
      </c>
      <c r="H511" s="22">
        <f>VLOOKUP(A511,[1]Orders!$A$2:$B$1616,2,0)</f>
        <v>42478</v>
      </c>
      <c r="J511" t="s">
        <v>25</v>
      </c>
      <c r="K511" t="s">
        <v>11</v>
      </c>
    </row>
    <row r="512" spans="1:11" x14ac:dyDescent="0.3">
      <c r="A512">
        <v>182</v>
      </c>
      <c r="B512">
        <v>1</v>
      </c>
      <c r="C512">
        <v>25</v>
      </c>
      <c r="D512">
        <v>2</v>
      </c>
      <c r="E512" s="1">
        <v>499.99</v>
      </c>
      <c r="F512" s="1">
        <v>0.05</v>
      </c>
      <c r="G512">
        <v>999.98</v>
      </c>
      <c r="H512" s="22">
        <f>VLOOKUP(A512,[1]Orders!$A$2:$B$1616,2,0)</f>
        <v>42478</v>
      </c>
      <c r="J512" t="s">
        <v>35</v>
      </c>
      <c r="K512" t="s">
        <v>18</v>
      </c>
    </row>
    <row r="513" spans="1:11" x14ac:dyDescent="0.3">
      <c r="A513">
        <v>182</v>
      </c>
      <c r="B513">
        <v>2</v>
      </c>
      <c r="C513">
        <v>24</v>
      </c>
      <c r="D513">
        <v>2</v>
      </c>
      <c r="E513" s="1">
        <v>549.99</v>
      </c>
      <c r="F513" s="1">
        <v>7.0000000000000007E-2</v>
      </c>
      <c r="G513">
        <v>1099.98</v>
      </c>
      <c r="H513" s="22">
        <f>VLOOKUP(A513,[1]Orders!$A$2:$B$1616,2,0)</f>
        <v>42478</v>
      </c>
      <c r="J513" t="s">
        <v>25</v>
      </c>
      <c r="K513" t="s">
        <v>18</v>
      </c>
    </row>
    <row r="514" spans="1:11" x14ac:dyDescent="0.3">
      <c r="A514">
        <v>183</v>
      </c>
      <c r="B514">
        <v>1</v>
      </c>
      <c r="C514">
        <v>11</v>
      </c>
      <c r="D514">
        <v>2</v>
      </c>
      <c r="E514" s="1">
        <v>1680.99</v>
      </c>
      <c r="F514" s="1">
        <v>0.2</v>
      </c>
      <c r="G514">
        <v>3361.98</v>
      </c>
      <c r="H514" s="22">
        <f>VLOOKUP(A514,[1]Orders!$A$2:$B$1616,2,0)</f>
        <v>42479</v>
      </c>
      <c r="J514" t="s">
        <v>30</v>
      </c>
      <c r="K514" t="s">
        <v>18</v>
      </c>
    </row>
    <row r="515" spans="1:11" x14ac:dyDescent="0.3">
      <c r="A515">
        <v>183</v>
      </c>
      <c r="B515">
        <v>2</v>
      </c>
      <c r="C515">
        <v>12</v>
      </c>
      <c r="D515">
        <v>2</v>
      </c>
      <c r="E515" s="1">
        <v>549.99</v>
      </c>
      <c r="F515" s="1">
        <v>0.05</v>
      </c>
      <c r="G515">
        <v>1099.98</v>
      </c>
      <c r="H515" s="22">
        <f>VLOOKUP(A515,[1]Orders!$A$2:$B$1616,2,0)</f>
        <v>42479</v>
      </c>
      <c r="J515" t="s">
        <v>25</v>
      </c>
      <c r="K515" t="s">
        <v>18</v>
      </c>
    </row>
    <row r="516" spans="1:11" x14ac:dyDescent="0.3">
      <c r="A516">
        <v>183</v>
      </c>
      <c r="B516">
        <v>3</v>
      </c>
      <c r="C516">
        <v>19</v>
      </c>
      <c r="D516">
        <v>1</v>
      </c>
      <c r="E516" s="1">
        <v>449</v>
      </c>
      <c r="F516" s="1">
        <v>7.0000000000000007E-2</v>
      </c>
      <c r="G516">
        <v>449</v>
      </c>
      <c r="H516" s="22">
        <f>VLOOKUP(A516,[1]Orders!$A$2:$B$1616,2,0)</f>
        <v>42479</v>
      </c>
      <c r="J516" t="s">
        <v>36</v>
      </c>
      <c r="K516" t="s">
        <v>18</v>
      </c>
    </row>
    <row r="517" spans="1:11" x14ac:dyDescent="0.3">
      <c r="A517">
        <v>183</v>
      </c>
      <c r="B517">
        <v>4</v>
      </c>
      <c r="C517">
        <v>17</v>
      </c>
      <c r="D517">
        <v>1</v>
      </c>
      <c r="E517" s="1">
        <v>429</v>
      </c>
      <c r="F517" s="1">
        <v>7.0000000000000007E-2</v>
      </c>
      <c r="G517">
        <v>429</v>
      </c>
      <c r="H517" s="22">
        <f>VLOOKUP(A517,[1]Orders!$A$2:$B$1616,2,0)</f>
        <v>42479</v>
      </c>
      <c r="J517" t="s">
        <v>23</v>
      </c>
      <c r="K517" t="s">
        <v>18</v>
      </c>
    </row>
    <row r="518" spans="1:11" x14ac:dyDescent="0.3">
      <c r="A518">
        <v>184</v>
      </c>
      <c r="B518">
        <v>1</v>
      </c>
      <c r="C518">
        <v>4</v>
      </c>
      <c r="D518">
        <v>1</v>
      </c>
      <c r="E518" s="1">
        <v>2899.99</v>
      </c>
      <c r="F518" s="1">
        <v>0.2</v>
      </c>
      <c r="G518">
        <v>2899.99</v>
      </c>
      <c r="H518" s="22">
        <f>VLOOKUP(A518,[1]Orders!$A$2:$B$1616,2,0)</f>
        <v>42479</v>
      </c>
      <c r="J518" t="s">
        <v>16</v>
      </c>
      <c r="K518" t="s">
        <v>18</v>
      </c>
    </row>
    <row r="519" spans="1:11" x14ac:dyDescent="0.3">
      <c r="A519">
        <v>184</v>
      </c>
      <c r="B519">
        <v>2</v>
      </c>
      <c r="C519">
        <v>5</v>
      </c>
      <c r="D519">
        <v>1</v>
      </c>
      <c r="E519" s="1">
        <v>1320.99</v>
      </c>
      <c r="F519" s="1">
        <v>0.1</v>
      </c>
      <c r="G519">
        <v>1320.99</v>
      </c>
      <c r="H519" s="22">
        <f>VLOOKUP(A519,[1]Orders!$A$2:$B$1616,2,0)</f>
        <v>42479</v>
      </c>
      <c r="J519" t="s">
        <v>34</v>
      </c>
      <c r="K519" t="s">
        <v>18</v>
      </c>
    </row>
    <row r="520" spans="1:11" x14ac:dyDescent="0.3">
      <c r="A520">
        <v>184</v>
      </c>
      <c r="B520">
        <v>3</v>
      </c>
      <c r="C520">
        <v>14</v>
      </c>
      <c r="D520">
        <v>1</v>
      </c>
      <c r="E520" s="1">
        <v>269.99</v>
      </c>
      <c r="F520" s="1">
        <v>0.1</v>
      </c>
      <c r="G520">
        <v>269.99</v>
      </c>
      <c r="H520" s="22">
        <f>VLOOKUP(A520,[1]Orders!$A$2:$B$1616,2,0)</f>
        <v>42479</v>
      </c>
      <c r="J520" t="s">
        <v>28</v>
      </c>
      <c r="K520" t="s">
        <v>18</v>
      </c>
    </row>
    <row r="521" spans="1:11" x14ac:dyDescent="0.3">
      <c r="A521">
        <v>185</v>
      </c>
      <c r="B521">
        <v>1</v>
      </c>
      <c r="C521">
        <v>20</v>
      </c>
      <c r="D521">
        <v>1</v>
      </c>
      <c r="E521" s="1">
        <v>599.99</v>
      </c>
      <c r="F521" s="1">
        <v>0.1</v>
      </c>
      <c r="G521">
        <v>599.99</v>
      </c>
      <c r="H521" s="22">
        <f>VLOOKUP(A521,[1]Orders!$A$2:$B$1616,2,0)</f>
        <v>42480</v>
      </c>
      <c r="J521" t="s">
        <v>10</v>
      </c>
      <c r="K521" t="s">
        <v>11</v>
      </c>
    </row>
    <row r="522" spans="1:11" x14ac:dyDescent="0.3">
      <c r="A522">
        <v>185</v>
      </c>
      <c r="B522">
        <v>2</v>
      </c>
      <c r="C522">
        <v>8</v>
      </c>
      <c r="D522">
        <v>1</v>
      </c>
      <c r="E522" s="1">
        <v>1799.99</v>
      </c>
      <c r="F522" s="1">
        <v>0.05</v>
      </c>
      <c r="G522">
        <v>1799.99</v>
      </c>
      <c r="H522" s="22">
        <f>VLOOKUP(A522,[1]Orders!$A$2:$B$1616,2,0)</f>
        <v>42480</v>
      </c>
      <c r="J522" t="s">
        <v>12</v>
      </c>
      <c r="K522" t="s">
        <v>11</v>
      </c>
    </row>
    <row r="523" spans="1:11" x14ac:dyDescent="0.3">
      <c r="A523">
        <v>186</v>
      </c>
      <c r="B523">
        <v>1</v>
      </c>
      <c r="C523">
        <v>4</v>
      </c>
      <c r="D523">
        <v>1</v>
      </c>
      <c r="E523" s="1">
        <v>2899.99</v>
      </c>
      <c r="F523" s="1">
        <v>0.1</v>
      </c>
      <c r="G523">
        <v>2899.99</v>
      </c>
      <c r="H523" s="22">
        <f>VLOOKUP(A523,[1]Orders!$A$2:$B$1616,2,0)</f>
        <v>42481</v>
      </c>
      <c r="J523" t="s">
        <v>16</v>
      </c>
      <c r="K523" t="s">
        <v>18</v>
      </c>
    </row>
    <row r="524" spans="1:11" x14ac:dyDescent="0.3">
      <c r="A524">
        <v>186</v>
      </c>
      <c r="B524">
        <v>2</v>
      </c>
      <c r="C524">
        <v>6</v>
      </c>
      <c r="D524">
        <v>1</v>
      </c>
      <c r="E524" s="1">
        <v>469.99</v>
      </c>
      <c r="F524" s="1">
        <v>0.1</v>
      </c>
      <c r="G524">
        <v>469.99</v>
      </c>
      <c r="H524" s="22">
        <f>VLOOKUP(A524,[1]Orders!$A$2:$B$1616,2,0)</f>
        <v>42481</v>
      </c>
      <c r="J524" t="s">
        <v>32</v>
      </c>
      <c r="K524" t="s">
        <v>18</v>
      </c>
    </row>
    <row r="525" spans="1:11" x14ac:dyDescent="0.3">
      <c r="A525">
        <v>187</v>
      </c>
      <c r="B525">
        <v>1</v>
      </c>
      <c r="C525">
        <v>5</v>
      </c>
      <c r="D525">
        <v>1</v>
      </c>
      <c r="E525" s="1">
        <v>1320.99</v>
      </c>
      <c r="F525" s="1">
        <v>0.05</v>
      </c>
      <c r="G525">
        <v>1320.99</v>
      </c>
      <c r="H525" s="22">
        <f>VLOOKUP(A525,[1]Orders!$A$2:$B$1616,2,0)</f>
        <v>42482</v>
      </c>
      <c r="J525" t="s">
        <v>34</v>
      </c>
      <c r="K525" t="s">
        <v>18</v>
      </c>
    </row>
    <row r="526" spans="1:11" x14ac:dyDescent="0.3">
      <c r="A526">
        <v>188</v>
      </c>
      <c r="B526">
        <v>1</v>
      </c>
      <c r="C526">
        <v>7</v>
      </c>
      <c r="D526">
        <v>2</v>
      </c>
      <c r="E526" s="1">
        <v>3999.99</v>
      </c>
      <c r="F526" s="1">
        <v>7.0000000000000007E-2</v>
      </c>
      <c r="G526">
        <v>7999.98</v>
      </c>
      <c r="H526" s="22">
        <f>VLOOKUP(A526,[1]Orders!$A$2:$B$1616,2,0)</f>
        <v>42482</v>
      </c>
      <c r="J526" t="s">
        <v>29</v>
      </c>
      <c r="K526" t="s">
        <v>18</v>
      </c>
    </row>
    <row r="527" spans="1:11" x14ac:dyDescent="0.3">
      <c r="A527">
        <v>189</v>
      </c>
      <c r="B527">
        <v>1</v>
      </c>
      <c r="C527">
        <v>16</v>
      </c>
      <c r="D527">
        <v>2</v>
      </c>
      <c r="E527" s="1">
        <v>599.99</v>
      </c>
      <c r="F527" s="1">
        <v>0.2</v>
      </c>
      <c r="G527">
        <v>1199.98</v>
      </c>
      <c r="H527" s="22">
        <f>VLOOKUP(A527,[1]Orders!$A$2:$B$1616,2,0)</f>
        <v>42483</v>
      </c>
      <c r="J527" t="s">
        <v>14</v>
      </c>
      <c r="K527" t="s">
        <v>11</v>
      </c>
    </row>
    <row r="528" spans="1:11" x14ac:dyDescent="0.3">
      <c r="A528">
        <v>190</v>
      </c>
      <c r="B528">
        <v>1</v>
      </c>
      <c r="C528">
        <v>24</v>
      </c>
      <c r="D528">
        <v>1</v>
      </c>
      <c r="E528" s="1">
        <v>549.99</v>
      </c>
      <c r="F528" s="1">
        <v>0.05</v>
      </c>
      <c r="G528">
        <v>549.99</v>
      </c>
      <c r="H528" s="22">
        <f>VLOOKUP(A528,[1]Orders!$A$2:$B$1616,2,0)</f>
        <v>42483</v>
      </c>
      <c r="J528" t="s">
        <v>25</v>
      </c>
      <c r="K528" t="s">
        <v>18</v>
      </c>
    </row>
    <row r="529" spans="1:11" x14ac:dyDescent="0.3">
      <c r="A529">
        <v>190</v>
      </c>
      <c r="B529">
        <v>2</v>
      </c>
      <c r="C529">
        <v>15</v>
      </c>
      <c r="D529">
        <v>1</v>
      </c>
      <c r="E529" s="1">
        <v>529.99</v>
      </c>
      <c r="F529" s="1">
        <v>0.2</v>
      </c>
      <c r="G529">
        <v>529.99</v>
      </c>
      <c r="H529" s="22">
        <f>VLOOKUP(A529,[1]Orders!$A$2:$B$1616,2,0)</f>
        <v>42483</v>
      </c>
      <c r="J529" t="s">
        <v>27</v>
      </c>
      <c r="K529" t="s">
        <v>18</v>
      </c>
    </row>
    <row r="530" spans="1:11" x14ac:dyDescent="0.3">
      <c r="A530">
        <v>190</v>
      </c>
      <c r="B530">
        <v>3</v>
      </c>
      <c r="C530">
        <v>3</v>
      </c>
      <c r="D530">
        <v>2</v>
      </c>
      <c r="E530" s="1">
        <v>999.99</v>
      </c>
      <c r="F530" s="1">
        <v>0.2</v>
      </c>
      <c r="G530">
        <v>1999.98</v>
      </c>
      <c r="H530" s="22">
        <f>VLOOKUP(A530,[1]Orders!$A$2:$B$1616,2,0)</f>
        <v>42483</v>
      </c>
      <c r="J530" t="s">
        <v>20</v>
      </c>
      <c r="K530" t="s">
        <v>18</v>
      </c>
    </row>
    <row r="531" spans="1:11" x14ac:dyDescent="0.3">
      <c r="A531">
        <v>191</v>
      </c>
      <c r="B531">
        <v>1</v>
      </c>
      <c r="C531">
        <v>25</v>
      </c>
      <c r="D531">
        <v>1</v>
      </c>
      <c r="E531" s="1">
        <v>499.99</v>
      </c>
      <c r="F531" s="1">
        <v>0.05</v>
      </c>
      <c r="G531">
        <v>499.99</v>
      </c>
      <c r="H531" s="22">
        <f>VLOOKUP(A531,[1]Orders!$A$2:$B$1616,2,0)</f>
        <v>42487</v>
      </c>
      <c r="J531" t="s">
        <v>35</v>
      </c>
      <c r="K531" t="s">
        <v>11</v>
      </c>
    </row>
    <row r="532" spans="1:11" x14ac:dyDescent="0.3">
      <c r="A532">
        <v>191</v>
      </c>
      <c r="B532">
        <v>2</v>
      </c>
      <c r="C532">
        <v>12</v>
      </c>
      <c r="D532">
        <v>2</v>
      </c>
      <c r="E532" s="1">
        <v>549.99</v>
      </c>
      <c r="F532" s="1">
        <v>0.2</v>
      </c>
      <c r="G532">
        <v>1099.98</v>
      </c>
      <c r="H532" s="22">
        <f>VLOOKUP(A532,[1]Orders!$A$2:$B$1616,2,0)</f>
        <v>42487</v>
      </c>
      <c r="J532" t="s">
        <v>25</v>
      </c>
      <c r="K532" t="s">
        <v>11</v>
      </c>
    </row>
    <row r="533" spans="1:11" x14ac:dyDescent="0.3">
      <c r="A533">
        <v>191</v>
      </c>
      <c r="B533">
        <v>3</v>
      </c>
      <c r="C533">
        <v>3</v>
      </c>
      <c r="D533">
        <v>1</v>
      </c>
      <c r="E533" s="1">
        <v>999.99</v>
      </c>
      <c r="F533" s="1">
        <v>7.0000000000000007E-2</v>
      </c>
      <c r="G533">
        <v>999.99</v>
      </c>
      <c r="H533" s="22">
        <f>VLOOKUP(A533,[1]Orders!$A$2:$B$1616,2,0)</f>
        <v>42487</v>
      </c>
      <c r="J533" t="s">
        <v>20</v>
      </c>
      <c r="K533" t="s">
        <v>11</v>
      </c>
    </row>
    <row r="534" spans="1:11" x14ac:dyDescent="0.3">
      <c r="A534">
        <v>191</v>
      </c>
      <c r="B534">
        <v>4</v>
      </c>
      <c r="C534">
        <v>8</v>
      </c>
      <c r="D534">
        <v>2</v>
      </c>
      <c r="E534" s="1">
        <v>1799.99</v>
      </c>
      <c r="F534" s="1">
        <v>0.05</v>
      </c>
      <c r="G534">
        <v>3599.98</v>
      </c>
      <c r="H534" s="22">
        <f>VLOOKUP(A534,[1]Orders!$A$2:$B$1616,2,0)</f>
        <v>42487</v>
      </c>
      <c r="J534" t="s">
        <v>12</v>
      </c>
      <c r="K534" t="s">
        <v>11</v>
      </c>
    </row>
    <row r="535" spans="1:11" x14ac:dyDescent="0.3">
      <c r="A535">
        <v>191</v>
      </c>
      <c r="B535">
        <v>5</v>
      </c>
      <c r="C535">
        <v>23</v>
      </c>
      <c r="D535">
        <v>1</v>
      </c>
      <c r="E535" s="1">
        <v>299.99</v>
      </c>
      <c r="F535" s="1">
        <v>0.05</v>
      </c>
      <c r="G535">
        <v>299.99</v>
      </c>
      <c r="H535" s="22">
        <f>VLOOKUP(A535,[1]Orders!$A$2:$B$1616,2,0)</f>
        <v>42487</v>
      </c>
      <c r="J535" t="s">
        <v>33</v>
      </c>
      <c r="K535" t="s">
        <v>11</v>
      </c>
    </row>
    <row r="536" spans="1:11" x14ac:dyDescent="0.3">
      <c r="A536">
        <v>192</v>
      </c>
      <c r="B536">
        <v>1</v>
      </c>
      <c r="C536">
        <v>8</v>
      </c>
      <c r="D536">
        <v>2</v>
      </c>
      <c r="E536" s="1">
        <v>1799.99</v>
      </c>
      <c r="F536" s="1">
        <v>0.1</v>
      </c>
      <c r="G536">
        <v>3599.98</v>
      </c>
      <c r="H536" s="22">
        <f>VLOOKUP(A536,[1]Orders!$A$2:$B$1616,2,0)</f>
        <v>42487</v>
      </c>
      <c r="J536" t="s">
        <v>12</v>
      </c>
      <c r="K536" t="s">
        <v>18</v>
      </c>
    </row>
    <row r="537" spans="1:11" x14ac:dyDescent="0.3">
      <c r="A537">
        <v>192</v>
      </c>
      <c r="B537">
        <v>2</v>
      </c>
      <c r="C537">
        <v>25</v>
      </c>
      <c r="D537">
        <v>1</v>
      </c>
      <c r="E537" s="1">
        <v>499.99</v>
      </c>
      <c r="F537" s="1">
        <v>7.0000000000000007E-2</v>
      </c>
      <c r="G537">
        <v>499.99</v>
      </c>
      <c r="H537" s="22">
        <f>VLOOKUP(A537,[1]Orders!$A$2:$B$1616,2,0)</f>
        <v>42487</v>
      </c>
      <c r="J537" t="s">
        <v>35</v>
      </c>
      <c r="K537" t="s">
        <v>18</v>
      </c>
    </row>
    <row r="538" spans="1:11" x14ac:dyDescent="0.3">
      <c r="A538">
        <v>192</v>
      </c>
      <c r="B538">
        <v>3</v>
      </c>
      <c r="C538">
        <v>2</v>
      </c>
      <c r="D538">
        <v>1</v>
      </c>
      <c r="E538" s="1">
        <v>749.99</v>
      </c>
      <c r="F538" s="1">
        <v>0.05</v>
      </c>
      <c r="G538">
        <v>749.99</v>
      </c>
      <c r="H538" s="22">
        <f>VLOOKUP(A538,[1]Orders!$A$2:$B$1616,2,0)</f>
        <v>42487</v>
      </c>
      <c r="J538" t="s">
        <v>22</v>
      </c>
      <c r="K538" t="s">
        <v>18</v>
      </c>
    </row>
    <row r="539" spans="1:11" x14ac:dyDescent="0.3">
      <c r="A539">
        <v>192</v>
      </c>
      <c r="B539">
        <v>4</v>
      </c>
      <c r="C539">
        <v>24</v>
      </c>
      <c r="D539">
        <v>2</v>
      </c>
      <c r="E539" s="1">
        <v>549.99</v>
      </c>
      <c r="F539" s="1">
        <v>7.0000000000000007E-2</v>
      </c>
      <c r="G539">
        <v>1099.98</v>
      </c>
      <c r="H539" s="22">
        <f>VLOOKUP(A539,[1]Orders!$A$2:$B$1616,2,0)</f>
        <v>42487</v>
      </c>
      <c r="J539" t="s">
        <v>25</v>
      </c>
      <c r="K539" t="s">
        <v>18</v>
      </c>
    </row>
    <row r="540" spans="1:11" x14ac:dyDescent="0.3">
      <c r="A540">
        <v>192</v>
      </c>
      <c r="B540">
        <v>5</v>
      </c>
      <c r="C540">
        <v>10</v>
      </c>
      <c r="D540">
        <v>2</v>
      </c>
      <c r="E540" s="1">
        <v>1549</v>
      </c>
      <c r="F540" s="1">
        <v>0.2</v>
      </c>
      <c r="G540">
        <v>3098</v>
      </c>
      <c r="H540" s="22">
        <f>VLOOKUP(A540,[1]Orders!$A$2:$B$1616,2,0)</f>
        <v>42487</v>
      </c>
      <c r="J540" t="s">
        <v>13</v>
      </c>
      <c r="K540" t="s">
        <v>18</v>
      </c>
    </row>
    <row r="541" spans="1:11" x14ac:dyDescent="0.3">
      <c r="A541">
        <v>193</v>
      </c>
      <c r="B541">
        <v>1</v>
      </c>
      <c r="C541">
        <v>12</v>
      </c>
      <c r="D541">
        <v>2</v>
      </c>
      <c r="E541" s="1">
        <v>549.99</v>
      </c>
      <c r="F541" s="1">
        <v>0.1</v>
      </c>
      <c r="G541">
        <v>1099.98</v>
      </c>
      <c r="H541" s="22">
        <f>VLOOKUP(A541,[1]Orders!$A$2:$B$1616,2,0)</f>
        <v>42488</v>
      </c>
      <c r="J541" t="s">
        <v>25</v>
      </c>
      <c r="K541" t="s">
        <v>11</v>
      </c>
    </row>
    <row r="542" spans="1:11" x14ac:dyDescent="0.3">
      <c r="A542">
        <v>194</v>
      </c>
      <c r="B542">
        <v>1</v>
      </c>
      <c r="C542">
        <v>21</v>
      </c>
      <c r="D542">
        <v>2</v>
      </c>
      <c r="E542" s="1">
        <v>269.99</v>
      </c>
      <c r="F542" s="1">
        <v>0.2</v>
      </c>
      <c r="G542">
        <v>539.98</v>
      </c>
      <c r="H542" s="22">
        <f>VLOOKUP(A542,[1]Orders!$A$2:$B$1616,2,0)</f>
        <v>42488</v>
      </c>
      <c r="J542" t="s">
        <v>31</v>
      </c>
      <c r="K542" t="s">
        <v>18</v>
      </c>
    </row>
    <row r="543" spans="1:11" x14ac:dyDescent="0.3">
      <c r="A543">
        <v>195</v>
      </c>
      <c r="B543">
        <v>1</v>
      </c>
      <c r="C543">
        <v>18</v>
      </c>
      <c r="D543">
        <v>1</v>
      </c>
      <c r="E543" s="1">
        <v>449</v>
      </c>
      <c r="F543" s="1">
        <v>0.2</v>
      </c>
      <c r="G543">
        <v>449</v>
      </c>
      <c r="H543" s="22">
        <f>VLOOKUP(A543,[1]Orders!$A$2:$B$1616,2,0)</f>
        <v>42488</v>
      </c>
      <c r="J543" t="s">
        <v>24</v>
      </c>
      <c r="K543" t="s">
        <v>18</v>
      </c>
    </row>
    <row r="544" spans="1:11" x14ac:dyDescent="0.3">
      <c r="A544">
        <v>195</v>
      </c>
      <c r="B544">
        <v>2</v>
      </c>
      <c r="C544">
        <v>14</v>
      </c>
      <c r="D544">
        <v>1</v>
      </c>
      <c r="E544" s="1">
        <v>269.99</v>
      </c>
      <c r="F544" s="1">
        <v>0.05</v>
      </c>
      <c r="G544">
        <v>269.99</v>
      </c>
      <c r="H544" s="22">
        <f>VLOOKUP(A544,[1]Orders!$A$2:$B$1616,2,0)</f>
        <v>42488</v>
      </c>
      <c r="J544" t="s">
        <v>28</v>
      </c>
      <c r="K544" t="s">
        <v>18</v>
      </c>
    </row>
    <row r="545" spans="1:11" x14ac:dyDescent="0.3">
      <c r="A545">
        <v>195</v>
      </c>
      <c r="B545">
        <v>3</v>
      </c>
      <c r="C545">
        <v>5</v>
      </c>
      <c r="D545">
        <v>2</v>
      </c>
      <c r="E545" s="1">
        <v>1320.99</v>
      </c>
      <c r="F545" s="1">
        <v>0.2</v>
      </c>
      <c r="G545">
        <v>2641.98</v>
      </c>
      <c r="H545" s="22">
        <f>VLOOKUP(A545,[1]Orders!$A$2:$B$1616,2,0)</f>
        <v>42488</v>
      </c>
      <c r="J545" t="s">
        <v>34</v>
      </c>
      <c r="K545" t="s">
        <v>18</v>
      </c>
    </row>
    <row r="546" spans="1:11" x14ac:dyDescent="0.3">
      <c r="A546">
        <v>195</v>
      </c>
      <c r="B546">
        <v>4</v>
      </c>
      <c r="C546">
        <v>4</v>
      </c>
      <c r="D546">
        <v>2</v>
      </c>
      <c r="E546" s="1">
        <v>2899.99</v>
      </c>
      <c r="F546" s="1">
        <v>0.2</v>
      </c>
      <c r="G546">
        <v>5799.98</v>
      </c>
      <c r="H546" s="22">
        <f>VLOOKUP(A546,[1]Orders!$A$2:$B$1616,2,0)</f>
        <v>42488</v>
      </c>
      <c r="J546" t="s">
        <v>16</v>
      </c>
      <c r="K546" t="s">
        <v>18</v>
      </c>
    </row>
    <row r="547" spans="1:11" x14ac:dyDescent="0.3">
      <c r="A547">
        <v>195</v>
      </c>
      <c r="B547">
        <v>5</v>
      </c>
      <c r="C547">
        <v>21</v>
      </c>
      <c r="D547">
        <v>2</v>
      </c>
      <c r="E547" s="1">
        <v>269.99</v>
      </c>
      <c r="F547" s="1">
        <v>0.1</v>
      </c>
      <c r="G547">
        <v>539.98</v>
      </c>
      <c r="H547" s="22">
        <f>VLOOKUP(A547,[1]Orders!$A$2:$B$1616,2,0)</f>
        <v>42488</v>
      </c>
      <c r="J547" t="s">
        <v>31</v>
      </c>
      <c r="K547" t="s">
        <v>18</v>
      </c>
    </row>
    <row r="548" spans="1:11" x14ac:dyDescent="0.3">
      <c r="A548">
        <v>196</v>
      </c>
      <c r="B548">
        <v>1</v>
      </c>
      <c r="C548">
        <v>6</v>
      </c>
      <c r="D548">
        <v>1</v>
      </c>
      <c r="E548" s="1">
        <v>469.99</v>
      </c>
      <c r="F548" s="1">
        <v>0.05</v>
      </c>
      <c r="G548">
        <v>469.99</v>
      </c>
      <c r="H548" s="22">
        <f>VLOOKUP(A548,[1]Orders!$A$2:$B$1616,2,0)</f>
        <v>42488</v>
      </c>
      <c r="J548" t="s">
        <v>32</v>
      </c>
      <c r="K548" t="s">
        <v>18</v>
      </c>
    </row>
    <row r="549" spans="1:11" x14ac:dyDescent="0.3">
      <c r="A549">
        <v>196</v>
      </c>
      <c r="B549">
        <v>2</v>
      </c>
      <c r="C549">
        <v>3</v>
      </c>
      <c r="D549">
        <v>2</v>
      </c>
      <c r="E549" s="1">
        <v>999.99</v>
      </c>
      <c r="F549" s="1">
        <v>7.0000000000000007E-2</v>
      </c>
      <c r="G549">
        <v>1999.98</v>
      </c>
      <c r="H549" s="22">
        <f>VLOOKUP(A549,[1]Orders!$A$2:$B$1616,2,0)</f>
        <v>42488</v>
      </c>
      <c r="J549" t="s">
        <v>20</v>
      </c>
      <c r="K549" t="s">
        <v>18</v>
      </c>
    </row>
    <row r="550" spans="1:11" x14ac:dyDescent="0.3">
      <c r="A550">
        <v>196</v>
      </c>
      <c r="B550">
        <v>3</v>
      </c>
      <c r="C550">
        <v>10</v>
      </c>
      <c r="D550">
        <v>2</v>
      </c>
      <c r="E550" s="1">
        <v>1549</v>
      </c>
      <c r="F550" s="1">
        <v>7.0000000000000007E-2</v>
      </c>
      <c r="G550">
        <v>3098</v>
      </c>
      <c r="H550" s="22">
        <f>VLOOKUP(A550,[1]Orders!$A$2:$B$1616,2,0)</f>
        <v>42488</v>
      </c>
      <c r="J550" t="s">
        <v>13</v>
      </c>
      <c r="K550" t="s">
        <v>18</v>
      </c>
    </row>
    <row r="551" spans="1:11" x14ac:dyDescent="0.3">
      <c r="A551">
        <v>196</v>
      </c>
      <c r="B551">
        <v>4</v>
      </c>
      <c r="C551">
        <v>12</v>
      </c>
      <c r="D551">
        <v>1</v>
      </c>
      <c r="E551" s="1">
        <v>549.99</v>
      </c>
      <c r="F551" s="1">
        <v>7.0000000000000007E-2</v>
      </c>
      <c r="G551">
        <v>549.99</v>
      </c>
      <c r="H551" s="22">
        <f>VLOOKUP(A551,[1]Orders!$A$2:$B$1616,2,0)</f>
        <v>42488</v>
      </c>
      <c r="J551" t="s">
        <v>25</v>
      </c>
      <c r="K551" t="s">
        <v>18</v>
      </c>
    </row>
    <row r="552" spans="1:11" x14ac:dyDescent="0.3">
      <c r="A552">
        <v>196</v>
      </c>
      <c r="B552">
        <v>5</v>
      </c>
      <c r="C552">
        <v>20</v>
      </c>
      <c r="D552">
        <v>1</v>
      </c>
      <c r="E552" s="1">
        <v>599.99</v>
      </c>
      <c r="F552" s="1">
        <v>0.1</v>
      </c>
      <c r="G552">
        <v>599.99</v>
      </c>
      <c r="H552" s="22">
        <f>VLOOKUP(A552,[1]Orders!$A$2:$B$1616,2,0)</f>
        <v>42488</v>
      </c>
      <c r="J552" t="s">
        <v>10</v>
      </c>
      <c r="K552" t="s">
        <v>18</v>
      </c>
    </row>
    <row r="553" spans="1:11" x14ac:dyDescent="0.3">
      <c r="A553">
        <v>197</v>
      </c>
      <c r="B553">
        <v>1</v>
      </c>
      <c r="C553">
        <v>4</v>
      </c>
      <c r="D553">
        <v>2</v>
      </c>
      <c r="E553" s="1">
        <v>2899.99</v>
      </c>
      <c r="F553" s="1">
        <v>0.2</v>
      </c>
      <c r="G553">
        <v>5799.98</v>
      </c>
      <c r="H553" s="22">
        <f>VLOOKUP(A553,[1]Orders!$A$2:$B$1616,2,0)</f>
        <v>42490</v>
      </c>
      <c r="J553" t="s">
        <v>16</v>
      </c>
      <c r="K553" t="s">
        <v>18</v>
      </c>
    </row>
    <row r="554" spans="1:11" x14ac:dyDescent="0.3">
      <c r="A554">
        <v>197</v>
      </c>
      <c r="B554">
        <v>2</v>
      </c>
      <c r="C554">
        <v>2</v>
      </c>
      <c r="D554">
        <v>2</v>
      </c>
      <c r="E554" s="1">
        <v>749.99</v>
      </c>
      <c r="F554" s="1">
        <v>7.0000000000000007E-2</v>
      </c>
      <c r="G554">
        <v>1499.98</v>
      </c>
      <c r="H554" s="22">
        <f>VLOOKUP(A554,[1]Orders!$A$2:$B$1616,2,0)</f>
        <v>42490</v>
      </c>
      <c r="J554" t="s">
        <v>22</v>
      </c>
      <c r="K554" t="s">
        <v>18</v>
      </c>
    </row>
    <row r="555" spans="1:11" x14ac:dyDescent="0.3">
      <c r="A555">
        <v>198</v>
      </c>
      <c r="B555">
        <v>1</v>
      </c>
      <c r="C555">
        <v>6</v>
      </c>
      <c r="D555">
        <v>2</v>
      </c>
      <c r="E555" s="1">
        <v>469.99</v>
      </c>
      <c r="F555" s="1">
        <v>0.05</v>
      </c>
      <c r="G555">
        <v>939.98</v>
      </c>
      <c r="H555" s="22">
        <f>VLOOKUP(A555,[1]Orders!$A$2:$B$1616,2,0)</f>
        <v>42491</v>
      </c>
      <c r="J555" t="s">
        <v>32</v>
      </c>
      <c r="K555" t="s">
        <v>18</v>
      </c>
    </row>
    <row r="556" spans="1:11" x14ac:dyDescent="0.3">
      <c r="A556">
        <v>198</v>
      </c>
      <c r="B556">
        <v>2</v>
      </c>
      <c r="C556">
        <v>20</v>
      </c>
      <c r="D556">
        <v>2</v>
      </c>
      <c r="E556" s="1">
        <v>599.99</v>
      </c>
      <c r="F556" s="1">
        <v>7.0000000000000007E-2</v>
      </c>
      <c r="G556">
        <v>1199.98</v>
      </c>
      <c r="H556" s="22">
        <f>VLOOKUP(A556,[1]Orders!$A$2:$B$1616,2,0)</f>
        <v>42491</v>
      </c>
      <c r="J556" t="s">
        <v>10</v>
      </c>
      <c r="K556" t="s">
        <v>18</v>
      </c>
    </row>
    <row r="557" spans="1:11" x14ac:dyDescent="0.3">
      <c r="A557">
        <v>198</v>
      </c>
      <c r="B557">
        <v>3</v>
      </c>
      <c r="C557">
        <v>8</v>
      </c>
      <c r="D557">
        <v>2</v>
      </c>
      <c r="E557" s="1">
        <v>1799.99</v>
      </c>
      <c r="F557" s="1">
        <v>0.2</v>
      </c>
      <c r="G557">
        <v>3599.98</v>
      </c>
      <c r="H557" s="22">
        <f>VLOOKUP(A557,[1]Orders!$A$2:$B$1616,2,0)</f>
        <v>42491</v>
      </c>
      <c r="J557" t="s">
        <v>12</v>
      </c>
      <c r="K557" t="s">
        <v>18</v>
      </c>
    </row>
    <row r="558" spans="1:11" x14ac:dyDescent="0.3">
      <c r="A558">
        <v>198</v>
      </c>
      <c r="B558">
        <v>4</v>
      </c>
      <c r="C558">
        <v>13</v>
      </c>
      <c r="D558">
        <v>2</v>
      </c>
      <c r="E558" s="1">
        <v>269.99</v>
      </c>
      <c r="F558" s="1">
        <v>0.05</v>
      </c>
      <c r="G558">
        <v>539.98</v>
      </c>
      <c r="H558" s="22">
        <f>VLOOKUP(A558,[1]Orders!$A$2:$B$1616,2,0)</f>
        <v>42491</v>
      </c>
      <c r="J558" t="s">
        <v>31</v>
      </c>
      <c r="K558" t="s">
        <v>18</v>
      </c>
    </row>
    <row r="559" spans="1:11" x14ac:dyDescent="0.3">
      <c r="A559">
        <v>198</v>
      </c>
      <c r="B559">
        <v>5</v>
      </c>
      <c r="C559">
        <v>17</v>
      </c>
      <c r="D559">
        <v>1</v>
      </c>
      <c r="E559" s="1">
        <v>429</v>
      </c>
      <c r="F559" s="1">
        <v>0.05</v>
      </c>
      <c r="G559">
        <v>429</v>
      </c>
      <c r="H559" s="22">
        <f>VLOOKUP(A559,[1]Orders!$A$2:$B$1616,2,0)</f>
        <v>42491</v>
      </c>
      <c r="J559" t="s">
        <v>23</v>
      </c>
      <c r="K559" t="s">
        <v>18</v>
      </c>
    </row>
    <row r="560" spans="1:11" x14ac:dyDescent="0.3">
      <c r="A560">
        <v>199</v>
      </c>
      <c r="B560">
        <v>1</v>
      </c>
      <c r="C560">
        <v>25</v>
      </c>
      <c r="D560">
        <v>2</v>
      </c>
      <c r="E560" s="1">
        <v>499.99</v>
      </c>
      <c r="F560" s="1">
        <v>0.05</v>
      </c>
      <c r="G560">
        <v>999.98</v>
      </c>
      <c r="H560" s="22">
        <f>VLOOKUP(A560,[1]Orders!$A$2:$B$1616,2,0)</f>
        <v>42491</v>
      </c>
      <c r="J560" t="s">
        <v>35</v>
      </c>
      <c r="K560" t="s">
        <v>18</v>
      </c>
    </row>
    <row r="561" spans="1:11" x14ac:dyDescent="0.3">
      <c r="A561">
        <v>199</v>
      </c>
      <c r="B561">
        <v>2</v>
      </c>
      <c r="C561">
        <v>18</v>
      </c>
      <c r="D561">
        <v>2</v>
      </c>
      <c r="E561" s="1">
        <v>449</v>
      </c>
      <c r="F561" s="1">
        <v>7.0000000000000007E-2</v>
      </c>
      <c r="G561">
        <v>898</v>
      </c>
      <c r="H561" s="22">
        <f>VLOOKUP(A561,[1]Orders!$A$2:$B$1616,2,0)</f>
        <v>42491</v>
      </c>
      <c r="J561" t="s">
        <v>24</v>
      </c>
      <c r="K561" t="s">
        <v>18</v>
      </c>
    </row>
    <row r="562" spans="1:11" x14ac:dyDescent="0.3">
      <c r="A562">
        <v>199</v>
      </c>
      <c r="B562">
        <v>3</v>
      </c>
      <c r="C562">
        <v>4</v>
      </c>
      <c r="D562">
        <v>1</v>
      </c>
      <c r="E562" s="1">
        <v>2899.99</v>
      </c>
      <c r="F562" s="1">
        <v>0.2</v>
      </c>
      <c r="G562">
        <v>2899.99</v>
      </c>
      <c r="H562" s="22">
        <f>VLOOKUP(A562,[1]Orders!$A$2:$B$1616,2,0)</f>
        <v>42491</v>
      </c>
      <c r="J562" t="s">
        <v>16</v>
      </c>
      <c r="K562" t="s">
        <v>18</v>
      </c>
    </row>
    <row r="563" spans="1:11" x14ac:dyDescent="0.3">
      <c r="A563">
        <v>200</v>
      </c>
      <c r="B563">
        <v>1</v>
      </c>
      <c r="C563">
        <v>23</v>
      </c>
      <c r="D563">
        <v>2</v>
      </c>
      <c r="E563" s="1">
        <v>299.99</v>
      </c>
      <c r="F563" s="1">
        <v>0.05</v>
      </c>
      <c r="G563">
        <v>599.98</v>
      </c>
      <c r="H563" s="22">
        <f>VLOOKUP(A563,[1]Orders!$A$2:$B$1616,2,0)</f>
        <v>42491</v>
      </c>
      <c r="J563" t="s">
        <v>33</v>
      </c>
      <c r="K563" t="s">
        <v>18</v>
      </c>
    </row>
    <row r="564" spans="1:11" x14ac:dyDescent="0.3">
      <c r="A564">
        <v>200</v>
      </c>
      <c r="B564">
        <v>2</v>
      </c>
      <c r="C564">
        <v>22</v>
      </c>
      <c r="D564">
        <v>2</v>
      </c>
      <c r="E564" s="1">
        <v>269.99</v>
      </c>
      <c r="F564" s="1">
        <v>7.0000000000000007E-2</v>
      </c>
      <c r="G564">
        <v>539.98</v>
      </c>
      <c r="H564" s="22">
        <f>VLOOKUP(A564,[1]Orders!$A$2:$B$1616,2,0)</f>
        <v>42491</v>
      </c>
      <c r="J564" t="s">
        <v>28</v>
      </c>
      <c r="K564" t="s">
        <v>18</v>
      </c>
    </row>
    <row r="565" spans="1:11" x14ac:dyDescent="0.3">
      <c r="A565">
        <v>201</v>
      </c>
      <c r="B565">
        <v>1</v>
      </c>
      <c r="C565">
        <v>24</v>
      </c>
      <c r="D565">
        <v>1</v>
      </c>
      <c r="E565" s="1">
        <v>549.99</v>
      </c>
      <c r="F565" s="1">
        <v>0.05</v>
      </c>
      <c r="G565">
        <v>549.99</v>
      </c>
      <c r="H565" s="22">
        <f>VLOOKUP(A565,[1]Orders!$A$2:$B$1616,2,0)</f>
        <v>42491</v>
      </c>
      <c r="J565" t="s">
        <v>25</v>
      </c>
      <c r="K565" t="s">
        <v>37</v>
      </c>
    </row>
    <row r="566" spans="1:11" x14ac:dyDescent="0.3">
      <c r="A566">
        <v>201</v>
      </c>
      <c r="B566">
        <v>2</v>
      </c>
      <c r="C566">
        <v>7</v>
      </c>
      <c r="D566">
        <v>1</v>
      </c>
      <c r="E566" s="1">
        <v>3999.99</v>
      </c>
      <c r="F566" s="1">
        <v>0.2</v>
      </c>
      <c r="G566">
        <v>3999.99</v>
      </c>
      <c r="H566" s="22">
        <f>VLOOKUP(A566,[1]Orders!$A$2:$B$1616,2,0)</f>
        <v>42491</v>
      </c>
      <c r="J566" t="s">
        <v>29</v>
      </c>
      <c r="K566" t="s">
        <v>37</v>
      </c>
    </row>
    <row r="567" spans="1:11" x14ac:dyDescent="0.3">
      <c r="A567">
        <v>201</v>
      </c>
      <c r="B567">
        <v>3</v>
      </c>
      <c r="C567">
        <v>14</v>
      </c>
      <c r="D567">
        <v>2</v>
      </c>
      <c r="E567" s="1">
        <v>269.99</v>
      </c>
      <c r="F567" s="1">
        <v>0.1</v>
      </c>
      <c r="G567">
        <v>539.98</v>
      </c>
      <c r="H567" s="22">
        <f>VLOOKUP(A567,[1]Orders!$A$2:$B$1616,2,0)</f>
        <v>42491</v>
      </c>
      <c r="J567" t="s">
        <v>28</v>
      </c>
      <c r="K567" t="s">
        <v>37</v>
      </c>
    </row>
    <row r="568" spans="1:11" x14ac:dyDescent="0.3">
      <c r="A568">
        <v>201</v>
      </c>
      <c r="B568">
        <v>4</v>
      </c>
      <c r="C568">
        <v>17</v>
      </c>
      <c r="D568">
        <v>1</v>
      </c>
      <c r="E568" s="1">
        <v>429</v>
      </c>
      <c r="F568" s="1">
        <v>0.05</v>
      </c>
      <c r="G568">
        <v>429</v>
      </c>
      <c r="H568" s="22">
        <f>VLOOKUP(A568,[1]Orders!$A$2:$B$1616,2,0)</f>
        <v>42491</v>
      </c>
      <c r="J568" t="s">
        <v>23</v>
      </c>
      <c r="K568" t="s">
        <v>37</v>
      </c>
    </row>
    <row r="569" spans="1:11" x14ac:dyDescent="0.3">
      <c r="A569">
        <v>202</v>
      </c>
      <c r="B569">
        <v>1</v>
      </c>
      <c r="C569">
        <v>8</v>
      </c>
      <c r="D569">
        <v>1</v>
      </c>
      <c r="E569" s="1">
        <v>1799.99</v>
      </c>
      <c r="F569" s="1">
        <v>7.0000000000000007E-2</v>
      </c>
      <c r="G569">
        <v>1799.99</v>
      </c>
      <c r="H569" s="22">
        <f>VLOOKUP(A569,[1]Orders!$A$2:$B$1616,2,0)</f>
        <v>42493</v>
      </c>
      <c r="J569" t="s">
        <v>12</v>
      </c>
      <c r="K569" t="s">
        <v>11</v>
      </c>
    </row>
    <row r="570" spans="1:11" x14ac:dyDescent="0.3">
      <c r="A570">
        <v>202</v>
      </c>
      <c r="B570">
        <v>2</v>
      </c>
      <c r="C570">
        <v>17</v>
      </c>
      <c r="D570">
        <v>1</v>
      </c>
      <c r="E570" s="1">
        <v>429</v>
      </c>
      <c r="F570" s="1">
        <v>0.05</v>
      </c>
      <c r="G570">
        <v>429</v>
      </c>
      <c r="H570" s="22">
        <f>VLOOKUP(A570,[1]Orders!$A$2:$B$1616,2,0)</f>
        <v>42493</v>
      </c>
      <c r="J570" t="s">
        <v>23</v>
      </c>
      <c r="K570" t="s">
        <v>11</v>
      </c>
    </row>
    <row r="571" spans="1:11" x14ac:dyDescent="0.3">
      <c r="A571">
        <v>202</v>
      </c>
      <c r="B571">
        <v>3</v>
      </c>
      <c r="C571">
        <v>15</v>
      </c>
      <c r="D571">
        <v>2</v>
      </c>
      <c r="E571" s="1">
        <v>529.99</v>
      </c>
      <c r="F571" s="1">
        <v>0.05</v>
      </c>
      <c r="G571">
        <v>1059.98</v>
      </c>
      <c r="H571" s="22">
        <f>VLOOKUP(A571,[1]Orders!$A$2:$B$1616,2,0)</f>
        <v>42493</v>
      </c>
      <c r="J571" t="s">
        <v>27</v>
      </c>
      <c r="K571" t="s">
        <v>11</v>
      </c>
    </row>
    <row r="572" spans="1:11" x14ac:dyDescent="0.3">
      <c r="A572">
        <v>202</v>
      </c>
      <c r="B572">
        <v>4</v>
      </c>
      <c r="C572">
        <v>25</v>
      </c>
      <c r="D572">
        <v>2</v>
      </c>
      <c r="E572" s="1">
        <v>499.99</v>
      </c>
      <c r="F572" s="1">
        <v>0.05</v>
      </c>
      <c r="G572">
        <v>999.98</v>
      </c>
      <c r="H572" s="22">
        <f>VLOOKUP(A572,[1]Orders!$A$2:$B$1616,2,0)</f>
        <v>42493</v>
      </c>
      <c r="J572" t="s">
        <v>35</v>
      </c>
      <c r="K572" t="s">
        <v>11</v>
      </c>
    </row>
    <row r="573" spans="1:11" x14ac:dyDescent="0.3">
      <c r="A573">
        <v>203</v>
      </c>
      <c r="B573">
        <v>1</v>
      </c>
      <c r="C573">
        <v>26</v>
      </c>
      <c r="D573">
        <v>1</v>
      </c>
      <c r="E573" s="1">
        <v>599.99</v>
      </c>
      <c r="F573" s="1">
        <v>0.05</v>
      </c>
      <c r="G573">
        <v>599.99</v>
      </c>
      <c r="H573" s="22">
        <f>VLOOKUP(A573,[1]Orders!$A$2:$B$1616,2,0)</f>
        <v>42493</v>
      </c>
      <c r="J573" t="s">
        <v>14</v>
      </c>
      <c r="K573" t="s">
        <v>37</v>
      </c>
    </row>
    <row r="574" spans="1:11" x14ac:dyDescent="0.3">
      <c r="A574">
        <v>203</v>
      </c>
      <c r="B574">
        <v>2</v>
      </c>
      <c r="C574">
        <v>3</v>
      </c>
      <c r="D574">
        <v>2</v>
      </c>
      <c r="E574" s="1">
        <v>999.99</v>
      </c>
      <c r="F574" s="1">
        <v>0.1</v>
      </c>
      <c r="G574">
        <v>1999.98</v>
      </c>
      <c r="H574" s="22">
        <f>VLOOKUP(A574,[1]Orders!$A$2:$B$1616,2,0)</f>
        <v>42493</v>
      </c>
      <c r="J574" t="s">
        <v>20</v>
      </c>
      <c r="K574" t="s">
        <v>37</v>
      </c>
    </row>
    <row r="575" spans="1:11" x14ac:dyDescent="0.3">
      <c r="A575">
        <v>203</v>
      </c>
      <c r="B575">
        <v>3</v>
      </c>
      <c r="C575">
        <v>17</v>
      </c>
      <c r="D575">
        <v>2</v>
      </c>
      <c r="E575" s="1">
        <v>429</v>
      </c>
      <c r="F575" s="1">
        <v>0.2</v>
      </c>
      <c r="G575">
        <v>858</v>
      </c>
      <c r="H575" s="22">
        <f>VLOOKUP(A575,[1]Orders!$A$2:$B$1616,2,0)</f>
        <v>42493</v>
      </c>
      <c r="J575" t="s">
        <v>23</v>
      </c>
      <c r="K575" t="s">
        <v>37</v>
      </c>
    </row>
    <row r="576" spans="1:11" x14ac:dyDescent="0.3">
      <c r="A576">
        <v>203</v>
      </c>
      <c r="B576">
        <v>4</v>
      </c>
      <c r="C576">
        <v>19</v>
      </c>
      <c r="D576">
        <v>2</v>
      </c>
      <c r="E576" s="1">
        <v>449</v>
      </c>
      <c r="F576" s="1">
        <v>7.0000000000000007E-2</v>
      </c>
      <c r="G576">
        <v>898</v>
      </c>
      <c r="H576" s="22">
        <f>VLOOKUP(A576,[1]Orders!$A$2:$B$1616,2,0)</f>
        <v>42493</v>
      </c>
      <c r="J576" t="s">
        <v>36</v>
      </c>
      <c r="K576" t="s">
        <v>37</v>
      </c>
    </row>
    <row r="577" spans="1:11" x14ac:dyDescent="0.3">
      <c r="A577">
        <v>204</v>
      </c>
      <c r="B577">
        <v>1</v>
      </c>
      <c r="C577">
        <v>6</v>
      </c>
      <c r="D577">
        <v>2</v>
      </c>
      <c r="E577" s="1">
        <v>469.99</v>
      </c>
      <c r="F577" s="1">
        <v>7.0000000000000007E-2</v>
      </c>
      <c r="G577">
        <v>939.98</v>
      </c>
      <c r="H577" s="22">
        <f>VLOOKUP(A577,[1]Orders!$A$2:$B$1616,2,0)</f>
        <v>42494</v>
      </c>
      <c r="J577" t="s">
        <v>32</v>
      </c>
      <c r="K577" t="s">
        <v>18</v>
      </c>
    </row>
    <row r="578" spans="1:11" x14ac:dyDescent="0.3">
      <c r="A578">
        <v>204</v>
      </c>
      <c r="B578">
        <v>2</v>
      </c>
      <c r="C578">
        <v>17</v>
      </c>
      <c r="D578">
        <v>2</v>
      </c>
      <c r="E578" s="1">
        <v>429</v>
      </c>
      <c r="F578" s="1">
        <v>0.1</v>
      </c>
      <c r="G578">
        <v>858</v>
      </c>
      <c r="H578" s="22">
        <f>VLOOKUP(A578,[1]Orders!$A$2:$B$1616,2,0)</f>
        <v>42494</v>
      </c>
      <c r="J578" t="s">
        <v>23</v>
      </c>
      <c r="K578" t="s">
        <v>18</v>
      </c>
    </row>
    <row r="579" spans="1:11" x14ac:dyDescent="0.3">
      <c r="A579">
        <v>205</v>
      </c>
      <c r="B579">
        <v>1</v>
      </c>
      <c r="C579">
        <v>22</v>
      </c>
      <c r="D579">
        <v>2</v>
      </c>
      <c r="E579" s="1">
        <v>269.99</v>
      </c>
      <c r="F579" s="1">
        <v>0.05</v>
      </c>
      <c r="G579">
        <v>539.98</v>
      </c>
      <c r="H579" s="22">
        <f>VLOOKUP(A579,[1]Orders!$A$2:$B$1616,2,0)</f>
        <v>42494</v>
      </c>
      <c r="J579" t="s">
        <v>28</v>
      </c>
      <c r="K579" t="s">
        <v>18</v>
      </c>
    </row>
    <row r="580" spans="1:11" x14ac:dyDescent="0.3">
      <c r="A580">
        <v>205</v>
      </c>
      <c r="B580">
        <v>2</v>
      </c>
      <c r="C580">
        <v>24</v>
      </c>
      <c r="D580">
        <v>2</v>
      </c>
      <c r="E580" s="1">
        <v>549.99</v>
      </c>
      <c r="F580" s="1">
        <v>0.1</v>
      </c>
      <c r="G580">
        <v>1099.98</v>
      </c>
      <c r="H580" s="22">
        <f>VLOOKUP(A580,[1]Orders!$A$2:$B$1616,2,0)</f>
        <v>42494</v>
      </c>
      <c r="J580" t="s">
        <v>25</v>
      </c>
      <c r="K580" t="s">
        <v>18</v>
      </c>
    </row>
    <row r="581" spans="1:11" x14ac:dyDescent="0.3">
      <c r="A581">
        <v>206</v>
      </c>
      <c r="B581">
        <v>1</v>
      </c>
      <c r="C581">
        <v>25</v>
      </c>
      <c r="D581">
        <v>1</v>
      </c>
      <c r="E581" s="1">
        <v>499.99</v>
      </c>
      <c r="F581" s="1">
        <v>0.05</v>
      </c>
      <c r="G581">
        <v>499.99</v>
      </c>
      <c r="H581" s="22">
        <f>VLOOKUP(A581,[1]Orders!$A$2:$B$1616,2,0)</f>
        <v>42494</v>
      </c>
      <c r="J581" t="s">
        <v>35</v>
      </c>
      <c r="K581" t="s">
        <v>37</v>
      </c>
    </row>
    <row r="582" spans="1:11" x14ac:dyDescent="0.3">
      <c r="A582">
        <v>206</v>
      </c>
      <c r="B582">
        <v>2</v>
      </c>
      <c r="C582">
        <v>20</v>
      </c>
      <c r="D582">
        <v>1</v>
      </c>
      <c r="E582" s="1">
        <v>599.99</v>
      </c>
      <c r="F582" s="1">
        <v>0.2</v>
      </c>
      <c r="G582">
        <v>599.99</v>
      </c>
      <c r="H582" s="22">
        <f>VLOOKUP(A582,[1]Orders!$A$2:$B$1616,2,0)</f>
        <v>42494</v>
      </c>
      <c r="J582" t="s">
        <v>10</v>
      </c>
      <c r="K582" t="s">
        <v>37</v>
      </c>
    </row>
    <row r="583" spans="1:11" x14ac:dyDescent="0.3">
      <c r="A583">
        <v>207</v>
      </c>
      <c r="B583">
        <v>1</v>
      </c>
      <c r="C583">
        <v>12</v>
      </c>
      <c r="D583">
        <v>2</v>
      </c>
      <c r="E583" s="1">
        <v>549.99</v>
      </c>
      <c r="F583" s="1">
        <v>0.2</v>
      </c>
      <c r="G583">
        <v>1099.98</v>
      </c>
      <c r="H583" s="22">
        <f>VLOOKUP(A583,[1]Orders!$A$2:$B$1616,2,0)</f>
        <v>42495</v>
      </c>
      <c r="J583" t="s">
        <v>25</v>
      </c>
      <c r="K583" t="s">
        <v>18</v>
      </c>
    </row>
    <row r="584" spans="1:11" x14ac:dyDescent="0.3">
      <c r="A584">
        <v>207</v>
      </c>
      <c r="B584">
        <v>2</v>
      </c>
      <c r="C584">
        <v>5</v>
      </c>
      <c r="D584">
        <v>1</v>
      </c>
      <c r="E584" s="1">
        <v>1320.99</v>
      </c>
      <c r="F584" s="1">
        <v>0.05</v>
      </c>
      <c r="G584">
        <v>1320.99</v>
      </c>
      <c r="H584" s="22">
        <f>VLOOKUP(A584,[1]Orders!$A$2:$B$1616,2,0)</f>
        <v>42495</v>
      </c>
      <c r="J584" t="s">
        <v>34</v>
      </c>
      <c r="K584" t="s">
        <v>18</v>
      </c>
    </row>
    <row r="585" spans="1:11" x14ac:dyDescent="0.3">
      <c r="A585">
        <v>207</v>
      </c>
      <c r="B585">
        <v>3</v>
      </c>
      <c r="C585">
        <v>11</v>
      </c>
      <c r="D585">
        <v>2</v>
      </c>
      <c r="E585" s="1">
        <v>1680.99</v>
      </c>
      <c r="F585" s="1">
        <v>7.0000000000000007E-2</v>
      </c>
      <c r="G585">
        <v>3361.98</v>
      </c>
      <c r="H585" s="22">
        <f>VLOOKUP(A585,[1]Orders!$A$2:$B$1616,2,0)</f>
        <v>42495</v>
      </c>
      <c r="J585" t="s">
        <v>30</v>
      </c>
      <c r="K585" t="s">
        <v>18</v>
      </c>
    </row>
    <row r="586" spans="1:11" x14ac:dyDescent="0.3">
      <c r="A586">
        <v>207</v>
      </c>
      <c r="B586">
        <v>4</v>
      </c>
      <c r="C586">
        <v>7</v>
      </c>
      <c r="D586">
        <v>2</v>
      </c>
      <c r="E586" s="1">
        <v>3999.99</v>
      </c>
      <c r="F586" s="1">
        <v>0.1</v>
      </c>
      <c r="G586">
        <v>7999.98</v>
      </c>
      <c r="H586" s="22">
        <f>VLOOKUP(A586,[1]Orders!$A$2:$B$1616,2,0)</f>
        <v>42495</v>
      </c>
      <c r="J586" t="s">
        <v>29</v>
      </c>
      <c r="K586" t="s">
        <v>18</v>
      </c>
    </row>
    <row r="587" spans="1:11" x14ac:dyDescent="0.3">
      <c r="A587">
        <v>208</v>
      </c>
      <c r="B587">
        <v>1</v>
      </c>
      <c r="C587">
        <v>6</v>
      </c>
      <c r="D587">
        <v>2</v>
      </c>
      <c r="E587" s="1">
        <v>469.99</v>
      </c>
      <c r="F587" s="1">
        <v>0.05</v>
      </c>
      <c r="G587">
        <v>939.98</v>
      </c>
      <c r="H587" s="22">
        <f>VLOOKUP(A587,[1]Orders!$A$2:$B$1616,2,0)</f>
        <v>42496</v>
      </c>
      <c r="J587" t="s">
        <v>32</v>
      </c>
      <c r="K587" t="s">
        <v>18</v>
      </c>
    </row>
    <row r="588" spans="1:11" x14ac:dyDescent="0.3">
      <c r="A588">
        <v>208</v>
      </c>
      <c r="B588">
        <v>2</v>
      </c>
      <c r="C588">
        <v>4</v>
      </c>
      <c r="D588">
        <v>2</v>
      </c>
      <c r="E588" s="1">
        <v>2899.99</v>
      </c>
      <c r="F588" s="1">
        <v>7.0000000000000007E-2</v>
      </c>
      <c r="G588">
        <v>5799.98</v>
      </c>
      <c r="H588" s="22">
        <f>VLOOKUP(A588,[1]Orders!$A$2:$B$1616,2,0)</f>
        <v>42496</v>
      </c>
      <c r="J588" t="s">
        <v>16</v>
      </c>
      <c r="K588" t="s">
        <v>18</v>
      </c>
    </row>
    <row r="589" spans="1:11" x14ac:dyDescent="0.3">
      <c r="A589">
        <v>208</v>
      </c>
      <c r="B589">
        <v>3</v>
      </c>
      <c r="C589">
        <v>3</v>
      </c>
      <c r="D589">
        <v>1</v>
      </c>
      <c r="E589" s="1">
        <v>999.99</v>
      </c>
      <c r="F589" s="1">
        <v>0.05</v>
      </c>
      <c r="G589">
        <v>999.99</v>
      </c>
      <c r="H589" s="22">
        <f>VLOOKUP(A589,[1]Orders!$A$2:$B$1616,2,0)</f>
        <v>42496</v>
      </c>
      <c r="J589" t="s">
        <v>20</v>
      </c>
      <c r="K589" t="s">
        <v>18</v>
      </c>
    </row>
    <row r="590" spans="1:11" x14ac:dyDescent="0.3">
      <c r="A590">
        <v>208</v>
      </c>
      <c r="B590">
        <v>4</v>
      </c>
      <c r="C590">
        <v>12</v>
      </c>
      <c r="D590">
        <v>1</v>
      </c>
      <c r="E590" s="1">
        <v>549.99</v>
      </c>
      <c r="F590" s="1">
        <v>0.2</v>
      </c>
      <c r="G590">
        <v>549.99</v>
      </c>
      <c r="H590" s="22">
        <f>VLOOKUP(A590,[1]Orders!$A$2:$B$1616,2,0)</f>
        <v>42496</v>
      </c>
      <c r="J590" t="s">
        <v>25</v>
      </c>
      <c r="K590" t="s">
        <v>18</v>
      </c>
    </row>
    <row r="591" spans="1:11" x14ac:dyDescent="0.3">
      <c r="A591">
        <v>208</v>
      </c>
      <c r="B591">
        <v>5</v>
      </c>
      <c r="C591">
        <v>10</v>
      </c>
      <c r="D591">
        <v>2</v>
      </c>
      <c r="E591" s="1">
        <v>1549</v>
      </c>
      <c r="F591" s="1">
        <v>0.05</v>
      </c>
      <c r="G591">
        <v>3098</v>
      </c>
      <c r="H591" s="22">
        <f>VLOOKUP(A591,[1]Orders!$A$2:$B$1616,2,0)</f>
        <v>42496</v>
      </c>
      <c r="J591" t="s">
        <v>13</v>
      </c>
      <c r="K591" t="s">
        <v>18</v>
      </c>
    </row>
    <row r="592" spans="1:11" x14ac:dyDescent="0.3">
      <c r="A592">
        <v>209</v>
      </c>
      <c r="B592">
        <v>1</v>
      </c>
      <c r="C592">
        <v>13</v>
      </c>
      <c r="D592">
        <v>1</v>
      </c>
      <c r="E592" s="1">
        <v>269.99</v>
      </c>
      <c r="F592" s="1">
        <v>0.1</v>
      </c>
      <c r="G592">
        <v>269.99</v>
      </c>
      <c r="H592" s="22">
        <f>VLOOKUP(A592,[1]Orders!$A$2:$B$1616,2,0)</f>
        <v>42497</v>
      </c>
      <c r="J592" t="s">
        <v>31</v>
      </c>
      <c r="K592" t="s">
        <v>18</v>
      </c>
    </row>
    <row r="593" spans="1:11" x14ac:dyDescent="0.3">
      <c r="A593">
        <v>210</v>
      </c>
      <c r="B593">
        <v>1</v>
      </c>
      <c r="C593">
        <v>14</v>
      </c>
      <c r="D593">
        <v>1</v>
      </c>
      <c r="E593" s="1">
        <v>269.99</v>
      </c>
      <c r="F593" s="1">
        <v>7.0000000000000007E-2</v>
      </c>
      <c r="G593">
        <v>269.99</v>
      </c>
      <c r="H593" s="22">
        <f>VLOOKUP(A593,[1]Orders!$A$2:$B$1616,2,0)</f>
        <v>42497</v>
      </c>
      <c r="J593" t="s">
        <v>28</v>
      </c>
      <c r="K593" t="s">
        <v>18</v>
      </c>
    </row>
    <row r="594" spans="1:11" x14ac:dyDescent="0.3">
      <c r="A594">
        <v>210</v>
      </c>
      <c r="B594">
        <v>2</v>
      </c>
      <c r="C594">
        <v>13</v>
      </c>
      <c r="D594">
        <v>2</v>
      </c>
      <c r="E594" s="1">
        <v>269.99</v>
      </c>
      <c r="F594" s="1">
        <v>0.2</v>
      </c>
      <c r="G594">
        <v>539.98</v>
      </c>
      <c r="H594" s="22">
        <f>VLOOKUP(A594,[1]Orders!$A$2:$B$1616,2,0)</f>
        <v>42497</v>
      </c>
      <c r="J594" t="s">
        <v>31</v>
      </c>
      <c r="K594" t="s">
        <v>18</v>
      </c>
    </row>
    <row r="595" spans="1:11" x14ac:dyDescent="0.3">
      <c r="A595">
        <v>211</v>
      </c>
      <c r="B595">
        <v>1</v>
      </c>
      <c r="C595">
        <v>10</v>
      </c>
      <c r="D595">
        <v>1</v>
      </c>
      <c r="E595" s="1">
        <v>1549</v>
      </c>
      <c r="F595" s="1">
        <v>7.0000000000000007E-2</v>
      </c>
      <c r="G595">
        <v>1549</v>
      </c>
      <c r="H595" s="22">
        <f>VLOOKUP(A595,[1]Orders!$A$2:$B$1616,2,0)</f>
        <v>42497</v>
      </c>
      <c r="J595" t="s">
        <v>13</v>
      </c>
      <c r="K595" t="s">
        <v>18</v>
      </c>
    </row>
    <row r="596" spans="1:11" x14ac:dyDescent="0.3">
      <c r="A596">
        <v>211</v>
      </c>
      <c r="B596">
        <v>2</v>
      </c>
      <c r="C596">
        <v>2</v>
      </c>
      <c r="D596">
        <v>2</v>
      </c>
      <c r="E596" s="1">
        <v>749.99</v>
      </c>
      <c r="F596" s="1">
        <v>7.0000000000000007E-2</v>
      </c>
      <c r="G596">
        <v>1499.98</v>
      </c>
      <c r="H596" s="22">
        <f>VLOOKUP(A596,[1]Orders!$A$2:$B$1616,2,0)</f>
        <v>42497</v>
      </c>
      <c r="J596" t="s">
        <v>22</v>
      </c>
      <c r="K596" t="s">
        <v>18</v>
      </c>
    </row>
    <row r="597" spans="1:11" x14ac:dyDescent="0.3">
      <c r="A597">
        <v>212</v>
      </c>
      <c r="B597">
        <v>1</v>
      </c>
      <c r="C597">
        <v>16</v>
      </c>
      <c r="D597">
        <v>2</v>
      </c>
      <c r="E597" s="1">
        <v>599.99</v>
      </c>
      <c r="F597" s="1">
        <v>7.0000000000000007E-2</v>
      </c>
      <c r="G597">
        <v>1199.98</v>
      </c>
      <c r="H597" s="22">
        <f>VLOOKUP(A597,[1]Orders!$A$2:$B$1616,2,0)</f>
        <v>42498</v>
      </c>
      <c r="J597" t="s">
        <v>14</v>
      </c>
      <c r="K597" t="s">
        <v>18</v>
      </c>
    </row>
    <row r="598" spans="1:11" x14ac:dyDescent="0.3">
      <c r="A598">
        <v>212</v>
      </c>
      <c r="B598">
        <v>2</v>
      </c>
      <c r="C598">
        <v>12</v>
      </c>
      <c r="D598">
        <v>2</v>
      </c>
      <c r="E598" s="1">
        <v>549.99</v>
      </c>
      <c r="F598" s="1">
        <v>0.2</v>
      </c>
      <c r="G598">
        <v>1099.98</v>
      </c>
      <c r="H598" s="22">
        <f>VLOOKUP(A598,[1]Orders!$A$2:$B$1616,2,0)</f>
        <v>42498</v>
      </c>
      <c r="J598" t="s">
        <v>25</v>
      </c>
      <c r="K598" t="s">
        <v>18</v>
      </c>
    </row>
    <row r="599" spans="1:11" x14ac:dyDescent="0.3">
      <c r="A599">
        <v>212</v>
      </c>
      <c r="B599">
        <v>3</v>
      </c>
      <c r="C599">
        <v>19</v>
      </c>
      <c r="D599">
        <v>1</v>
      </c>
      <c r="E599" s="1">
        <v>449</v>
      </c>
      <c r="F599" s="1">
        <v>0.1</v>
      </c>
      <c r="G599">
        <v>449</v>
      </c>
      <c r="H599" s="22">
        <f>VLOOKUP(A599,[1]Orders!$A$2:$B$1616,2,0)</f>
        <v>42498</v>
      </c>
      <c r="J599" t="s">
        <v>36</v>
      </c>
      <c r="K599" t="s">
        <v>18</v>
      </c>
    </row>
    <row r="600" spans="1:11" x14ac:dyDescent="0.3">
      <c r="A600">
        <v>212</v>
      </c>
      <c r="B600">
        <v>4</v>
      </c>
      <c r="C600">
        <v>7</v>
      </c>
      <c r="D600">
        <v>1</v>
      </c>
      <c r="E600" s="1">
        <v>3999.99</v>
      </c>
      <c r="F600" s="1">
        <v>0.2</v>
      </c>
      <c r="G600">
        <v>3999.99</v>
      </c>
      <c r="H600" s="22">
        <f>VLOOKUP(A600,[1]Orders!$A$2:$B$1616,2,0)</f>
        <v>42498</v>
      </c>
      <c r="J600" t="s">
        <v>29</v>
      </c>
      <c r="K600" t="s">
        <v>18</v>
      </c>
    </row>
    <row r="601" spans="1:11" x14ac:dyDescent="0.3">
      <c r="A601">
        <v>213</v>
      </c>
      <c r="B601">
        <v>1</v>
      </c>
      <c r="C601">
        <v>13</v>
      </c>
      <c r="D601">
        <v>1</v>
      </c>
      <c r="E601" s="1">
        <v>269.99</v>
      </c>
      <c r="F601" s="1">
        <v>0.1</v>
      </c>
      <c r="G601">
        <v>269.99</v>
      </c>
      <c r="H601" s="22">
        <f>VLOOKUP(A601,[1]Orders!$A$2:$B$1616,2,0)</f>
        <v>42498</v>
      </c>
      <c r="J601" t="s">
        <v>31</v>
      </c>
      <c r="K601" t="s">
        <v>37</v>
      </c>
    </row>
    <row r="602" spans="1:11" x14ac:dyDescent="0.3">
      <c r="A602">
        <v>214</v>
      </c>
      <c r="B602">
        <v>1</v>
      </c>
      <c r="C602">
        <v>21</v>
      </c>
      <c r="D602">
        <v>1</v>
      </c>
      <c r="E602" s="1">
        <v>269.99</v>
      </c>
      <c r="F602" s="1">
        <v>0.1</v>
      </c>
      <c r="G602">
        <v>269.99</v>
      </c>
      <c r="H602" s="22">
        <f>VLOOKUP(A602,[1]Orders!$A$2:$B$1616,2,0)</f>
        <v>42500</v>
      </c>
      <c r="J602" t="s">
        <v>31</v>
      </c>
      <c r="K602" t="s">
        <v>18</v>
      </c>
    </row>
    <row r="603" spans="1:11" x14ac:dyDescent="0.3">
      <c r="A603">
        <v>215</v>
      </c>
      <c r="B603">
        <v>1</v>
      </c>
      <c r="C603">
        <v>19</v>
      </c>
      <c r="D603">
        <v>1</v>
      </c>
      <c r="E603" s="1">
        <v>449</v>
      </c>
      <c r="F603" s="1">
        <v>7.0000000000000007E-2</v>
      </c>
      <c r="G603">
        <v>449</v>
      </c>
      <c r="H603" s="22">
        <f>VLOOKUP(A603,[1]Orders!$A$2:$B$1616,2,0)</f>
        <v>42500</v>
      </c>
      <c r="J603" t="s">
        <v>36</v>
      </c>
      <c r="K603" t="s">
        <v>18</v>
      </c>
    </row>
    <row r="604" spans="1:11" x14ac:dyDescent="0.3">
      <c r="A604">
        <v>215</v>
      </c>
      <c r="B604">
        <v>2</v>
      </c>
      <c r="C604">
        <v>12</v>
      </c>
      <c r="D604">
        <v>2</v>
      </c>
      <c r="E604" s="1">
        <v>549.99</v>
      </c>
      <c r="F604" s="1">
        <v>0.1</v>
      </c>
      <c r="G604">
        <v>1099.98</v>
      </c>
      <c r="H604" s="22">
        <f>VLOOKUP(A604,[1]Orders!$A$2:$B$1616,2,0)</f>
        <v>42500</v>
      </c>
      <c r="J604" t="s">
        <v>25</v>
      </c>
      <c r="K604" t="s">
        <v>18</v>
      </c>
    </row>
    <row r="605" spans="1:11" x14ac:dyDescent="0.3">
      <c r="A605">
        <v>216</v>
      </c>
      <c r="B605">
        <v>1</v>
      </c>
      <c r="C605">
        <v>22</v>
      </c>
      <c r="D605">
        <v>2</v>
      </c>
      <c r="E605" s="1">
        <v>269.99</v>
      </c>
      <c r="F605" s="1">
        <v>0.1</v>
      </c>
      <c r="G605">
        <v>539.98</v>
      </c>
      <c r="H605" s="22">
        <f>VLOOKUP(A605,[1]Orders!$A$2:$B$1616,2,0)</f>
        <v>42501</v>
      </c>
      <c r="J605" t="s">
        <v>28</v>
      </c>
      <c r="K605" t="s">
        <v>11</v>
      </c>
    </row>
    <row r="606" spans="1:11" x14ac:dyDescent="0.3">
      <c r="A606">
        <v>216</v>
      </c>
      <c r="B606">
        <v>2</v>
      </c>
      <c r="C606">
        <v>16</v>
      </c>
      <c r="D606">
        <v>2</v>
      </c>
      <c r="E606" s="1">
        <v>599.99</v>
      </c>
      <c r="F606" s="1">
        <v>0.05</v>
      </c>
      <c r="G606">
        <v>1199.98</v>
      </c>
      <c r="H606" s="22">
        <f>VLOOKUP(A606,[1]Orders!$A$2:$B$1616,2,0)</f>
        <v>42501</v>
      </c>
      <c r="J606" t="s">
        <v>14</v>
      </c>
      <c r="K606" t="s">
        <v>11</v>
      </c>
    </row>
    <row r="607" spans="1:11" x14ac:dyDescent="0.3">
      <c r="A607">
        <v>217</v>
      </c>
      <c r="B607">
        <v>1</v>
      </c>
      <c r="C607">
        <v>18</v>
      </c>
      <c r="D607">
        <v>1</v>
      </c>
      <c r="E607" s="1">
        <v>449</v>
      </c>
      <c r="F607" s="1">
        <v>0.1</v>
      </c>
      <c r="G607">
        <v>449</v>
      </c>
      <c r="H607" s="22">
        <f>VLOOKUP(A607,[1]Orders!$A$2:$B$1616,2,0)</f>
        <v>42501</v>
      </c>
      <c r="J607" t="s">
        <v>24</v>
      </c>
      <c r="K607" t="s">
        <v>18</v>
      </c>
    </row>
    <row r="608" spans="1:11" x14ac:dyDescent="0.3">
      <c r="A608">
        <v>217</v>
      </c>
      <c r="B608">
        <v>2</v>
      </c>
      <c r="C608">
        <v>10</v>
      </c>
      <c r="D608">
        <v>2</v>
      </c>
      <c r="E608" s="1">
        <v>1549</v>
      </c>
      <c r="F608" s="1">
        <v>0.1</v>
      </c>
      <c r="G608">
        <v>3098</v>
      </c>
      <c r="H608" s="22">
        <f>VLOOKUP(A608,[1]Orders!$A$2:$B$1616,2,0)</f>
        <v>42501</v>
      </c>
      <c r="J608" t="s">
        <v>13</v>
      </c>
      <c r="K608" t="s">
        <v>18</v>
      </c>
    </row>
    <row r="609" spans="1:11" x14ac:dyDescent="0.3">
      <c r="A609">
        <v>217</v>
      </c>
      <c r="B609">
        <v>3</v>
      </c>
      <c r="C609">
        <v>17</v>
      </c>
      <c r="D609">
        <v>1</v>
      </c>
      <c r="E609" s="1">
        <v>429</v>
      </c>
      <c r="F609" s="1">
        <v>7.0000000000000007E-2</v>
      </c>
      <c r="G609">
        <v>429</v>
      </c>
      <c r="H609" s="22">
        <f>VLOOKUP(A609,[1]Orders!$A$2:$B$1616,2,0)</f>
        <v>42501</v>
      </c>
      <c r="J609" t="s">
        <v>23</v>
      </c>
      <c r="K609" t="s">
        <v>18</v>
      </c>
    </row>
    <row r="610" spans="1:11" x14ac:dyDescent="0.3">
      <c r="A610">
        <v>218</v>
      </c>
      <c r="B610">
        <v>1</v>
      </c>
      <c r="C610">
        <v>2</v>
      </c>
      <c r="D610">
        <v>2</v>
      </c>
      <c r="E610" s="1">
        <v>749.99</v>
      </c>
      <c r="F610" s="1">
        <v>0.1</v>
      </c>
      <c r="G610">
        <v>1499.98</v>
      </c>
      <c r="H610" s="22">
        <f>VLOOKUP(A610,[1]Orders!$A$2:$B$1616,2,0)</f>
        <v>42502</v>
      </c>
      <c r="J610" t="s">
        <v>22</v>
      </c>
      <c r="K610" t="s">
        <v>18</v>
      </c>
    </row>
    <row r="611" spans="1:11" x14ac:dyDescent="0.3">
      <c r="A611">
        <v>218</v>
      </c>
      <c r="B611">
        <v>2</v>
      </c>
      <c r="C611">
        <v>13</v>
      </c>
      <c r="D611">
        <v>1</v>
      </c>
      <c r="E611" s="1">
        <v>269.99</v>
      </c>
      <c r="F611" s="1">
        <v>7.0000000000000007E-2</v>
      </c>
      <c r="G611">
        <v>269.99</v>
      </c>
      <c r="H611" s="22">
        <f>VLOOKUP(A611,[1]Orders!$A$2:$B$1616,2,0)</f>
        <v>42502</v>
      </c>
      <c r="J611" t="s">
        <v>31</v>
      </c>
      <c r="K611" t="s">
        <v>18</v>
      </c>
    </row>
    <row r="612" spans="1:11" x14ac:dyDescent="0.3">
      <c r="A612">
        <v>218</v>
      </c>
      <c r="B612">
        <v>3</v>
      </c>
      <c r="C612">
        <v>12</v>
      </c>
      <c r="D612">
        <v>1</v>
      </c>
      <c r="E612" s="1">
        <v>549.99</v>
      </c>
      <c r="F612" s="1">
        <v>0.05</v>
      </c>
      <c r="G612">
        <v>549.99</v>
      </c>
      <c r="H612" s="22">
        <f>VLOOKUP(A612,[1]Orders!$A$2:$B$1616,2,0)</f>
        <v>42502</v>
      </c>
      <c r="J612" t="s">
        <v>25</v>
      </c>
      <c r="K612" t="s">
        <v>18</v>
      </c>
    </row>
    <row r="613" spans="1:11" x14ac:dyDescent="0.3">
      <c r="A613">
        <v>219</v>
      </c>
      <c r="B613">
        <v>1</v>
      </c>
      <c r="C613">
        <v>26</v>
      </c>
      <c r="D613">
        <v>1</v>
      </c>
      <c r="E613" s="1">
        <v>599.99</v>
      </c>
      <c r="F613" s="1">
        <v>0.05</v>
      </c>
      <c r="G613">
        <v>599.99</v>
      </c>
      <c r="H613" s="22">
        <f>VLOOKUP(A613,[1]Orders!$A$2:$B$1616,2,0)</f>
        <v>42502</v>
      </c>
      <c r="J613" t="s">
        <v>14</v>
      </c>
      <c r="K613" t="s">
        <v>18</v>
      </c>
    </row>
    <row r="614" spans="1:11" x14ac:dyDescent="0.3">
      <c r="A614">
        <v>219</v>
      </c>
      <c r="B614">
        <v>2</v>
      </c>
      <c r="C614">
        <v>5</v>
      </c>
      <c r="D614">
        <v>1</v>
      </c>
      <c r="E614" s="1">
        <v>1320.99</v>
      </c>
      <c r="F614" s="1">
        <v>0.2</v>
      </c>
      <c r="G614">
        <v>1320.99</v>
      </c>
      <c r="H614" s="22">
        <f>VLOOKUP(A614,[1]Orders!$A$2:$B$1616,2,0)</f>
        <v>42502</v>
      </c>
      <c r="J614" t="s">
        <v>34</v>
      </c>
      <c r="K614" t="s">
        <v>18</v>
      </c>
    </row>
    <row r="615" spans="1:11" x14ac:dyDescent="0.3">
      <c r="A615">
        <v>220</v>
      </c>
      <c r="B615">
        <v>1</v>
      </c>
      <c r="C615">
        <v>6</v>
      </c>
      <c r="D615">
        <v>2</v>
      </c>
      <c r="E615" s="1">
        <v>469.99</v>
      </c>
      <c r="F615" s="1">
        <v>0.05</v>
      </c>
      <c r="G615">
        <v>939.98</v>
      </c>
      <c r="H615" s="22">
        <f>VLOOKUP(A615,[1]Orders!$A$2:$B$1616,2,0)</f>
        <v>42502</v>
      </c>
      <c r="J615" t="s">
        <v>32</v>
      </c>
      <c r="K615" t="s">
        <v>18</v>
      </c>
    </row>
    <row r="616" spans="1:11" x14ac:dyDescent="0.3">
      <c r="A616">
        <v>220</v>
      </c>
      <c r="B616">
        <v>2</v>
      </c>
      <c r="C616">
        <v>25</v>
      </c>
      <c r="D616">
        <v>1</v>
      </c>
      <c r="E616" s="1">
        <v>499.99</v>
      </c>
      <c r="F616" s="1">
        <v>7.0000000000000007E-2</v>
      </c>
      <c r="G616">
        <v>499.99</v>
      </c>
      <c r="H616" s="22">
        <f>VLOOKUP(A616,[1]Orders!$A$2:$B$1616,2,0)</f>
        <v>42502</v>
      </c>
      <c r="J616" t="s">
        <v>35</v>
      </c>
      <c r="K616" t="s">
        <v>18</v>
      </c>
    </row>
    <row r="617" spans="1:11" x14ac:dyDescent="0.3">
      <c r="A617">
        <v>220</v>
      </c>
      <c r="B617">
        <v>3</v>
      </c>
      <c r="C617">
        <v>22</v>
      </c>
      <c r="D617">
        <v>2</v>
      </c>
      <c r="E617" s="1">
        <v>269.99</v>
      </c>
      <c r="F617" s="1">
        <v>0.1</v>
      </c>
      <c r="G617">
        <v>539.98</v>
      </c>
      <c r="H617" s="22">
        <f>VLOOKUP(A617,[1]Orders!$A$2:$B$1616,2,0)</f>
        <v>42502</v>
      </c>
      <c r="J617" t="s">
        <v>28</v>
      </c>
      <c r="K617" t="s">
        <v>18</v>
      </c>
    </row>
    <row r="618" spans="1:11" x14ac:dyDescent="0.3">
      <c r="A618">
        <v>220</v>
      </c>
      <c r="B618">
        <v>4</v>
      </c>
      <c r="C618">
        <v>3</v>
      </c>
      <c r="D618">
        <v>2</v>
      </c>
      <c r="E618" s="1">
        <v>999.99</v>
      </c>
      <c r="F618" s="1">
        <v>0.2</v>
      </c>
      <c r="G618">
        <v>1999.98</v>
      </c>
      <c r="H618" s="22">
        <f>VLOOKUP(A618,[1]Orders!$A$2:$B$1616,2,0)</f>
        <v>42502</v>
      </c>
      <c r="J618" t="s">
        <v>20</v>
      </c>
      <c r="K618" t="s">
        <v>18</v>
      </c>
    </row>
    <row r="619" spans="1:11" x14ac:dyDescent="0.3">
      <c r="A619">
        <v>221</v>
      </c>
      <c r="B619">
        <v>1</v>
      </c>
      <c r="C619">
        <v>11</v>
      </c>
      <c r="D619">
        <v>2</v>
      </c>
      <c r="E619" s="1">
        <v>1680.99</v>
      </c>
      <c r="F619" s="1">
        <v>7.0000000000000007E-2</v>
      </c>
      <c r="G619">
        <v>3361.98</v>
      </c>
      <c r="H619" s="22">
        <f>VLOOKUP(A619,[1]Orders!$A$2:$B$1616,2,0)</f>
        <v>42503</v>
      </c>
      <c r="J619" t="s">
        <v>30</v>
      </c>
      <c r="K619" t="s">
        <v>11</v>
      </c>
    </row>
    <row r="620" spans="1:11" x14ac:dyDescent="0.3">
      <c r="A620">
        <v>222</v>
      </c>
      <c r="B620">
        <v>1</v>
      </c>
      <c r="C620">
        <v>10</v>
      </c>
      <c r="D620">
        <v>1</v>
      </c>
      <c r="E620" s="1">
        <v>1549</v>
      </c>
      <c r="F620" s="1">
        <v>0.1</v>
      </c>
      <c r="G620">
        <v>1549</v>
      </c>
      <c r="H620" s="22">
        <f>VLOOKUP(A620,[1]Orders!$A$2:$B$1616,2,0)</f>
        <v>42503</v>
      </c>
      <c r="J620" t="s">
        <v>13</v>
      </c>
      <c r="K620" t="s">
        <v>18</v>
      </c>
    </row>
    <row r="621" spans="1:11" x14ac:dyDescent="0.3">
      <c r="A621">
        <v>222</v>
      </c>
      <c r="B621">
        <v>2</v>
      </c>
      <c r="C621">
        <v>2</v>
      </c>
      <c r="D621">
        <v>2</v>
      </c>
      <c r="E621" s="1">
        <v>749.99</v>
      </c>
      <c r="F621" s="1">
        <v>0.1</v>
      </c>
      <c r="G621">
        <v>1499.98</v>
      </c>
      <c r="H621" s="22">
        <f>VLOOKUP(A621,[1]Orders!$A$2:$B$1616,2,0)</f>
        <v>42503</v>
      </c>
      <c r="J621" t="s">
        <v>22</v>
      </c>
      <c r="K621" t="s">
        <v>18</v>
      </c>
    </row>
    <row r="622" spans="1:11" x14ac:dyDescent="0.3">
      <c r="A622">
        <v>223</v>
      </c>
      <c r="B622">
        <v>1</v>
      </c>
      <c r="C622">
        <v>7</v>
      </c>
      <c r="D622">
        <v>2</v>
      </c>
      <c r="E622" s="1">
        <v>3999.99</v>
      </c>
      <c r="F622" s="1">
        <v>0.05</v>
      </c>
      <c r="G622">
        <v>7999.98</v>
      </c>
      <c r="H622" s="22">
        <f>VLOOKUP(A622,[1]Orders!$A$2:$B$1616,2,0)</f>
        <v>42505</v>
      </c>
      <c r="J622" t="s">
        <v>29</v>
      </c>
      <c r="K622" t="s">
        <v>18</v>
      </c>
    </row>
    <row r="623" spans="1:11" x14ac:dyDescent="0.3">
      <c r="A623">
        <v>223</v>
      </c>
      <c r="B623">
        <v>2</v>
      </c>
      <c r="C623">
        <v>5</v>
      </c>
      <c r="D623">
        <v>1</v>
      </c>
      <c r="E623" s="1">
        <v>1320.99</v>
      </c>
      <c r="F623" s="1">
        <v>0.2</v>
      </c>
      <c r="G623">
        <v>1320.99</v>
      </c>
      <c r="H623" s="22">
        <f>VLOOKUP(A623,[1]Orders!$A$2:$B$1616,2,0)</f>
        <v>42505</v>
      </c>
      <c r="J623" t="s">
        <v>34</v>
      </c>
      <c r="K623" t="s">
        <v>18</v>
      </c>
    </row>
    <row r="624" spans="1:11" x14ac:dyDescent="0.3">
      <c r="A624">
        <v>223</v>
      </c>
      <c r="B624">
        <v>3</v>
      </c>
      <c r="C624">
        <v>21</v>
      </c>
      <c r="D624">
        <v>2</v>
      </c>
      <c r="E624" s="1">
        <v>269.99</v>
      </c>
      <c r="F624" s="1">
        <v>0.1</v>
      </c>
      <c r="G624">
        <v>539.98</v>
      </c>
      <c r="H624" s="22">
        <f>VLOOKUP(A624,[1]Orders!$A$2:$B$1616,2,0)</f>
        <v>42505</v>
      </c>
      <c r="J624" t="s">
        <v>31</v>
      </c>
      <c r="K624" t="s">
        <v>18</v>
      </c>
    </row>
    <row r="625" spans="1:11" x14ac:dyDescent="0.3">
      <c r="A625">
        <v>223</v>
      </c>
      <c r="B625">
        <v>4</v>
      </c>
      <c r="C625">
        <v>20</v>
      </c>
      <c r="D625">
        <v>1</v>
      </c>
      <c r="E625" s="1">
        <v>599.99</v>
      </c>
      <c r="F625" s="1">
        <v>0.05</v>
      </c>
      <c r="G625">
        <v>599.99</v>
      </c>
      <c r="H625" s="22">
        <f>VLOOKUP(A625,[1]Orders!$A$2:$B$1616,2,0)</f>
        <v>42505</v>
      </c>
      <c r="J625" t="s">
        <v>10</v>
      </c>
      <c r="K625" t="s">
        <v>18</v>
      </c>
    </row>
    <row r="626" spans="1:11" x14ac:dyDescent="0.3">
      <c r="A626">
        <v>223</v>
      </c>
      <c r="B626">
        <v>5</v>
      </c>
      <c r="C626">
        <v>15</v>
      </c>
      <c r="D626">
        <v>1</v>
      </c>
      <c r="E626" s="1">
        <v>529.99</v>
      </c>
      <c r="F626" s="1">
        <v>0.05</v>
      </c>
      <c r="G626">
        <v>529.99</v>
      </c>
      <c r="H626" s="22">
        <f>VLOOKUP(A626,[1]Orders!$A$2:$B$1616,2,0)</f>
        <v>42505</v>
      </c>
      <c r="J626" t="s">
        <v>27</v>
      </c>
      <c r="K626" t="s">
        <v>18</v>
      </c>
    </row>
    <row r="627" spans="1:11" x14ac:dyDescent="0.3">
      <c r="A627">
        <v>224</v>
      </c>
      <c r="B627">
        <v>1</v>
      </c>
      <c r="C627">
        <v>6</v>
      </c>
      <c r="D627">
        <v>1</v>
      </c>
      <c r="E627" s="1">
        <v>469.99</v>
      </c>
      <c r="F627" s="1">
        <v>7.0000000000000007E-2</v>
      </c>
      <c r="G627">
        <v>469.99</v>
      </c>
      <c r="H627" s="22">
        <f>VLOOKUP(A627,[1]Orders!$A$2:$B$1616,2,0)</f>
        <v>42507</v>
      </c>
      <c r="J627" t="s">
        <v>32</v>
      </c>
      <c r="K627" t="s">
        <v>11</v>
      </c>
    </row>
    <row r="628" spans="1:11" x14ac:dyDescent="0.3">
      <c r="A628">
        <v>224</v>
      </c>
      <c r="B628">
        <v>2</v>
      </c>
      <c r="C628">
        <v>11</v>
      </c>
      <c r="D628">
        <v>2</v>
      </c>
      <c r="E628" s="1">
        <v>1680.99</v>
      </c>
      <c r="F628" s="1">
        <v>0.1</v>
      </c>
      <c r="G628">
        <v>3361.98</v>
      </c>
      <c r="H628" s="22">
        <f>VLOOKUP(A628,[1]Orders!$A$2:$B$1616,2,0)</f>
        <v>42507</v>
      </c>
      <c r="J628" t="s">
        <v>30</v>
      </c>
      <c r="K628" t="s">
        <v>11</v>
      </c>
    </row>
    <row r="629" spans="1:11" x14ac:dyDescent="0.3">
      <c r="A629">
        <v>224</v>
      </c>
      <c r="B629">
        <v>3</v>
      </c>
      <c r="C629">
        <v>10</v>
      </c>
      <c r="D629">
        <v>2</v>
      </c>
      <c r="E629" s="1">
        <v>1549</v>
      </c>
      <c r="F629" s="1">
        <v>0.2</v>
      </c>
      <c r="G629">
        <v>3098</v>
      </c>
      <c r="H629" s="22">
        <f>VLOOKUP(A629,[1]Orders!$A$2:$B$1616,2,0)</f>
        <v>42507</v>
      </c>
      <c r="J629" t="s">
        <v>13</v>
      </c>
      <c r="K629" t="s">
        <v>11</v>
      </c>
    </row>
    <row r="630" spans="1:11" x14ac:dyDescent="0.3">
      <c r="A630">
        <v>224</v>
      </c>
      <c r="B630">
        <v>4</v>
      </c>
      <c r="C630">
        <v>25</v>
      </c>
      <c r="D630">
        <v>1</v>
      </c>
      <c r="E630" s="1">
        <v>499.99</v>
      </c>
      <c r="F630" s="1">
        <v>0.05</v>
      </c>
      <c r="G630">
        <v>499.99</v>
      </c>
      <c r="H630" s="22">
        <f>VLOOKUP(A630,[1]Orders!$A$2:$B$1616,2,0)</f>
        <v>42507</v>
      </c>
      <c r="J630" t="s">
        <v>35</v>
      </c>
      <c r="K630" t="s">
        <v>11</v>
      </c>
    </row>
    <row r="631" spans="1:11" x14ac:dyDescent="0.3">
      <c r="A631">
        <v>225</v>
      </c>
      <c r="B631">
        <v>1</v>
      </c>
      <c r="C631">
        <v>21</v>
      </c>
      <c r="D631">
        <v>1</v>
      </c>
      <c r="E631" s="1">
        <v>269.99</v>
      </c>
      <c r="F631" s="1">
        <v>0.1</v>
      </c>
      <c r="G631">
        <v>269.99</v>
      </c>
      <c r="H631" s="22">
        <f>VLOOKUP(A631,[1]Orders!$A$2:$B$1616,2,0)</f>
        <v>42507</v>
      </c>
      <c r="J631" t="s">
        <v>31</v>
      </c>
      <c r="K631" t="s">
        <v>11</v>
      </c>
    </row>
    <row r="632" spans="1:11" x14ac:dyDescent="0.3">
      <c r="A632">
        <v>225</v>
      </c>
      <c r="B632">
        <v>2</v>
      </c>
      <c r="C632">
        <v>9</v>
      </c>
      <c r="D632">
        <v>1</v>
      </c>
      <c r="E632" s="1">
        <v>2999.99</v>
      </c>
      <c r="F632" s="1">
        <v>0.1</v>
      </c>
      <c r="G632">
        <v>2999.99</v>
      </c>
      <c r="H632" s="22">
        <f>VLOOKUP(A632,[1]Orders!$A$2:$B$1616,2,0)</f>
        <v>42507</v>
      </c>
      <c r="J632" t="s">
        <v>26</v>
      </c>
      <c r="K632" t="s">
        <v>11</v>
      </c>
    </row>
    <row r="633" spans="1:11" x14ac:dyDescent="0.3">
      <c r="A633">
        <v>226</v>
      </c>
      <c r="B633">
        <v>1</v>
      </c>
      <c r="C633">
        <v>2</v>
      </c>
      <c r="D633">
        <v>1</v>
      </c>
      <c r="E633" s="1">
        <v>749.99</v>
      </c>
      <c r="F633" s="1">
        <v>0.05</v>
      </c>
      <c r="G633">
        <v>749.99</v>
      </c>
      <c r="H633" s="22">
        <f>VLOOKUP(A633,[1]Orders!$A$2:$B$1616,2,0)</f>
        <v>42507</v>
      </c>
      <c r="J633" t="s">
        <v>22</v>
      </c>
      <c r="K633" t="s">
        <v>11</v>
      </c>
    </row>
    <row r="634" spans="1:11" x14ac:dyDescent="0.3">
      <c r="A634">
        <v>227</v>
      </c>
      <c r="B634">
        <v>1</v>
      </c>
      <c r="C634">
        <v>3</v>
      </c>
      <c r="D634">
        <v>2</v>
      </c>
      <c r="E634" s="1">
        <v>999.99</v>
      </c>
      <c r="F634" s="1">
        <v>0.05</v>
      </c>
      <c r="G634">
        <v>1999.98</v>
      </c>
      <c r="H634" s="22">
        <f>VLOOKUP(A634,[1]Orders!$A$2:$B$1616,2,0)</f>
        <v>42507</v>
      </c>
      <c r="J634" t="s">
        <v>20</v>
      </c>
      <c r="K634" t="s">
        <v>18</v>
      </c>
    </row>
    <row r="635" spans="1:11" x14ac:dyDescent="0.3">
      <c r="A635">
        <v>227</v>
      </c>
      <c r="B635">
        <v>2</v>
      </c>
      <c r="C635">
        <v>15</v>
      </c>
      <c r="D635">
        <v>2</v>
      </c>
      <c r="E635" s="1">
        <v>529.99</v>
      </c>
      <c r="F635" s="1">
        <v>0.1</v>
      </c>
      <c r="G635">
        <v>1059.98</v>
      </c>
      <c r="H635" s="22">
        <f>VLOOKUP(A635,[1]Orders!$A$2:$B$1616,2,0)</f>
        <v>42507</v>
      </c>
      <c r="J635" t="s">
        <v>27</v>
      </c>
      <c r="K635" t="s">
        <v>18</v>
      </c>
    </row>
    <row r="636" spans="1:11" x14ac:dyDescent="0.3">
      <c r="A636">
        <v>228</v>
      </c>
      <c r="B636">
        <v>1</v>
      </c>
      <c r="C636">
        <v>25</v>
      </c>
      <c r="D636">
        <v>1</v>
      </c>
      <c r="E636" s="1">
        <v>499.99</v>
      </c>
      <c r="F636" s="1">
        <v>0.2</v>
      </c>
      <c r="G636">
        <v>499.99</v>
      </c>
      <c r="H636" s="22">
        <f>VLOOKUP(A636,[1]Orders!$A$2:$B$1616,2,0)</f>
        <v>42507</v>
      </c>
      <c r="J636" t="s">
        <v>35</v>
      </c>
      <c r="K636" t="s">
        <v>18</v>
      </c>
    </row>
    <row r="637" spans="1:11" x14ac:dyDescent="0.3">
      <c r="A637">
        <v>228</v>
      </c>
      <c r="B637">
        <v>2</v>
      </c>
      <c r="C637">
        <v>2</v>
      </c>
      <c r="D637">
        <v>2</v>
      </c>
      <c r="E637" s="1">
        <v>749.99</v>
      </c>
      <c r="F637" s="1">
        <v>7.0000000000000007E-2</v>
      </c>
      <c r="G637">
        <v>1499.98</v>
      </c>
      <c r="H637" s="22">
        <f>VLOOKUP(A637,[1]Orders!$A$2:$B$1616,2,0)</f>
        <v>42507</v>
      </c>
      <c r="J637" t="s">
        <v>22</v>
      </c>
      <c r="K637" t="s">
        <v>18</v>
      </c>
    </row>
    <row r="638" spans="1:11" x14ac:dyDescent="0.3">
      <c r="A638">
        <v>228</v>
      </c>
      <c r="B638">
        <v>3</v>
      </c>
      <c r="C638">
        <v>23</v>
      </c>
      <c r="D638">
        <v>2</v>
      </c>
      <c r="E638" s="1">
        <v>299.99</v>
      </c>
      <c r="F638" s="1">
        <v>0.1</v>
      </c>
      <c r="G638">
        <v>599.98</v>
      </c>
      <c r="H638" s="22">
        <f>VLOOKUP(A638,[1]Orders!$A$2:$B$1616,2,0)</f>
        <v>42507</v>
      </c>
      <c r="J638" t="s">
        <v>33</v>
      </c>
      <c r="K638" t="s">
        <v>18</v>
      </c>
    </row>
    <row r="639" spans="1:11" x14ac:dyDescent="0.3">
      <c r="A639">
        <v>228</v>
      </c>
      <c r="B639">
        <v>4</v>
      </c>
      <c r="C639">
        <v>4</v>
      </c>
      <c r="D639">
        <v>1</v>
      </c>
      <c r="E639" s="1">
        <v>2899.99</v>
      </c>
      <c r="F639" s="1">
        <v>0.2</v>
      </c>
      <c r="G639">
        <v>2899.99</v>
      </c>
      <c r="H639" s="22">
        <f>VLOOKUP(A639,[1]Orders!$A$2:$B$1616,2,0)</f>
        <v>42507</v>
      </c>
      <c r="J639" t="s">
        <v>16</v>
      </c>
      <c r="K639" t="s">
        <v>18</v>
      </c>
    </row>
    <row r="640" spans="1:11" x14ac:dyDescent="0.3">
      <c r="A640">
        <v>228</v>
      </c>
      <c r="B640">
        <v>5</v>
      </c>
      <c r="C640">
        <v>22</v>
      </c>
      <c r="D640">
        <v>1</v>
      </c>
      <c r="E640" s="1">
        <v>269.99</v>
      </c>
      <c r="F640" s="1">
        <v>0.05</v>
      </c>
      <c r="G640">
        <v>269.99</v>
      </c>
      <c r="H640" s="22">
        <f>VLOOKUP(A640,[1]Orders!$A$2:$B$1616,2,0)</f>
        <v>42507</v>
      </c>
      <c r="J640" t="s">
        <v>28</v>
      </c>
      <c r="K640" t="s">
        <v>18</v>
      </c>
    </row>
    <row r="641" spans="1:11" x14ac:dyDescent="0.3">
      <c r="A641">
        <v>229</v>
      </c>
      <c r="B641">
        <v>1</v>
      </c>
      <c r="C641">
        <v>25</v>
      </c>
      <c r="D641">
        <v>2</v>
      </c>
      <c r="E641" s="1">
        <v>499.99</v>
      </c>
      <c r="F641" s="1">
        <v>0.2</v>
      </c>
      <c r="G641">
        <v>999.98</v>
      </c>
      <c r="H641" s="22">
        <f>VLOOKUP(A641,[1]Orders!$A$2:$B$1616,2,0)</f>
        <v>42509</v>
      </c>
      <c r="J641" t="s">
        <v>35</v>
      </c>
      <c r="K641" t="s">
        <v>18</v>
      </c>
    </row>
    <row r="642" spans="1:11" x14ac:dyDescent="0.3">
      <c r="A642">
        <v>229</v>
      </c>
      <c r="B642">
        <v>2</v>
      </c>
      <c r="C642">
        <v>5</v>
      </c>
      <c r="D642">
        <v>2</v>
      </c>
      <c r="E642" s="1">
        <v>1320.99</v>
      </c>
      <c r="F642" s="1">
        <v>0.1</v>
      </c>
      <c r="G642">
        <v>2641.98</v>
      </c>
      <c r="H642" s="22">
        <f>VLOOKUP(A642,[1]Orders!$A$2:$B$1616,2,0)</f>
        <v>42509</v>
      </c>
      <c r="J642" t="s">
        <v>34</v>
      </c>
      <c r="K642" t="s">
        <v>18</v>
      </c>
    </row>
    <row r="643" spans="1:11" x14ac:dyDescent="0.3">
      <c r="A643">
        <v>229</v>
      </c>
      <c r="B643">
        <v>3</v>
      </c>
      <c r="C643">
        <v>8</v>
      </c>
      <c r="D643">
        <v>1</v>
      </c>
      <c r="E643" s="1">
        <v>1799.99</v>
      </c>
      <c r="F643" s="1">
        <v>0.2</v>
      </c>
      <c r="G643">
        <v>1799.99</v>
      </c>
      <c r="H643" s="22">
        <f>VLOOKUP(A643,[1]Orders!$A$2:$B$1616,2,0)</f>
        <v>42509</v>
      </c>
      <c r="J643" t="s">
        <v>12</v>
      </c>
      <c r="K643" t="s">
        <v>18</v>
      </c>
    </row>
    <row r="644" spans="1:11" x14ac:dyDescent="0.3">
      <c r="A644">
        <v>230</v>
      </c>
      <c r="B644">
        <v>1</v>
      </c>
      <c r="C644">
        <v>11</v>
      </c>
      <c r="D644">
        <v>2</v>
      </c>
      <c r="E644" s="1">
        <v>1680.99</v>
      </c>
      <c r="F644" s="1">
        <v>7.0000000000000007E-2</v>
      </c>
      <c r="G644">
        <v>3361.98</v>
      </c>
      <c r="H644" s="22">
        <f>VLOOKUP(A644,[1]Orders!$A$2:$B$1616,2,0)</f>
        <v>42509</v>
      </c>
      <c r="J644" t="s">
        <v>30</v>
      </c>
      <c r="K644" t="s">
        <v>18</v>
      </c>
    </row>
    <row r="645" spans="1:11" x14ac:dyDescent="0.3">
      <c r="A645">
        <v>231</v>
      </c>
      <c r="B645">
        <v>1</v>
      </c>
      <c r="C645">
        <v>8</v>
      </c>
      <c r="D645">
        <v>2</v>
      </c>
      <c r="E645" s="1">
        <v>1799.99</v>
      </c>
      <c r="F645" s="1">
        <v>7.0000000000000007E-2</v>
      </c>
      <c r="G645">
        <v>3599.98</v>
      </c>
      <c r="H645" s="22">
        <f>VLOOKUP(A645,[1]Orders!$A$2:$B$1616,2,0)</f>
        <v>42509</v>
      </c>
      <c r="J645" t="s">
        <v>12</v>
      </c>
      <c r="K645" t="s">
        <v>18</v>
      </c>
    </row>
    <row r="646" spans="1:11" x14ac:dyDescent="0.3">
      <c r="A646">
        <v>231</v>
      </c>
      <c r="B646">
        <v>2</v>
      </c>
      <c r="C646">
        <v>14</v>
      </c>
      <c r="D646">
        <v>2</v>
      </c>
      <c r="E646" s="1">
        <v>269.99</v>
      </c>
      <c r="F646" s="1">
        <v>0.2</v>
      </c>
      <c r="G646">
        <v>539.98</v>
      </c>
      <c r="H646" s="22">
        <f>VLOOKUP(A646,[1]Orders!$A$2:$B$1616,2,0)</f>
        <v>42509</v>
      </c>
      <c r="J646" t="s">
        <v>28</v>
      </c>
      <c r="K646" t="s">
        <v>18</v>
      </c>
    </row>
    <row r="647" spans="1:11" x14ac:dyDescent="0.3">
      <c r="A647">
        <v>231</v>
      </c>
      <c r="B647">
        <v>3</v>
      </c>
      <c r="C647">
        <v>5</v>
      </c>
      <c r="D647">
        <v>2</v>
      </c>
      <c r="E647" s="1">
        <v>1320.99</v>
      </c>
      <c r="F647" s="1">
        <v>0.2</v>
      </c>
      <c r="G647">
        <v>2641.98</v>
      </c>
      <c r="H647" s="22">
        <f>VLOOKUP(A647,[1]Orders!$A$2:$B$1616,2,0)</f>
        <v>42509</v>
      </c>
      <c r="J647" t="s">
        <v>34</v>
      </c>
      <c r="K647" t="s">
        <v>18</v>
      </c>
    </row>
    <row r="648" spans="1:11" x14ac:dyDescent="0.3">
      <c r="A648">
        <v>232</v>
      </c>
      <c r="B648">
        <v>1</v>
      </c>
      <c r="C648">
        <v>18</v>
      </c>
      <c r="D648">
        <v>1</v>
      </c>
      <c r="E648" s="1">
        <v>449</v>
      </c>
      <c r="F648" s="1">
        <v>7.0000000000000007E-2</v>
      </c>
      <c r="G648">
        <v>449</v>
      </c>
      <c r="H648" s="22">
        <f>VLOOKUP(A648,[1]Orders!$A$2:$B$1616,2,0)</f>
        <v>42510</v>
      </c>
      <c r="J648" t="s">
        <v>24</v>
      </c>
      <c r="K648" t="s">
        <v>11</v>
      </c>
    </row>
    <row r="649" spans="1:11" x14ac:dyDescent="0.3">
      <c r="A649">
        <v>232</v>
      </c>
      <c r="B649">
        <v>2</v>
      </c>
      <c r="C649">
        <v>11</v>
      </c>
      <c r="D649">
        <v>2</v>
      </c>
      <c r="E649" s="1">
        <v>1680.99</v>
      </c>
      <c r="F649" s="1">
        <v>0.05</v>
      </c>
      <c r="G649">
        <v>3361.98</v>
      </c>
      <c r="H649" s="22">
        <f>VLOOKUP(A649,[1]Orders!$A$2:$B$1616,2,0)</f>
        <v>42510</v>
      </c>
      <c r="J649" t="s">
        <v>30</v>
      </c>
      <c r="K649" t="s">
        <v>11</v>
      </c>
    </row>
    <row r="650" spans="1:11" x14ac:dyDescent="0.3">
      <c r="A650">
        <v>232</v>
      </c>
      <c r="B650">
        <v>3</v>
      </c>
      <c r="C650">
        <v>26</v>
      </c>
      <c r="D650">
        <v>2</v>
      </c>
      <c r="E650" s="1">
        <v>599.99</v>
      </c>
      <c r="F650" s="1">
        <v>7.0000000000000007E-2</v>
      </c>
      <c r="G650">
        <v>1199.98</v>
      </c>
      <c r="H650" s="22">
        <f>VLOOKUP(A650,[1]Orders!$A$2:$B$1616,2,0)</f>
        <v>42510</v>
      </c>
      <c r="J650" t="s">
        <v>14</v>
      </c>
      <c r="K650" t="s">
        <v>11</v>
      </c>
    </row>
    <row r="651" spans="1:11" x14ac:dyDescent="0.3">
      <c r="A651">
        <v>232</v>
      </c>
      <c r="B651">
        <v>4</v>
      </c>
      <c r="C651">
        <v>8</v>
      </c>
      <c r="D651">
        <v>2</v>
      </c>
      <c r="E651" s="1">
        <v>1799.99</v>
      </c>
      <c r="F651" s="1">
        <v>0.1</v>
      </c>
      <c r="G651">
        <v>3599.98</v>
      </c>
      <c r="H651" s="22">
        <f>VLOOKUP(A651,[1]Orders!$A$2:$B$1616,2,0)</f>
        <v>42510</v>
      </c>
      <c r="J651" t="s">
        <v>12</v>
      </c>
      <c r="K651" t="s">
        <v>11</v>
      </c>
    </row>
    <row r="652" spans="1:11" x14ac:dyDescent="0.3">
      <c r="A652">
        <v>233</v>
      </c>
      <c r="B652">
        <v>1</v>
      </c>
      <c r="C652">
        <v>14</v>
      </c>
      <c r="D652">
        <v>1</v>
      </c>
      <c r="E652" s="1">
        <v>269.99</v>
      </c>
      <c r="F652" s="1">
        <v>0.1</v>
      </c>
      <c r="G652">
        <v>269.99</v>
      </c>
      <c r="H652" s="22">
        <f>VLOOKUP(A652,[1]Orders!$A$2:$B$1616,2,0)</f>
        <v>42511</v>
      </c>
      <c r="J652" t="s">
        <v>28</v>
      </c>
      <c r="K652" t="s">
        <v>18</v>
      </c>
    </row>
    <row r="653" spans="1:11" x14ac:dyDescent="0.3">
      <c r="A653">
        <v>233</v>
      </c>
      <c r="B653">
        <v>2</v>
      </c>
      <c r="C653">
        <v>16</v>
      </c>
      <c r="D653">
        <v>2</v>
      </c>
      <c r="E653" s="1">
        <v>599.99</v>
      </c>
      <c r="F653" s="1">
        <v>0.1</v>
      </c>
      <c r="G653">
        <v>1199.98</v>
      </c>
      <c r="H653" s="22">
        <f>VLOOKUP(A653,[1]Orders!$A$2:$B$1616,2,0)</f>
        <v>42511</v>
      </c>
      <c r="J653" t="s">
        <v>14</v>
      </c>
      <c r="K653" t="s">
        <v>18</v>
      </c>
    </row>
    <row r="654" spans="1:11" x14ac:dyDescent="0.3">
      <c r="A654">
        <v>233</v>
      </c>
      <c r="B654">
        <v>3</v>
      </c>
      <c r="C654">
        <v>12</v>
      </c>
      <c r="D654">
        <v>1</v>
      </c>
      <c r="E654" s="1">
        <v>549.99</v>
      </c>
      <c r="F654" s="1">
        <v>0.2</v>
      </c>
      <c r="G654">
        <v>549.99</v>
      </c>
      <c r="H654" s="22">
        <f>VLOOKUP(A654,[1]Orders!$A$2:$B$1616,2,0)</f>
        <v>42511</v>
      </c>
      <c r="J654" t="s">
        <v>25</v>
      </c>
      <c r="K654" t="s">
        <v>18</v>
      </c>
    </row>
    <row r="655" spans="1:11" x14ac:dyDescent="0.3">
      <c r="A655">
        <v>233</v>
      </c>
      <c r="B655">
        <v>4</v>
      </c>
      <c r="C655">
        <v>15</v>
      </c>
      <c r="D655">
        <v>2</v>
      </c>
      <c r="E655" s="1">
        <v>529.99</v>
      </c>
      <c r="F655" s="1">
        <v>7.0000000000000007E-2</v>
      </c>
      <c r="G655">
        <v>1059.98</v>
      </c>
      <c r="H655" s="22">
        <f>VLOOKUP(A655,[1]Orders!$A$2:$B$1616,2,0)</f>
        <v>42511</v>
      </c>
      <c r="J655" t="s">
        <v>27</v>
      </c>
      <c r="K655" t="s">
        <v>18</v>
      </c>
    </row>
    <row r="656" spans="1:11" x14ac:dyDescent="0.3">
      <c r="A656">
        <v>234</v>
      </c>
      <c r="B656">
        <v>1</v>
      </c>
      <c r="C656">
        <v>11</v>
      </c>
      <c r="D656">
        <v>2</v>
      </c>
      <c r="E656" s="1">
        <v>1680.99</v>
      </c>
      <c r="F656" s="1">
        <v>0.2</v>
      </c>
      <c r="G656">
        <v>3361.98</v>
      </c>
      <c r="H656" s="22">
        <f>VLOOKUP(A656,[1]Orders!$A$2:$B$1616,2,0)</f>
        <v>42512</v>
      </c>
      <c r="J656" t="s">
        <v>30</v>
      </c>
      <c r="K656" t="s">
        <v>18</v>
      </c>
    </row>
    <row r="657" spans="1:11" x14ac:dyDescent="0.3">
      <c r="A657">
        <v>234</v>
      </c>
      <c r="B657">
        <v>2</v>
      </c>
      <c r="C657">
        <v>17</v>
      </c>
      <c r="D657">
        <v>2</v>
      </c>
      <c r="E657" s="1">
        <v>429</v>
      </c>
      <c r="F657" s="1">
        <v>0.05</v>
      </c>
      <c r="G657">
        <v>858</v>
      </c>
      <c r="H657" s="22">
        <f>VLOOKUP(A657,[1]Orders!$A$2:$B$1616,2,0)</f>
        <v>42512</v>
      </c>
      <c r="J657" t="s">
        <v>23</v>
      </c>
      <c r="K657" t="s">
        <v>18</v>
      </c>
    </row>
    <row r="658" spans="1:11" x14ac:dyDescent="0.3">
      <c r="A658">
        <v>234</v>
      </c>
      <c r="B658">
        <v>3</v>
      </c>
      <c r="C658">
        <v>12</v>
      </c>
      <c r="D658">
        <v>1</v>
      </c>
      <c r="E658" s="1">
        <v>549.99</v>
      </c>
      <c r="F658" s="1">
        <v>0.1</v>
      </c>
      <c r="G658">
        <v>549.99</v>
      </c>
      <c r="H658" s="22">
        <f>VLOOKUP(A658,[1]Orders!$A$2:$B$1616,2,0)</f>
        <v>42512</v>
      </c>
      <c r="J658" t="s">
        <v>25</v>
      </c>
      <c r="K658" t="s">
        <v>18</v>
      </c>
    </row>
    <row r="659" spans="1:11" x14ac:dyDescent="0.3">
      <c r="A659">
        <v>234</v>
      </c>
      <c r="B659">
        <v>4</v>
      </c>
      <c r="C659">
        <v>7</v>
      </c>
      <c r="D659">
        <v>1</v>
      </c>
      <c r="E659" s="1">
        <v>3999.99</v>
      </c>
      <c r="F659" s="1">
        <v>0.05</v>
      </c>
      <c r="G659">
        <v>3999.99</v>
      </c>
      <c r="H659" s="22">
        <f>VLOOKUP(A659,[1]Orders!$A$2:$B$1616,2,0)</f>
        <v>42512</v>
      </c>
      <c r="J659" t="s">
        <v>29</v>
      </c>
      <c r="K659" t="s">
        <v>18</v>
      </c>
    </row>
    <row r="660" spans="1:11" x14ac:dyDescent="0.3">
      <c r="A660">
        <v>234</v>
      </c>
      <c r="B660">
        <v>5</v>
      </c>
      <c r="C660">
        <v>23</v>
      </c>
      <c r="D660">
        <v>1</v>
      </c>
      <c r="E660" s="1">
        <v>299.99</v>
      </c>
      <c r="F660" s="1">
        <v>0.1</v>
      </c>
      <c r="G660">
        <v>299.99</v>
      </c>
      <c r="H660" s="22">
        <f>VLOOKUP(A660,[1]Orders!$A$2:$B$1616,2,0)</f>
        <v>42512</v>
      </c>
      <c r="J660" t="s">
        <v>33</v>
      </c>
      <c r="K660" t="s">
        <v>18</v>
      </c>
    </row>
    <row r="661" spans="1:11" x14ac:dyDescent="0.3">
      <c r="A661">
        <v>235</v>
      </c>
      <c r="B661">
        <v>1</v>
      </c>
      <c r="C661">
        <v>6</v>
      </c>
      <c r="D661">
        <v>1</v>
      </c>
      <c r="E661" s="1">
        <v>469.99</v>
      </c>
      <c r="F661" s="1">
        <v>7.0000000000000007E-2</v>
      </c>
      <c r="G661">
        <v>469.99</v>
      </c>
      <c r="H661" s="22">
        <f>VLOOKUP(A661,[1]Orders!$A$2:$B$1616,2,0)</f>
        <v>42514</v>
      </c>
      <c r="J661" t="s">
        <v>32</v>
      </c>
      <c r="K661" t="s">
        <v>18</v>
      </c>
    </row>
    <row r="662" spans="1:11" x14ac:dyDescent="0.3">
      <c r="A662">
        <v>235</v>
      </c>
      <c r="B662">
        <v>2</v>
      </c>
      <c r="C662">
        <v>13</v>
      </c>
      <c r="D662">
        <v>2</v>
      </c>
      <c r="E662" s="1">
        <v>269.99</v>
      </c>
      <c r="F662" s="1">
        <v>0.05</v>
      </c>
      <c r="G662">
        <v>539.98</v>
      </c>
      <c r="H662" s="22">
        <f>VLOOKUP(A662,[1]Orders!$A$2:$B$1616,2,0)</f>
        <v>42514</v>
      </c>
      <c r="J662" t="s">
        <v>31</v>
      </c>
      <c r="K662" t="s">
        <v>18</v>
      </c>
    </row>
    <row r="663" spans="1:11" x14ac:dyDescent="0.3">
      <c r="A663">
        <v>235</v>
      </c>
      <c r="B663">
        <v>3</v>
      </c>
      <c r="C663">
        <v>7</v>
      </c>
      <c r="D663">
        <v>2</v>
      </c>
      <c r="E663" s="1">
        <v>3999.99</v>
      </c>
      <c r="F663" s="1">
        <v>0.05</v>
      </c>
      <c r="G663">
        <v>7999.98</v>
      </c>
      <c r="H663" s="22">
        <f>VLOOKUP(A663,[1]Orders!$A$2:$B$1616,2,0)</f>
        <v>42514</v>
      </c>
      <c r="J663" t="s">
        <v>29</v>
      </c>
      <c r="K663" t="s">
        <v>18</v>
      </c>
    </row>
    <row r="664" spans="1:11" x14ac:dyDescent="0.3">
      <c r="A664">
        <v>236</v>
      </c>
      <c r="B664">
        <v>1</v>
      </c>
      <c r="C664">
        <v>3</v>
      </c>
      <c r="D664">
        <v>2</v>
      </c>
      <c r="E664" s="1">
        <v>999.99</v>
      </c>
      <c r="F664" s="1">
        <v>7.0000000000000007E-2</v>
      </c>
      <c r="G664">
        <v>1999.98</v>
      </c>
      <c r="H664" s="22">
        <f>VLOOKUP(A664,[1]Orders!$A$2:$B$1616,2,0)</f>
        <v>42515</v>
      </c>
      <c r="J664" t="s">
        <v>20</v>
      </c>
      <c r="K664" t="s">
        <v>18</v>
      </c>
    </row>
    <row r="665" spans="1:11" x14ac:dyDescent="0.3">
      <c r="A665">
        <v>236</v>
      </c>
      <c r="B665">
        <v>2</v>
      </c>
      <c r="C665">
        <v>2</v>
      </c>
      <c r="D665">
        <v>2</v>
      </c>
      <c r="E665" s="1">
        <v>749.99</v>
      </c>
      <c r="F665" s="1">
        <v>0.1</v>
      </c>
      <c r="G665">
        <v>1499.98</v>
      </c>
      <c r="H665" s="22">
        <f>VLOOKUP(A665,[1]Orders!$A$2:$B$1616,2,0)</f>
        <v>42515</v>
      </c>
      <c r="J665" t="s">
        <v>22</v>
      </c>
      <c r="K665" t="s">
        <v>18</v>
      </c>
    </row>
    <row r="666" spans="1:11" x14ac:dyDescent="0.3">
      <c r="A666">
        <v>236</v>
      </c>
      <c r="B666">
        <v>3</v>
      </c>
      <c r="C666">
        <v>4</v>
      </c>
      <c r="D666">
        <v>2</v>
      </c>
      <c r="E666" s="1">
        <v>2899.99</v>
      </c>
      <c r="F666" s="1">
        <v>0.1</v>
      </c>
      <c r="G666">
        <v>5799.98</v>
      </c>
      <c r="H666" s="22">
        <f>VLOOKUP(A666,[1]Orders!$A$2:$B$1616,2,0)</f>
        <v>42515</v>
      </c>
      <c r="J666" t="s">
        <v>16</v>
      </c>
      <c r="K666" t="s">
        <v>18</v>
      </c>
    </row>
    <row r="667" spans="1:11" x14ac:dyDescent="0.3">
      <c r="A667">
        <v>237</v>
      </c>
      <c r="B667">
        <v>1</v>
      </c>
      <c r="C667">
        <v>15</v>
      </c>
      <c r="D667">
        <v>1</v>
      </c>
      <c r="E667" s="1">
        <v>529.99</v>
      </c>
      <c r="F667" s="1">
        <v>0.2</v>
      </c>
      <c r="G667">
        <v>529.99</v>
      </c>
      <c r="H667" s="22">
        <f>VLOOKUP(A667,[1]Orders!$A$2:$B$1616,2,0)</f>
        <v>42515</v>
      </c>
      <c r="J667" t="s">
        <v>27</v>
      </c>
      <c r="K667" t="s">
        <v>18</v>
      </c>
    </row>
    <row r="668" spans="1:11" x14ac:dyDescent="0.3">
      <c r="A668">
        <v>237</v>
      </c>
      <c r="B668">
        <v>2</v>
      </c>
      <c r="C668">
        <v>24</v>
      </c>
      <c r="D668">
        <v>1</v>
      </c>
      <c r="E668" s="1">
        <v>549.99</v>
      </c>
      <c r="F668" s="1">
        <v>7.0000000000000007E-2</v>
      </c>
      <c r="G668">
        <v>549.99</v>
      </c>
      <c r="H668" s="22">
        <f>VLOOKUP(A668,[1]Orders!$A$2:$B$1616,2,0)</f>
        <v>42515</v>
      </c>
      <c r="J668" t="s">
        <v>25</v>
      </c>
      <c r="K668" t="s">
        <v>18</v>
      </c>
    </row>
    <row r="669" spans="1:11" x14ac:dyDescent="0.3">
      <c r="A669">
        <v>237</v>
      </c>
      <c r="B669">
        <v>3</v>
      </c>
      <c r="C669">
        <v>20</v>
      </c>
      <c r="D669">
        <v>2</v>
      </c>
      <c r="E669" s="1">
        <v>599.99</v>
      </c>
      <c r="F669" s="1">
        <v>0.2</v>
      </c>
      <c r="G669">
        <v>1199.98</v>
      </c>
      <c r="H669" s="22">
        <f>VLOOKUP(A669,[1]Orders!$A$2:$B$1616,2,0)</f>
        <v>42515</v>
      </c>
      <c r="J669" t="s">
        <v>10</v>
      </c>
      <c r="K669" t="s">
        <v>18</v>
      </c>
    </row>
    <row r="670" spans="1:11" x14ac:dyDescent="0.3">
      <c r="A670">
        <v>237</v>
      </c>
      <c r="B670">
        <v>4</v>
      </c>
      <c r="C670">
        <v>26</v>
      </c>
      <c r="D670">
        <v>1</v>
      </c>
      <c r="E670" s="1">
        <v>599.99</v>
      </c>
      <c r="F670" s="1">
        <v>0.05</v>
      </c>
      <c r="G670">
        <v>599.99</v>
      </c>
      <c r="H670" s="22">
        <f>VLOOKUP(A670,[1]Orders!$A$2:$B$1616,2,0)</f>
        <v>42515</v>
      </c>
      <c r="J670" t="s">
        <v>14</v>
      </c>
      <c r="K670" t="s">
        <v>18</v>
      </c>
    </row>
    <row r="671" spans="1:11" x14ac:dyDescent="0.3">
      <c r="A671">
        <v>238</v>
      </c>
      <c r="B671">
        <v>1</v>
      </c>
      <c r="C671">
        <v>20</v>
      </c>
      <c r="D671">
        <v>2</v>
      </c>
      <c r="E671" s="1">
        <v>599.99</v>
      </c>
      <c r="F671" s="1">
        <v>0.2</v>
      </c>
      <c r="G671">
        <v>1199.98</v>
      </c>
      <c r="H671" s="22">
        <f>VLOOKUP(A671,[1]Orders!$A$2:$B$1616,2,0)</f>
        <v>42516</v>
      </c>
      <c r="J671" t="s">
        <v>10</v>
      </c>
      <c r="K671" t="s">
        <v>18</v>
      </c>
    </row>
    <row r="672" spans="1:11" x14ac:dyDescent="0.3">
      <c r="A672">
        <v>238</v>
      </c>
      <c r="B672">
        <v>2</v>
      </c>
      <c r="C672">
        <v>25</v>
      </c>
      <c r="D672">
        <v>1</v>
      </c>
      <c r="E672" s="1">
        <v>499.99</v>
      </c>
      <c r="F672" s="1">
        <v>7.0000000000000007E-2</v>
      </c>
      <c r="G672">
        <v>499.99</v>
      </c>
      <c r="H672" s="22">
        <f>VLOOKUP(A672,[1]Orders!$A$2:$B$1616,2,0)</f>
        <v>42516</v>
      </c>
      <c r="J672" t="s">
        <v>35</v>
      </c>
      <c r="K672" t="s">
        <v>18</v>
      </c>
    </row>
    <row r="673" spans="1:11" x14ac:dyDescent="0.3">
      <c r="A673">
        <v>238</v>
      </c>
      <c r="B673">
        <v>3</v>
      </c>
      <c r="C673">
        <v>13</v>
      </c>
      <c r="D673">
        <v>2</v>
      </c>
      <c r="E673" s="1">
        <v>269.99</v>
      </c>
      <c r="F673" s="1">
        <v>0.2</v>
      </c>
      <c r="G673">
        <v>539.98</v>
      </c>
      <c r="H673" s="22">
        <f>VLOOKUP(A673,[1]Orders!$A$2:$B$1616,2,0)</f>
        <v>42516</v>
      </c>
      <c r="J673" t="s">
        <v>31</v>
      </c>
      <c r="K673" t="s">
        <v>18</v>
      </c>
    </row>
    <row r="674" spans="1:11" x14ac:dyDescent="0.3">
      <c r="A674">
        <v>238</v>
      </c>
      <c r="B674">
        <v>4</v>
      </c>
      <c r="C674">
        <v>22</v>
      </c>
      <c r="D674">
        <v>2</v>
      </c>
      <c r="E674" s="1">
        <v>269.99</v>
      </c>
      <c r="F674" s="1">
        <v>0.05</v>
      </c>
      <c r="G674">
        <v>539.98</v>
      </c>
      <c r="H674" s="22">
        <f>VLOOKUP(A674,[1]Orders!$A$2:$B$1616,2,0)</f>
        <v>42516</v>
      </c>
      <c r="J674" t="s">
        <v>28</v>
      </c>
      <c r="K674" t="s">
        <v>18</v>
      </c>
    </row>
    <row r="675" spans="1:11" x14ac:dyDescent="0.3">
      <c r="A675">
        <v>238</v>
      </c>
      <c r="B675">
        <v>5</v>
      </c>
      <c r="C675">
        <v>7</v>
      </c>
      <c r="D675">
        <v>1</v>
      </c>
      <c r="E675" s="1">
        <v>3999.99</v>
      </c>
      <c r="F675" s="1">
        <v>7.0000000000000007E-2</v>
      </c>
      <c r="G675">
        <v>3999.99</v>
      </c>
      <c r="H675" s="22">
        <f>VLOOKUP(A675,[1]Orders!$A$2:$B$1616,2,0)</f>
        <v>42516</v>
      </c>
      <c r="J675" t="s">
        <v>29</v>
      </c>
      <c r="K675" t="s">
        <v>18</v>
      </c>
    </row>
    <row r="676" spans="1:11" x14ac:dyDescent="0.3">
      <c r="A676">
        <v>239</v>
      </c>
      <c r="B676">
        <v>1</v>
      </c>
      <c r="C676">
        <v>16</v>
      </c>
      <c r="D676">
        <v>2</v>
      </c>
      <c r="E676" s="1">
        <v>599.99</v>
      </c>
      <c r="F676" s="1">
        <v>0.1</v>
      </c>
      <c r="G676">
        <v>1199.98</v>
      </c>
      <c r="H676" s="22">
        <f>VLOOKUP(A676,[1]Orders!$A$2:$B$1616,2,0)</f>
        <v>42517</v>
      </c>
      <c r="J676" t="s">
        <v>14</v>
      </c>
      <c r="K676" t="s">
        <v>37</v>
      </c>
    </row>
    <row r="677" spans="1:11" x14ac:dyDescent="0.3">
      <c r="A677">
        <v>239</v>
      </c>
      <c r="B677">
        <v>2</v>
      </c>
      <c r="C677">
        <v>21</v>
      </c>
      <c r="D677">
        <v>2</v>
      </c>
      <c r="E677" s="1">
        <v>269.99</v>
      </c>
      <c r="F677" s="1">
        <v>0.05</v>
      </c>
      <c r="G677">
        <v>539.98</v>
      </c>
      <c r="H677" s="22">
        <f>VLOOKUP(A677,[1]Orders!$A$2:$B$1616,2,0)</f>
        <v>42517</v>
      </c>
      <c r="J677" t="s">
        <v>31</v>
      </c>
      <c r="K677" t="s">
        <v>37</v>
      </c>
    </row>
    <row r="678" spans="1:11" x14ac:dyDescent="0.3">
      <c r="A678">
        <v>239</v>
      </c>
      <c r="B678">
        <v>3</v>
      </c>
      <c r="C678">
        <v>18</v>
      </c>
      <c r="D678">
        <v>1</v>
      </c>
      <c r="E678" s="1">
        <v>449</v>
      </c>
      <c r="F678" s="1">
        <v>7.0000000000000007E-2</v>
      </c>
      <c r="G678">
        <v>449</v>
      </c>
      <c r="H678" s="22">
        <f>VLOOKUP(A678,[1]Orders!$A$2:$B$1616,2,0)</f>
        <v>42517</v>
      </c>
      <c r="J678" t="s">
        <v>24</v>
      </c>
      <c r="K678" t="s">
        <v>37</v>
      </c>
    </row>
    <row r="679" spans="1:11" x14ac:dyDescent="0.3">
      <c r="A679">
        <v>239</v>
      </c>
      <c r="B679">
        <v>4</v>
      </c>
      <c r="C679">
        <v>4</v>
      </c>
      <c r="D679">
        <v>2</v>
      </c>
      <c r="E679" s="1">
        <v>2899.99</v>
      </c>
      <c r="F679" s="1">
        <v>7.0000000000000007E-2</v>
      </c>
      <c r="G679">
        <v>5799.98</v>
      </c>
      <c r="H679" s="22">
        <f>VLOOKUP(A679,[1]Orders!$A$2:$B$1616,2,0)</f>
        <v>42517</v>
      </c>
      <c r="J679" t="s">
        <v>16</v>
      </c>
      <c r="K679" t="s">
        <v>37</v>
      </c>
    </row>
    <row r="680" spans="1:11" x14ac:dyDescent="0.3">
      <c r="A680">
        <v>240</v>
      </c>
      <c r="B680">
        <v>1</v>
      </c>
      <c r="C680">
        <v>9</v>
      </c>
      <c r="D680">
        <v>1</v>
      </c>
      <c r="E680" s="1">
        <v>2999.99</v>
      </c>
      <c r="F680" s="1">
        <v>7.0000000000000007E-2</v>
      </c>
      <c r="G680">
        <v>2999.99</v>
      </c>
      <c r="H680" s="22">
        <f>VLOOKUP(A680,[1]Orders!$A$2:$B$1616,2,0)</f>
        <v>42517</v>
      </c>
      <c r="J680" t="s">
        <v>26</v>
      </c>
      <c r="K680" t="s">
        <v>18</v>
      </c>
    </row>
    <row r="681" spans="1:11" x14ac:dyDescent="0.3">
      <c r="A681">
        <v>240</v>
      </c>
      <c r="B681">
        <v>2</v>
      </c>
      <c r="C681">
        <v>8</v>
      </c>
      <c r="D681">
        <v>1</v>
      </c>
      <c r="E681" s="1">
        <v>1799.99</v>
      </c>
      <c r="F681" s="1">
        <v>7.0000000000000007E-2</v>
      </c>
      <c r="G681">
        <v>1799.99</v>
      </c>
      <c r="H681" s="22">
        <f>VLOOKUP(A681,[1]Orders!$A$2:$B$1616,2,0)</f>
        <v>42517</v>
      </c>
      <c r="J681" t="s">
        <v>12</v>
      </c>
      <c r="K681" t="s">
        <v>18</v>
      </c>
    </row>
    <row r="682" spans="1:11" x14ac:dyDescent="0.3">
      <c r="A682">
        <v>240</v>
      </c>
      <c r="B682">
        <v>3</v>
      </c>
      <c r="C682">
        <v>5</v>
      </c>
      <c r="D682">
        <v>1</v>
      </c>
      <c r="E682" s="1">
        <v>1320.99</v>
      </c>
      <c r="F682" s="1">
        <v>7.0000000000000007E-2</v>
      </c>
      <c r="G682">
        <v>1320.99</v>
      </c>
      <c r="H682" s="22">
        <f>VLOOKUP(A682,[1]Orders!$A$2:$B$1616,2,0)</f>
        <v>42517</v>
      </c>
      <c r="J682" t="s">
        <v>34</v>
      </c>
      <c r="K682" t="s">
        <v>18</v>
      </c>
    </row>
    <row r="683" spans="1:11" x14ac:dyDescent="0.3">
      <c r="A683">
        <v>240</v>
      </c>
      <c r="B683">
        <v>4</v>
      </c>
      <c r="C683">
        <v>18</v>
      </c>
      <c r="D683">
        <v>2</v>
      </c>
      <c r="E683" s="1">
        <v>449</v>
      </c>
      <c r="F683" s="1">
        <v>7.0000000000000007E-2</v>
      </c>
      <c r="G683">
        <v>898</v>
      </c>
      <c r="H683" s="22">
        <f>VLOOKUP(A683,[1]Orders!$A$2:$B$1616,2,0)</f>
        <v>42517</v>
      </c>
      <c r="J683" t="s">
        <v>24</v>
      </c>
      <c r="K683" t="s">
        <v>18</v>
      </c>
    </row>
    <row r="684" spans="1:11" x14ac:dyDescent="0.3">
      <c r="A684">
        <v>241</v>
      </c>
      <c r="B684">
        <v>1</v>
      </c>
      <c r="C684">
        <v>7</v>
      </c>
      <c r="D684">
        <v>1</v>
      </c>
      <c r="E684" s="1">
        <v>3999.99</v>
      </c>
      <c r="F684" s="1">
        <v>0.2</v>
      </c>
      <c r="G684">
        <v>3999.99</v>
      </c>
      <c r="H684" s="22">
        <f>VLOOKUP(A684,[1]Orders!$A$2:$B$1616,2,0)</f>
        <v>42517</v>
      </c>
      <c r="J684" t="s">
        <v>29</v>
      </c>
      <c r="K684" t="s">
        <v>18</v>
      </c>
    </row>
    <row r="685" spans="1:11" x14ac:dyDescent="0.3">
      <c r="A685">
        <v>242</v>
      </c>
      <c r="B685">
        <v>1</v>
      </c>
      <c r="C685">
        <v>3</v>
      </c>
      <c r="D685">
        <v>1</v>
      </c>
      <c r="E685" s="1">
        <v>999.99</v>
      </c>
      <c r="F685" s="1">
        <v>0.2</v>
      </c>
      <c r="G685">
        <v>999.99</v>
      </c>
      <c r="H685" s="22">
        <f>VLOOKUP(A685,[1]Orders!$A$2:$B$1616,2,0)</f>
        <v>42517</v>
      </c>
      <c r="J685" t="s">
        <v>20</v>
      </c>
      <c r="K685" t="s">
        <v>18</v>
      </c>
    </row>
    <row r="686" spans="1:11" x14ac:dyDescent="0.3">
      <c r="A686">
        <v>243</v>
      </c>
      <c r="B686">
        <v>1</v>
      </c>
      <c r="C686">
        <v>25</v>
      </c>
      <c r="D686">
        <v>2</v>
      </c>
      <c r="E686" s="1">
        <v>499.99</v>
      </c>
      <c r="F686" s="1">
        <v>0.05</v>
      </c>
      <c r="G686">
        <v>999.98</v>
      </c>
      <c r="H686" s="22">
        <f>VLOOKUP(A686,[1]Orders!$A$2:$B$1616,2,0)</f>
        <v>42517</v>
      </c>
      <c r="J686" t="s">
        <v>35</v>
      </c>
      <c r="K686" t="s">
        <v>37</v>
      </c>
    </row>
    <row r="687" spans="1:11" x14ac:dyDescent="0.3">
      <c r="A687">
        <v>243</v>
      </c>
      <c r="B687">
        <v>2</v>
      </c>
      <c r="C687">
        <v>19</v>
      </c>
      <c r="D687">
        <v>2</v>
      </c>
      <c r="E687" s="1">
        <v>449</v>
      </c>
      <c r="F687" s="1">
        <v>7.0000000000000007E-2</v>
      </c>
      <c r="G687">
        <v>898</v>
      </c>
      <c r="H687" s="22">
        <f>VLOOKUP(A687,[1]Orders!$A$2:$B$1616,2,0)</f>
        <v>42517</v>
      </c>
      <c r="J687" t="s">
        <v>36</v>
      </c>
      <c r="K687" t="s">
        <v>37</v>
      </c>
    </row>
    <row r="688" spans="1:11" x14ac:dyDescent="0.3">
      <c r="A688">
        <v>243</v>
      </c>
      <c r="B688">
        <v>3</v>
      </c>
      <c r="C688">
        <v>7</v>
      </c>
      <c r="D688">
        <v>2</v>
      </c>
      <c r="E688" s="1">
        <v>3999.99</v>
      </c>
      <c r="F688" s="1">
        <v>0.05</v>
      </c>
      <c r="G688">
        <v>7999.98</v>
      </c>
      <c r="H688" s="22">
        <f>VLOOKUP(A688,[1]Orders!$A$2:$B$1616,2,0)</f>
        <v>42517</v>
      </c>
      <c r="J688" t="s">
        <v>29</v>
      </c>
      <c r="K688" t="s">
        <v>37</v>
      </c>
    </row>
    <row r="689" spans="1:11" x14ac:dyDescent="0.3">
      <c r="A689">
        <v>244</v>
      </c>
      <c r="B689">
        <v>1</v>
      </c>
      <c r="C689">
        <v>19</v>
      </c>
      <c r="D689">
        <v>1</v>
      </c>
      <c r="E689" s="1">
        <v>449</v>
      </c>
      <c r="F689" s="1">
        <v>7.0000000000000007E-2</v>
      </c>
      <c r="G689">
        <v>449</v>
      </c>
      <c r="H689" s="22">
        <f>VLOOKUP(A689,[1]Orders!$A$2:$B$1616,2,0)</f>
        <v>42518</v>
      </c>
      <c r="J689" t="s">
        <v>36</v>
      </c>
      <c r="K689" t="s">
        <v>18</v>
      </c>
    </row>
    <row r="690" spans="1:11" x14ac:dyDescent="0.3">
      <c r="A690">
        <v>244</v>
      </c>
      <c r="B690">
        <v>2</v>
      </c>
      <c r="C690">
        <v>25</v>
      </c>
      <c r="D690">
        <v>1</v>
      </c>
      <c r="E690" s="1">
        <v>499.99</v>
      </c>
      <c r="F690" s="1">
        <v>0.2</v>
      </c>
      <c r="G690">
        <v>499.99</v>
      </c>
      <c r="H690" s="22">
        <f>VLOOKUP(A690,[1]Orders!$A$2:$B$1616,2,0)</f>
        <v>42518</v>
      </c>
      <c r="J690" t="s">
        <v>35</v>
      </c>
      <c r="K690" t="s">
        <v>18</v>
      </c>
    </row>
    <row r="691" spans="1:11" x14ac:dyDescent="0.3">
      <c r="A691">
        <v>244</v>
      </c>
      <c r="B691">
        <v>3</v>
      </c>
      <c r="C691">
        <v>22</v>
      </c>
      <c r="D691">
        <v>1</v>
      </c>
      <c r="E691" s="1">
        <v>269.99</v>
      </c>
      <c r="F691" s="1">
        <v>0.1</v>
      </c>
      <c r="G691">
        <v>269.99</v>
      </c>
      <c r="H691" s="22">
        <f>VLOOKUP(A691,[1]Orders!$A$2:$B$1616,2,0)</f>
        <v>42518</v>
      </c>
      <c r="J691" t="s">
        <v>28</v>
      </c>
      <c r="K691" t="s">
        <v>18</v>
      </c>
    </row>
    <row r="692" spans="1:11" x14ac:dyDescent="0.3">
      <c r="A692">
        <v>245</v>
      </c>
      <c r="B692">
        <v>1</v>
      </c>
      <c r="C692">
        <v>10</v>
      </c>
      <c r="D692">
        <v>2</v>
      </c>
      <c r="E692" s="1">
        <v>1549</v>
      </c>
      <c r="F692" s="1">
        <v>0.05</v>
      </c>
      <c r="G692">
        <v>3098</v>
      </c>
      <c r="H692" s="22">
        <f>VLOOKUP(A692,[1]Orders!$A$2:$B$1616,2,0)</f>
        <v>42519</v>
      </c>
      <c r="J692" t="s">
        <v>13</v>
      </c>
      <c r="K692" t="s">
        <v>18</v>
      </c>
    </row>
    <row r="693" spans="1:11" x14ac:dyDescent="0.3">
      <c r="A693">
        <v>245</v>
      </c>
      <c r="B693">
        <v>2</v>
      </c>
      <c r="C693">
        <v>8</v>
      </c>
      <c r="D693">
        <v>1</v>
      </c>
      <c r="E693" s="1">
        <v>1799.99</v>
      </c>
      <c r="F693" s="1">
        <v>0.1</v>
      </c>
      <c r="G693">
        <v>1799.99</v>
      </c>
      <c r="H693" s="22">
        <f>VLOOKUP(A693,[1]Orders!$A$2:$B$1616,2,0)</f>
        <v>42519</v>
      </c>
      <c r="J693" t="s">
        <v>12</v>
      </c>
      <c r="K693" t="s">
        <v>18</v>
      </c>
    </row>
    <row r="694" spans="1:11" x14ac:dyDescent="0.3">
      <c r="A694">
        <v>246</v>
      </c>
      <c r="B694">
        <v>1</v>
      </c>
      <c r="C694">
        <v>17</v>
      </c>
      <c r="D694">
        <v>2</v>
      </c>
      <c r="E694" s="1">
        <v>429</v>
      </c>
      <c r="F694" s="1">
        <v>0.2</v>
      </c>
      <c r="G694">
        <v>858</v>
      </c>
      <c r="H694" s="22">
        <f>VLOOKUP(A694,[1]Orders!$A$2:$B$1616,2,0)</f>
        <v>42520</v>
      </c>
      <c r="J694" t="s">
        <v>23</v>
      </c>
      <c r="K694" t="s">
        <v>18</v>
      </c>
    </row>
    <row r="695" spans="1:11" x14ac:dyDescent="0.3">
      <c r="A695">
        <v>247</v>
      </c>
      <c r="B695">
        <v>1</v>
      </c>
      <c r="C695">
        <v>25</v>
      </c>
      <c r="D695">
        <v>1</v>
      </c>
      <c r="E695" s="1">
        <v>499.99</v>
      </c>
      <c r="F695" s="1">
        <v>7.0000000000000007E-2</v>
      </c>
      <c r="G695">
        <v>499.99</v>
      </c>
      <c r="H695" s="22">
        <f>VLOOKUP(A695,[1]Orders!$A$2:$B$1616,2,0)</f>
        <v>42520</v>
      </c>
      <c r="J695" t="s">
        <v>35</v>
      </c>
      <c r="K695" t="s">
        <v>11</v>
      </c>
    </row>
    <row r="696" spans="1:11" x14ac:dyDescent="0.3">
      <c r="A696">
        <v>247</v>
      </c>
      <c r="B696">
        <v>2</v>
      </c>
      <c r="C696">
        <v>3</v>
      </c>
      <c r="D696">
        <v>1</v>
      </c>
      <c r="E696" s="1">
        <v>999.99</v>
      </c>
      <c r="F696" s="1">
        <v>0.2</v>
      </c>
      <c r="G696">
        <v>999.99</v>
      </c>
      <c r="H696" s="22">
        <f>VLOOKUP(A696,[1]Orders!$A$2:$B$1616,2,0)</f>
        <v>42520</v>
      </c>
      <c r="J696" t="s">
        <v>20</v>
      </c>
      <c r="K696" t="s">
        <v>11</v>
      </c>
    </row>
    <row r="697" spans="1:11" x14ac:dyDescent="0.3">
      <c r="A697">
        <v>248</v>
      </c>
      <c r="B697">
        <v>1</v>
      </c>
      <c r="C697">
        <v>13</v>
      </c>
      <c r="D697">
        <v>1</v>
      </c>
      <c r="E697" s="1">
        <v>269.99</v>
      </c>
      <c r="F697" s="1">
        <v>0.1</v>
      </c>
      <c r="G697">
        <v>269.99</v>
      </c>
      <c r="H697" s="22">
        <f>VLOOKUP(A697,[1]Orders!$A$2:$B$1616,2,0)</f>
        <v>42520</v>
      </c>
      <c r="J697" t="s">
        <v>31</v>
      </c>
      <c r="K697" t="s">
        <v>18</v>
      </c>
    </row>
    <row r="698" spans="1:11" x14ac:dyDescent="0.3">
      <c r="A698">
        <v>248</v>
      </c>
      <c r="B698">
        <v>2</v>
      </c>
      <c r="C698">
        <v>26</v>
      </c>
      <c r="D698">
        <v>2</v>
      </c>
      <c r="E698" s="1">
        <v>599.99</v>
      </c>
      <c r="F698" s="1">
        <v>0.1</v>
      </c>
      <c r="G698">
        <v>1199.98</v>
      </c>
      <c r="H698" s="22">
        <f>VLOOKUP(A698,[1]Orders!$A$2:$B$1616,2,0)</f>
        <v>42520</v>
      </c>
      <c r="J698" t="s">
        <v>14</v>
      </c>
      <c r="K698" t="s">
        <v>18</v>
      </c>
    </row>
    <row r="699" spans="1:11" x14ac:dyDescent="0.3">
      <c r="A699">
        <v>248</v>
      </c>
      <c r="B699">
        <v>3</v>
      </c>
      <c r="C699">
        <v>17</v>
      </c>
      <c r="D699">
        <v>1</v>
      </c>
      <c r="E699" s="1">
        <v>429</v>
      </c>
      <c r="F699" s="1">
        <v>0.1</v>
      </c>
      <c r="G699">
        <v>429</v>
      </c>
      <c r="H699" s="22">
        <f>VLOOKUP(A699,[1]Orders!$A$2:$B$1616,2,0)</f>
        <v>42520</v>
      </c>
      <c r="J699" t="s">
        <v>23</v>
      </c>
      <c r="K699" t="s">
        <v>18</v>
      </c>
    </row>
    <row r="700" spans="1:11" x14ac:dyDescent="0.3">
      <c r="A700">
        <v>248</v>
      </c>
      <c r="B700">
        <v>4</v>
      </c>
      <c r="C700">
        <v>9</v>
      </c>
      <c r="D700">
        <v>1</v>
      </c>
      <c r="E700" s="1">
        <v>2999.99</v>
      </c>
      <c r="F700" s="1">
        <v>0.2</v>
      </c>
      <c r="G700">
        <v>2999.99</v>
      </c>
      <c r="H700" s="22">
        <f>VLOOKUP(A700,[1]Orders!$A$2:$B$1616,2,0)</f>
        <v>42520</v>
      </c>
      <c r="J700" t="s">
        <v>26</v>
      </c>
      <c r="K700" t="s">
        <v>18</v>
      </c>
    </row>
    <row r="701" spans="1:11" x14ac:dyDescent="0.3">
      <c r="A701">
        <v>249</v>
      </c>
      <c r="B701">
        <v>1</v>
      </c>
      <c r="C701">
        <v>7</v>
      </c>
      <c r="D701">
        <v>2</v>
      </c>
      <c r="E701" s="1">
        <v>3999.99</v>
      </c>
      <c r="F701" s="1">
        <v>0.05</v>
      </c>
      <c r="G701">
        <v>7999.98</v>
      </c>
      <c r="H701" s="22">
        <f>VLOOKUP(A701,[1]Orders!$A$2:$B$1616,2,0)</f>
        <v>42522</v>
      </c>
      <c r="J701" t="s">
        <v>29</v>
      </c>
      <c r="K701" t="s">
        <v>18</v>
      </c>
    </row>
    <row r="702" spans="1:11" x14ac:dyDescent="0.3">
      <c r="A702">
        <v>249</v>
      </c>
      <c r="B702">
        <v>2</v>
      </c>
      <c r="C702">
        <v>18</v>
      </c>
      <c r="D702">
        <v>2</v>
      </c>
      <c r="E702" s="1">
        <v>449</v>
      </c>
      <c r="F702" s="1">
        <v>0.05</v>
      </c>
      <c r="G702">
        <v>898</v>
      </c>
      <c r="H702" s="22">
        <f>VLOOKUP(A702,[1]Orders!$A$2:$B$1616,2,0)</f>
        <v>42522</v>
      </c>
      <c r="J702" t="s">
        <v>24</v>
      </c>
      <c r="K702" t="s">
        <v>18</v>
      </c>
    </row>
    <row r="703" spans="1:11" x14ac:dyDescent="0.3">
      <c r="A703">
        <v>249</v>
      </c>
      <c r="B703">
        <v>3</v>
      </c>
      <c r="C703">
        <v>22</v>
      </c>
      <c r="D703">
        <v>1</v>
      </c>
      <c r="E703" s="1">
        <v>269.99</v>
      </c>
      <c r="F703" s="1">
        <v>0.1</v>
      </c>
      <c r="G703">
        <v>269.99</v>
      </c>
      <c r="H703" s="22">
        <f>VLOOKUP(A703,[1]Orders!$A$2:$B$1616,2,0)</f>
        <v>42522</v>
      </c>
      <c r="J703" t="s">
        <v>28</v>
      </c>
      <c r="K703" t="s">
        <v>18</v>
      </c>
    </row>
    <row r="704" spans="1:11" x14ac:dyDescent="0.3">
      <c r="A704">
        <v>250</v>
      </c>
      <c r="B704">
        <v>1</v>
      </c>
      <c r="C704">
        <v>17</v>
      </c>
      <c r="D704">
        <v>2</v>
      </c>
      <c r="E704" s="1">
        <v>429</v>
      </c>
      <c r="F704" s="1">
        <v>0.05</v>
      </c>
      <c r="G704">
        <v>858</v>
      </c>
      <c r="H704" s="22">
        <f>VLOOKUP(A704,[1]Orders!$A$2:$B$1616,2,0)</f>
        <v>42522</v>
      </c>
      <c r="J704" t="s">
        <v>23</v>
      </c>
      <c r="K704" t="s">
        <v>18</v>
      </c>
    </row>
    <row r="705" spans="1:11" x14ac:dyDescent="0.3">
      <c r="A705">
        <v>250</v>
      </c>
      <c r="B705">
        <v>2</v>
      </c>
      <c r="C705">
        <v>11</v>
      </c>
      <c r="D705">
        <v>2</v>
      </c>
      <c r="E705" s="1">
        <v>1680.99</v>
      </c>
      <c r="F705" s="1">
        <v>0.1</v>
      </c>
      <c r="G705">
        <v>3361.98</v>
      </c>
      <c r="H705" s="22">
        <f>VLOOKUP(A705,[1]Orders!$A$2:$B$1616,2,0)</f>
        <v>42522</v>
      </c>
      <c r="J705" t="s">
        <v>30</v>
      </c>
      <c r="K705" t="s">
        <v>18</v>
      </c>
    </row>
    <row r="706" spans="1:11" x14ac:dyDescent="0.3">
      <c r="A706">
        <v>251</v>
      </c>
      <c r="B706">
        <v>1</v>
      </c>
      <c r="C706">
        <v>23</v>
      </c>
      <c r="D706">
        <v>2</v>
      </c>
      <c r="E706" s="1">
        <v>299.99</v>
      </c>
      <c r="F706" s="1">
        <v>0.2</v>
      </c>
      <c r="G706">
        <v>599.98</v>
      </c>
      <c r="H706" s="22">
        <f>VLOOKUP(A706,[1]Orders!$A$2:$B$1616,2,0)</f>
        <v>42522</v>
      </c>
      <c r="J706" t="s">
        <v>33</v>
      </c>
      <c r="K706" t="s">
        <v>18</v>
      </c>
    </row>
    <row r="707" spans="1:11" x14ac:dyDescent="0.3">
      <c r="A707">
        <v>251</v>
      </c>
      <c r="B707">
        <v>2</v>
      </c>
      <c r="C707">
        <v>22</v>
      </c>
      <c r="D707">
        <v>2</v>
      </c>
      <c r="E707" s="1">
        <v>269.99</v>
      </c>
      <c r="F707" s="1">
        <v>0.05</v>
      </c>
      <c r="G707">
        <v>539.98</v>
      </c>
      <c r="H707" s="22">
        <f>VLOOKUP(A707,[1]Orders!$A$2:$B$1616,2,0)</f>
        <v>42522</v>
      </c>
      <c r="J707" t="s">
        <v>28</v>
      </c>
      <c r="K707" t="s">
        <v>18</v>
      </c>
    </row>
    <row r="708" spans="1:11" x14ac:dyDescent="0.3">
      <c r="A708">
        <v>252</v>
      </c>
      <c r="B708">
        <v>1</v>
      </c>
      <c r="C708">
        <v>11</v>
      </c>
      <c r="D708">
        <v>2</v>
      </c>
      <c r="E708" s="1">
        <v>1680.99</v>
      </c>
      <c r="F708" s="1">
        <v>0.1</v>
      </c>
      <c r="G708">
        <v>3361.98</v>
      </c>
      <c r="H708" s="22">
        <f>VLOOKUP(A708,[1]Orders!$A$2:$B$1616,2,0)</f>
        <v>42522</v>
      </c>
      <c r="J708" t="s">
        <v>30</v>
      </c>
      <c r="K708" t="s">
        <v>37</v>
      </c>
    </row>
    <row r="709" spans="1:11" x14ac:dyDescent="0.3">
      <c r="A709">
        <v>252</v>
      </c>
      <c r="B709">
        <v>2</v>
      </c>
      <c r="C709">
        <v>4</v>
      </c>
      <c r="D709">
        <v>1</v>
      </c>
      <c r="E709" s="1">
        <v>2899.99</v>
      </c>
      <c r="F709" s="1">
        <v>7.0000000000000007E-2</v>
      </c>
      <c r="G709">
        <v>2899.99</v>
      </c>
      <c r="H709" s="22">
        <f>VLOOKUP(A709,[1]Orders!$A$2:$B$1616,2,0)</f>
        <v>42522</v>
      </c>
      <c r="J709" t="s">
        <v>16</v>
      </c>
      <c r="K709" t="s">
        <v>37</v>
      </c>
    </row>
    <row r="710" spans="1:11" x14ac:dyDescent="0.3">
      <c r="A710">
        <v>252</v>
      </c>
      <c r="B710">
        <v>3</v>
      </c>
      <c r="C710">
        <v>19</v>
      </c>
      <c r="D710">
        <v>1</v>
      </c>
      <c r="E710" s="1">
        <v>449</v>
      </c>
      <c r="F710" s="1">
        <v>0.1</v>
      </c>
      <c r="G710">
        <v>449</v>
      </c>
      <c r="H710" s="22">
        <f>VLOOKUP(A710,[1]Orders!$A$2:$B$1616,2,0)</f>
        <v>42522</v>
      </c>
      <c r="J710" t="s">
        <v>36</v>
      </c>
      <c r="K710" t="s">
        <v>37</v>
      </c>
    </row>
    <row r="711" spans="1:11" x14ac:dyDescent="0.3">
      <c r="A711">
        <v>253</v>
      </c>
      <c r="B711">
        <v>1</v>
      </c>
      <c r="C711">
        <v>11</v>
      </c>
      <c r="D711">
        <v>2</v>
      </c>
      <c r="E711" s="1">
        <v>1680.99</v>
      </c>
      <c r="F711" s="1">
        <v>7.0000000000000007E-2</v>
      </c>
      <c r="G711">
        <v>3361.98</v>
      </c>
      <c r="H711" s="22">
        <f>VLOOKUP(A711,[1]Orders!$A$2:$B$1616,2,0)</f>
        <v>42523</v>
      </c>
      <c r="J711" t="s">
        <v>30</v>
      </c>
      <c r="K711" t="s">
        <v>18</v>
      </c>
    </row>
    <row r="712" spans="1:11" x14ac:dyDescent="0.3">
      <c r="A712">
        <v>254</v>
      </c>
      <c r="B712">
        <v>1</v>
      </c>
      <c r="C712">
        <v>6</v>
      </c>
      <c r="D712">
        <v>2</v>
      </c>
      <c r="E712" s="1">
        <v>469.99</v>
      </c>
      <c r="F712" s="1">
        <v>7.0000000000000007E-2</v>
      </c>
      <c r="G712">
        <v>939.98</v>
      </c>
      <c r="H712" s="22">
        <f>VLOOKUP(A712,[1]Orders!$A$2:$B$1616,2,0)</f>
        <v>42524</v>
      </c>
      <c r="J712" t="s">
        <v>32</v>
      </c>
      <c r="K712" t="s">
        <v>18</v>
      </c>
    </row>
    <row r="713" spans="1:11" x14ac:dyDescent="0.3">
      <c r="A713">
        <v>254</v>
      </c>
      <c r="B713">
        <v>2</v>
      </c>
      <c r="C713">
        <v>3</v>
      </c>
      <c r="D713">
        <v>1</v>
      </c>
      <c r="E713" s="1">
        <v>999.99</v>
      </c>
      <c r="F713" s="1">
        <v>0.05</v>
      </c>
      <c r="G713">
        <v>999.99</v>
      </c>
      <c r="H713" s="22">
        <f>VLOOKUP(A713,[1]Orders!$A$2:$B$1616,2,0)</f>
        <v>42524</v>
      </c>
      <c r="J713" t="s">
        <v>20</v>
      </c>
      <c r="K713" t="s">
        <v>18</v>
      </c>
    </row>
    <row r="714" spans="1:11" x14ac:dyDescent="0.3">
      <c r="A714">
        <v>254</v>
      </c>
      <c r="B714">
        <v>3</v>
      </c>
      <c r="C714">
        <v>12</v>
      </c>
      <c r="D714">
        <v>1</v>
      </c>
      <c r="E714" s="1">
        <v>549.99</v>
      </c>
      <c r="F714" s="1">
        <v>0.05</v>
      </c>
      <c r="G714">
        <v>549.99</v>
      </c>
      <c r="H714" s="22">
        <f>VLOOKUP(A714,[1]Orders!$A$2:$B$1616,2,0)</f>
        <v>42524</v>
      </c>
      <c r="J714" t="s">
        <v>25</v>
      </c>
      <c r="K714" t="s">
        <v>18</v>
      </c>
    </row>
    <row r="715" spans="1:11" x14ac:dyDescent="0.3">
      <c r="A715">
        <v>255</v>
      </c>
      <c r="B715">
        <v>1</v>
      </c>
      <c r="C715">
        <v>5</v>
      </c>
      <c r="D715">
        <v>2</v>
      </c>
      <c r="E715" s="1">
        <v>1320.99</v>
      </c>
      <c r="F715" s="1">
        <v>0.1</v>
      </c>
      <c r="G715">
        <v>2641.98</v>
      </c>
      <c r="H715" s="22">
        <f>VLOOKUP(A715,[1]Orders!$A$2:$B$1616,2,0)</f>
        <v>42524</v>
      </c>
      <c r="J715" t="s">
        <v>34</v>
      </c>
      <c r="K715" t="s">
        <v>18</v>
      </c>
    </row>
    <row r="716" spans="1:11" x14ac:dyDescent="0.3">
      <c r="A716">
        <v>255</v>
      </c>
      <c r="B716">
        <v>2</v>
      </c>
      <c r="C716">
        <v>14</v>
      </c>
      <c r="D716">
        <v>1</v>
      </c>
      <c r="E716" s="1">
        <v>269.99</v>
      </c>
      <c r="F716" s="1">
        <v>0.2</v>
      </c>
      <c r="G716">
        <v>269.99</v>
      </c>
      <c r="H716" s="22">
        <f>VLOOKUP(A716,[1]Orders!$A$2:$B$1616,2,0)</f>
        <v>42524</v>
      </c>
      <c r="J716" t="s">
        <v>28</v>
      </c>
      <c r="K716" t="s">
        <v>18</v>
      </c>
    </row>
    <row r="717" spans="1:11" x14ac:dyDescent="0.3">
      <c r="A717">
        <v>255</v>
      </c>
      <c r="B717">
        <v>3</v>
      </c>
      <c r="C717">
        <v>2</v>
      </c>
      <c r="D717">
        <v>2</v>
      </c>
      <c r="E717" s="1">
        <v>749.99</v>
      </c>
      <c r="F717" s="1">
        <v>0.2</v>
      </c>
      <c r="G717">
        <v>1499.98</v>
      </c>
      <c r="H717" s="22">
        <f>VLOOKUP(A717,[1]Orders!$A$2:$B$1616,2,0)</f>
        <v>42524</v>
      </c>
      <c r="J717" t="s">
        <v>22</v>
      </c>
      <c r="K717" t="s">
        <v>18</v>
      </c>
    </row>
    <row r="718" spans="1:11" x14ac:dyDescent="0.3">
      <c r="A718">
        <v>255</v>
      </c>
      <c r="B718">
        <v>4</v>
      </c>
      <c r="C718">
        <v>21</v>
      </c>
      <c r="D718">
        <v>1</v>
      </c>
      <c r="E718" s="1">
        <v>269.99</v>
      </c>
      <c r="F718" s="1">
        <v>7.0000000000000007E-2</v>
      </c>
      <c r="G718">
        <v>269.99</v>
      </c>
      <c r="H718" s="22">
        <f>VLOOKUP(A718,[1]Orders!$A$2:$B$1616,2,0)</f>
        <v>42524</v>
      </c>
      <c r="J718" t="s">
        <v>31</v>
      </c>
      <c r="K718" t="s">
        <v>18</v>
      </c>
    </row>
    <row r="719" spans="1:11" x14ac:dyDescent="0.3">
      <c r="A719">
        <v>256</v>
      </c>
      <c r="B719">
        <v>1</v>
      </c>
      <c r="C719">
        <v>11</v>
      </c>
      <c r="D719">
        <v>1</v>
      </c>
      <c r="E719" s="1">
        <v>1680.99</v>
      </c>
      <c r="F719" s="1">
        <v>0.1</v>
      </c>
      <c r="G719">
        <v>1680.99</v>
      </c>
      <c r="H719" s="22">
        <f>VLOOKUP(A719,[1]Orders!$A$2:$B$1616,2,0)</f>
        <v>42525</v>
      </c>
      <c r="J719" t="s">
        <v>30</v>
      </c>
      <c r="K719" t="s">
        <v>18</v>
      </c>
    </row>
    <row r="720" spans="1:11" x14ac:dyDescent="0.3">
      <c r="A720">
        <v>256</v>
      </c>
      <c r="B720">
        <v>2</v>
      </c>
      <c r="C720">
        <v>21</v>
      </c>
      <c r="D720">
        <v>1</v>
      </c>
      <c r="E720" s="1">
        <v>269.99</v>
      </c>
      <c r="F720" s="1">
        <v>0.05</v>
      </c>
      <c r="G720">
        <v>269.99</v>
      </c>
      <c r="H720" s="22">
        <f>VLOOKUP(A720,[1]Orders!$A$2:$B$1616,2,0)</f>
        <v>42525</v>
      </c>
      <c r="J720" t="s">
        <v>31</v>
      </c>
      <c r="K720" t="s">
        <v>18</v>
      </c>
    </row>
    <row r="721" spans="1:11" x14ac:dyDescent="0.3">
      <c r="A721">
        <v>257</v>
      </c>
      <c r="B721">
        <v>1</v>
      </c>
      <c r="C721">
        <v>8</v>
      </c>
      <c r="D721">
        <v>2</v>
      </c>
      <c r="E721" s="1">
        <v>1799.99</v>
      </c>
      <c r="F721" s="1">
        <v>7.0000000000000007E-2</v>
      </c>
      <c r="G721">
        <v>3599.98</v>
      </c>
      <c r="H721" s="22">
        <f>VLOOKUP(A721,[1]Orders!$A$2:$B$1616,2,0)</f>
        <v>42526</v>
      </c>
      <c r="J721" t="s">
        <v>12</v>
      </c>
      <c r="K721" t="s">
        <v>11</v>
      </c>
    </row>
    <row r="722" spans="1:11" x14ac:dyDescent="0.3">
      <c r="A722">
        <v>257</v>
      </c>
      <c r="B722">
        <v>2</v>
      </c>
      <c r="C722">
        <v>13</v>
      </c>
      <c r="D722">
        <v>2</v>
      </c>
      <c r="E722" s="1">
        <v>269.99</v>
      </c>
      <c r="F722" s="1">
        <v>0.2</v>
      </c>
      <c r="G722">
        <v>539.98</v>
      </c>
      <c r="H722" s="22">
        <f>VLOOKUP(A722,[1]Orders!$A$2:$B$1616,2,0)</f>
        <v>42526</v>
      </c>
      <c r="J722" t="s">
        <v>31</v>
      </c>
      <c r="K722" t="s">
        <v>11</v>
      </c>
    </row>
    <row r="723" spans="1:11" x14ac:dyDescent="0.3">
      <c r="A723">
        <v>257</v>
      </c>
      <c r="B723">
        <v>3</v>
      </c>
      <c r="C723">
        <v>10</v>
      </c>
      <c r="D723">
        <v>2</v>
      </c>
      <c r="E723" s="1">
        <v>1549</v>
      </c>
      <c r="F723" s="1">
        <v>0.1</v>
      </c>
      <c r="G723">
        <v>3098</v>
      </c>
      <c r="H723" s="22">
        <f>VLOOKUP(A723,[1]Orders!$A$2:$B$1616,2,0)</f>
        <v>42526</v>
      </c>
      <c r="J723" t="s">
        <v>13</v>
      </c>
      <c r="K723" t="s">
        <v>11</v>
      </c>
    </row>
    <row r="724" spans="1:11" x14ac:dyDescent="0.3">
      <c r="A724">
        <v>257</v>
      </c>
      <c r="B724">
        <v>4</v>
      </c>
      <c r="C724">
        <v>15</v>
      </c>
      <c r="D724">
        <v>1</v>
      </c>
      <c r="E724" s="1">
        <v>529.99</v>
      </c>
      <c r="F724" s="1">
        <v>0.1</v>
      </c>
      <c r="G724">
        <v>529.99</v>
      </c>
      <c r="H724" s="22">
        <f>VLOOKUP(A724,[1]Orders!$A$2:$B$1616,2,0)</f>
        <v>42526</v>
      </c>
      <c r="J724" t="s">
        <v>27</v>
      </c>
      <c r="K724" t="s">
        <v>11</v>
      </c>
    </row>
    <row r="725" spans="1:11" x14ac:dyDescent="0.3">
      <c r="A725">
        <v>258</v>
      </c>
      <c r="B725">
        <v>1</v>
      </c>
      <c r="C725">
        <v>8</v>
      </c>
      <c r="D725">
        <v>2</v>
      </c>
      <c r="E725" s="1">
        <v>1799.99</v>
      </c>
      <c r="F725" s="1">
        <v>0.05</v>
      </c>
      <c r="G725">
        <v>3599.98</v>
      </c>
      <c r="H725" s="22">
        <f>VLOOKUP(A725,[1]Orders!$A$2:$B$1616,2,0)</f>
        <v>42527</v>
      </c>
      <c r="J725" t="s">
        <v>12</v>
      </c>
      <c r="K725" t="s">
        <v>18</v>
      </c>
    </row>
    <row r="726" spans="1:11" x14ac:dyDescent="0.3">
      <c r="A726">
        <v>258</v>
      </c>
      <c r="B726">
        <v>2</v>
      </c>
      <c r="C726">
        <v>4</v>
      </c>
      <c r="D726">
        <v>1</v>
      </c>
      <c r="E726" s="1">
        <v>2899.99</v>
      </c>
      <c r="F726" s="1">
        <v>7.0000000000000007E-2</v>
      </c>
      <c r="G726">
        <v>2899.99</v>
      </c>
      <c r="H726" s="22">
        <f>VLOOKUP(A726,[1]Orders!$A$2:$B$1616,2,0)</f>
        <v>42527</v>
      </c>
      <c r="J726" t="s">
        <v>16</v>
      </c>
      <c r="K726" t="s">
        <v>18</v>
      </c>
    </row>
    <row r="727" spans="1:11" x14ac:dyDescent="0.3">
      <c r="A727">
        <v>258</v>
      </c>
      <c r="B727">
        <v>3</v>
      </c>
      <c r="C727">
        <v>19</v>
      </c>
      <c r="D727">
        <v>1</v>
      </c>
      <c r="E727" s="1">
        <v>449</v>
      </c>
      <c r="F727" s="1">
        <v>7.0000000000000007E-2</v>
      </c>
      <c r="G727">
        <v>449</v>
      </c>
      <c r="H727" s="22">
        <f>VLOOKUP(A727,[1]Orders!$A$2:$B$1616,2,0)</f>
        <v>42527</v>
      </c>
      <c r="J727" t="s">
        <v>36</v>
      </c>
      <c r="K727" t="s">
        <v>18</v>
      </c>
    </row>
    <row r="728" spans="1:11" x14ac:dyDescent="0.3">
      <c r="A728">
        <v>258</v>
      </c>
      <c r="B728">
        <v>4</v>
      </c>
      <c r="C728">
        <v>18</v>
      </c>
      <c r="D728">
        <v>1</v>
      </c>
      <c r="E728" s="1">
        <v>449</v>
      </c>
      <c r="F728" s="1">
        <v>0.05</v>
      </c>
      <c r="G728">
        <v>449</v>
      </c>
      <c r="H728" s="22">
        <f>VLOOKUP(A728,[1]Orders!$A$2:$B$1616,2,0)</f>
        <v>42527</v>
      </c>
      <c r="J728" t="s">
        <v>24</v>
      </c>
      <c r="K728" t="s">
        <v>18</v>
      </c>
    </row>
    <row r="729" spans="1:11" x14ac:dyDescent="0.3">
      <c r="A729">
        <v>259</v>
      </c>
      <c r="B729">
        <v>1</v>
      </c>
      <c r="C729">
        <v>26</v>
      </c>
      <c r="D729">
        <v>1</v>
      </c>
      <c r="E729" s="1">
        <v>599.99</v>
      </c>
      <c r="F729" s="1">
        <v>0.05</v>
      </c>
      <c r="G729">
        <v>599.99</v>
      </c>
      <c r="H729" s="22">
        <f>VLOOKUP(A729,[1]Orders!$A$2:$B$1616,2,0)</f>
        <v>42527</v>
      </c>
      <c r="J729" t="s">
        <v>14</v>
      </c>
      <c r="K729" t="s">
        <v>18</v>
      </c>
    </row>
    <row r="730" spans="1:11" x14ac:dyDescent="0.3">
      <c r="A730">
        <v>259</v>
      </c>
      <c r="B730">
        <v>2</v>
      </c>
      <c r="C730">
        <v>6</v>
      </c>
      <c r="D730">
        <v>2</v>
      </c>
      <c r="E730" s="1">
        <v>469.99</v>
      </c>
      <c r="F730" s="1">
        <v>0.1</v>
      </c>
      <c r="G730">
        <v>939.98</v>
      </c>
      <c r="H730" s="22">
        <f>VLOOKUP(A730,[1]Orders!$A$2:$B$1616,2,0)</f>
        <v>42527</v>
      </c>
      <c r="J730" t="s">
        <v>32</v>
      </c>
      <c r="K730" t="s">
        <v>18</v>
      </c>
    </row>
    <row r="731" spans="1:11" x14ac:dyDescent="0.3">
      <c r="A731">
        <v>259</v>
      </c>
      <c r="B731">
        <v>3</v>
      </c>
      <c r="C731">
        <v>2</v>
      </c>
      <c r="D731">
        <v>2</v>
      </c>
      <c r="E731" s="1">
        <v>749.99</v>
      </c>
      <c r="F731" s="1">
        <v>0.2</v>
      </c>
      <c r="G731">
        <v>1499.98</v>
      </c>
      <c r="H731" s="22">
        <f>VLOOKUP(A731,[1]Orders!$A$2:$B$1616,2,0)</f>
        <v>42527</v>
      </c>
      <c r="J731" t="s">
        <v>22</v>
      </c>
      <c r="K731" t="s">
        <v>18</v>
      </c>
    </row>
    <row r="732" spans="1:11" x14ac:dyDescent="0.3">
      <c r="A732">
        <v>259</v>
      </c>
      <c r="B732">
        <v>4</v>
      </c>
      <c r="C732">
        <v>4</v>
      </c>
      <c r="D732">
        <v>1</v>
      </c>
      <c r="E732" s="1">
        <v>2899.99</v>
      </c>
      <c r="F732" s="1">
        <v>0.1</v>
      </c>
      <c r="G732">
        <v>2899.99</v>
      </c>
      <c r="H732" s="22">
        <f>VLOOKUP(A732,[1]Orders!$A$2:$B$1616,2,0)</f>
        <v>42527</v>
      </c>
      <c r="J732" t="s">
        <v>16</v>
      </c>
      <c r="K732" t="s">
        <v>18</v>
      </c>
    </row>
    <row r="733" spans="1:11" x14ac:dyDescent="0.3">
      <c r="A733">
        <v>260</v>
      </c>
      <c r="B733">
        <v>1</v>
      </c>
      <c r="C733">
        <v>23</v>
      </c>
      <c r="D733">
        <v>2</v>
      </c>
      <c r="E733" s="1">
        <v>299.99</v>
      </c>
      <c r="F733" s="1">
        <v>0.2</v>
      </c>
      <c r="G733">
        <v>599.98</v>
      </c>
      <c r="H733" s="22">
        <f>VLOOKUP(A733,[1]Orders!$A$2:$B$1616,2,0)</f>
        <v>42527</v>
      </c>
      <c r="J733" t="s">
        <v>33</v>
      </c>
      <c r="K733" t="s">
        <v>18</v>
      </c>
    </row>
    <row r="734" spans="1:11" x14ac:dyDescent="0.3">
      <c r="A734">
        <v>260</v>
      </c>
      <c r="B734">
        <v>2</v>
      </c>
      <c r="C734">
        <v>10</v>
      </c>
      <c r="D734">
        <v>1</v>
      </c>
      <c r="E734" s="1">
        <v>1549</v>
      </c>
      <c r="F734" s="1">
        <v>0.2</v>
      </c>
      <c r="G734">
        <v>1549</v>
      </c>
      <c r="H734" s="22">
        <f>VLOOKUP(A734,[1]Orders!$A$2:$B$1616,2,0)</f>
        <v>42527</v>
      </c>
      <c r="J734" t="s">
        <v>13</v>
      </c>
      <c r="K734" t="s">
        <v>18</v>
      </c>
    </row>
    <row r="735" spans="1:11" x14ac:dyDescent="0.3">
      <c r="A735">
        <v>260</v>
      </c>
      <c r="B735">
        <v>3</v>
      </c>
      <c r="C735">
        <v>24</v>
      </c>
      <c r="D735">
        <v>2</v>
      </c>
      <c r="E735" s="1">
        <v>549.99</v>
      </c>
      <c r="F735" s="1">
        <v>0.2</v>
      </c>
      <c r="G735">
        <v>1099.98</v>
      </c>
      <c r="H735" s="22">
        <f>VLOOKUP(A735,[1]Orders!$A$2:$B$1616,2,0)</f>
        <v>42527</v>
      </c>
      <c r="J735" t="s">
        <v>25</v>
      </c>
      <c r="K735" t="s">
        <v>18</v>
      </c>
    </row>
    <row r="736" spans="1:11" x14ac:dyDescent="0.3">
      <c r="A736">
        <v>261</v>
      </c>
      <c r="B736">
        <v>1</v>
      </c>
      <c r="C736">
        <v>16</v>
      </c>
      <c r="D736">
        <v>2</v>
      </c>
      <c r="E736" s="1">
        <v>599.99</v>
      </c>
      <c r="F736" s="1">
        <v>0.05</v>
      </c>
      <c r="G736">
        <v>1199.98</v>
      </c>
      <c r="H736" s="22">
        <f>VLOOKUP(A736,[1]Orders!$A$2:$B$1616,2,0)</f>
        <v>42529</v>
      </c>
      <c r="J736" t="s">
        <v>14</v>
      </c>
      <c r="K736" t="s">
        <v>11</v>
      </c>
    </row>
    <row r="737" spans="1:11" x14ac:dyDescent="0.3">
      <c r="A737">
        <v>261</v>
      </c>
      <c r="B737">
        <v>2</v>
      </c>
      <c r="C737">
        <v>14</v>
      </c>
      <c r="D737">
        <v>1</v>
      </c>
      <c r="E737" s="1">
        <v>269.99</v>
      </c>
      <c r="F737" s="1">
        <v>0.1</v>
      </c>
      <c r="G737">
        <v>269.99</v>
      </c>
      <c r="H737" s="22">
        <f>VLOOKUP(A737,[1]Orders!$A$2:$B$1616,2,0)</f>
        <v>42529</v>
      </c>
      <c r="J737" t="s">
        <v>28</v>
      </c>
      <c r="K737" t="s">
        <v>11</v>
      </c>
    </row>
    <row r="738" spans="1:11" x14ac:dyDescent="0.3">
      <c r="A738">
        <v>261</v>
      </c>
      <c r="B738">
        <v>3</v>
      </c>
      <c r="C738">
        <v>17</v>
      </c>
      <c r="D738">
        <v>2</v>
      </c>
      <c r="E738" s="1">
        <v>429</v>
      </c>
      <c r="F738" s="1">
        <v>0.1</v>
      </c>
      <c r="G738">
        <v>858</v>
      </c>
      <c r="H738" s="22">
        <f>VLOOKUP(A738,[1]Orders!$A$2:$B$1616,2,0)</f>
        <v>42529</v>
      </c>
      <c r="J738" t="s">
        <v>23</v>
      </c>
      <c r="K738" t="s">
        <v>11</v>
      </c>
    </row>
    <row r="739" spans="1:11" x14ac:dyDescent="0.3">
      <c r="A739">
        <v>262</v>
      </c>
      <c r="B739">
        <v>1</v>
      </c>
      <c r="C739">
        <v>2</v>
      </c>
      <c r="D739">
        <v>1</v>
      </c>
      <c r="E739" s="1">
        <v>749.99</v>
      </c>
      <c r="F739" s="1">
        <v>7.0000000000000007E-2</v>
      </c>
      <c r="G739">
        <v>749.99</v>
      </c>
      <c r="H739" s="22">
        <f>VLOOKUP(A739,[1]Orders!$A$2:$B$1616,2,0)</f>
        <v>42529</v>
      </c>
      <c r="J739" t="s">
        <v>22</v>
      </c>
      <c r="K739" t="s">
        <v>37</v>
      </c>
    </row>
    <row r="740" spans="1:11" x14ac:dyDescent="0.3">
      <c r="A740">
        <v>262</v>
      </c>
      <c r="B740">
        <v>2</v>
      </c>
      <c r="C740">
        <v>9</v>
      </c>
      <c r="D740">
        <v>2</v>
      </c>
      <c r="E740" s="1">
        <v>2999.99</v>
      </c>
      <c r="F740" s="1">
        <v>0.05</v>
      </c>
      <c r="G740">
        <v>5999.98</v>
      </c>
      <c r="H740" s="22">
        <f>VLOOKUP(A740,[1]Orders!$A$2:$B$1616,2,0)</f>
        <v>42529</v>
      </c>
      <c r="J740" t="s">
        <v>26</v>
      </c>
      <c r="K740" t="s">
        <v>37</v>
      </c>
    </row>
    <row r="741" spans="1:11" x14ac:dyDescent="0.3">
      <c r="A741">
        <v>263</v>
      </c>
      <c r="B741">
        <v>1</v>
      </c>
      <c r="C741">
        <v>9</v>
      </c>
      <c r="D741">
        <v>1</v>
      </c>
      <c r="E741" s="1">
        <v>2999.99</v>
      </c>
      <c r="F741" s="1">
        <v>7.0000000000000007E-2</v>
      </c>
      <c r="G741">
        <v>2999.99</v>
      </c>
      <c r="H741" s="22">
        <f>VLOOKUP(A741,[1]Orders!$A$2:$B$1616,2,0)</f>
        <v>42530</v>
      </c>
      <c r="J741" t="s">
        <v>26</v>
      </c>
      <c r="K741" t="s">
        <v>18</v>
      </c>
    </row>
    <row r="742" spans="1:11" x14ac:dyDescent="0.3">
      <c r="A742">
        <v>263</v>
      </c>
      <c r="B742">
        <v>2</v>
      </c>
      <c r="C742">
        <v>3</v>
      </c>
      <c r="D742">
        <v>1</v>
      </c>
      <c r="E742" s="1">
        <v>999.99</v>
      </c>
      <c r="F742" s="1">
        <v>0.2</v>
      </c>
      <c r="G742">
        <v>999.99</v>
      </c>
      <c r="H742" s="22">
        <f>VLOOKUP(A742,[1]Orders!$A$2:$B$1616,2,0)</f>
        <v>42530</v>
      </c>
      <c r="J742" t="s">
        <v>20</v>
      </c>
      <c r="K742" t="s">
        <v>18</v>
      </c>
    </row>
    <row r="743" spans="1:11" x14ac:dyDescent="0.3">
      <c r="A743">
        <v>263</v>
      </c>
      <c r="B743">
        <v>3</v>
      </c>
      <c r="C743">
        <v>2</v>
      </c>
      <c r="D743">
        <v>2</v>
      </c>
      <c r="E743" s="1">
        <v>749.99</v>
      </c>
      <c r="F743" s="1">
        <v>0.05</v>
      </c>
      <c r="G743">
        <v>1499.98</v>
      </c>
      <c r="H743" s="22">
        <f>VLOOKUP(A743,[1]Orders!$A$2:$B$1616,2,0)</f>
        <v>42530</v>
      </c>
      <c r="J743" t="s">
        <v>22</v>
      </c>
      <c r="K743" t="s">
        <v>18</v>
      </c>
    </row>
    <row r="744" spans="1:11" x14ac:dyDescent="0.3">
      <c r="A744">
        <v>264</v>
      </c>
      <c r="B744">
        <v>1</v>
      </c>
      <c r="C744">
        <v>10</v>
      </c>
      <c r="D744">
        <v>1</v>
      </c>
      <c r="E744" s="1">
        <v>1549</v>
      </c>
      <c r="F744" s="1">
        <v>0.2</v>
      </c>
      <c r="G744">
        <v>1549</v>
      </c>
      <c r="H744" s="22">
        <f>VLOOKUP(A744,[1]Orders!$A$2:$B$1616,2,0)</f>
        <v>42531</v>
      </c>
      <c r="J744" t="s">
        <v>13</v>
      </c>
      <c r="K744" t="s">
        <v>11</v>
      </c>
    </row>
    <row r="745" spans="1:11" x14ac:dyDescent="0.3">
      <c r="A745">
        <v>264</v>
      </c>
      <c r="B745">
        <v>2</v>
      </c>
      <c r="C745">
        <v>24</v>
      </c>
      <c r="D745">
        <v>2</v>
      </c>
      <c r="E745" s="1">
        <v>549.99</v>
      </c>
      <c r="F745" s="1">
        <v>0.05</v>
      </c>
      <c r="G745">
        <v>1099.98</v>
      </c>
      <c r="H745" s="22">
        <f>VLOOKUP(A745,[1]Orders!$A$2:$B$1616,2,0)</f>
        <v>42531</v>
      </c>
      <c r="J745" t="s">
        <v>25</v>
      </c>
      <c r="K745" t="s">
        <v>11</v>
      </c>
    </row>
    <row r="746" spans="1:11" x14ac:dyDescent="0.3">
      <c r="A746">
        <v>264</v>
      </c>
      <c r="B746">
        <v>3</v>
      </c>
      <c r="C746">
        <v>15</v>
      </c>
      <c r="D746">
        <v>2</v>
      </c>
      <c r="E746" s="1">
        <v>529.99</v>
      </c>
      <c r="F746" s="1">
        <v>0.1</v>
      </c>
      <c r="G746">
        <v>1059.98</v>
      </c>
      <c r="H746" s="22">
        <f>VLOOKUP(A746,[1]Orders!$A$2:$B$1616,2,0)</f>
        <v>42531</v>
      </c>
      <c r="J746" t="s">
        <v>27</v>
      </c>
      <c r="K746" t="s">
        <v>11</v>
      </c>
    </row>
    <row r="747" spans="1:11" x14ac:dyDescent="0.3">
      <c r="A747">
        <v>264</v>
      </c>
      <c r="B747">
        <v>4</v>
      </c>
      <c r="C747">
        <v>3</v>
      </c>
      <c r="D747">
        <v>2</v>
      </c>
      <c r="E747" s="1">
        <v>999.99</v>
      </c>
      <c r="F747" s="1">
        <v>7.0000000000000007E-2</v>
      </c>
      <c r="G747">
        <v>1999.98</v>
      </c>
      <c r="H747" s="22">
        <f>VLOOKUP(A747,[1]Orders!$A$2:$B$1616,2,0)</f>
        <v>42531</v>
      </c>
      <c r="J747" t="s">
        <v>20</v>
      </c>
      <c r="K747" t="s">
        <v>11</v>
      </c>
    </row>
    <row r="748" spans="1:11" x14ac:dyDescent="0.3">
      <c r="A748">
        <v>265</v>
      </c>
      <c r="B748">
        <v>1</v>
      </c>
      <c r="C748">
        <v>9</v>
      </c>
      <c r="D748">
        <v>2</v>
      </c>
      <c r="E748" s="1">
        <v>2999.99</v>
      </c>
      <c r="F748" s="1">
        <v>0.2</v>
      </c>
      <c r="G748">
        <v>5999.98</v>
      </c>
      <c r="H748" s="22">
        <f>VLOOKUP(A748,[1]Orders!$A$2:$B$1616,2,0)</f>
        <v>42531</v>
      </c>
      <c r="J748" t="s">
        <v>26</v>
      </c>
      <c r="K748" t="s">
        <v>18</v>
      </c>
    </row>
    <row r="749" spans="1:11" x14ac:dyDescent="0.3">
      <c r="A749">
        <v>266</v>
      </c>
      <c r="B749">
        <v>1</v>
      </c>
      <c r="C749">
        <v>6</v>
      </c>
      <c r="D749">
        <v>2</v>
      </c>
      <c r="E749" s="1">
        <v>469.99</v>
      </c>
      <c r="F749" s="1">
        <v>7.0000000000000007E-2</v>
      </c>
      <c r="G749">
        <v>939.98</v>
      </c>
      <c r="H749" s="22">
        <f>VLOOKUP(A749,[1]Orders!$A$2:$B$1616,2,0)</f>
        <v>42531</v>
      </c>
      <c r="J749" t="s">
        <v>32</v>
      </c>
      <c r="K749" t="s">
        <v>18</v>
      </c>
    </row>
    <row r="750" spans="1:11" x14ac:dyDescent="0.3">
      <c r="A750">
        <v>266</v>
      </c>
      <c r="B750">
        <v>2</v>
      </c>
      <c r="C750">
        <v>19</v>
      </c>
      <c r="D750">
        <v>1</v>
      </c>
      <c r="E750" s="1">
        <v>449</v>
      </c>
      <c r="F750" s="1">
        <v>0.2</v>
      </c>
      <c r="G750">
        <v>449</v>
      </c>
      <c r="H750" s="22">
        <f>VLOOKUP(A750,[1]Orders!$A$2:$B$1616,2,0)</f>
        <v>42531</v>
      </c>
      <c r="J750" t="s">
        <v>36</v>
      </c>
      <c r="K750" t="s">
        <v>18</v>
      </c>
    </row>
    <row r="751" spans="1:11" x14ac:dyDescent="0.3">
      <c r="A751">
        <v>266</v>
      </c>
      <c r="B751">
        <v>3</v>
      </c>
      <c r="C751">
        <v>25</v>
      </c>
      <c r="D751">
        <v>1</v>
      </c>
      <c r="E751" s="1">
        <v>499.99</v>
      </c>
      <c r="F751" s="1">
        <v>0.05</v>
      </c>
      <c r="G751">
        <v>499.99</v>
      </c>
      <c r="H751" s="22">
        <f>VLOOKUP(A751,[1]Orders!$A$2:$B$1616,2,0)</f>
        <v>42531</v>
      </c>
      <c r="J751" t="s">
        <v>35</v>
      </c>
      <c r="K751" t="s">
        <v>18</v>
      </c>
    </row>
    <row r="752" spans="1:11" x14ac:dyDescent="0.3">
      <c r="A752">
        <v>267</v>
      </c>
      <c r="B752">
        <v>1</v>
      </c>
      <c r="C752">
        <v>22</v>
      </c>
      <c r="D752">
        <v>2</v>
      </c>
      <c r="E752" s="1">
        <v>269.99</v>
      </c>
      <c r="F752" s="1">
        <v>0.2</v>
      </c>
      <c r="G752">
        <v>539.98</v>
      </c>
      <c r="H752" s="22">
        <f>VLOOKUP(A752,[1]Orders!$A$2:$B$1616,2,0)</f>
        <v>42532</v>
      </c>
      <c r="J752" t="s">
        <v>28</v>
      </c>
      <c r="K752" t="s">
        <v>11</v>
      </c>
    </row>
    <row r="753" spans="1:11" x14ac:dyDescent="0.3">
      <c r="A753">
        <v>267</v>
      </c>
      <c r="B753">
        <v>2</v>
      </c>
      <c r="C753">
        <v>23</v>
      </c>
      <c r="D753">
        <v>2</v>
      </c>
      <c r="E753" s="1">
        <v>299.99</v>
      </c>
      <c r="F753" s="1">
        <v>0.1</v>
      </c>
      <c r="G753">
        <v>599.98</v>
      </c>
      <c r="H753" s="22">
        <f>VLOOKUP(A753,[1]Orders!$A$2:$B$1616,2,0)</f>
        <v>42532</v>
      </c>
      <c r="J753" t="s">
        <v>33</v>
      </c>
      <c r="K753" t="s">
        <v>11</v>
      </c>
    </row>
    <row r="754" spans="1:11" x14ac:dyDescent="0.3">
      <c r="A754">
        <v>267</v>
      </c>
      <c r="B754">
        <v>3</v>
      </c>
      <c r="C754">
        <v>24</v>
      </c>
      <c r="D754">
        <v>1</v>
      </c>
      <c r="E754" s="1">
        <v>549.99</v>
      </c>
      <c r="F754" s="1">
        <v>0.1</v>
      </c>
      <c r="G754">
        <v>549.99</v>
      </c>
      <c r="H754" s="22">
        <f>VLOOKUP(A754,[1]Orders!$A$2:$B$1616,2,0)</f>
        <v>42532</v>
      </c>
      <c r="J754" t="s">
        <v>25</v>
      </c>
      <c r="K754" t="s">
        <v>11</v>
      </c>
    </row>
    <row r="755" spans="1:11" x14ac:dyDescent="0.3">
      <c r="A755">
        <v>267</v>
      </c>
      <c r="B755">
        <v>4</v>
      </c>
      <c r="C755">
        <v>7</v>
      </c>
      <c r="D755">
        <v>2</v>
      </c>
      <c r="E755" s="1">
        <v>3999.99</v>
      </c>
      <c r="F755" s="1">
        <v>7.0000000000000007E-2</v>
      </c>
      <c r="G755">
        <v>7999.98</v>
      </c>
      <c r="H755" s="22">
        <f>VLOOKUP(A755,[1]Orders!$A$2:$B$1616,2,0)</f>
        <v>42532</v>
      </c>
      <c r="J755" t="s">
        <v>29</v>
      </c>
      <c r="K755" t="s">
        <v>11</v>
      </c>
    </row>
    <row r="756" spans="1:11" x14ac:dyDescent="0.3">
      <c r="A756">
        <v>267</v>
      </c>
      <c r="B756">
        <v>5</v>
      </c>
      <c r="C756">
        <v>21</v>
      </c>
      <c r="D756">
        <v>1</v>
      </c>
      <c r="E756" s="1">
        <v>269.99</v>
      </c>
      <c r="F756" s="1">
        <v>0.05</v>
      </c>
      <c r="G756">
        <v>269.99</v>
      </c>
      <c r="H756" s="22">
        <f>VLOOKUP(A756,[1]Orders!$A$2:$B$1616,2,0)</f>
        <v>42532</v>
      </c>
      <c r="J756" t="s">
        <v>31</v>
      </c>
      <c r="K756" t="s">
        <v>11</v>
      </c>
    </row>
    <row r="757" spans="1:11" x14ac:dyDescent="0.3">
      <c r="A757">
        <v>268</v>
      </c>
      <c r="B757">
        <v>1</v>
      </c>
      <c r="C757">
        <v>7</v>
      </c>
      <c r="D757">
        <v>1</v>
      </c>
      <c r="E757" s="1">
        <v>3999.99</v>
      </c>
      <c r="F757" s="1">
        <v>0.05</v>
      </c>
      <c r="G757">
        <v>3999.99</v>
      </c>
      <c r="H757" s="22">
        <f>VLOOKUP(A757,[1]Orders!$A$2:$B$1616,2,0)</f>
        <v>42532</v>
      </c>
      <c r="J757" t="s">
        <v>29</v>
      </c>
      <c r="K757" t="s">
        <v>11</v>
      </c>
    </row>
    <row r="758" spans="1:11" x14ac:dyDescent="0.3">
      <c r="A758">
        <v>268</v>
      </c>
      <c r="B758">
        <v>2</v>
      </c>
      <c r="C758">
        <v>6</v>
      </c>
      <c r="D758">
        <v>2</v>
      </c>
      <c r="E758" s="1">
        <v>469.99</v>
      </c>
      <c r="F758" s="1">
        <v>0.2</v>
      </c>
      <c r="G758">
        <v>939.98</v>
      </c>
      <c r="H758" s="22">
        <f>VLOOKUP(A758,[1]Orders!$A$2:$B$1616,2,0)</f>
        <v>42532</v>
      </c>
      <c r="J758" t="s">
        <v>32</v>
      </c>
      <c r="K758" t="s">
        <v>11</v>
      </c>
    </row>
    <row r="759" spans="1:11" x14ac:dyDescent="0.3">
      <c r="A759">
        <v>268</v>
      </c>
      <c r="B759">
        <v>3</v>
      </c>
      <c r="C759">
        <v>9</v>
      </c>
      <c r="D759">
        <v>1</v>
      </c>
      <c r="E759" s="1">
        <v>2999.99</v>
      </c>
      <c r="F759" s="1">
        <v>0.1</v>
      </c>
      <c r="G759">
        <v>2999.99</v>
      </c>
      <c r="H759" s="22">
        <f>VLOOKUP(A759,[1]Orders!$A$2:$B$1616,2,0)</f>
        <v>42532</v>
      </c>
      <c r="J759" t="s">
        <v>26</v>
      </c>
      <c r="K759" t="s">
        <v>11</v>
      </c>
    </row>
    <row r="760" spans="1:11" x14ac:dyDescent="0.3">
      <c r="A760">
        <v>269</v>
      </c>
      <c r="B760">
        <v>1</v>
      </c>
      <c r="C760">
        <v>5</v>
      </c>
      <c r="D760">
        <v>1</v>
      </c>
      <c r="E760" s="1">
        <v>1320.99</v>
      </c>
      <c r="F760" s="1">
        <v>7.0000000000000007E-2</v>
      </c>
      <c r="G760">
        <v>1320.99</v>
      </c>
      <c r="H760" s="22">
        <f>VLOOKUP(A760,[1]Orders!$A$2:$B$1616,2,0)</f>
        <v>42533</v>
      </c>
      <c r="J760" t="s">
        <v>34</v>
      </c>
      <c r="K760" t="s">
        <v>18</v>
      </c>
    </row>
    <row r="761" spans="1:11" x14ac:dyDescent="0.3">
      <c r="A761">
        <v>269</v>
      </c>
      <c r="B761">
        <v>2</v>
      </c>
      <c r="C761">
        <v>23</v>
      </c>
      <c r="D761">
        <v>2</v>
      </c>
      <c r="E761" s="1">
        <v>299.99</v>
      </c>
      <c r="F761" s="1">
        <v>7.0000000000000007E-2</v>
      </c>
      <c r="G761">
        <v>599.98</v>
      </c>
      <c r="H761" s="22">
        <f>VLOOKUP(A761,[1]Orders!$A$2:$B$1616,2,0)</f>
        <v>42533</v>
      </c>
      <c r="J761" t="s">
        <v>33</v>
      </c>
      <c r="K761" t="s">
        <v>18</v>
      </c>
    </row>
    <row r="762" spans="1:11" x14ac:dyDescent="0.3">
      <c r="A762">
        <v>269</v>
      </c>
      <c r="B762">
        <v>3</v>
      </c>
      <c r="C762">
        <v>18</v>
      </c>
      <c r="D762">
        <v>1</v>
      </c>
      <c r="E762" s="1">
        <v>449</v>
      </c>
      <c r="F762" s="1">
        <v>0.05</v>
      </c>
      <c r="G762">
        <v>449</v>
      </c>
      <c r="H762" s="22">
        <f>VLOOKUP(A762,[1]Orders!$A$2:$B$1616,2,0)</f>
        <v>42533</v>
      </c>
      <c r="J762" t="s">
        <v>24</v>
      </c>
      <c r="K762" t="s">
        <v>18</v>
      </c>
    </row>
    <row r="763" spans="1:11" x14ac:dyDescent="0.3">
      <c r="A763">
        <v>269</v>
      </c>
      <c r="B763">
        <v>4</v>
      </c>
      <c r="C763">
        <v>3</v>
      </c>
      <c r="D763">
        <v>1</v>
      </c>
      <c r="E763" s="1">
        <v>999.99</v>
      </c>
      <c r="F763" s="1">
        <v>0.05</v>
      </c>
      <c r="G763">
        <v>999.99</v>
      </c>
      <c r="H763" s="22">
        <f>VLOOKUP(A763,[1]Orders!$A$2:$B$1616,2,0)</f>
        <v>42533</v>
      </c>
      <c r="J763" t="s">
        <v>20</v>
      </c>
      <c r="K763" t="s">
        <v>18</v>
      </c>
    </row>
    <row r="764" spans="1:11" x14ac:dyDescent="0.3">
      <c r="A764">
        <v>270</v>
      </c>
      <c r="B764">
        <v>1</v>
      </c>
      <c r="C764">
        <v>25</v>
      </c>
      <c r="D764">
        <v>2</v>
      </c>
      <c r="E764" s="1">
        <v>499.99</v>
      </c>
      <c r="F764" s="1">
        <v>0.2</v>
      </c>
      <c r="G764">
        <v>999.98</v>
      </c>
      <c r="H764" s="22">
        <f>VLOOKUP(A764,[1]Orders!$A$2:$B$1616,2,0)</f>
        <v>42533</v>
      </c>
      <c r="J764" t="s">
        <v>35</v>
      </c>
      <c r="K764" t="s">
        <v>18</v>
      </c>
    </row>
    <row r="765" spans="1:11" x14ac:dyDescent="0.3">
      <c r="A765">
        <v>270</v>
      </c>
      <c r="B765">
        <v>2</v>
      </c>
      <c r="C765">
        <v>15</v>
      </c>
      <c r="D765">
        <v>1</v>
      </c>
      <c r="E765" s="1">
        <v>529.99</v>
      </c>
      <c r="F765" s="1">
        <v>0.1</v>
      </c>
      <c r="G765">
        <v>529.99</v>
      </c>
      <c r="H765" s="22">
        <f>VLOOKUP(A765,[1]Orders!$A$2:$B$1616,2,0)</f>
        <v>42533</v>
      </c>
      <c r="J765" t="s">
        <v>27</v>
      </c>
      <c r="K765" t="s">
        <v>18</v>
      </c>
    </row>
    <row r="766" spans="1:11" x14ac:dyDescent="0.3">
      <c r="A766">
        <v>271</v>
      </c>
      <c r="B766">
        <v>1</v>
      </c>
      <c r="C766">
        <v>11</v>
      </c>
      <c r="D766">
        <v>2</v>
      </c>
      <c r="E766" s="1">
        <v>1680.99</v>
      </c>
      <c r="F766" s="1">
        <v>7.0000000000000007E-2</v>
      </c>
      <c r="G766">
        <v>3361.98</v>
      </c>
      <c r="H766" s="22">
        <f>VLOOKUP(A766,[1]Orders!$A$2:$B$1616,2,0)</f>
        <v>42534</v>
      </c>
      <c r="J766" t="s">
        <v>30</v>
      </c>
      <c r="K766" t="s">
        <v>18</v>
      </c>
    </row>
    <row r="767" spans="1:11" x14ac:dyDescent="0.3">
      <c r="A767">
        <v>271</v>
      </c>
      <c r="B767">
        <v>2</v>
      </c>
      <c r="C767">
        <v>6</v>
      </c>
      <c r="D767">
        <v>2</v>
      </c>
      <c r="E767" s="1">
        <v>469.99</v>
      </c>
      <c r="F767" s="1">
        <v>0.05</v>
      </c>
      <c r="G767">
        <v>939.98</v>
      </c>
      <c r="H767" s="22">
        <f>VLOOKUP(A767,[1]Orders!$A$2:$B$1616,2,0)</f>
        <v>42534</v>
      </c>
      <c r="J767" t="s">
        <v>32</v>
      </c>
      <c r="K767" t="s">
        <v>18</v>
      </c>
    </row>
    <row r="768" spans="1:11" x14ac:dyDescent="0.3">
      <c r="A768">
        <v>271</v>
      </c>
      <c r="B768">
        <v>3</v>
      </c>
      <c r="C768">
        <v>13</v>
      </c>
      <c r="D768">
        <v>1</v>
      </c>
      <c r="E768" s="1">
        <v>269.99</v>
      </c>
      <c r="F768" s="1">
        <v>0.1</v>
      </c>
      <c r="G768">
        <v>269.99</v>
      </c>
      <c r="H768" s="22">
        <f>VLOOKUP(A768,[1]Orders!$A$2:$B$1616,2,0)</f>
        <v>42534</v>
      </c>
      <c r="J768" t="s">
        <v>31</v>
      </c>
      <c r="K768" t="s">
        <v>18</v>
      </c>
    </row>
    <row r="769" spans="1:11" x14ac:dyDescent="0.3">
      <c r="A769">
        <v>271</v>
      </c>
      <c r="B769">
        <v>4</v>
      </c>
      <c r="C769">
        <v>7</v>
      </c>
      <c r="D769">
        <v>2</v>
      </c>
      <c r="E769" s="1">
        <v>3999.99</v>
      </c>
      <c r="F769" s="1">
        <v>0.1</v>
      </c>
      <c r="G769">
        <v>7999.98</v>
      </c>
      <c r="H769" s="22">
        <f>VLOOKUP(A769,[1]Orders!$A$2:$B$1616,2,0)</f>
        <v>42534</v>
      </c>
      <c r="J769" t="s">
        <v>29</v>
      </c>
      <c r="K769" t="s">
        <v>18</v>
      </c>
    </row>
    <row r="770" spans="1:11" x14ac:dyDescent="0.3">
      <c r="A770">
        <v>272</v>
      </c>
      <c r="B770">
        <v>1</v>
      </c>
      <c r="C770">
        <v>2</v>
      </c>
      <c r="D770">
        <v>2</v>
      </c>
      <c r="E770" s="1">
        <v>749.99</v>
      </c>
      <c r="F770" s="1">
        <v>7.0000000000000007E-2</v>
      </c>
      <c r="G770">
        <v>1499.98</v>
      </c>
      <c r="H770" s="22">
        <f>VLOOKUP(A770,[1]Orders!$A$2:$B$1616,2,0)</f>
        <v>42536</v>
      </c>
      <c r="J770" t="s">
        <v>22</v>
      </c>
      <c r="K770" t="s">
        <v>18</v>
      </c>
    </row>
    <row r="771" spans="1:11" x14ac:dyDescent="0.3">
      <c r="A771">
        <v>272</v>
      </c>
      <c r="B771">
        <v>2</v>
      </c>
      <c r="C771">
        <v>11</v>
      </c>
      <c r="D771">
        <v>1</v>
      </c>
      <c r="E771" s="1">
        <v>1680.99</v>
      </c>
      <c r="F771" s="1">
        <v>7.0000000000000007E-2</v>
      </c>
      <c r="G771">
        <v>1680.99</v>
      </c>
      <c r="H771" s="22">
        <f>VLOOKUP(A771,[1]Orders!$A$2:$B$1616,2,0)</f>
        <v>42536</v>
      </c>
      <c r="J771" t="s">
        <v>30</v>
      </c>
      <c r="K771" t="s">
        <v>18</v>
      </c>
    </row>
    <row r="772" spans="1:11" x14ac:dyDescent="0.3">
      <c r="A772">
        <v>273</v>
      </c>
      <c r="B772">
        <v>1</v>
      </c>
      <c r="C772">
        <v>21</v>
      </c>
      <c r="D772">
        <v>1</v>
      </c>
      <c r="E772" s="1">
        <v>269.99</v>
      </c>
      <c r="F772" s="1">
        <v>0.1</v>
      </c>
      <c r="G772">
        <v>269.99</v>
      </c>
      <c r="H772" s="22">
        <f>VLOOKUP(A772,[1]Orders!$A$2:$B$1616,2,0)</f>
        <v>42537</v>
      </c>
      <c r="J772" t="s">
        <v>31</v>
      </c>
      <c r="K772" t="s">
        <v>18</v>
      </c>
    </row>
    <row r="773" spans="1:11" x14ac:dyDescent="0.3">
      <c r="A773">
        <v>274</v>
      </c>
      <c r="B773">
        <v>1</v>
      </c>
      <c r="C773">
        <v>11</v>
      </c>
      <c r="D773">
        <v>2</v>
      </c>
      <c r="E773" s="1">
        <v>1680.99</v>
      </c>
      <c r="F773" s="1">
        <v>0.05</v>
      </c>
      <c r="G773">
        <v>3361.98</v>
      </c>
      <c r="H773" s="22">
        <f>VLOOKUP(A773,[1]Orders!$A$2:$B$1616,2,0)</f>
        <v>42538</v>
      </c>
      <c r="J773" t="s">
        <v>30</v>
      </c>
      <c r="K773" t="s">
        <v>18</v>
      </c>
    </row>
    <row r="774" spans="1:11" x14ac:dyDescent="0.3">
      <c r="A774">
        <v>274</v>
      </c>
      <c r="B774">
        <v>2</v>
      </c>
      <c r="C774">
        <v>25</v>
      </c>
      <c r="D774">
        <v>2</v>
      </c>
      <c r="E774" s="1">
        <v>499.99</v>
      </c>
      <c r="F774" s="1">
        <v>0.1</v>
      </c>
      <c r="G774">
        <v>999.98</v>
      </c>
      <c r="H774" s="22">
        <f>VLOOKUP(A774,[1]Orders!$A$2:$B$1616,2,0)</f>
        <v>42538</v>
      </c>
      <c r="J774" t="s">
        <v>35</v>
      </c>
      <c r="K774" t="s">
        <v>18</v>
      </c>
    </row>
    <row r="775" spans="1:11" x14ac:dyDescent="0.3">
      <c r="A775">
        <v>274</v>
      </c>
      <c r="B775">
        <v>3</v>
      </c>
      <c r="C775">
        <v>9</v>
      </c>
      <c r="D775">
        <v>2</v>
      </c>
      <c r="E775" s="1">
        <v>2999.99</v>
      </c>
      <c r="F775" s="1">
        <v>7.0000000000000007E-2</v>
      </c>
      <c r="G775">
        <v>5999.98</v>
      </c>
      <c r="H775" s="22">
        <f>VLOOKUP(A775,[1]Orders!$A$2:$B$1616,2,0)</f>
        <v>42538</v>
      </c>
      <c r="J775" t="s">
        <v>26</v>
      </c>
      <c r="K775" t="s">
        <v>18</v>
      </c>
    </row>
    <row r="776" spans="1:11" x14ac:dyDescent="0.3">
      <c r="A776">
        <v>275</v>
      </c>
      <c r="B776">
        <v>1</v>
      </c>
      <c r="C776">
        <v>18</v>
      </c>
      <c r="D776">
        <v>1</v>
      </c>
      <c r="E776" s="1">
        <v>449</v>
      </c>
      <c r="F776" s="1">
        <v>0.05</v>
      </c>
      <c r="G776">
        <v>449</v>
      </c>
      <c r="H776" s="22">
        <f>VLOOKUP(A776,[1]Orders!$A$2:$B$1616,2,0)</f>
        <v>42538</v>
      </c>
      <c r="J776" t="s">
        <v>24</v>
      </c>
      <c r="K776" t="s">
        <v>18</v>
      </c>
    </row>
    <row r="777" spans="1:11" x14ac:dyDescent="0.3">
      <c r="A777">
        <v>275</v>
      </c>
      <c r="B777">
        <v>2</v>
      </c>
      <c r="C777">
        <v>25</v>
      </c>
      <c r="D777">
        <v>1</v>
      </c>
      <c r="E777" s="1">
        <v>499.99</v>
      </c>
      <c r="F777" s="1">
        <v>0.1</v>
      </c>
      <c r="G777">
        <v>499.99</v>
      </c>
      <c r="H777" s="22">
        <f>VLOOKUP(A777,[1]Orders!$A$2:$B$1616,2,0)</f>
        <v>42538</v>
      </c>
      <c r="J777" t="s">
        <v>35</v>
      </c>
      <c r="K777" t="s">
        <v>18</v>
      </c>
    </row>
    <row r="778" spans="1:11" x14ac:dyDescent="0.3">
      <c r="A778">
        <v>275</v>
      </c>
      <c r="B778">
        <v>3</v>
      </c>
      <c r="C778">
        <v>7</v>
      </c>
      <c r="D778">
        <v>2</v>
      </c>
      <c r="E778" s="1">
        <v>3999.99</v>
      </c>
      <c r="F778" s="1">
        <v>0.05</v>
      </c>
      <c r="G778">
        <v>7999.98</v>
      </c>
      <c r="H778" s="22">
        <f>VLOOKUP(A778,[1]Orders!$A$2:$B$1616,2,0)</f>
        <v>42538</v>
      </c>
      <c r="J778" t="s">
        <v>29</v>
      </c>
      <c r="K778" t="s">
        <v>18</v>
      </c>
    </row>
    <row r="779" spans="1:11" x14ac:dyDescent="0.3">
      <c r="A779">
        <v>276</v>
      </c>
      <c r="B779">
        <v>1</v>
      </c>
      <c r="C779">
        <v>3</v>
      </c>
      <c r="D779">
        <v>2</v>
      </c>
      <c r="E779" s="1">
        <v>999.99</v>
      </c>
      <c r="F779" s="1">
        <v>0.2</v>
      </c>
      <c r="G779">
        <v>1999.98</v>
      </c>
      <c r="H779" s="22">
        <f>VLOOKUP(A779,[1]Orders!$A$2:$B$1616,2,0)</f>
        <v>42539</v>
      </c>
      <c r="J779" t="s">
        <v>20</v>
      </c>
      <c r="K779" t="s">
        <v>18</v>
      </c>
    </row>
    <row r="780" spans="1:11" x14ac:dyDescent="0.3">
      <c r="A780">
        <v>276</v>
      </c>
      <c r="B780">
        <v>2</v>
      </c>
      <c r="C780">
        <v>17</v>
      </c>
      <c r="D780">
        <v>1</v>
      </c>
      <c r="E780" s="1">
        <v>429</v>
      </c>
      <c r="F780" s="1">
        <v>0.05</v>
      </c>
      <c r="G780">
        <v>429</v>
      </c>
      <c r="H780" s="22">
        <f>VLOOKUP(A780,[1]Orders!$A$2:$B$1616,2,0)</f>
        <v>42539</v>
      </c>
      <c r="J780" t="s">
        <v>23</v>
      </c>
      <c r="K780" t="s">
        <v>18</v>
      </c>
    </row>
    <row r="781" spans="1:11" x14ac:dyDescent="0.3">
      <c r="A781">
        <v>276</v>
      </c>
      <c r="B781">
        <v>3</v>
      </c>
      <c r="C781">
        <v>9</v>
      </c>
      <c r="D781">
        <v>2</v>
      </c>
      <c r="E781" s="1">
        <v>2999.99</v>
      </c>
      <c r="F781" s="1">
        <v>7.0000000000000007E-2</v>
      </c>
      <c r="G781">
        <v>5999.98</v>
      </c>
      <c r="H781" s="22">
        <f>VLOOKUP(A781,[1]Orders!$A$2:$B$1616,2,0)</f>
        <v>42539</v>
      </c>
      <c r="J781" t="s">
        <v>26</v>
      </c>
      <c r="K781" t="s">
        <v>18</v>
      </c>
    </row>
    <row r="782" spans="1:11" x14ac:dyDescent="0.3">
      <c r="A782">
        <v>277</v>
      </c>
      <c r="B782">
        <v>1</v>
      </c>
      <c r="C782">
        <v>20</v>
      </c>
      <c r="D782">
        <v>2</v>
      </c>
      <c r="E782" s="1">
        <v>599.99</v>
      </c>
      <c r="F782" s="1">
        <v>0.2</v>
      </c>
      <c r="G782">
        <v>1199.98</v>
      </c>
      <c r="H782" s="22">
        <f>VLOOKUP(A782,[1]Orders!$A$2:$B$1616,2,0)</f>
        <v>42540</v>
      </c>
      <c r="J782" t="s">
        <v>10</v>
      </c>
      <c r="K782" t="s">
        <v>18</v>
      </c>
    </row>
    <row r="783" spans="1:11" x14ac:dyDescent="0.3">
      <c r="A783">
        <v>277</v>
      </c>
      <c r="B783">
        <v>2</v>
      </c>
      <c r="C783">
        <v>6</v>
      </c>
      <c r="D783">
        <v>2</v>
      </c>
      <c r="E783" s="1">
        <v>469.99</v>
      </c>
      <c r="F783" s="1">
        <v>0.2</v>
      </c>
      <c r="G783">
        <v>939.98</v>
      </c>
      <c r="H783" s="22">
        <f>VLOOKUP(A783,[1]Orders!$A$2:$B$1616,2,0)</f>
        <v>42540</v>
      </c>
      <c r="J783" t="s">
        <v>32</v>
      </c>
      <c r="K783" t="s">
        <v>18</v>
      </c>
    </row>
    <row r="784" spans="1:11" x14ac:dyDescent="0.3">
      <c r="A784">
        <v>277</v>
      </c>
      <c r="B784">
        <v>3</v>
      </c>
      <c r="C784">
        <v>13</v>
      </c>
      <c r="D784">
        <v>2</v>
      </c>
      <c r="E784" s="1">
        <v>269.99</v>
      </c>
      <c r="F784" s="1">
        <v>0.1</v>
      </c>
      <c r="G784">
        <v>539.98</v>
      </c>
      <c r="H784" s="22">
        <f>VLOOKUP(A784,[1]Orders!$A$2:$B$1616,2,0)</f>
        <v>42540</v>
      </c>
      <c r="J784" t="s">
        <v>31</v>
      </c>
      <c r="K784" t="s">
        <v>18</v>
      </c>
    </row>
    <row r="785" spans="1:11" x14ac:dyDescent="0.3">
      <c r="A785">
        <v>278</v>
      </c>
      <c r="B785">
        <v>1</v>
      </c>
      <c r="C785">
        <v>16</v>
      </c>
      <c r="D785">
        <v>1</v>
      </c>
      <c r="E785" s="1">
        <v>599.99</v>
      </c>
      <c r="F785" s="1">
        <v>0.2</v>
      </c>
      <c r="G785">
        <v>599.99</v>
      </c>
      <c r="H785" s="22">
        <f>VLOOKUP(A785,[1]Orders!$A$2:$B$1616,2,0)</f>
        <v>42541</v>
      </c>
      <c r="J785" t="s">
        <v>14</v>
      </c>
      <c r="K785" t="s">
        <v>11</v>
      </c>
    </row>
    <row r="786" spans="1:11" x14ac:dyDescent="0.3">
      <c r="A786">
        <v>278</v>
      </c>
      <c r="B786">
        <v>2</v>
      </c>
      <c r="C786">
        <v>19</v>
      </c>
      <c r="D786">
        <v>2</v>
      </c>
      <c r="E786" s="1">
        <v>449</v>
      </c>
      <c r="F786" s="1">
        <v>7.0000000000000007E-2</v>
      </c>
      <c r="G786">
        <v>898</v>
      </c>
      <c r="H786" s="22">
        <f>VLOOKUP(A786,[1]Orders!$A$2:$B$1616,2,0)</f>
        <v>42541</v>
      </c>
      <c r="J786" t="s">
        <v>36</v>
      </c>
      <c r="K786" t="s">
        <v>11</v>
      </c>
    </row>
    <row r="787" spans="1:11" x14ac:dyDescent="0.3">
      <c r="A787">
        <v>278</v>
      </c>
      <c r="B787">
        <v>3</v>
      </c>
      <c r="C787">
        <v>13</v>
      </c>
      <c r="D787">
        <v>1</v>
      </c>
      <c r="E787" s="1">
        <v>269.99</v>
      </c>
      <c r="F787" s="1">
        <v>7.0000000000000007E-2</v>
      </c>
      <c r="G787">
        <v>269.99</v>
      </c>
      <c r="H787" s="22">
        <f>VLOOKUP(A787,[1]Orders!$A$2:$B$1616,2,0)</f>
        <v>42541</v>
      </c>
      <c r="J787" t="s">
        <v>31</v>
      </c>
      <c r="K787" t="s">
        <v>11</v>
      </c>
    </row>
    <row r="788" spans="1:11" x14ac:dyDescent="0.3">
      <c r="A788">
        <v>278</v>
      </c>
      <c r="B788">
        <v>4</v>
      </c>
      <c r="C788">
        <v>11</v>
      </c>
      <c r="D788">
        <v>2</v>
      </c>
      <c r="E788" s="1">
        <v>1680.99</v>
      </c>
      <c r="F788" s="1">
        <v>7.0000000000000007E-2</v>
      </c>
      <c r="G788">
        <v>3361.98</v>
      </c>
      <c r="H788" s="22">
        <f>VLOOKUP(A788,[1]Orders!$A$2:$B$1616,2,0)</f>
        <v>42541</v>
      </c>
      <c r="J788" t="s">
        <v>30</v>
      </c>
      <c r="K788" t="s">
        <v>11</v>
      </c>
    </row>
    <row r="789" spans="1:11" x14ac:dyDescent="0.3">
      <c r="A789">
        <v>279</v>
      </c>
      <c r="B789">
        <v>1</v>
      </c>
      <c r="C789">
        <v>25</v>
      </c>
      <c r="D789">
        <v>1</v>
      </c>
      <c r="E789" s="1">
        <v>499.99</v>
      </c>
      <c r="F789" s="1">
        <v>7.0000000000000007E-2</v>
      </c>
      <c r="G789">
        <v>499.99</v>
      </c>
      <c r="H789" s="22">
        <f>VLOOKUP(A789,[1]Orders!$A$2:$B$1616,2,0)</f>
        <v>42542</v>
      </c>
      <c r="J789" t="s">
        <v>35</v>
      </c>
      <c r="K789" t="s">
        <v>18</v>
      </c>
    </row>
    <row r="790" spans="1:11" x14ac:dyDescent="0.3">
      <c r="A790">
        <v>280</v>
      </c>
      <c r="B790">
        <v>1</v>
      </c>
      <c r="C790">
        <v>25</v>
      </c>
      <c r="D790">
        <v>1</v>
      </c>
      <c r="E790" s="1">
        <v>499.99</v>
      </c>
      <c r="F790" s="1">
        <v>7.0000000000000007E-2</v>
      </c>
      <c r="G790">
        <v>499.99</v>
      </c>
      <c r="H790" s="22">
        <f>VLOOKUP(A790,[1]Orders!$A$2:$B$1616,2,0)</f>
        <v>42542</v>
      </c>
      <c r="J790" t="s">
        <v>35</v>
      </c>
      <c r="K790" t="s">
        <v>18</v>
      </c>
    </row>
    <row r="791" spans="1:11" x14ac:dyDescent="0.3">
      <c r="A791">
        <v>280</v>
      </c>
      <c r="B791">
        <v>2</v>
      </c>
      <c r="C791">
        <v>26</v>
      </c>
      <c r="D791">
        <v>2</v>
      </c>
      <c r="E791" s="1">
        <v>599.99</v>
      </c>
      <c r="F791" s="1">
        <v>7.0000000000000007E-2</v>
      </c>
      <c r="G791">
        <v>1199.98</v>
      </c>
      <c r="H791" s="22">
        <f>VLOOKUP(A791,[1]Orders!$A$2:$B$1616,2,0)</f>
        <v>42542</v>
      </c>
      <c r="J791" t="s">
        <v>14</v>
      </c>
      <c r="K791" t="s">
        <v>18</v>
      </c>
    </row>
    <row r="792" spans="1:11" x14ac:dyDescent="0.3">
      <c r="A792">
        <v>280</v>
      </c>
      <c r="B792">
        <v>3</v>
      </c>
      <c r="C792">
        <v>13</v>
      </c>
      <c r="D792">
        <v>1</v>
      </c>
      <c r="E792" s="1">
        <v>269.99</v>
      </c>
      <c r="F792" s="1">
        <v>7.0000000000000007E-2</v>
      </c>
      <c r="G792">
        <v>269.99</v>
      </c>
      <c r="H792" s="22">
        <f>VLOOKUP(A792,[1]Orders!$A$2:$B$1616,2,0)</f>
        <v>42542</v>
      </c>
      <c r="J792" t="s">
        <v>31</v>
      </c>
      <c r="K792" t="s">
        <v>18</v>
      </c>
    </row>
    <row r="793" spans="1:11" x14ac:dyDescent="0.3">
      <c r="A793">
        <v>281</v>
      </c>
      <c r="B793">
        <v>1</v>
      </c>
      <c r="C793">
        <v>22</v>
      </c>
      <c r="D793">
        <v>1</v>
      </c>
      <c r="E793" s="1">
        <v>269.99</v>
      </c>
      <c r="F793" s="1">
        <v>7.0000000000000007E-2</v>
      </c>
      <c r="G793">
        <v>269.99</v>
      </c>
      <c r="H793" s="22">
        <f>VLOOKUP(A793,[1]Orders!$A$2:$B$1616,2,0)</f>
        <v>42542</v>
      </c>
      <c r="J793" t="s">
        <v>28</v>
      </c>
      <c r="K793" t="s">
        <v>18</v>
      </c>
    </row>
    <row r="794" spans="1:11" x14ac:dyDescent="0.3">
      <c r="A794">
        <v>281</v>
      </c>
      <c r="B794">
        <v>2</v>
      </c>
      <c r="C794">
        <v>14</v>
      </c>
      <c r="D794">
        <v>2</v>
      </c>
      <c r="E794" s="1">
        <v>269.99</v>
      </c>
      <c r="F794" s="1">
        <v>0.1</v>
      </c>
      <c r="G794">
        <v>539.98</v>
      </c>
      <c r="H794" s="22">
        <f>VLOOKUP(A794,[1]Orders!$A$2:$B$1616,2,0)</f>
        <v>42542</v>
      </c>
      <c r="J794" t="s">
        <v>28</v>
      </c>
      <c r="K794" t="s">
        <v>18</v>
      </c>
    </row>
    <row r="795" spans="1:11" x14ac:dyDescent="0.3">
      <c r="A795">
        <v>281</v>
      </c>
      <c r="B795">
        <v>3</v>
      </c>
      <c r="C795">
        <v>7</v>
      </c>
      <c r="D795">
        <v>2</v>
      </c>
      <c r="E795" s="1">
        <v>3999.99</v>
      </c>
      <c r="F795" s="1">
        <v>7.0000000000000007E-2</v>
      </c>
      <c r="G795">
        <v>7999.98</v>
      </c>
      <c r="H795" s="22">
        <f>VLOOKUP(A795,[1]Orders!$A$2:$B$1616,2,0)</f>
        <v>42542</v>
      </c>
      <c r="J795" t="s">
        <v>29</v>
      </c>
      <c r="K795" t="s">
        <v>18</v>
      </c>
    </row>
    <row r="796" spans="1:11" x14ac:dyDescent="0.3">
      <c r="A796">
        <v>282</v>
      </c>
      <c r="B796">
        <v>1</v>
      </c>
      <c r="C796">
        <v>20</v>
      </c>
      <c r="D796">
        <v>1</v>
      </c>
      <c r="E796" s="1">
        <v>599.99</v>
      </c>
      <c r="F796" s="1">
        <v>7.0000000000000007E-2</v>
      </c>
      <c r="G796">
        <v>599.99</v>
      </c>
      <c r="H796" s="22">
        <f>VLOOKUP(A796,[1]Orders!$A$2:$B$1616,2,0)</f>
        <v>42543</v>
      </c>
      <c r="J796" t="s">
        <v>10</v>
      </c>
      <c r="K796" t="s">
        <v>37</v>
      </c>
    </row>
    <row r="797" spans="1:11" x14ac:dyDescent="0.3">
      <c r="A797">
        <v>282</v>
      </c>
      <c r="B797">
        <v>2</v>
      </c>
      <c r="C797">
        <v>7</v>
      </c>
      <c r="D797">
        <v>2</v>
      </c>
      <c r="E797" s="1">
        <v>3999.99</v>
      </c>
      <c r="F797" s="1">
        <v>7.0000000000000007E-2</v>
      </c>
      <c r="G797">
        <v>7999.98</v>
      </c>
      <c r="H797" s="22">
        <f>VLOOKUP(A797,[1]Orders!$A$2:$B$1616,2,0)</f>
        <v>42543</v>
      </c>
      <c r="J797" t="s">
        <v>29</v>
      </c>
      <c r="K797" t="s">
        <v>37</v>
      </c>
    </row>
    <row r="798" spans="1:11" x14ac:dyDescent="0.3">
      <c r="A798">
        <v>282</v>
      </c>
      <c r="B798">
        <v>3</v>
      </c>
      <c r="C798">
        <v>3</v>
      </c>
      <c r="D798">
        <v>2</v>
      </c>
      <c r="E798" s="1">
        <v>999.99</v>
      </c>
      <c r="F798" s="1">
        <v>0.05</v>
      </c>
      <c r="G798">
        <v>1999.98</v>
      </c>
      <c r="H798" s="22">
        <f>VLOOKUP(A798,[1]Orders!$A$2:$B$1616,2,0)</f>
        <v>42543</v>
      </c>
      <c r="J798" t="s">
        <v>20</v>
      </c>
      <c r="K798" t="s">
        <v>37</v>
      </c>
    </row>
    <row r="799" spans="1:11" x14ac:dyDescent="0.3">
      <c r="A799">
        <v>282</v>
      </c>
      <c r="B799">
        <v>4</v>
      </c>
      <c r="C799">
        <v>16</v>
      </c>
      <c r="D799">
        <v>2</v>
      </c>
      <c r="E799" s="1">
        <v>599.99</v>
      </c>
      <c r="F799" s="1">
        <v>7.0000000000000007E-2</v>
      </c>
      <c r="G799">
        <v>1199.98</v>
      </c>
      <c r="H799" s="22">
        <f>VLOOKUP(A799,[1]Orders!$A$2:$B$1616,2,0)</f>
        <v>42543</v>
      </c>
      <c r="J799" t="s">
        <v>14</v>
      </c>
      <c r="K799" t="s">
        <v>37</v>
      </c>
    </row>
    <row r="800" spans="1:11" x14ac:dyDescent="0.3">
      <c r="A800">
        <v>283</v>
      </c>
      <c r="B800">
        <v>1</v>
      </c>
      <c r="C800">
        <v>9</v>
      </c>
      <c r="D800">
        <v>1</v>
      </c>
      <c r="E800" s="1">
        <v>2999.99</v>
      </c>
      <c r="F800" s="1">
        <v>0.05</v>
      </c>
      <c r="G800">
        <v>2999.99</v>
      </c>
      <c r="H800" s="22">
        <f>VLOOKUP(A800,[1]Orders!$A$2:$B$1616,2,0)</f>
        <v>42544</v>
      </c>
      <c r="J800" t="s">
        <v>26</v>
      </c>
      <c r="K800" t="s">
        <v>11</v>
      </c>
    </row>
    <row r="801" spans="1:11" x14ac:dyDescent="0.3">
      <c r="A801">
        <v>283</v>
      </c>
      <c r="B801">
        <v>2</v>
      </c>
      <c r="C801">
        <v>16</v>
      </c>
      <c r="D801">
        <v>2</v>
      </c>
      <c r="E801" s="1">
        <v>599.99</v>
      </c>
      <c r="F801" s="1">
        <v>0.2</v>
      </c>
      <c r="G801">
        <v>1199.98</v>
      </c>
      <c r="H801" s="22">
        <f>VLOOKUP(A801,[1]Orders!$A$2:$B$1616,2,0)</f>
        <v>42544</v>
      </c>
      <c r="J801" t="s">
        <v>14</v>
      </c>
      <c r="K801" t="s">
        <v>11</v>
      </c>
    </row>
    <row r="802" spans="1:11" x14ac:dyDescent="0.3">
      <c r="A802">
        <v>284</v>
      </c>
      <c r="B802">
        <v>1</v>
      </c>
      <c r="C802">
        <v>24</v>
      </c>
      <c r="D802">
        <v>2</v>
      </c>
      <c r="E802" s="1">
        <v>549.99</v>
      </c>
      <c r="F802" s="1">
        <v>0.2</v>
      </c>
      <c r="G802">
        <v>1099.98</v>
      </c>
      <c r="H802" s="22">
        <f>VLOOKUP(A802,[1]Orders!$A$2:$B$1616,2,0)</f>
        <v>42544</v>
      </c>
      <c r="J802" t="s">
        <v>25</v>
      </c>
      <c r="K802" t="s">
        <v>18</v>
      </c>
    </row>
    <row r="803" spans="1:11" x14ac:dyDescent="0.3">
      <c r="A803">
        <v>284</v>
      </c>
      <c r="B803">
        <v>2</v>
      </c>
      <c r="C803">
        <v>20</v>
      </c>
      <c r="D803">
        <v>1</v>
      </c>
      <c r="E803" s="1">
        <v>599.99</v>
      </c>
      <c r="F803" s="1">
        <v>0.2</v>
      </c>
      <c r="G803">
        <v>599.99</v>
      </c>
      <c r="H803" s="22">
        <f>VLOOKUP(A803,[1]Orders!$A$2:$B$1616,2,0)</f>
        <v>42544</v>
      </c>
      <c r="J803" t="s">
        <v>10</v>
      </c>
      <c r="K803" t="s">
        <v>18</v>
      </c>
    </row>
    <row r="804" spans="1:11" x14ac:dyDescent="0.3">
      <c r="A804">
        <v>285</v>
      </c>
      <c r="B804">
        <v>1</v>
      </c>
      <c r="C804">
        <v>16</v>
      </c>
      <c r="D804">
        <v>2</v>
      </c>
      <c r="E804" s="1">
        <v>599.99</v>
      </c>
      <c r="F804" s="1">
        <v>0.05</v>
      </c>
      <c r="G804">
        <v>1199.98</v>
      </c>
      <c r="H804" s="22">
        <f>VLOOKUP(A804,[1]Orders!$A$2:$B$1616,2,0)</f>
        <v>42546</v>
      </c>
      <c r="J804" t="s">
        <v>14</v>
      </c>
      <c r="K804" t="s">
        <v>11</v>
      </c>
    </row>
    <row r="805" spans="1:11" x14ac:dyDescent="0.3">
      <c r="A805">
        <v>285</v>
      </c>
      <c r="B805">
        <v>2</v>
      </c>
      <c r="C805">
        <v>12</v>
      </c>
      <c r="D805">
        <v>1</v>
      </c>
      <c r="E805" s="1">
        <v>549.99</v>
      </c>
      <c r="F805" s="1">
        <v>0.05</v>
      </c>
      <c r="G805">
        <v>549.99</v>
      </c>
      <c r="H805" s="22">
        <f>VLOOKUP(A805,[1]Orders!$A$2:$B$1616,2,0)</f>
        <v>42546</v>
      </c>
      <c r="J805" t="s">
        <v>25</v>
      </c>
      <c r="K805" t="s">
        <v>11</v>
      </c>
    </row>
    <row r="806" spans="1:11" x14ac:dyDescent="0.3">
      <c r="A806">
        <v>285</v>
      </c>
      <c r="B806">
        <v>3</v>
      </c>
      <c r="C806">
        <v>2</v>
      </c>
      <c r="D806">
        <v>1</v>
      </c>
      <c r="E806" s="1">
        <v>749.99</v>
      </c>
      <c r="F806" s="1">
        <v>0.1</v>
      </c>
      <c r="G806">
        <v>749.99</v>
      </c>
      <c r="H806" s="22">
        <f>VLOOKUP(A806,[1]Orders!$A$2:$B$1616,2,0)</f>
        <v>42546</v>
      </c>
      <c r="J806" t="s">
        <v>22</v>
      </c>
      <c r="K806" t="s">
        <v>11</v>
      </c>
    </row>
    <row r="807" spans="1:11" x14ac:dyDescent="0.3">
      <c r="A807">
        <v>286</v>
      </c>
      <c r="B807">
        <v>1</v>
      </c>
      <c r="C807">
        <v>26</v>
      </c>
      <c r="D807">
        <v>2</v>
      </c>
      <c r="E807" s="1">
        <v>599.99</v>
      </c>
      <c r="F807" s="1">
        <v>0.2</v>
      </c>
      <c r="G807">
        <v>1199.98</v>
      </c>
      <c r="H807" s="22">
        <f>VLOOKUP(A807,[1]Orders!$A$2:$B$1616,2,0)</f>
        <v>42546</v>
      </c>
      <c r="J807" t="s">
        <v>14</v>
      </c>
      <c r="K807" t="s">
        <v>18</v>
      </c>
    </row>
    <row r="808" spans="1:11" x14ac:dyDescent="0.3">
      <c r="A808">
        <v>286</v>
      </c>
      <c r="B808">
        <v>2</v>
      </c>
      <c r="C808">
        <v>21</v>
      </c>
      <c r="D808">
        <v>2</v>
      </c>
      <c r="E808" s="1">
        <v>269.99</v>
      </c>
      <c r="F808" s="1">
        <v>7.0000000000000007E-2</v>
      </c>
      <c r="G808">
        <v>539.98</v>
      </c>
      <c r="H808" s="22">
        <f>VLOOKUP(A808,[1]Orders!$A$2:$B$1616,2,0)</f>
        <v>42546</v>
      </c>
      <c r="J808" t="s">
        <v>31</v>
      </c>
      <c r="K808" t="s">
        <v>18</v>
      </c>
    </row>
    <row r="809" spans="1:11" x14ac:dyDescent="0.3">
      <c r="A809">
        <v>286</v>
      </c>
      <c r="B809">
        <v>3</v>
      </c>
      <c r="C809">
        <v>16</v>
      </c>
      <c r="D809">
        <v>2</v>
      </c>
      <c r="E809" s="1">
        <v>599.99</v>
      </c>
      <c r="F809" s="1">
        <v>0.1</v>
      </c>
      <c r="G809">
        <v>1199.98</v>
      </c>
      <c r="H809" s="22">
        <f>VLOOKUP(A809,[1]Orders!$A$2:$B$1616,2,0)</f>
        <v>42546</v>
      </c>
      <c r="J809" t="s">
        <v>14</v>
      </c>
      <c r="K809" t="s">
        <v>18</v>
      </c>
    </row>
    <row r="810" spans="1:11" x14ac:dyDescent="0.3">
      <c r="A810">
        <v>286</v>
      </c>
      <c r="B810">
        <v>4</v>
      </c>
      <c r="C810">
        <v>7</v>
      </c>
      <c r="D810">
        <v>1</v>
      </c>
      <c r="E810" s="1">
        <v>3999.99</v>
      </c>
      <c r="F810" s="1">
        <v>0.1</v>
      </c>
      <c r="G810">
        <v>3999.99</v>
      </c>
      <c r="H810" s="22">
        <f>VLOOKUP(A810,[1]Orders!$A$2:$B$1616,2,0)</f>
        <v>42546</v>
      </c>
      <c r="J810" t="s">
        <v>29</v>
      </c>
      <c r="K810" t="s">
        <v>18</v>
      </c>
    </row>
    <row r="811" spans="1:11" x14ac:dyDescent="0.3">
      <c r="A811">
        <v>287</v>
      </c>
      <c r="B811">
        <v>1</v>
      </c>
      <c r="C811">
        <v>5</v>
      </c>
      <c r="D811">
        <v>1</v>
      </c>
      <c r="E811" s="1">
        <v>1320.99</v>
      </c>
      <c r="F811" s="1">
        <v>0.2</v>
      </c>
      <c r="G811">
        <v>1320.99</v>
      </c>
      <c r="H811" s="22">
        <f>VLOOKUP(A811,[1]Orders!$A$2:$B$1616,2,0)</f>
        <v>42546</v>
      </c>
      <c r="J811" t="s">
        <v>34</v>
      </c>
      <c r="K811" t="s">
        <v>18</v>
      </c>
    </row>
    <row r="812" spans="1:11" x14ac:dyDescent="0.3">
      <c r="A812">
        <v>287</v>
      </c>
      <c r="B812">
        <v>2</v>
      </c>
      <c r="C812">
        <v>10</v>
      </c>
      <c r="D812">
        <v>1</v>
      </c>
      <c r="E812" s="1">
        <v>1549</v>
      </c>
      <c r="F812" s="1">
        <v>0.05</v>
      </c>
      <c r="G812">
        <v>1549</v>
      </c>
      <c r="H812" s="22">
        <f>VLOOKUP(A812,[1]Orders!$A$2:$B$1616,2,0)</f>
        <v>42546</v>
      </c>
      <c r="J812" t="s">
        <v>13</v>
      </c>
      <c r="K812" t="s">
        <v>18</v>
      </c>
    </row>
    <row r="813" spans="1:11" x14ac:dyDescent="0.3">
      <c r="A813">
        <v>287</v>
      </c>
      <c r="B813">
        <v>3</v>
      </c>
      <c r="C813">
        <v>2</v>
      </c>
      <c r="D813">
        <v>1</v>
      </c>
      <c r="E813" s="1">
        <v>749.99</v>
      </c>
      <c r="F813" s="1">
        <v>0.05</v>
      </c>
      <c r="G813">
        <v>749.99</v>
      </c>
      <c r="H813" s="22">
        <f>VLOOKUP(A813,[1]Orders!$A$2:$B$1616,2,0)</f>
        <v>42546</v>
      </c>
      <c r="J813" t="s">
        <v>22</v>
      </c>
      <c r="K813" t="s">
        <v>18</v>
      </c>
    </row>
    <row r="814" spans="1:11" x14ac:dyDescent="0.3">
      <c r="A814">
        <v>287</v>
      </c>
      <c r="B814">
        <v>4</v>
      </c>
      <c r="C814">
        <v>20</v>
      </c>
      <c r="D814">
        <v>1</v>
      </c>
      <c r="E814" s="1">
        <v>599.99</v>
      </c>
      <c r="F814" s="1">
        <v>0.05</v>
      </c>
      <c r="G814">
        <v>599.99</v>
      </c>
      <c r="H814" s="22">
        <f>VLOOKUP(A814,[1]Orders!$A$2:$B$1616,2,0)</f>
        <v>42546</v>
      </c>
      <c r="J814" t="s">
        <v>10</v>
      </c>
      <c r="K814" t="s">
        <v>18</v>
      </c>
    </row>
    <row r="815" spans="1:11" x14ac:dyDescent="0.3">
      <c r="A815">
        <v>288</v>
      </c>
      <c r="B815">
        <v>1</v>
      </c>
      <c r="C815">
        <v>4</v>
      </c>
      <c r="D815">
        <v>1</v>
      </c>
      <c r="E815" s="1">
        <v>2899.99</v>
      </c>
      <c r="F815" s="1">
        <v>0.2</v>
      </c>
      <c r="G815">
        <v>2899.99</v>
      </c>
      <c r="H815" s="22">
        <f>VLOOKUP(A815,[1]Orders!$A$2:$B$1616,2,0)</f>
        <v>42546</v>
      </c>
      <c r="J815" t="s">
        <v>16</v>
      </c>
      <c r="K815" t="s">
        <v>18</v>
      </c>
    </row>
    <row r="816" spans="1:11" x14ac:dyDescent="0.3">
      <c r="A816">
        <v>288</v>
      </c>
      <c r="B816">
        <v>2</v>
      </c>
      <c r="C816">
        <v>10</v>
      </c>
      <c r="D816">
        <v>1</v>
      </c>
      <c r="E816" s="1">
        <v>1549</v>
      </c>
      <c r="F816" s="1">
        <v>0.1</v>
      </c>
      <c r="G816">
        <v>1549</v>
      </c>
      <c r="H816" s="22">
        <f>VLOOKUP(A816,[1]Orders!$A$2:$B$1616,2,0)</f>
        <v>42546</v>
      </c>
      <c r="J816" t="s">
        <v>13</v>
      </c>
      <c r="K816" t="s">
        <v>18</v>
      </c>
    </row>
    <row r="817" spans="1:11" x14ac:dyDescent="0.3">
      <c r="A817">
        <v>288</v>
      </c>
      <c r="B817">
        <v>3</v>
      </c>
      <c r="C817">
        <v>7</v>
      </c>
      <c r="D817">
        <v>2</v>
      </c>
      <c r="E817" s="1">
        <v>3999.99</v>
      </c>
      <c r="F817" s="1">
        <v>0.05</v>
      </c>
      <c r="G817">
        <v>7999.98</v>
      </c>
      <c r="H817" s="22">
        <f>VLOOKUP(A817,[1]Orders!$A$2:$B$1616,2,0)</f>
        <v>42546</v>
      </c>
      <c r="J817" t="s">
        <v>29</v>
      </c>
      <c r="K817" t="s">
        <v>18</v>
      </c>
    </row>
    <row r="818" spans="1:11" x14ac:dyDescent="0.3">
      <c r="A818">
        <v>289</v>
      </c>
      <c r="B818">
        <v>1</v>
      </c>
      <c r="C818">
        <v>13</v>
      </c>
      <c r="D818">
        <v>1</v>
      </c>
      <c r="E818" s="1">
        <v>269.99</v>
      </c>
      <c r="F818" s="1">
        <v>7.0000000000000007E-2</v>
      </c>
      <c r="G818">
        <v>269.99</v>
      </c>
      <c r="H818" s="22">
        <f>VLOOKUP(A818,[1]Orders!$A$2:$B$1616,2,0)</f>
        <v>42548</v>
      </c>
      <c r="J818" t="s">
        <v>31</v>
      </c>
      <c r="K818" t="s">
        <v>18</v>
      </c>
    </row>
    <row r="819" spans="1:11" x14ac:dyDescent="0.3">
      <c r="A819">
        <v>289</v>
      </c>
      <c r="B819">
        <v>2</v>
      </c>
      <c r="C819">
        <v>24</v>
      </c>
      <c r="D819">
        <v>1</v>
      </c>
      <c r="E819" s="1">
        <v>549.99</v>
      </c>
      <c r="F819" s="1">
        <v>0.2</v>
      </c>
      <c r="G819">
        <v>549.99</v>
      </c>
      <c r="H819" s="22">
        <f>VLOOKUP(A819,[1]Orders!$A$2:$B$1616,2,0)</f>
        <v>42548</v>
      </c>
      <c r="J819" t="s">
        <v>25</v>
      </c>
      <c r="K819" t="s">
        <v>18</v>
      </c>
    </row>
    <row r="820" spans="1:11" x14ac:dyDescent="0.3">
      <c r="A820">
        <v>289</v>
      </c>
      <c r="B820">
        <v>3</v>
      </c>
      <c r="C820">
        <v>17</v>
      </c>
      <c r="D820">
        <v>1</v>
      </c>
      <c r="E820" s="1">
        <v>429</v>
      </c>
      <c r="F820" s="1">
        <v>0.2</v>
      </c>
      <c r="G820">
        <v>429</v>
      </c>
      <c r="H820" s="22">
        <f>VLOOKUP(A820,[1]Orders!$A$2:$B$1616,2,0)</f>
        <v>42548</v>
      </c>
      <c r="J820" t="s">
        <v>23</v>
      </c>
      <c r="K820" t="s">
        <v>18</v>
      </c>
    </row>
    <row r="821" spans="1:11" x14ac:dyDescent="0.3">
      <c r="A821">
        <v>290</v>
      </c>
      <c r="B821">
        <v>1</v>
      </c>
      <c r="C821">
        <v>2</v>
      </c>
      <c r="D821">
        <v>2</v>
      </c>
      <c r="E821" s="1">
        <v>749.99</v>
      </c>
      <c r="F821" s="1">
        <v>7.0000000000000007E-2</v>
      </c>
      <c r="G821">
        <v>1499.98</v>
      </c>
      <c r="H821" s="22">
        <f>VLOOKUP(A821,[1]Orders!$A$2:$B$1616,2,0)</f>
        <v>42549</v>
      </c>
      <c r="J821" t="s">
        <v>22</v>
      </c>
      <c r="K821" t="s">
        <v>18</v>
      </c>
    </row>
    <row r="822" spans="1:11" x14ac:dyDescent="0.3">
      <c r="A822">
        <v>290</v>
      </c>
      <c r="B822">
        <v>2</v>
      </c>
      <c r="C822">
        <v>5</v>
      </c>
      <c r="D822">
        <v>2</v>
      </c>
      <c r="E822" s="1">
        <v>1320.99</v>
      </c>
      <c r="F822" s="1">
        <v>7.0000000000000007E-2</v>
      </c>
      <c r="G822">
        <v>2641.98</v>
      </c>
      <c r="H822" s="22">
        <f>VLOOKUP(A822,[1]Orders!$A$2:$B$1616,2,0)</f>
        <v>42549</v>
      </c>
      <c r="J822" t="s">
        <v>34</v>
      </c>
      <c r="K822" t="s">
        <v>18</v>
      </c>
    </row>
    <row r="823" spans="1:11" x14ac:dyDescent="0.3">
      <c r="A823">
        <v>290</v>
      </c>
      <c r="B823">
        <v>3</v>
      </c>
      <c r="C823">
        <v>21</v>
      </c>
      <c r="D823">
        <v>1</v>
      </c>
      <c r="E823" s="1">
        <v>269.99</v>
      </c>
      <c r="F823" s="1">
        <v>0.1</v>
      </c>
      <c r="G823">
        <v>269.99</v>
      </c>
      <c r="H823" s="22">
        <f>VLOOKUP(A823,[1]Orders!$A$2:$B$1616,2,0)</f>
        <v>42549</v>
      </c>
      <c r="J823" t="s">
        <v>31</v>
      </c>
      <c r="K823" t="s">
        <v>18</v>
      </c>
    </row>
    <row r="824" spans="1:11" x14ac:dyDescent="0.3">
      <c r="A824">
        <v>291</v>
      </c>
      <c r="B824">
        <v>1</v>
      </c>
      <c r="C824">
        <v>6</v>
      </c>
      <c r="D824">
        <v>2</v>
      </c>
      <c r="E824" s="1">
        <v>469.99</v>
      </c>
      <c r="F824" s="1">
        <v>0.05</v>
      </c>
      <c r="G824">
        <v>939.98</v>
      </c>
      <c r="H824" s="22">
        <f>VLOOKUP(A824,[1]Orders!$A$2:$B$1616,2,0)</f>
        <v>42550</v>
      </c>
      <c r="J824" t="s">
        <v>32</v>
      </c>
      <c r="K824" t="s">
        <v>18</v>
      </c>
    </row>
    <row r="825" spans="1:11" x14ac:dyDescent="0.3">
      <c r="A825">
        <v>291</v>
      </c>
      <c r="B825">
        <v>2</v>
      </c>
      <c r="C825">
        <v>21</v>
      </c>
      <c r="D825">
        <v>2</v>
      </c>
      <c r="E825" s="1">
        <v>269.99</v>
      </c>
      <c r="F825" s="1">
        <v>7.0000000000000007E-2</v>
      </c>
      <c r="G825">
        <v>539.98</v>
      </c>
      <c r="H825" s="22">
        <f>VLOOKUP(A825,[1]Orders!$A$2:$B$1616,2,0)</f>
        <v>42550</v>
      </c>
      <c r="J825" t="s">
        <v>31</v>
      </c>
      <c r="K825" t="s">
        <v>18</v>
      </c>
    </row>
    <row r="826" spans="1:11" x14ac:dyDescent="0.3">
      <c r="A826">
        <v>292</v>
      </c>
      <c r="B826">
        <v>1</v>
      </c>
      <c r="C826">
        <v>18</v>
      </c>
      <c r="D826">
        <v>2</v>
      </c>
      <c r="E826" s="1">
        <v>449</v>
      </c>
      <c r="F826" s="1">
        <v>0.1</v>
      </c>
      <c r="G826">
        <v>898</v>
      </c>
      <c r="H826" s="22">
        <f>VLOOKUP(A826,[1]Orders!$A$2:$B$1616,2,0)</f>
        <v>42550</v>
      </c>
      <c r="J826" t="s">
        <v>24</v>
      </c>
      <c r="K826" t="s">
        <v>37</v>
      </c>
    </row>
    <row r="827" spans="1:11" x14ac:dyDescent="0.3">
      <c r="A827">
        <v>292</v>
      </c>
      <c r="B827">
        <v>2</v>
      </c>
      <c r="C827">
        <v>4</v>
      </c>
      <c r="D827">
        <v>1</v>
      </c>
      <c r="E827" s="1">
        <v>2899.99</v>
      </c>
      <c r="F827" s="1">
        <v>7.0000000000000007E-2</v>
      </c>
      <c r="G827">
        <v>2899.99</v>
      </c>
      <c r="H827" s="22">
        <f>VLOOKUP(A827,[1]Orders!$A$2:$B$1616,2,0)</f>
        <v>42550</v>
      </c>
      <c r="J827" t="s">
        <v>16</v>
      </c>
      <c r="K827" t="s">
        <v>37</v>
      </c>
    </row>
    <row r="828" spans="1:11" x14ac:dyDescent="0.3">
      <c r="A828">
        <v>292</v>
      </c>
      <c r="B828">
        <v>3</v>
      </c>
      <c r="C828">
        <v>10</v>
      </c>
      <c r="D828">
        <v>2</v>
      </c>
      <c r="E828" s="1">
        <v>1549</v>
      </c>
      <c r="F828" s="1">
        <v>0.05</v>
      </c>
      <c r="G828">
        <v>3098</v>
      </c>
      <c r="H828" s="22">
        <f>VLOOKUP(A828,[1]Orders!$A$2:$B$1616,2,0)</f>
        <v>42550</v>
      </c>
      <c r="J828" t="s">
        <v>13</v>
      </c>
      <c r="K828" t="s">
        <v>37</v>
      </c>
    </row>
    <row r="829" spans="1:11" x14ac:dyDescent="0.3">
      <c r="A829">
        <v>293</v>
      </c>
      <c r="B829">
        <v>1</v>
      </c>
      <c r="C829">
        <v>19</v>
      </c>
      <c r="D829">
        <v>2</v>
      </c>
      <c r="E829" s="1">
        <v>449</v>
      </c>
      <c r="F829" s="1">
        <v>0.05</v>
      </c>
      <c r="G829">
        <v>898</v>
      </c>
      <c r="H829" s="22">
        <f>VLOOKUP(A829,[1]Orders!$A$2:$B$1616,2,0)</f>
        <v>42551</v>
      </c>
      <c r="J829" t="s">
        <v>36</v>
      </c>
      <c r="K829" t="s">
        <v>18</v>
      </c>
    </row>
    <row r="830" spans="1:11" x14ac:dyDescent="0.3">
      <c r="A830">
        <v>293</v>
      </c>
      <c r="B830">
        <v>2</v>
      </c>
      <c r="C830">
        <v>6</v>
      </c>
      <c r="D830">
        <v>1</v>
      </c>
      <c r="E830" s="1">
        <v>469.99</v>
      </c>
      <c r="F830" s="1">
        <v>0.2</v>
      </c>
      <c r="G830">
        <v>469.99</v>
      </c>
      <c r="H830" s="22">
        <f>VLOOKUP(A830,[1]Orders!$A$2:$B$1616,2,0)</f>
        <v>42551</v>
      </c>
      <c r="J830" t="s">
        <v>32</v>
      </c>
      <c r="K830" t="s">
        <v>18</v>
      </c>
    </row>
    <row r="831" spans="1:11" x14ac:dyDescent="0.3">
      <c r="A831">
        <v>294</v>
      </c>
      <c r="B831">
        <v>1</v>
      </c>
      <c r="C831">
        <v>18</v>
      </c>
      <c r="D831">
        <v>1</v>
      </c>
      <c r="E831" s="1">
        <v>449</v>
      </c>
      <c r="F831" s="1">
        <v>0.2</v>
      </c>
      <c r="G831">
        <v>449</v>
      </c>
      <c r="H831" s="22">
        <f>VLOOKUP(A831,[1]Orders!$A$2:$B$1616,2,0)</f>
        <v>42552</v>
      </c>
      <c r="J831" t="s">
        <v>24</v>
      </c>
      <c r="K831" t="s">
        <v>18</v>
      </c>
    </row>
    <row r="832" spans="1:11" x14ac:dyDescent="0.3">
      <c r="A832">
        <v>294</v>
      </c>
      <c r="B832">
        <v>2</v>
      </c>
      <c r="C832">
        <v>14</v>
      </c>
      <c r="D832">
        <v>1</v>
      </c>
      <c r="E832" s="1">
        <v>269.99</v>
      </c>
      <c r="F832" s="1">
        <v>0.2</v>
      </c>
      <c r="G832">
        <v>269.99</v>
      </c>
      <c r="H832" s="22">
        <f>VLOOKUP(A832,[1]Orders!$A$2:$B$1616,2,0)</f>
        <v>42552</v>
      </c>
      <c r="J832" t="s">
        <v>28</v>
      </c>
      <c r="K832" t="s">
        <v>18</v>
      </c>
    </row>
    <row r="833" spans="1:11" x14ac:dyDescent="0.3">
      <c r="A833">
        <v>294</v>
      </c>
      <c r="B833">
        <v>3</v>
      </c>
      <c r="C833">
        <v>7</v>
      </c>
      <c r="D833">
        <v>2</v>
      </c>
      <c r="E833" s="1">
        <v>3999.99</v>
      </c>
      <c r="F833" s="1">
        <v>0.05</v>
      </c>
      <c r="G833">
        <v>7999.98</v>
      </c>
      <c r="H833" s="22">
        <f>VLOOKUP(A833,[1]Orders!$A$2:$B$1616,2,0)</f>
        <v>42552</v>
      </c>
      <c r="J833" t="s">
        <v>29</v>
      </c>
      <c r="K833" t="s">
        <v>18</v>
      </c>
    </row>
    <row r="834" spans="1:11" x14ac:dyDescent="0.3">
      <c r="A834">
        <v>294</v>
      </c>
      <c r="B834">
        <v>4</v>
      </c>
      <c r="C834">
        <v>25</v>
      </c>
      <c r="D834">
        <v>2</v>
      </c>
      <c r="E834" s="1">
        <v>499.99</v>
      </c>
      <c r="F834" s="1">
        <v>0.2</v>
      </c>
      <c r="G834">
        <v>999.98</v>
      </c>
      <c r="H834" s="22">
        <f>VLOOKUP(A834,[1]Orders!$A$2:$B$1616,2,0)</f>
        <v>42552</v>
      </c>
      <c r="J834" t="s">
        <v>35</v>
      </c>
      <c r="K834" t="s">
        <v>18</v>
      </c>
    </row>
    <row r="835" spans="1:11" x14ac:dyDescent="0.3">
      <c r="A835">
        <v>295</v>
      </c>
      <c r="B835">
        <v>1</v>
      </c>
      <c r="C835">
        <v>22</v>
      </c>
      <c r="D835">
        <v>2</v>
      </c>
      <c r="E835" s="1">
        <v>269.99</v>
      </c>
      <c r="F835" s="1">
        <v>7.0000000000000007E-2</v>
      </c>
      <c r="G835">
        <v>539.98</v>
      </c>
      <c r="H835" s="22">
        <f>VLOOKUP(A835,[1]Orders!$A$2:$B$1616,2,0)</f>
        <v>42552</v>
      </c>
      <c r="J835" t="s">
        <v>28</v>
      </c>
      <c r="K835" t="s">
        <v>18</v>
      </c>
    </row>
    <row r="836" spans="1:11" x14ac:dyDescent="0.3">
      <c r="A836">
        <v>296</v>
      </c>
      <c r="B836">
        <v>1</v>
      </c>
      <c r="C836">
        <v>25</v>
      </c>
      <c r="D836">
        <v>2</v>
      </c>
      <c r="E836" s="1">
        <v>499.99</v>
      </c>
      <c r="F836" s="1">
        <v>7.0000000000000007E-2</v>
      </c>
      <c r="G836">
        <v>999.98</v>
      </c>
      <c r="H836" s="22">
        <f>VLOOKUP(A836,[1]Orders!$A$2:$B$1616,2,0)</f>
        <v>42555</v>
      </c>
      <c r="J836" t="s">
        <v>35</v>
      </c>
      <c r="K836" t="s">
        <v>18</v>
      </c>
    </row>
    <row r="837" spans="1:11" x14ac:dyDescent="0.3">
      <c r="A837">
        <v>296</v>
      </c>
      <c r="B837">
        <v>2</v>
      </c>
      <c r="C837">
        <v>12</v>
      </c>
      <c r="D837">
        <v>2</v>
      </c>
      <c r="E837" s="1">
        <v>549.99</v>
      </c>
      <c r="F837" s="1">
        <v>0.1</v>
      </c>
      <c r="G837">
        <v>1099.98</v>
      </c>
      <c r="H837" s="22">
        <f>VLOOKUP(A837,[1]Orders!$A$2:$B$1616,2,0)</f>
        <v>42555</v>
      </c>
      <c r="J837" t="s">
        <v>25</v>
      </c>
      <c r="K837" t="s">
        <v>18</v>
      </c>
    </row>
    <row r="838" spans="1:11" x14ac:dyDescent="0.3">
      <c r="A838">
        <v>296</v>
      </c>
      <c r="B838">
        <v>3</v>
      </c>
      <c r="C838">
        <v>11</v>
      </c>
      <c r="D838">
        <v>2</v>
      </c>
      <c r="E838" s="1">
        <v>1680.99</v>
      </c>
      <c r="F838" s="1">
        <v>0.1</v>
      </c>
      <c r="G838">
        <v>3361.98</v>
      </c>
      <c r="H838" s="22">
        <f>VLOOKUP(A838,[1]Orders!$A$2:$B$1616,2,0)</f>
        <v>42555</v>
      </c>
      <c r="J838" t="s">
        <v>30</v>
      </c>
      <c r="K838" t="s">
        <v>18</v>
      </c>
    </row>
    <row r="839" spans="1:11" x14ac:dyDescent="0.3">
      <c r="A839">
        <v>296</v>
      </c>
      <c r="B839">
        <v>4</v>
      </c>
      <c r="C839">
        <v>9</v>
      </c>
      <c r="D839">
        <v>1</v>
      </c>
      <c r="E839" s="1">
        <v>2999.99</v>
      </c>
      <c r="F839" s="1">
        <v>0.2</v>
      </c>
      <c r="G839">
        <v>2999.99</v>
      </c>
      <c r="H839" s="22">
        <f>VLOOKUP(A839,[1]Orders!$A$2:$B$1616,2,0)</f>
        <v>42555</v>
      </c>
      <c r="J839" t="s">
        <v>26</v>
      </c>
      <c r="K839" t="s">
        <v>18</v>
      </c>
    </row>
    <row r="840" spans="1:11" x14ac:dyDescent="0.3">
      <c r="A840">
        <v>297</v>
      </c>
      <c r="B840">
        <v>1</v>
      </c>
      <c r="C840">
        <v>4</v>
      </c>
      <c r="D840">
        <v>2</v>
      </c>
      <c r="E840" s="1">
        <v>2899.99</v>
      </c>
      <c r="F840" s="1">
        <v>0.2</v>
      </c>
      <c r="G840">
        <v>5799.98</v>
      </c>
      <c r="H840" s="22">
        <f>VLOOKUP(A840,[1]Orders!$A$2:$B$1616,2,0)</f>
        <v>42555</v>
      </c>
      <c r="J840" t="s">
        <v>16</v>
      </c>
      <c r="K840" t="s">
        <v>18</v>
      </c>
    </row>
    <row r="841" spans="1:11" x14ac:dyDescent="0.3">
      <c r="A841">
        <v>298</v>
      </c>
      <c r="B841">
        <v>1</v>
      </c>
      <c r="C841">
        <v>23</v>
      </c>
      <c r="D841">
        <v>1</v>
      </c>
      <c r="E841" s="1">
        <v>299.99</v>
      </c>
      <c r="F841" s="1">
        <v>0.2</v>
      </c>
      <c r="G841">
        <v>299.99</v>
      </c>
      <c r="H841" s="22">
        <f>VLOOKUP(A841,[1]Orders!$A$2:$B$1616,2,0)</f>
        <v>42555</v>
      </c>
      <c r="J841" t="s">
        <v>33</v>
      </c>
      <c r="K841" t="s">
        <v>37</v>
      </c>
    </row>
    <row r="842" spans="1:11" x14ac:dyDescent="0.3">
      <c r="A842">
        <v>298</v>
      </c>
      <c r="B842">
        <v>2</v>
      </c>
      <c r="C842">
        <v>6</v>
      </c>
      <c r="D842">
        <v>2</v>
      </c>
      <c r="E842" s="1">
        <v>469.99</v>
      </c>
      <c r="F842" s="1">
        <v>0.05</v>
      </c>
      <c r="G842">
        <v>939.98</v>
      </c>
      <c r="H842" s="22">
        <f>VLOOKUP(A842,[1]Orders!$A$2:$B$1616,2,0)</f>
        <v>42555</v>
      </c>
      <c r="J842" t="s">
        <v>32</v>
      </c>
      <c r="K842" t="s">
        <v>37</v>
      </c>
    </row>
    <row r="843" spans="1:11" x14ac:dyDescent="0.3">
      <c r="A843">
        <v>298</v>
      </c>
      <c r="B843">
        <v>3</v>
      </c>
      <c r="C843">
        <v>22</v>
      </c>
      <c r="D843">
        <v>1</v>
      </c>
      <c r="E843" s="1">
        <v>269.99</v>
      </c>
      <c r="F843" s="1">
        <v>0.2</v>
      </c>
      <c r="G843">
        <v>269.99</v>
      </c>
      <c r="H843" s="22">
        <f>VLOOKUP(A843,[1]Orders!$A$2:$B$1616,2,0)</f>
        <v>42555</v>
      </c>
      <c r="J843" t="s">
        <v>28</v>
      </c>
      <c r="K843" t="s">
        <v>37</v>
      </c>
    </row>
    <row r="844" spans="1:11" x14ac:dyDescent="0.3">
      <c r="A844">
        <v>298</v>
      </c>
      <c r="B844">
        <v>4</v>
      </c>
      <c r="C844">
        <v>9</v>
      </c>
      <c r="D844">
        <v>1</v>
      </c>
      <c r="E844" s="1">
        <v>2999.99</v>
      </c>
      <c r="F844" s="1">
        <v>7.0000000000000007E-2</v>
      </c>
      <c r="G844">
        <v>2999.99</v>
      </c>
      <c r="H844" s="22">
        <f>VLOOKUP(A844,[1]Orders!$A$2:$B$1616,2,0)</f>
        <v>42555</v>
      </c>
      <c r="J844" t="s">
        <v>26</v>
      </c>
      <c r="K844" t="s">
        <v>37</v>
      </c>
    </row>
    <row r="845" spans="1:11" x14ac:dyDescent="0.3">
      <c r="A845">
        <v>298</v>
      </c>
      <c r="B845">
        <v>5</v>
      </c>
      <c r="C845">
        <v>14</v>
      </c>
      <c r="D845">
        <v>2</v>
      </c>
      <c r="E845" s="1">
        <v>269.99</v>
      </c>
      <c r="F845" s="1">
        <v>0.1</v>
      </c>
      <c r="G845">
        <v>539.98</v>
      </c>
      <c r="H845" s="22">
        <f>VLOOKUP(A845,[1]Orders!$A$2:$B$1616,2,0)</f>
        <v>42555</v>
      </c>
      <c r="J845" t="s">
        <v>28</v>
      </c>
      <c r="K845" t="s">
        <v>37</v>
      </c>
    </row>
    <row r="846" spans="1:11" x14ac:dyDescent="0.3">
      <c r="A846">
        <v>299</v>
      </c>
      <c r="B846">
        <v>1</v>
      </c>
      <c r="C846">
        <v>11</v>
      </c>
      <c r="D846">
        <v>2</v>
      </c>
      <c r="E846" s="1">
        <v>1680.99</v>
      </c>
      <c r="F846" s="1">
        <v>0.05</v>
      </c>
      <c r="G846">
        <v>3361.98</v>
      </c>
      <c r="H846" s="22">
        <f>VLOOKUP(A846,[1]Orders!$A$2:$B$1616,2,0)</f>
        <v>42556</v>
      </c>
      <c r="J846" t="s">
        <v>30</v>
      </c>
      <c r="K846" t="s">
        <v>18</v>
      </c>
    </row>
    <row r="847" spans="1:11" x14ac:dyDescent="0.3">
      <c r="A847">
        <v>299</v>
      </c>
      <c r="B847">
        <v>2</v>
      </c>
      <c r="C847">
        <v>10</v>
      </c>
      <c r="D847">
        <v>2</v>
      </c>
      <c r="E847" s="1">
        <v>1549</v>
      </c>
      <c r="F847" s="1">
        <v>0.2</v>
      </c>
      <c r="G847">
        <v>3098</v>
      </c>
      <c r="H847" s="22">
        <f>VLOOKUP(A847,[1]Orders!$A$2:$B$1616,2,0)</f>
        <v>42556</v>
      </c>
      <c r="J847" t="s">
        <v>13</v>
      </c>
      <c r="K847" t="s">
        <v>18</v>
      </c>
    </row>
    <row r="848" spans="1:11" x14ac:dyDescent="0.3">
      <c r="A848">
        <v>300</v>
      </c>
      <c r="B848">
        <v>1</v>
      </c>
      <c r="C848">
        <v>16</v>
      </c>
      <c r="D848">
        <v>2</v>
      </c>
      <c r="E848" s="1">
        <v>599.99</v>
      </c>
      <c r="F848" s="1">
        <v>0.1</v>
      </c>
      <c r="G848">
        <v>1199.98</v>
      </c>
      <c r="H848" s="22">
        <f>VLOOKUP(A848,[1]Orders!$A$2:$B$1616,2,0)</f>
        <v>42556</v>
      </c>
      <c r="J848" t="s">
        <v>14</v>
      </c>
      <c r="K848" t="s">
        <v>18</v>
      </c>
    </row>
    <row r="849" spans="1:11" x14ac:dyDescent="0.3">
      <c r="A849">
        <v>300</v>
      </c>
      <c r="B849">
        <v>2</v>
      </c>
      <c r="C849">
        <v>9</v>
      </c>
      <c r="D849">
        <v>2</v>
      </c>
      <c r="E849" s="1">
        <v>2999.99</v>
      </c>
      <c r="F849" s="1">
        <v>0.1</v>
      </c>
      <c r="G849">
        <v>5999.98</v>
      </c>
      <c r="H849" s="22">
        <f>VLOOKUP(A849,[1]Orders!$A$2:$B$1616,2,0)</f>
        <v>42556</v>
      </c>
      <c r="J849" t="s">
        <v>26</v>
      </c>
      <c r="K849" t="s">
        <v>18</v>
      </c>
    </row>
    <row r="850" spans="1:11" x14ac:dyDescent="0.3">
      <c r="A850">
        <v>300</v>
      </c>
      <c r="B850">
        <v>3</v>
      </c>
      <c r="C850">
        <v>10</v>
      </c>
      <c r="D850">
        <v>1</v>
      </c>
      <c r="E850" s="1">
        <v>1549</v>
      </c>
      <c r="F850" s="1">
        <v>0.1</v>
      </c>
      <c r="G850">
        <v>1549</v>
      </c>
      <c r="H850" s="22">
        <f>VLOOKUP(A850,[1]Orders!$A$2:$B$1616,2,0)</f>
        <v>42556</v>
      </c>
      <c r="J850" t="s">
        <v>13</v>
      </c>
      <c r="K850" t="s">
        <v>18</v>
      </c>
    </row>
    <row r="851" spans="1:11" x14ac:dyDescent="0.3">
      <c r="A851">
        <v>300</v>
      </c>
      <c r="B851">
        <v>4</v>
      </c>
      <c r="C851">
        <v>11</v>
      </c>
      <c r="D851">
        <v>2</v>
      </c>
      <c r="E851" s="1">
        <v>1680.99</v>
      </c>
      <c r="F851" s="1">
        <v>0.2</v>
      </c>
      <c r="G851">
        <v>3361.98</v>
      </c>
      <c r="H851" s="22">
        <f>VLOOKUP(A851,[1]Orders!$A$2:$B$1616,2,0)</f>
        <v>42556</v>
      </c>
      <c r="J851" t="s">
        <v>30</v>
      </c>
      <c r="K851" t="s">
        <v>18</v>
      </c>
    </row>
    <row r="852" spans="1:11" x14ac:dyDescent="0.3">
      <c r="A852">
        <v>301</v>
      </c>
      <c r="B852">
        <v>1</v>
      </c>
      <c r="C852">
        <v>6</v>
      </c>
      <c r="D852">
        <v>1</v>
      </c>
      <c r="E852" s="1">
        <v>469.99</v>
      </c>
      <c r="F852" s="1">
        <v>0.05</v>
      </c>
      <c r="G852">
        <v>469.99</v>
      </c>
      <c r="H852" s="22">
        <f>VLOOKUP(A852,[1]Orders!$A$2:$B$1616,2,0)</f>
        <v>42557</v>
      </c>
      <c r="J852" t="s">
        <v>32</v>
      </c>
      <c r="K852" t="s">
        <v>18</v>
      </c>
    </row>
    <row r="853" spans="1:11" x14ac:dyDescent="0.3">
      <c r="A853">
        <v>301</v>
      </c>
      <c r="B853">
        <v>2</v>
      </c>
      <c r="C853">
        <v>22</v>
      </c>
      <c r="D853">
        <v>1</v>
      </c>
      <c r="E853" s="1">
        <v>269.99</v>
      </c>
      <c r="F853" s="1">
        <v>0.1</v>
      </c>
      <c r="G853">
        <v>269.99</v>
      </c>
      <c r="H853" s="22">
        <f>VLOOKUP(A853,[1]Orders!$A$2:$B$1616,2,0)</f>
        <v>42557</v>
      </c>
      <c r="J853" t="s">
        <v>28</v>
      </c>
      <c r="K853" t="s">
        <v>18</v>
      </c>
    </row>
    <row r="854" spans="1:11" x14ac:dyDescent="0.3">
      <c r="A854">
        <v>302</v>
      </c>
      <c r="B854">
        <v>1</v>
      </c>
      <c r="C854">
        <v>24</v>
      </c>
      <c r="D854">
        <v>2</v>
      </c>
      <c r="E854" s="1">
        <v>549.99</v>
      </c>
      <c r="F854" s="1">
        <v>0.2</v>
      </c>
      <c r="G854">
        <v>1099.98</v>
      </c>
      <c r="H854" s="22">
        <f>VLOOKUP(A854,[1]Orders!$A$2:$B$1616,2,0)</f>
        <v>42557</v>
      </c>
      <c r="J854" t="s">
        <v>25</v>
      </c>
      <c r="K854" t="s">
        <v>18</v>
      </c>
    </row>
    <row r="855" spans="1:11" x14ac:dyDescent="0.3">
      <c r="A855">
        <v>302</v>
      </c>
      <c r="B855">
        <v>2</v>
      </c>
      <c r="C855">
        <v>18</v>
      </c>
      <c r="D855">
        <v>2</v>
      </c>
      <c r="E855" s="1">
        <v>449</v>
      </c>
      <c r="F855" s="1">
        <v>7.0000000000000007E-2</v>
      </c>
      <c r="G855">
        <v>898</v>
      </c>
      <c r="H855" s="22">
        <f>VLOOKUP(A855,[1]Orders!$A$2:$B$1616,2,0)</f>
        <v>42557</v>
      </c>
      <c r="J855" t="s">
        <v>24</v>
      </c>
      <c r="K855" t="s">
        <v>18</v>
      </c>
    </row>
    <row r="856" spans="1:11" x14ac:dyDescent="0.3">
      <c r="A856">
        <v>302</v>
      </c>
      <c r="B856">
        <v>3</v>
      </c>
      <c r="C856">
        <v>2</v>
      </c>
      <c r="D856">
        <v>2</v>
      </c>
      <c r="E856" s="1">
        <v>749.99</v>
      </c>
      <c r="F856" s="1">
        <v>0.2</v>
      </c>
      <c r="G856">
        <v>1499.98</v>
      </c>
      <c r="H856" s="22">
        <f>VLOOKUP(A856,[1]Orders!$A$2:$B$1616,2,0)</f>
        <v>42557</v>
      </c>
      <c r="J856" t="s">
        <v>22</v>
      </c>
      <c r="K856" t="s">
        <v>18</v>
      </c>
    </row>
    <row r="857" spans="1:11" x14ac:dyDescent="0.3">
      <c r="A857">
        <v>303</v>
      </c>
      <c r="B857">
        <v>1</v>
      </c>
      <c r="C857">
        <v>8</v>
      </c>
      <c r="D857">
        <v>2</v>
      </c>
      <c r="E857" s="1">
        <v>1799.99</v>
      </c>
      <c r="F857" s="1">
        <v>0.05</v>
      </c>
      <c r="G857">
        <v>3599.98</v>
      </c>
      <c r="H857" s="22">
        <f>VLOOKUP(A857,[1]Orders!$A$2:$B$1616,2,0)</f>
        <v>42558</v>
      </c>
      <c r="J857" t="s">
        <v>12</v>
      </c>
      <c r="K857" t="s">
        <v>18</v>
      </c>
    </row>
    <row r="858" spans="1:11" x14ac:dyDescent="0.3">
      <c r="A858">
        <v>303</v>
      </c>
      <c r="B858">
        <v>2</v>
      </c>
      <c r="C858">
        <v>24</v>
      </c>
      <c r="D858">
        <v>2</v>
      </c>
      <c r="E858" s="1">
        <v>549.99</v>
      </c>
      <c r="F858" s="1">
        <v>0.05</v>
      </c>
      <c r="G858">
        <v>1099.98</v>
      </c>
      <c r="H858" s="22">
        <f>VLOOKUP(A858,[1]Orders!$A$2:$B$1616,2,0)</f>
        <v>42558</v>
      </c>
      <c r="J858" t="s">
        <v>25</v>
      </c>
      <c r="K858" t="s">
        <v>18</v>
      </c>
    </row>
    <row r="859" spans="1:11" x14ac:dyDescent="0.3">
      <c r="A859">
        <v>304</v>
      </c>
      <c r="B859">
        <v>1</v>
      </c>
      <c r="C859">
        <v>10</v>
      </c>
      <c r="D859">
        <v>1</v>
      </c>
      <c r="E859" s="1">
        <v>1549</v>
      </c>
      <c r="F859" s="1">
        <v>0.05</v>
      </c>
      <c r="G859">
        <v>1549</v>
      </c>
      <c r="H859" s="22">
        <f>VLOOKUP(A859,[1]Orders!$A$2:$B$1616,2,0)</f>
        <v>42558</v>
      </c>
      <c r="J859" t="s">
        <v>13</v>
      </c>
      <c r="K859" t="s">
        <v>18</v>
      </c>
    </row>
    <row r="860" spans="1:11" x14ac:dyDescent="0.3">
      <c r="A860">
        <v>304</v>
      </c>
      <c r="B860">
        <v>2</v>
      </c>
      <c r="C860">
        <v>7</v>
      </c>
      <c r="D860">
        <v>2</v>
      </c>
      <c r="E860" s="1">
        <v>3999.99</v>
      </c>
      <c r="F860" s="1">
        <v>0.1</v>
      </c>
      <c r="G860">
        <v>7999.98</v>
      </c>
      <c r="H860" s="22">
        <f>VLOOKUP(A860,[1]Orders!$A$2:$B$1616,2,0)</f>
        <v>42558</v>
      </c>
      <c r="J860" t="s">
        <v>29</v>
      </c>
      <c r="K860" t="s">
        <v>18</v>
      </c>
    </row>
    <row r="861" spans="1:11" x14ac:dyDescent="0.3">
      <c r="A861">
        <v>304</v>
      </c>
      <c r="B861">
        <v>3</v>
      </c>
      <c r="C861">
        <v>20</v>
      </c>
      <c r="D861">
        <v>1</v>
      </c>
      <c r="E861" s="1">
        <v>599.99</v>
      </c>
      <c r="F861" s="1">
        <v>0.1</v>
      </c>
      <c r="G861">
        <v>599.99</v>
      </c>
      <c r="H861" s="22">
        <f>VLOOKUP(A861,[1]Orders!$A$2:$B$1616,2,0)</f>
        <v>42558</v>
      </c>
      <c r="J861" t="s">
        <v>10</v>
      </c>
      <c r="K861" t="s">
        <v>18</v>
      </c>
    </row>
    <row r="862" spans="1:11" x14ac:dyDescent="0.3">
      <c r="A862">
        <v>305</v>
      </c>
      <c r="B862">
        <v>1</v>
      </c>
      <c r="C862">
        <v>10</v>
      </c>
      <c r="D862">
        <v>1</v>
      </c>
      <c r="E862" s="1">
        <v>1549</v>
      </c>
      <c r="F862" s="1">
        <v>7.0000000000000007E-2</v>
      </c>
      <c r="G862">
        <v>1549</v>
      </c>
      <c r="H862" s="22">
        <f>VLOOKUP(A862,[1]Orders!$A$2:$B$1616,2,0)</f>
        <v>42558</v>
      </c>
      <c r="J862" t="s">
        <v>13</v>
      </c>
      <c r="K862" t="s">
        <v>18</v>
      </c>
    </row>
    <row r="863" spans="1:11" x14ac:dyDescent="0.3">
      <c r="A863">
        <v>305</v>
      </c>
      <c r="B863">
        <v>2</v>
      </c>
      <c r="C863">
        <v>6</v>
      </c>
      <c r="D863">
        <v>1</v>
      </c>
      <c r="E863" s="1">
        <v>469.99</v>
      </c>
      <c r="F863" s="1">
        <v>0.1</v>
      </c>
      <c r="G863">
        <v>469.99</v>
      </c>
      <c r="H863" s="22">
        <f>VLOOKUP(A863,[1]Orders!$A$2:$B$1616,2,0)</f>
        <v>42558</v>
      </c>
      <c r="J863" t="s">
        <v>32</v>
      </c>
      <c r="K863" t="s">
        <v>18</v>
      </c>
    </row>
    <row r="864" spans="1:11" x14ac:dyDescent="0.3">
      <c r="A864">
        <v>305</v>
      </c>
      <c r="B864">
        <v>3</v>
      </c>
      <c r="C864">
        <v>3</v>
      </c>
      <c r="D864">
        <v>2</v>
      </c>
      <c r="E864" s="1">
        <v>999.99</v>
      </c>
      <c r="F864" s="1">
        <v>0.2</v>
      </c>
      <c r="G864">
        <v>1999.98</v>
      </c>
      <c r="H864" s="22">
        <f>VLOOKUP(A864,[1]Orders!$A$2:$B$1616,2,0)</f>
        <v>42558</v>
      </c>
      <c r="J864" t="s">
        <v>20</v>
      </c>
      <c r="K864" t="s">
        <v>18</v>
      </c>
    </row>
    <row r="865" spans="1:11" x14ac:dyDescent="0.3">
      <c r="A865">
        <v>306</v>
      </c>
      <c r="B865">
        <v>1</v>
      </c>
      <c r="C865">
        <v>10</v>
      </c>
      <c r="D865">
        <v>1</v>
      </c>
      <c r="E865" s="1">
        <v>1549</v>
      </c>
      <c r="F865" s="1">
        <v>0.2</v>
      </c>
      <c r="G865">
        <v>1549</v>
      </c>
      <c r="H865" s="22">
        <f>VLOOKUP(A865,[1]Orders!$A$2:$B$1616,2,0)</f>
        <v>42560</v>
      </c>
      <c r="J865" t="s">
        <v>13</v>
      </c>
      <c r="K865" t="s">
        <v>18</v>
      </c>
    </row>
    <row r="866" spans="1:11" x14ac:dyDescent="0.3">
      <c r="A866">
        <v>306</v>
      </c>
      <c r="B866">
        <v>2</v>
      </c>
      <c r="C866">
        <v>22</v>
      </c>
      <c r="D866">
        <v>1</v>
      </c>
      <c r="E866" s="1">
        <v>269.99</v>
      </c>
      <c r="F866" s="1">
        <v>7.0000000000000007E-2</v>
      </c>
      <c r="G866">
        <v>269.99</v>
      </c>
      <c r="H866" s="22">
        <f>VLOOKUP(A866,[1]Orders!$A$2:$B$1616,2,0)</f>
        <v>42560</v>
      </c>
      <c r="J866" t="s">
        <v>28</v>
      </c>
      <c r="K866" t="s">
        <v>18</v>
      </c>
    </row>
    <row r="867" spans="1:11" x14ac:dyDescent="0.3">
      <c r="A867">
        <v>307</v>
      </c>
      <c r="B867">
        <v>1</v>
      </c>
      <c r="C867">
        <v>15</v>
      </c>
      <c r="D867">
        <v>2</v>
      </c>
      <c r="E867" s="1">
        <v>529.99</v>
      </c>
      <c r="F867" s="1">
        <v>0.05</v>
      </c>
      <c r="G867">
        <v>1059.98</v>
      </c>
      <c r="H867" s="22">
        <f>VLOOKUP(A867,[1]Orders!$A$2:$B$1616,2,0)</f>
        <v>42560</v>
      </c>
      <c r="J867" t="s">
        <v>27</v>
      </c>
      <c r="K867" t="s">
        <v>18</v>
      </c>
    </row>
    <row r="868" spans="1:11" x14ac:dyDescent="0.3">
      <c r="A868">
        <v>308</v>
      </c>
      <c r="B868">
        <v>1</v>
      </c>
      <c r="C868">
        <v>7</v>
      </c>
      <c r="D868">
        <v>1</v>
      </c>
      <c r="E868" s="1">
        <v>3999.99</v>
      </c>
      <c r="F868" s="1">
        <v>0.1</v>
      </c>
      <c r="G868">
        <v>3999.99</v>
      </c>
      <c r="H868" s="22">
        <f>VLOOKUP(A868,[1]Orders!$A$2:$B$1616,2,0)</f>
        <v>42562</v>
      </c>
      <c r="J868" t="s">
        <v>29</v>
      </c>
      <c r="K868" t="s">
        <v>18</v>
      </c>
    </row>
    <row r="869" spans="1:11" x14ac:dyDescent="0.3">
      <c r="A869">
        <v>308</v>
      </c>
      <c r="B869">
        <v>2</v>
      </c>
      <c r="C869">
        <v>18</v>
      </c>
      <c r="D869">
        <v>2</v>
      </c>
      <c r="E869" s="1">
        <v>449</v>
      </c>
      <c r="F869" s="1">
        <v>0.2</v>
      </c>
      <c r="G869">
        <v>898</v>
      </c>
      <c r="H869" s="22">
        <f>VLOOKUP(A869,[1]Orders!$A$2:$B$1616,2,0)</f>
        <v>42562</v>
      </c>
      <c r="J869" t="s">
        <v>24</v>
      </c>
      <c r="K869" t="s">
        <v>18</v>
      </c>
    </row>
    <row r="870" spans="1:11" x14ac:dyDescent="0.3">
      <c r="A870">
        <v>308</v>
      </c>
      <c r="B870">
        <v>3</v>
      </c>
      <c r="C870">
        <v>14</v>
      </c>
      <c r="D870">
        <v>1</v>
      </c>
      <c r="E870" s="1">
        <v>269.99</v>
      </c>
      <c r="F870" s="1">
        <v>0.2</v>
      </c>
      <c r="G870">
        <v>269.99</v>
      </c>
      <c r="H870" s="22">
        <f>VLOOKUP(A870,[1]Orders!$A$2:$B$1616,2,0)</f>
        <v>42562</v>
      </c>
      <c r="J870" t="s">
        <v>28</v>
      </c>
      <c r="K870" t="s">
        <v>18</v>
      </c>
    </row>
    <row r="871" spans="1:11" x14ac:dyDescent="0.3">
      <c r="A871">
        <v>309</v>
      </c>
      <c r="B871">
        <v>1</v>
      </c>
      <c r="C871">
        <v>3</v>
      </c>
      <c r="D871">
        <v>1</v>
      </c>
      <c r="E871" s="1">
        <v>999.99</v>
      </c>
      <c r="F871" s="1">
        <v>0.05</v>
      </c>
      <c r="G871">
        <v>999.99</v>
      </c>
      <c r="H871" s="22">
        <f>VLOOKUP(A871,[1]Orders!$A$2:$B$1616,2,0)</f>
        <v>42562</v>
      </c>
      <c r="J871" t="s">
        <v>20</v>
      </c>
      <c r="K871" t="s">
        <v>18</v>
      </c>
    </row>
    <row r="872" spans="1:11" x14ac:dyDescent="0.3">
      <c r="A872">
        <v>309</v>
      </c>
      <c r="B872">
        <v>2</v>
      </c>
      <c r="C872">
        <v>12</v>
      </c>
      <c r="D872">
        <v>1</v>
      </c>
      <c r="E872" s="1">
        <v>549.99</v>
      </c>
      <c r="F872" s="1">
        <v>0.05</v>
      </c>
      <c r="G872">
        <v>549.99</v>
      </c>
      <c r="H872" s="22">
        <f>VLOOKUP(A872,[1]Orders!$A$2:$B$1616,2,0)</f>
        <v>42562</v>
      </c>
      <c r="J872" t="s">
        <v>25</v>
      </c>
      <c r="K872" t="s">
        <v>18</v>
      </c>
    </row>
    <row r="873" spans="1:11" x14ac:dyDescent="0.3">
      <c r="A873">
        <v>310</v>
      </c>
      <c r="B873">
        <v>1</v>
      </c>
      <c r="C873">
        <v>7</v>
      </c>
      <c r="D873">
        <v>2</v>
      </c>
      <c r="E873" s="1">
        <v>3999.99</v>
      </c>
      <c r="F873" s="1">
        <v>7.0000000000000007E-2</v>
      </c>
      <c r="G873">
        <v>7999.98</v>
      </c>
      <c r="H873" s="22">
        <f>VLOOKUP(A873,[1]Orders!$A$2:$B$1616,2,0)</f>
        <v>42563</v>
      </c>
      <c r="J873" t="s">
        <v>29</v>
      </c>
      <c r="K873" t="s">
        <v>11</v>
      </c>
    </row>
    <row r="874" spans="1:11" x14ac:dyDescent="0.3">
      <c r="A874">
        <v>310</v>
      </c>
      <c r="B874">
        <v>2</v>
      </c>
      <c r="C874">
        <v>14</v>
      </c>
      <c r="D874">
        <v>2</v>
      </c>
      <c r="E874" s="1">
        <v>269.99</v>
      </c>
      <c r="F874" s="1">
        <v>0.1</v>
      </c>
      <c r="G874">
        <v>539.98</v>
      </c>
      <c r="H874" s="22">
        <f>VLOOKUP(A874,[1]Orders!$A$2:$B$1616,2,0)</f>
        <v>42563</v>
      </c>
      <c r="J874" t="s">
        <v>28</v>
      </c>
      <c r="K874" t="s">
        <v>11</v>
      </c>
    </row>
    <row r="875" spans="1:11" x14ac:dyDescent="0.3">
      <c r="A875">
        <v>310</v>
      </c>
      <c r="B875">
        <v>3</v>
      </c>
      <c r="C875">
        <v>5</v>
      </c>
      <c r="D875">
        <v>2</v>
      </c>
      <c r="E875" s="1">
        <v>1320.99</v>
      </c>
      <c r="F875" s="1">
        <v>0.2</v>
      </c>
      <c r="G875">
        <v>2641.98</v>
      </c>
      <c r="H875" s="22">
        <f>VLOOKUP(A875,[1]Orders!$A$2:$B$1616,2,0)</f>
        <v>42563</v>
      </c>
      <c r="J875" t="s">
        <v>34</v>
      </c>
      <c r="K875" t="s">
        <v>11</v>
      </c>
    </row>
    <row r="876" spans="1:11" x14ac:dyDescent="0.3">
      <c r="A876">
        <v>310</v>
      </c>
      <c r="B876">
        <v>4</v>
      </c>
      <c r="C876">
        <v>8</v>
      </c>
      <c r="D876">
        <v>1</v>
      </c>
      <c r="E876" s="1">
        <v>1799.99</v>
      </c>
      <c r="F876" s="1">
        <v>0.2</v>
      </c>
      <c r="G876">
        <v>1799.99</v>
      </c>
      <c r="H876" s="22">
        <f>VLOOKUP(A876,[1]Orders!$A$2:$B$1616,2,0)</f>
        <v>42563</v>
      </c>
      <c r="J876" t="s">
        <v>12</v>
      </c>
      <c r="K876" t="s">
        <v>11</v>
      </c>
    </row>
    <row r="877" spans="1:11" x14ac:dyDescent="0.3">
      <c r="A877">
        <v>311</v>
      </c>
      <c r="B877">
        <v>1</v>
      </c>
      <c r="C877">
        <v>17</v>
      </c>
      <c r="D877">
        <v>2</v>
      </c>
      <c r="E877" s="1">
        <v>429</v>
      </c>
      <c r="F877" s="1">
        <v>0.05</v>
      </c>
      <c r="G877">
        <v>858</v>
      </c>
      <c r="H877" s="22">
        <f>VLOOKUP(A877,[1]Orders!$A$2:$B$1616,2,0)</f>
        <v>42563</v>
      </c>
      <c r="J877" t="s">
        <v>23</v>
      </c>
      <c r="K877" t="s">
        <v>18</v>
      </c>
    </row>
    <row r="878" spans="1:11" x14ac:dyDescent="0.3">
      <c r="A878">
        <v>311</v>
      </c>
      <c r="B878">
        <v>2</v>
      </c>
      <c r="C878">
        <v>5</v>
      </c>
      <c r="D878">
        <v>2</v>
      </c>
      <c r="E878" s="1">
        <v>1320.99</v>
      </c>
      <c r="F878" s="1">
        <v>0.2</v>
      </c>
      <c r="G878">
        <v>2641.98</v>
      </c>
      <c r="H878" s="22">
        <f>VLOOKUP(A878,[1]Orders!$A$2:$B$1616,2,0)</f>
        <v>42563</v>
      </c>
      <c r="J878" t="s">
        <v>34</v>
      </c>
      <c r="K878" t="s">
        <v>18</v>
      </c>
    </row>
    <row r="879" spans="1:11" x14ac:dyDescent="0.3">
      <c r="A879">
        <v>312</v>
      </c>
      <c r="B879">
        <v>1</v>
      </c>
      <c r="C879">
        <v>24</v>
      </c>
      <c r="D879">
        <v>2</v>
      </c>
      <c r="E879" s="1">
        <v>549.99</v>
      </c>
      <c r="F879" s="1">
        <v>0.05</v>
      </c>
      <c r="G879">
        <v>1099.98</v>
      </c>
      <c r="H879" s="22">
        <f>VLOOKUP(A879,[1]Orders!$A$2:$B$1616,2,0)</f>
        <v>42564</v>
      </c>
      <c r="J879" t="s">
        <v>25</v>
      </c>
      <c r="K879" t="s">
        <v>18</v>
      </c>
    </row>
    <row r="880" spans="1:11" x14ac:dyDescent="0.3">
      <c r="A880">
        <v>312</v>
      </c>
      <c r="B880">
        <v>2</v>
      </c>
      <c r="C880">
        <v>14</v>
      </c>
      <c r="D880">
        <v>2</v>
      </c>
      <c r="E880" s="1">
        <v>269.99</v>
      </c>
      <c r="F880" s="1">
        <v>7.0000000000000007E-2</v>
      </c>
      <c r="G880">
        <v>539.98</v>
      </c>
      <c r="H880" s="22">
        <f>VLOOKUP(A880,[1]Orders!$A$2:$B$1616,2,0)</f>
        <v>42564</v>
      </c>
      <c r="J880" t="s">
        <v>28</v>
      </c>
      <c r="K880" t="s">
        <v>18</v>
      </c>
    </row>
    <row r="881" spans="1:11" x14ac:dyDescent="0.3">
      <c r="A881">
        <v>312</v>
      </c>
      <c r="B881">
        <v>3</v>
      </c>
      <c r="C881">
        <v>16</v>
      </c>
      <c r="D881">
        <v>2</v>
      </c>
      <c r="E881" s="1">
        <v>599.99</v>
      </c>
      <c r="F881" s="1">
        <v>0.05</v>
      </c>
      <c r="G881">
        <v>1199.98</v>
      </c>
      <c r="H881" s="22">
        <f>VLOOKUP(A881,[1]Orders!$A$2:$B$1616,2,0)</f>
        <v>42564</v>
      </c>
      <c r="J881" t="s">
        <v>14</v>
      </c>
      <c r="K881" t="s">
        <v>18</v>
      </c>
    </row>
    <row r="882" spans="1:11" x14ac:dyDescent="0.3">
      <c r="A882">
        <v>313</v>
      </c>
      <c r="B882">
        <v>1</v>
      </c>
      <c r="C882">
        <v>4</v>
      </c>
      <c r="D882">
        <v>1</v>
      </c>
      <c r="E882" s="1">
        <v>2899.99</v>
      </c>
      <c r="F882" s="1">
        <v>7.0000000000000007E-2</v>
      </c>
      <c r="G882">
        <v>2899.99</v>
      </c>
      <c r="H882" s="22">
        <f>VLOOKUP(A882,[1]Orders!$A$2:$B$1616,2,0)</f>
        <v>42565</v>
      </c>
      <c r="J882" t="s">
        <v>16</v>
      </c>
      <c r="K882" t="s">
        <v>37</v>
      </c>
    </row>
    <row r="883" spans="1:11" x14ac:dyDescent="0.3">
      <c r="A883">
        <v>313</v>
      </c>
      <c r="B883">
        <v>2</v>
      </c>
      <c r="C883">
        <v>10</v>
      </c>
      <c r="D883">
        <v>2</v>
      </c>
      <c r="E883" s="1">
        <v>1549</v>
      </c>
      <c r="F883" s="1">
        <v>7.0000000000000007E-2</v>
      </c>
      <c r="G883">
        <v>3098</v>
      </c>
      <c r="H883" s="22">
        <f>VLOOKUP(A883,[1]Orders!$A$2:$B$1616,2,0)</f>
        <v>42565</v>
      </c>
      <c r="J883" t="s">
        <v>13</v>
      </c>
      <c r="K883" t="s">
        <v>37</v>
      </c>
    </row>
    <row r="884" spans="1:11" x14ac:dyDescent="0.3">
      <c r="A884">
        <v>314</v>
      </c>
      <c r="B884">
        <v>1</v>
      </c>
      <c r="C884">
        <v>5</v>
      </c>
      <c r="D884">
        <v>1</v>
      </c>
      <c r="E884" s="1">
        <v>1320.99</v>
      </c>
      <c r="F884" s="1">
        <v>7.0000000000000007E-2</v>
      </c>
      <c r="G884">
        <v>1320.99</v>
      </c>
      <c r="H884" s="22">
        <f>VLOOKUP(A884,[1]Orders!$A$2:$B$1616,2,0)</f>
        <v>42566</v>
      </c>
      <c r="J884" t="s">
        <v>34</v>
      </c>
      <c r="K884" t="s">
        <v>18</v>
      </c>
    </row>
    <row r="885" spans="1:11" x14ac:dyDescent="0.3">
      <c r="A885">
        <v>314</v>
      </c>
      <c r="B885">
        <v>2</v>
      </c>
      <c r="C885">
        <v>9</v>
      </c>
      <c r="D885">
        <v>1</v>
      </c>
      <c r="E885" s="1">
        <v>2999.99</v>
      </c>
      <c r="F885" s="1">
        <v>0.05</v>
      </c>
      <c r="G885">
        <v>2999.99</v>
      </c>
      <c r="H885" s="22">
        <f>VLOOKUP(A885,[1]Orders!$A$2:$B$1616,2,0)</f>
        <v>42566</v>
      </c>
      <c r="J885" t="s">
        <v>26</v>
      </c>
      <c r="K885" t="s">
        <v>18</v>
      </c>
    </row>
    <row r="886" spans="1:11" x14ac:dyDescent="0.3">
      <c r="A886">
        <v>314</v>
      </c>
      <c r="B886">
        <v>3</v>
      </c>
      <c r="C886">
        <v>22</v>
      </c>
      <c r="D886">
        <v>2</v>
      </c>
      <c r="E886" s="1">
        <v>269.99</v>
      </c>
      <c r="F886" s="1">
        <v>0.2</v>
      </c>
      <c r="G886">
        <v>539.98</v>
      </c>
      <c r="H886" s="22">
        <f>VLOOKUP(A886,[1]Orders!$A$2:$B$1616,2,0)</f>
        <v>42566</v>
      </c>
      <c r="J886" t="s">
        <v>28</v>
      </c>
      <c r="K886" t="s">
        <v>18</v>
      </c>
    </row>
    <row r="887" spans="1:11" x14ac:dyDescent="0.3">
      <c r="A887">
        <v>314</v>
      </c>
      <c r="B887">
        <v>4</v>
      </c>
      <c r="C887">
        <v>7</v>
      </c>
      <c r="D887">
        <v>2</v>
      </c>
      <c r="E887" s="1">
        <v>3999.99</v>
      </c>
      <c r="F887" s="1">
        <v>7.0000000000000007E-2</v>
      </c>
      <c r="G887">
        <v>7999.98</v>
      </c>
      <c r="H887" s="22">
        <f>VLOOKUP(A887,[1]Orders!$A$2:$B$1616,2,0)</f>
        <v>42566</v>
      </c>
      <c r="J887" t="s">
        <v>29</v>
      </c>
      <c r="K887" t="s">
        <v>18</v>
      </c>
    </row>
    <row r="888" spans="1:11" x14ac:dyDescent="0.3">
      <c r="A888">
        <v>315</v>
      </c>
      <c r="B888">
        <v>1</v>
      </c>
      <c r="C888">
        <v>11</v>
      </c>
      <c r="D888">
        <v>1</v>
      </c>
      <c r="E888" s="1">
        <v>1680.99</v>
      </c>
      <c r="F888" s="1">
        <v>0.2</v>
      </c>
      <c r="G888">
        <v>1680.99</v>
      </c>
      <c r="H888" s="22">
        <f>VLOOKUP(A888,[1]Orders!$A$2:$B$1616,2,0)</f>
        <v>42567</v>
      </c>
      <c r="J888" t="s">
        <v>30</v>
      </c>
      <c r="K888" t="s">
        <v>18</v>
      </c>
    </row>
    <row r="889" spans="1:11" x14ac:dyDescent="0.3">
      <c r="A889">
        <v>315</v>
      </c>
      <c r="B889">
        <v>2</v>
      </c>
      <c r="C889">
        <v>9</v>
      </c>
      <c r="D889">
        <v>1</v>
      </c>
      <c r="E889" s="1">
        <v>2999.99</v>
      </c>
      <c r="F889" s="1">
        <v>0.1</v>
      </c>
      <c r="G889">
        <v>2999.99</v>
      </c>
      <c r="H889" s="22">
        <f>VLOOKUP(A889,[1]Orders!$A$2:$B$1616,2,0)</f>
        <v>42567</v>
      </c>
      <c r="J889" t="s">
        <v>26</v>
      </c>
      <c r="K889" t="s">
        <v>18</v>
      </c>
    </row>
    <row r="890" spans="1:11" x14ac:dyDescent="0.3">
      <c r="A890">
        <v>316</v>
      </c>
      <c r="B890">
        <v>1</v>
      </c>
      <c r="C890">
        <v>2</v>
      </c>
      <c r="D890">
        <v>2</v>
      </c>
      <c r="E890" s="1">
        <v>749.99</v>
      </c>
      <c r="F890" s="1">
        <v>0.2</v>
      </c>
      <c r="G890">
        <v>1499.98</v>
      </c>
      <c r="H890" s="22">
        <f>VLOOKUP(A890,[1]Orders!$A$2:$B$1616,2,0)</f>
        <v>42568</v>
      </c>
      <c r="J890" t="s">
        <v>22</v>
      </c>
      <c r="K890" t="s">
        <v>18</v>
      </c>
    </row>
    <row r="891" spans="1:11" x14ac:dyDescent="0.3">
      <c r="A891">
        <v>316</v>
      </c>
      <c r="B891">
        <v>2</v>
      </c>
      <c r="C891">
        <v>16</v>
      </c>
      <c r="D891">
        <v>2</v>
      </c>
      <c r="E891" s="1">
        <v>599.99</v>
      </c>
      <c r="F891" s="1">
        <v>0.1</v>
      </c>
      <c r="G891">
        <v>1199.98</v>
      </c>
      <c r="H891" s="22">
        <f>VLOOKUP(A891,[1]Orders!$A$2:$B$1616,2,0)</f>
        <v>42568</v>
      </c>
      <c r="J891" t="s">
        <v>14</v>
      </c>
      <c r="K891" t="s">
        <v>18</v>
      </c>
    </row>
    <row r="892" spans="1:11" x14ac:dyDescent="0.3">
      <c r="A892">
        <v>316</v>
      </c>
      <c r="B892">
        <v>3</v>
      </c>
      <c r="C892">
        <v>20</v>
      </c>
      <c r="D892">
        <v>1</v>
      </c>
      <c r="E892" s="1">
        <v>599.99</v>
      </c>
      <c r="F892" s="1">
        <v>0.1</v>
      </c>
      <c r="G892">
        <v>599.99</v>
      </c>
      <c r="H892" s="22">
        <f>VLOOKUP(A892,[1]Orders!$A$2:$B$1616,2,0)</f>
        <v>42568</v>
      </c>
      <c r="J892" t="s">
        <v>10</v>
      </c>
      <c r="K892" t="s">
        <v>18</v>
      </c>
    </row>
    <row r="893" spans="1:11" x14ac:dyDescent="0.3">
      <c r="A893">
        <v>316</v>
      </c>
      <c r="B893">
        <v>4</v>
      </c>
      <c r="C893">
        <v>19</v>
      </c>
      <c r="D893">
        <v>1</v>
      </c>
      <c r="E893" s="1">
        <v>449</v>
      </c>
      <c r="F893" s="1">
        <v>0.2</v>
      </c>
      <c r="G893">
        <v>449</v>
      </c>
      <c r="H893" s="22">
        <f>VLOOKUP(A893,[1]Orders!$A$2:$B$1616,2,0)</f>
        <v>42568</v>
      </c>
      <c r="J893" t="s">
        <v>36</v>
      </c>
      <c r="K893" t="s">
        <v>18</v>
      </c>
    </row>
    <row r="894" spans="1:11" x14ac:dyDescent="0.3">
      <c r="A894">
        <v>316</v>
      </c>
      <c r="B894">
        <v>5</v>
      </c>
      <c r="C894">
        <v>17</v>
      </c>
      <c r="D894">
        <v>1</v>
      </c>
      <c r="E894" s="1">
        <v>429</v>
      </c>
      <c r="F894" s="1">
        <v>0.05</v>
      </c>
      <c r="G894">
        <v>429</v>
      </c>
      <c r="H894" s="22">
        <f>VLOOKUP(A894,[1]Orders!$A$2:$B$1616,2,0)</f>
        <v>42568</v>
      </c>
      <c r="J894" t="s">
        <v>23</v>
      </c>
      <c r="K894" t="s">
        <v>18</v>
      </c>
    </row>
    <row r="895" spans="1:11" x14ac:dyDescent="0.3">
      <c r="A895">
        <v>317</v>
      </c>
      <c r="B895">
        <v>1</v>
      </c>
      <c r="C895">
        <v>10</v>
      </c>
      <c r="D895">
        <v>1</v>
      </c>
      <c r="E895" s="1">
        <v>1549</v>
      </c>
      <c r="F895" s="1">
        <v>0.2</v>
      </c>
      <c r="G895">
        <v>1549</v>
      </c>
      <c r="H895" s="22">
        <f>VLOOKUP(A895,[1]Orders!$A$2:$B$1616,2,0)</f>
        <v>42568</v>
      </c>
      <c r="J895" t="s">
        <v>13</v>
      </c>
      <c r="K895" t="s">
        <v>18</v>
      </c>
    </row>
    <row r="896" spans="1:11" x14ac:dyDescent="0.3">
      <c r="A896">
        <v>317</v>
      </c>
      <c r="B896">
        <v>2</v>
      </c>
      <c r="C896">
        <v>22</v>
      </c>
      <c r="D896">
        <v>1</v>
      </c>
      <c r="E896" s="1">
        <v>269.99</v>
      </c>
      <c r="F896" s="1">
        <v>0.05</v>
      </c>
      <c r="G896">
        <v>269.99</v>
      </c>
      <c r="H896" s="22">
        <f>VLOOKUP(A896,[1]Orders!$A$2:$B$1616,2,0)</f>
        <v>42568</v>
      </c>
      <c r="J896" t="s">
        <v>28</v>
      </c>
      <c r="K896" t="s">
        <v>18</v>
      </c>
    </row>
    <row r="897" spans="1:11" x14ac:dyDescent="0.3">
      <c r="A897">
        <v>317</v>
      </c>
      <c r="B897">
        <v>3</v>
      </c>
      <c r="C897">
        <v>15</v>
      </c>
      <c r="D897">
        <v>1</v>
      </c>
      <c r="E897" s="1">
        <v>529.99</v>
      </c>
      <c r="F897" s="1">
        <v>0.05</v>
      </c>
      <c r="G897">
        <v>529.99</v>
      </c>
      <c r="H897" s="22">
        <f>VLOOKUP(A897,[1]Orders!$A$2:$B$1616,2,0)</f>
        <v>42568</v>
      </c>
      <c r="J897" t="s">
        <v>27</v>
      </c>
      <c r="K897" t="s">
        <v>18</v>
      </c>
    </row>
    <row r="898" spans="1:11" x14ac:dyDescent="0.3">
      <c r="A898">
        <v>317</v>
      </c>
      <c r="B898">
        <v>4</v>
      </c>
      <c r="C898">
        <v>13</v>
      </c>
      <c r="D898">
        <v>2</v>
      </c>
      <c r="E898" s="1">
        <v>269.99</v>
      </c>
      <c r="F898" s="1">
        <v>0.2</v>
      </c>
      <c r="G898">
        <v>539.98</v>
      </c>
      <c r="H898" s="22">
        <f>VLOOKUP(A898,[1]Orders!$A$2:$B$1616,2,0)</f>
        <v>42568</v>
      </c>
      <c r="J898" t="s">
        <v>31</v>
      </c>
      <c r="K898" t="s">
        <v>18</v>
      </c>
    </row>
    <row r="899" spans="1:11" x14ac:dyDescent="0.3">
      <c r="A899">
        <v>318</v>
      </c>
      <c r="B899">
        <v>1</v>
      </c>
      <c r="C899">
        <v>13</v>
      </c>
      <c r="D899">
        <v>2</v>
      </c>
      <c r="E899" s="1">
        <v>269.99</v>
      </c>
      <c r="F899" s="1">
        <v>0.1</v>
      </c>
      <c r="G899">
        <v>539.98</v>
      </c>
      <c r="H899" s="22">
        <f>VLOOKUP(A899,[1]Orders!$A$2:$B$1616,2,0)</f>
        <v>42568</v>
      </c>
      <c r="J899" t="s">
        <v>31</v>
      </c>
      <c r="K899" t="s">
        <v>18</v>
      </c>
    </row>
    <row r="900" spans="1:11" x14ac:dyDescent="0.3">
      <c r="A900">
        <v>318</v>
      </c>
      <c r="B900">
        <v>2</v>
      </c>
      <c r="C900">
        <v>25</v>
      </c>
      <c r="D900">
        <v>2</v>
      </c>
      <c r="E900" s="1">
        <v>499.99</v>
      </c>
      <c r="F900" s="1">
        <v>0.2</v>
      </c>
      <c r="G900">
        <v>999.98</v>
      </c>
      <c r="H900" s="22">
        <f>VLOOKUP(A900,[1]Orders!$A$2:$B$1616,2,0)</f>
        <v>42568</v>
      </c>
      <c r="J900" t="s">
        <v>35</v>
      </c>
      <c r="K900" t="s">
        <v>18</v>
      </c>
    </row>
    <row r="901" spans="1:11" x14ac:dyDescent="0.3">
      <c r="A901">
        <v>318</v>
      </c>
      <c r="B901">
        <v>3</v>
      </c>
      <c r="C901">
        <v>9</v>
      </c>
      <c r="D901">
        <v>1</v>
      </c>
      <c r="E901" s="1">
        <v>2999.99</v>
      </c>
      <c r="F901" s="1">
        <v>0.05</v>
      </c>
      <c r="G901">
        <v>2999.99</v>
      </c>
      <c r="H901" s="22">
        <f>VLOOKUP(A901,[1]Orders!$A$2:$B$1616,2,0)</f>
        <v>42568</v>
      </c>
      <c r="J901" t="s">
        <v>26</v>
      </c>
      <c r="K901" t="s">
        <v>18</v>
      </c>
    </row>
    <row r="902" spans="1:11" x14ac:dyDescent="0.3">
      <c r="A902">
        <v>319</v>
      </c>
      <c r="B902">
        <v>1</v>
      </c>
      <c r="C902">
        <v>11</v>
      </c>
      <c r="D902">
        <v>1</v>
      </c>
      <c r="E902" s="1">
        <v>1680.99</v>
      </c>
      <c r="F902" s="1">
        <v>7.0000000000000007E-2</v>
      </c>
      <c r="G902">
        <v>1680.99</v>
      </c>
      <c r="H902" s="22">
        <f>VLOOKUP(A902,[1]Orders!$A$2:$B$1616,2,0)</f>
        <v>42569</v>
      </c>
      <c r="J902" t="s">
        <v>30</v>
      </c>
      <c r="K902" t="s">
        <v>18</v>
      </c>
    </row>
    <row r="903" spans="1:11" x14ac:dyDescent="0.3">
      <c r="A903">
        <v>319</v>
      </c>
      <c r="B903">
        <v>2</v>
      </c>
      <c r="C903">
        <v>21</v>
      </c>
      <c r="D903">
        <v>1</v>
      </c>
      <c r="E903" s="1">
        <v>269.99</v>
      </c>
      <c r="F903" s="1">
        <v>0.2</v>
      </c>
      <c r="G903">
        <v>269.99</v>
      </c>
      <c r="H903" s="22">
        <f>VLOOKUP(A903,[1]Orders!$A$2:$B$1616,2,0)</f>
        <v>42569</v>
      </c>
      <c r="J903" t="s">
        <v>31</v>
      </c>
      <c r="K903" t="s">
        <v>18</v>
      </c>
    </row>
    <row r="904" spans="1:11" x14ac:dyDescent="0.3">
      <c r="A904">
        <v>319</v>
      </c>
      <c r="B904">
        <v>3</v>
      </c>
      <c r="C904">
        <v>15</v>
      </c>
      <c r="D904">
        <v>2</v>
      </c>
      <c r="E904" s="1">
        <v>529.99</v>
      </c>
      <c r="F904" s="1">
        <v>0.1</v>
      </c>
      <c r="G904">
        <v>1059.98</v>
      </c>
      <c r="H904" s="22">
        <f>VLOOKUP(A904,[1]Orders!$A$2:$B$1616,2,0)</f>
        <v>42569</v>
      </c>
      <c r="J904" t="s">
        <v>27</v>
      </c>
      <c r="K904" t="s">
        <v>18</v>
      </c>
    </row>
    <row r="905" spans="1:11" x14ac:dyDescent="0.3">
      <c r="A905">
        <v>319</v>
      </c>
      <c r="B905">
        <v>4</v>
      </c>
      <c r="C905">
        <v>23</v>
      </c>
      <c r="D905">
        <v>1</v>
      </c>
      <c r="E905" s="1">
        <v>299.99</v>
      </c>
      <c r="F905" s="1">
        <v>0.05</v>
      </c>
      <c r="G905">
        <v>299.99</v>
      </c>
      <c r="H905" s="22">
        <f>VLOOKUP(A905,[1]Orders!$A$2:$B$1616,2,0)</f>
        <v>42569</v>
      </c>
      <c r="J905" t="s">
        <v>33</v>
      </c>
      <c r="K905" t="s">
        <v>18</v>
      </c>
    </row>
    <row r="906" spans="1:11" x14ac:dyDescent="0.3">
      <c r="A906">
        <v>320</v>
      </c>
      <c r="B906">
        <v>1</v>
      </c>
      <c r="C906">
        <v>2</v>
      </c>
      <c r="D906">
        <v>1</v>
      </c>
      <c r="E906" s="1">
        <v>749.99</v>
      </c>
      <c r="F906" s="1">
        <v>0.1</v>
      </c>
      <c r="G906">
        <v>749.99</v>
      </c>
      <c r="H906" s="22">
        <f>VLOOKUP(A906,[1]Orders!$A$2:$B$1616,2,0)</f>
        <v>42570</v>
      </c>
      <c r="J906" t="s">
        <v>22</v>
      </c>
      <c r="K906" t="s">
        <v>11</v>
      </c>
    </row>
    <row r="907" spans="1:11" x14ac:dyDescent="0.3">
      <c r="A907">
        <v>321</v>
      </c>
      <c r="B907">
        <v>1</v>
      </c>
      <c r="C907">
        <v>4</v>
      </c>
      <c r="D907">
        <v>2</v>
      </c>
      <c r="E907" s="1">
        <v>2899.99</v>
      </c>
      <c r="F907" s="1">
        <v>0.2</v>
      </c>
      <c r="G907">
        <v>5799.98</v>
      </c>
      <c r="H907" s="22">
        <f>VLOOKUP(A907,[1]Orders!$A$2:$B$1616,2,0)</f>
        <v>42570</v>
      </c>
      <c r="J907" t="s">
        <v>16</v>
      </c>
      <c r="K907" t="s">
        <v>18</v>
      </c>
    </row>
    <row r="908" spans="1:11" x14ac:dyDescent="0.3">
      <c r="A908">
        <v>321</v>
      </c>
      <c r="B908">
        <v>2</v>
      </c>
      <c r="C908">
        <v>12</v>
      </c>
      <c r="D908">
        <v>2</v>
      </c>
      <c r="E908" s="1">
        <v>549.99</v>
      </c>
      <c r="F908" s="1">
        <v>0.2</v>
      </c>
      <c r="G908">
        <v>1099.98</v>
      </c>
      <c r="H908" s="22">
        <f>VLOOKUP(A908,[1]Orders!$A$2:$B$1616,2,0)</f>
        <v>42570</v>
      </c>
      <c r="J908" t="s">
        <v>25</v>
      </c>
      <c r="K908" t="s">
        <v>18</v>
      </c>
    </row>
    <row r="909" spans="1:11" x14ac:dyDescent="0.3">
      <c r="A909">
        <v>321</v>
      </c>
      <c r="B909">
        <v>3</v>
      </c>
      <c r="C909">
        <v>26</v>
      </c>
      <c r="D909">
        <v>1</v>
      </c>
      <c r="E909" s="1">
        <v>599.99</v>
      </c>
      <c r="F909" s="1">
        <v>0.2</v>
      </c>
      <c r="G909">
        <v>599.99</v>
      </c>
      <c r="H909" s="22">
        <f>VLOOKUP(A909,[1]Orders!$A$2:$B$1616,2,0)</f>
        <v>42570</v>
      </c>
      <c r="J909" t="s">
        <v>14</v>
      </c>
      <c r="K909" t="s">
        <v>18</v>
      </c>
    </row>
    <row r="910" spans="1:11" x14ac:dyDescent="0.3">
      <c r="A910">
        <v>321</v>
      </c>
      <c r="B910">
        <v>4</v>
      </c>
      <c r="C910">
        <v>23</v>
      </c>
      <c r="D910">
        <v>2</v>
      </c>
      <c r="E910" s="1">
        <v>299.99</v>
      </c>
      <c r="F910" s="1">
        <v>0.2</v>
      </c>
      <c r="G910">
        <v>599.98</v>
      </c>
      <c r="H910" s="22">
        <f>VLOOKUP(A910,[1]Orders!$A$2:$B$1616,2,0)</f>
        <v>42570</v>
      </c>
      <c r="J910" t="s">
        <v>33</v>
      </c>
      <c r="K910" t="s">
        <v>18</v>
      </c>
    </row>
    <row r="911" spans="1:11" x14ac:dyDescent="0.3">
      <c r="A911">
        <v>322</v>
      </c>
      <c r="B911">
        <v>1</v>
      </c>
      <c r="C911">
        <v>13</v>
      </c>
      <c r="D911">
        <v>2</v>
      </c>
      <c r="E911" s="1">
        <v>269.99</v>
      </c>
      <c r="F911" s="1">
        <v>0.2</v>
      </c>
      <c r="G911">
        <v>539.98</v>
      </c>
      <c r="H911" s="22">
        <f>VLOOKUP(A911,[1]Orders!$A$2:$B$1616,2,0)</f>
        <v>42570</v>
      </c>
      <c r="J911" t="s">
        <v>31</v>
      </c>
      <c r="K911" t="s">
        <v>18</v>
      </c>
    </row>
    <row r="912" spans="1:11" x14ac:dyDescent="0.3">
      <c r="A912">
        <v>322</v>
      </c>
      <c r="B912">
        <v>2</v>
      </c>
      <c r="C912">
        <v>21</v>
      </c>
      <c r="D912">
        <v>1</v>
      </c>
      <c r="E912" s="1">
        <v>269.99</v>
      </c>
      <c r="F912" s="1">
        <v>7.0000000000000007E-2</v>
      </c>
      <c r="G912">
        <v>269.99</v>
      </c>
      <c r="H912" s="22">
        <f>VLOOKUP(A912,[1]Orders!$A$2:$B$1616,2,0)</f>
        <v>42570</v>
      </c>
      <c r="J912" t="s">
        <v>31</v>
      </c>
      <c r="K912" t="s">
        <v>18</v>
      </c>
    </row>
    <row r="913" spans="1:11" x14ac:dyDescent="0.3">
      <c r="A913">
        <v>323</v>
      </c>
      <c r="B913">
        <v>1</v>
      </c>
      <c r="C913">
        <v>13</v>
      </c>
      <c r="D913">
        <v>2</v>
      </c>
      <c r="E913" s="1">
        <v>269.99</v>
      </c>
      <c r="F913" s="1">
        <v>7.0000000000000007E-2</v>
      </c>
      <c r="G913">
        <v>539.98</v>
      </c>
      <c r="H913" s="22">
        <f>VLOOKUP(A913,[1]Orders!$A$2:$B$1616,2,0)</f>
        <v>42570</v>
      </c>
      <c r="J913" t="s">
        <v>31</v>
      </c>
      <c r="K913" t="s">
        <v>18</v>
      </c>
    </row>
    <row r="914" spans="1:11" x14ac:dyDescent="0.3">
      <c r="A914">
        <v>323</v>
      </c>
      <c r="B914">
        <v>2</v>
      </c>
      <c r="C914">
        <v>26</v>
      </c>
      <c r="D914">
        <v>2</v>
      </c>
      <c r="E914" s="1">
        <v>599.99</v>
      </c>
      <c r="F914" s="1">
        <v>0.1</v>
      </c>
      <c r="G914">
        <v>1199.98</v>
      </c>
      <c r="H914" s="22">
        <f>VLOOKUP(A914,[1]Orders!$A$2:$B$1616,2,0)</f>
        <v>42570</v>
      </c>
      <c r="J914" t="s">
        <v>14</v>
      </c>
      <c r="K914" t="s">
        <v>18</v>
      </c>
    </row>
    <row r="915" spans="1:11" x14ac:dyDescent="0.3">
      <c r="A915">
        <v>324</v>
      </c>
      <c r="B915">
        <v>1</v>
      </c>
      <c r="C915">
        <v>2</v>
      </c>
      <c r="D915">
        <v>2</v>
      </c>
      <c r="E915" s="1">
        <v>749.99</v>
      </c>
      <c r="F915" s="1">
        <v>0.1</v>
      </c>
      <c r="G915">
        <v>1499.98</v>
      </c>
      <c r="H915" s="22">
        <f>VLOOKUP(A915,[1]Orders!$A$2:$B$1616,2,0)</f>
        <v>42571</v>
      </c>
      <c r="J915" t="s">
        <v>22</v>
      </c>
      <c r="K915" t="s">
        <v>18</v>
      </c>
    </row>
    <row r="916" spans="1:11" x14ac:dyDescent="0.3">
      <c r="A916">
        <v>324</v>
      </c>
      <c r="B916">
        <v>2</v>
      </c>
      <c r="C916">
        <v>17</v>
      </c>
      <c r="D916">
        <v>1</v>
      </c>
      <c r="E916" s="1">
        <v>429</v>
      </c>
      <c r="F916" s="1">
        <v>0.2</v>
      </c>
      <c r="G916">
        <v>429</v>
      </c>
      <c r="H916" s="22">
        <f>VLOOKUP(A916,[1]Orders!$A$2:$B$1616,2,0)</f>
        <v>42571</v>
      </c>
      <c r="J916" t="s">
        <v>23</v>
      </c>
      <c r="K916" t="s">
        <v>18</v>
      </c>
    </row>
    <row r="917" spans="1:11" x14ac:dyDescent="0.3">
      <c r="A917">
        <v>324</v>
      </c>
      <c r="B917">
        <v>3</v>
      </c>
      <c r="C917">
        <v>22</v>
      </c>
      <c r="D917">
        <v>2</v>
      </c>
      <c r="E917" s="1">
        <v>269.99</v>
      </c>
      <c r="F917" s="1">
        <v>0.2</v>
      </c>
      <c r="G917">
        <v>539.98</v>
      </c>
      <c r="H917" s="22">
        <f>VLOOKUP(A917,[1]Orders!$A$2:$B$1616,2,0)</f>
        <v>42571</v>
      </c>
      <c r="J917" t="s">
        <v>28</v>
      </c>
      <c r="K917" t="s">
        <v>18</v>
      </c>
    </row>
    <row r="918" spans="1:11" x14ac:dyDescent="0.3">
      <c r="A918">
        <v>324</v>
      </c>
      <c r="B918">
        <v>4</v>
      </c>
      <c r="C918">
        <v>19</v>
      </c>
      <c r="D918">
        <v>1</v>
      </c>
      <c r="E918" s="1">
        <v>449</v>
      </c>
      <c r="F918" s="1">
        <v>0.05</v>
      </c>
      <c r="G918">
        <v>449</v>
      </c>
      <c r="H918" s="22">
        <f>VLOOKUP(A918,[1]Orders!$A$2:$B$1616,2,0)</f>
        <v>42571</v>
      </c>
      <c r="J918" t="s">
        <v>36</v>
      </c>
      <c r="K918" t="s">
        <v>18</v>
      </c>
    </row>
    <row r="919" spans="1:11" x14ac:dyDescent="0.3">
      <c r="A919">
        <v>324</v>
      </c>
      <c r="B919">
        <v>5</v>
      </c>
      <c r="C919">
        <v>12</v>
      </c>
      <c r="D919">
        <v>1</v>
      </c>
      <c r="E919" s="1">
        <v>549.99</v>
      </c>
      <c r="F919" s="1">
        <v>0.05</v>
      </c>
      <c r="G919">
        <v>549.99</v>
      </c>
      <c r="H919" s="22">
        <f>VLOOKUP(A919,[1]Orders!$A$2:$B$1616,2,0)</f>
        <v>42571</v>
      </c>
      <c r="J919" t="s">
        <v>25</v>
      </c>
      <c r="K919" t="s">
        <v>18</v>
      </c>
    </row>
    <row r="920" spans="1:11" x14ac:dyDescent="0.3">
      <c r="A920">
        <v>325</v>
      </c>
      <c r="B920">
        <v>1</v>
      </c>
      <c r="C920">
        <v>7</v>
      </c>
      <c r="D920">
        <v>1</v>
      </c>
      <c r="E920" s="1">
        <v>3999.99</v>
      </c>
      <c r="F920" s="1">
        <v>0.05</v>
      </c>
      <c r="G920">
        <v>3999.99</v>
      </c>
      <c r="H920" s="22">
        <f>VLOOKUP(A920,[1]Orders!$A$2:$B$1616,2,0)</f>
        <v>42571</v>
      </c>
      <c r="J920" t="s">
        <v>29</v>
      </c>
      <c r="K920" t="s">
        <v>18</v>
      </c>
    </row>
    <row r="921" spans="1:11" x14ac:dyDescent="0.3">
      <c r="A921">
        <v>325</v>
      </c>
      <c r="B921">
        <v>2</v>
      </c>
      <c r="C921">
        <v>12</v>
      </c>
      <c r="D921">
        <v>1</v>
      </c>
      <c r="E921" s="1">
        <v>549.99</v>
      </c>
      <c r="F921" s="1">
        <v>0.2</v>
      </c>
      <c r="G921">
        <v>549.99</v>
      </c>
      <c r="H921" s="22">
        <f>VLOOKUP(A921,[1]Orders!$A$2:$B$1616,2,0)</f>
        <v>42571</v>
      </c>
      <c r="J921" t="s">
        <v>25</v>
      </c>
      <c r="K921" t="s">
        <v>18</v>
      </c>
    </row>
    <row r="922" spans="1:11" x14ac:dyDescent="0.3">
      <c r="A922">
        <v>325</v>
      </c>
      <c r="B922">
        <v>3</v>
      </c>
      <c r="C922">
        <v>6</v>
      </c>
      <c r="D922">
        <v>2</v>
      </c>
      <c r="E922" s="1">
        <v>469.99</v>
      </c>
      <c r="F922" s="1">
        <v>0.2</v>
      </c>
      <c r="G922">
        <v>939.98</v>
      </c>
      <c r="H922" s="22">
        <f>VLOOKUP(A922,[1]Orders!$A$2:$B$1616,2,0)</f>
        <v>42571</v>
      </c>
      <c r="J922" t="s">
        <v>32</v>
      </c>
      <c r="K922" t="s">
        <v>18</v>
      </c>
    </row>
    <row r="923" spans="1:11" x14ac:dyDescent="0.3">
      <c r="A923">
        <v>326</v>
      </c>
      <c r="B923">
        <v>1</v>
      </c>
      <c r="C923">
        <v>12</v>
      </c>
      <c r="D923">
        <v>1</v>
      </c>
      <c r="E923" s="1">
        <v>549.99</v>
      </c>
      <c r="F923" s="1">
        <v>0.1</v>
      </c>
      <c r="G923">
        <v>549.99</v>
      </c>
      <c r="H923" s="22">
        <f>VLOOKUP(A923,[1]Orders!$A$2:$B$1616,2,0)</f>
        <v>42571</v>
      </c>
      <c r="J923" t="s">
        <v>25</v>
      </c>
      <c r="K923" t="s">
        <v>37</v>
      </c>
    </row>
    <row r="924" spans="1:11" x14ac:dyDescent="0.3">
      <c r="A924">
        <v>326</v>
      </c>
      <c r="B924">
        <v>2</v>
      </c>
      <c r="C924">
        <v>23</v>
      </c>
      <c r="D924">
        <v>1</v>
      </c>
      <c r="E924" s="1">
        <v>299.99</v>
      </c>
      <c r="F924" s="1">
        <v>7.0000000000000007E-2</v>
      </c>
      <c r="G924">
        <v>299.99</v>
      </c>
      <c r="H924" s="22">
        <f>VLOOKUP(A924,[1]Orders!$A$2:$B$1616,2,0)</f>
        <v>42571</v>
      </c>
      <c r="J924" t="s">
        <v>33</v>
      </c>
      <c r="K924" t="s">
        <v>37</v>
      </c>
    </row>
    <row r="925" spans="1:11" x14ac:dyDescent="0.3">
      <c r="A925">
        <v>327</v>
      </c>
      <c r="B925">
        <v>1</v>
      </c>
      <c r="C925">
        <v>12</v>
      </c>
      <c r="D925">
        <v>2</v>
      </c>
      <c r="E925" s="1">
        <v>549.99</v>
      </c>
      <c r="F925" s="1">
        <v>7.0000000000000007E-2</v>
      </c>
      <c r="G925">
        <v>1099.98</v>
      </c>
      <c r="H925" s="22">
        <f>VLOOKUP(A925,[1]Orders!$A$2:$B$1616,2,0)</f>
        <v>42572</v>
      </c>
      <c r="J925" t="s">
        <v>25</v>
      </c>
      <c r="K925" t="s">
        <v>18</v>
      </c>
    </row>
    <row r="926" spans="1:11" x14ac:dyDescent="0.3">
      <c r="A926">
        <v>327</v>
      </c>
      <c r="B926">
        <v>2</v>
      </c>
      <c r="C926">
        <v>13</v>
      </c>
      <c r="D926">
        <v>1</v>
      </c>
      <c r="E926" s="1">
        <v>269.99</v>
      </c>
      <c r="F926" s="1">
        <v>7.0000000000000007E-2</v>
      </c>
      <c r="G926">
        <v>269.99</v>
      </c>
      <c r="H926" s="22">
        <f>VLOOKUP(A926,[1]Orders!$A$2:$B$1616,2,0)</f>
        <v>42572</v>
      </c>
      <c r="J926" t="s">
        <v>31</v>
      </c>
      <c r="K926" t="s">
        <v>18</v>
      </c>
    </row>
    <row r="927" spans="1:11" x14ac:dyDescent="0.3">
      <c r="A927">
        <v>327</v>
      </c>
      <c r="B927">
        <v>3</v>
      </c>
      <c r="C927">
        <v>4</v>
      </c>
      <c r="D927">
        <v>1</v>
      </c>
      <c r="E927" s="1">
        <v>2899.99</v>
      </c>
      <c r="F927" s="1">
        <v>0.05</v>
      </c>
      <c r="G927">
        <v>2899.99</v>
      </c>
      <c r="H927" s="22">
        <f>VLOOKUP(A927,[1]Orders!$A$2:$B$1616,2,0)</f>
        <v>42572</v>
      </c>
      <c r="J927" t="s">
        <v>16</v>
      </c>
      <c r="K927" t="s">
        <v>18</v>
      </c>
    </row>
    <row r="928" spans="1:11" x14ac:dyDescent="0.3">
      <c r="A928">
        <v>328</v>
      </c>
      <c r="B928">
        <v>1</v>
      </c>
      <c r="C928">
        <v>6</v>
      </c>
      <c r="D928">
        <v>2</v>
      </c>
      <c r="E928" s="1">
        <v>469.99</v>
      </c>
      <c r="F928" s="1">
        <v>0.1</v>
      </c>
      <c r="G928">
        <v>939.98</v>
      </c>
      <c r="H928" s="22">
        <f>VLOOKUP(A928,[1]Orders!$A$2:$B$1616,2,0)</f>
        <v>42574</v>
      </c>
      <c r="J928" t="s">
        <v>32</v>
      </c>
      <c r="K928" t="s">
        <v>18</v>
      </c>
    </row>
    <row r="929" spans="1:11" x14ac:dyDescent="0.3">
      <c r="A929">
        <v>329</v>
      </c>
      <c r="B929">
        <v>1</v>
      </c>
      <c r="C929">
        <v>14</v>
      </c>
      <c r="D929">
        <v>2</v>
      </c>
      <c r="E929" s="1">
        <v>269.99</v>
      </c>
      <c r="F929" s="1">
        <v>7.0000000000000007E-2</v>
      </c>
      <c r="G929">
        <v>539.98</v>
      </c>
      <c r="H929" s="22">
        <f>VLOOKUP(A929,[1]Orders!$A$2:$B$1616,2,0)</f>
        <v>42575</v>
      </c>
      <c r="J929" t="s">
        <v>28</v>
      </c>
      <c r="K929" t="s">
        <v>18</v>
      </c>
    </row>
    <row r="930" spans="1:11" x14ac:dyDescent="0.3">
      <c r="A930">
        <v>329</v>
      </c>
      <c r="B930">
        <v>2</v>
      </c>
      <c r="C930">
        <v>8</v>
      </c>
      <c r="D930">
        <v>2</v>
      </c>
      <c r="E930" s="1">
        <v>1799.99</v>
      </c>
      <c r="F930" s="1">
        <v>0.05</v>
      </c>
      <c r="G930">
        <v>3599.98</v>
      </c>
      <c r="H930" s="22">
        <f>VLOOKUP(A930,[1]Orders!$A$2:$B$1616,2,0)</f>
        <v>42575</v>
      </c>
      <c r="J930" t="s">
        <v>12</v>
      </c>
      <c r="K930" t="s">
        <v>18</v>
      </c>
    </row>
    <row r="931" spans="1:11" x14ac:dyDescent="0.3">
      <c r="A931">
        <v>329</v>
      </c>
      <c r="B931">
        <v>3</v>
      </c>
      <c r="C931">
        <v>23</v>
      </c>
      <c r="D931">
        <v>1</v>
      </c>
      <c r="E931" s="1">
        <v>299.99</v>
      </c>
      <c r="F931" s="1">
        <v>0.2</v>
      </c>
      <c r="G931">
        <v>299.99</v>
      </c>
      <c r="H931" s="22">
        <f>VLOOKUP(A931,[1]Orders!$A$2:$B$1616,2,0)</f>
        <v>42575</v>
      </c>
      <c r="J931" t="s">
        <v>33</v>
      </c>
      <c r="K931" t="s">
        <v>18</v>
      </c>
    </row>
    <row r="932" spans="1:11" x14ac:dyDescent="0.3">
      <c r="A932">
        <v>329</v>
      </c>
      <c r="B932">
        <v>4</v>
      </c>
      <c r="C932">
        <v>17</v>
      </c>
      <c r="D932">
        <v>1</v>
      </c>
      <c r="E932" s="1">
        <v>429</v>
      </c>
      <c r="F932" s="1">
        <v>7.0000000000000007E-2</v>
      </c>
      <c r="G932">
        <v>429</v>
      </c>
      <c r="H932" s="22">
        <f>VLOOKUP(A932,[1]Orders!$A$2:$B$1616,2,0)</f>
        <v>42575</v>
      </c>
      <c r="J932" t="s">
        <v>23</v>
      </c>
      <c r="K932" t="s">
        <v>18</v>
      </c>
    </row>
    <row r="933" spans="1:11" x14ac:dyDescent="0.3">
      <c r="A933">
        <v>329</v>
      </c>
      <c r="B933">
        <v>5</v>
      </c>
      <c r="C933">
        <v>26</v>
      </c>
      <c r="D933">
        <v>2</v>
      </c>
      <c r="E933" s="1">
        <v>599.99</v>
      </c>
      <c r="F933" s="1">
        <v>0.05</v>
      </c>
      <c r="G933">
        <v>1199.98</v>
      </c>
      <c r="H933" s="22">
        <f>VLOOKUP(A933,[1]Orders!$A$2:$B$1616,2,0)</f>
        <v>42575</v>
      </c>
      <c r="J933" t="s">
        <v>14</v>
      </c>
      <c r="K933" t="s">
        <v>18</v>
      </c>
    </row>
    <row r="934" spans="1:11" x14ac:dyDescent="0.3">
      <c r="A934">
        <v>330</v>
      </c>
      <c r="B934">
        <v>1</v>
      </c>
      <c r="C934">
        <v>21</v>
      </c>
      <c r="D934">
        <v>2</v>
      </c>
      <c r="E934" s="1">
        <v>269.99</v>
      </c>
      <c r="F934" s="1">
        <v>0.05</v>
      </c>
      <c r="G934">
        <v>539.98</v>
      </c>
      <c r="H934" s="22">
        <f>VLOOKUP(A934,[1]Orders!$A$2:$B$1616,2,0)</f>
        <v>42575</v>
      </c>
      <c r="J934" t="s">
        <v>31</v>
      </c>
      <c r="K934" t="s">
        <v>18</v>
      </c>
    </row>
    <row r="935" spans="1:11" x14ac:dyDescent="0.3">
      <c r="A935">
        <v>331</v>
      </c>
      <c r="B935">
        <v>1</v>
      </c>
      <c r="C935">
        <v>17</v>
      </c>
      <c r="D935">
        <v>2</v>
      </c>
      <c r="E935" s="1">
        <v>429</v>
      </c>
      <c r="F935" s="1">
        <v>0.1</v>
      </c>
      <c r="G935">
        <v>858</v>
      </c>
      <c r="H935" s="22">
        <f>VLOOKUP(A935,[1]Orders!$A$2:$B$1616,2,0)</f>
        <v>42575</v>
      </c>
      <c r="J935" t="s">
        <v>23</v>
      </c>
      <c r="K935" t="s">
        <v>18</v>
      </c>
    </row>
    <row r="936" spans="1:11" x14ac:dyDescent="0.3">
      <c r="A936">
        <v>332</v>
      </c>
      <c r="B936">
        <v>1</v>
      </c>
      <c r="C936">
        <v>18</v>
      </c>
      <c r="D936">
        <v>2</v>
      </c>
      <c r="E936" s="1">
        <v>449</v>
      </c>
      <c r="F936" s="1">
        <v>0.05</v>
      </c>
      <c r="G936">
        <v>898</v>
      </c>
      <c r="H936" s="22">
        <f>VLOOKUP(A936,[1]Orders!$A$2:$B$1616,2,0)</f>
        <v>42575</v>
      </c>
      <c r="J936" t="s">
        <v>24</v>
      </c>
      <c r="K936" t="s">
        <v>18</v>
      </c>
    </row>
    <row r="937" spans="1:11" x14ac:dyDescent="0.3">
      <c r="A937">
        <v>333</v>
      </c>
      <c r="B937">
        <v>1</v>
      </c>
      <c r="C937">
        <v>18</v>
      </c>
      <c r="D937">
        <v>2</v>
      </c>
      <c r="E937" s="1">
        <v>449</v>
      </c>
      <c r="F937" s="1">
        <v>7.0000000000000007E-2</v>
      </c>
      <c r="G937">
        <v>898</v>
      </c>
      <c r="H937" s="22">
        <f>VLOOKUP(A937,[1]Orders!$A$2:$B$1616,2,0)</f>
        <v>42576</v>
      </c>
      <c r="J937" t="s">
        <v>24</v>
      </c>
      <c r="K937" t="s">
        <v>18</v>
      </c>
    </row>
    <row r="938" spans="1:11" x14ac:dyDescent="0.3">
      <c r="A938">
        <v>333</v>
      </c>
      <c r="B938">
        <v>2</v>
      </c>
      <c r="C938">
        <v>8</v>
      </c>
      <c r="D938">
        <v>2</v>
      </c>
      <c r="E938" s="1">
        <v>1799.99</v>
      </c>
      <c r="F938" s="1">
        <v>0.05</v>
      </c>
      <c r="G938">
        <v>3599.98</v>
      </c>
      <c r="H938" s="22">
        <f>VLOOKUP(A938,[1]Orders!$A$2:$B$1616,2,0)</f>
        <v>42576</v>
      </c>
      <c r="J938" t="s">
        <v>12</v>
      </c>
      <c r="K938" t="s">
        <v>18</v>
      </c>
    </row>
    <row r="939" spans="1:11" x14ac:dyDescent="0.3">
      <c r="A939">
        <v>333</v>
      </c>
      <c r="B939">
        <v>3</v>
      </c>
      <c r="C939">
        <v>3</v>
      </c>
      <c r="D939">
        <v>1</v>
      </c>
      <c r="E939" s="1">
        <v>999.99</v>
      </c>
      <c r="F939" s="1">
        <v>0.2</v>
      </c>
      <c r="G939">
        <v>999.99</v>
      </c>
      <c r="H939" s="22">
        <f>VLOOKUP(A939,[1]Orders!$A$2:$B$1616,2,0)</f>
        <v>42576</v>
      </c>
      <c r="J939" t="s">
        <v>20</v>
      </c>
      <c r="K939" t="s">
        <v>18</v>
      </c>
    </row>
    <row r="940" spans="1:11" x14ac:dyDescent="0.3">
      <c r="A940">
        <v>334</v>
      </c>
      <c r="B940">
        <v>1</v>
      </c>
      <c r="C940">
        <v>16</v>
      </c>
      <c r="D940">
        <v>2</v>
      </c>
      <c r="E940" s="1">
        <v>599.99</v>
      </c>
      <c r="F940" s="1">
        <v>0.2</v>
      </c>
      <c r="G940">
        <v>1199.98</v>
      </c>
      <c r="H940" s="22">
        <f>VLOOKUP(A940,[1]Orders!$A$2:$B$1616,2,0)</f>
        <v>42576</v>
      </c>
      <c r="J940" t="s">
        <v>14</v>
      </c>
      <c r="K940" t="s">
        <v>18</v>
      </c>
    </row>
    <row r="941" spans="1:11" x14ac:dyDescent="0.3">
      <c r="A941">
        <v>334</v>
      </c>
      <c r="B941">
        <v>2</v>
      </c>
      <c r="C941">
        <v>9</v>
      </c>
      <c r="D941">
        <v>1</v>
      </c>
      <c r="E941" s="1">
        <v>2999.99</v>
      </c>
      <c r="F941" s="1">
        <v>0.05</v>
      </c>
      <c r="G941">
        <v>2999.99</v>
      </c>
      <c r="H941" s="22">
        <f>VLOOKUP(A941,[1]Orders!$A$2:$B$1616,2,0)</f>
        <v>42576</v>
      </c>
      <c r="J941" t="s">
        <v>26</v>
      </c>
      <c r="K941" t="s">
        <v>18</v>
      </c>
    </row>
    <row r="942" spans="1:11" x14ac:dyDescent="0.3">
      <c r="A942">
        <v>334</v>
      </c>
      <c r="B942">
        <v>3</v>
      </c>
      <c r="C942">
        <v>3</v>
      </c>
      <c r="D942">
        <v>2</v>
      </c>
      <c r="E942" s="1">
        <v>999.99</v>
      </c>
      <c r="F942" s="1">
        <v>0.05</v>
      </c>
      <c r="G942">
        <v>1999.98</v>
      </c>
      <c r="H942" s="22">
        <f>VLOOKUP(A942,[1]Orders!$A$2:$B$1616,2,0)</f>
        <v>42576</v>
      </c>
      <c r="J942" t="s">
        <v>20</v>
      </c>
      <c r="K942" t="s">
        <v>18</v>
      </c>
    </row>
    <row r="943" spans="1:11" x14ac:dyDescent="0.3">
      <c r="A943">
        <v>335</v>
      </c>
      <c r="B943">
        <v>1</v>
      </c>
      <c r="C943">
        <v>6</v>
      </c>
      <c r="D943">
        <v>1</v>
      </c>
      <c r="E943" s="1">
        <v>469.99</v>
      </c>
      <c r="F943" s="1">
        <v>0.1</v>
      </c>
      <c r="G943">
        <v>469.99</v>
      </c>
      <c r="H943" s="22">
        <f>VLOOKUP(A943,[1]Orders!$A$2:$B$1616,2,0)</f>
        <v>42576</v>
      </c>
      <c r="J943" t="s">
        <v>32</v>
      </c>
      <c r="K943" t="s">
        <v>18</v>
      </c>
    </row>
    <row r="944" spans="1:11" x14ac:dyDescent="0.3">
      <c r="A944">
        <v>335</v>
      </c>
      <c r="B944">
        <v>2</v>
      </c>
      <c r="C944">
        <v>2</v>
      </c>
      <c r="D944">
        <v>2</v>
      </c>
      <c r="E944" s="1">
        <v>749.99</v>
      </c>
      <c r="F944" s="1">
        <v>0.1</v>
      </c>
      <c r="G944">
        <v>1499.98</v>
      </c>
      <c r="H944" s="22">
        <f>VLOOKUP(A944,[1]Orders!$A$2:$B$1616,2,0)</f>
        <v>42576</v>
      </c>
      <c r="J944" t="s">
        <v>22</v>
      </c>
      <c r="K944" t="s">
        <v>18</v>
      </c>
    </row>
    <row r="945" spans="1:11" x14ac:dyDescent="0.3">
      <c r="A945">
        <v>335</v>
      </c>
      <c r="B945">
        <v>3</v>
      </c>
      <c r="C945">
        <v>21</v>
      </c>
      <c r="D945">
        <v>1</v>
      </c>
      <c r="E945" s="1">
        <v>269.99</v>
      </c>
      <c r="F945" s="1">
        <v>7.0000000000000007E-2</v>
      </c>
      <c r="G945">
        <v>269.99</v>
      </c>
      <c r="H945" s="22">
        <f>VLOOKUP(A945,[1]Orders!$A$2:$B$1616,2,0)</f>
        <v>42576</v>
      </c>
      <c r="J945" t="s">
        <v>31</v>
      </c>
      <c r="K945" t="s">
        <v>18</v>
      </c>
    </row>
    <row r="946" spans="1:11" x14ac:dyDescent="0.3">
      <c r="A946">
        <v>336</v>
      </c>
      <c r="B946">
        <v>1</v>
      </c>
      <c r="C946">
        <v>4</v>
      </c>
      <c r="D946">
        <v>1</v>
      </c>
      <c r="E946" s="1">
        <v>2899.99</v>
      </c>
      <c r="F946" s="1">
        <v>0.1</v>
      </c>
      <c r="G946">
        <v>2899.99</v>
      </c>
      <c r="H946" s="22">
        <f>VLOOKUP(A946,[1]Orders!$A$2:$B$1616,2,0)</f>
        <v>42577</v>
      </c>
      <c r="J946" t="s">
        <v>16</v>
      </c>
      <c r="K946" t="s">
        <v>18</v>
      </c>
    </row>
    <row r="947" spans="1:11" x14ac:dyDescent="0.3">
      <c r="A947">
        <v>336</v>
      </c>
      <c r="B947">
        <v>2</v>
      </c>
      <c r="C947">
        <v>12</v>
      </c>
      <c r="D947">
        <v>1</v>
      </c>
      <c r="E947" s="1">
        <v>549.99</v>
      </c>
      <c r="F947" s="1">
        <v>0.2</v>
      </c>
      <c r="G947">
        <v>549.99</v>
      </c>
      <c r="H947" s="22">
        <f>VLOOKUP(A947,[1]Orders!$A$2:$B$1616,2,0)</f>
        <v>42577</v>
      </c>
      <c r="J947" t="s">
        <v>25</v>
      </c>
      <c r="K947" t="s">
        <v>18</v>
      </c>
    </row>
    <row r="948" spans="1:11" x14ac:dyDescent="0.3">
      <c r="A948">
        <v>337</v>
      </c>
      <c r="B948">
        <v>1</v>
      </c>
      <c r="C948">
        <v>18</v>
      </c>
      <c r="D948">
        <v>1</v>
      </c>
      <c r="E948" s="1">
        <v>449</v>
      </c>
      <c r="F948" s="1">
        <v>0.05</v>
      </c>
      <c r="G948">
        <v>449</v>
      </c>
      <c r="H948" s="22">
        <f>VLOOKUP(A948,[1]Orders!$A$2:$B$1616,2,0)</f>
        <v>42577</v>
      </c>
      <c r="J948" t="s">
        <v>24</v>
      </c>
      <c r="K948" t="s">
        <v>18</v>
      </c>
    </row>
    <row r="949" spans="1:11" x14ac:dyDescent="0.3">
      <c r="A949">
        <v>337</v>
      </c>
      <c r="B949">
        <v>2</v>
      </c>
      <c r="C949">
        <v>4</v>
      </c>
      <c r="D949">
        <v>1</v>
      </c>
      <c r="E949" s="1">
        <v>2899.99</v>
      </c>
      <c r="F949" s="1">
        <v>0.05</v>
      </c>
      <c r="G949">
        <v>2899.99</v>
      </c>
      <c r="H949" s="22">
        <f>VLOOKUP(A949,[1]Orders!$A$2:$B$1616,2,0)</f>
        <v>42577</v>
      </c>
      <c r="J949" t="s">
        <v>16</v>
      </c>
      <c r="K949" t="s">
        <v>18</v>
      </c>
    </row>
    <row r="950" spans="1:11" x14ac:dyDescent="0.3">
      <c r="A950">
        <v>338</v>
      </c>
      <c r="B950">
        <v>1</v>
      </c>
      <c r="C950">
        <v>6</v>
      </c>
      <c r="D950">
        <v>2</v>
      </c>
      <c r="E950" s="1">
        <v>469.99</v>
      </c>
      <c r="F950" s="1">
        <v>7.0000000000000007E-2</v>
      </c>
      <c r="G950">
        <v>939.98</v>
      </c>
      <c r="H950" s="22">
        <f>VLOOKUP(A950,[1]Orders!$A$2:$B$1616,2,0)</f>
        <v>42579</v>
      </c>
      <c r="J950" t="s">
        <v>32</v>
      </c>
      <c r="K950" t="s">
        <v>11</v>
      </c>
    </row>
    <row r="951" spans="1:11" x14ac:dyDescent="0.3">
      <c r="A951">
        <v>338</v>
      </c>
      <c r="B951">
        <v>2</v>
      </c>
      <c r="C951">
        <v>10</v>
      </c>
      <c r="D951">
        <v>1</v>
      </c>
      <c r="E951" s="1">
        <v>1549</v>
      </c>
      <c r="F951" s="1">
        <v>7.0000000000000007E-2</v>
      </c>
      <c r="G951">
        <v>1549</v>
      </c>
      <c r="H951" s="22">
        <f>VLOOKUP(A951,[1]Orders!$A$2:$B$1616,2,0)</f>
        <v>42579</v>
      </c>
      <c r="J951" t="s">
        <v>13</v>
      </c>
      <c r="K951" t="s">
        <v>11</v>
      </c>
    </row>
    <row r="952" spans="1:11" x14ac:dyDescent="0.3">
      <c r="A952">
        <v>338</v>
      </c>
      <c r="B952">
        <v>3</v>
      </c>
      <c r="C952">
        <v>22</v>
      </c>
      <c r="D952">
        <v>1</v>
      </c>
      <c r="E952" s="1">
        <v>269.99</v>
      </c>
      <c r="F952" s="1">
        <v>0.1</v>
      </c>
      <c r="G952">
        <v>269.99</v>
      </c>
      <c r="H952" s="22">
        <f>VLOOKUP(A952,[1]Orders!$A$2:$B$1616,2,0)</f>
        <v>42579</v>
      </c>
      <c r="J952" t="s">
        <v>28</v>
      </c>
      <c r="K952" t="s">
        <v>11</v>
      </c>
    </row>
    <row r="953" spans="1:11" x14ac:dyDescent="0.3">
      <c r="A953">
        <v>338</v>
      </c>
      <c r="B953">
        <v>4</v>
      </c>
      <c r="C953">
        <v>11</v>
      </c>
      <c r="D953">
        <v>2</v>
      </c>
      <c r="E953" s="1">
        <v>1680.99</v>
      </c>
      <c r="F953" s="1">
        <v>7.0000000000000007E-2</v>
      </c>
      <c r="G953">
        <v>3361.98</v>
      </c>
      <c r="H953" s="22">
        <f>VLOOKUP(A953,[1]Orders!$A$2:$B$1616,2,0)</f>
        <v>42579</v>
      </c>
      <c r="J953" t="s">
        <v>30</v>
      </c>
      <c r="K953" t="s">
        <v>11</v>
      </c>
    </row>
    <row r="954" spans="1:11" x14ac:dyDescent="0.3">
      <c r="A954">
        <v>338</v>
      </c>
      <c r="B954">
        <v>5</v>
      </c>
      <c r="C954">
        <v>9</v>
      </c>
      <c r="D954">
        <v>1</v>
      </c>
      <c r="E954" s="1">
        <v>2999.99</v>
      </c>
      <c r="F954" s="1">
        <v>0.05</v>
      </c>
      <c r="G954">
        <v>2999.99</v>
      </c>
      <c r="H954" s="22">
        <f>VLOOKUP(A954,[1]Orders!$A$2:$B$1616,2,0)</f>
        <v>42579</v>
      </c>
      <c r="J954" t="s">
        <v>26</v>
      </c>
      <c r="K954" t="s">
        <v>11</v>
      </c>
    </row>
    <row r="955" spans="1:11" x14ac:dyDescent="0.3">
      <c r="A955">
        <v>339</v>
      </c>
      <c r="B955">
        <v>1</v>
      </c>
      <c r="C955">
        <v>13</v>
      </c>
      <c r="D955">
        <v>1</v>
      </c>
      <c r="E955" s="1">
        <v>269.99</v>
      </c>
      <c r="F955" s="1">
        <v>0.1</v>
      </c>
      <c r="G955">
        <v>269.99</v>
      </c>
      <c r="H955" s="22">
        <f>VLOOKUP(A955,[1]Orders!$A$2:$B$1616,2,0)</f>
        <v>42579</v>
      </c>
      <c r="J955" t="s">
        <v>31</v>
      </c>
      <c r="K955" t="s">
        <v>18</v>
      </c>
    </row>
    <row r="956" spans="1:11" x14ac:dyDescent="0.3">
      <c r="A956">
        <v>339</v>
      </c>
      <c r="B956">
        <v>2</v>
      </c>
      <c r="C956">
        <v>15</v>
      </c>
      <c r="D956">
        <v>2</v>
      </c>
      <c r="E956" s="1">
        <v>529.99</v>
      </c>
      <c r="F956" s="1">
        <v>0.05</v>
      </c>
      <c r="G956">
        <v>1059.98</v>
      </c>
      <c r="H956" s="22">
        <f>VLOOKUP(A956,[1]Orders!$A$2:$B$1616,2,0)</f>
        <v>42579</v>
      </c>
      <c r="J956" t="s">
        <v>27</v>
      </c>
      <c r="K956" t="s">
        <v>18</v>
      </c>
    </row>
    <row r="957" spans="1:11" x14ac:dyDescent="0.3">
      <c r="A957">
        <v>340</v>
      </c>
      <c r="B957">
        <v>1</v>
      </c>
      <c r="C957">
        <v>11</v>
      </c>
      <c r="D957">
        <v>1</v>
      </c>
      <c r="E957" s="1">
        <v>1680.99</v>
      </c>
      <c r="F957" s="1">
        <v>0.05</v>
      </c>
      <c r="G957">
        <v>1680.99</v>
      </c>
      <c r="H957" s="22">
        <f>VLOOKUP(A957,[1]Orders!$A$2:$B$1616,2,0)</f>
        <v>42580</v>
      </c>
      <c r="J957" t="s">
        <v>30</v>
      </c>
      <c r="K957" t="s">
        <v>18</v>
      </c>
    </row>
    <row r="958" spans="1:11" x14ac:dyDescent="0.3">
      <c r="A958">
        <v>340</v>
      </c>
      <c r="B958">
        <v>2</v>
      </c>
      <c r="C958">
        <v>24</v>
      </c>
      <c r="D958">
        <v>1</v>
      </c>
      <c r="E958" s="1">
        <v>549.99</v>
      </c>
      <c r="F958" s="1">
        <v>0.05</v>
      </c>
      <c r="G958">
        <v>549.99</v>
      </c>
      <c r="H958" s="22">
        <f>VLOOKUP(A958,[1]Orders!$A$2:$B$1616,2,0)</f>
        <v>42580</v>
      </c>
      <c r="J958" t="s">
        <v>25</v>
      </c>
      <c r="K958" t="s">
        <v>18</v>
      </c>
    </row>
    <row r="959" spans="1:11" x14ac:dyDescent="0.3">
      <c r="A959">
        <v>340</v>
      </c>
      <c r="B959">
        <v>3</v>
      </c>
      <c r="C959">
        <v>13</v>
      </c>
      <c r="D959">
        <v>2</v>
      </c>
      <c r="E959" s="1">
        <v>269.99</v>
      </c>
      <c r="F959" s="1">
        <v>0.1</v>
      </c>
      <c r="G959">
        <v>539.98</v>
      </c>
      <c r="H959" s="22">
        <f>VLOOKUP(A959,[1]Orders!$A$2:$B$1616,2,0)</f>
        <v>42580</v>
      </c>
      <c r="J959" t="s">
        <v>31</v>
      </c>
      <c r="K959" t="s">
        <v>18</v>
      </c>
    </row>
    <row r="960" spans="1:11" x14ac:dyDescent="0.3">
      <c r="A960">
        <v>340</v>
      </c>
      <c r="B960">
        <v>4</v>
      </c>
      <c r="C960">
        <v>12</v>
      </c>
      <c r="D960">
        <v>2</v>
      </c>
      <c r="E960" s="1">
        <v>549.99</v>
      </c>
      <c r="F960" s="1">
        <v>7.0000000000000007E-2</v>
      </c>
      <c r="G960">
        <v>1099.98</v>
      </c>
      <c r="H960" s="22">
        <f>VLOOKUP(A960,[1]Orders!$A$2:$B$1616,2,0)</f>
        <v>42580</v>
      </c>
      <c r="J960" t="s">
        <v>25</v>
      </c>
      <c r="K960" t="s">
        <v>18</v>
      </c>
    </row>
    <row r="961" spans="1:11" x14ac:dyDescent="0.3">
      <c r="A961">
        <v>340</v>
      </c>
      <c r="B961">
        <v>5</v>
      </c>
      <c r="C961">
        <v>10</v>
      </c>
      <c r="D961">
        <v>2</v>
      </c>
      <c r="E961" s="1">
        <v>1549</v>
      </c>
      <c r="F961" s="1">
        <v>0.1</v>
      </c>
      <c r="G961">
        <v>3098</v>
      </c>
      <c r="H961" s="22">
        <f>VLOOKUP(A961,[1]Orders!$A$2:$B$1616,2,0)</f>
        <v>42580</v>
      </c>
      <c r="J961" t="s">
        <v>13</v>
      </c>
      <c r="K961" t="s">
        <v>18</v>
      </c>
    </row>
    <row r="962" spans="1:11" x14ac:dyDescent="0.3">
      <c r="A962">
        <v>341</v>
      </c>
      <c r="B962">
        <v>1</v>
      </c>
      <c r="C962">
        <v>23</v>
      </c>
      <c r="D962">
        <v>2</v>
      </c>
      <c r="E962" s="1">
        <v>299.99</v>
      </c>
      <c r="F962" s="1">
        <v>0.05</v>
      </c>
      <c r="G962">
        <v>599.98</v>
      </c>
      <c r="H962" s="22">
        <f>VLOOKUP(A962,[1]Orders!$A$2:$B$1616,2,0)</f>
        <v>42582</v>
      </c>
      <c r="J962" t="s">
        <v>33</v>
      </c>
      <c r="K962" t="s">
        <v>11</v>
      </c>
    </row>
    <row r="963" spans="1:11" x14ac:dyDescent="0.3">
      <c r="A963">
        <v>342</v>
      </c>
      <c r="B963">
        <v>1</v>
      </c>
      <c r="C963">
        <v>26</v>
      </c>
      <c r="D963">
        <v>1</v>
      </c>
      <c r="E963" s="1">
        <v>599.99</v>
      </c>
      <c r="F963" s="1">
        <v>7.0000000000000007E-2</v>
      </c>
      <c r="G963">
        <v>599.99</v>
      </c>
      <c r="H963" s="22">
        <f>VLOOKUP(A963,[1]Orders!$A$2:$B$1616,2,0)</f>
        <v>42582</v>
      </c>
      <c r="J963" t="s">
        <v>14</v>
      </c>
      <c r="K963" t="s">
        <v>18</v>
      </c>
    </row>
    <row r="964" spans="1:11" x14ac:dyDescent="0.3">
      <c r="A964">
        <v>342</v>
      </c>
      <c r="B964">
        <v>2</v>
      </c>
      <c r="C964">
        <v>9</v>
      </c>
      <c r="D964">
        <v>1</v>
      </c>
      <c r="E964" s="1">
        <v>2999.99</v>
      </c>
      <c r="F964" s="1">
        <v>0.2</v>
      </c>
      <c r="G964">
        <v>2999.99</v>
      </c>
      <c r="H964" s="22">
        <f>VLOOKUP(A964,[1]Orders!$A$2:$B$1616,2,0)</f>
        <v>42582</v>
      </c>
      <c r="J964" t="s">
        <v>26</v>
      </c>
      <c r="K964" t="s">
        <v>18</v>
      </c>
    </row>
    <row r="965" spans="1:11" x14ac:dyDescent="0.3">
      <c r="A965">
        <v>342</v>
      </c>
      <c r="B965">
        <v>3</v>
      </c>
      <c r="C965">
        <v>16</v>
      </c>
      <c r="D965">
        <v>2</v>
      </c>
      <c r="E965" s="1">
        <v>599.99</v>
      </c>
      <c r="F965" s="1">
        <v>0.1</v>
      </c>
      <c r="G965">
        <v>1199.98</v>
      </c>
      <c r="H965" s="22">
        <f>VLOOKUP(A965,[1]Orders!$A$2:$B$1616,2,0)</f>
        <v>42582</v>
      </c>
      <c r="J965" t="s">
        <v>14</v>
      </c>
      <c r="K965" t="s">
        <v>18</v>
      </c>
    </row>
    <row r="966" spans="1:11" x14ac:dyDescent="0.3">
      <c r="A966">
        <v>343</v>
      </c>
      <c r="B966">
        <v>1</v>
      </c>
      <c r="C966">
        <v>20</v>
      </c>
      <c r="D966">
        <v>2</v>
      </c>
      <c r="E966" s="1">
        <v>599.99</v>
      </c>
      <c r="F966" s="1">
        <v>0.2</v>
      </c>
      <c r="G966">
        <v>1199.98</v>
      </c>
      <c r="H966" s="22">
        <f>VLOOKUP(A966,[1]Orders!$A$2:$B$1616,2,0)</f>
        <v>42582</v>
      </c>
      <c r="J966" t="s">
        <v>10</v>
      </c>
      <c r="K966" t="s">
        <v>18</v>
      </c>
    </row>
    <row r="967" spans="1:11" x14ac:dyDescent="0.3">
      <c r="A967">
        <v>343</v>
      </c>
      <c r="B967">
        <v>2</v>
      </c>
      <c r="C967">
        <v>25</v>
      </c>
      <c r="D967">
        <v>1</v>
      </c>
      <c r="E967" s="1">
        <v>499.99</v>
      </c>
      <c r="F967" s="1">
        <v>0.05</v>
      </c>
      <c r="G967">
        <v>499.99</v>
      </c>
      <c r="H967" s="22">
        <f>VLOOKUP(A967,[1]Orders!$A$2:$B$1616,2,0)</f>
        <v>42582</v>
      </c>
      <c r="J967" t="s">
        <v>35</v>
      </c>
      <c r="K967" t="s">
        <v>18</v>
      </c>
    </row>
    <row r="968" spans="1:11" x14ac:dyDescent="0.3">
      <c r="A968">
        <v>343</v>
      </c>
      <c r="B968">
        <v>3</v>
      </c>
      <c r="C968">
        <v>5</v>
      </c>
      <c r="D968">
        <v>2</v>
      </c>
      <c r="E968" s="1">
        <v>1320.99</v>
      </c>
      <c r="F968" s="1">
        <v>0.05</v>
      </c>
      <c r="G968">
        <v>2641.98</v>
      </c>
      <c r="H968" s="22">
        <f>VLOOKUP(A968,[1]Orders!$A$2:$B$1616,2,0)</f>
        <v>42582</v>
      </c>
      <c r="J968" t="s">
        <v>34</v>
      </c>
      <c r="K968" t="s">
        <v>18</v>
      </c>
    </row>
    <row r="969" spans="1:11" x14ac:dyDescent="0.3">
      <c r="A969">
        <v>343</v>
      </c>
      <c r="B969">
        <v>4</v>
      </c>
      <c r="C969">
        <v>10</v>
      </c>
      <c r="D969">
        <v>1</v>
      </c>
      <c r="E969" s="1">
        <v>1549</v>
      </c>
      <c r="F969" s="1">
        <v>0.1</v>
      </c>
      <c r="G969">
        <v>1549</v>
      </c>
      <c r="H969" s="22">
        <f>VLOOKUP(A969,[1]Orders!$A$2:$B$1616,2,0)</f>
        <v>42582</v>
      </c>
      <c r="J969" t="s">
        <v>13</v>
      </c>
      <c r="K969" t="s">
        <v>18</v>
      </c>
    </row>
    <row r="970" spans="1:11" x14ac:dyDescent="0.3">
      <c r="A970">
        <v>344</v>
      </c>
      <c r="B970">
        <v>1</v>
      </c>
      <c r="C970">
        <v>22</v>
      </c>
      <c r="D970">
        <v>1</v>
      </c>
      <c r="E970" s="1">
        <v>269.99</v>
      </c>
      <c r="F970" s="1">
        <v>0.05</v>
      </c>
      <c r="G970">
        <v>269.99</v>
      </c>
      <c r="H970" s="22">
        <f>VLOOKUP(A970,[1]Orders!$A$2:$B$1616,2,0)</f>
        <v>42583</v>
      </c>
      <c r="J970" t="s">
        <v>28</v>
      </c>
      <c r="K970" t="s">
        <v>18</v>
      </c>
    </row>
    <row r="971" spans="1:11" x14ac:dyDescent="0.3">
      <c r="A971">
        <v>344</v>
      </c>
      <c r="B971">
        <v>2</v>
      </c>
      <c r="C971">
        <v>18</v>
      </c>
      <c r="D971">
        <v>2</v>
      </c>
      <c r="E971" s="1">
        <v>449</v>
      </c>
      <c r="F971" s="1">
        <v>7.0000000000000007E-2</v>
      </c>
      <c r="G971">
        <v>898</v>
      </c>
      <c r="H971" s="22">
        <f>VLOOKUP(A971,[1]Orders!$A$2:$B$1616,2,0)</f>
        <v>42583</v>
      </c>
      <c r="J971" t="s">
        <v>24</v>
      </c>
      <c r="K971" t="s">
        <v>18</v>
      </c>
    </row>
    <row r="972" spans="1:11" x14ac:dyDescent="0.3">
      <c r="A972">
        <v>344</v>
      </c>
      <c r="B972">
        <v>3</v>
      </c>
      <c r="C972">
        <v>14</v>
      </c>
      <c r="D972">
        <v>1</v>
      </c>
      <c r="E972" s="1">
        <v>269.99</v>
      </c>
      <c r="F972" s="1">
        <v>0.2</v>
      </c>
      <c r="G972">
        <v>269.99</v>
      </c>
      <c r="H972" s="22">
        <f>VLOOKUP(A972,[1]Orders!$A$2:$B$1616,2,0)</f>
        <v>42583</v>
      </c>
      <c r="J972" t="s">
        <v>28</v>
      </c>
      <c r="K972" t="s">
        <v>18</v>
      </c>
    </row>
    <row r="973" spans="1:11" x14ac:dyDescent="0.3">
      <c r="A973">
        <v>345</v>
      </c>
      <c r="B973">
        <v>1</v>
      </c>
      <c r="C973">
        <v>18</v>
      </c>
      <c r="D973">
        <v>2</v>
      </c>
      <c r="E973" s="1">
        <v>449</v>
      </c>
      <c r="F973" s="1">
        <v>0.1</v>
      </c>
      <c r="G973">
        <v>898</v>
      </c>
      <c r="H973" s="22">
        <f>VLOOKUP(A973,[1]Orders!$A$2:$B$1616,2,0)</f>
        <v>42583</v>
      </c>
      <c r="J973" t="s">
        <v>24</v>
      </c>
      <c r="K973" t="s">
        <v>18</v>
      </c>
    </row>
    <row r="974" spans="1:11" x14ac:dyDescent="0.3">
      <c r="A974">
        <v>345</v>
      </c>
      <c r="B974">
        <v>2</v>
      </c>
      <c r="C974">
        <v>24</v>
      </c>
      <c r="D974">
        <v>2</v>
      </c>
      <c r="E974" s="1">
        <v>549.99</v>
      </c>
      <c r="F974" s="1">
        <v>7.0000000000000007E-2</v>
      </c>
      <c r="G974">
        <v>1099.98</v>
      </c>
      <c r="H974" s="22">
        <f>VLOOKUP(A974,[1]Orders!$A$2:$B$1616,2,0)</f>
        <v>42583</v>
      </c>
      <c r="J974" t="s">
        <v>25</v>
      </c>
      <c r="K974" t="s">
        <v>18</v>
      </c>
    </row>
    <row r="975" spans="1:11" x14ac:dyDescent="0.3">
      <c r="A975">
        <v>346</v>
      </c>
      <c r="B975">
        <v>1</v>
      </c>
      <c r="C975">
        <v>13</v>
      </c>
      <c r="D975">
        <v>1</v>
      </c>
      <c r="E975" s="1">
        <v>269.99</v>
      </c>
      <c r="F975" s="1">
        <v>7.0000000000000007E-2</v>
      </c>
      <c r="G975">
        <v>269.99</v>
      </c>
      <c r="H975" s="22">
        <f>VLOOKUP(A975,[1]Orders!$A$2:$B$1616,2,0)</f>
        <v>42583</v>
      </c>
      <c r="J975" t="s">
        <v>31</v>
      </c>
      <c r="K975" t="s">
        <v>37</v>
      </c>
    </row>
    <row r="976" spans="1:11" x14ac:dyDescent="0.3">
      <c r="A976">
        <v>346</v>
      </c>
      <c r="B976">
        <v>2</v>
      </c>
      <c r="C976">
        <v>23</v>
      </c>
      <c r="D976">
        <v>1</v>
      </c>
      <c r="E976" s="1">
        <v>299.99</v>
      </c>
      <c r="F976" s="1">
        <v>0.2</v>
      </c>
      <c r="G976">
        <v>299.99</v>
      </c>
      <c r="H976" s="22">
        <f>VLOOKUP(A976,[1]Orders!$A$2:$B$1616,2,0)</f>
        <v>42583</v>
      </c>
      <c r="J976" t="s">
        <v>33</v>
      </c>
      <c r="K976" t="s">
        <v>37</v>
      </c>
    </row>
    <row r="977" spans="1:11" x14ac:dyDescent="0.3">
      <c r="A977">
        <v>346</v>
      </c>
      <c r="B977">
        <v>3</v>
      </c>
      <c r="C977">
        <v>21</v>
      </c>
      <c r="D977">
        <v>1</v>
      </c>
      <c r="E977" s="1">
        <v>269.99</v>
      </c>
      <c r="F977" s="1">
        <v>0.1</v>
      </c>
      <c r="G977">
        <v>269.99</v>
      </c>
      <c r="H977" s="22">
        <f>VLOOKUP(A977,[1]Orders!$A$2:$B$1616,2,0)</f>
        <v>42583</v>
      </c>
      <c r="J977" t="s">
        <v>31</v>
      </c>
      <c r="K977" t="s">
        <v>37</v>
      </c>
    </row>
    <row r="978" spans="1:11" x14ac:dyDescent="0.3">
      <c r="A978">
        <v>346</v>
      </c>
      <c r="B978">
        <v>4</v>
      </c>
      <c r="C978">
        <v>15</v>
      </c>
      <c r="D978">
        <v>1</v>
      </c>
      <c r="E978" s="1">
        <v>529.99</v>
      </c>
      <c r="F978" s="1">
        <v>0.05</v>
      </c>
      <c r="G978">
        <v>529.99</v>
      </c>
      <c r="H978" s="22">
        <f>VLOOKUP(A978,[1]Orders!$A$2:$B$1616,2,0)</f>
        <v>42583</v>
      </c>
      <c r="J978" t="s">
        <v>27</v>
      </c>
      <c r="K978" t="s">
        <v>37</v>
      </c>
    </row>
    <row r="979" spans="1:11" x14ac:dyDescent="0.3">
      <c r="A979">
        <v>346</v>
      </c>
      <c r="B979">
        <v>5</v>
      </c>
      <c r="C979">
        <v>18</v>
      </c>
      <c r="D979">
        <v>2</v>
      </c>
      <c r="E979" s="1">
        <v>449</v>
      </c>
      <c r="F979" s="1">
        <v>0.05</v>
      </c>
      <c r="G979">
        <v>898</v>
      </c>
      <c r="H979" s="22">
        <f>VLOOKUP(A979,[1]Orders!$A$2:$B$1616,2,0)</f>
        <v>42583</v>
      </c>
      <c r="J979" t="s">
        <v>24</v>
      </c>
      <c r="K979" t="s">
        <v>37</v>
      </c>
    </row>
    <row r="980" spans="1:11" x14ac:dyDescent="0.3">
      <c r="A980">
        <v>347</v>
      </c>
      <c r="B980">
        <v>1</v>
      </c>
      <c r="C980">
        <v>23</v>
      </c>
      <c r="D980">
        <v>1</v>
      </c>
      <c r="E980" s="1">
        <v>299.99</v>
      </c>
      <c r="F980" s="1">
        <v>7.0000000000000007E-2</v>
      </c>
      <c r="G980">
        <v>299.99</v>
      </c>
      <c r="H980" s="22">
        <f>VLOOKUP(A980,[1]Orders!$A$2:$B$1616,2,0)</f>
        <v>42584</v>
      </c>
      <c r="J980" t="s">
        <v>33</v>
      </c>
      <c r="K980" t="s">
        <v>18</v>
      </c>
    </row>
    <row r="981" spans="1:11" x14ac:dyDescent="0.3">
      <c r="A981">
        <v>348</v>
      </c>
      <c r="B981">
        <v>1</v>
      </c>
      <c r="C981">
        <v>5</v>
      </c>
      <c r="D981">
        <v>2</v>
      </c>
      <c r="E981" s="1">
        <v>1320.99</v>
      </c>
      <c r="F981" s="1">
        <v>0.05</v>
      </c>
      <c r="G981">
        <v>2641.98</v>
      </c>
      <c r="H981" s="22">
        <f>VLOOKUP(A981,[1]Orders!$A$2:$B$1616,2,0)</f>
        <v>42584</v>
      </c>
      <c r="J981" t="s">
        <v>34</v>
      </c>
      <c r="K981" t="s">
        <v>37</v>
      </c>
    </row>
    <row r="982" spans="1:11" x14ac:dyDescent="0.3">
      <c r="A982">
        <v>348</v>
      </c>
      <c r="B982">
        <v>2</v>
      </c>
      <c r="C982">
        <v>15</v>
      </c>
      <c r="D982">
        <v>2</v>
      </c>
      <c r="E982" s="1">
        <v>529.99</v>
      </c>
      <c r="F982" s="1">
        <v>7.0000000000000007E-2</v>
      </c>
      <c r="G982">
        <v>1059.98</v>
      </c>
      <c r="H982" s="22">
        <f>VLOOKUP(A982,[1]Orders!$A$2:$B$1616,2,0)</f>
        <v>42584</v>
      </c>
      <c r="J982" t="s">
        <v>27</v>
      </c>
      <c r="K982" t="s">
        <v>37</v>
      </c>
    </row>
    <row r="983" spans="1:11" x14ac:dyDescent="0.3">
      <c r="A983">
        <v>349</v>
      </c>
      <c r="B983">
        <v>1</v>
      </c>
      <c r="C983">
        <v>20</v>
      </c>
      <c r="D983">
        <v>2</v>
      </c>
      <c r="E983" s="1">
        <v>599.99</v>
      </c>
      <c r="F983" s="1">
        <v>0.2</v>
      </c>
      <c r="G983">
        <v>1199.98</v>
      </c>
      <c r="H983" s="22">
        <f>VLOOKUP(A983,[1]Orders!$A$2:$B$1616,2,0)</f>
        <v>42585</v>
      </c>
      <c r="J983" t="s">
        <v>10</v>
      </c>
      <c r="K983" t="s">
        <v>11</v>
      </c>
    </row>
    <row r="984" spans="1:11" x14ac:dyDescent="0.3">
      <c r="A984">
        <v>350</v>
      </c>
      <c r="B984">
        <v>1</v>
      </c>
      <c r="C984">
        <v>6</v>
      </c>
      <c r="D984">
        <v>2</v>
      </c>
      <c r="E984" s="1">
        <v>469.99</v>
      </c>
      <c r="F984" s="1">
        <v>0.05</v>
      </c>
      <c r="G984">
        <v>939.98</v>
      </c>
      <c r="H984" s="22">
        <f>VLOOKUP(A984,[1]Orders!$A$2:$B$1616,2,0)</f>
        <v>42585</v>
      </c>
      <c r="J984" t="s">
        <v>32</v>
      </c>
      <c r="K984" t="s">
        <v>11</v>
      </c>
    </row>
    <row r="985" spans="1:11" x14ac:dyDescent="0.3">
      <c r="A985">
        <v>350</v>
      </c>
      <c r="B985">
        <v>2</v>
      </c>
      <c r="C985">
        <v>20</v>
      </c>
      <c r="D985">
        <v>1</v>
      </c>
      <c r="E985" s="1">
        <v>599.99</v>
      </c>
      <c r="F985" s="1">
        <v>7.0000000000000007E-2</v>
      </c>
      <c r="G985">
        <v>599.99</v>
      </c>
      <c r="H985" s="22">
        <f>VLOOKUP(A985,[1]Orders!$A$2:$B$1616,2,0)</f>
        <v>42585</v>
      </c>
      <c r="J985" t="s">
        <v>10</v>
      </c>
      <c r="K985" t="s">
        <v>11</v>
      </c>
    </row>
    <row r="986" spans="1:11" x14ac:dyDescent="0.3">
      <c r="A986">
        <v>350</v>
      </c>
      <c r="B986">
        <v>3</v>
      </c>
      <c r="C986">
        <v>3</v>
      </c>
      <c r="D986">
        <v>1</v>
      </c>
      <c r="E986" s="1">
        <v>999.99</v>
      </c>
      <c r="F986" s="1">
        <v>7.0000000000000007E-2</v>
      </c>
      <c r="G986">
        <v>999.99</v>
      </c>
      <c r="H986" s="22">
        <f>VLOOKUP(A986,[1]Orders!$A$2:$B$1616,2,0)</f>
        <v>42585</v>
      </c>
      <c r="J986" t="s">
        <v>20</v>
      </c>
      <c r="K986" t="s">
        <v>11</v>
      </c>
    </row>
    <row r="987" spans="1:11" x14ac:dyDescent="0.3">
      <c r="A987">
        <v>351</v>
      </c>
      <c r="B987">
        <v>1</v>
      </c>
      <c r="C987">
        <v>4</v>
      </c>
      <c r="D987">
        <v>2</v>
      </c>
      <c r="E987" s="1">
        <v>2899.99</v>
      </c>
      <c r="F987" s="1">
        <v>0.05</v>
      </c>
      <c r="G987">
        <v>5799.98</v>
      </c>
      <c r="H987" s="22">
        <f>VLOOKUP(A987,[1]Orders!$A$2:$B$1616,2,0)</f>
        <v>42585</v>
      </c>
      <c r="J987" t="s">
        <v>16</v>
      </c>
      <c r="K987" t="s">
        <v>11</v>
      </c>
    </row>
    <row r="988" spans="1:11" x14ac:dyDescent="0.3">
      <c r="A988">
        <v>351</v>
      </c>
      <c r="B988">
        <v>2</v>
      </c>
      <c r="C988">
        <v>24</v>
      </c>
      <c r="D988">
        <v>2</v>
      </c>
      <c r="E988" s="1">
        <v>549.99</v>
      </c>
      <c r="F988" s="1">
        <v>0.1</v>
      </c>
      <c r="G988">
        <v>1099.98</v>
      </c>
      <c r="H988" s="22">
        <f>VLOOKUP(A988,[1]Orders!$A$2:$B$1616,2,0)</f>
        <v>42585</v>
      </c>
      <c r="J988" t="s">
        <v>25</v>
      </c>
      <c r="K988" t="s">
        <v>11</v>
      </c>
    </row>
    <row r="989" spans="1:11" x14ac:dyDescent="0.3">
      <c r="A989">
        <v>351</v>
      </c>
      <c r="B989">
        <v>3</v>
      </c>
      <c r="C989">
        <v>20</v>
      </c>
      <c r="D989">
        <v>1</v>
      </c>
      <c r="E989" s="1">
        <v>599.99</v>
      </c>
      <c r="F989" s="1">
        <v>0.2</v>
      </c>
      <c r="G989">
        <v>599.99</v>
      </c>
      <c r="H989" s="22">
        <f>VLOOKUP(A989,[1]Orders!$A$2:$B$1616,2,0)</f>
        <v>42585</v>
      </c>
      <c r="J989" t="s">
        <v>10</v>
      </c>
      <c r="K989" t="s">
        <v>11</v>
      </c>
    </row>
    <row r="990" spans="1:11" x14ac:dyDescent="0.3">
      <c r="A990">
        <v>351</v>
      </c>
      <c r="B990">
        <v>4</v>
      </c>
      <c r="C990">
        <v>22</v>
      </c>
      <c r="D990">
        <v>2</v>
      </c>
      <c r="E990" s="1">
        <v>269.99</v>
      </c>
      <c r="F990" s="1">
        <v>7.0000000000000007E-2</v>
      </c>
      <c r="G990">
        <v>539.98</v>
      </c>
      <c r="H990" s="22">
        <f>VLOOKUP(A990,[1]Orders!$A$2:$B$1616,2,0)</f>
        <v>42585</v>
      </c>
      <c r="J990" t="s">
        <v>28</v>
      </c>
      <c r="K990" t="s">
        <v>11</v>
      </c>
    </row>
    <row r="991" spans="1:11" x14ac:dyDescent="0.3">
      <c r="A991">
        <v>352</v>
      </c>
      <c r="B991">
        <v>1</v>
      </c>
      <c r="C991">
        <v>11</v>
      </c>
      <c r="D991">
        <v>1</v>
      </c>
      <c r="E991" s="1">
        <v>1680.99</v>
      </c>
      <c r="F991" s="1">
        <v>0.2</v>
      </c>
      <c r="G991">
        <v>1680.99</v>
      </c>
      <c r="H991" s="22">
        <f>VLOOKUP(A991,[1]Orders!$A$2:$B$1616,2,0)</f>
        <v>42585</v>
      </c>
      <c r="J991" t="s">
        <v>30</v>
      </c>
      <c r="K991" t="s">
        <v>18</v>
      </c>
    </row>
    <row r="992" spans="1:11" x14ac:dyDescent="0.3">
      <c r="A992">
        <v>352</v>
      </c>
      <c r="B992">
        <v>2</v>
      </c>
      <c r="C992">
        <v>14</v>
      </c>
      <c r="D992">
        <v>1</v>
      </c>
      <c r="E992" s="1">
        <v>269.99</v>
      </c>
      <c r="F992" s="1">
        <v>0.2</v>
      </c>
      <c r="G992">
        <v>269.99</v>
      </c>
      <c r="H992" s="22">
        <f>VLOOKUP(A992,[1]Orders!$A$2:$B$1616,2,0)</f>
        <v>42585</v>
      </c>
      <c r="J992" t="s">
        <v>28</v>
      </c>
      <c r="K992" t="s">
        <v>18</v>
      </c>
    </row>
    <row r="993" spans="1:11" x14ac:dyDescent="0.3">
      <c r="A993">
        <v>353</v>
      </c>
      <c r="B993">
        <v>1</v>
      </c>
      <c r="C993">
        <v>2</v>
      </c>
      <c r="D993">
        <v>2</v>
      </c>
      <c r="E993" s="1">
        <v>749.99</v>
      </c>
      <c r="F993" s="1">
        <v>0.2</v>
      </c>
      <c r="G993">
        <v>1499.98</v>
      </c>
      <c r="H993" s="22">
        <f>VLOOKUP(A993,[1]Orders!$A$2:$B$1616,2,0)</f>
        <v>42585</v>
      </c>
      <c r="J993" t="s">
        <v>22</v>
      </c>
      <c r="K993" t="s">
        <v>18</v>
      </c>
    </row>
    <row r="994" spans="1:11" x14ac:dyDescent="0.3">
      <c r="A994">
        <v>354</v>
      </c>
      <c r="B994">
        <v>1</v>
      </c>
      <c r="C994">
        <v>21</v>
      </c>
      <c r="D994">
        <v>1</v>
      </c>
      <c r="E994" s="1">
        <v>269.99</v>
      </c>
      <c r="F994" s="1">
        <v>0.2</v>
      </c>
      <c r="G994">
        <v>269.99</v>
      </c>
      <c r="H994" s="22">
        <f>VLOOKUP(A994,[1]Orders!$A$2:$B$1616,2,0)</f>
        <v>42585</v>
      </c>
      <c r="J994" t="s">
        <v>31</v>
      </c>
      <c r="K994" t="s">
        <v>37</v>
      </c>
    </row>
    <row r="995" spans="1:11" x14ac:dyDescent="0.3">
      <c r="A995">
        <v>354</v>
      </c>
      <c r="B995">
        <v>2</v>
      </c>
      <c r="C995">
        <v>19</v>
      </c>
      <c r="D995">
        <v>1</v>
      </c>
      <c r="E995" s="1">
        <v>449</v>
      </c>
      <c r="F995" s="1">
        <v>0.05</v>
      </c>
      <c r="G995">
        <v>449</v>
      </c>
      <c r="H995" s="22">
        <f>VLOOKUP(A995,[1]Orders!$A$2:$B$1616,2,0)</f>
        <v>42585</v>
      </c>
      <c r="J995" t="s">
        <v>36</v>
      </c>
      <c r="K995" t="s">
        <v>37</v>
      </c>
    </row>
    <row r="996" spans="1:11" x14ac:dyDescent="0.3">
      <c r="A996">
        <v>355</v>
      </c>
      <c r="B996">
        <v>1</v>
      </c>
      <c r="C996">
        <v>16</v>
      </c>
      <c r="D996">
        <v>1</v>
      </c>
      <c r="E996" s="1">
        <v>599.99</v>
      </c>
      <c r="F996" s="1">
        <v>0.1</v>
      </c>
      <c r="G996">
        <v>599.99</v>
      </c>
      <c r="H996" s="22">
        <f>VLOOKUP(A996,[1]Orders!$A$2:$B$1616,2,0)</f>
        <v>42585</v>
      </c>
      <c r="J996" t="s">
        <v>14</v>
      </c>
      <c r="K996" t="s">
        <v>37</v>
      </c>
    </row>
    <row r="997" spans="1:11" x14ac:dyDescent="0.3">
      <c r="A997">
        <v>355</v>
      </c>
      <c r="B997">
        <v>2</v>
      </c>
      <c r="C997">
        <v>14</v>
      </c>
      <c r="D997">
        <v>2</v>
      </c>
      <c r="E997" s="1">
        <v>269.99</v>
      </c>
      <c r="F997" s="1">
        <v>7.0000000000000007E-2</v>
      </c>
      <c r="G997">
        <v>539.98</v>
      </c>
      <c r="H997" s="22">
        <f>VLOOKUP(A997,[1]Orders!$A$2:$B$1616,2,0)</f>
        <v>42585</v>
      </c>
      <c r="J997" t="s">
        <v>28</v>
      </c>
      <c r="K997" t="s">
        <v>37</v>
      </c>
    </row>
    <row r="998" spans="1:11" x14ac:dyDescent="0.3">
      <c r="A998">
        <v>356</v>
      </c>
      <c r="B998">
        <v>1</v>
      </c>
      <c r="C998">
        <v>23</v>
      </c>
      <c r="D998">
        <v>2</v>
      </c>
      <c r="E998" s="1">
        <v>299.99</v>
      </c>
      <c r="F998" s="1">
        <v>0.05</v>
      </c>
      <c r="G998">
        <v>599.98</v>
      </c>
      <c r="H998" s="22">
        <f>VLOOKUP(A998,[1]Orders!$A$2:$B$1616,2,0)</f>
        <v>42586</v>
      </c>
      <c r="J998" t="s">
        <v>33</v>
      </c>
      <c r="K998" t="s">
        <v>18</v>
      </c>
    </row>
    <row r="999" spans="1:11" x14ac:dyDescent="0.3">
      <c r="A999">
        <v>356</v>
      </c>
      <c r="B999">
        <v>2</v>
      </c>
      <c r="C999">
        <v>4</v>
      </c>
      <c r="D999">
        <v>1</v>
      </c>
      <c r="E999" s="1">
        <v>2899.99</v>
      </c>
      <c r="F999" s="1">
        <v>0.05</v>
      </c>
      <c r="G999">
        <v>2899.99</v>
      </c>
      <c r="H999" s="22">
        <f>VLOOKUP(A999,[1]Orders!$A$2:$B$1616,2,0)</f>
        <v>42586</v>
      </c>
      <c r="J999" t="s">
        <v>16</v>
      </c>
      <c r="K999" t="s">
        <v>18</v>
      </c>
    </row>
    <row r="1000" spans="1:11" x14ac:dyDescent="0.3">
      <c r="A1000">
        <v>356</v>
      </c>
      <c r="B1000">
        <v>3</v>
      </c>
      <c r="C1000">
        <v>13</v>
      </c>
      <c r="D1000">
        <v>1</v>
      </c>
      <c r="E1000" s="1">
        <v>269.99</v>
      </c>
      <c r="F1000" s="1">
        <v>0.05</v>
      </c>
      <c r="G1000">
        <v>269.99</v>
      </c>
      <c r="H1000" s="22">
        <f>VLOOKUP(A1000,[1]Orders!$A$2:$B$1616,2,0)</f>
        <v>42586</v>
      </c>
      <c r="J1000" t="s">
        <v>31</v>
      </c>
      <c r="K1000" t="s">
        <v>18</v>
      </c>
    </row>
    <row r="1001" spans="1:11" x14ac:dyDescent="0.3">
      <c r="A1001">
        <v>357</v>
      </c>
      <c r="B1001">
        <v>1</v>
      </c>
      <c r="C1001">
        <v>17</v>
      </c>
      <c r="D1001">
        <v>2</v>
      </c>
      <c r="E1001" s="1">
        <v>429</v>
      </c>
      <c r="F1001" s="1">
        <v>0.05</v>
      </c>
      <c r="G1001">
        <v>858</v>
      </c>
      <c r="H1001" s="22">
        <f>VLOOKUP(A1001,[1]Orders!$A$2:$B$1616,2,0)</f>
        <v>42587</v>
      </c>
      <c r="J1001" t="s">
        <v>23</v>
      </c>
      <c r="K1001" t="s">
        <v>37</v>
      </c>
    </row>
    <row r="1002" spans="1:11" x14ac:dyDescent="0.3">
      <c r="A1002">
        <v>357</v>
      </c>
      <c r="B1002">
        <v>2</v>
      </c>
      <c r="C1002">
        <v>21</v>
      </c>
      <c r="D1002">
        <v>2</v>
      </c>
      <c r="E1002" s="1">
        <v>269.99</v>
      </c>
      <c r="F1002" s="1">
        <v>7.0000000000000007E-2</v>
      </c>
      <c r="G1002">
        <v>539.98</v>
      </c>
      <c r="H1002" s="22">
        <f>VLOOKUP(A1002,[1]Orders!$A$2:$B$1616,2,0)</f>
        <v>42587</v>
      </c>
      <c r="J1002" t="s">
        <v>31</v>
      </c>
      <c r="K1002" t="s">
        <v>37</v>
      </c>
    </row>
    <row r="1003" spans="1:11" x14ac:dyDescent="0.3">
      <c r="A1003">
        <v>357</v>
      </c>
      <c r="B1003">
        <v>3</v>
      </c>
      <c r="C1003">
        <v>24</v>
      </c>
      <c r="D1003">
        <v>1</v>
      </c>
      <c r="E1003" s="1">
        <v>549.99</v>
      </c>
      <c r="F1003" s="1">
        <v>7.0000000000000007E-2</v>
      </c>
      <c r="G1003">
        <v>549.99</v>
      </c>
      <c r="H1003" s="22">
        <f>VLOOKUP(A1003,[1]Orders!$A$2:$B$1616,2,0)</f>
        <v>42587</v>
      </c>
      <c r="J1003" t="s">
        <v>25</v>
      </c>
      <c r="K1003" t="s">
        <v>37</v>
      </c>
    </row>
    <row r="1004" spans="1:11" x14ac:dyDescent="0.3">
      <c r="A1004">
        <v>357</v>
      </c>
      <c r="B1004">
        <v>4</v>
      </c>
      <c r="C1004">
        <v>9</v>
      </c>
      <c r="D1004">
        <v>1</v>
      </c>
      <c r="E1004" s="1">
        <v>2999.99</v>
      </c>
      <c r="F1004" s="1">
        <v>0.05</v>
      </c>
      <c r="G1004">
        <v>2999.99</v>
      </c>
      <c r="H1004" s="22">
        <f>VLOOKUP(A1004,[1]Orders!$A$2:$B$1616,2,0)</f>
        <v>42587</v>
      </c>
      <c r="J1004" t="s">
        <v>26</v>
      </c>
      <c r="K1004" t="s">
        <v>37</v>
      </c>
    </row>
    <row r="1005" spans="1:11" x14ac:dyDescent="0.3">
      <c r="A1005">
        <v>358</v>
      </c>
      <c r="B1005">
        <v>1</v>
      </c>
      <c r="C1005">
        <v>21</v>
      </c>
      <c r="D1005">
        <v>2</v>
      </c>
      <c r="E1005" s="1">
        <v>269.99</v>
      </c>
      <c r="F1005" s="1">
        <v>0.1</v>
      </c>
      <c r="G1005">
        <v>539.98</v>
      </c>
      <c r="H1005" s="22">
        <f>VLOOKUP(A1005,[1]Orders!$A$2:$B$1616,2,0)</f>
        <v>42587</v>
      </c>
      <c r="J1005" t="s">
        <v>31</v>
      </c>
      <c r="K1005" t="s">
        <v>18</v>
      </c>
    </row>
    <row r="1006" spans="1:11" x14ac:dyDescent="0.3">
      <c r="A1006">
        <v>358</v>
      </c>
      <c r="B1006">
        <v>2</v>
      </c>
      <c r="C1006">
        <v>6</v>
      </c>
      <c r="D1006">
        <v>2</v>
      </c>
      <c r="E1006" s="1">
        <v>469.99</v>
      </c>
      <c r="F1006" s="1">
        <v>7.0000000000000007E-2</v>
      </c>
      <c r="G1006">
        <v>939.98</v>
      </c>
      <c r="H1006" s="22">
        <f>VLOOKUP(A1006,[1]Orders!$A$2:$B$1616,2,0)</f>
        <v>42587</v>
      </c>
      <c r="J1006" t="s">
        <v>32</v>
      </c>
      <c r="K1006" t="s">
        <v>18</v>
      </c>
    </row>
    <row r="1007" spans="1:11" x14ac:dyDescent="0.3">
      <c r="A1007">
        <v>358</v>
      </c>
      <c r="B1007">
        <v>3</v>
      </c>
      <c r="C1007">
        <v>8</v>
      </c>
      <c r="D1007">
        <v>2</v>
      </c>
      <c r="E1007" s="1">
        <v>1799.99</v>
      </c>
      <c r="F1007" s="1">
        <v>0.05</v>
      </c>
      <c r="G1007">
        <v>3599.98</v>
      </c>
      <c r="H1007" s="22">
        <f>VLOOKUP(A1007,[1]Orders!$A$2:$B$1616,2,0)</f>
        <v>42587</v>
      </c>
      <c r="J1007" t="s">
        <v>12</v>
      </c>
      <c r="K1007" t="s">
        <v>18</v>
      </c>
    </row>
    <row r="1008" spans="1:11" x14ac:dyDescent="0.3">
      <c r="A1008">
        <v>358</v>
      </c>
      <c r="B1008">
        <v>4</v>
      </c>
      <c r="C1008">
        <v>18</v>
      </c>
      <c r="D1008">
        <v>2</v>
      </c>
      <c r="E1008" s="1">
        <v>449</v>
      </c>
      <c r="F1008" s="1">
        <v>0.1</v>
      </c>
      <c r="G1008">
        <v>898</v>
      </c>
      <c r="H1008" s="22">
        <f>VLOOKUP(A1008,[1]Orders!$A$2:$B$1616,2,0)</f>
        <v>42587</v>
      </c>
      <c r="J1008" t="s">
        <v>24</v>
      </c>
      <c r="K1008" t="s">
        <v>18</v>
      </c>
    </row>
    <row r="1009" spans="1:11" x14ac:dyDescent="0.3">
      <c r="A1009">
        <v>359</v>
      </c>
      <c r="B1009">
        <v>1</v>
      </c>
      <c r="C1009">
        <v>15</v>
      </c>
      <c r="D1009">
        <v>2</v>
      </c>
      <c r="E1009" s="1">
        <v>529.99</v>
      </c>
      <c r="F1009" s="1">
        <v>7.0000000000000007E-2</v>
      </c>
      <c r="G1009">
        <v>1059.98</v>
      </c>
      <c r="H1009" s="22">
        <f>VLOOKUP(A1009,[1]Orders!$A$2:$B$1616,2,0)</f>
        <v>42589</v>
      </c>
      <c r="J1009" t="s">
        <v>27</v>
      </c>
      <c r="K1009" t="s">
        <v>18</v>
      </c>
    </row>
    <row r="1010" spans="1:11" x14ac:dyDescent="0.3">
      <c r="A1010">
        <v>359</v>
      </c>
      <c r="B1010">
        <v>2</v>
      </c>
      <c r="C1010">
        <v>9</v>
      </c>
      <c r="D1010">
        <v>2</v>
      </c>
      <c r="E1010" s="1">
        <v>2999.99</v>
      </c>
      <c r="F1010" s="1">
        <v>7.0000000000000007E-2</v>
      </c>
      <c r="G1010">
        <v>5999.98</v>
      </c>
      <c r="H1010" s="22">
        <f>VLOOKUP(A1010,[1]Orders!$A$2:$B$1616,2,0)</f>
        <v>42589</v>
      </c>
      <c r="J1010" t="s">
        <v>26</v>
      </c>
      <c r="K1010" t="s">
        <v>18</v>
      </c>
    </row>
    <row r="1011" spans="1:11" x14ac:dyDescent="0.3">
      <c r="A1011">
        <v>359</v>
      </c>
      <c r="B1011">
        <v>3</v>
      </c>
      <c r="C1011">
        <v>7</v>
      </c>
      <c r="D1011">
        <v>2</v>
      </c>
      <c r="E1011" s="1">
        <v>3999.99</v>
      </c>
      <c r="F1011" s="1">
        <v>0.2</v>
      </c>
      <c r="G1011">
        <v>7999.98</v>
      </c>
      <c r="H1011" s="22">
        <f>VLOOKUP(A1011,[1]Orders!$A$2:$B$1616,2,0)</f>
        <v>42589</v>
      </c>
      <c r="J1011" t="s">
        <v>29</v>
      </c>
      <c r="K1011" t="s">
        <v>18</v>
      </c>
    </row>
    <row r="1012" spans="1:11" x14ac:dyDescent="0.3">
      <c r="A1012">
        <v>360</v>
      </c>
      <c r="B1012">
        <v>1</v>
      </c>
      <c r="C1012">
        <v>26</v>
      </c>
      <c r="D1012">
        <v>1</v>
      </c>
      <c r="E1012" s="1">
        <v>599.99</v>
      </c>
      <c r="F1012" s="1">
        <v>0.05</v>
      </c>
      <c r="G1012">
        <v>599.99</v>
      </c>
      <c r="H1012" s="22">
        <f>VLOOKUP(A1012,[1]Orders!$A$2:$B$1616,2,0)</f>
        <v>42589</v>
      </c>
      <c r="J1012" t="s">
        <v>14</v>
      </c>
      <c r="K1012" t="s">
        <v>18</v>
      </c>
    </row>
    <row r="1013" spans="1:11" x14ac:dyDescent="0.3">
      <c r="A1013">
        <v>360</v>
      </c>
      <c r="B1013">
        <v>2</v>
      </c>
      <c r="C1013">
        <v>7</v>
      </c>
      <c r="D1013">
        <v>2</v>
      </c>
      <c r="E1013" s="1">
        <v>3999.99</v>
      </c>
      <c r="F1013" s="1">
        <v>0.2</v>
      </c>
      <c r="G1013">
        <v>7999.98</v>
      </c>
      <c r="H1013" s="22">
        <f>VLOOKUP(A1013,[1]Orders!$A$2:$B$1616,2,0)</f>
        <v>42589</v>
      </c>
      <c r="J1013" t="s">
        <v>29</v>
      </c>
      <c r="K1013" t="s">
        <v>18</v>
      </c>
    </row>
    <row r="1014" spans="1:11" x14ac:dyDescent="0.3">
      <c r="A1014">
        <v>360</v>
      </c>
      <c r="B1014">
        <v>3</v>
      </c>
      <c r="C1014">
        <v>13</v>
      </c>
      <c r="D1014">
        <v>2</v>
      </c>
      <c r="E1014" s="1">
        <v>269.99</v>
      </c>
      <c r="F1014" s="1">
        <v>0.05</v>
      </c>
      <c r="G1014">
        <v>539.98</v>
      </c>
      <c r="H1014" s="22">
        <f>VLOOKUP(A1014,[1]Orders!$A$2:$B$1616,2,0)</f>
        <v>42589</v>
      </c>
      <c r="J1014" t="s">
        <v>31</v>
      </c>
      <c r="K1014" t="s">
        <v>18</v>
      </c>
    </row>
    <row r="1015" spans="1:11" x14ac:dyDescent="0.3">
      <c r="A1015">
        <v>360</v>
      </c>
      <c r="B1015">
        <v>4</v>
      </c>
      <c r="C1015">
        <v>25</v>
      </c>
      <c r="D1015">
        <v>1</v>
      </c>
      <c r="E1015" s="1">
        <v>499.99</v>
      </c>
      <c r="F1015" s="1">
        <v>0.1</v>
      </c>
      <c r="G1015">
        <v>499.99</v>
      </c>
      <c r="H1015" s="22">
        <f>VLOOKUP(A1015,[1]Orders!$A$2:$B$1616,2,0)</f>
        <v>42589</v>
      </c>
      <c r="J1015" t="s">
        <v>35</v>
      </c>
      <c r="K1015" t="s">
        <v>18</v>
      </c>
    </row>
    <row r="1016" spans="1:11" x14ac:dyDescent="0.3">
      <c r="A1016">
        <v>361</v>
      </c>
      <c r="B1016">
        <v>1</v>
      </c>
      <c r="C1016">
        <v>24</v>
      </c>
      <c r="D1016">
        <v>2</v>
      </c>
      <c r="E1016" s="1">
        <v>549.99</v>
      </c>
      <c r="F1016" s="1">
        <v>0.05</v>
      </c>
      <c r="G1016">
        <v>1099.98</v>
      </c>
      <c r="H1016" s="22">
        <f>VLOOKUP(A1016,[1]Orders!$A$2:$B$1616,2,0)</f>
        <v>42590</v>
      </c>
      <c r="J1016" t="s">
        <v>25</v>
      </c>
      <c r="K1016" t="s">
        <v>18</v>
      </c>
    </row>
    <row r="1017" spans="1:11" x14ac:dyDescent="0.3">
      <c r="A1017">
        <v>361</v>
      </c>
      <c r="B1017">
        <v>2</v>
      </c>
      <c r="C1017">
        <v>6</v>
      </c>
      <c r="D1017">
        <v>2</v>
      </c>
      <c r="E1017" s="1">
        <v>469.99</v>
      </c>
      <c r="F1017" s="1">
        <v>0.1</v>
      </c>
      <c r="G1017">
        <v>939.98</v>
      </c>
      <c r="H1017" s="22">
        <f>VLOOKUP(A1017,[1]Orders!$A$2:$B$1616,2,0)</f>
        <v>42590</v>
      </c>
      <c r="J1017" t="s">
        <v>32</v>
      </c>
      <c r="K1017" t="s">
        <v>18</v>
      </c>
    </row>
    <row r="1018" spans="1:11" x14ac:dyDescent="0.3">
      <c r="A1018">
        <v>361</v>
      </c>
      <c r="B1018">
        <v>3</v>
      </c>
      <c r="C1018">
        <v>11</v>
      </c>
      <c r="D1018">
        <v>1</v>
      </c>
      <c r="E1018" s="1">
        <v>1680.99</v>
      </c>
      <c r="F1018" s="1">
        <v>0.1</v>
      </c>
      <c r="G1018">
        <v>1680.99</v>
      </c>
      <c r="H1018" s="22">
        <f>VLOOKUP(A1018,[1]Orders!$A$2:$B$1616,2,0)</f>
        <v>42590</v>
      </c>
      <c r="J1018" t="s">
        <v>30</v>
      </c>
      <c r="K1018" t="s">
        <v>18</v>
      </c>
    </row>
    <row r="1019" spans="1:11" x14ac:dyDescent="0.3">
      <c r="A1019">
        <v>362</v>
      </c>
      <c r="B1019">
        <v>1</v>
      </c>
      <c r="C1019">
        <v>2</v>
      </c>
      <c r="D1019">
        <v>1</v>
      </c>
      <c r="E1019" s="1">
        <v>749.99</v>
      </c>
      <c r="F1019" s="1">
        <v>7.0000000000000007E-2</v>
      </c>
      <c r="G1019">
        <v>749.99</v>
      </c>
      <c r="H1019" s="22">
        <f>VLOOKUP(A1019,[1]Orders!$A$2:$B$1616,2,0)</f>
        <v>42591</v>
      </c>
      <c r="J1019" t="s">
        <v>22</v>
      </c>
      <c r="K1019" t="s">
        <v>11</v>
      </c>
    </row>
    <row r="1020" spans="1:11" x14ac:dyDescent="0.3">
      <c r="A1020">
        <v>363</v>
      </c>
      <c r="B1020">
        <v>1</v>
      </c>
      <c r="C1020">
        <v>21</v>
      </c>
      <c r="D1020">
        <v>2</v>
      </c>
      <c r="E1020" s="1">
        <v>269.99</v>
      </c>
      <c r="F1020" s="1">
        <v>0.1</v>
      </c>
      <c r="G1020">
        <v>539.98</v>
      </c>
      <c r="H1020" s="22">
        <f>VLOOKUP(A1020,[1]Orders!$A$2:$B$1616,2,0)</f>
        <v>42593</v>
      </c>
      <c r="J1020" t="s">
        <v>31</v>
      </c>
      <c r="K1020" t="s">
        <v>37</v>
      </c>
    </row>
    <row r="1021" spans="1:11" x14ac:dyDescent="0.3">
      <c r="A1021">
        <v>363</v>
      </c>
      <c r="B1021">
        <v>2</v>
      </c>
      <c r="C1021">
        <v>14</v>
      </c>
      <c r="D1021">
        <v>1</v>
      </c>
      <c r="E1021" s="1">
        <v>269.99</v>
      </c>
      <c r="F1021" s="1">
        <v>7.0000000000000007E-2</v>
      </c>
      <c r="G1021">
        <v>269.99</v>
      </c>
      <c r="H1021" s="22">
        <f>VLOOKUP(A1021,[1]Orders!$A$2:$B$1616,2,0)</f>
        <v>42593</v>
      </c>
      <c r="J1021" t="s">
        <v>28</v>
      </c>
      <c r="K1021" t="s">
        <v>37</v>
      </c>
    </row>
    <row r="1022" spans="1:11" x14ac:dyDescent="0.3">
      <c r="A1022">
        <v>363</v>
      </c>
      <c r="B1022">
        <v>3</v>
      </c>
      <c r="C1022">
        <v>15</v>
      </c>
      <c r="D1022">
        <v>1</v>
      </c>
      <c r="E1022" s="1">
        <v>529.99</v>
      </c>
      <c r="F1022" s="1">
        <v>0.1</v>
      </c>
      <c r="G1022">
        <v>529.99</v>
      </c>
      <c r="H1022" s="22">
        <f>VLOOKUP(A1022,[1]Orders!$A$2:$B$1616,2,0)</f>
        <v>42593</v>
      </c>
      <c r="J1022" t="s">
        <v>27</v>
      </c>
      <c r="K1022" t="s">
        <v>37</v>
      </c>
    </row>
    <row r="1023" spans="1:11" x14ac:dyDescent="0.3">
      <c r="A1023">
        <v>363</v>
      </c>
      <c r="B1023">
        <v>4</v>
      </c>
      <c r="C1023">
        <v>20</v>
      </c>
      <c r="D1023">
        <v>1</v>
      </c>
      <c r="E1023" s="1">
        <v>599.99</v>
      </c>
      <c r="F1023" s="1">
        <v>0.2</v>
      </c>
      <c r="G1023">
        <v>599.99</v>
      </c>
      <c r="H1023" s="22">
        <f>VLOOKUP(A1023,[1]Orders!$A$2:$B$1616,2,0)</f>
        <v>42593</v>
      </c>
      <c r="J1023" t="s">
        <v>10</v>
      </c>
      <c r="K1023" t="s">
        <v>37</v>
      </c>
    </row>
    <row r="1024" spans="1:11" x14ac:dyDescent="0.3">
      <c r="A1024">
        <v>364</v>
      </c>
      <c r="B1024">
        <v>1</v>
      </c>
      <c r="C1024">
        <v>25</v>
      </c>
      <c r="D1024">
        <v>2</v>
      </c>
      <c r="E1024" s="1">
        <v>499.99</v>
      </c>
      <c r="F1024" s="1">
        <v>0.05</v>
      </c>
      <c r="G1024">
        <v>999.98</v>
      </c>
      <c r="H1024" s="22">
        <f>VLOOKUP(A1024,[1]Orders!$A$2:$B$1616,2,0)</f>
        <v>42594</v>
      </c>
      <c r="J1024" t="s">
        <v>35</v>
      </c>
      <c r="K1024" t="s">
        <v>18</v>
      </c>
    </row>
    <row r="1025" spans="1:11" x14ac:dyDescent="0.3">
      <c r="A1025">
        <v>365</v>
      </c>
      <c r="B1025">
        <v>1</v>
      </c>
      <c r="C1025">
        <v>24</v>
      </c>
      <c r="D1025">
        <v>2</v>
      </c>
      <c r="E1025" s="1">
        <v>549.99</v>
      </c>
      <c r="F1025" s="1">
        <v>7.0000000000000007E-2</v>
      </c>
      <c r="G1025">
        <v>1099.98</v>
      </c>
      <c r="H1025" s="22">
        <f>VLOOKUP(A1025,[1]Orders!$A$2:$B$1616,2,0)</f>
        <v>42595</v>
      </c>
      <c r="J1025" t="s">
        <v>25</v>
      </c>
      <c r="K1025" t="s">
        <v>18</v>
      </c>
    </row>
    <row r="1026" spans="1:11" x14ac:dyDescent="0.3">
      <c r="A1026">
        <v>366</v>
      </c>
      <c r="B1026">
        <v>1</v>
      </c>
      <c r="C1026">
        <v>21</v>
      </c>
      <c r="D1026">
        <v>1</v>
      </c>
      <c r="E1026" s="1">
        <v>269.99</v>
      </c>
      <c r="F1026" s="1">
        <v>0.1</v>
      </c>
      <c r="G1026">
        <v>269.99</v>
      </c>
      <c r="H1026" s="22">
        <f>VLOOKUP(A1026,[1]Orders!$A$2:$B$1616,2,0)</f>
        <v>42595</v>
      </c>
      <c r="J1026" t="s">
        <v>31</v>
      </c>
      <c r="K1026" t="s">
        <v>37</v>
      </c>
    </row>
    <row r="1027" spans="1:11" x14ac:dyDescent="0.3">
      <c r="A1027">
        <v>366</v>
      </c>
      <c r="B1027">
        <v>2</v>
      </c>
      <c r="C1027">
        <v>4</v>
      </c>
      <c r="D1027">
        <v>1</v>
      </c>
      <c r="E1027" s="1">
        <v>2899.99</v>
      </c>
      <c r="F1027" s="1">
        <v>7.0000000000000007E-2</v>
      </c>
      <c r="G1027">
        <v>2899.99</v>
      </c>
      <c r="H1027" s="22">
        <f>VLOOKUP(A1027,[1]Orders!$A$2:$B$1616,2,0)</f>
        <v>42595</v>
      </c>
      <c r="J1027" t="s">
        <v>16</v>
      </c>
      <c r="K1027" t="s">
        <v>37</v>
      </c>
    </row>
    <row r="1028" spans="1:11" x14ac:dyDescent="0.3">
      <c r="A1028">
        <v>366</v>
      </c>
      <c r="B1028">
        <v>3</v>
      </c>
      <c r="C1028">
        <v>16</v>
      </c>
      <c r="D1028">
        <v>2</v>
      </c>
      <c r="E1028" s="1">
        <v>599.99</v>
      </c>
      <c r="F1028" s="1">
        <v>0.2</v>
      </c>
      <c r="G1028">
        <v>1199.98</v>
      </c>
      <c r="H1028" s="22">
        <f>VLOOKUP(A1028,[1]Orders!$A$2:$B$1616,2,0)</f>
        <v>42595</v>
      </c>
      <c r="J1028" t="s">
        <v>14</v>
      </c>
      <c r="K1028" t="s">
        <v>37</v>
      </c>
    </row>
    <row r="1029" spans="1:11" x14ac:dyDescent="0.3">
      <c r="A1029">
        <v>367</v>
      </c>
      <c r="B1029">
        <v>1</v>
      </c>
      <c r="C1029">
        <v>26</v>
      </c>
      <c r="D1029">
        <v>2</v>
      </c>
      <c r="E1029" s="1">
        <v>599.99</v>
      </c>
      <c r="F1029" s="1">
        <v>0.1</v>
      </c>
      <c r="G1029">
        <v>1199.98</v>
      </c>
      <c r="H1029" s="22">
        <f>VLOOKUP(A1029,[1]Orders!$A$2:$B$1616,2,0)</f>
        <v>42596</v>
      </c>
      <c r="J1029" t="s">
        <v>14</v>
      </c>
      <c r="K1029" t="s">
        <v>18</v>
      </c>
    </row>
    <row r="1030" spans="1:11" x14ac:dyDescent="0.3">
      <c r="A1030">
        <v>367</v>
      </c>
      <c r="B1030">
        <v>2</v>
      </c>
      <c r="C1030">
        <v>14</v>
      </c>
      <c r="D1030">
        <v>1</v>
      </c>
      <c r="E1030" s="1">
        <v>269.99</v>
      </c>
      <c r="F1030" s="1">
        <v>0.05</v>
      </c>
      <c r="G1030">
        <v>269.99</v>
      </c>
      <c r="H1030" s="22">
        <f>VLOOKUP(A1030,[1]Orders!$A$2:$B$1616,2,0)</f>
        <v>42596</v>
      </c>
      <c r="J1030" t="s">
        <v>28</v>
      </c>
      <c r="K1030" t="s">
        <v>18</v>
      </c>
    </row>
    <row r="1031" spans="1:11" x14ac:dyDescent="0.3">
      <c r="A1031">
        <v>367</v>
      </c>
      <c r="B1031">
        <v>3</v>
      </c>
      <c r="C1031">
        <v>10</v>
      </c>
      <c r="D1031">
        <v>2</v>
      </c>
      <c r="E1031" s="1">
        <v>1549</v>
      </c>
      <c r="F1031" s="1">
        <v>0.05</v>
      </c>
      <c r="G1031">
        <v>3098</v>
      </c>
      <c r="H1031" s="22">
        <f>VLOOKUP(A1031,[1]Orders!$A$2:$B$1616,2,0)</f>
        <v>42596</v>
      </c>
      <c r="J1031" t="s">
        <v>13</v>
      </c>
      <c r="K1031" t="s">
        <v>18</v>
      </c>
    </row>
    <row r="1032" spans="1:11" x14ac:dyDescent="0.3">
      <c r="A1032">
        <v>368</v>
      </c>
      <c r="B1032">
        <v>1</v>
      </c>
      <c r="C1032">
        <v>5</v>
      </c>
      <c r="D1032">
        <v>1</v>
      </c>
      <c r="E1032" s="1">
        <v>1320.99</v>
      </c>
      <c r="F1032" s="1">
        <v>0.2</v>
      </c>
      <c r="G1032">
        <v>1320.99</v>
      </c>
      <c r="H1032" s="22">
        <f>VLOOKUP(A1032,[1]Orders!$A$2:$B$1616,2,0)</f>
        <v>42596</v>
      </c>
      <c r="J1032" t="s">
        <v>34</v>
      </c>
      <c r="K1032" t="s">
        <v>18</v>
      </c>
    </row>
    <row r="1033" spans="1:11" x14ac:dyDescent="0.3">
      <c r="A1033">
        <v>368</v>
      </c>
      <c r="B1033">
        <v>2</v>
      </c>
      <c r="C1033">
        <v>10</v>
      </c>
      <c r="D1033">
        <v>2</v>
      </c>
      <c r="E1033" s="1">
        <v>1549</v>
      </c>
      <c r="F1033" s="1">
        <v>0.2</v>
      </c>
      <c r="G1033">
        <v>3098</v>
      </c>
      <c r="H1033" s="22">
        <f>VLOOKUP(A1033,[1]Orders!$A$2:$B$1616,2,0)</f>
        <v>42596</v>
      </c>
      <c r="J1033" t="s">
        <v>13</v>
      </c>
      <c r="K1033" t="s">
        <v>18</v>
      </c>
    </row>
    <row r="1034" spans="1:11" x14ac:dyDescent="0.3">
      <c r="A1034">
        <v>368</v>
      </c>
      <c r="B1034">
        <v>3</v>
      </c>
      <c r="C1034">
        <v>21</v>
      </c>
      <c r="D1034">
        <v>2</v>
      </c>
      <c r="E1034" s="1">
        <v>269.99</v>
      </c>
      <c r="F1034" s="1">
        <v>0.1</v>
      </c>
      <c r="G1034">
        <v>539.98</v>
      </c>
      <c r="H1034" s="22">
        <f>VLOOKUP(A1034,[1]Orders!$A$2:$B$1616,2,0)</f>
        <v>42596</v>
      </c>
      <c r="J1034" t="s">
        <v>31</v>
      </c>
      <c r="K1034" t="s">
        <v>18</v>
      </c>
    </row>
    <row r="1035" spans="1:11" x14ac:dyDescent="0.3">
      <c r="A1035">
        <v>368</v>
      </c>
      <c r="B1035">
        <v>4</v>
      </c>
      <c r="C1035">
        <v>19</v>
      </c>
      <c r="D1035">
        <v>1</v>
      </c>
      <c r="E1035" s="1">
        <v>449</v>
      </c>
      <c r="F1035" s="1">
        <v>0.05</v>
      </c>
      <c r="G1035">
        <v>449</v>
      </c>
      <c r="H1035" s="22">
        <f>VLOOKUP(A1035,[1]Orders!$A$2:$B$1616,2,0)</f>
        <v>42596</v>
      </c>
      <c r="J1035" t="s">
        <v>36</v>
      </c>
      <c r="K1035" t="s">
        <v>18</v>
      </c>
    </row>
    <row r="1036" spans="1:11" x14ac:dyDescent="0.3">
      <c r="A1036">
        <v>369</v>
      </c>
      <c r="B1036">
        <v>1</v>
      </c>
      <c r="C1036">
        <v>10</v>
      </c>
      <c r="D1036">
        <v>2</v>
      </c>
      <c r="E1036" s="1">
        <v>1549</v>
      </c>
      <c r="F1036" s="1">
        <v>7.0000000000000007E-2</v>
      </c>
      <c r="G1036">
        <v>3098</v>
      </c>
      <c r="H1036" s="22">
        <f>VLOOKUP(A1036,[1]Orders!$A$2:$B$1616,2,0)</f>
        <v>42597</v>
      </c>
      <c r="J1036" t="s">
        <v>13</v>
      </c>
      <c r="K1036" t="s">
        <v>11</v>
      </c>
    </row>
    <row r="1037" spans="1:11" x14ac:dyDescent="0.3">
      <c r="A1037">
        <v>370</v>
      </c>
      <c r="B1037">
        <v>1</v>
      </c>
      <c r="C1037">
        <v>25</v>
      </c>
      <c r="D1037">
        <v>2</v>
      </c>
      <c r="E1037" s="1">
        <v>499.99</v>
      </c>
      <c r="F1037" s="1">
        <v>0.05</v>
      </c>
      <c r="G1037">
        <v>999.98</v>
      </c>
      <c r="H1037" s="22">
        <f>VLOOKUP(A1037,[1]Orders!$A$2:$B$1616,2,0)</f>
        <v>42597</v>
      </c>
      <c r="J1037" t="s">
        <v>35</v>
      </c>
      <c r="K1037" t="s">
        <v>18</v>
      </c>
    </row>
    <row r="1038" spans="1:11" x14ac:dyDescent="0.3">
      <c r="A1038">
        <v>370</v>
      </c>
      <c r="B1038">
        <v>2</v>
      </c>
      <c r="C1038">
        <v>4</v>
      </c>
      <c r="D1038">
        <v>2</v>
      </c>
      <c r="E1038" s="1">
        <v>2899.99</v>
      </c>
      <c r="F1038" s="1">
        <v>0.1</v>
      </c>
      <c r="G1038">
        <v>5799.98</v>
      </c>
      <c r="H1038" s="22">
        <f>VLOOKUP(A1038,[1]Orders!$A$2:$B$1616,2,0)</f>
        <v>42597</v>
      </c>
      <c r="J1038" t="s">
        <v>16</v>
      </c>
      <c r="K1038" t="s">
        <v>18</v>
      </c>
    </row>
    <row r="1039" spans="1:11" x14ac:dyDescent="0.3">
      <c r="A1039">
        <v>371</v>
      </c>
      <c r="B1039">
        <v>1</v>
      </c>
      <c r="C1039">
        <v>14</v>
      </c>
      <c r="D1039">
        <v>1</v>
      </c>
      <c r="E1039" s="1">
        <v>269.99</v>
      </c>
      <c r="F1039" s="1">
        <v>0.2</v>
      </c>
      <c r="G1039">
        <v>269.99</v>
      </c>
      <c r="H1039" s="22">
        <f>VLOOKUP(A1039,[1]Orders!$A$2:$B$1616,2,0)</f>
        <v>42597</v>
      </c>
      <c r="J1039" t="s">
        <v>28</v>
      </c>
      <c r="K1039" t="s">
        <v>18</v>
      </c>
    </row>
    <row r="1040" spans="1:11" x14ac:dyDescent="0.3">
      <c r="A1040">
        <v>371</v>
      </c>
      <c r="B1040">
        <v>2</v>
      </c>
      <c r="C1040">
        <v>12</v>
      </c>
      <c r="D1040">
        <v>1</v>
      </c>
      <c r="E1040" s="1">
        <v>549.99</v>
      </c>
      <c r="F1040" s="1">
        <v>0.2</v>
      </c>
      <c r="G1040">
        <v>549.99</v>
      </c>
      <c r="H1040" s="22">
        <f>VLOOKUP(A1040,[1]Orders!$A$2:$B$1616,2,0)</f>
        <v>42597</v>
      </c>
      <c r="J1040" t="s">
        <v>25</v>
      </c>
      <c r="K1040" t="s">
        <v>18</v>
      </c>
    </row>
    <row r="1041" spans="1:11" x14ac:dyDescent="0.3">
      <c r="A1041">
        <v>372</v>
      </c>
      <c r="B1041">
        <v>1</v>
      </c>
      <c r="C1041">
        <v>11</v>
      </c>
      <c r="D1041">
        <v>1</v>
      </c>
      <c r="E1041" s="1">
        <v>1680.99</v>
      </c>
      <c r="F1041" s="1">
        <v>0.05</v>
      </c>
      <c r="G1041">
        <v>1680.99</v>
      </c>
      <c r="H1041" s="22">
        <f>VLOOKUP(A1041,[1]Orders!$A$2:$B$1616,2,0)</f>
        <v>42598</v>
      </c>
      <c r="J1041" t="s">
        <v>30</v>
      </c>
      <c r="K1041" t="s">
        <v>18</v>
      </c>
    </row>
    <row r="1042" spans="1:11" x14ac:dyDescent="0.3">
      <c r="A1042">
        <v>372</v>
      </c>
      <c r="B1042">
        <v>2</v>
      </c>
      <c r="C1042">
        <v>14</v>
      </c>
      <c r="D1042">
        <v>2</v>
      </c>
      <c r="E1042" s="1">
        <v>269.99</v>
      </c>
      <c r="F1042" s="1">
        <v>0.1</v>
      </c>
      <c r="G1042">
        <v>539.98</v>
      </c>
      <c r="H1042" s="22">
        <f>VLOOKUP(A1042,[1]Orders!$A$2:$B$1616,2,0)</f>
        <v>42598</v>
      </c>
      <c r="J1042" t="s">
        <v>28</v>
      </c>
      <c r="K1042" t="s">
        <v>18</v>
      </c>
    </row>
    <row r="1043" spans="1:11" x14ac:dyDescent="0.3">
      <c r="A1043">
        <v>372</v>
      </c>
      <c r="B1043">
        <v>3</v>
      </c>
      <c r="C1043">
        <v>5</v>
      </c>
      <c r="D1043">
        <v>1</v>
      </c>
      <c r="E1043" s="1">
        <v>1320.99</v>
      </c>
      <c r="F1043" s="1">
        <v>0.1</v>
      </c>
      <c r="G1043">
        <v>1320.99</v>
      </c>
      <c r="H1043" s="22">
        <f>VLOOKUP(A1043,[1]Orders!$A$2:$B$1616,2,0)</f>
        <v>42598</v>
      </c>
      <c r="J1043" t="s">
        <v>34</v>
      </c>
      <c r="K1043" t="s">
        <v>18</v>
      </c>
    </row>
    <row r="1044" spans="1:11" x14ac:dyDescent="0.3">
      <c r="A1044">
        <v>373</v>
      </c>
      <c r="B1044">
        <v>1</v>
      </c>
      <c r="C1044">
        <v>8</v>
      </c>
      <c r="D1044">
        <v>2</v>
      </c>
      <c r="E1044" s="1">
        <v>1799.99</v>
      </c>
      <c r="F1044" s="1">
        <v>0.05</v>
      </c>
      <c r="G1044">
        <v>3599.98</v>
      </c>
      <c r="H1044" s="22">
        <f>VLOOKUP(A1044,[1]Orders!$A$2:$B$1616,2,0)</f>
        <v>42598</v>
      </c>
      <c r="J1044" t="s">
        <v>12</v>
      </c>
      <c r="K1044" t="s">
        <v>18</v>
      </c>
    </row>
    <row r="1045" spans="1:11" x14ac:dyDescent="0.3">
      <c r="A1045">
        <v>373</v>
      </c>
      <c r="B1045">
        <v>2</v>
      </c>
      <c r="C1045">
        <v>22</v>
      </c>
      <c r="D1045">
        <v>1</v>
      </c>
      <c r="E1045" s="1">
        <v>269.99</v>
      </c>
      <c r="F1045" s="1">
        <v>0.1</v>
      </c>
      <c r="G1045">
        <v>269.99</v>
      </c>
      <c r="H1045" s="22">
        <f>VLOOKUP(A1045,[1]Orders!$A$2:$B$1616,2,0)</f>
        <v>42598</v>
      </c>
      <c r="J1045" t="s">
        <v>28</v>
      </c>
      <c r="K1045" t="s">
        <v>18</v>
      </c>
    </row>
    <row r="1046" spans="1:11" x14ac:dyDescent="0.3">
      <c r="A1046">
        <v>373</v>
      </c>
      <c r="B1046">
        <v>3</v>
      </c>
      <c r="C1046">
        <v>19</v>
      </c>
      <c r="D1046">
        <v>2</v>
      </c>
      <c r="E1046" s="1">
        <v>449</v>
      </c>
      <c r="F1046" s="1">
        <v>0.2</v>
      </c>
      <c r="G1046">
        <v>898</v>
      </c>
      <c r="H1046" s="22">
        <f>VLOOKUP(A1046,[1]Orders!$A$2:$B$1616,2,0)</f>
        <v>42598</v>
      </c>
      <c r="J1046" t="s">
        <v>36</v>
      </c>
      <c r="K1046" t="s">
        <v>18</v>
      </c>
    </row>
    <row r="1047" spans="1:11" x14ac:dyDescent="0.3">
      <c r="A1047">
        <v>373</v>
      </c>
      <c r="B1047">
        <v>4</v>
      </c>
      <c r="C1047">
        <v>12</v>
      </c>
      <c r="D1047">
        <v>1</v>
      </c>
      <c r="E1047" s="1">
        <v>549.99</v>
      </c>
      <c r="F1047" s="1">
        <v>0.1</v>
      </c>
      <c r="G1047">
        <v>549.99</v>
      </c>
      <c r="H1047" s="22">
        <f>VLOOKUP(A1047,[1]Orders!$A$2:$B$1616,2,0)</f>
        <v>42598</v>
      </c>
      <c r="J1047" t="s">
        <v>25</v>
      </c>
      <c r="K1047" t="s">
        <v>18</v>
      </c>
    </row>
    <row r="1048" spans="1:11" x14ac:dyDescent="0.3">
      <c r="A1048">
        <v>373</v>
      </c>
      <c r="B1048">
        <v>5</v>
      </c>
      <c r="C1048">
        <v>13</v>
      </c>
      <c r="D1048">
        <v>1</v>
      </c>
      <c r="E1048" s="1">
        <v>269.99</v>
      </c>
      <c r="F1048" s="1">
        <v>0.1</v>
      </c>
      <c r="G1048">
        <v>269.99</v>
      </c>
      <c r="H1048" s="22">
        <f>VLOOKUP(A1048,[1]Orders!$A$2:$B$1616,2,0)</f>
        <v>42598</v>
      </c>
      <c r="J1048" t="s">
        <v>31</v>
      </c>
      <c r="K1048" t="s">
        <v>18</v>
      </c>
    </row>
    <row r="1049" spans="1:11" x14ac:dyDescent="0.3">
      <c r="A1049">
        <v>374</v>
      </c>
      <c r="B1049">
        <v>1</v>
      </c>
      <c r="C1049">
        <v>10</v>
      </c>
      <c r="D1049">
        <v>1</v>
      </c>
      <c r="E1049" s="1">
        <v>1549</v>
      </c>
      <c r="F1049" s="1">
        <v>0.1</v>
      </c>
      <c r="G1049">
        <v>1549</v>
      </c>
      <c r="H1049" s="22">
        <f>VLOOKUP(A1049,[1]Orders!$A$2:$B$1616,2,0)</f>
        <v>42599</v>
      </c>
      <c r="J1049" t="s">
        <v>13</v>
      </c>
      <c r="K1049" t="s">
        <v>11</v>
      </c>
    </row>
    <row r="1050" spans="1:11" x14ac:dyDescent="0.3">
      <c r="A1050">
        <v>374</v>
      </c>
      <c r="B1050">
        <v>2</v>
      </c>
      <c r="C1050">
        <v>7</v>
      </c>
      <c r="D1050">
        <v>1</v>
      </c>
      <c r="E1050" s="1">
        <v>3999.99</v>
      </c>
      <c r="F1050" s="1">
        <v>7.0000000000000007E-2</v>
      </c>
      <c r="G1050">
        <v>3999.99</v>
      </c>
      <c r="H1050" s="22">
        <f>VLOOKUP(A1050,[1]Orders!$A$2:$B$1616,2,0)</f>
        <v>42599</v>
      </c>
      <c r="J1050" t="s">
        <v>29</v>
      </c>
      <c r="K1050" t="s">
        <v>11</v>
      </c>
    </row>
    <row r="1051" spans="1:11" x14ac:dyDescent="0.3">
      <c r="A1051">
        <v>375</v>
      </c>
      <c r="B1051">
        <v>1</v>
      </c>
      <c r="C1051">
        <v>21</v>
      </c>
      <c r="D1051">
        <v>2</v>
      </c>
      <c r="E1051" s="1">
        <v>269.99</v>
      </c>
      <c r="F1051" s="1">
        <v>0.05</v>
      </c>
      <c r="G1051">
        <v>539.98</v>
      </c>
      <c r="H1051" s="22">
        <f>VLOOKUP(A1051,[1]Orders!$A$2:$B$1616,2,0)</f>
        <v>42599</v>
      </c>
      <c r="J1051" t="s">
        <v>31</v>
      </c>
      <c r="K1051" t="s">
        <v>18</v>
      </c>
    </row>
    <row r="1052" spans="1:11" x14ac:dyDescent="0.3">
      <c r="A1052">
        <v>375</v>
      </c>
      <c r="B1052">
        <v>2</v>
      </c>
      <c r="C1052">
        <v>2</v>
      </c>
      <c r="D1052">
        <v>2</v>
      </c>
      <c r="E1052" s="1">
        <v>749.99</v>
      </c>
      <c r="F1052" s="1">
        <v>0.05</v>
      </c>
      <c r="G1052">
        <v>1499.98</v>
      </c>
      <c r="H1052" s="22">
        <f>VLOOKUP(A1052,[1]Orders!$A$2:$B$1616,2,0)</f>
        <v>42599</v>
      </c>
      <c r="J1052" t="s">
        <v>22</v>
      </c>
      <c r="K1052" t="s">
        <v>18</v>
      </c>
    </row>
    <row r="1053" spans="1:11" x14ac:dyDescent="0.3">
      <c r="A1053">
        <v>375</v>
      </c>
      <c r="B1053">
        <v>3</v>
      </c>
      <c r="C1053">
        <v>4</v>
      </c>
      <c r="D1053">
        <v>2</v>
      </c>
      <c r="E1053" s="1">
        <v>2899.99</v>
      </c>
      <c r="F1053" s="1">
        <v>7.0000000000000007E-2</v>
      </c>
      <c r="G1053">
        <v>5799.98</v>
      </c>
      <c r="H1053" s="22">
        <f>VLOOKUP(A1053,[1]Orders!$A$2:$B$1616,2,0)</f>
        <v>42599</v>
      </c>
      <c r="J1053" t="s">
        <v>16</v>
      </c>
      <c r="K1053" t="s">
        <v>18</v>
      </c>
    </row>
    <row r="1054" spans="1:11" x14ac:dyDescent="0.3">
      <c r="A1054">
        <v>375</v>
      </c>
      <c r="B1054">
        <v>4</v>
      </c>
      <c r="C1054">
        <v>12</v>
      </c>
      <c r="D1054">
        <v>2</v>
      </c>
      <c r="E1054" s="1">
        <v>549.99</v>
      </c>
      <c r="F1054" s="1">
        <v>0.05</v>
      </c>
      <c r="G1054">
        <v>1099.98</v>
      </c>
      <c r="H1054" s="22">
        <f>VLOOKUP(A1054,[1]Orders!$A$2:$B$1616,2,0)</f>
        <v>42599</v>
      </c>
      <c r="J1054" t="s">
        <v>25</v>
      </c>
      <c r="K1054" t="s">
        <v>18</v>
      </c>
    </row>
    <row r="1055" spans="1:11" x14ac:dyDescent="0.3">
      <c r="A1055">
        <v>376</v>
      </c>
      <c r="B1055">
        <v>1</v>
      </c>
      <c r="C1055">
        <v>2</v>
      </c>
      <c r="D1055">
        <v>2</v>
      </c>
      <c r="E1055" s="1">
        <v>749.99</v>
      </c>
      <c r="F1055" s="1">
        <v>7.0000000000000007E-2</v>
      </c>
      <c r="G1055">
        <v>1499.98</v>
      </c>
      <c r="H1055" s="22">
        <f>VLOOKUP(A1055,[1]Orders!$A$2:$B$1616,2,0)</f>
        <v>42599</v>
      </c>
      <c r="J1055" t="s">
        <v>22</v>
      </c>
      <c r="K1055" t="s">
        <v>18</v>
      </c>
    </row>
    <row r="1056" spans="1:11" x14ac:dyDescent="0.3">
      <c r="A1056">
        <v>376</v>
      </c>
      <c r="B1056">
        <v>2</v>
      </c>
      <c r="C1056">
        <v>23</v>
      </c>
      <c r="D1056">
        <v>2</v>
      </c>
      <c r="E1056" s="1">
        <v>299.99</v>
      </c>
      <c r="F1056" s="1">
        <v>0.1</v>
      </c>
      <c r="G1056">
        <v>599.98</v>
      </c>
      <c r="H1056" s="22">
        <f>VLOOKUP(A1056,[1]Orders!$A$2:$B$1616,2,0)</f>
        <v>42599</v>
      </c>
      <c r="J1056" t="s">
        <v>33</v>
      </c>
      <c r="K1056" t="s">
        <v>18</v>
      </c>
    </row>
    <row r="1057" spans="1:11" x14ac:dyDescent="0.3">
      <c r="A1057">
        <v>377</v>
      </c>
      <c r="B1057">
        <v>1</v>
      </c>
      <c r="C1057">
        <v>8</v>
      </c>
      <c r="D1057">
        <v>1</v>
      </c>
      <c r="E1057" s="1">
        <v>1799.99</v>
      </c>
      <c r="F1057" s="1">
        <v>0.05</v>
      </c>
      <c r="G1057">
        <v>1799.99</v>
      </c>
      <c r="H1057" s="22">
        <f>VLOOKUP(A1057,[1]Orders!$A$2:$B$1616,2,0)</f>
        <v>42599</v>
      </c>
      <c r="J1057" t="s">
        <v>12</v>
      </c>
      <c r="K1057" t="s">
        <v>18</v>
      </c>
    </row>
    <row r="1058" spans="1:11" x14ac:dyDescent="0.3">
      <c r="A1058">
        <v>377</v>
      </c>
      <c r="B1058">
        <v>2</v>
      </c>
      <c r="C1058">
        <v>14</v>
      </c>
      <c r="D1058">
        <v>1</v>
      </c>
      <c r="E1058" s="1">
        <v>269.99</v>
      </c>
      <c r="F1058" s="1">
        <v>7.0000000000000007E-2</v>
      </c>
      <c r="G1058">
        <v>269.99</v>
      </c>
      <c r="H1058" s="22">
        <f>VLOOKUP(A1058,[1]Orders!$A$2:$B$1616,2,0)</f>
        <v>42599</v>
      </c>
      <c r="J1058" t="s">
        <v>28</v>
      </c>
      <c r="K1058" t="s">
        <v>18</v>
      </c>
    </row>
    <row r="1059" spans="1:11" x14ac:dyDescent="0.3">
      <c r="A1059">
        <v>378</v>
      </c>
      <c r="B1059">
        <v>1</v>
      </c>
      <c r="C1059">
        <v>26</v>
      </c>
      <c r="D1059">
        <v>2</v>
      </c>
      <c r="E1059" s="1">
        <v>599.99</v>
      </c>
      <c r="F1059" s="1">
        <v>0.05</v>
      </c>
      <c r="G1059">
        <v>1199.98</v>
      </c>
      <c r="H1059" s="22">
        <f>VLOOKUP(A1059,[1]Orders!$A$2:$B$1616,2,0)</f>
        <v>42599</v>
      </c>
      <c r="J1059" t="s">
        <v>14</v>
      </c>
      <c r="K1059" t="s">
        <v>37</v>
      </c>
    </row>
    <row r="1060" spans="1:11" x14ac:dyDescent="0.3">
      <c r="A1060">
        <v>379</v>
      </c>
      <c r="B1060">
        <v>1</v>
      </c>
      <c r="C1060">
        <v>9</v>
      </c>
      <c r="D1060">
        <v>1</v>
      </c>
      <c r="E1060" s="1">
        <v>2999.99</v>
      </c>
      <c r="F1060" s="1">
        <v>7.0000000000000007E-2</v>
      </c>
      <c r="G1060">
        <v>2999.99</v>
      </c>
      <c r="H1060" s="22">
        <f>VLOOKUP(A1060,[1]Orders!$A$2:$B$1616,2,0)</f>
        <v>42600</v>
      </c>
      <c r="J1060" t="s">
        <v>26</v>
      </c>
      <c r="K1060" t="s">
        <v>18</v>
      </c>
    </row>
    <row r="1061" spans="1:11" x14ac:dyDescent="0.3">
      <c r="A1061">
        <v>379</v>
      </c>
      <c r="B1061">
        <v>2</v>
      </c>
      <c r="C1061">
        <v>16</v>
      </c>
      <c r="D1061">
        <v>1</v>
      </c>
      <c r="E1061" s="1">
        <v>599.99</v>
      </c>
      <c r="F1061" s="1">
        <v>0.2</v>
      </c>
      <c r="G1061">
        <v>599.99</v>
      </c>
      <c r="H1061" s="22">
        <f>VLOOKUP(A1061,[1]Orders!$A$2:$B$1616,2,0)</f>
        <v>42600</v>
      </c>
      <c r="J1061" t="s">
        <v>14</v>
      </c>
      <c r="K1061" t="s">
        <v>18</v>
      </c>
    </row>
    <row r="1062" spans="1:11" x14ac:dyDescent="0.3">
      <c r="A1062">
        <v>380</v>
      </c>
      <c r="B1062">
        <v>1</v>
      </c>
      <c r="C1062">
        <v>16</v>
      </c>
      <c r="D1062">
        <v>1</v>
      </c>
      <c r="E1062" s="1">
        <v>599.99</v>
      </c>
      <c r="F1062" s="1">
        <v>0.05</v>
      </c>
      <c r="G1062">
        <v>599.99</v>
      </c>
      <c r="H1062" s="22">
        <f>VLOOKUP(A1062,[1]Orders!$A$2:$B$1616,2,0)</f>
        <v>42601</v>
      </c>
      <c r="J1062" t="s">
        <v>14</v>
      </c>
      <c r="K1062" t="s">
        <v>18</v>
      </c>
    </row>
    <row r="1063" spans="1:11" x14ac:dyDescent="0.3">
      <c r="A1063">
        <v>380</v>
      </c>
      <c r="B1063">
        <v>2</v>
      </c>
      <c r="C1063">
        <v>11</v>
      </c>
      <c r="D1063">
        <v>2</v>
      </c>
      <c r="E1063" s="1">
        <v>1680.99</v>
      </c>
      <c r="F1063" s="1">
        <v>0.05</v>
      </c>
      <c r="G1063">
        <v>3361.98</v>
      </c>
      <c r="H1063" s="22">
        <f>VLOOKUP(A1063,[1]Orders!$A$2:$B$1616,2,0)</f>
        <v>42601</v>
      </c>
      <c r="J1063" t="s">
        <v>30</v>
      </c>
      <c r="K1063" t="s">
        <v>18</v>
      </c>
    </row>
    <row r="1064" spans="1:11" x14ac:dyDescent="0.3">
      <c r="A1064">
        <v>381</v>
      </c>
      <c r="B1064">
        <v>1</v>
      </c>
      <c r="C1064">
        <v>21</v>
      </c>
      <c r="D1064">
        <v>2</v>
      </c>
      <c r="E1064" s="1">
        <v>269.99</v>
      </c>
      <c r="F1064" s="1">
        <v>7.0000000000000007E-2</v>
      </c>
      <c r="G1064">
        <v>539.98</v>
      </c>
      <c r="H1064" s="22">
        <f>VLOOKUP(A1064,[1]Orders!$A$2:$B$1616,2,0)</f>
        <v>42601</v>
      </c>
      <c r="J1064" t="s">
        <v>31</v>
      </c>
      <c r="K1064" t="s">
        <v>18</v>
      </c>
    </row>
    <row r="1065" spans="1:11" x14ac:dyDescent="0.3">
      <c r="A1065">
        <v>382</v>
      </c>
      <c r="B1065">
        <v>1</v>
      </c>
      <c r="C1065">
        <v>8</v>
      </c>
      <c r="D1065">
        <v>1</v>
      </c>
      <c r="E1065" s="1">
        <v>1799.99</v>
      </c>
      <c r="F1065" s="1">
        <v>0.1</v>
      </c>
      <c r="G1065">
        <v>1799.99</v>
      </c>
      <c r="H1065" s="22">
        <f>VLOOKUP(A1065,[1]Orders!$A$2:$B$1616,2,0)</f>
        <v>42602</v>
      </c>
      <c r="J1065" t="s">
        <v>12</v>
      </c>
      <c r="K1065" t="s">
        <v>18</v>
      </c>
    </row>
    <row r="1066" spans="1:11" x14ac:dyDescent="0.3">
      <c r="A1066">
        <v>382</v>
      </c>
      <c r="B1066">
        <v>2</v>
      </c>
      <c r="C1066">
        <v>9</v>
      </c>
      <c r="D1066">
        <v>1</v>
      </c>
      <c r="E1066" s="1">
        <v>2999.99</v>
      </c>
      <c r="F1066" s="1">
        <v>0.1</v>
      </c>
      <c r="G1066">
        <v>2999.99</v>
      </c>
      <c r="H1066" s="22">
        <f>VLOOKUP(A1066,[1]Orders!$A$2:$B$1616,2,0)</f>
        <v>42602</v>
      </c>
      <c r="J1066" t="s">
        <v>26</v>
      </c>
      <c r="K1066" t="s">
        <v>18</v>
      </c>
    </row>
    <row r="1067" spans="1:11" x14ac:dyDescent="0.3">
      <c r="A1067">
        <v>382</v>
      </c>
      <c r="B1067">
        <v>3</v>
      </c>
      <c r="C1067">
        <v>13</v>
      </c>
      <c r="D1067">
        <v>1</v>
      </c>
      <c r="E1067" s="1">
        <v>269.99</v>
      </c>
      <c r="F1067" s="1">
        <v>7.0000000000000007E-2</v>
      </c>
      <c r="G1067">
        <v>269.99</v>
      </c>
      <c r="H1067" s="22">
        <f>VLOOKUP(A1067,[1]Orders!$A$2:$B$1616,2,0)</f>
        <v>42602</v>
      </c>
      <c r="J1067" t="s">
        <v>31</v>
      </c>
      <c r="K1067" t="s">
        <v>18</v>
      </c>
    </row>
    <row r="1068" spans="1:11" x14ac:dyDescent="0.3">
      <c r="A1068">
        <v>383</v>
      </c>
      <c r="B1068">
        <v>1</v>
      </c>
      <c r="C1068">
        <v>19</v>
      </c>
      <c r="D1068">
        <v>1</v>
      </c>
      <c r="E1068" s="1">
        <v>449</v>
      </c>
      <c r="F1068" s="1">
        <v>7.0000000000000007E-2</v>
      </c>
      <c r="G1068">
        <v>449</v>
      </c>
      <c r="H1068" s="22">
        <f>VLOOKUP(A1068,[1]Orders!$A$2:$B$1616,2,0)</f>
        <v>42602</v>
      </c>
      <c r="J1068" t="s">
        <v>36</v>
      </c>
      <c r="K1068" t="s">
        <v>18</v>
      </c>
    </row>
    <row r="1069" spans="1:11" x14ac:dyDescent="0.3">
      <c r="A1069">
        <v>383</v>
      </c>
      <c r="B1069">
        <v>2</v>
      </c>
      <c r="C1069">
        <v>22</v>
      </c>
      <c r="D1069">
        <v>2</v>
      </c>
      <c r="E1069" s="1">
        <v>269.99</v>
      </c>
      <c r="F1069" s="1">
        <v>0.05</v>
      </c>
      <c r="G1069">
        <v>539.98</v>
      </c>
      <c r="H1069" s="22">
        <f>VLOOKUP(A1069,[1]Orders!$A$2:$B$1616,2,0)</f>
        <v>42602</v>
      </c>
      <c r="J1069" t="s">
        <v>28</v>
      </c>
      <c r="K1069" t="s">
        <v>18</v>
      </c>
    </row>
    <row r="1070" spans="1:11" x14ac:dyDescent="0.3">
      <c r="A1070">
        <v>383</v>
      </c>
      <c r="B1070">
        <v>3</v>
      </c>
      <c r="C1070">
        <v>13</v>
      </c>
      <c r="D1070">
        <v>1</v>
      </c>
      <c r="E1070" s="1">
        <v>269.99</v>
      </c>
      <c r="F1070" s="1">
        <v>0.1</v>
      </c>
      <c r="G1070">
        <v>269.99</v>
      </c>
      <c r="H1070" s="22">
        <f>VLOOKUP(A1070,[1]Orders!$A$2:$B$1616,2,0)</f>
        <v>42602</v>
      </c>
      <c r="J1070" t="s">
        <v>31</v>
      </c>
      <c r="K1070" t="s">
        <v>18</v>
      </c>
    </row>
    <row r="1071" spans="1:11" x14ac:dyDescent="0.3">
      <c r="A1071">
        <v>383</v>
      </c>
      <c r="B1071">
        <v>4</v>
      </c>
      <c r="C1071">
        <v>21</v>
      </c>
      <c r="D1071">
        <v>2</v>
      </c>
      <c r="E1071" s="1">
        <v>269.99</v>
      </c>
      <c r="F1071" s="1">
        <v>0.05</v>
      </c>
      <c r="G1071">
        <v>539.98</v>
      </c>
      <c r="H1071" s="22">
        <f>VLOOKUP(A1071,[1]Orders!$A$2:$B$1616,2,0)</f>
        <v>42602</v>
      </c>
      <c r="J1071" t="s">
        <v>31</v>
      </c>
      <c r="K1071" t="s">
        <v>18</v>
      </c>
    </row>
    <row r="1072" spans="1:11" x14ac:dyDescent="0.3">
      <c r="A1072">
        <v>383</v>
      </c>
      <c r="B1072">
        <v>5</v>
      </c>
      <c r="C1072">
        <v>14</v>
      </c>
      <c r="D1072">
        <v>1</v>
      </c>
      <c r="E1072" s="1">
        <v>269.99</v>
      </c>
      <c r="F1072" s="1">
        <v>0.1</v>
      </c>
      <c r="G1072">
        <v>269.99</v>
      </c>
      <c r="H1072" s="22">
        <f>VLOOKUP(A1072,[1]Orders!$A$2:$B$1616,2,0)</f>
        <v>42602</v>
      </c>
      <c r="J1072" t="s">
        <v>28</v>
      </c>
      <c r="K1072" t="s">
        <v>18</v>
      </c>
    </row>
    <row r="1073" spans="1:11" x14ac:dyDescent="0.3">
      <c r="A1073">
        <v>384</v>
      </c>
      <c r="B1073">
        <v>1</v>
      </c>
      <c r="C1073">
        <v>20</v>
      </c>
      <c r="D1073">
        <v>1</v>
      </c>
      <c r="E1073" s="1">
        <v>599.99</v>
      </c>
      <c r="F1073" s="1">
        <v>0.1</v>
      </c>
      <c r="G1073">
        <v>599.99</v>
      </c>
      <c r="H1073" s="22">
        <f>VLOOKUP(A1073,[1]Orders!$A$2:$B$1616,2,0)</f>
        <v>42602</v>
      </c>
      <c r="J1073" t="s">
        <v>10</v>
      </c>
      <c r="K1073" t="s">
        <v>18</v>
      </c>
    </row>
    <row r="1074" spans="1:11" x14ac:dyDescent="0.3">
      <c r="A1074">
        <v>384</v>
      </c>
      <c r="B1074">
        <v>2</v>
      </c>
      <c r="C1074">
        <v>21</v>
      </c>
      <c r="D1074">
        <v>2</v>
      </c>
      <c r="E1074" s="1">
        <v>269.99</v>
      </c>
      <c r="F1074" s="1">
        <v>0.2</v>
      </c>
      <c r="G1074">
        <v>539.98</v>
      </c>
      <c r="H1074" s="22">
        <f>VLOOKUP(A1074,[1]Orders!$A$2:$B$1616,2,0)</f>
        <v>42602</v>
      </c>
      <c r="J1074" t="s">
        <v>31</v>
      </c>
      <c r="K1074" t="s">
        <v>18</v>
      </c>
    </row>
    <row r="1075" spans="1:11" x14ac:dyDescent="0.3">
      <c r="A1075">
        <v>384</v>
      </c>
      <c r="B1075">
        <v>3</v>
      </c>
      <c r="C1075">
        <v>8</v>
      </c>
      <c r="D1075">
        <v>1</v>
      </c>
      <c r="E1075" s="1">
        <v>1799.99</v>
      </c>
      <c r="F1075" s="1">
        <v>0.05</v>
      </c>
      <c r="G1075">
        <v>1799.99</v>
      </c>
      <c r="H1075" s="22">
        <f>VLOOKUP(A1075,[1]Orders!$A$2:$B$1616,2,0)</f>
        <v>42602</v>
      </c>
      <c r="J1075" t="s">
        <v>12</v>
      </c>
      <c r="K1075" t="s">
        <v>18</v>
      </c>
    </row>
    <row r="1076" spans="1:11" x14ac:dyDescent="0.3">
      <c r="A1076">
        <v>384</v>
      </c>
      <c r="B1076">
        <v>4</v>
      </c>
      <c r="C1076">
        <v>15</v>
      </c>
      <c r="D1076">
        <v>1</v>
      </c>
      <c r="E1076" s="1">
        <v>529.99</v>
      </c>
      <c r="F1076" s="1">
        <v>0.1</v>
      </c>
      <c r="G1076">
        <v>529.99</v>
      </c>
      <c r="H1076" s="22">
        <f>VLOOKUP(A1076,[1]Orders!$A$2:$B$1616,2,0)</f>
        <v>42602</v>
      </c>
      <c r="J1076" t="s">
        <v>27</v>
      </c>
      <c r="K1076" t="s">
        <v>18</v>
      </c>
    </row>
    <row r="1077" spans="1:11" x14ac:dyDescent="0.3">
      <c r="A1077">
        <v>384</v>
      </c>
      <c r="B1077">
        <v>5</v>
      </c>
      <c r="C1077">
        <v>4</v>
      </c>
      <c r="D1077">
        <v>1</v>
      </c>
      <c r="E1077" s="1">
        <v>2899.99</v>
      </c>
      <c r="F1077" s="1">
        <v>0.2</v>
      </c>
      <c r="G1077">
        <v>2899.99</v>
      </c>
      <c r="H1077" s="22">
        <f>VLOOKUP(A1077,[1]Orders!$A$2:$B$1616,2,0)</f>
        <v>42602</v>
      </c>
      <c r="J1077" t="s">
        <v>16</v>
      </c>
      <c r="K1077" t="s">
        <v>18</v>
      </c>
    </row>
    <row r="1078" spans="1:11" x14ac:dyDescent="0.3">
      <c r="A1078">
        <v>385</v>
      </c>
      <c r="B1078">
        <v>1</v>
      </c>
      <c r="C1078">
        <v>21</v>
      </c>
      <c r="D1078">
        <v>1</v>
      </c>
      <c r="E1078" s="1">
        <v>269.99</v>
      </c>
      <c r="F1078" s="1">
        <v>7.0000000000000007E-2</v>
      </c>
      <c r="G1078">
        <v>269.99</v>
      </c>
      <c r="H1078" s="22">
        <f>VLOOKUP(A1078,[1]Orders!$A$2:$B$1616,2,0)</f>
        <v>42602</v>
      </c>
      <c r="J1078" t="s">
        <v>31</v>
      </c>
      <c r="K1078" t="s">
        <v>18</v>
      </c>
    </row>
    <row r="1079" spans="1:11" x14ac:dyDescent="0.3">
      <c r="A1079">
        <v>385</v>
      </c>
      <c r="B1079">
        <v>2</v>
      </c>
      <c r="C1079">
        <v>7</v>
      </c>
      <c r="D1079">
        <v>2</v>
      </c>
      <c r="E1079" s="1">
        <v>3999.99</v>
      </c>
      <c r="F1079" s="1">
        <v>0.2</v>
      </c>
      <c r="G1079">
        <v>7999.98</v>
      </c>
      <c r="H1079" s="22">
        <f>VLOOKUP(A1079,[1]Orders!$A$2:$B$1616,2,0)</f>
        <v>42602</v>
      </c>
      <c r="J1079" t="s">
        <v>29</v>
      </c>
      <c r="K1079" t="s">
        <v>18</v>
      </c>
    </row>
    <row r="1080" spans="1:11" x14ac:dyDescent="0.3">
      <c r="A1080">
        <v>385</v>
      </c>
      <c r="B1080">
        <v>3</v>
      </c>
      <c r="C1080">
        <v>26</v>
      </c>
      <c r="D1080">
        <v>2</v>
      </c>
      <c r="E1080" s="1">
        <v>599.99</v>
      </c>
      <c r="F1080" s="1">
        <v>0.05</v>
      </c>
      <c r="G1080">
        <v>1199.98</v>
      </c>
      <c r="H1080" s="22">
        <f>VLOOKUP(A1080,[1]Orders!$A$2:$B$1616,2,0)</f>
        <v>42602</v>
      </c>
      <c r="J1080" t="s">
        <v>14</v>
      </c>
      <c r="K1080" t="s">
        <v>18</v>
      </c>
    </row>
    <row r="1081" spans="1:11" x14ac:dyDescent="0.3">
      <c r="A1081">
        <v>386</v>
      </c>
      <c r="B1081">
        <v>1</v>
      </c>
      <c r="C1081">
        <v>8</v>
      </c>
      <c r="D1081">
        <v>1</v>
      </c>
      <c r="E1081" s="1">
        <v>1799.99</v>
      </c>
      <c r="F1081" s="1">
        <v>0.2</v>
      </c>
      <c r="G1081">
        <v>1799.99</v>
      </c>
      <c r="H1081" s="22">
        <f>VLOOKUP(A1081,[1]Orders!$A$2:$B$1616,2,0)</f>
        <v>42602</v>
      </c>
      <c r="J1081" t="s">
        <v>12</v>
      </c>
      <c r="K1081" t="s">
        <v>18</v>
      </c>
    </row>
    <row r="1082" spans="1:11" x14ac:dyDescent="0.3">
      <c r="A1082">
        <v>386</v>
      </c>
      <c r="B1082">
        <v>2</v>
      </c>
      <c r="C1082">
        <v>3</v>
      </c>
      <c r="D1082">
        <v>2</v>
      </c>
      <c r="E1082" s="1">
        <v>999.99</v>
      </c>
      <c r="F1082" s="1">
        <v>0.05</v>
      </c>
      <c r="G1082">
        <v>1999.98</v>
      </c>
      <c r="H1082" s="22">
        <f>VLOOKUP(A1082,[1]Orders!$A$2:$B$1616,2,0)</f>
        <v>42602</v>
      </c>
      <c r="J1082" t="s">
        <v>20</v>
      </c>
      <c r="K1082" t="s">
        <v>18</v>
      </c>
    </row>
    <row r="1083" spans="1:11" x14ac:dyDescent="0.3">
      <c r="A1083">
        <v>386</v>
      </c>
      <c r="B1083">
        <v>3</v>
      </c>
      <c r="C1083">
        <v>16</v>
      </c>
      <c r="D1083">
        <v>2</v>
      </c>
      <c r="E1083" s="1">
        <v>599.99</v>
      </c>
      <c r="F1083" s="1">
        <v>0.2</v>
      </c>
      <c r="G1083">
        <v>1199.98</v>
      </c>
      <c r="H1083" s="22">
        <f>VLOOKUP(A1083,[1]Orders!$A$2:$B$1616,2,0)</f>
        <v>42602</v>
      </c>
      <c r="J1083" t="s">
        <v>14</v>
      </c>
      <c r="K1083" t="s">
        <v>18</v>
      </c>
    </row>
    <row r="1084" spans="1:11" x14ac:dyDescent="0.3">
      <c r="A1084">
        <v>387</v>
      </c>
      <c r="B1084">
        <v>1</v>
      </c>
      <c r="C1084">
        <v>18</v>
      </c>
      <c r="D1084">
        <v>1</v>
      </c>
      <c r="E1084" s="1">
        <v>449</v>
      </c>
      <c r="F1084" s="1">
        <v>0.2</v>
      </c>
      <c r="G1084">
        <v>449</v>
      </c>
      <c r="H1084" s="22">
        <f>VLOOKUP(A1084,[1]Orders!$A$2:$B$1616,2,0)</f>
        <v>42602</v>
      </c>
      <c r="J1084" t="s">
        <v>24</v>
      </c>
      <c r="K1084" t="s">
        <v>37</v>
      </c>
    </row>
    <row r="1085" spans="1:11" x14ac:dyDescent="0.3">
      <c r="A1085">
        <v>388</v>
      </c>
      <c r="B1085">
        <v>1</v>
      </c>
      <c r="C1085">
        <v>19</v>
      </c>
      <c r="D1085">
        <v>2</v>
      </c>
      <c r="E1085" s="1">
        <v>449</v>
      </c>
      <c r="F1085" s="1">
        <v>0.2</v>
      </c>
      <c r="G1085">
        <v>898</v>
      </c>
      <c r="H1085" s="22">
        <f>VLOOKUP(A1085,[1]Orders!$A$2:$B$1616,2,0)</f>
        <v>42603</v>
      </c>
      <c r="J1085" t="s">
        <v>36</v>
      </c>
      <c r="K1085" t="s">
        <v>37</v>
      </c>
    </row>
    <row r="1086" spans="1:11" x14ac:dyDescent="0.3">
      <c r="A1086">
        <v>388</v>
      </c>
      <c r="B1086">
        <v>2</v>
      </c>
      <c r="C1086">
        <v>13</v>
      </c>
      <c r="D1086">
        <v>2</v>
      </c>
      <c r="E1086" s="1">
        <v>269.99</v>
      </c>
      <c r="F1086" s="1">
        <v>7.0000000000000007E-2</v>
      </c>
      <c r="G1086">
        <v>539.98</v>
      </c>
      <c r="H1086" s="22">
        <f>VLOOKUP(A1086,[1]Orders!$A$2:$B$1616,2,0)</f>
        <v>42603</v>
      </c>
      <c r="J1086" t="s">
        <v>31</v>
      </c>
      <c r="K1086" t="s">
        <v>37</v>
      </c>
    </row>
    <row r="1087" spans="1:11" x14ac:dyDescent="0.3">
      <c r="A1087">
        <v>388</v>
      </c>
      <c r="B1087">
        <v>3</v>
      </c>
      <c r="C1087">
        <v>2</v>
      </c>
      <c r="D1087">
        <v>1</v>
      </c>
      <c r="E1087" s="1">
        <v>749.99</v>
      </c>
      <c r="F1087" s="1">
        <v>7.0000000000000007E-2</v>
      </c>
      <c r="G1087">
        <v>749.99</v>
      </c>
      <c r="H1087" s="22">
        <f>VLOOKUP(A1087,[1]Orders!$A$2:$B$1616,2,0)</f>
        <v>42603</v>
      </c>
      <c r="J1087" t="s">
        <v>22</v>
      </c>
      <c r="K1087" t="s">
        <v>37</v>
      </c>
    </row>
    <row r="1088" spans="1:11" x14ac:dyDescent="0.3">
      <c r="A1088">
        <v>388</v>
      </c>
      <c r="B1088">
        <v>4</v>
      </c>
      <c r="C1088">
        <v>11</v>
      </c>
      <c r="D1088">
        <v>1</v>
      </c>
      <c r="E1088" s="1">
        <v>1680.99</v>
      </c>
      <c r="F1088" s="1">
        <v>0.1</v>
      </c>
      <c r="G1088">
        <v>1680.99</v>
      </c>
      <c r="H1088" s="22">
        <f>VLOOKUP(A1088,[1]Orders!$A$2:$B$1616,2,0)</f>
        <v>42603</v>
      </c>
      <c r="J1088" t="s">
        <v>30</v>
      </c>
      <c r="K1088" t="s">
        <v>37</v>
      </c>
    </row>
    <row r="1089" spans="1:11" x14ac:dyDescent="0.3">
      <c r="A1089">
        <v>389</v>
      </c>
      <c r="B1089">
        <v>1</v>
      </c>
      <c r="C1089">
        <v>2</v>
      </c>
      <c r="D1089">
        <v>1</v>
      </c>
      <c r="E1089" s="1">
        <v>749.99</v>
      </c>
      <c r="F1089" s="1">
        <v>7.0000000000000007E-2</v>
      </c>
      <c r="G1089">
        <v>749.99</v>
      </c>
      <c r="H1089" s="22">
        <f>VLOOKUP(A1089,[1]Orders!$A$2:$B$1616,2,0)</f>
        <v>42604</v>
      </c>
      <c r="J1089" t="s">
        <v>22</v>
      </c>
      <c r="K1089" t="s">
        <v>11</v>
      </c>
    </row>
    <row r="1090" spans="1:11" x14ac:dyDescent="0.3">
      <c r="A1090">
        <v>389</v>
      </c>
      <c r="B1090">
        <v>2</v>
      </c>
      <c r="C1090">
        <v>15</v>
      </c>
      <c r="D1090">
        <v>2</v>
      </c>
      <c r="E1090" s="1">
        <v>529.99</v>
      </c>
      <c r="F1090" s="1">
        <v>7.0000000000000007E-2</v>
      </c>
      <c r="G1090">
        <v>1059.98</v>
      </c>
      <c r="H1090" s="22">
        <f>VLOOKUP(A1090,[1]Orders!$A$2:$B$1616,2,0)</f>
        <v>42604</v>
      </c>
      <c r="J1090" t="s">
        <v>27</v>
      </c>
      <c r="K1090" t="s">
        <v>11</v>
      </c>
    </row>
    <row r="1091" spans="1:11" x14ac:dyDescent="0.3">
      <c r="A1091">
        <v>389</v>
      </c>
      <c r="B1091">
        <v>3</v>
      </c>
      <c r="C1091">
        <v>10</v>
      </c>
      <c r="D1091">
        <v>2</v>
      </c>
      <c r="E1091" s="1">
        <v>1549</v>
      </c>
      <c r="F1091" s="1">
        <v>0.05</v>
      </c>
      <c r="G1091">
        <v>3098</v>
      </c>
      <c r="H1091" s="22">
        <f>VLOOKUP(A1091,[1]Orders!$A$2:$B$1616,2,0)</f>
        <v>42604</v>
      </c>
      <c r="J1091" t="s">
        <v>13</v>
      </c>
      <c r="K1091" t="s">
        <v>11</v>
      </c>
    </row>
    <row r="1092" spans="1:11" x14ac:dyDescent="0.3">
      <c r="A1092">
        <v>389</v>
      </c>
      <c r="B1092">
        <v>4</v>
      </c>
      <c r="C1092">
        <v>5</v>
      </c>
      <c r="D1092">
        <v>1</v>
      </c>
      <c r="E1092" s="1">
        <v>1320.99</v>
      </c>
      <c r="F1092" s="1">
        <v>0.05</v>
      </c>
      <c r="G1092">
        <v>1320.99</v>
      </c>
      <c r="H1092" s="22">
        <f>VLOOKUP(A1092,[1]Orders!$A$2:$B$1616,2,0)</f>
        <v>42604</v>
      </c>
      <c r="J1092" t="s">
        <v>34</v>
      </c>
      <c r="K1092" t="s">
        <v>11</v>
      </c>
    </row>
    <row r="1093" spans="1:11" x14ac:dyDescent="0.3">
      <c r="A1093">
        <v>389</v>
      </c>
      <c r="B1093">
        <v>5</v>
      </c>
      <c r="C1093">
        <v>9</v>
      </c>
      <c r="D1093">
        <v>1</v>
      </c>
      <c r="E1093" s="1">
        <v>2999.99</v>
      </c>
      <c r="F1093" s="1">
        <v>0.2</v>
      </c>
      <c r="G1093">
        <v>2999.99</v>
      </c>
      <c r="H1093" s="22">
        <f>VLOOKUP(A1093,[1]Orders!$A$2:$B$1616,2,0)</f>
        <v>42604</v>
      </c>
      <c r="J1093" t="s">
        <v>26</v>
      </c>
      <c r="K1093" t="s">
        <v>11</v>
      </c>
    </row>
    <row r="1094" spans="1:11" x14ac:dyDescent="0.3">
      <c r="A1094">
        <v>390</v>
      </c>
      <c r="B1094">
        <v>1</v>
      </c>
      <c r="C1094">
        <v>23</v>
      </c>
      <c r="D1094">
        <v>1</v>
      </c>
      <c r="E1094" s="1">
        <v>299.99</v>
      </c>
      <c r="F1094" s="1">
        <v>0.05</v>
      </c>
      <c r="G1094">
        <v>299.99</v>
      </c>
      <c r="H1094" s="22">
        <f>VLOOKUP(A1094,[1]Orders!$A$2:$B$1616,2,0)</f>
        <v>42604</v>
      </c>
      <c r="J1094" t="s">
        <v>33</v>
      </c>
      <c r="K1094" t="s">
        <v>37</v>
      </c>
    </row>
    <row r="1095" spans="1:11" x14ac:dyDescent="0.3">
      <c r="A1095">
        <v>390</v>
      </c>
      <c r="B1095">
        <v>2</v>
      </c>
      <c r="C1095">
        <v>7</v>
      </c>
      <c r="D1095">
        <v>2</v>
      </c>
      <c r="E1095" s="1">
        <v>3999.99</v>
      </c>
      <c r="F1095" s="1">
        <v>7.0000000000000007E-2</v>
      </c>
      <c r="G1095">
        <v>7999.98</v>
      </c>
      <c r="H1095" s="22">
        <f>VLOOKUP(A1095,[1]Orders!$A$2:$B$1616,2,0)</f>
        <v>42604</v>
      </c>
      <c r="J1095" t="s">
        <v>29</v>
      </c>
      <c r="K1095" t="s">
        <v>37</v>
      </c>
    </row>
    <row r="1096" spans="1:11" x14ac:dyDescent="0.3">
      <c r="A1096">
        <v>390</v>
      </c>
      <c r="B1096">
        <v>3</v>
      </c>
      <c r="C1096">
        <v>9</v>
      </c>
      <c r="D1096">
        <v>1</v>
      </c>
      <c r="E1096" s="1">
        <v>2999.99</v>
      </c>
      <c r="F1096" s="1">
        <v>0.05</v>
      </c>
      <c r="G1096">
        <v>2999.99</v>
      </c>
      <c r="H1096" s="22">
        <f>VLOOKUP(A1096,[1]Orders!$A$2:$B$1616,2,0)</f>
        <v>42604</v>
      </c>
      <c r="J1096" t="s">
        <v>26</v>
      </c>
      <c r="K1096" t="s">
        <v>37</v>
      </c>
    </row>
    <row r="1097" spans="1:11" x14ac:dyDescent="0.3">
      <c r="A1097">
        <v>391</v>
      </c>
      <c r="B1097">
        <v>1</v>
      </c>
      <c r="C1097">
        <v>8</v>
      </c>
      <c r="D1097">
        <v>1</v>
      </c>
      <c r="E1097" s="1">
        <v>1799.99</v>
      </c>
      <c r="F1097" s="1">
        <v>7.0000000000000007E-2</v>
      </c>
      <c r="G1097">
        <v>1799.99</v>
      </c>
      <c r="H1097" s="22">
        <f>VLOOKUP(A1097,[1]Orders!$A$2:$B$1616,2,0)</f>
        <v>42605</v>
      </c>
      <c r="J1097" t="s">
        <v>12</v>
      </c>
      <c r="K1097" t="s">
        <v>37</v>
      </c>
    </row>
    <row r="1098" spans="1:11" x14ac:dyDescent="0.3">
      <c r="A1098">
        <v>391</v>
      </c>
      <c r="B1098">
        <v>2</v>
      </c>
      <c r="C1098">
        <v>5</v>
      </c>
      <c r="D1098">
        <v>2</v>
      </c>
      <c r="E1098" s="1">
        <v>1320.99</v>
      </c>
      <c r="F1098" s="1">
        <v>0.2</v>
      </c>
      <c r="G1098">
        <v>2641.98</v>
      </c>
      <c r="H1098" s="22">
        <f>VLOOKUP(A1098,[1]Orders!$A$2:$B$1616,2,0)</f>
        <v>42605</v>
      </c>
      <c r="J1098" t="s">
        <v>34</v>
      </c>
      <c r="K1098" t="s">
        <v>37</v>
      </c>
    </row>
    <row r="1099" spans="1:11" x14ac:dyDescent="0.3">
      <c r="A1099">
        <v>391</v>
      </c>
      <c r="B1099">
        <v>3</v>
      </c>
      <c r="C1099">
        <v>24</v>
      </c>
      <c r="D1099">
        <v>2</v>
      </c>
      <c r="E1099" s="1">
        <v>549.99</v>
      </c>
      <c r="F1099" s="1">
        <v>7.0000000000000007E-2</v>
      </c>
      <c r="G1099">
        <v>1099.98</v>
      </c>
      <c r="H1099" s="22">
        <f>VLOOKUP(A1099,[1]Orders!$A$2:$B$1616,2,0)</f>
        <v>42605</v>
      </c>
      <c r="J1099" t="s">
        <v>25</v>
      </c>
      <c r="K1099" t="s">
        <v>37</v>
      </c>
    </row>
    <row r="1100" spans="1:11" x14ac:dyDescent="0.3">
      <c r="A1100">
        <v>392</v>
      </c>
      <c r="B1100">
        <v>1</v>
      </c>
      <c r="C1100">
        <v>14</v>
      </c>
      <c r="D1100">
        <v>2</v>
      </c>
      <c r="E1100" s="1">
        <v>269.99</v>
      </c>
      <c r="F1100" s="1">
        <v>0.1</v>
      </c>
      <c r="G1100">
        <v>539.98</v>
      </c>
      <c r="H1100" s="22">
        <f>VLOOKUP(A1100,[1]Orders!$A$2:$B$1616,2,0)</f>
        <v>42605</v>
      </c>
      <c r="J1100" t="s">
        <v>28</v>
      </c>
      <c r="K1100" t="s">
        <v>11</v>
      </c>
    </row>
    <row r="1101" spans="1:11" x14ac:dyDescent="0.3">
      <c r="A1101">
        <v>392</v>
      </c>
      <c r="B1101">
        <v>2</v>
      </c>
      <c r="C1101">
        <v>3</v>
      </c>
      <c r="D1101">
        <v>2</v>
      </c>
      <c r="E1101" s="1">
        <v>999.99</v>
      </c>
      <c r="F1101" s="1">
        <v>0.05</v>
      </c>
      <c r="G1101">
        <v>1999.98</v>
      </c>
      <c r="H1101" s="22">
        <f>VLOOKUP(A1101,[1]Orders!$A$2:$B$1616,2,0)</f>
        <v>42605</v>
      </c>
      <c r="J1101" t="s">
        <v>20</v>
      </c>
      <c r="K1101" t="s">
        <v>11</v>
      </c>
    </row>
    <row r="1102" spans="1:11" x14ac:dyDescent="0.3">
      <c r="A1102">
        <v>393</v>
      </c>
      <c r="B1102">
        <v>1</v>
      </c>
      <c r="C1102">
        <v>6</v>
      </c>
      <c r="D1102">
        <v>2</v>
      </c>
      <c r="E1102" s="1">
        <v>469.99</v>
      </c>
      <c r="F1102" s="1">
        <v>0.2</v>
      </c>
      <c r="G1102">
        <v>939.98</v>
      </c>
      <c r="H1102" s="22">
        <f>VLOOKUP(A1102,[1]Orders!$A$2:$B$1616,2,0)</f>
        <v>42607</v>
      </c>
      <c r="J1102" t="s">
        <v>32</v>
      </c>
      <c r="K1102" t="s">
        <v>18</v>
      </c>
    </row>
    <row r="1103" spans="1:11" x14ac:dyDescent="0.3">
      <c r="A1103">
        <v>394</v>
      </c>
      <c r="B1103">
        <v>1</v>
      </c>
      <c r="C1103">
        <v>23</v>
      </c>
      <c r="D1103">
        <v>1</v>
      </c>
      <c r="E1103" s="1">
        <v>299.99</v>
      </c>
      <c r="F1103" s="1">
        <v>0.05</v>
      </c>
      <c r="G1103">
        <v>299.99</v>
      </c>
      <c r="H1103" s="22">
        <f>VLOOKUP(A1103,[1]Orders!$A$2:$B$1616,2,0)</f>
        <v>42608</v>
      </c>
      <c r="J1103" t="s">
        <v>33</v>
      </c>
      <c r="K1103" t="s">
        <v>11</v>
      </c>
    </row>
    <row r="1104" spans="1:11" x14ac:dyDescent="0.3">
      <c r="A1104">
        <v>394</v>
      </c>
      <c r="B1104">
        <v>2</v>
      </c>
      <c r="C1104">
        <v>16</v>
      </c>
      <c r="D1104">
        <v>1</v>
      </c>
      <c r="E1104" s="1">
        <v>599.99</v>
      </c>
      <c r="F1104" s="1">
        <v>0.2</v>
      </c>
      <c r="G1104">
        <v>599.99</v>
      </c>
      <c r="H1104" s="22">
        <f>VLOOKUP(A1104,[1]Orders!$A$2:$B$1616,2,0)</f>
        <v>42608</v>
      </c>
      <c r="J1104" t="s">
        <v>14</v>
      </c>
      <c r="K1104" t="s">
        <v>11</v>
      </c>
    </row>
    <row r="1105" spans="1:11" x14ac:dyDescent="0.3">
      <c r="A1105">
        <v>394</v>
      </c>
      <c r="B1105">
        <v>3</v>
      </c>
      <c r="C1105">
        <v>14</v>
      </c>
      <c r="D1105">
        <v>2</v>
      </c>
      <c r="E1105" s="1">
        <v>269.99</v>
      </c>
      <c r="F1105" s="1">
        <v>0.2</v>
      </c>
      <c r="G1105">
        <v>539.98</v>
      </c>
      <c r="H1105" s="22">
        <f>VLOOKUP(A1105,[1]Orders!$A$2:$B$1616,2,0)</f>
        <v>42608</v>
      </c>
      <c r="J1105" t="s">
        <v>28</v>
      </c>
      <c r="K1105" t="s">
        <v>11</v>
      </c>
    </row>
    <row r="1106" spans="1:11" x14ac:dyDescent="0.3">
      <c r="A1106">
        <v>395</v>
      </c>
      <c r="B1106">
        <v>1</v>
      </c>
      <c r="C1106">
        <v>14</v>
      </c>
      <c r="D1106">
        <v>1</v>
      </c>
      <c r="E1106" s="1">
        <v>269.99</v>
      </c>
      <c r="F1106" s="1">
        <v>0.05</v>
      </c>
      <c r="G1106">
        <v>269.99</v>
      </c>
      <c r="H1106" s="22">
        <f>VLOOKUP(A1106,[1]Orders!$A$2:$B$1616,2,0)</f>
        <v>42608</v>
      </c>
      <c r="J1106" t="s">
        <v>28</v>
      </c>
      <c r="K1106" t="s">
        <v>18</v>
      </c>
    </row>
    <row r="1107" spans="1:11" x14ac:dyDescent="0.3">
      <c r="A1107">
        <v>396</v>
      </c>
      <c r="B1107">
        <v>1</v>
      </c>
      <c r="C1107">
        <v>12</v>
      </c>
      <c r="D1107">
        <v>1</v>
      </c>
      <c r="E1107" s="1">
        <v>549.99</v>
      </c>
      <c r="F1107" s="1">
        <v>0.1</v>
      </c>
      <c r="G1107">
        <v>549.99</v>
      </c>
      <c r="H1107" s="22">
        <f>VLOOKUP(A1107,[1]Orders!$A$2:$B$1616,2,0)</f>
        <v>42609</v>
      </c>
      <c r="J1107" t="s">
        <v>25</v>
      </c>
      <c r="K1107" t="s">
        <v>18</v>
      </c>
    </row>
    <row r="1108" spans="1:11" x14ac:dyDescent="0.3">
      <c r="A1108">
        <v>396</v>
      </c>
      <c r="B1108">
        <v>2</v>
      </c>
      <c r="C1108">
        <v>25</v>
      </c>
      <c r="D1108">
        <v>2</v>
      </c>
      <c r="E1108" s="1">
        <v>499.99</v>
      </c>
      <c r="F1108" s="1">
        <v>0.05</v>
      </c>
      <c r="G1108">
        <v>999.98</v>
      </c>
      <c r="H1108" s="22">
        <f>VLOOKUP(A1108,[1]Orders!$A$2:$B$1616,2,0)</f>
        <v>42609</v>
      </c>
      <c r="J1108" t="s">
        <v>35</v>
      </c>
      <c r="K1108" t="s">
        <v>18</v>
      </c>
    </row>
    <row r="1109" spans="1:11" x14ac:dyDescent="0.3">
      <c r="A1109">
        <v>396</v>
      </c>
      <c r="B1109">
        <v>3</v>
      </c>
      <c r="C1109">
        <v>5</v>
      </c>
      <c r="D1109">
        <v>1</v>
      </c>
      <c r="E1109" s="1">
        <v>1320.99</v>
      </c>
      <c r="F1109" s="1">
        <v>0.2</v>
      </c>
      <c r="G1109">
        <v>1320.99</v>
      </c>
      <c r="H1109" s="22">
        <f>VLOOKUP(A1109,[1]Orders!$A$2:$B$1616,2,0)</f>
        <v>42609</v>
      </c>
      <c r="J1109" t="s">
        <v>34</v>
      </c>
      <c r="K1109" t="s">
        <v>18</v>
      </c>
    </row>
    <row r="1110" spans="1:11" x14ac:dyDescent="0.3">
      <c r="A1110">
        <v>397</v>
      </c>
      <c r="B1110">
        <v>1</v>
      </c>
      <c r="C1110">
        <v>7</v>
      </c>
      <c r="D1110">
        <v>1</v>
      </c>
      <c r="E1110" s="1">
        <v>3999.99</v>
      </c>
      <c r="F1110" s="1">
        <v>0.05</v>
      </c>
      <c r="G1110">
        <v>3999.99</v>
      </c>
      <c r="H1110" s="22">
        <f>VLOOKUP(A1110,[1]Orders!$A$2:$B$1616,2,0)</f>
        <v>42610</v>
      </c>
      <c r="J1110" t="s">
        <v>29</v>
      </c>
      <c r="K1110" t="s">
        <v>18</v>
      </c>
    </row>
    <row r="1111" spans="1:11" x14ac:dyDescent="0.3">
      <c r="A1111">
        <v>398</v>
      </c>
      <c r="B1111">
        <v>1</v>
      </c>
      <c r="C1111">
        <v>8</v>
      </c>
      <c r="D1111">
        <v>2</v>
      </c>
      <c r="E1111" s="1">
        <v>1799.99</v>
      </c>
      <c r="F1111" s="1">
        <v>0.05</v>
      </c>
      <c r="G1111">
        <v>3599.98</v>
      </c>
      <c r="H1111" s="22">
        <f>VLOOKUP(A1111,[1]Orders!$A$2:$B$1616,2,0)</f>
        <v>42611</v>
      </c>
      <c r="J1111" t="s">
        <v>12</v>
      </c>
      <c r="K1111" t="s">
        <v>11</v>
      </c>
    </row>
    <row r="1112" spans="1:11" x14ac:dyDescent="0.3">
      <c r="A1112">
        <v>398</v>
      </c>
      <c r="B1112">
        <v>2</v>
      </c>
      <c r="C1112">
        <v>18</v>
      </c>
      <c r="D1112">
        <v>2</v>
      </c>
      <c r="E1112" s="1">
        <v>449</v>
      </c>
      <c r="F1112" s="1">
        <v>0.05</v>
      </c>
      <c r="G1112">
        <v>898</v>
      </c>
      <c r="H1112" s="22">
        <f>VLOOKUP(A1112,[1]Orders!$A$2:$B$1616,2,0)</f>
        <v>42611</v>
      </c>
      <c r="J1112" t="s">
        <v>24</v>
      </c>
      <c r="K1112" t="s">
        <v>11</v>
      </c>
    </row>
    <row r="1113" spans="1:11" x14ac:dyDescent="0.3">
      <c r="A1113">
        <v>398</v>
      </c>
      <c r="B1113">
        <v>3</v>
      </c>
      <c r="C1113">
        <v>25</v>
      </c>
      <c r="D1113">
        <v>1</v>
      </c>
      <c r="E1113" s="1">
        <v>499.99</v>
      </c>
      <c r="F1113" s="1">
        <v>0.2</v>
      </c>
      <c r="G1113">
        <v>499.99</v>
      </c>
      <c r="H1113" s="22">
        <f>VLOOKUP(A1113,[1]Orders!$A$2:$B$1616,2,0)</f>
        <v>42611</v>
      </c>
      <c r="J1113" t="s">
        <v>35</v>
      </c>
      <c r="K1113" t="s">
        <v>11</v>
      </c>
    </row>
    <row r="1114" spans="1:11" x14ac:dyDescent="0.3">
      <c r="A1114">
        <v>398</v>
      </c>
      <c r="B1114">
        <v>4</v>
      </c>
      <c r="C1114">
        <v>17</v>
      </c>
      <c r="D1114">
        <v>1</v>
      </c>
      <c r="E1114" s="1">
        <v>429</v>
      </c>
      <c r="F1114" s="1">
        <v>0.05</v>
      </c>
      <c r="G1114">
        <v>429</v>
      </c>
      <c r="H1114" s="22">
        <f>VLOOKUP(A1114,[1]Orders!$A$2:$B$1616,2,0)</f>
        <v>42611</v>
      </c>
      <c r="J1114" t="s">
        <v>23</v>
      </c>
      <c r="K1114" t="s">
        <v>11</v>
      </c>
    </row>
    <row r="1115" spans="1:11" x14ac:dyDescent="0.3">
      <c r="A1115">
        <v>399</v>
      </c>
      <c r="B1115">
        <v>1</v>
      </c>
      <c r="C1115">
        <v>25</v>
      </c>
      <c r="D1115">
        <v>1</v>
      </c>
      <c r="E1115" s="1">
        <v>499.99</v>
      </c>
      <c r="F1115" s="1">
        <v>0.05</v>
      </c>
      <c r="G1115">
        <v>499.99</v>
      </c>
      <c r="H1115" s="22">
        <f>VLOOKUP(A1115,[1]Orders!$A$2:$B$1616,2,0)</f>
        <v>42611</v>
      </c>
      <c r="J1115" t="s">
        <v>35</v>
      </c>
      <c r="K1115" t="s">
        <v>18</v>
      </c>
    </row>
    <row r="1116" spans="1:11" x14ac:dyDescent="0.3">
      <c r="A1116">
        <v>399</v>
      </c>
      <c r="B1116">
        <v>2</v>
      </c>
      <c r="C1116">
        <v>11</v>
      </c>
      <c r="D1116">
        <v>2</v>
      </c>
      <c r="E1116" s="1">
        <v>1680.99</v>
      </c>
      <c r="F1116" s="1">
        <v>0.05</v>
      </c>
      <c r="G1116">
        <v>3361.98</v>
      </c>
      <c r="H1116" s="22">
        <f>VLOOKUP(A1116,[1]Orders!$A$2:$B$1616,2,0)</f>
        <v>42611</v>
      </c>
      <c r="J1116" t="s">
        <v>30</v>
      </c>
      <c r="K1116" t="s">
        <v>18</v>
      </c>
    </row>
    <row r="1117" spans="1:11" x14ac:dyDescent="0.3">
      <c r="A1117">
        <v>399</v>
      </c>
      <c r="B1117">
        <v>3</v>
      </c>
      <c r="C1117">
        <v>14</v>
      </c>
      <c r="D1117">
        <v>1</v>
      </c>
      <c r="E1117" s="1">
        <v>269.99</v>
      </c>
      <c r="F1117" s="1">
        <v>0.1</v>
      </c>
      <c r="G1117">
        <v>269.99</v>
      </c>
      <c r="H1117" s="22">
        <f>VLOOKUP(A1117,[1]Orders!$A$2:$B$1616,2,0)</f>
        <v>42611</v>
      </c>
      <c r="J1117" t="s">
        <v>28</v>
      </c>
      <c r="K1117" t="s">
        <v>18</v>
      </c>
    </row>
    <row r="1118" spans="1:11" x14ac:dyDescent="0.3">
      <c r="A1118">
        <v>400</v>
      </c>
      <c r="B1118">
        <v>1</v>
      </c>
      <c r="C1118">
        <v>24</v>
      </c>
      <c r="D1118">
        <v>2</v>
      </c>
      <c r="E1118" s="1">
        <v>549.99</v>
      </c>
      <c r="F1118" s="1">
        <v>7.0000000000000007E-2</v>
      </c>
      <c r="G1118">
        <v>1099.98</v>
      </c>
      <c r="H1118" s="22">
        <f>VLOOKUP(A1118,[1]Orders!$A$2:$B$1616,2,0)</f>
        <v>42611</v>
      </c>
      <c r="J1118" t="s">
        <v>25</v>
      </c>
      <c r="K1118" t="s">
        <v>18</v>
      </c>
    </row>
    <row r="1119" spans="1:11" x14ac:dyDescent="0.3">
      <c r="A1119">
        <v>400</v>
      </c>
      <c r="B1119">
        <v>2</v>
      </c>
      <c r="C1119">
        <v>9</v>
      </c>
      <c r="D1119">
        <v>1</v>
      </c>
      <c r="E1119" s="1">
        <v>2999.99</v>
      </c>
      <c r="F1119" s="1">
        <v>0.2</v>
      </c>
      <c r="G1119">
        <v>2999.99</v>
      </c>
      <c r="H1119" s="22">
        <f>VLOOKUP(A1119,[1]Orders!$A$2:$B$1616,2,0)</f>
        <v>42611</v>
      </c>
      <c r="J1119" t="s">
        <v>26</v>
      </c>
      <c r="K1119" t="s">
        <v>18</v>
      </c>
    </row>
    <row r="1120" spans="1:11" x14ac:dyDescent="0.3">
      <c r="A1120">
        <v>400</v>
      </c>
      <c r="B1120">
        <v>3</v>
      </c>
      <c r="C1120">
        <v>3</v>
      </c>
      <c r="D1120">
        <v>2</v>
      </c>
      <c r="E1120" s="1">
        <v>999.99</v>
      </c>
      <c r="F1120" s="1">
        <v>0.2</v>
      </c>
      <c r="G1120">
        <v>1999.98</v>
      </c>
      <c r="H1120" s="22">
        <f>VLOOKUP(A1120,[1]Orders!$A$2:$B$1616,2,0)</f>
        <v>42611</v>
      </c>
      <c r="J1120" t="s">
        <v>20</v>
      </c>
      <c r="K1120" t="s">
        <v>18</v>
      </c>
    </row>
    <row r="1121" spans="1:11" x14ac:dyDescent="0.3">
      <c r="A1121">
        <v>401</v>
      </c>
      <c r="B1121">
        <v>1</v>
      </c>
      <c r="C1121">
        <v>23</v>
      </c>
      <c r="D1121">
        <v>1</v>
      </c>
      <c r="E1121" s="1">
        <v>299.99</v>
      </c>
      <c r="F1121" s="1">
        <v>0.2</v>
      </c>
      <c r="G1121">
        <v>299.99</v>
      </c>
      <c r="H1121" s="22">
        <f>VLOOKUP(A1121,[1]Orders!$A$2:$B$1616,2,0)</f>
        <v>42612</v>
      </c>
      <c r="J1121" t="s">
        <v>33</v>
      </c>
      <c r="K1121" t="s">
        <v>18</v>
      </c>
    </row>
    <row r="1122" spans="1:11" x14ac:dyDescent="0.3">
      <c r="A1122">
        <v>401</v>
      </c>
      <c r="B1122">
        <v>2</v>
      </c>
      <c r="C1122">
        <v>10</v>
      </c>
      <c r="D1122">
        <v>2</v>
      </c>
      <c r="E1122" s="1">
        <v>1549</v>
      </c>
      <c r="F1122" s="1">
        <v>0.2</v>
      </c>
      <c r="G1122">
        <v>3098</v>
      </c>
      <c r="H1122" s="22">
        <f>VLOOKUP(A1122,[1]Orders!$A$2:$B$1616,2,0)</f>
        <v>42612</v>
      </c>
      <c r="J1122" t="s">
        <v>13</v>
      </c>
      <c r="K1122" t="s">
        <v>18</v>
      </c>
    </row>
    <row r="1123" spans="1:11" x14ac:dyDescent="0.3">
      <c r="A1123">
        <v>402</v>
      </c>
      <c r="B1123">
        <v>1</v>
      </c>
      <c r="C1123">
        <v>6</v>
      </c>
      <c r="D1123">
        <v>2</v>
      </c>
      <c r="E1123" s="1">
        <v>469.99</v>
      </c>
      <c r="F1123" s="1">
        <v>7.0000000000000007E-2</v>
      </c>
      <c r="G1123">
        <v>939.98</v>
      </c>
      <c r="H1123" s="22">
        <f>VLOOKUP(A1123,[1]Orders!$A$2:$B$1616,2,0)</f>
        <v>42612</v>
      </c>
      <c r="J1123" t="s">
        <v>32</v>
      </c>
      <c r="K1123" t="s">
        <v>18</v>
      </c>
    </row>
    <row r="1124" spans="1:11" x14ac:dyDescent="0.3">
      <c r="A1124">
        <v>402</v>
      </c>
      <c r="B1124">
        <v>2</v>
      </c>
      <c r="C1124">
        <v>5</v>
      </c>
      <c r="D1124">
        <v>1</v>
      </c>
      <c r="E1124" s="1">
        <v>1320.99</v>
      </c>
      <c r="F1124" s="1">
        <v>7.0000000000000007E-2</v>
      </c>
      <c r="G1124">
        <v>1320.99</v>
      </c>
      <c r="H1124" s="22">
        <f>VLOOKUP(A1124,[1]Orders!$A$2:$B$1616,2,0)</f>
        <v>42612</v>
      </c>
      <c r="J1124" t="s">
        <v>34</v>
      </c>
      <c r="K1124" t="s">
        <v>18</v>
      </c>
    </row>
    <row r="1125" spans="1:11" x14ac:dyDescent="0.3">
      <c r="A1125">
        <v>402</v>
      </c>
      <c r="B1125">
        <v>3</v>
      </c>
      <c r="C1125">
        <v>26</v>
      </c>
      <c r="D1125">
        <v>1</v>
      </c>
      <c r="E1125" s="1">
        <v>599.99</v>
      </c>
      <c r="F1125" s="1">
        <v>0.05</v>
      </c>
      <c r="G1125">
        <v>599.99</v>
      </c>
      <c r="H1125" s="22">
        <f>VLOOKUP(A1125,[1]Orders!$A$2:$B$1616,2,0)</f>
        <v>42612</v>
      </c>
      <c r="J1125" t="s">
        <v>14</v>
      </c>
      <c r="K1125" t="s">
        <v>18</v>
      </c>
    </row>
    <row r="1126" spans="1:11" x14ac:dyDescent="0.3">
      <c r="A1126">
        <v>403</v>
      </c>
      <c r="B1126">
        <v>1</v>
      </c>
      <c r="C1126">
        <v>12</v>
      </c>
      <c r="D1126">
        <v>2</v>
      </c>
      <c r="E1126" s="1">
        <v>549.99</v>
      </c>
      <c r="F1126" s="1">
        <v>0.1</v>
      </c>
      <c r="G1126">
        <v>1099.98</v>
      </c>
      <c r="H1126" s="22">
        <f>VLOOKUP(A1126,[1]Orders!$A$2:$B$1616,2,0)</f>
        <v>42613</v>
      </c>
      <c r="J1126" t="s">
        <v>25</v>
      </c>
      <c r="K1126" t="s">
        <v>11</v>
      </c>
    </row>
    <row r="1127" spans="1:11" x14ac:dyDescent="0.3">
      <c r="A1127">
        <v>403</v>
      </c>
      <c r="B1127">
        <v>2</v>
      </c>
      <c r="C1127">
        <v>7</v>
      </c>
      <c r="D1127">
        <v>2</v>
      </c>
      <c r="E1127" s="1">
        <v>3999.99</v>
      </c>
      <c r="F1127" s="1">
        <v>0.2</v>
      </c>
      <c r="G1127">
        <v>7999.98</v>
      </c>
      <c r="H1127" s="22">
        <f>VLOOKUP(A1127,[1]Orders!$A$2:$B$1616,2,0)</f>
        <v>42613</v>
      </c>
      <c r="J1127" t="s">
        <v>29</v>
      </c>
      <c r="K1127" t="s">
        <v>11</v>
      </c>
    </row>
    <row r="1128" spans="1:11" x14ac:dyDescent="0.3">
      <c r="A1128">
        <v>403</v>
      </c>
      <c r="B1128">
        <v>3</v>
      </c>
      <c r="C1128">
        <v>22</v>
      </c>
      <c r="D1128">
        <v>2</v>
      </c>
      <c r="E1128" s="1">
        <v>269.99</v>
      </c>
      <c r="F1128" s="1">
        <v>0.05</v>
      </c>
      <c r="G1128">
        <v>539.98</v>
      </c>
      <c r="H1128" s="22">
        <f>VLOOKUP(A1128,[1]Orders!$A$2:$B$1616,2,0)</f>
        <v>42613</v>
      </c>
      <c r="J1128" t="s">
        <v>28</v>
      </c>
      <c r="K1128" t="s">
        <v>11</v>
      </c>
    </row>
    <row r="1129" spans="1:11" x14ac:dyDescent="0.3">
      <c r="A1129">
        <v>403</v>
      </c>
      <c r="B1129">
        <v>4</v>
      </c>
      <c r="C1129">
        <v>24</v>
      </c>
      <c r="D1129">
        <v>1</v>
      </c>
      <c r="E1129" s="1">
        <v>549.99</v>
      </c>
      <c r="F1129" s="1">
        <v>0.2</v>
      </c>
      <c r="G1129">
        <v>549.99</v>
      </c>
      <c r="H1129" s="22">
        <f>VLOOKUP(A1129,[1]Orders!$A$2:$B$1616,2,0)</f>
        <v>42613</v>
      </c>
      <c r="J1129" t="s">
        <v>25</v>
      </c>
      <c r="K1129" t="s">
        <v>11</v>
      </c>
    </row>
    <row r="1130" spans="1:11" x14ac:dyDescent="0.3">
      <c r="A1130">
        <v>404</v>
      </c>
      <c r="B1130">
        <v>1</v>
      </c>
      <c r="C1130">
        <v>9</v>
      </c>
      <c r="D1130">
        <v>1</v>
      </c>
      <c r="E1130" s="1">
        <v>2999.99</v>
      </c>
      <c r="F1130" s="1">
        <v>7.0000000000000007E-2</v>
      </c>
      <c r="G1130">
        <v>2999.99</v>
      </c>
      <c r="H1130" s="22">
        <f>VLOOKUP(A1130,[1]Orders!$A$2:$B$1616,2,0)</f>
        <v>42613</v>
      </c>
      <c r="J1130" t="s">
        <v>26</v>
      </c>
      <c r="K1130" t="s">
        <v>18</v>
      </c>
    </row>
    <row r="1131" spans="1:11" x14ac:dyDescent="0.3">
      <c r="A1131">
        <v>404</v>
      </c>
      <c r="B1131">
        <v>2</v>
      </c>
      <c r="C1131">
        <v>25</v>
      </c>
      <c r="D1131">
        <v>2</v>
      </c>
      <c r="E1131" s="1">
        <v>499.99</v>
      </c>
      <c r="F1131" s="1">
        <v>0.05</v>
      </c>
      <c r="G1131">
        <v>999.98</v>
      </c>
      <c r="H1131" s="22">
        <f>VLOOKUP(A1131,[1]Orders!$A$2:$B$1616,2,0)</f>
        <v>42613</v>
      </c>
      <c r="J1131" t="s">
        <v>35</v>
      </c>
      <c r="K1131" t="s">
        <v>18</v>
      </c>
    </row>
    <row r="1132" spans="1:11" x14ac:dyDescent="0.3">
      <c r="A1132">
        <v>404</v>
      </c>
      <c r="B1132">
        <v>3</v>
      </c>
      <c r="C1132">
        <v>16</v>
      </c>
      <c r="D1132">
        <v>2</v>
      </c>
      <c r="E1132" s="1">
        <v>599.99</v>
      </c>
      <c r="F1132" s="1">
        <v>0.2</v>
      </c>
      <c r="G1132">
        <v>1199.98</v>
      </c>
      <c r="H1132" s="22">
        <f>VLOOKUP(A1132,[1]Orders!$A$2:$B$1616,2,0)</f>
        <v>42613</v>
      </c>
      <c r="J1132" t="s">
        <v>14</v>
      </c>
      <c r="K1132" t="s">
        <v>18</v>
      </c>
    </row>
    <row r="1133" spans="1:11" x14ac:dyDescent="0.3">
      <c r="A1133">
        <v>405</v>
      </c>
      <c r="B1133">
        <v>1</v>
      </c>
      <c r="C1133">
        <v>3</v>
      </c>
      <c r="D1133">
        <v>2</v>
      </c>
      <c r="E1133" s="1">
        <v>999.99</v>
      </c>
      <c r="F1133" s="1">
        <v>0.2</v>
      </c>
      <c r="G1133">
        <v>1999.98</v>
      </c>
      <c r="H1133" s="22">
        <f>VLOOKUP(A1133,[1]Orders!$A$2:$B$1616,2,0)</f>
        <v>42613</v>
      </c>
      <c r="J1133" t="s">
        <v>20</v>
      </c>
      <c r="K1133" t="s">
        <v>18</v>
      </c>
    </row>
    <row r="1134" spans="1:11" x14ac:dyDescent="0.3">
      <c r="A1134">
        <v>405</v>
      </c>
      <c r="B1134">
        <v>2</v>
      </c>
      <c r="C1134">
        <v>10</v>
      </c>
      <c r="D1134">
        <v>2</v>
      </c>
      <c r="E1134" s="1">
        <v>1549</v>
      </c>
      <c r="F1134" s="1">
        <v>0.1</v>
      </c>
      <c r="G1134">
        <v>3098</v>
      </c>
      <c r="H1134" s="22">
        <f>VLOOKUP(A1134,[1]Orders!$A$2:$B$1616,2,0)</f>
        <v>42613</v>
      </c>
      <c r="J1134" t="s">
        <v>13</v>
      </c>
      <c r="K1134" t="s">
        <v>18</v>
      </c>
    </row>
    <row r="1135" spans="1:11" x14ac:dyDescent="0.3">
      <c r="A1135">
        <v>405</v>
      </c>
      <c r="B1135">
        <v>3</v>
      </c>
      <c r="C1135">
        <v>14</v>
      </c>
      <c r="D1135">
        <v>2</v>
      </c>
      <c r="E1135" s="1">
        <v>269.99</v>
      </c>
      <c r="F1135" s="1">
        <v>7.0000000000000007E-2</v>
      </c>
      <c r="G1135">
        <v>539.98</v>
      </c>
      <c r="H1135" s="22">
        <f>VLOOKUP(A1135,[1]Orders!$A$2:$B$1616,2,0)</f>
        <v>42613</v>
      </c>
      <c r="J1135" t="s">
        <v>28</v>
      </c>
      <c r="K1135" t="s">
        <v>18</v>
      </c>
    </row>
    <row r="1136" spans="1:11" x14ac:dyDescent="0.3">
      <c r="A1136">
        <v>406</v>
      </c>
      <c r="B1136">
        <v>1</v>
      </c>
      <c r="C1136">
        <v>4</v>
      </c>
      <c r="D1136">
        <v>1</v>
      </c>
      <c r="E1136" s="1">
        <v>2899.99</v>
      </c>
      <c r="F1136" s="1">
        <v>0.2</v>
      </c>
      <c r="G1136">
        <v>2899.99</v>
      </c>
      <c r="H1136" s="22">
        <f>VLOOKUP(A1136,[1]Orders!$A$2:$B$1616,2,0)</f>
        <v>42613</v>
      </c>
      <c r="J1136" t="s">
        <v>16</v>
      </c>
      <c r="K1136" t="s">
        <v>18</v>
      </c>
    </row>
    <row r="1137" spans="1:11" x14ac:dyDescent="0.3">
      <c r="A1137">
        <v>407</v>
      </c>
      <c r="B1137">
        <v>1</v>
      </c>
      <c r="C1137">
        <v>20</v>
      </c>
      <c r="D1137">
        <v>1</v>
      </c>
      <c r="E1137" s="1">
        <v>599.99</v>
      </c>
      <c r="F1137" s="1">
        <v>0.2</v>
      </c>
      <c r="G1137">
        <v>599.99</v>
      </c>
      <c r="H1137" s="22">
        <f>VLOOKUP(A1137,[1]Orders!$A$2:$B$1616,2,0)</f>
        <v>42614</v>
      </c>
      <c r="J1137" t="s">
        <v>10</v>
      </c>
      <c r="K1137" t="s">
        <v>37</v>
      </c>
    </row>
    <row r="1138" spans="1:11" x14ac:dyDescent="0.3">
      <c r="A1138">
        <v>407</v>
      </c>
      <c r="B1138">
        <v>2</v>
      </c>
      <c r="C1138">
        <v>5</v>
      </c>
      <c r="D1138">
        <v>1</v>
      </c>
      <c r="E1138" s="1">
        <v>1320.99</v>
      </c>
      <c r="F1138" s="1">
        <v>0.05</v>
      </c>
      <c r="G1138">
        <v>1320.99</v>
      </c>
      <c r="H1138" s="22">
        <f>VLOOKUP(A1138,[1]Orders!$A$2:$B$1616,2,0)</f>
        <v>42614</v>
      </c>
      <c r="J1138" t="s">
        <v>34</v>
      </c>
      <c r="K1138" t="s">
        <v>37</v>
      </c>
    </row>
    <row r="1139" spans="1:11" x14ac:dyDescent="0.3">
      <c r="A1139">
        <v>408</v>
      </c>
      <c r="B1139">
        <v>1</v>
      </c>
      <c r="C1139">
        <v>18</v>
      </c>
      <c r="D1139">
        <v>1</v>
      </c>
      <c r="E1139" s="1">
        <v>449</v>
      </c>
      <c r="F1139" s="1">
        <v>0.2</v>
      </c>
      <c r="G1139">
        <v>449</v>
      </c>
      <c r="H1139" s="22">
        <f>VLOOKUP(A1139,[1]Orders!$A$2:$B$1616,2,0)</f>
        <v>42614</v>
      </c>
      <c r="J1139" t="s">
        <v>24</v>
      </c>
      <c r="K1139" t="s">
        <v>11</v>
      </c>
    </row>
    <row r="1140" spans="1:11" x14ac:dyDescent="0.3">
      <c r="A1140">
        <v>408</v>
      </c>
      <c r="B1140">
        <v>2</v>
      </c>
      <c r="C1140">
        <v>3</v>
      </c>
      <c r="D1140">
        <v>1</v>
      </c>
      <c r="E1140" s="1">
        <v>999.99</v>
      </c>
      <c r="F1140" s="1">
        <v>7.0000000000000007E-2</v>
      </c>
      <c r="G1140">
        <v>999.99</v>
      </c>
      <c r="H1140" s="22">
        <f>VLOOKUP(A1140,[1]Orders!$A$2:$B$1616,2,0)</f>
        <v>42614</v>
      </c>
      <c r="J1140" t="s">
        <v>20</v>
      </c>
      <c r="K1140" t="s">
        <v>11</v>
      </c>
    </row>
    <row r="1141" spans="1:11" x14ac:dyDescent="0.3">
      <c r="A1141">
        <v>408</v>
      </c>
      <c r="B1141">
        <v>3</v>
      </c>
      <c r="C1141">
        <v>2</v>
      </c>
      <c r="D1141">
        <v>2</v>
      </c>
      <c r="E1141" s="1">
        <v>749.99</v>
      </c>
      <c r="F1141" s="1">
        <v>7.0000000000000007E-2</v>
      </c>
      <c r="G1141">
        <v>1499.98</v>
      </c>
      <c r="H1141" s="22">
        <f>VLOOKUP(A1141,[1]Orders!$A$2:$B$1616,2,0)</f>
        <v>42614</v>
      </c>
      <c r="J1141" t="s">
        <v>22</v>
      </c>
      <c r="K1141" t="s">
        <v>11</v>
      </c>
    </row>
    <row r="1142" spans="1:11" x14ac:dyDescent="0.3">
      <c r="A1142">
        <v>408</v>
      </c>
      <c r="B1142">
        <v>4</v>
      </c>
      <c r="C1142">
        <v>17</v>
      </c>
      <c r="D1142">
        <v>2</v>
      </c>
      <c r="E1142" s="1">
        <v>429</v>
      </c>
      <c r="F1142" s="1">
        <v>0.2</v>
      </c>
      <c r="G1142">
        <v>858</v>
      </c>
      <c r="H1142" s="22">
        <f>VLOOKUP(A1142,[1]Orders!$A$2:$B$1616,2,0)</f>
        <v>42614</v>
      </c>
      <c r="J1142" t="s">
        <v>23</v>
      </c>
      <c r="K1142" t="s">
        <v>11</v>
      </c>
    </row>
    <row r="1143" spans="1:11" x14ac:dyDescent="0.3">
      <c r="A1143">
        <v>409</v>
      </c>
      <c r="B1143">
        <v>1</v>
      </c>
      <c r="C1143">
        <v>15</v>
      </c>
      <c r="D1143">
        <v>1</v>
      </c>
      <c r="E1143" s="1">
        <v>529.99</v>
      </c>
      <c r="F1143" s="1">
        <v>7.0000000000000007E-2</v>
      </c>
      <c r="G1143">
        <v>529.99</v>
      </c>
      <c r="H1143" s="22">
        <f>VLOOKUP(A1143,[1]Orders!$A$2:$B$1616,2,0)</f>
        <v>42614</v>
      </c>
      <c r="J1143" t="s">
        <v>27</v>
      </c>
      <c r="K1143" t="s">
        <v>18</v>
      </c>
    </row>
    <row r="1144" spans="1:11" x14ac:dyDescent="0.3">
      <c r="A1144">
        <v>409</v>
      </c>
      <c r="B1144">
        <v>2</v>
      </c>
      <c r="C1144">
        <v>16</v>
      </c>
      <c r="D1144">
        <v>2</v>
      </c>
      <c r="E1144" s="1">
        <v>599.99</v>
      </c>
      <c r="F1144" s="1">
        <v>0.2</v>
      </c>
      <c r="G1144">
        <v>1199.98</v>
      </c>
      <c r="H1144" s="22">
        <f>VLOOKUP(A1144,[1]Orders!$A$2:$B$1616,2,0)</f>
        <v>42614</v>
      </c>
      <c r="J1144" t="s">
        <v>14</v>
      </c>
      <c r="K1144" t="s">
        <v>18</v>
      </c>
    </row>
    <row r="1145" spans="1:11" x14ac:dyDescent="0.3">
      <c r="A1145">
        <v>409</v>
      </c>
      <c r="B1145">
        <v>3</v>
      </c>
      <c r="C1145">
        <v>21</v>
      </c>
      <c r="D1145">
        <v>1</v>
      </c>
      <c r="E1145" s="1">
        <v>269.99</v>
      </c>
      <c r="F1145" s="1">
        <v>0.05</v>
      </c>
      <c r="G1145">
        <v>269.99</v>
      </c>
      <c r="H1145" s="22">
        <f>VLOOKUP(A1145,[1]Orders!$A$2:$B$1616,2,0)</f>
        <v>42614</v>
      </c>
      <c r="J1145" t="s">
        <v>31</v>
      </c>
      <c r="K1145" t="s">
        <v>18</v>
      </c>
    </row>
    <row r="1146" spans="1:11" x14ac:dyDescent="0.3">
      <c r="A1146">
        <v>410</v>
      </c>
      <c r="B1146">
        <v>1</v>
      </c>
      <c r="C1146">
        <v>25</v>
      </c>
      <c r="D1146">
        <v>1</v>
      </c>
      <c r="E1146" s="1">
        <v>499.99</v>
      </c>
      <c r="F1146" s="1">
        <v>0.1</v>
      </c>
      <c r="G1146">
        <v>499.99</v>
      </c>
      <c r="H1146" s="22">
        <f>VLOOKUP(A1146,[1]Orders!$A$2:$B$1616,2,0)</f>
        <v>42614</v>
      </c>
      <c r="J1146" t="s">
        <v>35</v>
      </c>
      <c r="K1146" t="s">
        <v>18</v>
      </c>
    </row>
    <row r="1147" spans="1:11" x14ac:dyDescent="0.3">
      <c r="A1147">
        <v>410</v>
      </c>
      <c r="B1147">
        <v>2</v>
      </c>
      <c r="C1147">
        <v>9</v>
      </c>
      <c r="D1147">
        <v>2</v>
      </c>
      <c r="E1147" s="1">
        <v>2999.99</v>
      </c>
      <c r="F1147" s="1">
        <v>0.05</v>
      </c>
      <c r="G1147">
        <v>5999.98</v>
      </c>
      <c r="H1147" s="22">
        <f>VLOOKUP(A1147,[1]Orders!$A$2:$B$1616,2,0)</f>
        <v>42614</v>
      </c>
      <c r="J1147" t="s">
        <v>26</v>
      </c>
      <c r="K1147" t="s">
        <v>18</v>
      </c>
    </row>
    <row r="1148" spans="1:11" x14ac:dyDescent="0.3">
      <c r="A1148">
        <v>410</v>
      </c>
      <c r="B1148">
        <v>3</v>
      </c>
      <c r="C1148">
        <v>24</v>
      </c>
      <c r="D1148">
        <v>2</v>
      </c>
      <c r="E1148" s="1">
        <v>549.99</v>
      </c>
      <c r="F1148" s="1">
        <v>0.1</v>
      </c>
      <c r="G1148">
        <v>1099.98</v>
      </c>
      <c r="H1148" s="22">
        <f>VLOOKUP(A1148,[1]Orders!$A$2:$B$1616,2,0)</f>
        <v>42614</v>
      </c>
      <c r="J1148" t="s">
        <v>25</v>
      </c>
      <c r="K1148" t="s">
        <v>18</v>
      </c>
    </row>
    <row r="1149" spans="1:11" x14ac:dyDescent="0.3">
      <c r="A1149">
        <v>411</v>
      </c>
      <c r="B1149">
        <v>1</v>
      </c>
      <c r="C1149">
        <v>2</v>
      </c>
      <c r="D1149">
        <v>1</v>
      </c>
      <c r="E1149" s="1">
        <v>749.99</v>
      </c>
      <c r="F1149" s="1">
        <v>7.0000000000000007E-2</v>
      </c>
      <c r="G1149">
        <v>749.99</v>
      </c>
      <c r="H1149" s="22">
        <f>VLOOKUP(A1149,[1]Orders!$A$2:$B$1616,2,0)</f>
        <v>42615</v>
      </c>
      <c r="J1149" t="s">
        <v>22</v>
      </c>
      <c r="K1149" t="s">
        <v>11</v>
      </c>
    </row>
    <row r="1150" spans="1:11" x14ac:dyDescent="0.3">
      <c r="A1150">
        <v>411</v>
      </c>
      <c r="B1150">
        <v>2</v>
      </c>
      <c r="C1150">
        <v>26</v>
      </c>
      <c r="D1150">
        <v>2</v>
      </c>
      <c r="E1150" s="1">
        <v>599.99</v>
      </c>
      <c r="F1150" s="1">
        <v>0.05</v>
      </c>
      <c r="G1150">
        <v>1199.98</v>
      </c>
      <c r="H1150" s="22">
        <f>VLOOKUP(A1150,[1]Orders!$A$2:$B$1616,2,0)</f>
        <v>42615</v>
      </c>
      <c r="J1150" t="s">
        <v>14</v>
      </c>
      <c r="K1150" t="s">
        <v>11</v>
      </c>
    </row>
    <row r="1151" spans="1:11" x14ac:dyDescent="0.3">
      <c r="A1151">
        <v>412</v>
      </c>
      <c r="B1151">
        <v>1</v>
      </c>
      <c r="C1151">
        <v>7</v>
      </c>
      <c r="D1151">
        <v>1</v>
      </c>
      <c r="E1151" s="1">
        <v>3999.99</v>
      </c>
      <c r="F1151" s="1">
        <v>0.1</v>
      </c>
      <c r="G1151">
        <v>3999.99</v>
      </c>
      <c r="H1151" s="22">
        <f>VLOOKUP(A1151,[1]Orders!$A$2:$B$1616,2,0)</f>
        <v>42615</v>
      </c>
      <c r="J1151" t="s">
        <v>29</v>
      </c>
      <c r="K1151" t="s">
        <v>11</v>
      </c>
    </row>
    <row r="1152" spans="1:11" x14ac:dyDescent="0.3">
      <c r="A1152">
        <v>412</v>
      </c>
      <c r="B1152">
        <v>2</v>
      </c>
      <c r="C1152">
        <v>24</v>
      </c>
      <c r="D1152">
        <v>1</v>
      </c>
      <c r="E1152" s="1">
        <v>549.99</v>
      </c>
      <c r="F1152" s="1">
        <v>7.0000000000000007E-2</v>
      </c>
      <c r="G1152">
        <v>549.99</v>
      </c>
      <c r="H1152" s="22">
        <f>VLOOKUP(A1152,[1]Orders!$A$2:$B$1616,2,0)</f>
        <v>42615</v>
      </c>
      <c r="J1152" t="s">
        <v>25</v>
      </c>
      <c r="K1152" t="s">
        <v>11</v>
      </c>
    </row>
    <row r="1153" spans="1:11" x14ac:dyDescent="0.3">
      <c r="A1153">
        <v>412</v>
      </c>
      <c r="B1153">
        <v>3</v>
      </c>
      <c r="C1153">
        <v>17</v>
      </c>
      <c r="D1153">
        <v>1</v>
      </c>
      <c r="E1153" s="1">
        <v>429</v>
      </c>
      <c r="F1153" s="1">
        <v>0.1</v>
      </c>
      <c r="G1153">
        <v>429</v>
      </c>
      <c r="H1153" s="22">
        <f>VLOOKUP(A1153,[1]Orders!$A$2:$B$1616,2,0)</f>
        <v>42615</v>
      </c>
      <c r="J1153" t="s">
        <v>23</v>
      </c>
      <c r="K1153" t="s">
        <v>11</v>
      </c>
    </row>
    <row r="1154" spans="1:11" x14ac:dyDescent="0.3">
      <c r="A1154">
        <v>413</v>
      </c>
      <c r="B1154">
        <v>1</v>
      </c>
      <c r="C1154">
        <v>8</v>
      </c>
      <c r="D1154">
        <v>2</v>
      </c>
      <c r="E1154" s="1">
        <v>1799.99</v>
      </c>
      <c r="F1154" s="1">
        <v>0.05</v>
      </c>
      <c r="G1154">
        <v>3599.98</v>
      </c>
      <c r="H1154" s="22">
        <f>VLOOKUP(A1154,[1]Orders!$A$2:$B$1616,2,0)</f>
        <v>42615</v>
      </c>
      <c r="J1154" t="s">
        <v>12</v>
      </c>
      <c r="K1154" t="s">
        <v>18</v>
      </c>
    </row>
    <row r="1155" spans="1:11" x14ac:dyDescent="0.3">
      <c r="A1155">
        <v>413</v>
      </c>
      <c r="B1155">
        <v>2</v>
      </c>
      <c r="C1155">
        <v>25</v>
      </c>
      <c r="D1155">
        <v>1</v>
      </c>
      <c r="E1155" s="1">
        <v>499.99</v>
      </c>
      <c r="F1155" s="1">
        <v>0.1</v>
      </c>
      <c r="G1155">
        <v>499.99</v>
      </c>
      <c r="H1155" s="22">
        <f>VLOOKUP(A1155,[1]Orders!$A$2:$B$1616,2,0)</f>
        <v>42615</v>
      </c>
      <c r="J1155" t="s">
        <v>35</v>
      </c>
      <c r="K1155" t="s">
        <v>18</v>
      </c>
    </row>
    <row r="1156" spans="1:11" x14ac:dyDescent="0.3">
      <c r="A1156">
        <v>413</v>
      </c>
      <c r="B1156">
        <v>3</v>
      </c>
      <c r="C1156">
        <v>9</v>
      </c>
      <c r="D1156">
        <v>1</v>
      </c>
      <c r="E1156" s="1">
        <v>2999.99</v>
      </c>
      <c r="F1156" s="1">
        <v>7.0000000000000007E-2</v>
      </c>
      <c r="G1156">
        <v>2999.99</v>
      </c>
      <c r="H1156" s="22">
        <f>VLOOKUP(A1156,[1]Orders!$A$2:$B$1616,2,0)</f>
        <v>42615</v>
      </c>
      <c r="J1156" t="s">
        <v>26</v>
      </c>
      <c r="K1156" t="s">
        <v>18</v>
      </c>
    </row>
    <row r="1157" spans="1:11" x14ac:dyDescent="0.3">
      <c r="A1157">
        <v>414</v>
      </c>
      <c r="B1157">
        <v>1</v>
      </c>
      <c r="C1157">
        <v>4</v>
      </c>
      <c r="D1157">
        <v>2</v>
      </c>
      <c r="E1157" s="1">
        <v>2899.99</v>
      </c>
      <c r="F1157" s="1">
        <v>0.1</v>
      </c>
      <c r="G1157">
        <v>5799.98</v>
      </c>
      <c r="H1157" s="22">
        <f>VLOOKUP(A1157,[1]Orders!$A$2:$B$1616,2,0)</f>
        <v>42616</v>
      </c>
      <c r="J1157" t="s">
        <v>16</v>
      </c>
      <c r="K1157" t="s">
        <v>18</v>
      </c>
    </row>
    <row r="1158" spans="1:11" x14ac:dyDescent="0.3">
      <c r="A1158">
        <v>415</v>
      </c>
      <c r="B1158">
        <v>1</v>
      </c>
      <c r="C1158">
        <v>3</v>
      </c>
      <c r="D1158">
        <v>1</v>
      </c>
      <c r="E1158" s="1">
        <v>999.99</v>
      </c>
      <c r="F1158" s="1">
        <v>7.0000000000000007E-2</v>
      </c>
      <c r="G1158">
        <v>999.99</v>
      </c>
      <c r="H1158" s="22">
        <f>VLOOKUP(A1158,[1]Orders!$A$2:$B$1616,2,0)</f>
        <v>42616</v>
      </c>
      <c r="J1158" t="s">
        <v>20</v>
      </c>
      <c r="K1158" t="s">
        <v>18</v>
      </c>
    </row>
    <row r="1159" spans="1:11" x14ac:dyDescent="0.3">
      <c r="A1159">
        <v>415</v>
      </c>
      <c r="B1159">
        <v>2</v>
      </c>
      <c r="C1159">
        <v>23</v>
      </c>
      <c r="D1159">
        <v>2</v>
      </c>
      <c r="E1159" s="1">
        <v>299.99</v>
      </c>
      <c r="F1159" s="1">
        <v>0.2</v>
      </c>
      <c r="G1159">
        <v>599.98</v>
      </c>
      <c r="H1159" s="22">
        <f>VLOOKUP(A1159,[1]Orders!$A$2:$B$1616,2,0)</f>
        <v>42616</v>
      </c>
      <c r="J1159" t="s">
        <v>33</v>
      </c>
      <c r="K1159" t="s">
        <v>18</v>
      </c>
    </row>
    <row r="1160" spans="1:11" x14ac:dyDescent="0.3">
      <c r="A1160">
        <v>415</v>
      </c>
      <c r="B1160">
        <v>3</v>
      </c>
      <c r="C1160">
        <v>5</v>
      </c>
      <c r="D1160">
        <v>1</v>
      </c>
      <c r="E1160" s="1">
        <v>1320.99</v>
      </c>
      <c r="F1160" s="1">
        <v>0.2</v>
      </c>
      <c r="G1160">
        <v>1320.99</v>
      </c>
      <c r="H1160" s="22">
        <f>VLOOKUP(A1160,[1]Orders!$A$2:$B$1616,2,0)</f>
        <v>42616</v>
      </c>
      <c r="J1160" t="s">
        <v>34</v>
      </c>
      <c r="K1160" t="s">
        <v>18</v>
      </c>
    </row>
    <row r="1161" spans="1:11" x14ac:dyDescent="0.3">
      <c r="A1161">
        <v>415</v>
      </c>
      <c r="B1161">
        <v>4</v>
      </c>
      <c r="C1161">
        <v>6</v>
      </c>
      <c r="D1161">
        <v>2</v>
      </c>
      <c r="E1161" s="1">
        <v>469.99</v>
      </c>
      <c r="F1161" s="1">
        <v>0.05</v>
      </c>
      <c r="G1161">
        <v>939.98</v>
      </c>
      <c r="H1161" s="22">
        <f>VLOOKUP(A1161,[1]Orders!$A$2:$B$1616,2,0)</f>
        <v>42616</v>
      </c>
      <c r="J1161" t="s">
        <v>32</v>
      </c>
      <c r="K1161" t="s">
        <v>18</v>
      </c>
    </row>
    <row r="1162" spans="1:11" x14ac:dyDescent="0.3">
      <c r="A1162">
        <v>416</v>
      </c>
      <c r="B1162">
        <v>1</v>
      </c>
      <c r="C1162">
        <v>22</v>
      </c>
      <c r="D1162">
        <v>1</v>
      </c>
      <c r="E1162" s="1">
        <v>269.99</v>
      </c>
      <c r="F1162" s="1">
        <v>7.0000000000000007E-2</v>
      </c>
      <c r="G1162">
        <v>269.99</v>
      </c>
      <c r="H1162" s="22">
        <f>VLOOKUP(A1162,[1]Orders!$A$2:$B$1616,2,0)</f>
        <v>42616</v>
      </c>
      <c r="J1162" t="s">
        <v>28</v>
      </c>
      <c r="K1162" t="s">
        <v>18</v>
      </c>
    </row>
    <row r="1163" spans="1:11" x14ac:dyDescent="0.3">
      <c r="A1163">
        <v>416</v>
      </c>
      <c r="B1163">
        <v>2</v>
      </c>
      <c r="C1163">
        <v>14</v>
      </c>
      <c r="D1163">
        <v>1</v>
      </c>
      <c r="E1163" s="1">
        <v>269.99</v>
      </c>
      <c r="F1163" s="1">
        <v>7.0000000000000007E-2</v>
      </c>
      <c r="G1163">
        <v>269.99</v>
      </c>
      <c r="H1163" s="22">
        <f>VLOOKUP(A1163,[1]Orders!$A$2:$B$1616,2,0)</f>
        <v>42616</v>
      </c>
      <c r="J1163" t="s">
        <v>28</v>
      </c>
      <c r="K1163" t="s">
        <v>18</v>
      </c>
    </row>
    <row r="1164" spans="1:11" x14ac:dyDescent="0.3">
      <c r="A1164">
        <v>416</v>
      </c>
      <c r="B1164">
        <v>3</v>
      </c>
      <c r="C1164">
        <v>24</v>
      </c>
      <c r="D1164">
        <v>1</v>
      </c>
      <c r="E1164" s="1">
        <v>549.99</v>
      </c>
      <c r="F1164" s="1">
        <v>0.1</v>
      </c>
      <c r="G1164">
        <v>549.99</v>
      </c>
      <c r="H1164" s="22">
        <f>VLOOKUP(A1164,[1]Orders!$A$2:$B$1616,2,0)</f>
        <v>42616</v>
      </c>
      <c r="J1164" t="s">
        <v>25</v>
      </c>
      <c r="K1164" t="s">
        <v>18</v>
      </c>
    </row>
    <row r="1165" spans="1:11" x14ac:dyDescent="0.3">
      <c r="A1165">
        <v>417</v>
      </c>
      <c r="B1165">
        <v>1</v>
      </c>
      <c r="C1165">
        <v>26</v>
      </c>
      <c r="D1165">
        <v>2</v>
      </c>
      <c r="E1165" s="1">
        <v>599.99</v>
      </c>
      <c r="F1165" s="1">
        <v>7.0000000000000007E-2</v>
      </c>
      <c r="G1165">
        <v>1199.98</v>
      </c>
      <c r="H1165" s="22">
        <f>VLOOKUP(A1165,[1]Orders!$A$2:$B$1616,2,0)</f>
        <v>42617</v>
      </c>
      <c r="J1165" t="s">
        <v>14</v>
      </c>
      <c r="K1165" t="s">
        <v>11</v>
      </c>
    </row>
    <row r="1166" spans="1:11" x14ac:dyDescent="0.3">
      <c r="A1166">
        <v>417</v>
      </c>
      <c r="B1166">
        <v>2</v>
      </c>
      <c r="C1166">
        <v>6</v>
      </c>
      <c r="D1166">
        <v>2</v>
      </c>
      <c r="E1166" s="1">
        <v>469.99</v>
      </c>
      <c r="F1166" s="1">
        <v>7.0000000000000007E-2</v>
      </c>
      <c r="G1166">
        <v>939.98</v>
      </c>
      <c r="H1166" s="22">
        <f>VLOOKUP(A1166,[1]Orders!$A$2:$B$1616,2,0)</f>
        <v>42617</v>
      </c>
      <c r="J1166" t="s">
        <v>32</v>
      </c>
      <c r="K1166" t="s">
        <v>11</v>
      </c>
    </row>
    <row r="1167" spans="1:11" x14ac:dyDescent="0.3">
      <c r="A1167">
        <v>418</v>
      </c>
      <c r="B1167">
        <v>1</v>
      </c>
      <c r="C1167">
        <v>12</v>
      </c>
      <c r="D1167">
        <v>1</v>
      </c>
      <c r="E1167" s="1">
        <v>549.99</v>
      </c>
      <c r="F1167" s="1">
        <v>0.05</v>
      </c>
      <c r="G1167">
        <v>549.99</v>
      </c>
      <c r="H1167" s="22">
        <f>VLOOKUP(A1167,[1]Orders!$A$2:$B$1616,2,0)</f>
        <v>42617</v>
      </c>
      <c r="J1167" t="s">
        <v>25</v>
      </c>
      <c r="K1167" t="s">
        <v>18</v>
      </c>
    </row>
    <row r="1168" spans="1:11" x14ac:dyDescent="0.3">
      <c r="A1168">
        <v>418</v>
      </c>
      <c r="B1168">
        <v>2</v>
      </c>
      <c r="C1168">
        <v>20</v>
      </c>
      <c r="D1168">
        <v>1</v>
      </c>
      <c r="E1168" s="1">
        <v>599.99</v>
      </c>
      <c r="F1168" s="1">
        <v>0.05</v>
      </c>
      <c r="G1168">
        <v>599.99</v>
      </c>
      <c r="H1168" s="22">
        <f>VLOOKUP(A1168,[1]Orders!$A$2:$B$1616,2,0)</f>
        <v>42617</v>
      </c>
      <c r="J1168" t="s">
        <v>10</v>
      </c>
      <c r="K1168" t="s">
        <v>18</v>
      </c>
    </row>
    <row r="1169" spans="1:11" x14ac:dyDescent="0.3">
      <c r="A1169">
        <v>419</v>
      </c>
      <c r="B1169">
        <v>1</v>
      </c>
      <c r="C1169">
        <v>9</v>
      </c>
      <c r="D1169">
        <v>1</v>
      </c>
      <c r="E1169" s="1">
        <v>2999.99</v>
      </c>
      <c r="F1169" s="1">
        <v>0.05</v>
      </c>
      <c r="G1169">
        <v>2999.99</v>
      </c>
      <c r="H1169" s="22">
        <f>VLOOKUP(A1169,[1]Orders!$A$2:$B$1616,2,0)</f>
        <v>42617</v>
      </c>
      <c r="J1169" t="s">
        <v>26</v>
      </c>
      <c r="K1169" t="s">
        <v>37</v>
      </c>
    </row>
    <row r="1170" spans="1:11" x14ac:dyDescent="0.3">
      <c r="A1170">
        <v>420</v>
      </c>
      <c r="B1170">
        <v>1</v>
      </c>
      <c r="C1170">
        <v>17</v>
      </c>
      <c r="D1170">
        <v>2</v>
      </c>
      <c r="E1170" s="1">
        <v>429</v>
      </c>
      <c r="F1170" s="1">
        <v>0.2</v>
      </c>
      <c r="G1170">
        <v>858</v>
      </c>
      <c r="H1170" s="22">
        <f>VLOOKUP(A1170,[1]Orders!$A$2:$B$1616,2,0)</f>
        <v>42618</v>
      </c>
      <c r="J1170" t="s">
        <v>23</v>
      </c>
      <c r="K1170" t="s">
        <v>11</v>
      </c>
    </row>
    <row r="1171" spans="1:11" x14ac:dyDescent="0.3">
      <c r="A1171">
        <v>420</v>
      </c>
      <c r="B1171">
        <v>2</v>
      </c>
      <c r="C1171">
        <v>15</v>
      </c>
      <c r="D1171">
        <v>2</v>
      </c>
      <c r="E1171" s="1">
        <v>529.99</v>
      </c>
      <c r="F1171" s="1">
        <v>0.1</v>
      </c>
      <c r="G1171">
        <v>1059.98</v>
      </c>
      <c r="H1171" s="22">
        <f>VLOOKUP(A1171,[1]Orders!$A$2:$B$1616,2,0)</f>
        <v>42618</v>
      </c>
      <c r="J1171" t="s">
        <v>27</v>
      </c>
      <c r="K1171" t="s">
        <v>11</v>
      </c>
    </row>
    <row r="1172" spans="1:11" x14ac:dyDescent="0.3">
      <c r="A1172">
        <v>420</v>
      </c>
      <c r="B1172">
        <v>3</v>
      </c>
      <c r="C1172">
        <v>3</v>
      </c>
      <c r="D1172">
        <v>2</v>
      </c>
      <c r="E1172" s="1">
        <v>999.99</v>
      </c>
      <c r="F1172" s="1">
        <v>0.05</v>
      </c>
      <c r="G1172">
        <v>1999.98</v>
      </c>
      <c r="H1172" s="22">
        <f>VLOOKUP(A1172,[1]Orders!$A$2:$B$1616,2,0)</f>
        <v>42618</v>
      </c>
      <c r="J1172" t="s">
        <v>20</v>
      </c>
      <c r="K1172" t="s">
        <v>11</v>
      </c>
    </row>
    <row r="1173" spans="1:11" x14ac:dyDescent="0.3">
      <c r="A1173">
        <v>421</v>
      </c>
      <c r="B1173">
        <v>1</v>
      </c>
      <c r="C1173">
        <v>6</v>
      </c>
      <c r="D1173">
        <v>2</v>
      </c>
      <c r="E1173" s="1">
        <v>469.99</v>
      </c>
      <c r="F1173" s="1">
        <v>7.0000000000000007E-2</v>
      </c>
      <c r="G1173">
        <v>939.98</v>
      </c>
      <c r="H1173" s="22">
        <f>VLOOKUP(A1173,[1]Orders!$A$2:$B$1616,2,0)</f>
        <v>42618</v>
      </c>
      <c r="J1173" t="s">
        <v>32</v>
      </c>
      <c r="K1173" t="s">
        <v>11</v>
      </c>
    </row>
    <row r="1174" spans="1:11" x14ac:dyDescent="0.3">
      <c r="A1174">
        <v>421</v>
      </c>
      <c r="B1174">
        <v>2</v>
      </c>
      <c r="C1174">
        <v>3</v>
      </c>
      <c r="D1174">
        <v>2</v>
      </c>
      <c r="E1174" s="1">
        <v>999.99</v>
      </c>
      <c r="F1174" s="1">
        <v>0.2</v>
      </c>
      <c r="G1174">
        <v>1999.98</v>
      </c>
      <c r="H1174" s="22">
        <f>VLOOKUP(A1174,[1]Orders!$A$2:$B$1616,2,0)</f>
        <v>42618</v>
      </c>
      <c r="J1174" t="s">
        <v>20</v>
      </c>
      <c r="K1174" t="s">
        <v>11</v>
      </c>
    </row>
    <row r="1175" spans="1:11" x14ac:dyDescent="0.3">
      <c r="A1175">
        <v>421</v>
      </c>
      <c r="B1175">
        <v>3</v>
      </c>
      <c r="C1175">
        <v>20</v>
      </c>
      <c r="D1175">
        <v>2</v>
      </c>
      <c r="E1175" s="1">
        <v>599.99</v>
      </c>
      <c r="F1175" s="1">
        <v>0.2</v>
      </c>
      <c r="G1175">
        <v>1199.98</v>
      </c>
      <c r="H1175" s="22">
        <f>VLOOKUP(A1175,[1]Orders!$A$2:$B$1616,2,0)</f>
        <v>42618</v>
      </c>
      <c r="J1175" t="s">
        <v>10</v>
      </c>
      <c r="K1175" t="s">
        <v>11</v>
      </c>
    </row>
    <row r="1176" spans="1:11" x14ac:dyDescent="0.3">
      <c r="A1176">
        <v>421</v>
      </c>
      <c r="B1176">
        <v>4</v>
      </c>
      <c r="C1176">
        <v>4</v>
      </c>
      <c r="D1176">
        <v>1</v>
      </c>
      <c r="E1176" s="1">
        <v>2899.99</v>
      </c>
      <c r="F1176" s="1">
        <v>7.0000000000000007E-2</v>
      </c>
      <c r="G1176">
        <v>2899.99</v>
      </c>
      <c r="H1176" s="22">
        <f>VLOOKUP(A1176,[1]Orders!$A$2:$B$1616,2,0)</f>
        <v>42618</v>
      </c>
      <c r="J1176" t="s">
        <v>16</v>
      </c>
      <c r="K1176" t="s">
        <v>11</v>
      </c>
    </row>
    <row r="1177" spans="1:11" x14ac:dyDescent="0.3">
      <c r="A1177">
        <v>421</v>
      </c>
      <c r="B1177">
        <v>5</v>
      </c>
      <c r="C1177">
        <v>23</v>
      </c>
      <c r="D1177">
        <v>2</v>
      </c>
      <c r="E1177" s="1">
        <v>299.99</v>
      </c>
      <c r="F1177" s="1">
        <v>0.2</v>
      </c>
      <c r="G1177">
        <v>599.98</v>
      </c>
      <c r="H1177" s="22">
        <f>VLOOKUP(A1177,[1]Orders!$A$2:$B$1616,2,0)</f>
        <v>42618</v>
      </c>
      <c r="J1177" t="s">
        <v>33</v>
      </c>
      <c r="K1177" t="s">
        <v>11</v>
      </c>
    </row>
    <row r="1178" spans="1:11" x14ac:dyDescent="0.3">
      <c r="A1178">
        <v>422</v>
      </c>
      <c r="B1178">
        <v>1</v>
      </c>
      <c r="C1178">
        <v>20</v>
      </c>
      <c r="D1178">
        <v>2</v>
      </c>
      <c r="E1178" s="1">
        <v>599.99</v>
      </c>
      <c r="F1178" s="1">
        <v>0.05</v>
      </c>
      <c r="G1178">
        <v>1199.98</v>
      </c>
      <c r="H1178" s="22">
        <f>VLOOKUP(A1178,[1]Orders!$A$2:$B$1616,2,0)</f>
        <v>42619</v>
      </c>
      <c r="J1178" t="s">
        <v>10</v>
      </c>
      <c r="K1178" t="s">
        <v>18</v>
      </c>
    </row>
    <row r="1179" spans="1:11" x14ac:dyDescent="0.3">
      <c r="A1179">
        <v>423</v>
      </c>
      <c r="B1179">
        <v>1</v>
      </c>
      <c r="C1179">
        <v>8</v>
      </c>
      <c r="D1179">
        <v>2</v>
      </c>
      <c r="E1179" s="1">
        <v>1799.99</v>
      </c>
      <c r="F1179" s="1">
        <v>0.05</v>
      </c>
      <c r="G1179">
        <v>3599.98</v>
      </c>
      <c r="H1179" s="22">
        <f>VLOOKUP(A1179,[1]Orders!$A$2:$B$1616,2,0)</f>
        <v>42619</v>
      </c>
      <c r="J1179" t="s">
        <v>12</v>
      </c>
      <c r="K1179" t="s">
        <v>18</v>
      </c>
    </row>
    <row r="1180" spans="1:11" x14ac:dyDescent="0.3">
      <c r="A1180">
        <v>423</v>
      </c>
      <c r="B1180">
        <v>2</v>
      </c>
      <c r="C1180">
        <v>17</v>
      </c>
      <c r="D1180">
        <v>1</v>
      </c>
      <c r="E1180" s="1">
        <v>429</v>
      </c>
      <c r="F1180" s="1">
        <v>0.2</v>
      </c>
      <c r="G1180">
        <v>429</v>
      </c>
      <c r="H1180" s="22">
        <f>VLOOKUP(A1180,[1]Orders!$A$2:$B$1616,2,0)</f>
        <v>42619</v>
      </c>
      <c r="J1180" t="s">
        <v>23</v>
      </c>
      <c r="K1180" t="s">
        <v>18</v>
      </c>
    </row>
    <row r="1181" spans="1:11" x14ac:dyDescent="0.3">
      <c r="A1181">
        <v>423</v>
      </c>
      <c r="B1181">
        <v>3</v>
      </c>
      <c r="C1181">
        <v>23</v>
      </c>
      <c r="D1181">
        <v>2</v>
      </c>
      <c r="E1181" s="1">
        <v>299.99</v>
      </c>
      <c r="F1181" s="1">
        <v>7.0000000000000007E-2</v>
      </c>
      <c r="G1181">
        <v>599.98</v>
      </c>
      <c r="H1181" s="22">
        <f>VLOOKUP(A1181,[1]Orders!$A$2:$B$1616,2,0)</f>
        <v>42619</v>
      </c>
      <c r="J1181" t="s">
        <v>33</v>
      </c>
      <c r="K1181" t="s">
        <v>18</v>
      </c>
    </row>
    <row r="1182" spans="1:11" x14ac:dyDescent="0.3">
      <c r="A1182">
        <v>423</v>
      </c>
      <c r="B1182">
        <v>4</v>
      </c>
      <c r="C1182">
        <v>2</v>
      </c>
      <c r="D1182">
        <v>1</v>
      </c>
      <c r="E1182" s="1">
        <v>749.99</v>
      </c>
      <c r="F1182" s="1">
        <v>0.2</v>
      </c>
      <c r="G1182">
        <v>749.99</v>
      </c>
      <c r="H1182" s="22">
        <f>VLOOKUP(A1182,[1]Orders!$A$2:$B$1616,2,0)</f>
        <v>42619</v>
      </c>
      <c r="J1182" t="s">
        <v>22</v>
      </c>
      <c r="K1182" t="s">
        <v>18</v>
      </c>
    </row>
    <row r="1183" spans="1:11" x14ac:dyDescent="0.3">
      <c r="A1183">
        <v>424</v>
      </c>
      <c r="B1183">
        <v>1</v>
      </c>
      <c r="C1183">
        <v>22</v>
      </c>
      <c r="D1183">
        <v>1</v>
      </c>
      <c r="E1183" s="1">
        <v>269.99</v>
      </c>
      <c r="F1183" s="1">
        <v>0.1</v>
      </c>
      <c r="G1183">
        <v>269.99</v>
      </c>
      <c r="H1183" s="22">
        <f>VLOOKUP(A1183,[1]Orders!$A$2:$B$1616,2,0)</f>
        <v>42621</v>
      </c>
      <c r="J1183" t="s">
        <v>28</v>
      </c>
      <c r="K1183" t="s">
        <v>11</v>
      </c>
    </row>
    <row r="1184" spans="1:11" x14ac:dyDescent="0.3">
      <c r="A1184">
        <v>424</v>
      </c>
      <c r="B1184">
        <v>2</v>
      </c>
      <c r="C1184">
        <v>6</v>
      </c>
      <c r="D1184">
        <v>1</v>
      </c>
      <c r="E1184" s="1">
        <v>469.99</v>
      </c>
      <c r="F1184" s="1">
        <v>0.05</v>
      </c>
      <c r="G1184">
        <v>469.99</v>
      </c>
      <c r="H1184" s="22">
        <f>VLOOKUP(A1184,[1]Orders!$A$2:$B$1616,2,0)</f>
        <v>42621</v>
      </c>
      <c r="J1184" t="s">
        <v>32</v>
      </c>
      <c r="K1184" t="s">
        <v>11</v>
      </c>
    </row>
    <row r="1185" spans="1:11" x14ac:dyDescent="0.3">
      <c r="A1185">
        <v>425</v>
      </c>
      <c r="B1185">
        <v>1</v>
      </c>
      <c r="C1185">
        <v>6</v>
      </c>
      <c r="D1185">
        <v>1</v>
      </c>
      <c r="E1185" s="1">
        <v>469.99</v>
      </c>
      <c r="F1185" s="1">
        <v>0.1</v>
      </c>
      <c r="G1185">
        <v>469.99</v>
      </c>
      <c r="H1185" s="22">
        <f>VLOOKUP(A1185,[1]Orders!$A$2:$B$1616,2,0)</f>
        <v>42621</v>
      </c>
      <c r="J1185" t="s">
        <v>32</v>
      </c>
      <c r="K1185" t="s">
        <v>18</v>
      </c>
    </row>
    <row r="1186" spans="1:11" x14ac:dyDescent="0.3">
      <c r="A1186">
        <v>425</v>
      </c>
      <c r="B1186">
        <v>2</v>
      </c>
      <c r="C1186">
        <v>21</v>
      </c>
      <c r="D1186">
        <v>2</v>
      </c>
      <c r="E1186" s="1">
        <v>269.99</v>
      </c>
      <c r="F1186" s="1">
        <v>7.0000000000000007E-2</v>
      </c>
      <c r="G1186">
        <v>539.98</v>
      </c>
      <c r="H1186" s="22">
        <f>VLOOKUP(A1186,[1]Orders!$A$2:$B$1616,2,0)</f>
        <v>42621</v>
      </c>
      <c r="J1186" t="s">
        <v>31</v>
      </c>
      <c r="K1186" t="s">
        <v>18</v>
      </c>
    </row>
    <row r="1187" spans="1:11" x14ac:dyDescent="0.3">
      <c r="A1187">
        <v>425</v>
      </c>
      <c r="B1187">
        <v>3</v>
      </c>
      <c r="C1187">
        <v>19</v>
      </c>
      <c r="D1187">
        <v>1</v>
      </c>
      <c r="E1187" s="1">
        <v>449</v>
      </c>
      <c r="F1187" s="1">
        <v>0.05</v>
      </c>
      <c r="G1187">
        <v>449</v>
      </c>
      <c r="H1187" s="22">
        <f>VLOOKUP(A1187,[1]Orders!$A$2:$B$1616,2,0)</f>
        <v>42621</v>
      </c>
      <c r="J1187" t="s">
        <v>36</v>
      </c>
      <c r="K1187" t="s">
        <v>18</v>
      </c>
    </row>
    <row r="1188" spans="1:11" x14ac:dyDescent="0.3">
      <c r="A1188">
        <v>426</v>
      </c>
      <c r="B1188">
        <v>1</v>
      </c>
      <c r="C1188">
        <v>10</v>
      </c>
      <c r="D1188">
        <v>1</v>
      </c>
      <c r="E1188" s="1">
        <v>1549</v>
      </c>
      <c r="F1188" s="1">
        <v>0.1</v>
      </c>
      <c r="G1188">
        <v>1549</v>
      </c>
      <c r="H1188" s="22">
        <f>VLOOKUP(A1188,[1]Orders!$A$2:$B$1616,2,0)</f>
        <v>42621</v>
      </c>
      <c r="J1188" t="s">
        <v>13</v>
      </c>
      <c r="K1188" t="s">
        <v>18</v>
      </c>
    </row>
    <row r="1189" spans="1:11" x14ac:dyDescent="0.3">
      <c r="A1189">
        <v>426</v>
      </c>
      <c r="B1189">
        <v>2</v>
      </c>
      <c r="C1189">
        <v>23</v>
      </c>
      <c r="D1189">
        <v>2</v>
      </c>
      <c r="E1189" s="1">
        <v>299.99</v>
      </c>
      <c r="F1189" s="1">
        <v>0.05</v>
      </c>
      <c r="G1189">
        <v>599.98</v>
      </c>
      <c r="H1189" s="22">
        <f>VLOOKUP(A1189,[1]Orders!$A$2:$B$1616,2,0)</f>
        <v>42621</v>
      </c>
      <c r="J1189" t="s">
        <v>33</v>
      </c>
      <c r="K1189" t="s">
        <v>18</v>
      </c>
    </row>
    <row r="1190" spans="1:11" x14ac:dyDescent="0.3">
      <c r="A1190">
        <v>427</v>
      </c>
      <c r="B1190">
        <v>1</v>
      </c>
      <c r="C1190">
        <v>12</v>
      </c>
      <c r="D1190">
        <v>2</v>
      </c>
      <c r="E1190" s="1">
        <v>549.99</v>
      </c>
      <c r="F1190" s="1">
        <v>7.0000000000000007E-2</v>
      </c>
      <c r="G1190">
        <v>1099.98</v>
      </c>
      <c r="H1190" s="22">
        <f>VLOOKUP(A1190,[1]Orders!$A$2:$B$1616,2,0)</f>
        <v>42622</v>
      </c>
      <c r="J1190" t="s">
        <v>25</v>
      </c>
      <c r="K1190" t="s">
        <v>11</v>
      </c>
    </row>
    <row r="1191" spans="1:11" x14ac:dyDescent="0.3">
      <c r="A1191">
        <v>427</v>
      </c>
      <c r="B1191">
        <v>2</v>
      </c>
      <c r="C1191">
        <v>15</v>
      </c>
      <c r="D1191">
        <v>2</v>
      </c>
      <c r="E1191" s="1">
        <v>529.99</v>
      </c>
      <c r="F1191" s="1">
        <v>0.1</v>
      </c>
      <c r="G1191">
        <v>1059.98</v>
      </c>
      <c r="H1191" s="22">
        <f>VLOOKUP(A1191,[1]Orders!$A$2:$B$1616,2,0)</f>
        <v>42622</v>
      </c>
      <c r="J1191" t="s">
        <v>27</v>
      </c>
      <c r="K1191" t="s">
        <v>11</v>
      </c>
    </row>
    <row r="1192" spans="1:11" x14ac:dyDescent="0.3">
      <c r="A1192">
        <v>427</v>
      </c>
      <c r="B1192">
        <v>3</v>
      </c>
      <c r="C1192">
        <v>26</v>
      </c>
      <c r="D1192">
        <v>2</v>
      </c>
      <c r="E1192" s="1">
        <v>599.99</v>
      </c>
      <c r="F1192" s="1">
        <v>7.0000000000000007E-2</v>
      </c>
      <c r="G1192">
        <v>1199.98</v>
      </c>
      <c r="H1192" s="22">
        <f>VLOOKUP(A1192,[1]Orders!$A$2:$B$1616,2,0)</f>
        <v>42622</v>
      </c>
      <c r="J1192" t="s">
        <v>14</v>
      </c>
      <c r="K1192" t="s">
        <v>11</v>
      </c>
    </row>
    <row r="1193" spans="1:11" x14ac:dyDescent="0.3">
      <c r="A1193">
        <v>428</v>
      </c>
      <c r="B1193">
        <v>1</v>
      </c>
      <c r="C1193">
        <v>5</v>
      </c>
      <c r="D1193">
        <v>2</v>
      </c>
      <c r="E1193" s="1">
        <v>1320.99</v>
      </c>
      <c r="F1193" s="1">
        <v>0.2</v>
      </c>
      <c r="G1193">
        <v>2641.98</v>
      </c>
      <c r="H1193" s="22">
        <f>VLOOKUP(A1193,[1]Orders!$A$2:$B$1616,2,0)</f>
        <v>42622</v>
      </c>
      <c r="J1193" t="s">
        <v>34</v>
      </c>
      <c r="K1193" t="s">
        <v>18</v>
      </c>
    </row>
    <row r="1194" spans="1:11" x14ac:dyDescent="0.3">
      <c r="A1194">
        <v>428</v>
      </c>
      <c r="B1194">
        <v>2</v>
      </c>
      <c r="C1194">
        <v>14</v>
      </c>
      <c r="D1194">
        <v>1</v>
      </c>
      <c r="E1194" s="1">
        <v>269.99</v>
      </c>
      <c r="F1194" s="1">
        <v>0.2</v>
      </c>
      <c r="G1194">
        <v>269.99</v>
      </c>
      <c r="H1194" s="22">
        <f>VLOOKUP(A1194,[1]Orders!$A$2:$B$1616,2,0)</f>
        <v>42622</v>
      </c>
      <c r="J1194" t="s">
        <v>28</v>
      </c>
      <c r="K1194" t="s">
        <v>18</v>
      </c>
    </row>
    <row r="1195" spans="1:11" x14ac:dyDescent="0.3">
      <c r="A1195">
        <v>429</v>
      </c>
      <c r="B1195">
        <v>1</v>
      </c>
      <c r="C1195">
        <v>11</v>
      </c>
      <c r="D1195">
        <v>1</v>
      </c>
      <c r="E1195" s="1">
        <v>1680.99</v>
      </c>
      <c r="F1195" s="1">
        <v>0.2</v>
      </c>
      <c r="G1195">
        <v>1680.99</v>
      </c>
      <c r="H1195" s="22">
        <f>VLOOKUP(A1195,[1]Orders!$A$2:$B$1616,2,0)</f>
        <v>42623</v>
      </c>
      <c r="J1195" t="s">
        <v>30</v>
      </c>
      <c r="K1195" t="s">
        <v>37</v>
      </c>
    </row>
    <row r="1196" spans="1:11" x14ac:dyDescent="0.3">
      <c r="A1196">
        <v>429</v>
      </c>
      <c r="B1196">
        <v>2</v>
      </c>
      <c r="C1196">
        <v>4</v>
      </c>
      <c r="D1196">
        <v>2</v>
      </c>
      <c r="E1196" s="1">
        <v>2899.99</v>
      </c>
      <c r="F1196" s="1">
        <v>0.1</v>
      </c>
      <c r="G1196">
        <v>5799.98</v>
      </c>
      <c r="H1196" s="22">
        <f>VLOOKUP(A1196,[1]Orders!$A$2:$B$1616,2,0)</f>
        <v>42623</v>
      </c>
      <c r="J1196" t="s">
        <v>16</v>
      </c>
      <c r="K1196" t="s">
        <v>37</v>
      </c>
    </row>
    <row r="1197" spans="1:11" x14ac:dyDescent="0.3">
      <c r="A1197">
        <v>429</v>
      </c>
      <c r="B1197">
        <v>3</v>
      </c>
      <c r="C1197">
        <v>5</v>
      </c>
      <c r="D1197">
        <v>2</v>
      </c>
      <c r="E1197" s="1">
        <v>1320.99</v>
      </c>
      <c r="F1197" s="1">
        <v>0.05</v>
      </c>
      <c r="G1197">
        <v>2641.98</v>
      </c>
      <c r="H1197" s="22">
        <f>VLOOKUP(A1197,[1]Orders!$A$2:$B$1616,2,0)</f>
        <v>42623</v>
      </c>
      <c r="J1197" t="s">
        <v>34</v>
      </c>
      <c r="K1197" t="s">
        <v>37</v>
      </c>
    </row>
    <row r="1198" spans="1:11" x14ac:dyDescent="0.3">
      <c r="A1198">
        <v>429</v>
      </c>
      <c r="B1198">
        <v>4</v>
      </c>
      <c r="C1198">
        <v>6</v>
      </c>
      <c r="D1198">
        <v>1</v>
      </c>
      <c r="E1198" s="1">
        <v>469.99</v>
      </c>
      <c r="F1198" s="1">
        <v>7.0000000000000007E-2</v>
      </c>
      <c r="G1198">
        <v>469.99</v>
      </c>
      <c r="H1198" s="22">
        <f>VLOOKUP(A1198,[1]Orders!$A$2:$B$1616,2,0)</f>
        <v>42623</v>
      </c>
      <c r="J1198" t="s">
        <v>32</v>
      </c>
      <c r="K1198" t="s">
        <v>37</v>
      </c>
    </row>
    <row r="1199" spans="1:11" x14ac:dyDescent="0.3">
      <c r="A1199">
        <v>429</v>
      </c>
      <c r="B1199">
        <v>5</v>
      </c>
      <c r="C1199">
        <v>2</v>
      </c>
      <c r="D1199">
        <v>1</v>
      </c>
      <c r="E1199" s="1">
        <v>749.99</v>
      </c>
      <c r="F1199" s="1">
        <v>0.1</v>
      </c>
      <c r="G1199">
        <v>749.99</v>
      </c>
      <c r="H1199" s="22">
        <f>VLOOKUP(A1199,[1]Orders!$A$2:$B$1616,2,0)</f>
        <v>42623</v>
      </c>
      <c r="J1199" t="s">
        <v>22</v>
      </c>
      <c r="K1199" t="s">
        <v>37</v>
      </c>
    </row>
    <row r="1200" spans="1:11" x14ac:dyDescent="0.3">
      <c r="A1200">
        <v>430</v>
      </c>
      <c r="B1200">
        <v>1</v>
      </c>
      <c r="C1200">
        <v>22</v>
      </c>
      <c r="D1200">
        <v>2</v>
      </c>
      <c r="E1200" s="1">
        <v>269.99</v>
      </c>
      <c r="F1200" s="1">
        <v>0.1</v>
      </c>
      <c r="G1200">
        <v>539.98</v>
      </c>
      <c r="H1200" s="22">
        <f>VLOOKUP(A1200,[1]Orders!$A$2:$B$1616,2,0)</f>
        <v>42624</v>
      </c>
      <c r="J1200" t="s">
        <v>28</v>
      </c>
      <c r="K1200" t="s">
        <v>18</v>
      </c>
    </row>
    <row r="1201" spans="1:11" x14ac:dyDescent="0.3">
      <c r="A1201">
        <v>430</v>
      </c>
      <c r="B1201">
        <v>2</v>
      </c>
      <c r="C1201">
        <v>11</v>
      </c>
      <c r="D1201">
        <v>1</v>
      </c>
      <c r="E1201" s="1">
        <v>1680.99</v>
      </c>
      <c r="F1201" s="1">
        <v>7.0000000000000007E-2</v>
      </c>
      <c r="G1201">
        <v>1680.99</v>
      </c>
      <c r="H1201" s="22">
        <f>VLOOKUP(A1201,[1]Orders!$A$2:$B$1616,2,0)</f>
        <v>42624</v>
      </c>
      <c r="J1201" t="s">
        <v>30</v>
      </c>
      <c r="K1201" t="s">
        <v>18</v>
      </c>
    </row>
    <row r="1202" spans="1:11" x14ac:dyDescent="0.3">
      <c r="A1202">
        <v>430</v>
      </c>
      <c r="B1202">
        <v>3</v>
      </c>
      <c r="C1202">
        <v>4</v>
      </c>
      <c r="D1202">
        <v>2</v>
      </c>
      <c r="E1202" s="1">
        <v>2899.99</v>
      </c>
      <c r="F1202" s="1">
        <v>0.2</v>
      </c>
      <c r="G1202">
        <v>5799.98</v>
      </c>
      <c r="H1202" s="22">
        <f>VLOOKUP(A1202,[1]Orders!$A$2:$B$1616,2,0)</f>
        <v>42624</v>
      </c>
      <c r="J1202" t="s">
        <v>16</v>
      </c>
      <c r="K1202" t="s">
        <v>18</v>
      </c>
    </row>
    <row r="1203" spans="1:11" x14ac:dyDescent="0.3">
      <c r="A1203">
        <v>430</v>
      </c>
      <c r="B1203">
        <v>4</v>
      </c>
      <c r="C1203">
        <v>13</v>
      </c>
      <c r="D1203">
        <v>2</v>
      </c>
      <c r="E1203" s="1">
        <v>269.99</v>
      </c>
      <c r="F1203" s="1">
        <v>0.2</v>
      </c>
      <c r="G1203">
        <v>539.98</v>
      </c>
      <c r="H1203" s="22">
        <f>VLOOKUP(A1203,[1]Orders!$A$2:$B$1616,2,0)</f>
        <v>42624</v>
      </c>
      <c r="J1203" t="s">
        <v>31</v>
      </c>
      <c r="K1203" t="s">
        <v>18</v>
      </c>
    </row>
    <row r="1204" spans="1:11" x14ac:dyDescent="0.3">
      <c r="A1204">
        <v>430</v>
      </c>
      <c r="B1204">
        <v>5</v>
      </c>
      <c r="C1204">
        <v>8</v>
      </c>
      <c r="D1204">
        <v>1</v>
      </c>
      <c r="E1204" s="1">
        <v>1799.99</v>
      </c>
      <c r="F1204" s="1">
        <v>0.2</v>
      </c>
      <c r="G1204">
        <v>1799.99</v>
      </c>
      <c r="H1204" s="22">
        <f>VLOOKUP(A1204,[1]Orders!$A$2:$B$1616,2,0)</f>
        <v>42624</v>
      </c>
      <c r="J1204" t="s">
        <v>12</v>
      </c>
      <c r="K1204" t="s">
        <v>18</v>
      </c>
    </row>
    <row r="1205" spans="1:11" x14ac:dyDescent="0.3">
      <c r="A1205">
        <v>431</v>
      </c>
      <c r="B1205">
        <v>1</v>
      </c>
      <c r="C1205">
        <v>14</v>
      </c>
      <c r="D1205">
        <v>2</v>
      </c>
      <c r="E1205" s="1">
        <v>269.99</v>
      </c>
      <c r="F1205" s="1">
        <v>0.2</v>
      </c>
      <c r="G1205">
        <v>539.98</v>
      </c>
      <c r="H1205" s="22">
        <f>VLOOKUP(A1205,[1]Orders!$A$2:$B$1616,2,0)</f>
        <v>42624</v>
      </c>
      <c r="J1205" t="s">
        <v>28</v>
      </c>
      <c r="K1205" t="s">
        <v>18</v>
      </c>
    </row>
    <row r="1206" spans="1:11" x14ac:dyDescent="0.3">
      <c r="A1206">
        <v>431</v>
      </c>
      <c r="B1206">
        <v>2</v>
      </c>
      <c r="C1206">
        <v>6</v>
      </c>
      <c r="D1206">
        <v>1</v>
      </c>
      <c r="E1206" s="1">
        <v>469.99</v>
      </c>
      <c r="F1206" s="1">
        <v>0.1</v>
      </c>
      <c r="G1206">
        <v>469.99</v>
      </c>
      <c r="H1206" s="22">
        <f>VLOOKUP(A1206,[1]Orders!$A$2:$B$1616,2,0)</f>
        <v>42624</v>
      </c>
      <c r="J1206" t="s">
        <v>32</v>
      </c>
      <c r="K1206" t="s">
        <v>18</v>
      </c>
    </row>
    <row r="1207" spans="1:11" x14ac:dyDescent="0.3">
      <c r="A1207">
        <v>431</v>
      </c>
      <c r="B1207">
        <v>3</v>
      </c>
      <c r="C1207">
        <v>18</v>
      </c>
      <c r="D1207">
        <v>1</v>
      </c>
      <c r="E1207" s="1">
        <v>449</v>
      </c>
      <c r="F1207" s="1">
        <v>0.2</v>
      </c>
      <c r="G1207">
        <v>449</v>
      </c>
      <c r="H1207" s="22">
        <f>VLOOKUP(A1207,[1]Orders!$A$2:$B$1616,2,0)</f>
        <v>42624</v>
      </c>
      <c r="J1207" t="s">
        <v>24</v>
      </c>
      <c r="K1207" t="s">
        <v>18</v>
      </c>
    </row>
    <row r="1208" spans="1:11" x14ac:dyDescent="0.3">
      <c r="A1208">
        <v>431</v>
      </c>
      <c r="B1208">
        <v>4</v>
      </c>
      <c r="C1208">
        <v>13</v>
      </c>
      <c r="D1208">
        <v>2</v>
      </c>
      <c r="E1208" s="1">
        <v>269.99</v>
      </c>
      <c r="F1208" s="1">
        <v>7.0000000000000007E-2</v>
      </c>
      <c r="G1208">
        <v>539.98</v>
      </c>
      <c r="H1208" s="22">
        <f>VLOOKUP(A1208,[1]Orders!$A$2:$B$1616,2,0)</f>
        <v>42624</v>
      </c>
      <c r="J1208" t="s">
        <v>31</v>
      </c>
      <c r="K1208" t="s">
        <v>18</v>
      </c>
    </row>
    <row r="1209" spans="1:11" x14ac:dyDescent="0.3">
      <c r="A1209">
        <v>431</v>
      </c>
      <c r="B1209">
        <v>5</v>
      </c>
      <c r="C1209">
        <v>19</v>
      </c>
      <c r="D1209">
        <v>1</v>
      </c>
      <c r="E1209" s="1">
        <v>449</v>
      </c>
      <c r="F1209" s="1">
        <v>7.0000000000000007E-2</v>
      </c>
      <c r="G1209">
        <v>449</v>
      </c>
      <c r="H1209" s="22">
        <f>VLOOKUP(A1209,[1]Orders!$A$2:$B$1616,2,0)</f>
        <v>42624</v>
      </c>
      <c r="J1209" t="s">
        <v>36</v>
      </c>
      <c r="K1209" t="s">
        <v>18</v>
      </c>
    </row>
    <row r="1210" spans="1:11" x14ac:dyDescent="0.3">
      <c r="A1210">
        <v>432</v>
      </c>
      <c r="B1210">
        <v>1</v>
      </c>
      <c r="C1210">
        <v>10</v>
      </c>
      <c r="D1210">
        <v>2</v>
      </c>
      <c r="E1210" s="1">
        <v>1549</v>
      </c>
      <c r="F1210" s="1">
        <v>0.2</v>
      </c>
      <c r="G1210">
        <v>3098</v>
      </c>
      <c r="H1210" s="22">
        <f>VLOOKUP(A1210,[1]Orders!$A$2:$B$1616,2,0)</f>
        <v>42625</v>
      </c>
      <c r="J1210" t="s">
        <v>13</v>
      </c>
      <c r="K1210" t="s">
        <v>11</v>
      </c>
    </row>
    <row r="1211" spans="1:11" x14ac:dyDescent="0.3">
      <c r="A1211">
        <v>432</v>
      </c>
      <c r="B1211">
        <v>2</v>
      </c>
      <c r="C1211">
        <v>7</v>
      </c>
      <c r="D1211">
        <v>2</v>
      </c>
      <c r="E1211" s="1">
        <v>3999.99</v>
      </c>
      <c r="F1211" s="1">
        <v>0.05</v>
      </c>
      <c r="G1211">
        <v>7999.98</v>
      </c>
      <c r="H1211" s="22">
        <f>VLOOKUP(A1211,[1]Orders!$A$2:$B$1616,2,0)</f>
        <v>42625</v>
      </c>
      <c r="J1211" t="s">
        <v>29</v>
      </c>
      <c r="K1211" t="s">
        <v>11</v>
      </c>
    </row>
    <row r="1212" spans="1:11" x14ac:dyDescent="0.3">
      <c r="A1212">
        <v>433</v>
      </c>
      <c r="B1212">
        <v>1</v>
      </c>
      <c r="C1212">
        <v>6</v>
      </c>
      <c r="D1212">
        <v>1</v>
      </c>
      <c r="E1212" s="1">
        <v>469.99</v>
      </c>
      <c r="F1212" s="1">
        <v>0.1</v>
      </c>
      <c r="G1212">
        <v>469.99</v>
      </c>
      <c r="H1212" s="22">
        <f>VLOOKUP(A1212,[1]Orders!$A$2:$B$1616,2,0)</f>
        <v>42625</v>
      </c>
      <c r="J1212" t="s">
        <v>32</v>
      </c>
      <c r="K1212" t="s">
        <v>18</v>
      </c>
    </row>
    <row r="1213" spans="1:11" x14ac:dyDescent="0.3">
      <c r="A1213">
        <v>433</v>
      </c>
      <c r="B1213">
        <v>2</v>
      </c>
      <c r="C1213">
        <v>10</v>
      </c>
      <c r="D1213">
        <v>1</v>
      </c>
      <c r="E1213" s="1">
        <v>1549</v>
      </c>
      <c r="F1213" s="1">
        <v>0.2</v>
      </c>
      <c r="G1213">
        <v>1549</v>
      </c>
      <c r="H1213" s="22">
        <f>VLOOKUP(A1213,[1]Orders!$A$2:$B$1616,2,0)</f>
        <v>42625</v>
      </c>
      <c r="J1213" t="s">
        <v>13</v>
      </c>
      <c r="K1213" t="s">
        <v>18</v>
      </c>
    </row>
    <row r="1214" spans="1:11" x14ac:dyDescent="0.3">
      <c r="A1214">
        <v>433</v>
      </c>
      <c r="B1214">
        <v>3</v>
      </c>
      <c r="C1214">
        <v>24</v>
      </c>
      <c r="D1214">
        <v>1</v>
      </c>
      <c r="E1214" s="1">
        <v>549.99</v>
      </c>
      <c r="F1214" s="1">
        <v>0.1</v>
      </c>
      <c r="G1214">
        <v>549.99</v>
      </c>
      <c r="H1214" s="22">
        <f>VLOOKUP(A1214,[1]Orders!$A$2:$B$1616,2,0)</f>
        <v>42625</v>
      </c>
      <c r="J1214" t="s">
        <v>25</v>
      </c>
      <c r="K1214" t="s">
        <v>18</v>
      </c>
    </row>
    <row r="1215" spans="1:11" x14ac:dyDescent="0.3">
      <c r="A1215">
        <v>433</v>
      </c>
      <c r="B1215">
        <v>4</v>
      </c>
      <c r="C1215">
        <v>4</v>
      </c>
      <c r="D1215">
        <v>1</v>
      </c>
      <c r="E1215" s="1">
        <v>2899.99</v>
      </c>
      <c r="F1215" s="1">
        <v>0.2</v>
      </c>
      <c r="G1215">
        <v>2899.99</v>
      </c>
      <c r="H1215" s="22">
        <f>VLOOKUP(A1215,[1]Orders!$A$2:$B$1616,2,0)</f>
        <v>42625</v>
      </c>
      <c r="J1215" t="s">
        <v>16</v>
      </c>
      <c r="K1215" t="s">
        <v>18</v>
      </c>
    </row>
    <row r="1216" spans="1:11" x14ac:dyDescent="0.3">
      <c r="A1216">
        <v>434</v>
      </c>
      <c r="B1216">
        <v>1</v>
      </c>
      <c r="C1216">
        <v>21</v>
      </c>
      <c r="D1216">
        <v>1</v>
      </c>
      <c r="E1216" s="1">
        <v>269.99</v>
      </c>
      <c r="F1216" s="1">
        <v>0.05</v>
      </c>
      <c r="G1216">
        <v>269.99</v>
      </c>
      <c r="H1216" s="22">
        <f>VLOOKUP(A1216,[1]Orders!$A$2:$B$1616,2,0)</f>
        <v>42626</v>
      </c>
      <c r="J1216" t="s">
        <v>31</v>
      </c>
      <c r="K1216" t="s">
        <v>18</v>
      </c>
    </row>
    <row r="1217" spans="1:11" x14ac:dyDescent="0.3">
      <c r="A1217">
        <v>434</v>
      </c>
      <c r="B1217">
        <v>2</v>
      </c>
      <c r="C1217">
        <v>20</v>
      </c>
      <c r="D1217">
        <v>1</v>
      </c>
      <c r="E1217" s="1">
        <v>599.99</v>
      </c>
      <c r="F1217" s="1">
        <v>0.1</v>
      </c>
      <c r="G1217">
        <v>599.99</v>
      </c>
      <c r="H1217" s="22">
        <f>VLOOKUP(A1217,[1]Orders!$A$2:$B$1616,2,0)</f>
        <v>42626</v>
      </c>
      <c r="J1217" t="s">
        <v>10</v>
      </c>
      <c r="K1217" t="s">
        <v>18</v>
      </c>
    </row>
    <row r="1218" spans="1:11" x14ac:dyDescent="0.3">
      <c r="A1218">
        <v>434</v>
      </c>
      <c r="B1218">
        <v>3</v>
      </c>
      <c r="C1218">
        <v>9</v>
      </c>
      <c r="D1218">
        <v>1</v>
      </c>
      <c r="E1218" s="1">
        <v>2999.99</v>
      </c>
      <c r="F1218" s="1">
        <v>0.2</v>
      </c>
      <c r="G1218">
        <v>2999.99</v>
      </c>
      <c r="H1218" s="22">
        <f>VLOOKUP(A1218,[1]Orders!$A$2:$B$1616,2,0)</f>
        <v>42626</v>
      </c>
      <c r="J1218" t="s">
        <v>26</v>
      </c>
      <c r="K1218" t="s">
        <v>18</v>
      </c>
    </row>
    <row r="1219" spans="1:11" x14ac:dyDescent="0.3">
      <c r="A1219">
        <v>434</v>
      </c>
      <c r="B1219">
        <v>4</v>
      </c>
      <c r="C1219">
        <v>11</v>
      </c>
      <c r="D1219">
        <v>2</v>
      </c>
      <c r="E1219" s="1">
        <v>1680.99</v>
      </c>
      <c r="F1219" s="1">
        <v>7.0000000000000007E-2</v>
      </c>
      <c r="G1219">
        <v>3361.98</v>
      </c>
      <c r="H1219" s="22">
        <f>VLOOKUP(A1219,[1]Orders!$A$2:$B$1616,2,0)</f>
        <v>42626</v>
      </c>
      <c r="J1219" t="s">
        <v>30</v>
      </c>
      <c r="K1219" t="s">
        <v>18</v>
      </c>
    </row>
    <row r="1220" spans="1:11" x14ac:dyDescent="0.3">
      <c r="A1220">
        <v>434</v>
      </c>
      <c r="B1220">
        <v>5</v>
      </c>
      <c r="C1220">
        <v>18</v>
      </c>
      <c r="D1220">
        <v>2</v>
      </c>
      <c r="E1220" s="1">
        <v>449</v>
      </c>
      <c r="F1220" s="1">
        <v>0.05</v>
      </c>
      <c r="G1220">
        <v>898</v>
      </c>
      <c r="H1220" s="22">
        <f>VLOOKUP(A1220,[1]Orders!$A$2:$B$1616,2,0)</f>
        <v>42626</v>
      </c>
      <c r="J1220" t="s">
        <v>24</v>
      </c>
      <c r="K1220" t="s">
        <v>18</v>
      </c>
    </row>
    <row r="1221" spans="1:11" x14ac:dyDescent="0.3">
      <c r="A1221">
        <v>435</v>
      </c>
      <c r="B1221">
        <v>1</v>
      </c>
      <c r="C1221">
        <v>22</v>
      </c>
      <c r="D1221">
        <v>1</v>
      </c>
      <c r="E1221" s="1">
        <v>269.99</v>
      </c>
      <c r="F1221" s="1">
        <v>0.05</v>
      </c>
      <c r="G1221">
        <v>269.99</v>
      </c>
      <c r="H1221" s="22">
        <f>VLOOKUP(A1221,[1]Orders!$A$2:$B$1616,2,0)</f>
        <v>42627</v>
      </c>
      <c r="J1221" t="s">
        <v>28</v>
      </c>
      <c r="K1221" t="s">
        <v>37</v>
      </c>
    </row>
    <row r="1222" spans="1:11" x14ac:dyDescent="0.3">
      <c r="A1222">
        <v>435</v>
      </c>
      <c r="B1222">
        <v>2</v>
      </c>
      <c r="C1222">
        <v>9</v>
      </c>
      <c r="D1222">
        <v>1</v>
      </c>
      <c r="E1222" s="1">
        <v>2999.99</v>
      </c>
      <c r="F1222" s="1">
        <v>0.05</v>
      </c>
      <c r="G1222">
        <v>2999.99</v>
      </c>
      <c r="H1222" s="22">
        <f>VLOOKUP(A1222,[1]Orders!$A$2:$B$1616,2,0)</f>
        <v>42627</v>
      </c>
      <c r="J1222" t="s">
        <v>26</v>
      </c>
      <c r="K1222" t="s">
        <v>37</v>
      </c>
    </row>
    <row r="1223" spans="1:11" x14ac:dyDescent="0.3">
      <c r="A1223">
        <v>435</v>
      </c>
      <c r="B1223">
        <v>3</v>
      </c>
      <c r="C1223">
        <v>18</v>
      </c>
      <c r="D1223">
        <v>1</v>
      </c>
      <c r="E1223" s="1">
        <v>449</v>
      </c>
      <c r="F1223" s="1">
        <v>0.05</v>
      </c>
      <c r="G1223">
        <v>449</v>
      </c>
      <c r="H1223" s="22">
        <f>VLOOKUP(A1223,[1]Orders!$A$2:$B$1616,2,0)</f>
        <v>42627</v>
      </c>
      <c r="J1223" t="s">
        <v>24</v>
      </c>
      <c r="K1223" t="s">
        <v>37</v>
      </c>
    </row>
    <row r="1224" spans="1:11" x14ac:dyDescent="0.3">
      <c r="A1224">
        <v>436</v>
      </c>
      <c r="B1224">
        <v>1</v>
      </c>
      <c r="C1224">
        <v>3</v>
      </c>
      <c r="D1224">
        <v>1</v>
      </c>
      <c r="E1224" s="1">
        <v>999.99</v>
      </c>
      <c r="F1224" s="1">
        <v>0.05</v>
      </c>
      <c r="G1224">
        <v>999.99</v>
      </c>
      <c r="H1224" s="22">
        <f>VLOOKUP(A1224,[1]Orders!$A$2:$B$1616,2,0)</f>
        <v>42629</v>
      </c>
      <c r="J1224" t="s">
        <v>20</v>
      </c>
      <c r="K1224" t="s">
        <v>18</v>
      </c>
    </row>
    <row r="1225" spans="1:11" x14ac:dyDescent="0.3">
      <c r="A1225">
        <v>436</v>
      </c>
      <c r="B1225">
        <v>2</v>
      </c>
      <c r="C1225">
        <v>23</v>
      </c>
      <c r="D1225">
        <v>1</v>
      </c>
      <c r="E1225" s="1">
        <v>299.99</v>
      </c>
      <c r="F1225" s="1">
        <v>0.2</v>
      </c>
      <c r="G1225">
        <v>299.99</v>
      </c>
      <c r="H1225" s="22">
        <f>VLOOKUP(A1225,[1]Orders!$A$2:$B$1616,2,0)</f>
        <v>42629</v>
      </c>
      <c r="J1225" t="s">
        <v>33</v>
      </c>
      <c r="K1225" t="s">
        <v>18</v>
      </c>
    </row>
    <row r="1226" spans="1:11" x14ac:dyDescent="0.3">
      <c r="A1226">
        <v>437</v>
      </c>
      <c r="B1226">
        <v>1</v>
      </c>
      <c r="C1226">
        <v>3</v>
      </c>
      <c r="D1226">
        <v>1</v>
      </c>
      <c r="E1226" s="1">
        <v>999.99</v>
      </c>
      <c r="F1226" s="1">
        <v>0.05</v>
      </c>
      <c r="G1226">
        <v>999.99</v>
      </c>
      <c r="H1226" s="22">
        <f>VLOOKUP(A1226,[1]Orders!$A$2:$B$1616,2,0)</f>
        <v>42629</v>
      </c>
      <c r="J1226" t="s">
        <v>20</v>
      </c>
      <c r="K1226" t="s">
        <v>18</v>
      </c>
    </row>
    <row r="1227" spans="1:11" x14ac:dyDescent="0.3">
      <c r="A1227">
        <v>437</v>
      </c>
      <c r="B1227">
        <v>2</v>
      </c>
      <c r="C1227">
        <v>10</v>
      </c>
      <c r="D1227">
        <v>1</v>
      </c>
      <c r="E1227" s="1">
        <v>1549</v>
      </c>
      <c r="F1227" s="1">
        <v>0.05</v>
      </c>
      <c r="G1227">
        <v>1549</v>
      </c>
      <c r="H1227" s="22">
        <f>VLOOKUP(A1227,[1]Orders!$A$2:$B$1616,2,0)</f>
        <v>42629</v>
      </c>
      <c r="J1227" t="s">
        <v>13</v>
      </c>
      <c r="K1227" t="s">
        <v>18</v>
      </c>
    </row>
    <row r="1228" spans="1:11" x14ac:dyDescent="0.3">
      <c r="A1228">
        <v>437</v>
      </c>
      <c r="B1228">
        <v>3</v>
      </c>
      <c r="C1228">
        <v>8</v>
      </c>
      <c r="D1228">
        <v>2</v>
      </c>
      <c r="E1228" s="1">
        <v>1799.99</v>
      </c>
      <c r="F1228" s="1">
        <v>0.05</v>
      </c>
      <c r="G1228">
        <v>3599.98</v>
      </c>
      <c r="H1228" s="22">
        <f>VLOOKUP(A1228,[1]Orders!$A$2:$B$1616,2,0)</f>
        <v>42629</v>
      </c>
      <c r="J1228" t="s">
        <v>12</v>
      </c>
      <c r="K1228" t="s">
        <v>18</v>
      </c>
    </row>
    <row r="1229" spans="1:11" x14ac:dyDescent="0.3">
      <c r="A1229">
        <v>438</v>
      </c>
      <c r="B1229">
        <v>1</v>
      </c>
      <c r="C1229">
        <v>4</v>
      </c>
      <c r="D1229">
        <v>1</v>
      </c>
      <c r="E1229" s="1">
        <v>2899.99</v>
      </c>
      <c r="F1229" s="1">
        <v>7.0000000000000007E-2</v>
      </c>
      <c r="G1229">
        <v>2899.99</v>
      </c>
      <c r="H1229" s="22">
        <f>VLOOKUP(A1229,[1]Orders!$A$2:$B$1616,2,0)</f>
        <v>42629</v>
      </c>
      <c r="J1229" t="s">
        <v>16</v>
      </c>
      <c r="K1229" t="s">
        <v>37</v>
      </c>
    </row>
    <row r="1230" spans="1:11" x14ac:dyDescent="0.3">
      <c r="A1230">
        <v>438</v>
      </c>
      <c r="B1230">
        <v>2</v>
      </c>
      <c r="C1230">
        <v>22</v>
      </c>
      <c r="D1230">
        <v>1</v>
      </c>
      <c r="E1230" s="1">
        <v>269.99</v>
      </c>
      <c r="F1230" s="1">
        <v>0.1</v>
      </c>
      <c r="G1230">
        <v>269.99</v>
      </c>
      <c r="H1230" s="22">
        <f>VLOOKUP(A1230,[1]Orders!$A$2:$B$1616,2,0)</f>
        <v>42629</v>
      </c>
      <c r="J1230" t="s">
        <v>28</v>
      </c>
      <c r="K1230" t="s">
        <v>37</v>
      </c>
    </row>
    <row r="1231" spans="1:11" x14ac:dyDescent="0.3">
      <c r="A1231">
        <v>438</v>
      </c>
      <c r="B1231">
        <v>3</v>
      </c>
      <c r="C1231">
        <v>8</v>
      </c>
      <c r="D1231">
        <v>2</v>
      </c>
      <c r="E1231" s="1">
        <v>1799.99</v>
      </c>
      <c r="F1231" s="1">
        <v>0.05</v>
      </c>
      <c r="G1231">
        <v>3599.98</v>
      </c>
      <c r="H1231" s="22">
        <f>VLOOKUP(A1231,[1]Orders!$A$2:$B$1616,2,0)</f>
        <v>42629</v>
      </c>
      <c r="J1231" t="s">
        <v>12</v>
      </c>
      <c r="K1231" t="s">
        <v>37</v>
      </c>
    </row>
    <row r="1232" spans="1:11" x14ac:dyDescent="0.3">
      <c r="A1232">
        <v>438</v>
      </c>
      <c r="B1232">
        <v>4</v>
      </c>
      <c r="C1232">
        <v>13</v>
      </c>
      <c r="D1232">
        <v>2</v>
      </c>
      <c r="E1232" s="1">
        <v>269.99</v>
      </c>
      <c r="F1232" s="1">
        <v>0.05</v>
      </c>
      <c r="G1232">
        <v>539.98</v>
      </c>
      <c r="H1232" s="22">
        <f>VLOOKUP(A1232,[1]Orders!$A$2:$B$1616,2,0)</f>
        <v>42629</v>
      </c>
      <c r="J1232" t="s">
        <v>31</v>
      </c>
      <c r="K1232" t="s">
        <v>37</v>
      </c>
    </row>
    <row r="1233" spans="1:11" x14ac:dyDescent="0.3">
      <c r="A1233">
        <v>439</v>
      </c>
      <c r="B1233">
        <v>1</v>
      </c>
      <c r="C1233">
        <v>6</v>
      </c>
      <c r="D1233">
        <v>2</v>
      </c>
      <c r="E1233" s="1">
        <v>469.99</v>
      </c>
      <c r="F1233" s="1">
        <v>7.0000000000000007E-2</v>
      </c>
      <c r="G1233">
        <v>939.98</v>
      </c>
      <c r="H1233" s="22">
        <f>VLOOKUP(A1233,[1]Orders!$A$2:$B$1616,2,0)</f>
        <v>42630</v>
      </c>
      <c r="J1233" t="s">
        <v>32</v>
      </c>
      <c r="K1233" t="s">
        <v>18</v>
      </c>
    </row>
    <row r="1234" spans="1:11" x14ac:dyDescent="0.3">
      <c r="A1234">
        <v>439</v>
      </c>
      <c r="B1234">
        <v>2</v>
      </c>
      <c r="C1234">
        <v>7</v>
      </c>
      <c r="D1234">
        <v>2</v>
      </c>
      <c r="E1234" s="1">
        <v>3999.99</v>
      </c>
      <c r="F1234" s="1">
        <v>0.05</v>
      </c>
      <c r="G1234">
        <v>7999.98</v>
      </c>
      <c r="H1234" s="22">
        <f>VLOOKUP(A1234,[1]Orders!$A$2:$B$1616,2,0)</f>
        <v>42630</v>
      </c>
      <c r="J1234" t="s">
        <v>29</v>
      </c>
      <c r="K1234" t="s">
        <v>18</v>
      </c>
    </row>
    <row r="1235" spans="1:11" x14ac:dyDescent="0.3">
      <c r="A1235">
        <v>440</v>
      </c>
      <c r="B1235">
        <v>1</v>
      </c>
      <c r="C1235">
        <v>19</v>
      </c>
      <c r="D1235">
        <v>2</v>
      </c>
      <c r="E1235" s="1">
        <v>449</v>
      </c>
      <c r="F1235" s="1">
        <v>7.0000000000000007E-2</v>
      </c>
      <c r="G1235">
        <v>898</v>
      </c>
      <c r="H1235" s="22">
        <f>VLOOKUP(A1235,[1]Orders!$A$2:$B$1616,2,0)</f>
        <v>42630</v>
      </c>
      <c r="J1235" t="s">
        <v>36</v>
      </c>
      <c r="K1235" t="s">
        <v>18</v>
      </c>
    </row>
    <row r="1236" spans="1:11" x14ac:dyDescent="0.3">
      <c r="A1236">
        <v>440</v>
      </c>
      <c r="B1236">
        <v>2</v>
      </c>
      <c r="C1236">
        <v>4</v>
      </c>
      <c r="D1236">
        <v>2</v>
      </c>
      <c r="E1236" s="1">
        <v>2899.99</v>
      </c>
      <c r="F1236" s="1">
        <v>7.0000000000000007E-2</v>
      </c>
      <c r="G1236">
        <v>5799.98</v>
      </c>
      <c r="H1236" s="22">
        <f>VLOOKUP(A1236,[1]Orders!$A$2:$B$1616,2,0)</f>
        <v>42630</v>
      </c>
      <c r="J1236" t="s">
        <v>16</v>
      </c>
      <c r="K1236" t="s">
        <v>18</v>
      </c>
    </row>
    <row r="1237" spans="1:11" x14ac:dyDescent="0.3">
      <c r="A1237">
        <v>441</v>
      </c>
      <c r="B1237">
        <v>1</v>
      </c>
      <c r="C1237">
        <v>12</v>
      </c>
      <c r="D1237">
        <v>1</v>
      </c>
      <c r="E1237" s="1">
        <v>549.99</v>
      </c>
      <c r="F1237" s="1">
        <v>7.0000000000000007E-2</v>
      </c>
      <c r="G1237">
        <v>549.99</v>
      </c>
      <c r="H1237" s="22">
        <f>VLOOKUP(A1237,[1]Orders!$A$2:$B$1616,2,0)</f>
        <v>42631</v>
      </c>
      <c r="J1237" t="s">
        <v>25</v>
      </c>
      <c r="K1237" t="s">
        <v>11</v>
      </c>
    </row>
    <row r="1238" spans="1:11" x14ac:dyDescent="0.3">
      <c r="A1238">
        <v>441</v>
      </c>
      <c r="B1238">
        <v>2</v>
      </c>
      <c r="C1238">
        <v>15</v>
      </c>
      <c r="D1238">
        <v>1</v>
      </c>
      <c r="E1238" s="1">
        <v>529.99</v>
      </c>
      <c r="F1238" s="1">
        <v>0.1</v>
      </c>
      <c r="G1238">
        <v>529.99</v>
      </c>
      <c r="H1238" s="22">
        <f>VLOOKUP(A1238,[1]Orders!$A$2:$B$1616,2,0)</f>
        <v>42631</v>
      </c>
      <c r="J1238" t="s">
        <v>27</v>
      </c>
      <c r="K1238" t="s">
        <v>11</v>
      </c>
    </row>
    <row r="1239" spans="1:11" x14ac:dyDescent="0.3">
      <c r="A1239">
        <v>442</v>
      </c>
      <c r="B1239">
        <v>1</v>
      </c>
      <c r="C1239">
        <v>16</v>
      </c>
      <c r="D1239">
        <v>2</v>
      </c>
      <c r="E1239" s="1">
        <v>599.99</v>
      </c>
      <c r="F1239" s="1">
        <v>7.0000000000000007E-2</v>
      </c>
      <c r="G1239">
        <v>1199.98</v>
      </c>
      <c r="H1239" s="22">
        <f>VLOOKUP(A1239,[1]Orders!$A$2:$B$1616,2,0)</f>
        <v>42631</v>
      </c>
      <c r="J1239" t="s">
        <v>14</v>
      </c>
      <c r="K1239" t="s">
        <v>18</v>
      </c>
    </row>
    <row r="1240" spans="1:11" x14ac:dyDescent="0.3">
      <c r="A1240">
        <v>442</v>
      </c>
      <c r="B1240">
        <v>2</v>
      </c>
      <c r="C1240">
        <v>26</v>
      </c>
      <c r="D1240">
        <v>2</v>
      </c>
      <c r="E1240" s="1">
        <v>599.99</v>
      </c>
      <c r="F1240" s="1">
        <v>0.2</v>
      </c>
      <c r="G1240">
        <v>1199.98</v>
      </c>
      <c r="H1240" s="22">
        <f>VLOOKUP(A1240,[1]Orders!$A$2:$B$1616,2,0)</f>
        <v>42631</v>
      </c>
      <c r="J1240" t="s">
        <v>14</v>
      </c>
      <c r="K1240" t="s">
        <v>18</v>
      </c>
    </row>
    <row r="1241" spans="1:11" x14ac:dyDescent="0.3">
      <c r="A1241">
        <v>442</v>
      </c>
      <c r="B1241">
        <v>3</v>
      </c>
      <c r="C1241">
        <v>6</v>
      </c>
      <c r="D1241">
        <v>2</v>
      </c>
      <c r="E1241" s="1">
        <v>469.99</v>
      </c>
      <c r="F1241" s="1">
        <v>0.2</v>
      </c>
      <c r="G1241">
        <v>939.98</v>
      </c>
      <c r="H1241" s="22">
        <f>VLOOKUP(A1241,[1]Orders!$A$2:$B$1616,2,0)</f>
        <v>42631</v>
      </c>
      <c r="J1241" t="s">
        <v>32</v>
      </c>
      <c r="K1241" t="s">
        <v>18</v>
      </c>
    </row>
    <row r="1242" spans="1:11" x14ac:dyDescent="0.3">
      <c r="A1242">
        <v>443</v>
      </c>
      <c r="B1242">
        <v>1</v>
      </c>
      <c r="C1242">
        <v>5</v>
      </c>
      <c r="D1242">
        <v>1</v>
      </c>
      <c r="E1242" s="1">
        <v>1320.99</v>
      </c>
      <c r="F1242" s="1">
        <v>0.05</v>
      </c>
      <c r="G1242">
        <v>1320.99</v>
      </c>
      <c r="H1242" s="22">
        <f>VLOOKUP(A1242,[1]Orders!$A$2:$B$1616,2,0)</f>
        <v>42631</v>
      </c>
      <c r="J1242" t="s">
        <v>34</v>
      </c>
      <c r="K1242" t="s">
        <v>18</v>
      </c>
    </row>
    <row r="1243" spans="1:11" x14ac:dyDescent="0.3">
      <c r="A1243">
        <v>443</v>
      </c>
      <c r="B1243">
        <v>2</v>
      </c>
      <c r="C1243">
        <v>26</v>
      </c>
      <c r="D1243">
        <v>1</v>
      </c>
      <c r="E1243" s="1">
        <v>599.99</v>
      </c>
      <c r="F1243" s="1">
        <v>0.2</v>
      </c>
      <c r="G1243">
        <v>599.99</v>
      </c>
      <c r="H1243" s="22">
        <f>VLOOKUP(A1243,[1]Orders!$A$2:$B$1616,2,0)</f>
        <v>42631</v>
      </c>
      <c r="J1243" t="s">
        <v>14</v>
      </c>
      <c r="K1243" t="s">
        <v>18</v>
      </c>
    </row>
    <row r="1244" spans="1:11" x14ac:dyDescent="0.3">
      <c r="A1244">
        <v>444</v>
      </c>
      <c r="B1244">
        <v>1</v>
      </c>
      <c r="C1244">
        <v>22</v>
      </c>
      <c r="D1244">
        <v>1</v>
      </c>
      <c r="E1244" s="1">
        <v>269.99</v>
      </c>
      <c r="F1244" s="1">
        <v>7.0000000000000007E-2</v>
      </c>
      <c r="G1244">
        <v>269.99</v>
      </c>
      <c r="H1244" s="22">
        <f>VLOOKUP(A1244,[1]Orders!$A$2:$B$1616,2,0)</f>
        <v>42632</v>
      </c>
      <c r="J1244" t="s">
        <v>28</v>
      </c>
      <c r="K1244" t="s">
        <v>11</v>
      </c>
    </row>
    <row r="1245" spans="1:11" x14ac:dyDescent="0.3">
      <c r="A1245">
        <v>444</v>
      </c>
      <c r="B1245">
        <v>2</v>
      </c>
      <c r="C1245">
        <v>15</v>
      </c>
      <c r="D1245">
        <v>2</v>
      </c>
      <c r="E1245" s="1">
        <v>529.99</v>
      </c>
      <c r="F1245" s="1">
        <v>7.0000000000000007E-2</v>
      </c>
      <c r="G1245">
        <v>1059.98</v>
      </c>
      <c r="H1245" s="22">
        <f>VLOOKUP(A1245,[1]Orders!$A$2:$B$1616,2,0)</f>
        <v>42632</v>
      </c>
      <c r="J1245" t="s">
        <v>27</v>
      </c>
      <c r="K1245" t="s">
        <v>11</v>
      </c>
    </row>
    <row r="1246" spans="1:11" x14ac:dyDescent="0.3">
      <c r="A1246">
        <v>444</v>
      </c>
      <c r="B1246">
        <v>3</v>
      </c>
      <c r="C1246">
        <v>20</v>
      </c>
      <c r="D1246">
        <v>2</v>
      </c>
      <c r="E1246" s="1">
        <v>599.99</v>
      </c>
      <c r="F1246" s="1">
        <v>0.05</v>
      </c>
      <c r="G1246">
        <v>1199.98</v>
      </c>
      <c r="H1246" s="22">
        <f>VLOOKUP(A1246,[1]Orders!$A$2:$B$1616,2,0)</f>
        <v>42632</v>
      </c>
      <c r="J1246" t="s">
        <v>10</v>
      </c>
      <c r="K1246" t="s">
        <v>11</v>
      </c>
    </row>
    <row r="1247" spans="1:11" x14ac:dyDescent="0.3">
      <c r="A1247">
        <v>444</v>
      </c>
      <c r="B1247">
        <v>4</v>
      </c>
      <c r="C1247">
        <v>16</v>
      </c>
      <c r="D1247">
        <v>1</v>
      </c>
      <c r="E1247" s="1">
        <v>599.99</v>
      </c>
      <c r="F1247" s="1">
        <v>0.1</v>
      </c>
      <c r="G1247">
        <v>599.99</v>
      </c>
      <c r="H1247" s="22">
        <f>VLOOKUP(A1247,[1]Orders!$A$2:$B$1616,2,0)</f>
        <v>42632</v>
      </c>
      <c r="J1247" t="s">
        <v>14</v>
      </c>
      <c r="K1247" t="s">
        <v>11</v>
      </c>
    </row>
    <row r="1248" spans="1:11" x14ac:dyDescent="0.3">
      <c r="A1248">
        <v>444</v>
      </c>
      <c r="B1248">
        <v>5</v>
      </c>
      <c r="C1248">
        <v>10</v>
      </c>
      <c r="D1248">
        <v>2</v>
      </c>
      <c r="E1248" s="1">
        <v>1549</v>
      </c>
      <c r="F1248" s="1">
        <v>0.2</v>
      </c>
      <c r="G1248">
        <v>3098</v>
      </c>
      <c r="H1248" s="22">
        <f>VLOOKUP(A1248,[1]Orders!$A$2:$B$1616,2,0)</f>
        <v>42632</v>
      </c>
      <c r="J1248" t="s">
        <v>13</v>
      </c>
      <c r="K1248" t="s">
        <v>11</v>
      </c>
    </row>
    <row r="1249" spans="1:11" x14ac:dyDescent="0.3">
      <c r="A1249">
        <v>445</v>
      </c>
      <c r="B1249">
        <v>1</v>
      </c>
      <c r="C1249">
        <v>7</v>
      </c>
      <c r="D1249">
        <v>1</v>
      </c>
      <c r="E1249" s="1">
        <v>3999.99</v>
      </c>
      <c r="F1249" s="1">
        <v>0.2</v>
      </c>
      <c r="G1249">
        <v>3999.99</v>
      </c>
      <c r="H1249" s="22">
        <f>VLOOKUP(A1249,[1]Orders!$A$2:$B$1616,2,0)</f>
        <v>42632</v>
      </c>
      <c r="J1249" t="s">
        <v>29</v>
      </c>
      <c r="K1249" t="s">
        <v>18</v>
      </c>
    </row>
    <row r="1250" spans="1:11" x14ac:dyDescent="0.3">
      <c r="A1250">
        <v>445</v>
      </c>
      <c r="B1250">
        <v>2</v>
      </c>
      <c r="C1250">
        <v>16</v>
      </c>
      <c r="D1250">
        <v>1</v>
      </c>
      <c r="E1250" s="1">
        <v>599.99</v>
      </c>
      <c r="F1250" s="1">
        <v>7.0000000000000007E-2</v>
      </c>
      <c r="G1250">
        <v>599.99</v>
      </c>
      <c r="H1250" s="22">
        <f>VLOOKUP(A1250,[1]Orders!$A$2:$B$1616,2,0)</f>
        <v>42632</v>
      </c>
      <c r="J1250" t="s">
        <v>14</v>
      </c>
      <c r="K1250" t="s">
        <v>18</v>
      </c>
    </row>
    <row r="1251" spans="1:11" x14ac:dyDescent="0.3">
      <c r="A1251">
        <v>445</v>
      </c>
      <c r="B1251">
        <v>3</v>
      </c>
      <c r="C1251">
        <v>23</v>
      </c>
      <c r="D1251">
        <v>1</v>
      </c>
      <c r="E1251" s="1">
        <v>299.99</v>
      </c>
      <c r="F1251" s="1">
        <v>0.2</v>
      </c>
      <c r="G1251">
        <v>299.99</v>
      </c>
      <c r="H1251" s="22">
        <f>VLOOKUP(A1251,[1]Orders!$A$2:$B$1616,2,0)</f>
        <v>42632</v>
      </c>
      <c r="J1251" t="s">
        <v>33</v>
      </c>
      <c r="K1251" t="s">
        <v>18</v>
      </c>
    </row>
    <row r="1252" spans="1:11" x14ac:dyDescent="0.3">
      <c r="A1252">
        <v>446</v>
      </c>
      <c r="B1252">
        <v>1</v>
      </c>
      <c r="C1252">
        <v>22</v>
      </c>
      <c r="D1252">
        <v>1</v>
      </c>
      <c r="E1252" s="1">
        <v>269.99</v>
      </c>
      <c r="F1252" s="1">
        <v>0.2</v>
      </c>
      <c r="G1252">
        <v>269.99</v>
      </c>
      <c r="H1252" s="22">
        <f>VLOOKUP(A1252,[1]Orders!$A$2:$B$1616,2,0)</f>
        <v>42632</v>
      </c>
      <c r="J1252" t="s">
        <v>28</v>
      </c>
      <c r="K1252" t="s">
        <v>18</v>
      </c>
    </row>
    <row r="1253" spans="1:11" x14ac:dyDescent="0.3">
      <c r="A1253">
        <v>446</v>
      </c>
      <c r="B1253">
        <v>2</v>
      </c>
      <c r="C1253">
        <v>16</v>
      </c>
      <c r="D1253">
        <v>2</v>
      </c>
      <c r="E1253" s="1">
        <v>599.99</v>
      </c>
      <c r="F1253" s="1">
        <v>7.0000000000000007E-2</v>
      </c>
      <c r="G1253">
        <v>1199.98</v>
      </c>
      <c r="H1253" s="22">
        <f>VLOOKUP(A1253,[1]Orders!$A$2:$B$1616,2,0)</f>
        <v>42632</v>
      </c>
      <c r="J1253" t="s">
        <v>14</v>
      </c>
      <c r="K1253" t="s">
        <v>18</v>
      </c>
    </row>
    <row r="1254" spans="1:11" x14ac:dyDescent="0.3">
      <c r="A1254">
        <v>447</v>
      </c>
      <c r="B1254">
        <v>1</v>
      </c>
      <c r="C1254">
        <v>4</v>
      </c>
      <c r="D1254">
        <v>2</v>
      </c>
      <c r="E1254" s="1">
        <v>2899.99</v>
      </c>
      <c r="F1254" s="1">
        <v>0.05</v>
      </c>
      <c r="G1254">
        <v>5799.98</v>
      </c>
      <c r="H1254" s="22">
        <f>VLOOKUP(A1254,[1]Orders!$A$2:$B$1616,2,0)</f>
        <v>42633</v>
      </c>
      <c r="J1254" t="s">
        <v>16</v>
      </c>
      <c r="K1254" t="s">
        <v>37</v>
      </c>
    </row>
    <row r="1255" spans="1:11" x14ac:dyDescent="0.3">
      <c r="A1255">
        <v>447</v>
      </c>
      <c r="B1255">
        <v>2</v>
      </c>
      <c r="C1255">
        <v>3</v>
      </c>
      <c r="D1255">
        <v>1</v>
      </c>
      <c r="E1255" s="1">
        <v>999.99</v>
      </c>
      <c r="F1255" s="1">
        <v>0.1</v>
      </c>
      <c r="G1255">
        <v>999.99</v>
      </c>
      <c r="H1255" s="22">
        <f>VLOOKUP(A1255,[1]Orders!$A$2:$B$1616,2,0)</f>
        <v>42633</v>
      </c>
      <c r="J1255" t="s">
        <v>20</v>
      </c>
      <c r="K1255" t="s">
        <v>37</v>
      </c>
    </row>
    <row r="1256" spans="1:11" x14ac:dyDescent="0.3">
      <c r="A1256">
        <v>447</v>
      </c>
      <c r="B1256">
        <v>3</v>
      </c>
      <c r="C1256">
        <v>8</v>
      </c>
      <c r="D1256">
        <v>1</v>
      </c>
      <c r="E1256" s="1">
        <v>1799.99</v>
      </c>
      <c r="F1256" s="1">
        <v>7.0000000000000007E-2</v>
      </c>
      <c r="G1256">
        <v>1799.99</v>
      </c>
      <c r="H1256" s="22">
        <f>VLOOKUP(A1256,[1]Orders!$A$2:$B$1616,2,0)</f>
        <v>42633</v>
      </c>
      <c r="J1256" t="s">
        <v>12</v>
      </c>
      <c r="K1256" t="s">
        <v>37</v>
      </c>
    </row>
    <row r="1257" spans="1:11" x14ac:dyDescent="0.3">
      <c r="A1257">
        <v>448</v>
      </c>
      <c r="B1257">
        <v>1</v>
      </c>
      <c r="C1257">
        <v>13</v>
      </c>
      <c r="D1257">
        <v>2</v>
      </c>
      <c r="E1257" s="1">
        <v>269.99</v>
      </c>
      <c r="F1257" s="1">
        <v>0.05</v>
      </c>
      <c r="G1257">
        <v>539.98</v>
      </c>
      <c r="H1257" s="22">
        <f>VLOOKUP(A1257,[1]Orders!$A$2:$B$1616,2,0)</f>
        <v>42634</v>
      </c>
      <c r="J1257" t="s">
        <v>31</v>
      </c>
      <c r="K1257" t="s">
        <v>18</v>
      </c>
    </row>
    <row r="1258" spans="1:11" x14ac:dyDescent="0.3">
      <c r="A1258">
        <v>448</v>
      </c>
      <c r="B1258">
        <v>2</v>
      </c>
      <c r="C1258">
        <v>6</v>
      </c>
      <c r="D1258">
        <v>2</v>
      </c>
      <c r="E1258" s="1">
        <v>469.99</v>
      </c>
      <c r="F1258" s="1">
        <v>0.05</v>
      </c>
      <c r="G1258">
        <v>939.98</v>
      </c>
      <c r="H1258" s="22">
        <f>VLOOKUP(A1258,[1]Orders!$A$2:$B$1616,2,0)</f>
        <v>42634</v>
      </c>
      <c r="J1258" t="s">
        <v>32</v>
      </c>
      <c r="K1258" t="s">
        <v>18</v>
      </c>
    </row>
    <row r="1259" spans="1:11" x14ac:dyDescent="0.3">
      <c r="A1259">
        <v>449</v>
      </c>
      <c r="B1259">
        <v>1</v>
      </c>
      <c r="C1259">
        <v>17</v>
      </c>
      <c r="D1259">
        <v>2</v>
      </c>
      <c r="E1259" s="1">
        <v>429</v>
      </c>
      <c r="F1259" s="1">
        <v>0.05</v>
      </c>
      <c r="G1259">
        <v>858</v>
      </c>
      <c r="H1259" s="22">
        <f>VLOOKUP(A1259,[1]Orders!$A$2:$B$1616,2,0)</f>
        <v>42634</v>
      </c>
      <c r="J1259" t="s">
        <v>23</v>
      </c>
      <c r="K1259" t="s">
        <v>18</v>
      </c>
    </row>
    <row r="1260" spans="1:11" x14ac:dyDescent="0.3">
      <c r="A1260">
        <v>449</v>
      </c>
      <c r="B1260">
        <v>2</v>
      </c>
      <c r="C1260">
        <v>2</v>
      </c>
      <c r="D1260">
        <v>1</v>
      </c>
      <c r="E1260" s="1">
        <v>749.99</v>
      </c>
      <c r="F1260" s="1">
        <v>0.05</v>
      </c>
      <c r="G1260">
        <v>749.99</v>
      </c>
      <c r="H1260" s="22">
        <f>VLOOKUP(A1260,[1]Orders!$A$2:$B$1616,2,0)</f>
        <v>42634</v>
      </c>
      <c r="J1260" t="s">
        <v>22</v>
      </c>
      <c r="K1260" t="s">
        <v>18</v>
      </c>
    </row>
    <row r="1261" spans="1:11" x14ac:dyDescent="0.3">
      <c r="A1261">
        <v>449</v>
      </c>
      <c r="B1261">
        <v>3</v>
      </c>
      <c r="C1261">
        <v>7</v>
      </c>
      <c r="D1261">
        <v>2</v>
      </c>
      <c r="E1261" s="1">
        <v>3999.99</v>
      </c>
      <c r="F1261" s="1">
        <v>7.0000000000000007E-2</v>
      </c>
      <c r="G1261">
        <v>7999.98</v>
      </c>
      <c r="H1261" s="22">
        <f>VLOOKUP(A1261,[1]Orders!$A$2:$B$1616,2,0)</f>
        <v>42634</v>
      </c>
      <c r="J1261" t="s">
        <v>29</v>
      </c>
      <c r="K1261" t="s">
        <v>18</v>
      </c>
    </row>
    <row r="1262" spans="1:11" x14ac:dyDescent="0.3">
      <c r="A1262">
        <v>449</v>
      </c>
      <c r="B1262">
        <v>4</v>
      </c>
      <c r="C1262">
        <v>26</v>
      </c>
      <c r="D1262">
        <v>2</v>
      </c>
      <c r="E1262" s="1">
        <v>599.99</v>
      </c>
      <c r="F1262" s="1">
        <v>0.2</v>
      </c>
      <c r="G1262">
        <v>1199.98</v>
      </c>
      <c r="H1262" s="22">
        <f>VLOOKUP(A1262,[1]Orders!$A$2:$B$1616,2,0)</f>
        <v>42634</v>
      </c>
      <c r="J1262" t="s">
        <v>14</v>
      </c>
      <c r="K1262" t="s">
        <v>18</v>
      </c>
    </row>
    <row r="1263" spans="1:11" x14ac:dyDescent="0.3">
      <c r="A1263">
        <v>450</v>
      </c>
      <c r="B1263">
        <v>1</v>
      </c>
      <c r="C1263">
        <v>24</v>
      </c>
      <c r="D1263">
        <v>1</v>
      </c>
      <c r="E1263" s="1">
        <v>549.99</v>
      </c>
      <c r="F1263" s="1">
        <v>0.05</v>
      </c>
      <c r="G1263">
        <v>549.99</v>
      </c>
      <c r="H1263" s="22">
        <f>VLOOKUP(A1263,[1]Orders!$A$2:$B$1616,2,0)</f>
        <v>42634</v>
      </c>
      <c r="J1263" t="s">
        <v>25</v>
      </c>
      <c r="K1263" t="s">
        <v>18</v>
      </c>
    </row>
    <row r="1264" spans="1:11" x14ac:dyDescent="0.3">
      <c r="A1264">
        <v>450</v>
      </c>
      <c r="B1264">
        <v>2</v>
      </c>
      <c r="C1264">
        <v>12</v>
      </c>
      <c r="D1264">
        <v>1</v>
      </c>
      <c r="E1264" s="1">
        <v>549.99</v>
      </c>
      <c r="F1264" s="1">
        <v>7.0000000000000007E-2</v>
      </c>
      <c r="G1264">
        <v>549.99</v>
      </c>
      <c r="H1264" s="22">
        <f>VLOOKUP(A1264,[1]Orders!$A$2:$B$1616,2,0)</f>
        <v>42634</v>
      </c>
      <c r="J1264" t="s">
        <v>25</v>
      </c>
      <c r="K1264" t="s">
        <v>18</v>
      </c>
    </row>
    <row r="1265" spans="1:11" x14ac:dyDescent="0.3">
      <c r="A1265">
        <v>450</v>
      </c>
      <c r="B1265">
        <v>3</v>
      </c>
      <c r="C1265">
        <v>5</v>
      </c>
      <c r="D1265">
        <v>1</v>
      </c>
      <c r="E1265" s="1">
        <v>1320.99</v>
      </c>
      <c r="F1265" s="1">
        <v>0.1</v>
      </c>
      <c r="G1265">
        <v>1320.99</v>
      </c>
      <c r="H1265" s="22">
        <f>VLOOKUP(A1265,[1]Orders!$A$2:$B$1616,2,0)</f>
        <v>42634</v>
      </c>
      <c r="J1265" t="s">
        <v>34</v>
      </c>
      <c r="K1265" t="s">
        <v>18</v>
      </c>
    </row>
    <row r="1266" spans="1:11" x14ac:dyDescent="0.3">
      <c r="A1266">
        <v>451</v>
      </c>
      <c r="B1266">
        <v>1</v>
      </c>
      <c r="C1266">
        <v>14</v>
      </c>
      <c r="D1266">
        <v>2</v>
      </c>
      <c r="E1266" s="1">
        <v>269.99</v>
      </c>
      <c r="F1266" s="1">
        <v>0.05</v>
      </c>
      <c r="G1266">
        <v>539.98</v>
      </c>
      <c r="H1266" s="22">
        <f>VLOOKUP(A1266,[1]Orders!$A$2:$B$1616,2,0)</f>
        <v>42634</v>
      </c>
      <c r="J1266" t="s">
        <v>28</v>
      </c>
      <c r="K1266" t="s">
        <v>18</v>
      </c>
    </row>
    <row r="1267" spans="1:11" x14ac:dyDescent="0.3">
      <c r="A1267">
        <v>452</v>
      </c>
      <c r="B1267">
        <v>1</v>
      </c>
      <c r="C1267">
        <v>11</v>
      </c>
      <c r="D1267">
        <v>1</v>
      </c>
      <c r="E1267" s="1">
        <v>1680.99</v>
      </c>
      <c r="F1267" s="1">
        <v>0.05</v>
      </c>
      <c r="G1267">
        <v>1680.99</v>
      </c>
      <c r="H1267" s="22">
        <f>VLOOKUP(A1267,[1]Orders!$A$2:$B$1616,2,0)</f>
        <v>42635</v>
      </c>
      <c r="J1267" t="s">
        <v>30</v>
      </c>
      <c r="K1267" t="s">
        <v>18</v>
      </c>
    </row>
    <row r="1268" spans="1:11" x14ac:dyDescent="0.3">
      <c r="A1268">
        <v>452</v>
      </c>
      <c r="B1268">
        <v>2</v>
      </c>
      <c r="C1268">
        <v>16</v>
      </c>
      <c r="D1268">
        <v>1</v>
      </c>
      <c r="E1268" s="1">
        <v>599.99</v>
      </c>
      <c r="F1268" s="1">
        <v>0.05</v>
      </c>
      <c r="G1268">
        <v>599.99</v>
      </c>
      <c r="H1268" s="22">
        <f>VLOOKUP(A1268,[1]Orders!$A$2:$B$1616,2,0)</f>
        <v>42635</v>
      </c>
      <c r="J1268" t="s">
        <v>14</v>
      </c>
      <c r="K1268" t="s">
        <v>18</v>
      </c>
    </row>
    <row r="1269" spans="1:11" x14ac:dyDescent="0.3">
      <c r="A1269">
        <v>452</v>
      </c>
      <c r="B1269">
        <v>3</v>
      </c>
      <c r="C1269">
        <v>7</v>
      </c>
      <c r="D1269">
        <v>2</v>
      </c>
      <c r="E1269" s="1">
        <v>3999.99</v>
      </c>
      <c r="F1269" s="1">
        <v>0.1</v>
      </c>
      <c r="G1269">
        <v>7999.98</v>
      </c>
      <c r="H1269" s="22">
        <f>VLOOKUP(A1269,[1]Orders!$A$2:$B$1616,2,0)</f>
        <v>42635</v>
      </c>
      <c r="J1269" t="s">
        <v>29</v>
      </c>
      <c r="K1269" t="s">
        <v>18</v>
      </c>
    </row>
    <row r="1270" spans="1:11" x14ac:dyDescent="0.3">
      <c r="A1270">
        <v>452</v>
      </c>
      <c r="B1270">
        <v>4</v>
      </c>
      <c r="C1270">
        <v>8</v>
      </c>
      <c r="D1270">
        <v>1</v>
      </c>
      <c r="E1270" s="1">
        <v>1799.99</v>
      </c>
      <c r="F1270" s="1">
        <v>0.1</v>
      </c>
      <c r="G1270">
        <v>1799.99</v>
      </c>
      <c r="H1270" s="22">
        <f>VLOOKUP(A1270,[1]Orders!$A$2:$B$1616,2,0)</f>
        <v>42635</v>
      </c>
      <c r="J1270" t="s">
        <v>12</v>
      </c>
      <c r="K1270" t="s">
        <v>18</v>
      </c>
    </row>
    <row r="1271" spans="1:11" x14ac:dyDescent="0.3">
      <c r="A1271">
        <v>453</v>
      </c>
      <c r="B1271">
        <v>1</v>
      </c>
      <c r="C1271">
        <v>23</v>
      </c>
      <c r="D1271">
        <v>1</v>
      </c>
      <c r="E1271" s="1">
        <v>299.99</v>
      </c>
      <c r="F1271" s="1">
        <v>0.05</v>
      </c>
      <c r="G1271">
        <v>299.99</v>
      </c>
      <c r="H1271" s="22">
        <f>VLOOKUP(A1271,[1]Orders!$A$2:$B$1616,2,0)</f>
        <v>42635</v>
      </c>
      <c r="J1271" t="s">
        <v>33</v>
      </c>
      <c r="K1271" t="s">
        <v>18</v>
      </c>
    </row>
    <row r="1272" spans="1:11" x14ac:dyDescent="0.3">
      <c r="A1272">
        <v>453</v>
      </c>
      <c r="B1272">
        <v>2</v>
      </c>
      <c r="C1272">
        <v>20</v>
      </c>
      <c r="D1272">
        <v>2</v>
      </c>
      <c r="E1272" s="1">
        <v>599.99</v>
      </c>
      <c r="F1272" s="1">
        <v>0.2</v>
      </c>
      <c r="G1272">
        <v>1199.98</v>
      </c>
      <c r="H1272" s="22">
        <f>VLOOKUP(A1272,[1]Orders!$A$2:$B$1616,2,0)</f>
        <v>42635</v>
      </c>
      <c r="J1272" t="s">
        <v>10</v>
      </c>
      <c r="K1272" t="s">
        <v>18</v>
      </c>
    </row>
    <row r="1273" spans="1:11" x14ac:dyDescent="0.3">
      <c r="A1273">
        <v>453</v>
      </c>
      <c r="B1273">
        <v>3</v>
      </c>
      <c r="C1273">
        <v>4</v>
      </c>
      <c r="D1273">
        <v>1</v>
      </c>
      <c r="E1273" s="1">
        <v>2899.99</v>
      </c>
      <c r="F1273" s="1">
        <v>0.2</v>
      </c>
      <c r="G1273">
        <v>2899.99</v>
      </c>
      <c r="H1273" s="22">
        <f>VLOOKUP(A1273,[1]Orders!$A$2:$B$1616,2,0)</f>
        <v>42635</v>
      </c>
      <c r="J1273" t="s">
        <v>16</v>
      </c>
      <c r="K1273" t="s">
        <v>18</v>
      </c>
    </row>
    <row r="1274" spans="1:11" x14ac:dyDescent="0.3">
      <c r="A1274">
        <v>454</v>
      </c>
      <c r="B1274">
        <v>1</v>
      </c>
      <c r="C1274">
        <v>25</v>
      </c>
      <c r="D1274">
        <v>2</v>
      </c>
      <c r="E1274" s="1">
        <v>499.99</v>
      </c>
      <c r="F1274" s="1">
        <v>7.0000000000000007E-2</v>
      </c>
      <c r="G1274">
        <v>999.98</v>
      </c>
      <c r="H1274" s="22">
        <f>VLOOKUP(A1274,[1]Orders!$A$2:$B$1616,2,0)</f>
        <v>42636</v>
      </c>
      <c r="J1274" t="s">
        <v>35</v>
      </c>
      <c r="K1274" t="s">
        <v>18</v>
      </c>
    </row>
    <row r="1275" spans="1:11" x14ac:dyDescent="0.3">
      <c r="A1275">
        <v>454</v>
      </c>
      <c r="B1275">
        <v>2</v>
      </c>
      <c r="C1275">
        <v>13</v>
      </c>
      <c r="D1275">
        <v>2</v>
      </c>
      <c r="E1275" s="1">
        <v>269.99</v>
      </c>
      <c r="F1275" s="1">
        <v>0.05</v>
      </c>
      <c r="G1275">
        <v>539.98</v>
      </c>
      <c r="H1275" s="22">
        <f>VLOOKUP(A1275,[1]Orders!$A$2:$B$1616,2,0)</f>
        <v>42636</v>
      </c>
      <c r="J1275" t="s">
        <v>31</v>
      </c>
      <c r="K1275" t="s">
        <v>18</v>
      </c>
    </row>
    <row r="1276" spans="1:11" x14ac:dyDescent="0.3">
      <c r="A1276">
        <v>454</v>
      </c>
      <c r="B1276">
        <v>3</v>
      </c>
      <c r="C1276">
        <v>24</v>
      </c>
      <c r="D1276">
        <v>2</v>
      </c>
      <c r="E1276" s="1">
        <v>549.99</v>
      </c>
      <c r="F1276" s="1">
        <v>0.1</v>
      </c>
      <c r="G1276">
        <v>1099.98</v>
      </c>
      <c r="H1276" s="22">
        <f>VLOOKUP(A1276,[1]Orders!$A$2:$B$1616,2,0)</f>
        <v>42636</v>
      </c>
      <c r="J1276" t="s">
        <v>25</v>
      </c>
      <c r="K1276" t="s">
        <v>18</v>
      </c>
    </row>
    <row r="1277" spans="1:11" x14ac:dyDescent="0.3">
      <c r="A1277">
        <v>455</v>
      </c>
      <c r="B1277">
        <v>1</v>
      </c>
      <c r="C1277">
        <v>9</v>
      </c>
      <c r="D1277">
        <v>1</v>
      </c>
      <c r="E1277" s="1">
        <v>2999.99</v>
      </c>
      <c r="F1277" s="1">
        <v>0.05</v>
      </c>
      <c r="G1277">
        <v>2999.99</v>
      </c>
      <c r="H1277" s="22">
        <f>VLOOKUP(A1277,[1]Orders!$A$2:$B$1616,2,0)</f>
        <v>42636</v>
      </c>
      <c r="J1277" t="s">
        <v>26</v>
      </c>
      <c r="K1277" t="s">
        <v>18</v>
      </c>
    </row>
    <row r="1278" spans="1:11" x14ac:dyDescent="0.3">
      <c r="A1278">
        <v>456</v>
      </c>
      <c r="B1278">
        <v>1</v>
      </c>
      <c r="C1278">
        <v>17</v>
      </c>
      <c r="D1278">
        <v>2</v>
      </c>
      <c r="E1278" s="1">
        <v>429</v>
      </c>
      <c r="F1278" s="1">
        <v>7.0000000000000007E-2</v>
      </c>
      <c r="G1278">
        <v>858</v>
      </c>
      <c r="H1278" s="22">
        <f>VLOOKUP(A1278,[1]Orders!$A$2:$B$1616,2,0)</f>
        <v>42636</v>
      </c>
      <c r="J1278" t="s">
        <v>23</v>
      </c>
      <c r="K1278" t="s">
        <v>37</v>
      </c>
    </row>
    <row r="1279" spans="1:11" x14ac:dyDescent="0.3">
      <c r="A1279">
        <v>456</v>
      </c>
      <c r="B1279">
        <v>2</v>
      </c>
      <c r="C1279">
        <v>23</v>
      </c>
      <c r="D1279">
        <v>1</v>
      </c>
      <c r="E1279" s="1">
        <v>299.99</v>
      </c>
      <c r="F1279" s="1">
        <v>7.0000000000000007E-2</v>
      </c>
      <c r="G1279">
        <v>299.99</v>
      </c>
      <c r="H1279" s="22">
        <f>VLOOKUP(A1279,[1]Orders!$A$2:$B$1616,2,0)</f>
        <v>42636</v>
      </c>
      <c r="J1279" t="s">
        <v>33</v>
      </c>
      <c r="K1279" t="s">
        <v>37</v>
      </c>
    </row>
    <row r="1280" spans="1:11" x14ac:dyDescent="0.3">
      <c r="A1280">
        <v>457</v>
      </c>
      <c r="B1280">
        <v>1</v>
      </c>
      <c r="C1280">
        <v>24</v>
      </c>
      <c r="D1280">
        <v>2</v>
      </c>
      <c r="E1280" s="1">
        <v>549.99</v>
      </c>
      <c r="F1280" s="1">
        <v>7.0000000000000007E-2</v>
      </c>
      <c r="G1280">
        <v>1099.98</v>
      </c>
      <c r="H1280" s="22">
        <f>VLOOKUP(A1280,[1]Orders!$A$2:$B$1616,2,0)</f>
        <v>42637</v>
      </c>
      <c r="J1280" t="s">
        <v>25</v>
      </c>
      <c r="K1280" t="s">
        <v>11</v>
      </c>
    </row>
    <row r="1281" spans="1:11" x14ac:dyDescent="0.3">
      <c r="A1281">
        <v>457</v>
      </c>
      <c r="B1281">
        <v>2</v>
      </c>
      <c r="C1281">
        <v>2</v>
      </c>
      <c r="D1281">
        <v>1</v>
      </c>
      <c r="E1281" s="1">
        <v>749.99</v>
      </c>
      <c r="F1281" s="1">
        <v>0.05</v>
      </c>
      <c r="G1281">
        <v>749.99</v>
      </c>
      <c r="H1281" s="22">
        <f>VLOOKUP(A1281,[1]Orders!$A$2:$B$1616,2,0)</f>
        <v>42637</v>
      </c>
      <c r="J1281" t="s">
        <v>22</v>
      </c>
      <c r="K1281" t="s">
        <v>11</v>
      </c>
    </row>
    <row r="1282" spans="1:11" x14ac:dyDescent="0.3">
      <c r="A1282">
        <v>457</v>
      </c>
      <c r="B1282">
        <v>3</v>
      </c>
      <c r="C1282">
        <v>7</v>
      </c>
      <c r="D1282">
        <v>2</v>
      </c>
      <c r="E1282" s="1">
        <v>3999.99</v>
      </c>
      <c r="F1282" s="1">
        <v>0.1</v>
      </c>
      <c r="G1282">
        <v>7999.98</v>
      </c>
      <c r="H1282" s="22">
        <f>VLOOKUP(A1282,[1]Orders!$A$2:$B$1616,2,0)</f>
        <v>42637</v>
      </c>
      <c r="J1282" t="s">
        <v>29</v>
      </c>
      <c r="K1282" t="s">
        <v>11</v>
      </c>
    </row>
    <row r="1283" spans="1:11" x14ac:dyDescent="0.3">
      <c r="A1283">
        <v>457</v>
      </c>
      <c r="B1283">
        <v>4</v>
      </c>
      <c r="C1283">
        <v>17</v>
      </c>
      <c r="D1283">
        <v>1</v>
      </c>
      <c r="E1283" s="1">
        <v>429</v>
      </c>
      <c r="F1283" s="1">
        <v>0.2</v>
      </c>
      <c r="G1283">
        <v>429</v>
      </c>
      <c r="H1283" s="22">
        <f>VLOOKUP(A1283,[1]Orders!$A$2:$B$1616,2,0)</f>
        <v>42637</v>
      </c>
      <c r="J1283" t="s">
        <v>23</v>
      </c>
      <c r="K1283" t="s">
        <v>11</v>
      </c>
    </row>
    <row r="1284" spans="1:11" x14ac:dyDescent="0.3">
      <c r="A1284">
        <v>458</v>
      </c>
      <c r="B1284">
        <v>1</v>
      </c>
      <c r="C1284">
        <v>2</v>
      </c>
      <c r="D1284">
        <v>1</v>
      </c>
      <c r="E1284" s="1">
        <v>749.99</v>
      </c>
      <c r="F1284" s="1">
        <v>0.2</v>
      </c>
      <c r="G1284">
        <v>749.99</v>
      </c>
      <c r="H1284" s="22">
        <f>VLOOKUP(A1284,[1]Orders!$A$2:$B$1616,2,0)</f>
        <v>42638</v>
      </c>
      <c r="J1284" t="s">
        <v>22</v>
      </c>
      <c r="K1284" t="s">
        <v>18</v>
      </c>
    </row>
    <row r="1285" spans="1:11" x14ac:dyDescent="0.3">
      <c r="A1285">
        <v>458</v>
      </c>
      <c r="B1285">
        <v>2</v>
      </c>
      <c r="C1285">
        <v>21</v>
      </c>
      <c r="D1285">
        <v>2</v>
      </c>
      <c r="E1285" s="1">
        <v>269.99</v>
      </c>
      <c r="F1285" s="1">
        <v>7.0000000000000007E-2</v>
      </c>
      <c r="G1285">
        <v>539.98</v>
      </c>
      <c r="H1285" s="22">
        <f>VLOOKUP(A1285,[1]Orders!$A$2:$B$1616,2,0)</f>
        <v>42638</v>
      </c>
      <c r="J1285" t="s">
        <v>31</v>
      </c>
      <c r="K1285" t="s">
        <v>18</v>
      </c>
    </row>
    <row r="1286" spans="1:11" x14ac:dyDescent="0.3">
      <c r="A1286">
        <v>458</v>
      </c>
      <c r="B1286">
        <v>3</v>
      </c>
      <c r="C1286">
        <v>11</v>
      </c>
      <c r="D1286">
        <v>1</v>
      </c>
      <c r="E1286" s="1">
        <v>1680.99</v>
      </c>
      <c r="F1286" s="1">
        <v>0.1</v>
      </c>
      <c r="G1286">
        <v>1680.99</v>
      </c>
      <c r="H1286" s="22">
        <f>VLOOKUP(A1286,[1]Orders!$A$2:$B$1616,2,0)</f>
        <v>42638</v>
      </c>
      <c r="J1286" t="s">
        <v>30</v>
      </c>
      <c r="K1286" t="s">
        <v>18</v>
      </c>
    </row>
    <row r="1287" spans="1:11" x14ac:dyDescent="0.3">
      <c r="A1287">
        <v>458</v>
      </c>
      <c r="B1287">
        <v>4</v>
      </c>
      <c r="C1287">
        <v>24</v>
      </c>
      <c r="D1287">
        <v>1</v>
      </c>
      <c r="E1287" s="1">
        <v>549.99</v>
      </c>
      <c r="F1287" s="1">
        <v>0.2</v>
      </c>
      <c r="G1287">
        <v>549.99</v>
      </c>
      <c r="H1287" s="22">
        <f>VLOOKUP(A1287,[1]Orders!$A$2:$B$1616,2,0)</f>
        <v>42638</v>
      </c>
      <c r="J1287" t="s">
        <v>25</v>
      </c>
      <c r="K1287" t="s">
        <v>18</v>
      </c>
    </row>
    <row r="1288" spans="1:11" x14ac:dyDescent="0.3">
      <c r="A1288">
        <v>458</v>
      </c>
      <c r="B1288">
        <v>5</v>
      </c>
      <c r="C1288">
        <v>3</v>
      </c>
      <c r="D1288">
        <v>2</v>
      </c>
      <c r="E1288" s="1">
        <v>999.99</v>
      </c>
      <c r="F1288" s="1">
        <v>0.2</v>
      </c>
      <c r="G1288">
        <v>1999.98</v>
      </c>
      <c r="H1288" s="22">
        <f>VLOOKUP(A1288,[1]Orders!$A$2:$B$1616,2,0)</f>
        <v>42638</v>
      </c>
      <c r="J1288" t="s">
        <v>20</v>
      </c>
      <c r="K1288" t="s">
        <v>18</v>
      </c>
    </row>
    <row r="1289" spans="1:11" x14ac:dyDescent="0.3">
      <c r="A1289">
        <v>459</v>
      </c>
      <c r="B1289">
        <v>1</v>
      </c>
      <c r="C1289">
        <v>11</v>
      </c>
      <c r="D1289">
        <v>1</v>
      </c>
      <c r="E1289" s="1">
        <v>1680.99</v>
      </c>
      <c r="F1289" s="1">
        <v>0.2</v>
      </c>
      <c r="G1289">
        <v>1680.99</v>
      </c>
      <c r="H1289" s="22">
        <f>VLOOKUP(A1289,[1]Orders!$A$2:$B$1616,2,0)</f>
        <v>42638</v>
      </c>
      <c r="J1289" t="s">
        <v>30</v>
      </c>
      <c r="K1289" t="s">
        <v>18</v>
      </c>
    </row>
    <row r="1290" spans="1:11" x14ac:dyDescent="0.3">
      <c r="A1290">
        <v>460</v>
      </c>
      <c r="B1290">
        <v>1</v>
      </c>
      <c r="C1290">
        <v>19</v>
      </c>
      <c r="D1290">
        <v>1</v>
      </c>
      <c r="E1290" s="1">
        <v>449</v>
      </c>
      <c r="F1290" s="1">
        <v>0.05</v>
      </c>
      <c r="G1290">
        <v>449</v>
      </c>
      <c r="H1290" s="22">
        <f>VLOOKUP(A1290,[1]Orders!$A$2:$B$1616,2,0)</f>
        <v>42638</v>
      </c>
      <c r="J1290" t="s">
        <v>36</v>
      </c>
      <c r="K1290" t="s">
        <v>37</v>
      </c>
    </row>
    <row r="1291" spans="1:11" x14ac:dyDescent="0.3">
      <c r="A1291">
        <v>460</v>
      </c>
      <c r="B1291">
        <v>2</v>
      </c>
      <c r="C1291">
        <v>18</v>
      </c>
      <c r="D1291">
        <v>2</v>
      </c>
      <c r="E1291" s="1">
        <v>449</v>
      </c>
      <c r="F1291" s="1">
        <v>7.0000000000000007E-2</v>
      </c>
      <c r="G1291">
        <v>898</v>
      </c>
      <c r="H1291" s="22">
        <f>VLOOKUP(A1291,[1]Orders!$A$2:$B$1616,2,0)</f>
        <v>42638</v>
      </c>
      <c r="J1291" t="s">
        <v>24</v>
      </c>
      <c r="K1291" t="s">
        <v>37</v>
      </c>
    </row>
    <row r="1292" spans="1:11" x14ac:dyDescent="0.3">
      <c r="A1292">
        <v>460</v>
      </c>
      <c r="B1292">
        <v>3</v>
      </c>
      <c r="C1292">
        <v>4</v>
      </c>
      <c r="D1292">
        <v>1</v>
      </c>
      <c r="E1292" s="1">
        <v>2899.99</v>
      </c>
      <c r="F1292" s="1">
        <v>0.2</v>
      </c>
      <c r="G1292">
        <v>2899.99</v>
      </c>
      <c r="H1292" s="22">
        <f>VLOOKUP(A1292,[1]Orders!$A$2:$B$1616,2,0)</f>
        <v>42638</v>
      </c>
      <c r="J1292" t="s">
        <v>16</v>
      </c>
      <c r="K1292" t="s">
        <v>37</v>
      </c>
    </row>
    <row r="1293" spans="1:11" x14ac:dyDescent="0.3">
      <c r="A1293">
        <v>460</v>
      </c>
      <c r="B1293">
        <v>4</v>
      </c>
      <c r="C1293">
        <v>22</v>
      </c>
      <c r="D1293">
        <v>2</v>
      </c>
      <c r="E1293" s="1">
        <v>269.99</v>
      </c>
      <c r="F1293" s="1">
        <v>0.1</v>
      </c>
      <c r="G1293">
        <v>539.98</v>
      </c>
      <c r="H1293" s="22">
        <f>VLOOKUP(A1293,[1]Orders!$A$2:$B$1616,2,0)</f>
        <v>42638</v>
      </c>
      <c r="J1293" t="s">
        <v>28</v>
      </c>
      <c r="K1293" t="s">
        <v>37</v>
      </c>
    </row>
    <row r="1294" spans="1:11" x14ac:dyDescent="0.3">
      <c r="A1294">
        <v>461</v>
      </c>
      <c r="B1294">
        <v>1</v>
      </c>
      <c r="C1294">
        <v>16</v>
      </c>
      <c r="D1294">
        <v>1</v>
      </c>
      <c r="E1294" s="1">
        <v>599.99</v>
      </c>
      <c r="F1294" s="1">
        <v>7.0000000000000007E-2</v>
      </c>
      <c r="G1294">
        <v>599.99</v>
      </c>
      <c r="H1294" s="22">
        <f>VLOOKUP(A1294,[1]Orders!$A$2:$B$1616,2,0)</f>
        <v>42639</v>
      </c>
      <c r="J1294" t="s">
        <v>14</v>
      </c>
      <c r="K1294" t="s">
        <v>18</v>
      </c>
    </row>
    <row r="1295" spans="1:11" x14ac:dyDescent="0.3">
      <c r="A1295">
        <v>461</v>
      </c>
      <c r="B1295">
        <v>2</v>
      </c>
      <c r="C1295">
        <v>4</v>
      </c>
      <c r="D1295">
        <v>1</v>
      </c>
      <c r="E1295" s="1">
        <v>2899.99</v>
      </c>
      <c r="F1295" s="1">
        <v>0.2</v>
      </c>
      <c r="G1295">
        <v>2899.99</v>
      </c>
      <c r="H1295" s="22">
        <f>VLOOKUP(A1295,[1]Orders!$A$2:$B$1616,2,0)</f>
        <v>42639</v>
      </c>
      <c r="J1295" t="s">
        <v>16</v>
      </c>
      <c r="K1295" t="s">
        <v>18</v>
      </c>
    </row>
    <row r="1296" spans="1:11" x14ac:dyDescent="0.3">
      <c r="A1296">
        <v>461</v>
      </c>
      <c r="B1296">
        <v>3</v>
      </c>
      <c r="C1296">
        <v>8</v>
      </c>
      <c r="D1296">
        <v>2</v>
      </c>
      <c r="E1296" s="1">
        <v>1799.99</v>
      </c>
      <c r="F1296" s="1">
        <v>0.05</v>
      </c>
      <c r="G1296">
        <v>3599.98</v>
      </c>
      <c r="H1296" s="22">
        <f>VLOOKUP(A1296,[1]Orders!$A$2:$B$1616,2,0)</f>
        <v>42639</v>
      </c>
      <c r="J1296" t="s">
        <v>12</v>
      </c>
      <c r="K1296" t="s">
        <v>18</v>
      </c>
    </row>
    <row r="1297" spans="1:11" x14ac:dyDescent="0.3">
      <c r="A1297">
        <v>461</v>
      </c>
      <c r="B1297">
        <v>4</v>
      </c>
      <c r="C1297">
        <v>24</v>
      </c>
      <c r="D1297">
        <v>1</v>
      </c>
      <c r="E1297" s="1">
        <v>549.99</v>
      </c>
      <c r="F1297" s="1">
        <v>0.1</v>
      </c>
      <c r="G1297">
        <v>549.99</v>
      </c>
      <c r="H1297" s="22">
        <f>VLOOKUP(A1297,[1]Orders!$A$2:$B$1616,2,0)</f>
        <v>42639</v>
      </c>
      <c r="J1297" t="s">
        <v>25</v>
      </c>
      <c r="K1297" t="s">
        <v>18</v>
      </c>
    </row>
    <row r="1298" spans="1:11" x14ac:dyDescent="0.3">
      <c r="A1298">
        <v>461</v>
      </c>
      <c r="B1298">
        <v>5</v>
      </c>
      <c r="C1298">
        <v>18</v>
      </c>
      <c r="D1298">
        <v>2</v>
      </c>
      <c r="E1298" s="1">
        <v>449</v>
      </c>
      <c r="F1298" s="1">
        <v>0.1</v>
      </c>
      <c r="G1298">
        <v>898</v>
      </c>
      <c r="H1298" s="22">
        <f>VLOOKUP(A1298,[1]Orders!$A$2:$B$1616,2,0)</f>
        <v>42639</v>
      </c>
      <c r="J1298" t="s">
        <v>24</v>
      </c>
      <c r="K1298" t="s">
        <v>18</v>
      </c>
    </row>
    <row r="1299" spans="1:11" x14ac:dyDescent="0.3">
      <c r="A1299">
        <v>462</v>
      </c>
      <c r="B1299">
        <v>1</v>
      </c>
      <c r="C1299">
        <v>12</v>
      </c>
      <c r="D1299">
        <v>2</v>
      </c>
      <c r="E1299" s="1">
        <v>549.99</v>
      </c>
      <c r="F1299" s="1">
        <v>0.1</v>
      </c>
      <c r="G1299">
        <v>1099.98</v>
      </c>
      <c r="H1299" s="22">
        <f>VLOOKUP(A1299,[1]Orders!$A$2:$B$1616,2,0)</f>
        <v>42640</v>
      </c>
      <c r="J1299" t="s">
        <v>25</v>
      </c>
      <c r="K1299" t="s">
        <v>18</v>
      </c>
    </row>
    <row r="1300" spans="1:11" x14ac:dyDescent="0.3">
      <c r="A1300">
        <v>463</v>
      </c>
      <c r="B1300">
        <v>1</v>
      </c>
      <c r="C1300">
        <v>13</v>
      </c>
      <c r="D1300">
        <v>2</v>
      </c>
      <c r="E1300" s="1">
        <v>269.99</v>
      </c>
      <c r="F1300" s="1">
        <v>7.0000000000000007E-2</v>
      </c>
      <c r="G1300">
        <v>539.98</v>
      </c>
      <c r="H1300" s="22">
        <f>VLOOKUP(A1300,[1]Orders!$A$2:$B$1616,2,0)</f>
        <v>42640</v>
      </c>
      <c r="J1300" t="s">
        <v>31</v>
      </c>
      <c r="K1300" t="s">
        <v>37</v>
      </c>
    </row>
    <row r="1301" spans="1:11" x14ac:dyDescent="0.3">
      <c r="A1301">
        <v>464</v>
      </c>
      <c r="B1301">
        <v>1</v>
      </c>
      <c r="C1301">
        <v>7</v>
      </c>
      <c r="D1301">
        <v>1</v>
      </c>
      <c r="E1301" s="1">
        <v>3999.99</v>
      </c>
      <c r="F1301" s="1">
        <v>0.1</v>
      </c>
      <c r="G1301">
        <v>3999.99</v>
      </c>
      <c r="H1301" s="22">
        <f>VLOOKUP(A1301,[1]Orders!$A$2:$B$1616,2,0)</f>
        <v>42641</v>
      </c>
      <c r="J1301" t="s">
        <v>29</v>
      </c>
      <c r="K1301" t="s">
        <v>18</v>
      </c>
    </row>
    <row r="1302" spans="1:11" x14ac:dyDescent="0.3">
      <c r="A1302">
        <v>465</v>
      </c>
      <c r="B1302">
        <v>1</v>
      </c>
      <c r="C1302">
        <v>6</v>
      </c>
      <c r="D1302">
        <v>2</v>
      </c>
      <c r="E1302" s="1">
        <v>469.99</v>
      </c>
      <c r="F1302" s="1">
        <v>0.1</v>
      </c>
      <c r="G1302">
        <v>939.98</v>
      </c>
      <c r="H1302" s="22">
        <f>VLOOKUP(A1302,[1]Orders!$A$2:$B$1616,2,0)</f>
        <v>42641</v>
      </c>
      <c r="J1302" t="s">
        <v>32</v>
      </c>
      <c r="K1302" t="s">
        <v>18</v>
      </c>
    </row>
    <row r="1303" spans="1:11" x14ac:dyDescent="0.3">
      <c r="A1303">
        <v>465</v>
      </c>
      <c r="B1303">
        <v>2</v>
      </c>
      <c r="C1303">
        <v>25</v>
      </c>
      <c r="D1303">
        <v>2</v>
      </c>
      <c r="E1303" s="1">
        <v>499.99</v>
      </c>
      <c r="F1303" s="1">
        <v>0.1</v>
      </c>
      <c r="G1303">
        <v>999.98</v>
      </c>
      <c r="H1303" s="22">
        <f>VLOOKUP(A1303,[1]Orders!$A$2:$B$1616,2,0)</f>
        <v>42641</v>
      </c>
      <c r="J1303" t="s">
        <v>35</v>
      </c>
      <c r="K1303" t="s">
        <v>18</v>
      </c>
    </row>
    <row r="1304" spans="1:11" x14ac:dyDescent="0.3">
      <c r="A1304">
        <v>466</v>
      </c>
      <c r="B1304">
        <v>1</v>
      </c>
      <c r="C1304">
        <v>19</v>
      </c>
      <c r="D1304">
        <v>2</v>
      </c>
      <c r="E1304" s="1">
        <v>449</v>
      </c>
      <c r="F1304" s="1">
        <v>0.2</v>
      </c>
      <c r="G1304">
        <v>898</v>
      </c>
      <c r="H1304" s="22">
        <f>VLOOKUP(A1304,[1]Orders!$A$2:$B$1616,2,0)</f>
        <v>42641</v>
      </c>
      <c r="J1304" t="s">
        <v>36</v>
      </c>
      <c r="K1304" t="s">
        <v>18</v>
      </c>
    </row>
    <row r="1305" spans="1:11" x14ac:dyDescent="0.3">
      <c r="A1305">
        <v>466</v>
      </c>
      <c r="B1305">
        <v>2</v>
      </c>
      <c r="C1305">
        <v>6</v>
      </c>
      <c r="D1305">
        <v>1</v>
      </c>
      <c r="E1305" s="1">
        <v>469.99</v>
      </c>
      <c r="F1305" s="1">
        <v>0.2</v>
      </c>
      <c r="G1305">
        <v>469.99</v>
      </c>
      <c r="H1305" s="22">
        <f>VLOOKUP(A1305,[1]Orders!$A$2:$B$1616,2,0)</f>
        <v>42641</v>
      </c>
      <c r="J1305" t="s">
        <v>32</v>
      </c>
      <c r="K1305" t="s">
        <v>18</v>
      </c>
    </row>
    <row r="1306" spans="1:11" x14ac:dyDescent="0.3">
      <c r="A1306">
        <v>466</v>
      </c>
      <c r="B1306">
        <v>3</v>
      </c>
      <c r="C1306">
        <v>7</v>
      </c>
      <c r="D1306">
        <v>2</v>
      </c>
      <c r="E1306" s="1">
        <v>3999.99</v>
      </c>
      <c r="F1306" s="1">
        <v>0.05</v>
      </c>
      <c r="G1306">
        <v>7999.98</v>
      </c>
      <c r="H1306" s="22">
        <f>VLOOKUP(A1306,[1]Orders!$A$2:$B$1616,2,0)</f>
        <v>42641</v>
      </c>
      <c r="J1306" t="s">
        <v>29</v>
      </c>
      <c r="K1306" t="s">
        <v>18</v>
      </c>
    </row>
    <row r="1307" spans="1:11" x14ac:dyDescent="0.3">
      <c r="A1307">
        <v>466</v>
      </c>
      <c r="B1307">
        <v>4</v>
      </c>
      <c r="C1307">
        <v>15</v>
      </c>
      <c r="D1307">
        <v>1</v>
      </c>
      <c r="E1307" s="1">
        <v>529.99</v>
      </c>
      <c r="F1307" s="1">
        <v>0.1</v>
      </c>
      <c r="G1307">
        <v>529.99</v>
      </c>
      <c r="H1307" s="22">
        <f>VLOOKUP(A1307,[1]Orders!$A$2:$B$1616,2,0)</f>
        <v>42641</v>
      </c>
      <c r="J1307" t="s">
        <v>27</v>
      </c>
      <c r="K1307" t="s">
        <v>18</v>
      </c>
    </row>
    <row r="1308" spans="1:11" x14ac:dyDescent="0.3">
      <c r="A1308">
        <v>466</v>
      </c>
      <c r="B1308">
        <v>5</v>
      </c>
      <c r="C1308">
        <v>5</v>
      </c>
      <c r="D1308">
        <v>1</v>
      </c>
      <c r="E1308" s="1">
        <v>1320.99</v>
      </c>
      <c r="F1308" s="1">
        <v>0.1</v>
      </c>
      <c r="G1308">
        <v>1320.99</v>
      </c>
      <c r="H1308" s="22">
        <f>VLOOKUP(A1308,[1]Orders!$A$2:$B$1616,2,0)</f>
        <v>42641</v>
      </c>
      <c r="J1308" t="s">
        <v>34</v>
      </c>
      <c r="K1308" t="s">
        <v>18</v>
      </c>
    </row>
    <row r="1309" spans="1:11" x14ac:dyDescent="0.3">
      <c r="A1309">
        <v>467</v>
      </c>
      <c r="B1309">
        <v>1</v>
      </c>
      <c r="C1309">
        <v>19</v>
      </c>
      <c r="D1309">
        <v>1</v>
      </c>
      <c r="E1309" s="1">
        <v>449</v>
      </c>
      <c r="F1309" s="1">
        <v>7.0000000000000007E-2</v>
      </c>
      <c r="G1309">
        <v>449</v>
      </c>
      <c r="H1309" s="22">
        <f>VLOOKUP(A1309,[1]Orders!$A$2:$B$1616,2,0)</f>
        <v>42641</v>
      </c>
      <c r="J1309" t="s">
        <v>36</v>
      </c>
      <c r="K1309" t="s">
        <v>37</v>
      </c>
    </row>
    <row r="1310" spans="1:11" x14ac:dyDescent="0.3">
      <c r="A1310">
        <v>467</v>
      </c>
      <c r="B1310">
        <v>2</v>
      </c>
      <c r="C1310">
        <v>10</v>
      </c>
      <c r="D1310">
        <v>1</v>
      </c>
      <c r="E1310" s="1">
        <v>1549</v>
      </c>
      <c r="F1310" s="1">
        <v>7.0000000000000007E-2</v>
      </c>
      <c r="G1310">
        <v>1549</v>
      </c>
      <c r="H1310" s="22">
        <f>VLOOKUP(A1310,[1]Orders!$A$2:$B$1616,2,0)</f>
        <v>42641</v>
      </c>
      <c r="J1310" t="s">
        <v>13</v>
      </c>
      <c r="K1310" t="s">
        <v>37</v>
      </c>
    </row>
    <row r="1311" spans="1:11" x14ac:dyDescent="0.3">
      <c r="A1311">
        <v>467</v>
      </c>
      <c r="B1311">
        <v>3</v>
      </c>
      <c r="C1311">
        <v>22</v>
      </c>
      <c r="D1311">
        <v>2</v>
      </c>
      <c r="E1311" s="1">
        <v>269.99</v>
      </c>
      <c r="F1311" s="1">
        <v>0.1</v>
      </c>
      <c r="G1311">
        <v>539.98</v>
      </c>
      <c r="H1311" s="22">
        <f>VLOOKUP(A1311,[1]Orders!$A$2:$B$1616,2,0)</f>
        <v>42641</v>
      </c>
      <c r="J1311" t="s">
        <v>28</v>
      </c>
      <c r="K1311" t="s">
        <v>37</v>
      </c>
    </row>
    <row r="1312" spans="1:11" x14ac:dyDescent="0.3">
      <c r="A1312">
        <v>467</v>
      </c>
      <c r="B1312">
        <v>4</v>
      </c>
      <c r="C1312">
        <v>17</v>
      </c>
      <c r="D1312">
        <v>2</v>
      </c>
      <c r="E1312" s="1">
        <v>429</v>
      </c>
      <c r="F1312" s="1">
        <v>7.0000000000000007E-2</v>
      </c>
      <c r="G1312">
        <v>858</v>
      </c>
      <c r="H1312" s="22">
        <f>VLOOKUP(A1312,[1]Orders!$A$2:$B$1616,2,0)</f>
        <v>42641</v>
      </c>
      <c r="J1312" t="s">
        <v>23</v>
      </c>
      <c r="K1312" t="s">
        <v>37</v>
      </c>
    </row>
    <row r="1313" spans="1:11" x14ac:dyDescent="0.3">
      <c r="A1313">
        <v>467</v>
      </c>
      <c r="B1313">
        <v>5</v>
      </c>
      <c r="C1313">
        <v>11</v>
      </c>
      <c r="D1313">
        <v>1</v>
      </c>
      <c r="E1313" s="1">
        <v>1680.99</v>
      </c>
      <c r="F1313" s="1">
        <v>0.1</v>
      </c>
      <c r="G1313">
        <v>1680.99</v>
      </c>
      <c r="H1313" s="22">
        <f>VLOOKUP(A1313,[1]Orders!$A$2:$B$1616,2,0)</f>
        <v>42641</v>
      </c>
      <c r="J1313" t="s">
        <v>30</v>
      </c>
      <c r="K1313" t="s">
        <v>37</v>
      </c>
    </row>
    <row r="1314" spans="1:11" x14ac:dyDescent="0.3">
      <c r="A1314">
        <v>468</v>
      </c>
      <c r="B1314">
        <v>1</v>
      </c>
      <c r="C1314">
        <v>19</v>
      </c>
      <c r="D1314">
        <v>1</v>
      </c>
      <c r="E1314" s="1">
        <v>449</v>
      </c>
      <c r="F1314" s="1">
        <v>0.1</v>
      </c>
      <c r="G1314">
        <v>449</v>
      </c>
      <c r="H1314" s="22">
        <f>VLOOKUP(A1314,[1]Orders!$A$2:$B$1616,2,0)</f>
        <v>42642</v>
      </c>
      <c r="J1314" t="s">
        <v>36</v>
      </c>
      <c r="K1314" t="s">
        <v>11</v>
      </c>
    </row>
    <row r="1315" spans="1:11" x14ac:dyDescent="0.3">
      <c r="A1315">
        <v>468</v>
      </c>
      <c r="B1315">
        <v>2</v>
      </c>
      <c r="C1315">
        <v>9</v>
      </c>
      <c r="D1315">
        <v>2</v>
      </c>
      <c r="E1315" s="1">
        <v>2999.99</v>
      </c>
      <c r="F1315" s="1">
        <v>0.05</v>
      </c>
      <c r="G1315">
        <v>5999.98</v>
      </c>
      <c r="H1315" s="22">
        <f>VLOOKUP(A1315,[1]Orders!$A$2:$B$1616,2,0)</f>
        <v>42642</v>
      </c>
      <c r="J1315" t="s">
        <v>26</v>
      </c>
      <c r="K1315" t="s">
        <v>11</v>
      </c>
    </row>
    <row r="1316" spans="1:11" x14ac:dyDescent="0.3">
      <c r="A1316">
        <v>468</v>
      </c>
      <c r="B1316">
        <v>3</v>
      </c>
      <c r="C1316">
        <v>10</v>
      </c>
      <c r="D1316">
        <v>2</v>
      </c>
      <c r="E1316" s="1">
        <v>1549</v>
      </c>
      <c r="F1316" s="1">
        <v>0.05</v>
      </c>
      <c r="G1316">
        <v>3098</v>
      </c>
      <c r="H1316" s="22">
        <f>VLOOKUP(A1316,[1]Orders!$A$2:$B$1616,2,0)</f>
        <v>42642</v>
      </c>
      <c r="J1316" t="s">
        <v>13</v>
      </c>
      <c r="K1316" t="s">
        <v>11</v>
      </c>
    </row>
    <row r="1317" spans="1:11" x14ac:dyDescent="0.3">
      <c r="A1317">
        <v>468</v>
      </c>
      <c r="B1317">
        <v>4</v>
      </c>
      <c r="C1317">
        <v>25</v>
      </c>
      <c r="D1317">
        <v>1</v>
      </c>
      <c r="E1317" s="1">
        <v>499.99</v>
      </c>
      <c r="F1317" s="1">
        <v>0.1</v>
      </c>
      <c r="G1317">
        <v>499.99</v>
      </c>
      <c r="H1317" s="22">
        <f>VLOOKUP(A1317,[1]Orders!$A$2:$B$1616,2,0)</f>
        <v>42642</v>
      </c>
      <c r="J1317" t="s">
        <v>35</v>
      </c>
      <c r="K1317" t="s">
        <v>11</v>
      </c>
    </row>
    <row r="1318" spans="1:11" x14ac:dyDescent="0.3">
      <c r="A1318">
        <v>469</v>
      </c>
      <c r="B1318">
        <v>1</v>
      </c>
      <c r="C1318">
        <v>8</v>
      </c>
      <c r="D1318">
        <v>2</v>
      </c>
      <c r="E1318" s="1">
        <v>1799.99</v>
      </c>
      <c r="F1318" s="1">
        <v>0.1</v>
      </c>
      <c r="G1318">
        <v>3599.98</v>
      </c>
      <c r="H1318" s="22">
        <f>VLOOKUP(A1318,[1]Orders!$A$2:$B$1616,2,0)</f>
        <v>42642</v>
      </c>
      <c r="J1318" t="s">
        <v>12</v>
      </c>
      <c r="K1318" t="s">
        <v>18</v>
      </c>
    </row>
    <row r="1319" spans="1:11" x14ac:dyDescent="0.3">
      <c r="A1319">
        <v>469</v>
      </c>
      <c r="B1319">
        <v>2</v>
      </c>
      <c r="C1319">
        <v>4</v>
      </c>
      <c r="D1319">
        <v>1</v>
      </c>
      <c r="E1319" s="1">
        <v>2899.99</v>
      </c>
      <c r="F1319" s="1">
        <v>7.0000000000000007E-2</v>
      </c>
      <c r="G1319">
        <v>2899.99</v>
      </c>
      <c r="H1319" s="22">
        <f>VLOOKUP(A1319,[1]Orders!$A$2:$B$1616,2,0)</f>
        <v>42642</v>
      </c>
      <c r="J1319" t="s">
        <v>16</v>
      </c>
      <c r="K1319" t="s">
        <v>18</v>
      </c>
    </row>
    <row r="1320" spans="1:11" x14ac:dyDescent="0.3">
      <c r="A1320">
        <v>469</v>
      </c>
      <c r="B1320">
        <v>3</v>
      </c>
      <c r="C1320">
        <v>15</v>
      </c>
      <c r="D1320">
        <v>2</v>
      </c>
      <c r="E1320" s="1">
        <v>529.99</v>
      </c>
      <c r="F1320" s="1">
        <v>0.2</v>
      </c>
      <c r="G1320">
        <v>1059.98</v>
      </c>
      <c r="H1320" s="22">
        <f>VLOOKUP(A1320,[1]Orders!$A$2:$B$1616,2,0)</f>
        <v>42642</v>
      </c>
      <c r="J1320" t="s">
        <v>27</v>
      </c>
      <c r="K1320" t="s">
        <v>18</v>
      </c>
    </row>
    <row r="1321" spans="1:11" x14ac:dyDescent="0.3">
      <c r="A1321">
        <v>470</v>
      </c>
      <c r="B1321">
        <v>1</v>
      </c>
      <c r="C1321">
        <v>18</v>
      </c>
      <c r="D1321">
        <v>1</v>
      </c>
      <c r="E1321" s="1">
        <v>449</v>
      </c>
      <c r="F1321" s="1">
        <v>0.05</v>
      </c>
      <c r="G1321">
        <v>449</v>
      </c>
      <c r="H1321" s="22">
        <f>VLOOKUP(A1321,[1]Orders!$A$2:$B$1616,2,0)</f>
        <v>42643</v>
      </c>
      <c r="J1321" t="s">
        <v>24</v>
      </c>
      <c r="K1321" t="s">
        <v>11</v>
      </c>
    </row>
    <row r="1322" spans="1:11" x14ac:dyDescent="0.3">
      <c r="A1322">
        <v>470</v>
      </c>
      <c r="B1322">
        <v>2</v>
      </c>
      <c r="C1322">
        <v>13</v>
      </c>
      <c r="D1322">
        <v>1</v>
      </c>
      <c r="E1322" s="1">
        <v>269.99</v>
      </c>
      <c r="F1322" s="1">
        <v>0.05</v>
      </c>
      <c r="G1322">
        <v>269.99</v>
      </c>
      <c r="H1322" s="22">
        <f>VLOOKUP(A1322,[1]Orders!$A$2:$B$1616,2,0)</f>
        <v>42643</v>
      </c>
      <c r="J1322" t="s">
        <v>31</v>
      </c>
      <c r="K1322" t="s">
        <v>11</v>
      </c>
    </row>
    <row r="1323" spans="1:11" x14ac:dyDescent="0.3">
      <c r="A1323">
        <v>470</v>
      </c>
      <c r="B1323">
        <v>3</v>
      </c>
      <c r="C1323">
        <v>8</v>
      </c>
      <c r="D1323">
        <v>2</v>
      </c>
      <c r="E1323" s="1">
        <v>1799.99</v>
      </c>
      <c r="F1323" s="1">
        <v>0.2</v>
      </c>
      <c r="G1323">
        <v>3599.98</v>
      </c>
      <c r="H1323" s="22">
        <f>VLOOKUP(A1323,[1]Orders!$A$2:$B$1616,2,0)</f>
        <v>42643</v>
      </c>
      <c r="J1323" t="s">
        <v>12</v>
      </c>
      <c r="K1323" t="s">
        <v>11</v>
      </c>
    </row>
    <row r="1324" spans="1:11" x14ac:dyDescent="0.3">
      <c r="A1324">
        <v>471</v>
      </c>
      <c r="B1324">
        <v>1</v>
      </c>
      <c r="C1324">
        <v>14</v>
      </c>
      <c r="D1324">
        <v>1</v>
      </c>
      <c r="E1324" s="1">
        <v>269.99</v>
      </c>
      <c r="F1324" s="1">
        <v>0.2</v>
      </c>
      <c r="G1324">
        <v>269.99</v>
      </c>
      <c r="H1324" s="22">
        <f>VLOOKUP(A1324,[1]Orders!$A$2:$B$1616,2,0)</f>
        <v>42643</v>
      </c>
      <c r="J1324" t="s">
        <v>28</v>
      </c>
      <c r="K1324" t="s">
        <v>11</v>
      </c>
    </row>
    <row r="1325" spans="1:11" x14ac:dyDescent="0.3">
      <c r="A1325">
        <v>471</v>
      </c>
      <c r="B1325">
        <v>2</v>
      </c>
      <c r="C1325">
        <v>13</v>
      </c>
      <c r="D1325">
        <v>2</v>
      </c>
      <c r="E1325" s="1">
        <v>269.99</v>
      </c>
      <c r="F1325" s="1">
        <v>0.05</v>
      </c>
      <c r="G1325">
        <v>539.98</v>
      </c>
      <c r="H1325" s="22">
        <f>VLOOKUP(A1325,[1]Orders!$A$2:$B$1616,2,0)</f>
        <v>42643</v>
      </c>
      <c r="J1325" t="s">
        <v>31</v>
      </c>
      <c r="K1325" t="s">
        <v>11</v>
      </c>
    </row>
    <row r="1326" spans="1:11" x14ac:dyDescent="0.3">
      <c r="A1326">
        <v>472</v>
      </c>
      <c r="B1326">
        <v>1</v>
      </c>
      <c r="C1326">
        <v>15</v>
      </c>
      <c r="D1326">
        <v>1</v>
      </c>
      <c r="E1326" s="1">
        <v>529.99</v>
      </c>
      <c r="F1326" s="1">
        <v>0.1</v>
      </c>
      <c r="G1326">
        <v>529.99</v>
      </c>
      <c r="H1326" s="22">
        <f>VLOOKUP(A1326,[1]Orders!$A$2:$B$1616,2,0)</f>
        <v>42643</v>
      </c>
      <c r="J1326" t="s">
        <v>27</v>
      </c>
      <c r="K1326" t="s">
        <v>18</v>
      </c>
    </row>
    <row r="1327" spans="1:11" x14ac:dyDescent="0.3">
      <c r="A1327">
        <v>472</v>
      </c>
      <c r="B1327">
        <v>2</v>
      </c>
      <c r="C1327">
        <v>21</v>
      </c>
      <c r="D1327">
        <v>2</v>
      </c>
      <c r="E1327" s="1">
        <v>269.99</v>
      </c>
      <c r="F1327" s="1">
        <v>0.1</v>
      </c>
      <c r="G1327">
        <v>539.98</v>
      </c>
      <c r="H1327" s="22">
        <f>VLOOKUP(A1327,[1]Orders!$A$2:$B$1616,2,0)</f>
        <v>42643</v>
      </c>
      <c r="J1327" t="s">
        <v>31</v>
      </c>
      <c r="K1327" t="s">
        <v>18</v>
      </c>
    </row>
    <row r="1328" spans="1:11" x14ac:dyDescent="0.3">
      <c r="A1328">
        <v>473</v>
      </c>
      <c r="B1328">
        <v>1</v>
      </c>
      <c r="C1328">
        <v>26</v>
      </c>
      <c r="D1328">
        <v>1</v>
      </c>
      <c r="E1328" s="1">
        <v>599.99</v>
      </c>
      <c r="F1328" s="1">
        <v>7.0000000000000007E-2</v>
      </c>
      <c r="G1328">
        <v>599.99</v>
      </c>
      <c r="H1328" s="22">
        <f>VLOOKUP(A1328,[1]Orders!$A$2:$B$1616,2,0)</f>
        <v>42643</v>
      </c>
      <c r="J1328" t="s">
        <v>14</v>
      </c>
      <c r="K1328" t="s">
        <v>18</v>
      </c>
    </row>
    <row r="1329" spans="1:11" x14ac:dyDescent="0.3">
      <c r="A1329">
        <v>474</v>
      </c>
      <c r="B1329">
        <v>1</v>
      </c>
      <c r="C1329">
        <v>19</v>
      </c>
      <c r="D1329">
        <v>2</v>
      </c>
      <c r="E1329" s="1">
        <v>449</v>
      </c>
      <c r="F1329" s="1">
        <v>0.05</v>
      </c>
      <c r="G1329">
        <v>898</v>
      </c>
      <c r="H1329" s="22">
        <f>VLOOKUP(A1329,[1]Orders!$A$2:$B$1616,2,0)</f>
        <v>42644</v>
      </c>
      <c r="J1329" t="s">
        <v>36</v>
      </c>
      <c r="K1329" t="s">
        <v>11</v>
      </c>
    </row>
    <row r="1330" spans="1:11" x14ac:dyDescent="0.3">
      <c r="A1330">
        <v>474</v>
      </c>
      <c r="B1330">
        <v>2</v>
      </c>
      <c r="C1330">
        <v>11</v>
      </c>
      <c r="D1330">
        <v>1</v>
      </c>
      <c r="E1330" s="1">
        <v>1680.99</v>
      </c>
      <c r="F1330" s="1">
        <v>0.2</v>
      </c>
      <c r="G1330">
        <v>1680.99</v>
      </c>
      <c r="H1330" s="22">
        <f>VLOOKUP(A1330,[1]Orders!$A$2:$B$1616,2,0)</f>
        <v>42644</v>
      </c>
      <c r="J1330" t="s">
        <v>30</v>
      </c>
      <c r="K1330" t="s">
        <v>11</v>
      </c>
    </row>
    <row r="1331" spans="1:11" x14ac:dyDescent="0.3">
      <c r="A1331">
        <v>475</v>
      </c>
      <c r="B1331">
        <v>1</v>
      </c>
      <c r="C1331">
        <v>17</v>
      </c>
      <c r="D1331">
        <v>2</v>
      </c>
      <c r="E1331" s="1">
        <v>429</v>
      </c>
      <c r="F1331" s="1">
        <v>7.0000000000000007E-2</v>
      </c>
      <c r="G1331">
        <v>858</v>
      </c>
      <c r="H1331" s="22">
        <f>VLOOKUP(A1331,[1]Orders!$A$2:$B$1616,2,0)</f>
        <v>42644</v>
      </c>
      <c r="J1331" t="s">
        <v>23</v>
      </c>
      <c r="K1331" t="s">
        <v>18</v>
      </c>
    </row>
    <row r="1332" spans="1:11" x14ac:dyDescent="0.3">
      <c r="A1332">
        <v>475</v>
      </c>
      <c r="B1332">
        <v>2</v>
      </c>
      <c r="C1332">
        <v>26</v>
      </c>
      <c r="D1332">
        <v>2</v>
      </c>
      <c r="E1332" s="1">
        <v>599.99</v>
      </c>
      <c r="F1332" s="1">
        <v>0.2</v>
      </c>
      <c r="G1332">
        <v>1199.98</v>
      </c>
      <c r="H1332" s="22">
        <f>VLOOKUP(A1332,[1]Orders!$A$2:$B$1616,2,0)</f>
        <v>42644</v>
      </c>
      <c r="J1332" t="s">
        <v>14</v>
      </c>
      <c r="K1332" t="s">
        <v>18</v>
      </c>
    </row>
    <row r="1333" spans="1:11" x14ac:dyDescent="0.3">
      <c r="A1333">
        <v>475</v>
      </c>
      <c r="B1333">
        <v>3</v>
      </c>
      <c r="C1333">
        <v>25</v>
      </c>
      <c r="D1333">
        <v>1</v>
      </c>
      <c r="E1333" s="1">
        <v>499.99</v>
      </c>
      <c r="F1333" s="1">
        <v>0.2</v>
      </c>
      <c r="G1333">
        <v>499.99</v>
      </c>
      <c r="H1333" s="22">
        <f>VLOOKUP(A1333,[1]Orders!$A$2:$B$1616,2,0)</f>
        <v>42644</v>
      </c>
      <c r="J1333" t="s">
        <v>35</v>
      </c>
      <c r="K1333" t="s">
        <v>18</v>
      </c>
    </row>
    <row r="1334" spans="1:11" x14ac:dyDescent="0.3">
      <c r="A1334">
        <v>476</v>
      </c>
      <c r="B1334">
        <v>1</v>
      </c>
      <c r="C1334">
        <v>22</v>
      </c>
      <c r="D1334">
        <v>2</v>
      </c>
      <c r="E1334" s="1">
        <v>269.99</v>
      </c>
      <c r="F1334" s="1">
        <v>7.0000000000000007E-2</v>
      </c>
      <c r="G1334">
        <v>539.98</v>
      </c>
      <c r="H1334" s="22">
        <f>VLOOKUP(A1334,[1]Orders!$A$2:$B$1616,2,0)</f>
        <v>42644</v>
      </c>
      <c r="J1334" t="s">
        <v>28</v>
      </c>
      <c r="K1334" t="s">
        <v>18</v>
      </c>
    </row>
    <row r="1335" spans="1:11" x14ac:dyDescent="0.3">
      <c r="A1335">
        <v>476</v>
      </c>
      <c r="B1335">
        <v>2</v>
      </c>
      <c r="C1335">
        <v>4</v>
      </c>
      <c r="D1335">
        <v>2</v>
      </c>
      <c r="E1335" s="1">
        <v>2899.99</v>
      </c>
      <c r="F1335" s="1">
        <v>0.2</v>
      </c>
      <c r="G1335">
        <v>5799.98</v>
      </c>
      <c r="H1335" s="22">
        <f>VLOOKUP(A1335,[1]Orders!$A$2:$B$1616,2,0)</f>
        <v>42644</v>
      </c>
      <c r="J1335" t="s">
        <v>16</v>
      </c>
      <c r="K1335" t="s">
        <v>18</v>
      </c>
    </row>
    <row r="1336" spans="1:11" x14ac:dyDescent="0.3">
      <c r="A1336">
        <v>476</v>
      </c>
      <c r="B1336">
        <v>3</v>
      </c>
      <c r="C1336">
        <v>11</v>
      </c>
      <c r="D1336">
        <v>2</v>
      </c>
      <c r="E1336" s="1">
        <v>1680.99</v>
      </c>
      <c r="F1336" s="1">
        <v>7.0000000000000007E-2</v>
      </c>
      <c r="G1336">
        <v>3361.98</v>
      </c>
      <c r="H1336" s="22">
        <f>VLOOKUP(A1336,[1]Orders!$A$2:$B$1616,2,0)</f>
        <v>42644</v>
      </c>
      <c r="J1336" t="s">
        <v>30</v>
      </c>
      <c r="K1336" t="s">
        <v>18</v>
      </c>
    </row>
    <row r="1337" spans="1:11" x14ac:dyDescent="0.3">
      <c r="A1337">
        <v>476</v>
      </c>
      <c r="B1337">
        <v>4</v>
      </c>
      <c r="C1337">
        <v>20</v>
      </c>
      <c r="D1337">
        <v>2</v>
      </c>
      <c r="E1337" s="1">
        <v>599.99</v>
      </c>
      <c r="F1337" s="1">
        <v>0.05</v>
      </c>
      <c r="G1337">
        <v>1199.98</v>
      </c>
      <c r="H1337" s="22">
        <f>VLOOKUP(A1337,[1]Orders!$A$2:$B$1616,2,0)</f>
        <v>42644</v>
      </c>
      <c r="J1337" t="s">
        <v>10</v>
      </c>
      <c r="K1337" t="s">
        <v>18</v>
      </c>
    </row>
    <row r="1338" spans="1:11" x14ac:dyDescent="0.3">
      <c r="A1338">
        <v>477</v>
      </c>
      <c r="B1338">
        <v>1</v>
      </c>
      <c r="C1338">
        <v>6</v>
      </c>
      <c r="D1338">
        <v>1</v>
      </c>
      <c r="E1338" s="1">
        <v>469.99</v>
      </c>
      <c r="F1338" s="1">
        <v>0.1</v>
      </c>
      <c r="G1338">
        <v>469.99</v>
      </c>
      <c r="H1338" s="22">
        <f>VLOOKUP(A1338,[1]Orders!$A$2:$B$1616,2,0)</f>
        <v>42645</v>
      </c>
      <c r="J1338" t="s">
        <v>32</v>
      </c>
      <c r="K1338" t="s">
        <v>11</v>
      </c>
    </row>
    <row r="1339" spans="1:11" x14ac:dyDescent="0.3">
      <c r="A1339">
        <v>477</v>
      </c>
      <c r="B1339">
        <v>2</v>
      </c>
      <c r="C1339">
        <v>10</v>
      </c>
      <c r="D1339">
        <v>1</v>
      </c>
      <c r="E1339" s="1">
        <v>1549</v>
      </c>
      <c r="F1339" s="1">
        <v>0.05</v>
      </c>
      <c r="G1339">
        <v>1549</v>
      </c>
      <c r="H1339" s="22">
        <f>VLOOKUP(A1339,[1]Orders!$A$2:$B$1616,2,0)</f>
        <v>42645</v>
      </c>
      <c r="J1339" t="s">
        <v>13</v>
      </c>
      <c r="K1339" t="s">
        <v>11</v>
      </c>
    </row>
    <row r="1340" spans="1:11" x14ac:dyDescent="0.3">
      <c r="A1340">
        <v>478</v>
      </c>
      <c r="B1340">
        <v>1</v>
      </c>
      <c r="C1340">
        <v>21</v>
      </c>
      <c r="D1340">
        <v>2</v>
      </c>
      <c r="E1340" s="1">
        <v>269.99</v>
      </c>
      <c r="F1340" s="1">
        <v>7.0000000000000007E-2</v>
      </c>
      <c r="G1340">
        <v>539.98</v>
      </c>
      <c r="H1340" s="22">
        <f>VLOOKUP(A1340,[1]Orders!$A$2:$B$1616,2,0)</f>
        <v>42645</v>
      </c>
      <c r="J1340" t="s">
        <v>31</v>
      </c>
      <c r="K1340" t="s">
        <v>18</v>
      </c>
    </row>
    <row r="1341" spans="1:11" x14ac:dyDescent="0.3">
      <c r="A1341">
        <v>479</v>
      </c>
      <c r="B1341">
        <v>1</v>
      </c>
      <c r="C1341">
        <v>26</v>
      </c>
      <c r="D1341">
        <v>1</v>
      </c>
      <c r="E1341" s="1">
        <v>599.99</v>
      </c>
      <c r="F1341" s="1">
        <v>7.0000000000000007E-2</v>
      </c>
      <c r="G1341">
        <v>599.99</v>
      </c>
      <c r="H1341" s="22">
        <f>VLOOKUP(A1341,[1]Orders!$A$2:$B$1616,2,0)</f>
        <v>42646</v>
      </c>
      <c r="J1341" t="s">
        <v>14</v>
      </c>
      <c r="K1341" t="s">
        <v>18</v>
      </c>
    </row>
    <row r="1342" spans="1:11" x14ac:dyDescent="0.3">
      <c r="A1342">
        <v>479</v>
      </c>
      <c r="B1342">
        <v>2</v>
      </c>
      <c r="C1342">
        <v>12</v>
      </c>
      <c r="D1342">
        <v>1</v>
      </c>
      <c r="E1342" s="1">
        <v>549.99</v>
      </c>
      <c r="F1342" s="1">
        <v>0.05</v>
      </c>
      <c r="G1342">
        <v>549.99</v>
      </c>
      <c r="H1342" s="22">
        <f>VLOOKUP(A1342,[1]Orders!$A$2:$B$1616,2,0)</f>
        <v>42646</v>
      </c>
      <c r="J1342" t="s">
        <v>25</v>
      </c>
      <c r="K1342" t="s">
        <v>18</v>
      </c>
    </row>
    <row r="1343" spans="1:11" x14ac:dyDescent="0.3">
      <c r="A1343">
        <v>479</v>
      </c>
      <c r="B1343">
        <v>3</v>
      </c>
      <c r="C1343">
        <v>21</v>
      </c>
      <c r="D1343">
        <v>1</v>
      </c>
      <c r="E1343" s="1">
        <v>269.99</v>
      </c>
      <c r="F1343" s="1">
        <v>0.2</v>
      </c>
      <c r="G1343">
        <v>269.99</v>
      </c>
      <c r="H1343" s="22">
        <f>VLOOKUP(A1343,[1]Orders!$A$2:$B$1616,2,0)</f>
        <v>42646</v>
      </c>
      <c r="J1343" t="s">
        <v>31</v>
      </c>
      <c r="K1343" t="s">
        <v>18</v>
      </c>
    </row>
    <row r="1344" spans="1:11" x14ac:dyDescent="0.3">
      <c r="A1344">
        <v>479</v>
      </c>
      <c r="B1344">
        <v>4</v>
      </c>
      <c r="C1344">
        <v>7</v>
      </c>
      <c r="D1344">
        <v>1</v>
      </c>
      <c r="E1344" s="1">
        <v>3999.99</v>
      </c>
      <c r="F1344" s="1">
        <v>0.05</v>
      </c>
      <c r="G1344">
        <v>3999.99</v>
      </c>
      <c r="H1344" s="22">
        <f>VLOOKUP(A1344,[1]Orders!$A$2:$B$1616,2,0)</f>
        <v>42646</v>
      </c>
      <c r="J1344" t="s">
        <v>29</v>
      </c>
      <c r="K1344" t="s">
        <v>18</v>
      </c>
    </row>
    <row r="1345" spans="1:11" x14ac:dyDescent="0.3">
      <c r="A1345">
        <v>479</v>
      </c>
      <c r="B1345">
        <v>5</v>
      </c>
      <c r="C1345">
        <v>10</v>
      </c>
      <c r="D1345">
        <v>1</v>
      </c>
      <c r="E1345" s="1">
        <v>1549</v>
      </c>
      <c r="F1345" s="1">
        <v>0.2</v>
      </c>
      <c r="G1345">
        <v>1549</v>
      </c>
      <c r="H1345" s="22">
        <f>VLOOKUP(A1345,[1]Orders!$A$2:$B$1616,2,0)</f>
        <v>42646</v>
      </c>
      <c r="J1345" t="s">
        <v>13</v>
      </c>
      <c r="K1345" t="s">
        <v>18</v>
      </c>
    </row>
    <row r="1346" spans="1:11" x14ac:dyDescent="0.3">
      <c r="A1346">
        <v>480</v>
      </c>
      <c r="B1346">
        <v>1</v>
      </c>
      <c r="C1346">
        <v>4</v>
      </c>
      <c r="D1346">
        <v>1</v>
      </c>
      <c r="E1346" s="1">
        <v>2899.99</v>
      </c>
      <c r="F1346" s="1">
        <v>0.05</v>
      </c>
      <c r="G1346">
        <v>2899.99</v>
      </c>
      <c r="H1346" s="22">
        <f>VLOOKUP(A1346,[1]Orders!$A$2:$B$1616,2,0)</f>
        <v>42647</v>
      </c>
      <c r="J1346" t="s">
        <v>16</v>
      </c>
      <c r="K1346" t="s">
        <v>11</v>
      </c>
    </row>
    <row r="1347" spans="1:11" x14ac:dyDescent="0.3">
      <c r="A1347">
        <v>480</v>
      </c>
      <c r="B1347">
        <v>2</v>
      </c>
      <c r="C1347">
        <v>15</v>
      </c>
      <c r="D1347">
        <v>1</v>
      </c>
      <c r="E1347" s="1">
        <v>529.99</v>
      </c>
      <c r="F1347" s="1">
        <v>0.05</v>
      </c>
      <c r="G1347">
        <v>529.99</v>
      </c>
      <c r="H1347" s="22">
        <f>VLOOKUP(A1347,[1]Orders!$A$2:$B$1616,2,0)</f>
        <v>42647</v>
      </c>
      <c r="J1347" t="s">
        <v>27</v>
      </c>
      <c r="K1347" t="s">
        <v>11</v>
      </c>
    </row>
    <row r="1348" spans="1:11" x14ac:dyDescent="0.3">
      <c r="A1348">
        <v>480</v>
      </c>
      <c r="B1348">
        <v>3</v>
      </c>
      <c r="C1348">
        <v>23</v>
      </c>
      <c r="D1348">
        <v>2</v>
      </c>
      <c r="E1348" s="1">
        <v>299.99</v>
      </c>
      <c r="F1348" s="1">
        <v>7.0000000000000007E-2</v>
      </c>
      <c r="G1348">
        <v>599.98</v>
      </c>
      <c r="H1348" s="22">
        <f>VLOOKUP(A1348,[1]Orders!$A$2:$B$1616,2,0)</f>
        <v>42647</v>
      </c>
      <c r="J1348" t="s">
        <v>33</v>
      </c>
      <c r="K1348" t="s">
        <v>11</v>
      </c>
    </row>
    <row r="1349" spans="1:11" x14ac:dyDescent="0.3">
      <c r="A1349">
        <v>481</v>
      </c>
      <c r="B1349">
        <v>1</v>
      </c>
      <c r="C1349">
        <v>13</v>
      </c>
      <c r="D1349">
        <v>2</v>
      </c>
      <c r="E1349" s="1">
        <v>269.99</v>
      </c>
      <c r="F1349" s="1">
        <v>0.2</v>
      </c>
      <c r="G1349">
        <v>539.98</v>
      </c>
      <c r="H1349" s="22">
        <f>VLOOKUP(A1349,[1]Orders!$A$2:$B$1616,2,0)</f>
        <v>42647</v>
      </c>
      <c r="J1349" t="s">
        <v>31</v>
      </c>
      <c r="K1349" t="s">
        <v>37</v>
      </c>
    </row>
    <row r="1350" spans="1:11" x14ac:dyDescent="0.3">
      <c r="A1350">
        <v>481</v>
      </c>
      <c r="B1350">
        <v>2</v>
      </c>
      <c r="C1350">
        <v>16</v>
      </c>
      <c r="D1350">
        <v>2</v>
      </c>
      <c r="E1350" s="1">
        <v>599.99</v>
      </c>
      <c r="F1350" s="1">
        <v>7.0000000000000007E-2</v>
      </c>
      <c r="G1350">
        <v>1199.98</v>
      </c>
      <c r="H1350" s="22">
        <f>VLOOKUP(A1350,[1]Orders!$A$2:$B$1616,2,0)</f>
        <v>42647</v>
      </c>
      <c r="J1350" t="s">
        <v>14</v>
      </c>
      <c r="K1350" t="s">
        <v>37</v>
      </c>
    </row>
    <row r="1351" spans="1:11" x14ac:dyDescent="0.3">
      <c r="A1351">
        <v>481</v>
      </c>
      <c r="B1351">
        <v>3</v>
      </c>
      <c r="C1351">
        <v>9</v>
      </c>
      <c r="D1351">
        <v>2</v>
      </c>
      <c r="E1351" s="1">
        <v>2999.99</v>
      </c>
      <c r="F1351" s="1">
        <v>0.1</v>
      </c>
      <c r="G1351">
        <v>5999.98</v>
      </c>
      <c r="H1351" s="22">
        <f>VLOOKUP(A1351,[1]Orders!$A$2:$B$1616,2,0)</f>
        <v>42647</v>
      </c>
      <c r="J1351" t="s">
        <v>26</v>
      </c>
      <c r="K1351" t="s">
        <v>37</v>
      </c>
    </row>
    <row r="1352" spans="1:11" x14ac:dyDescent="0.3">
      <c r="A1352">
        <v>482</v>
      </c>
      <c r="B1352">
        <v>1</v>
      </c>
      <c r="C1352">
        <v>13</v>
      </c>
      <c r="D1352">
        <v>1</v>
      </c>
      <c r="E1352" s="1">
        <v>269.99</v>
      </c>
      <c r="F1352" s="1">
        <v>0.2</v>
      </c>
      <c r="G1352">
        <v>269.99</v>
      </c>
      <c r="H1352" s="22">
        <f>VLOOKUP(A1352,[1]Orders!$A$2:$B$1616,2,0)</f>
        <v>42648</v>
      </c>
      <c r="J1352" t="s">
        <v>31</v>
      </c>
      <c r="K1352" t="s">
        <v>18</v>
      </c>
    </row>
    <row r="1353" spans="1:11" x14ac:dyDescent="0.3">
      <c r="A1353">
        <v>482</v>
      </c>
      <c r="B1353">
        <v>2</v>
      </c>
      <c r="C1353">
        <v>14</v>
      </c>
      <c r="D1353">
        <v>1</v>
      </c>
      <c r="E1353" s="1">
        <v>269.99</v>
      </c>
      <c r="F1353" s="1">
        <v>0.1</v>
      </c>
      <c r="G1353">
        <v>269.99</v>
      </c>
      <c r="H1353" s="22">
        <f>VLOOKUP(A1353,[1]Orders!$A$2:$B$1616,2,0)</f>
        <v>42648</v>
      </c>
      <c r="J1353" t="s">
        <v>28</v>
      </c>
      <c r="K1353" t="s">
        <v>18</v>
      </c>
    </row>
    <row r="1354" spans="1:11" x14ac:dyDescent="0.3">
      <c r="A1354">
        <v>483</v>
      </c>
      <c r="B1354">
        <v>1</v>
      </c>
      <c r="C1354">
        <v>17</v>
      </c>
      <c r="D1354">
        <v>1</v>
      </c>
      <c r="E1354" s="1">
        <v>429</v>
      </c>
      <c r="F1354" s="1">
        <v>7.0000000000000007E-2</v>
      </c>
      <c r="G1354">
        <v>429</v>
      </c>
      <c r="H1354" s="22">
        <f>VLOOKUP(A1354,[1]Orders!$A$2:$B$1616,2,0)</f>
        <v>42649</v>
      </c>
      <c r="J1354" t="s">
        <v>23</v>
      </c>
      <c r="K1354" t="s">
        <v>11</v>
      </c>
    </row>
    <row r="1355" spans="1:11" x14ac:dyDescent="0.3">
      <c r="A1355">
        <v>484</v>
      </c>
      <c r="B1355">
        <v>1</v>
      </c>
      <c r="C1355">
        <v>8</v>
      </c>
      <c r="D1355">
        <v>2</v>
      </c>
      <c r="E1355" s="1">
        <v>1799.99</v>
      </c>
      <c r="F1355" s="1">
        <v>0.1</v>
      </c>
      <c r="G1355">
        <v>3599.98</v>
      </c>
      <c r="H1355" s="22">
        <f>VLOOKUP(A1355,[1]Orders!$A$2:$B$1616,2,0)</f>
        <v>42649</v>
      </c>
      <c r="J1355" t="s">
        <v>12</v>
      </c>
      <c r="K1355" t="s">
        <v>18</v>
      </c>
    </row>
    <row r="1356" spans="1:11" x14ac:dyDescent="0.3">
      <c r="A1356">
        <v>484</v>
      </c>
      <c r="B1356">
        <v>2</v>
      </c>
      <c r="C1356">
        <v>24</v>
      </c>
      <c r="D1356">
        <v>1</v>
      </c>
      <c r="E1356" s="1">
        <v>549.99</v>
      </c>
      <c r="F1356" s="1">
        <v>0.05</v>
      </c>
      <c r="G1356">
        <v>549.99</v>
      </c>
      <c r="H1356" s="22">
        <f>VLOOKUP(A1356,[1]Orders!$A$2:$B$1616,2,0)</f>
        <v>42649</v>
      </c>
      <c r="J1356" t="s">
        <v>25</v>
      </c>
      <c r="K1356" t="s">
        <v>18</v>
      </c>
    </row>
    <row r="1357" spans="1:11" x14ac:dyDescent="0.3">
      <c r="A1357">
        <v>484</v>
      </c>
      <c r="B1357">
        <v>3</v>
      </c>
      <c r="C1357">
        <v>9</v>
      </c>
      <c r="D1357">
        <v>2</v>
      </c>
      <c r="E1357" s="1">
        <v>2999.99</v>
      </c>
      <c r="F1357" s="1">
        <v>0.05</v>
      </c>
      <c r="G1357">
        <v>5999.98</v>
      </c>
      <c r="H1357" s="22">
        <f>VLOOKUP(A1357,[1]Orders!$A$2:$B$1616,2,0)</f>
        <v>42649</v>
      </c>
      <c r="J1357" t="s">
        <v>26</v>
      </c>
      <c r="K1357" t="s">
        <v>18</v>
      </c>
    </row>
    <row r="1358" spans="1:11" x14ac:dyDescent="0.3">
      <c r="A1358">
        <v>484</v>
      </c>
      <c r="B1358">
        <v>4</v>
      </c>
      <c r="C1358">
        <v>6</v>
      </c>
      <c r="D1358">
        <v>1</v>
      </c>
      <c r="E1358" s="1">
        <v>469.99</v>
      </c>
      <c r="F1358" s="1">
        <v>0.2</v>
      </c>
      <c r="G1358">
        <v>469.99</v>
      </c>
      <c r="H1358" s="22">
        <f>VLOOKUP(A1358,[1]Orders!$A$2:$B$1616,2,0)</f>
        <v>42649</v>
      </c>
      <c r="J1358" t="s">
        <v>32</v>
      </c>
      <c r="K1358" t="s">
        <v>18</v>
      </c>
    </row>
    <row r="1359" spans="1:11" x14ac:dyDescent="0.3">
      <c r="A1359">
        <v>485</v>
      </c>
      <c r="B1359">
        <v>1</v>
      </c>
      <c r="C1359">
        <v>13</v>
      </c>
      <c r="D1359">
        <v>1</v>
      </c>
      <c r="E1359" s="1">
        <v>269.99</v>
      </c>
      <c r="F1359" s="1">
        <v>0.1</v>
      </c>
      <c r="G1359">
        <v>269.99</v>
      </c>
      <c r="H1359" s="22">
        <f>VLOOKUP(A1359,[1]Orders!$A$2:$B$1616,2,0)</f>
        <v>42649</v>
      </c>
      <c r="J1359" t="s">
        <v>31</v>
      </c>
      <c r="K1359" t="s">
        <v>18</v>
      </c>
    </row>
    <row r="1360" spans="1:11" x14ac:dyDescent="0.3">
      <c r="A1360">
        <v>485</v>
      </c>
      <c r="B1360">
        <v>2</v>
      </c>
      <c r="C1360">
        <v>26</v>
      </c>
      <c r="D1360">
        <v>2</v>
      </c>
      <c r="E1360" s="1">
        <v>599.99</v>
      </c>
      <c r="F1360" s="1">
        <v>0.05</v>
      </c>
      <c r="G1360">
        <v>1199.98</v>
      </c>
      <c r="H1360" s="22">
        <f>VLOOKUP(A1360,[1]Orders!$A$2:$B$1616,2,0)</f>
        <v>42649</v>
      </c>
      <c r="J1360" t="s">
        <v>14</v>
      </c>
      <c r="K1360" t="s">
        <v>18</v>
      </c>
    </row>
    <row r="1361" spans="1:11" x14ac:dyDescent="0.3">
      <c r="A1361">
        <v>486</v>
      </c>
      <c r="B1361">
        <v>1</v>
      </c>
      <c r="C1361">
        <v>9</v>
      </c>
      <c r="D1361">
        <v>1</v>
      </c>
      <c r="E1361" s="1">
        <v>2999.99</v>
      </c>
      <c r="F1361" s="1">
        <v>7.0000000000000007E-2</v>
      </c>
      <c r="G1361">
        <v>2999.99</v>
      </c>
      <c r="H1361" s="22">
        <f>VLOOKUP(A1361,[1]Orders!$A$2:$B$1616,2,0)</f>
        <v>42649</v>
      </c>
      <c r="J1361" t="s">
        <v>26</v>
      </c>
      <c r="K1361" t="s">
        <v>18</v>
      </c>
    </row>
    <row r="1362" spans="1:11" x14ac:dyDescent="0.3">
      <c r="A1362">
        <v>486</v>
      </c>
      <c r="B1362">
        <v>2</v>
      </c>
      <c r="C1362">
        <v>23</v>
      </c>
      <c r="D1362">
        <v>2</v>
      </c>
      <c r="E1362" s="1">
        <v>299.99</v>
      </c>
      <c r="F1362" s="1">
        <v>0.05</v>
      </c>
      <c r="G1362">
        <v>599.98</v>
      </c>
      <c r="H1362" s="22">
        <f>VLOOKUP(A1362,[1]Orders!$A$2:$B$1616,2,0)</f>
        <v>42649</v>
      </c>
      <c r="J1362" t="s">
        <v>33</v>
      </c>
      <c r="K1362" t="s">
        <v>18</v>
      </c>
    </row>
    <row r="1363" spans="1:11" x14ac:dyDescent="0.3">
      <c r="A1363">
        <v>487</v>
      </c>
      <c r="B1363">
        <v>1</v>
      </c>
      <c r="C1363">
        <v>6</v>
      </c>
      <c r="D1363">
        <v>1</v>
      </c>
      <c r="E1363" s="1">
        <v>469.99</v>
      </c>
      <c r="F1363" s="1">
        <v>0.2</v>
      </c>
      <c r="G1363">
        <v>469.99</v>
      </c>
      <c r="H1363" s="22">
        <f>VLOOKUP(A1363,[1]Orders!$A$2:$B$1616,2,0)</f>
        <v>42649</v>
      </c>
      <c r="J1363" t="s">
        <v>32</v>
      </c>
      <c r="K1363" t="s">
        <v>18</v>
      </c>
    </row>
    <row r="1364" spans="1:11" x14ac:dyDescent="0.3">
      <c r="A1364">
        <v>488</v>
      </c>
      <c r="B1364">
        <v>1</v>
      </c>
      <c r="C1364">
        <v>13</v>
      </c>
      <c r="D1364">
        <v>2</v>
      </c>
      <c r="E1364" s="1">
        <v>269.99</v>
      </c>
      <c r="F1364" s="1">
        <v>7.0000000000000007E-2</v>
      </c>
      <c r="G1364">
        <v>539.98</v>
      </c>
      <c r="H1364" s="22">
        <f>VLOOKUP(A1364,[1]Orders!$A$2:$B$1616,2,0)</f>
        <v>42649</v>
      </c>
      <c r="J1364" t="s">
        <v>31</v>
      </c>
      <c r="K1364" t="s">
        <v>18</v>
      </c>
    </row>
    <row r="1365" spans="1:11" x14ac:dyDescent="0.3">
      <c r="A1365">
        <v>488</v>
      </c>
      <c r="B1365">
        <v>2</v>
      </c>
      <c r="C1365">
        <v>23</v>
      </c>
      <c r="D1365">
        <v>2</v>
      </c>
      <c r="E1365" s="1">
        <v>299.99</v>
      </c>
      <c r="F1365" s="1">
        <v>0.05</v>
      </c>
      <c r="G1365">
        <v>599.98</v>
      </c>
      <c r="H1365" s="22">
        <f>VLOOKUP(A1365,[1]Orders!$A$2:$B$1616,2,0)</f>
        <v>42649</v>
      </c>
      <c r="J1365" t="s">
        <v>33</v>
      </c>
      <c r="K1365" t="s">
        <v>18</v>
      </c>
    </row>
    <row r="1366" spans="1:11" x14ac:dyDescent="0.3">
      <c r="A1366">
        <v>488</v>
      </c>
      <c r="B1366">
        <v>3</v>
      </c>
      <c r="C1366">
        <v>22</v>
      </c>
      <c r="D1366">
        <v>1</v>
      </c>
      <c r="E1366" s="1">
        <v>269.99</v>
      </c>
      <c r="F1366" s="1">
        <v>0.05</v>
      </c>
      <c r="G1366">
        <v>269.99</v>
      </c>
      <c r="H1366" s="22">
        <f>VLOOKUP(A1366,[1]Orders!$A$2:$B$1616,2,0)</f>
        <v>42649</v>
      </c>
      <c r="J1366" t="s">
        <v>28</v>
      </c>
      <c r="K1366" t="s">
        <v>18</v>
      </c>
    </row>
    <row r="1367" spans="1:11" x14ac:dyDescent="0.3">
      <c r="A1367">
        <v>489</v>
      </c>
      <c r="B1367">
        <v>1</v>
      </c>
      <c r="C1367">
        <v>8</v>
      </c>
      <c r="D1367">
        <v>2</v>
      </c>
      <c r="E1367" s="1">
        <v>1799.99</v>
      </c>
      <c r="F1367" s="1">
        <v>0.1</v>
      </c>
      <c r="G1367">
        <v>3599.98</v>
      </c>
      <c r="H1367" s="22">
        <f>VLOOKUP(A1367,[1]Orders!$A$2:$B$1616,2,0)</f>
        <v>42649</v>
      </c>
      <c r="J1367" t="s">
        <v>12</v>
      </c>
      <c r="K1367" t="s">
        <v>37</v>
      </c>
    </row>
    <row r="1368" spans="1:11" x14ac:dyDescent="0.3">
      <c r="A1368">
        <v>490</v>
      </c>
      <c r="B1368">
        <v>1</v>
      </c>
      <c r="C1368">
        <v>12</v>
      </c>
      <c r="D1368">
        <v>1</v>
      </c>
      <c r="E1368" s="1">
        <v>549.99</v>
      </c>
      <c r="F1368" s="1">
        <v>0.1</v>
      </c>
      <c r="G1368">
        <v>549.99</v>
      </c>
      <c r="H1368" s="22">
        <f>VLOOKUP(A1368,[1]Orders!$A$2:$B$1616,2,0)</f>
        <v>42650</v>
      </c>
      <c r="J1368" t="s">
        <v>25</v>
      </c>
      <c r="K1368" t="s">
        <v>18</v>
      </c>
    </row>
    <row r="1369" spans="1:11" x14ac:dyDescent="0.3">
      <c r="A1369">
        <v>490</v>
      </c>
      <c r="B1369">
        <v>2</v>
      </c>
      <c r="C1369">
        <v>23</v>
      </c>
      <c r="D1369">
        <v>1</v>
      </c>
      <c r="E1369" s="1">
        <v>299.99</v>
      </c>
      <c r="F1369" s="1">
        <v>0.05</v>
      </c>
      <c r="G1369">
        <v>299.99</v>
      </c>
      <c r="H1369" s="22">
        <f>VLOOKUP(A1369,[1]Orders!$A$2:$B$1616,2,0)</f>
        <v>42650</v>
      </c>
      <c r="J1369" t="s">
        <v>33</v>
      </c>
      <c r="K1369" t="s">
        <v>18</v>
      </c>
    </row>
    <row r="1370" spans="1:11" x14ac:dyDescent="0.3">
      <c r="A1370">
        <v>490</v>
      </c>
      <c r="B1370">
        <v>3</v>
      </c>
      <c r="C1370">
        <v>14</v>
      </c>
      <c r="D1370">
        <v>1</v>
      </c>
      <c r="E1370" s="1">
        <v>269.99</v>
      </c>
      <c r="F1370" s="1">
        <v>0.1</v>
      </c>
      <c r="G1370">
        <v>269.99</v>
      </c>
      <c r="H1370" s="22">
        <f>VLOOKUP(A1370,[1]Orders!$A$2:$B$1616,2,0)</f>
        <v>42650</v>
      </c>
      <c r="J1370" t="s">
        <v>28</v>
      </c>
      <c r="K1370" t="s">
        <v>18</v>
      </c>
    </row>
    <row r="1371" spans="1:11" x14ac:dyDescent="0.3">
      <c r="A1371">
        <v>490</v>
      </c>
      <c r="B1371">
        <v>4</v>
      </c>
      <c r="C1371">
        <v>13</v>
      </c>
      <c r="D1371">
        <v>2</v>
      </c>
      <c r="E1371" s="1">
        <v>269.99</v>
      </c>
      <c r="F1371" s="1">
        <v>7.0000000000000007E-2</v>
      </c>
      <c r="G1371">
        <v>539.98</v>
      </c>
      <c r="H1371" s="22">
        <f>VLOOKUP(A1371,[1]Orders!$A$2:$B$1616,2,0)</f>
        <v>42650</v>
      </c>
      <c r="J1371" t="s">
        <v>31</v>
      </c>
      <c r="K1371" t="s">
        <v>18</v>
      </c>
    </row>
    <row r="1372" spans="1:11" x14ac:dyDescent="0.3">
      <c r="A1372">
        <v>491</v>
      </c>
      <c r="B1372">
        <v>1</v>
      </c>
      <c r="C1372">
        <v>9</v>
      </c>
      <c r="D1372">
        <v>2</v>
      </c>
      <c r="E1372" s="1">
        <v>2999.99</v>
      </c>
      <c r="F1372" s="1">
        <v>0.2</v>
      </c>
      <c r="G1372">
        <v>5999.98</v>
      </c>
      <c r="H1372" s="22">
        <f>VLOOKUP(A1372,[1]Orders!$A$2:$B$1616,2,0)</f>
        <v>42651</v>
      </c>
      <c r="J1372" t="s">
        <v>26</v>
      </c>
      <c r="K1372" t="s">
        <v>11</v>
      </c>
    </row>
    <row r="1373" spans="1:11" x14ac:dyDescent="0.3">
      <c r="A1373">
        <v>491</v>
      </c>
      <c r="B1373">
        <v>2</v>
      </c>
      <c r="C1373">
        <v>21</v>
      </c>
      <c r="D1373">
        <v>2</v>
      </c>
      <c r="E1373" s="1">
        <v>269.99</v>
      </c>
      <c r="F1373" s="1">
        <v>0.05</v>
      </c>
      <c r="G1373">
        <v>539.98</v>
      </c>
      <c r="H1373" s="22">
        <f>VLOOKUP(A1373,[1]Orders!$A$2:$B$1616,2,0)</f>
        <v>42651</v>
      </c>
      <c r="J1373" t="s">
        <v>31</v>
      </c>
      <c r="K1373" t="s">
        <v>11</v>
      </c>
    </row>
    <row r="1374" spans="1:11" x14ac:dyDescent="0.3">
      <c r="A1374">
        <v>491</v>
      </c>
      <c r="B1374">
        <v>3</v>
      </c>
      <c r="C1374">
        <v>15</v>
      </c>
      <c r="D1374">
        <v>2</v>
      </c>
      <c r="E1374" s="1">
        <v>529.99</v>
      </c>
      <c r="F1374" s="1">
        <v>0.05</v>
      </c>
      <c r="G1374">
        <v>1059.98</v>
      </c>
      <c r="H1374" s="22">
        <f>VLOOKUP(A1374,[1]Orders!$A$2:$B$1616,2,0)</f>
        <v>42651</v>
      </c>
      <c r="J1374" t="s">
        <v>27</v>
      </c>
      <c r="K1374" t="s">
        <v>11</v>
      </c>
    </row>
    <row r="1375" spans="1:11" x14ac:dyDescent="0.3">
      <c r="A1375">
        <v>492</v>
      </c>
      <c r="B1375">
        <v>1</v>
      </c>
      <c r="C1375">
        <v>6</v>
      </c>
      <c r="D1375">
        <v>1</v>
      </c>
      <c r="E1375" s="1">
        <v>469.99</v>
      </c>
      <c r="F1375" s="1">
        <v>0.1</v>
      </c>
      <c r="G1375">
        <v>469.99</v>
      </c>
      <c r="H1375" s="22">
        <f>VLOOKUP(A1375,[1]Orders!$A$2:$B$1616,2,0)</f>
        <v>42652</v>
      </c>
      <c r="J1375" t="s">
        <v>32</v>
      </c>
      <c r="K1375" t="s">
        <v>11</v>
      </c>
    </row>
    <row r="1376" spans="1:11" x14ac:dyDescent="0.3">
      <c r="A1376">
        <v>492</v>
      </c>
      <c r="B1376">
        <v>2</v>
      </c>
      <c r="C1376">
        <v>22</v>
      </c>
      <c r="D1376">
        <v>2</v>
      </c>
      <c r="E1376" s="1">
        <v>269.99</v>
      </c>
      <c r="F1376" s="1">
        <v>0.1</v>
      </c>
      <c r="G1376">
        <v>539.98</v>
      </c>
      <c r="H1376" s="22">
        <f>VLOOKUP(A1376,[1]Orders!$A$2:$B$1616,2,0)</f>
        <v>42652</v>
      </c>
      <c r="J1376" t="s">
        <v>28</v>
      </c>
      <c r="K1376" t="s">
        <v>11</v>
      </c>
    </row>
    <row r="1377" spans="1:11" x14ac:dyDescent="0.3">
      <c r="A1377">
        <v>492</v>
      </c>
      <c r="B1377">
        <v>3</v>
      </c>
      <c r="C1377">
        <v>26</v>
      </c>
      <c r="D1377">
        <v>1</v>
      </c>
      <c r="E1377" s="1">
        <v>599.99</v>
      </c>
      <c r="F1377" s="1">
        <v>0.05</v>
      </c>
      <c r="G1377">
        <v>599.99</v>
      </c>
      <c r="H1377" s="22">
        <f>VLOOKUP(A1377,[1]Orders!$A$2:$B$1616,2,0)</f>
        <v>42652</v>
      </c>
      <c r="J1377" t="s">
        <v>14</v>
      </c>
      <c r="K1377" t="s">
        <v>11</v>
      </c>
    </row>
    <row r="1378" spans="1:11" x14ac:dyDescent="0.3">
      <c r="A1378">
        <v>493</v>
      </c>
      <c r="B1378">
        <v>1</v>
      </c>
      <c r="C1378">
        <v>15</v>
      </c>
      <c r="D1378">
        <v>1</v>
      </c>
      <c r="E1378" s="1">
        <v>529.99</v>
      </c>
      <c r="F1378" s="1">
        <v>0.05</v>
      </c>
      <c r="G1378">
        <v>529.99</v>
      </c>
      <c r="H1378" s="22">
        <f>VLOOKUP(A1378,[1]Orders!$A$2:$B$1616,2,0)</f>
        <v>42652</v>
      </c>
      <c r="J1378" t="s">
        <v>27</v>
      </c>
      <c r="K1378" t="s">
        <v>11</v>
      </c>
    </row>
    <row r="1379" spans="1:11" x14ac:dyDescent="0.3">
      <c r="A1379">
        <v>493</v>
      </c>
      <c r="B1379">
        <v>2</v>
      </c>
      <c r="C1379">
        <v>18</v>
      </c>
      <c r="D1379">
        <v>2</v>
      </c>
      <c r="E1379" s="1">
        <v>449</v>
      </c>
      <c r="F1379" s="1">
        <v>0.05</v>
      </c>
      <c r="G1379">
        <v>898</v>
      </c>
      <c r="H1379" s="22">
        <f>VLOOKUP(A1379,[1]Orders!$A$2:$B$1616,2,0)</f>
        <v>42652</v>
      </c>
      <c r="J1379" t="s">
        <v>24</v>
      </c>
      <c r="K1379" t="s">
        <v>11</v>
      </c>
    </row>
    <row r="1380" spans="1:11" x14ac:dyDescent="0.3">
      <c r="A1380">
        <v>493</v>
      </c>
      <c r="B1380">
        <v>3</v>
      </c>
      <c r="C1380">
        <v>26</v>
      </c>
      <c r="D1380">
        <v>1</v>
      </c>
      <c r="E1380" s="1">
        <v>599.99</v>
      </c>
      <c r="F1380" s="1">
        <v>0.05</v>
      </c>
      <c r="G1380">
        <v>599.99</v>
      </c>
      <c r="H1380" s="22">
        <f>VLOOKUP(A1380,[1]Orders!$A$2:$B$1616,2,0)</f>
        <v>42652</v>
      </c>
      <c r="J1380" t="s">
        <v>14</v>
      </c>
      <c r="K1380" t="s">
        <v>11</v>
      </c>
    </row>
    <row r="1381" spans="1:11" x14ac:dyDescent="0.3">
      <c r="A1381">
        <v>494</v>
      </c>
      <c r="B1381">
        <v>1</v>
      </c>
      <c r="C1381">
        <v>23</v>
      </c>
      <c r="D1381">
        <v>1</v>
      </c>
      <c r="E1381" s="1">
        <v>299.99</v>
      </c>
      <c r="F1381" s="1">
        <v>0.1</v>
      </c>
      <c r="G1381">
        <v>299.99</v>
      </c>
      <c r="H1381" s="22">
        <f>VLOOKUP(A1381,[1]Orders!$A$2:$B$1616,2,0)</f>
        <v>42652</v>
      </c>
      <c r="J1381" t="s">
        <v>33</v>
      </c>
      <c r="K1381" t="s">
        <v>18</v>
      </c>
    </row>
    <row r="1382" spans="1:11" x14ac:dyDescent="0.3">
      <c r="A1382">
        <v>495</v>
      </c>
      <c r="B1382">
        <v>1</v>
      </c>
      <c r="C1382">
        <v>22</v>
      </c>
      <c r="D1382">
        <v>1</v>
      </c>
      <c r="E1382" s="1">
        <v>269.99</v>
      </c>
      <c r="F1382" s="1">
        <v>0.2</v>
      </c>
      <c r="G1382">
        <v>269.99</v>
      </c>
      <c r="H1382" s="22">
        <f>VLOOKUP(A1382,[1]Orders!$A$2:$B$1616,2,0)</f>
        <v>42653</v>
      </c>
      <c r="J1382" t="s">
        <v>28</v>
      </c>
      <c r="K1382" t="s">
        <v>11</v>
      </c>
    </row>
    <row r="1383" spans="1:11" x14ac:dyDescent="0.3">
      <c r="A1383">
        <v>495</v>
      </c>
      <c r="B1383">
        <v>2</v>
      </c>
      <c r="C1383">
        <v>9</v>
      </c>
      <c r="D1383">
        <v>1</v>
      </c>
      <c r="E1383" s="1">
        <v>2999.99</v>
      </c>
      <c r="F1383" s="1">
        <v>0.05</v>
      </c>
      <c r="G1383">
        <v>2999.99</v>
      </c>
      <c r="H1383" s="22">
        <f>VLOOKUP(A1383,[1]Orders!$A$2:$B$1616,2,0)</f>
        <v>42653</v>
      </c>
      <c r="J1383" t="s">
        <v>26</v>
      </c>
      <c r="K1383" t="s">
        <v>11</v>
      </c>
    </row>
    <row r="1384" spans="1:11" x14ac:dyDescent="0.3">
      <c r="A1384">
        <v>496</v>
      </c>
      <c r="B1384">
        <v>1</v>
      </c>
      <c r="C1384">
        <v>23</v>
      </c>
      <c r="D1384">
        <v>1</v>
      </c>
      <c r="E1384" s="1">
        <v>299.99</v>
      </c>
      <c r="F1384" s="1">
        <v>0.2</v>
      </c>
      <c r="G1384">
        <v>299.99</v>
      </c>
      <c r="H1384" s="22">
        <f>VLOOKUP(A1384,[1]Orders!$A$2:$B$1616,2,0)</f>
        <v>42653</v>
      </c>
      <c r="J1384" t="s">
        <v>33</v>
      </c>
      <c r="K1384" t="s">
        <v>18</v>
      </c>
    </row>
    <row r="1385" spans="1:11" x14ac:dyDescent="0.3">
      <c r="A1385">
        <v>496</v>
      </c>
      <c r="B1385">
        <v>2</v>
      </c>
      <c r="C1385">
        <v>13</v>
      </c>
      <c r="D1385">
        <v>1</v>
      </c>
      <c r="E1385" s="1">
        <v>269.99</v>
      </c>
      <c r="F1385" s="1">
        <v>0.1</v>
      </c>
      <c r="G1385">
        <v>269.99</v>
      </c>
      <c r="H1385" s="22">
        <f>VLOOKUP(A1385,[1]Orders!$A$2:$B$1616,2,0)</f>
        <v>42653</v>
      </c>
      <c r="J1385" t="s">
        <v>31</v>
      </c>
      <c r="K1385" t="s">
        <v>18</v>
      </c>
    </row>
    <row r="1386" spans="1:11" x14ac:dyDescent="0.3">
      <c r="A1386">
        <v>496</v>
      </c>
      <c r="B1386">
        <v>3</v>
      </c>
      <c r="C1386">
        <v>21</v>
      </c>
      <c r="D1386">
        <v>2</v>
      </c>
      <c r="E1386" s="1">
        <v>269.99</v>
      </c>
      <c r="F1386" s="1">
        <v>0.2</v>
      </c>
      <c r="G1386">
        <v>539.98</v>
      </c>
      <c r="H1386" s="22">
        <f>VLOOKUP(A1386,[1]Orders!$A$2:$B$1616,2,0)</f>
        <v>42653</v>
      </c>
      <c r="J1386" t="s">
        <v>31</v>
      </c>
      <c r="K1386" t="s">
        <v>18</v>
      </c>
    </row>
    <row r="1387" spans="1:11" x14ac:dyDescent="0.3">
      <c r="A1387">
        <v>497</v>
      </c>
      <c r="B1387">
        <v>1</v>
      </c>
      <c r="C1387">
        <v>25</v>
      </c>
      <c r="D1387">
        <v>2</v>
      </c>
      <c r="E1387" s="1">
        <v>499.99</v>
      </c>
      <c r="F1387" s="1">
        <v>7.0000000000000007E-2</v>
      </c>
      <c r="G1387">
        <v>999.98</v>
      </c>
      <c r="H1387" s="22">
        <f>VLOOKUP(A1387,[1]Orders!$A$2:$B$1616,2,0)</f>
        <v>42653</v>
      </c>
      <c r="J1387" t="s">
        <v>35</v>
      </c>
      <c r="K1387" t="s">
        <v>18</v>
      </c>
    </row>
    <row r="1388" spans="1:11" x14ac:dyDescent="0.3">
      <c r="A1388">
        <v>498</v>
      </c>
      <c r="B1388">
        <v>1</v>
      </c>
      <c r="C1388">
        <v>24</v>
      </c>
      <c r="D1388">
        <v>1</v>
      </c>
      <c r="E1388" s="1">
        <v>549.99</v>
      </c>
      <c r="F1388" s="1">
        <v>7.0000000000000007E-2</v>
      </c>
      <c r="G1388">
        <v>549.99</v>
      </c>
      <c r="H1388" s="22">
        <f>VLOOKUP(A1388,[1]Orders!$A$2:$B$1616,2,0)</f>
        <v>42653</v>
      </c>
      <c r="J1388" t="s">
        <v>25</v>
      </c>
      <c r="K1388" t="s">
        <v>18</v>
      </c>
    </row>
    <row r="1389" spans="1:11" x14ac:dyDescent="0.3">
      <c r="A1389">
        <v>498</v>
      </c>
      <c r="B1389">
        <v>2</v>
      </c>
      <c r="C1389">
        <v>21</v>
      </c>
      <c r="D1389">
        <v>1</v>
      </c>
      <c r="E1389" s="1">
        <v>269.99</v>
      </c>
      <c r="F1389" s="1">
        <v>0.1</v>
      </c>
      <c r="G1389">
        <v>269.99</v>
      </c>
      <c r="H1389" s="22">
        <f>VLOOKUP(A1389,[1]Orders!$A$2:$B$1616,2,0)</f>
        <v>42653</v>
      </c>
      <c r="J1389" t="s">
        <v>31</v>
      </c>
      <c r="K1389" t="s">
        <v>18</v>
      </c>
    </row>
    <row r="1390" spans="1:11" x14ac:dyDescent="0.3">
      <c r="A1390">
        <v>498</v>
      </c>
      <c r="B1390">
        <v>3</v>
      </c>
      <c r="C1390">
        <v>10</v>
      </c>
      <c r="D1390">
        <v>1</v>
      </c>
      <c r="E1390" s="1">
        <v>1549</v>
      </c>
      <c r="F1390" s="1">
        <v>7.0000000000000007E-2</v>
      </c>
      <c r="G1390">
        <v>1549</v>
      </c>
      <c r="H1390" s="22">
        <f>VLOOKUP(A1390,[1]Orders!$A$2:$B$1616,2,0)</f>
        <v>42653</v>
      </c>
      <c r="J1390" t="s">
        <v>13</v>
      </c>
      <c r="K1390" t="s">
        <v>18</v>
      </c>
    </row>
    <row r="1391" spans="1:11" x14ac:dyDescent="0.3">
      <c r="A1391">
        <v>499</v>
      </c>
      <c r="B1391">
        <v>1</v>
      </c>
      <c r="C1391">
        <v>11</v>
      </c>
      <c r="D1391">
        <v>1</v>
      </c>
      <c r="E1391" s="1">
        <v>1680.99</v>
      </c>
      <c r="F1391" s="1">
        <v>0.2</v>
      </c>
      <c r="G1391">
        <v>1680.99</v>
      </c>
      <c r="H1391" s="22">
        <f>VLOOKUP(A1391,[1]Orders!$A$2:$B$1616,2,0)</f>
        <v>42654</v>
      </c>
      <c r="J1391" t="s">
        <v>30</v>
      </c>
      <c r="K1391" t="s">
        <v>11</v>
      </c>
    </row>
    <row r="1392" spans="1:11" x14ac:dyDescent="0.3">
      <c r="A1392">
        <v>499</v>
      </c>
      <c r="B1392">
        <v>2</v>
      </c>
      <c r="C1392">
        <v>15</v>
      </c>
      <c r="D1392">
        <v>1</v>
      </c>
      <c r="E1392" s="1">
        <v>529.99</v>
      </c>
      <c r="F1392" s="1">
        <v>7.0000000000000007E-2</v>
      </c>
      <c r="G1392">
        <v>529.99</v>
      </c>
      <c r="H1392" s="22">
        <f>VLOOKUP(A1392,[1]Orders!$A$2:$B$1616,2,0)</f>
        <v>42654</v>
      </c>
      <c r="J1392" t="s">
        <v>27</v>
      </c>
      <c r="K1392" t="s">
        <v>11</v>
      </c>
    </row>
    <row r="1393" spans="1:11" x14ac:dyDescent="0.3">
      <c r="A1393">
        <v>499</v>
      </c>
      <c r="B1393">
        <v>3</v>
      </c>
      <c r="C1393">
        <v>14</v>
      </c>
      <c r="D1393">
        <v>2</v>
      </c>
      <c r="E1393" s="1">
        <v>269.99</v>
      </c>
      <c r="F1393" s="1">
        <v>0.2</v>
      </c>
      <c r="G1393">
        <v>539.98</v>
      </c>
      <c r="H1393" s="22">
        <f>VLOOKUP(A1393,[1]Orders!$A$2:$B$1616,2,0)</f>
        <v>42654</v>
      </c>
      <c r="J1393" t="s">
        <v>28</v>
      </c>
      <c r="K1393" t="s">
        <v>11</v>
      </c>
    </row>
    <row r="1394" spans="1:11" x14ac:dyDescent="0.3">
      <c r="A1394">
        <v>499</v>
      </c>
      <c r="B1394">
        <v>4</v>
      </c>
      <c r="C1394">
        <v>20</v>
      </c>
      <c r="D1394">
        <v>2</v>
      </c>
      <c r="E1394" s="1">
        <v>599.99</v>
      </c>
      <c r="F1394" s="1">
        <v>0.1</v>
      </c>
      <c r="G1394">
        <v>1199.98</v>
      </c>
      <c r="H1394" s="22">
        <f>VLOOKUP(A1394,[1]Orders!$A$2:$B$1616,2,0)</f>
        <v>42654</v>
      </c>
      <c r="J1394" t="s">
        <v>10</v>
      </c>
      <c r="K1394" t="s">
        <v>11</v>
      </c>
    </row>
    <row r="1395" spans="1:11" x14ac:dyDescent="0.3">
      <c r="A1395">
        <v>500</v>
      </c>
      <c r="B1395">
        <v>1</v>
      </c>
      <c r="C1395">
        <v>12</v>
      </c>
      <c r="D1395">
        <v>2</v>
      </c>
      <c r="E1395" s="1">
        <v>549.99</v>
      </c>
      <c r="F1395" s="1">
        <v>0.05</v>
      </c>
      <c r="G1395">
        <v>1099.98</v>
      </c>
      <c r="H1395" s="22">
        <f>VLOOKUP(A1395,[1]Orders!$A$2:$B$1616,2,0)</f>
        <v>42654</v>
      </c>
      <c r="J1395" t="s">
        <v>25</v>
      </c>
      <c r="K1395" t="s">
        <v>18</v>
      </c>
    </row>
    <row r="1396" spans="1:11" x14ac:dyDescent="0.3">
      <c r="A1396">
        <v>500</v>
      </c>
      <c r="B1396">
        <v>2</v>
      </c>
      <c r="C1396">
        <v>14</v>
      </c>
      <c r="D1396">
        <v>1</v>
      </c>
      <c r="E1396" s="1">
        <v>269.99</v>
      </c>
      <c r="F1396" s="1">
        <v>0.2</v>
      </c>
      <c r="G1396">
        <v>269.99</v>
      </c>
      <c r="H1396" s="22">
        <f>VLOOKUP(A1396,[1]Orders!$A$2:$B$1616,2,0)</f>
        <v>42654</v>
      </c>
      <c r="J1396" t="s">
        <v>28</v>
      </c>
      <c r="K1396" t="s">
        <v>18</v>
      </c>
    </row>
    <row r="1397" spans="1:11" x14ac:dyDescent="0.3">
      <c r="A1397">
        <v>501</v>
      </c>
      <c r="B1397">
        <v>1</v>
      </c>
      <c r="C1397">
        <v>19</v>
      </c>
      <c r="D1397">
        <v>2</v>
      </c>
      <c r="E1397" s="1">
        <v>449</v>
      </c>
      <c r="F1397" s="1">
        <v>0.05</v>
      </c>
      <c r="G1397">
        <v>898</v>
      </c>
      <c r="H1397" s="22">
        <f>VLOOKUP(A1397,[1]Orders!$A$2:$B$1616,2,0)</f>
        <v>42654</v>
      </c>
      <c r="J1397" t="s">
        <v>36</v>
      </c>
      <c r="K1397" t="s">
        <v>18</v>
      </c>
    </row>
    <row r="1398" spans="1:11" x14ac:dyDescent="0.3">
      <c r="A1398">
        <v>501</v>
      </c>
      <c r="B1398">
        <v>2</v>
      </c>
      <c r="C1398">
        <v>8</v>
      </c>
      <c r="D1398">
        <v>1</v>
      </c>
      <c r="E1398" s="1">
        <v>1799.99</v>
      </c>
      <c r="F1398" s="1">
        <v>7.0000000000000007E-2</v>
      </c>
      <c r="G1398">
        <v>1799.99</v>
      </c>
      <c r="H1398" s="22">
        <f>VLOOKUP(A1398,[1]Orders!$A$2:$B$1616,2,0)</f>
        <v>42654</v>
      </c>
      <c r="J1398" t="s">
        <v>12</v>
      </c>
      <c r="K1398" t="s">
        <v>18</v>
      </c>
    </row>
    <row r="1399" spans="1:11" x14ac:dyDescent="0.3">
      <c r="A1399">
        <v>501</v>
      </c>
      <c r="B1399">
        <v>3</v>
      </c>
      <c r="C1399">
        <v>14</v>
      </c>
      <c r="D1399">
        <v>1</v>
      </c>
      <c r="E1399" s="1">
        <v>269.99</v>
      </c>
      <c r="F1399" s="1">
        <v>0.1</v>
      </c>
      <c r="G1399">
        <v>269.99</v>
      </c>
      <c r="H1399" s="22">
        <f>VLOOKUP(A1399,[1]Orders!$A$2:$B$1616,2,0)</f>
        <v>42654</v>
      </c>
      <c r="J1399" t="s">
        <v>28</v>
      </c>
      <c r="K1399" t="s">
        <v>18</v>
      </c>
    </row>
    <row r="1400" spans="1:11" x14ac:dyDescent="0.3">
      <c r="A1400">
        <v>501</v>
      </c>
      <c r="B1400">
        <v>4</v>
      </c>
      <c r="C1400">
        <v>23</v>
      </c>
      <c r="D1400">
        <v>2</v>
      </c>
      <c r="E1400" s="1">
        <v>299.99</v>
      </c>
      <c r="F1400" s="1">
        <v>7.0000000000000007E-2</v>
      </c>
      <c r="G1400">
        <v>599.98</v>
      </c>
      <c r="H1400" s="22">
        <f>VLOOKUP(A1400,[1]Orders!$A$2:$B$1616,2,0)</f>
        <v>42654</v>
      </c>
      <c r="J1400" t="s">
        <v>33</v>
      </c>
      <c r="K1400" t="s">
        <v>18</v>
      </c>
    </row>
    <row r="1401" spans="1:11" x14ac:dyDescent="0.3">
      <c r="A1401">
        <v>502</v>
      </c>
      <c r="B1401">
        <v>1</v>
      </c>
      <c r="C1401">
        <v>13</v>
      </c>
      <c r="D1401">
        <v>1</v>
      </c>
      <c r="E1401" s="1">
        <v>269.99</v>
      </c>
      <c r="F1401" s="1">
        <v>0.05</v>
      </c>
      <c r="G1401">
        <v>269.99</v>
      </c>
      <c r="H1401" s="22">
        <f>VLOOKUP(A1401,[1]Orders!$A$2:$B$1616,2,0)</f>
        <v>42655</v>
      </c>
      <c r="J1401" t="s">
        <v>31</v>
      </c>
      <c r="K1401" t="s">
        <v>37</v>
      </c>
    </row>
    <row r="1402" spans="1:11" x14ac:dyDescent="0.3">
      <c r="A1402">
        <v>503</v>
      </c>
      <c r="B1402">
        <v>1</v>
      </c>
      <c r="C1402">
        <v>13</v>
      </c>
      <c r="D1402">
        <v>2</v>
      </c>
      <c r="E1402" s="1">
        <v>269.99</v>
      </c>
      <c r="F1402" s="1">
        <v>7.0000000000000007E-2</v>
      </c>
      <c r="G1402">
        <v>539.98</v>
      </c>
      <c r="H1402" s="22">
        <f>VLOOKUP(A1402,[1]Orders!$A$2:$B$1616,2,0)</f>
        <v>42656</v>
      </c>
      <c r="J1402" t="s">
        <v>31</v>
      </c>
      <c r="K1402" t="s">
        <v>18</v>
      </c>
    </row>
    <row r="1403" spans="1:11" x14ac:dyDescent="0.3">
      <c r="A1403">
        <v>503</v>
      </c>
      <c r="B1403">
        <v>2</v>
      </c>
      <c r="C1403">
        <v>10</v>
      </c>
      <c r="D1403">
        <v>1</v>
      </c>
      <c r="E1403" s="1">
        <v>1549</v>
      </c>
      <c r="F1403" s="1">
        <v>0.05</v>
      </c>
      <c r="G1403">
        <v>1549</v>
      </c>
      <c r="H1403" s="22">
        <f>VLOOKUP(A1403,[1]Orders!$A$2:$B$1616,2,0)</f>
        <v>42656</v>
      </c>
      <c r="J1403" t="s">
        <v>13</v>
      </c>
      <c r="K1403" t="s">
        <v>18</v>
      </c>
    </row>
    <row r="1404" spans="1:11" x14ac:dyDescent="0.3">
      <c r="A1404">
        <v>504</v>
      </c>
      <c r="B1404">
        <v>1</v>
      </c>
      <c r="C1404">
        <v>24</v>
      </c>
      <c r="D1404">
        <v>2</v>
      </c>
      <c r="E1404" s="1">
        <v>549.99</v>
      </c>
      <c r="F1404" s="1">
        <v>0.1</v>
      </c>
      <c r="G1404">
        <v>1099.98</v>
      </c>
      <c r="H1404" s="22">
        <f>VLOOKUP(A1404,[1]Orders!$A$2:$B$1616,2,0)</f>
        <v>42657</v>
      </c>
      <c r="J1404" t="s">
        <v>25</v>
      </c>
      <c r="K1404" t="s">
        <v>11</v>
      </c>
    </row>
    <row r="1405" spans="1:11" x14ac:dyDescent="0.3">
      <c r="A1405">
        <v>504</v>
      </c>
      <c r="B1405">
        <v>2</v>
      </c>
      <c r="C1405">
        <v>2</v>
      </c>
      <c r="D1405">
        <v>2</v>
      </c>
      <c r="E1405" s="1">
        <v>749.99</v>
      </c>
      <c r="F1405" s="1">
        <v>0.05</v>
      </c>
      <c r="G1405">
        <v>1499.98</v>
      </c>
      <c r="H1405" s="22">
        <f>VLOOKUP(A1405,[1]Orders!$A$2:$B$1616,2,0)</f>
        <v>42657</v>
      </c>
      <c r="J1405" t="s">
        <v>22</v>
      </c>
      <c r="K1405" t="s">
        <v>11</v>
      </c>
    </row>
    <row r="1406" spans="1:11" x14ac:dyDescent="0.3">
      <c r="A1406">
        <v>505</v>
      </c>
      <c r="B1406">
        <v>1</v>
      </c>
      <c r="C1406">
        <v>26</v>
      </c>
      <c r="D1406">
        <v>1</v>
      </c>
      <c r="E1406" s="1">
        <v>599.99</v>
      </c>
      <c r="F1406" s="1">
        <v>0.2</v>
      </c>
      <c r="G1406">
        <v>599.99</v>
      </c>
      <c r="H1406" s="22">
        <f>VLOOKUP(A1406,[1]Orders!$A$2:$B$1616,2,0)</f>
        <v>42657</v>
      </c>
      <c r="J1406" t="s">
        <v>14</v>
      </c>
      <c r="K1406" t="s">
        <v>18</v>
      </c>
    </row>
    <row r="1407" spans="1:11" x14ac:dyDescent="0.3">
      <c r="A1407">
        <v>506</v>
      </c>
      <c r="B1407">
        <v>1</v>
      </c>
      <c r="C1407">
        <v>25</v>
      </c>
      <c r="D1407">
        <v>1</v>
      </c>
      <c r="E1407" s="1">
        <v>499.99</v>
      </c>
      <c r="F1407" s="1">
        <v>0.1</v>
      </c>
      <c r="G1407">
        <v>499.99</v>
      </c>
      <c r="H1407" s="22">
        <f>VLOOKUP(A1407,[1]Orders!$A$2:$B$1616,2,0)</f>
        <v>42657</v>
      </c>
      <c r="J1407" t="s">
        <v>35</v>
      </c>
      <c r="K1407" t="s">
        <v>18</v>
      </c>
    </row>
    <row r="1408" spans="1:11" x14ac:dyDescent="0.3">
      <c r="A1408">
        <v>506</v>
      </c>
      <c r="B1408">
        <v>2</v>
      </c>
      <c r="C1408">
        <v>7</v>
      </c>
      <c r="D1408">
        <v>1</v>
      </c>
      <c r="E1408" s="1">
        <v>3999.99</v>
      </c>
      <c r="F1408" s="1">
        <v>7.0000000000000007E-2</v>
      </c>
      <c r="G1408">
        <v>3999.99</v>
      </c>
      <c r="H1408" s="22">
        <f>VLOOKUP(A1408,[1]Orders!$A$2:$B$1616,2,0)</f>
        <v>42657</v>
      </c>
      <c r="J1408" t="s">
        <v>29</v>
      </c>
      <c r="K1408" t="s">
        <v>18</v>
      </c>
    </row>
    <row r="1409" spans="1:11" x14ac:dyDescent="0.3">
      <c r="A1409">
        <v>507</v>
      </c>
      <c r="B1409">
        <v>1</v>
      </c>
      <c r="C1409">
        <v>11</v>
      </c>
      <c r="D1409">
        <v>2</v>
      </c>
      <c r="E1409" s="1">
        <v>1680.99</v>
      </c>
      <c r="F1409" s="1">
        <v>0.05</v>
      </c>
      <c r="G1409">
        <v>3361.98</v>
      </c>
      <c r="H1409" s="22">
        <f>VLOOKUP(A1409,[1]Orders!$A$2:$B$1616,2,0)</f>
        <v>42658</v>
      </c>
      <c r="J1409" t="s">
        <v>30</v>
      </c>
      <c r="K1409" t="s">
        <v>11</v>
      </c>
    </row>
    <row r="1410" spans="1:11" x14ac:dyDescent="0.3">
      <c r="A1410">
        <v>507</v>
      </c>
      <c r="B1410">
        <v>2</v>
      </c>
      <c r="C1410">
        <v>13</v>
      </c>
      <c r="D1410">
        <v>2</v>
      </c>
      <c r="E1410" s="1">
        <v>269.99</v>
      </c>
      <c r="F1410" s="1">
        <v>7.0000000000000007E-2</v>
      </c>
      <c r="G1410">
        <v>539.98</v>
      </c>
      <c r="H1410" s="22">
        <f>VLOOKUP(A1410,[1]Orders!$A$2:$B$1616,2,0)</f>
        <v>42658</v>
      </c>
      <c r="J1410" t="s">
        <v>31</v>
      </c>
      <c r="K1410" t="s">
        <v>11</v>
      </c>
    </row>
    <row r="1411" spans="1:11" x14ac:dyDescent="0.3">
      <c r="A1411">
        <v>507</v>
      </c>
      <c r="B1411">
        <v>3</v>
      </c>
      <c r="C1411">
        <v>20</v>
      </c>
      <c r="D1411">
        <v>2</v>
      </c>
      <c r="E1411" s="1">
        <v>599.99</v>
      </c>
      <c r="F1411" s="1">
        <v>0.1</v>
      </c>
      <c r="G1411">
        <v>1199.98</v>
      </c>
      <c r="H1411" s="22">
        <f>VLOOKUP(A1411,[1]Orders!$A$2:$B$1616,2,0)</f>
        <v>42658</v>
      </c>
      <c r="J1411" t="s">
        <v>10</v>
      </c>
      <c r="K1411" t="s">
        <v>11</v>
      </c>
    </row>
    <row r="1412" spans="1:11" x14ac:dyDescent="0.3">
      <c r="A1412">
        <v>508</v>
      </c>
      <c r="B1412">
        <v>1</v>
      </c>
      <c r="C1412">
        <v>8</v>
      </c>
      <c r="D1412">
        <v>1</v>
      </c>
      <c r="E1412" s="1">
        <v>1799.99</v>
      </c>
      <c r="F1412" s="1">
        <v>0.05</v>
      </c>
      <c r="G1412">
        <v>1799.99</v>
      </c>
      <c r="H1412" s="22">
        <f>VLOOKUP(A1412,[1]Orders!$A$2:$B$1616,2,0)</f>
        <v>42658</v>
      </c>
      <c r="J1412" t="s">
        <v>12</v>
      </c>
      <c r="K1412" t="s">
        <v>18</v>
      </c>
    </row>
    <row r="1413" spans="1:11" x14ac:dyDescent="0.3">
      <c r="A1413">
        <v>508</v>
      </c>
      <c r="B1413">
        <v>2</v>
      </c>
      <c r="C1413">
        <v>2</v>
      </c>
      <c r="D1413">
        <v>2</v>
      </c>
      <c r="E1413" s="1">
        <v>749.99</v>
      </c>
      <c r="F1413" s="1">
        <v>0.05</v>
      </c>
      <c r="G1413">
        <v>1499.98</v>
      </c>
      <c r="H1413" s="22">
        <f>VLOOKUP(A1413,[1]Orders!$A$2:$B$1616,2,0)</f>
        <v>42658</v>
      </c>
      <c r="J1413" t="s">
        <v>22</v>
      </c>
      <c r="K1413" t="s">
        <v>18</v>
      </c>
    </row>
    <row r="1414" spans="1:11" x14ac:dyDescent="0.3">
      <c r="A1414">
        <v>508</v>
      </c>
      <c r="B1414">
        <v>3</v>
      </c>
      <c r="C1414">
        <v>10</v>
      </c>
      <c r="D1414">
        <v>2</v>
      </c>
      <c r="E1414" s="1">
        <v>1549</v>
      </c>
      <c r="F1414" s="1">
        <v>0.05</v>
      </c>
      <c r="G1414">
        <v>3098</v>
      </c>
      <c r="H1414" s="22">
        <f>VLOOKUP(A1414,[1]Orders!$A$2:$B$1616,2,0)</f>
        <v>42658</v>
      </c>
      <c r="J1414" t="s">
        <v>13</v>
      </c>
      <c r="K1414" t="s">
        <v>18</v>
      </c>
    </row>
    <row r="1415" spans="1:11" x14ac:dyDescent="0.3">
      <c r="A1415">
        <v>508</v>
      </c>
      <c r="B1415">
        <v>4</v>
      </c>
      <c r="C1415">
        <v>25</v>
      </c>
      <c r="D1415">
        <v>1</v>
      </c>
      <c r="E1415" s="1">
        <v>499.99</v>
      </c>
      <c r="F1415" s="1">
        <v>7.0000000000000007E-2</v>
      </c>
      <c r="G1415">
        <v>499.99</v>
      </c>
      <c r="H1415" s="22">
        <f>VLOOKUP(A1415,[1]Orders!$A$2:$B$1616,2,0)</f>
        <v>42658</v>
      </c>
      <c r="J1415" t="s">
        <v>35</v>
      </c>
      <c r="K1415" t="s">
        <v>18</v>
      </c>
    </row>
    <row r="1416" spans="1:11" x14ac:dyDescent="0.3">
      <c r="A1416">
        <v>509</v>
      </c>
      <c r="B1416">
        <v>1</v>
      </c>
      <c r="C1416">
        <v>23</v>
      </c>
      <c r="D1416">
        <v>2</v>
      </c>
      <c r="E1416" s="1">
        <v>299.99</v>
      </c>
      <c r="F1416" s="1">
        <v>0.2</v>
      </c>
      <c r="G1416">
        <v>599.98</v>
      </c>
      <c r="H1416" s="22">
        <f>VLOOKUP(A1416,[1]Orders!$A$2:$B$1616,2,0)</f>
        <v>42659</v>
      </c>
      <c r="J1416" t="s">
        <v>33</v>
      </c>
      <c r="K1416" t="s">
        <v>18</v>
      </c>
    </row>
    <row r="1417" spans="1:11" x14ac:dyDescent="0.3">
      <c r="A1417">
        <v>509</v>
      </c>
      <c r="B1417">
        <v>2</v>
      </c>
      <c r="C1417">
        <v>4</v>
      </c>
      <c r="D1417">
        <v>2</v>
      </c>
      <c r="E1417" s="1">
        <v>2899.99</v>
      </c>
      <c r="F1417" s="1">
        <v>0.05</v>
      </c>
      <c r="G1417">
        <v>5799.98</v>
      </c>
      <c r="H1417" s="22">
        <f>VLOOKUP(A1417,[1]Orders!$A$2:$B$1616,2,0)</f>
        <v>42659</v>
      </c>
      <c r="J1417" t="s">
        <v>16</v>
      </c>
      <c r="K1417" t="s">
        <v>18</v>
      </c>
    </row>
    <row r="1418" spans="1:11" x14ac:dyDescent="0.3">
      <c r="A1418">
        <v>510</v>
      </c>
      <c r="B1418">
        <v>1</v>
      </c>
      <c r="C1418">
        <v>17</v>
      </c>
      <c r="D1418">
        <v>1</v>
      </c>
      <c r="E1418" s="1">
        <v>429</v>
      </c>
      <c r="F1418" s="1">
        <v>0.1</v>
      </c>
      <c r="G1418">
        <v>429</v>
      </c>
      <c r="H1418" s="22">
        <f>VLOOKUP(A1418,[1]Orders!$A$2:$B$1616,2,0)</f>
        <v>42660</v>
      </c>
      <c r="J1418" t="s">
        <v>23</v>
      </c>
      <c r="K1418" t="s">
        <v>18</v>
      </c>
    </row>
    <row r="1419" spans="1:11" x14ac:dyDescent="0.3">
      <c r="A1419">
        <v>511</v>
      </c>
      <c r="B1419">
        <v>1</v>
      </c>
      <c r="C1419">
        <v>22</v>
      </c>
      <c r="D1419">
        <v>2</v>
      </c>
      <c r="E1419" s="1">
        <v>269.99</v>
      </c>
      <c r="F1419" s="1">
        <v>0.05</v>
      </c>
      <c r="G1419">
        <v>539.98</v>
      </c>
      <c r="H1419" s="22">
        <f>VLOOKUP(A1419,[1]Orders!$A$2:$B$1616,2,0)</f>
        <v>42661</v>
      </c>
      <c r="J1419" t="s">
        <v>28</v>
      </c>
      <c r="K1419" t="s">
        <v>18</v>
      </c>
    </row>
    <row r="1420" spans="1:11" x14ac:dyDescent="0.3">
      <c r="A1420">
        <v>511</v>
      </c>
      <c r="B1420">
        <v>2</v>
      </c>
      <c r="C1420">
        <v>13</v>
      </c>
      <c r="D1420">
        <v>1</v>
      </c>
      <c r="E1420" s="1">
        <v>269.99</v>
      </c>
      <c r="F1420" s="1">
        <v>0.1</v>
      </c>
      <c r="G1420">
        <v>269.99</v>
      </c>
      <c r="H1420" s="22">
        <f>VLOOKUP(A1420,[1]Orders!$A$2:$B$1616,2,0)</f>
        <v>42661</v>
      </c>
      <c r="J1420" t="s">
        <v>31</v>
      </c>
      <c r="K1420" t="s">
        <v>18</v>
      </c>
    </row>
    <row r="1421" spans="1:11" x14ac:dyDescent="0.3">
      <c r="A1421">
        <v>512</v>
      </c>
      <c r="B1421">
        <v>1</v>
      </c>
      <c r="C1421">
        <v>21</v>
      </c>
      <c r="D1421">
        <v>1</v>
      </c>
      <c r="E1421" s="1">
        <v>269.99</v>
      </c>
      <c r="F1421" s="1">
        <v>7.0000000000000007E-2</v>
      </c>
      <c r="G1421">
        <v>269.99</v>
      </c>
      <c r="H1421" s="22">
        <f>VLOOKUP(A1421,[1]Orders!$A$2:$B$1616,2,0)</f>
        <v>42662</v>
      </c>
      <c r="J1421" t="s">
        <v>31</v>
      </c>
      <c r="K1421" t="s">
        <v>18</v>
      </c>
    </row>
    <row r="1422" spans="1:11" x14ac:dyDescent="0.3">
      <c r="A1422">
        <v>513</v>
      </c>
      <c r="B1422">
        <v>1</v>
      </c>
      <c r="C1422">
        <v>7</v>
      </c>
      <c r="D1422">
        <v>1</v>
      </c>
      <c r="E1422" s="1">
        <v>3999.99</v>
      </c>
      <c r="F1422" s="1">
        <v>7.0000000000000007E-2</v>
      </c>
      <c r="G1422">
        <v>3999.99</v>
      </c>
      <c r="H1422" s="22">
        <f>VLOOKUP(A1422,[1]Orders!$A$2:$B$1616,2,0)</f>
        <v>42662</v>
      </c>
      <c r="J1422" t="s">
        <v>29</v>
      </c>
      <c r="K1422" t="s">
        <v>18</v>
      </c>
    </row>
    <row r="1423" spans="1:11" x14ac:dyDescent="0.3">
      <c r="A1423">
        <v>513</v>
      </c>
      <c r="B1423">
        <v>2</v>
      </c>
      <c r="C1423">
        <v>13</v>
      </c>
      <c r="D1423">
        <v>1</v>
      </c>
      <c r="E1423" s="1">
        <v>269.99</v>
      </c>
      <c r="F1423" s="1">
        <v>0.2</v>
      </c>
      <c r="G1423">
        <v>269.99</v>
      </c>
      <c r="H1423" s="22">
        <f>VLOOKUP(A1423,[1]Orders!$A$2:$B$1616,2,0)</f>
        <v>42662</v>
      </c>
      <c r="J1423" t="s">
        <v>31</v>
      </c>
      <c r="K1423" t="s">
        <v>18</v>
      </c>
    </row>
    <row r="1424" spans="1:11" x14ac:dyDescent="0.3">
      <c r="A1424">
        <v>513</v>
      </c>
      <c r="B1424">
        <v>3</v>
      </c>
      <c r="C1424">
        <v>23</v>
      </c>
      <c r="D1424">
        <v>1</v>
      </c>
      <c r="E1424" s="1">
        <v>299.99</v>
      </c>
      <c r="F1424" s="1">
        <v>7.0000000000000007E-2</v>
      </c>
      <c r="G1424">
        <v>299.99</v>
      </c>
      <c r="H1424" s="22">
        <f>VLOOKUP(A1424,[1]Orders!$A$2:$B$1616,2,0)</f>
        <v>42662</v>
      </c>
      <c r="J1424" t="s">
        <v>33</v>
      </c>
      <c r="K1424" t="s">
        <v>18</v>
      </c>
    </row>
    <row r="1425" spans="1:11" x14ac:dyDescent="0.3">
      <c r="A1425">
        <v>514</v>
      </c>
      <c r="B1425">
        <v>1</v>
      </c>
      <c r="C1425">
        <v>18</v>
      </c>
      <c r="D1425">
        <v>2</v>
      </c>
      <c r="E1425" s="1">
        <v>449</v>
      </c>
      <c r="F1425" s="1">
        <v>0.2</v>
      </c>
      <c r="G1425">
        <v>898</v>
      </c>
      <c r="H1425" s="22">
        <f>VLOOKUP(A1425,[1]Orders!$A$2:$B$1616,2,0)</f>
        <v>42662</v>
      </c>
      <c r="J1425" t="s">
        <v>24</v>
      </c>
      <c r="K1425" t="s">
        <v>18</v>
      </c>
    </row>
    <row r="1426" spans="1:11" x14ac:dyDescent="0.3">
      <c r="A1426">
        <v>514</v>
      </c>
      <c r="B1426">
        <v>2</v>
      </c>
      <c r="C1426">
        <v>17</v>
      </c>
      <c r="D1426">
        <v>2</v>
      </c>
      <c r="E1426" s="1">
        <v>429</v>
      </c>
      <c r="F1426" s="1">
        <v>7.0000000000000007E-2</v>
      </c>
      <c r="G1426">
        <v>858</v>
      </c>
      <c r="H1426" s="22">
        <f>VLOOKUP(A1426,[1]Orders!$A$2:$B$1616,2,0)</f>
        <v>42662</v>
      </c>
      <c r="J1426" t="s">
        <v>23</v>
      </c>
      <c r="K1426" t="s">
        <v>18</v>
      </c>
    </row>
    <row r="1427" spans="1:11" x14ac:dyDescent="0.3">
      <c r="A1427">
        <v>515</v>
      </c>
      <c r="B1427">
        <v>1</v>
      </c>
      <c r="C1427">
        <v>8</v>
      </c>
      <c r="D1427">
        <v>1</v>
      </c>
      <c r="E1427" s="1">
        <v>1799.99</v>
      </c>
      <c r="F1427" s="1">
        <v>7.0000000000000007E-2</v>
      </c>
      <c r="G1427">
        <v>1799.99</v>
      </c>
      <c r="H1427" s="22">
        <f>VLOOKUP(A1427,[1]Orders!$A$2:$B$1616,2,0)</f>
        <v>42662</v>
      </c>
      <c r="J1427" t="s">
        <v>12</v>
      </c>
      <c r="K1427" t="s">
        <v>18</v>
      </c>
    </row>
    <row r="1428" spans="1:11" x14ac:dyDescent="0.3">
      <c r="A1428">
        <v>515</v>
      </c>
      <c r="B1428">
        <v>2</v>
      </c>
      <c r="C1428">
        <v>5</v>
      </c>
      <c r="D1428">
        <v>1</v>
      </c>
      <c r="E1428" s="1">
        <v>1320.99</v>
      </c>
      <c r="F1428" s="1">
        <v>0.1</v>
      </c>
      <c r="G1428">
        <v>1320.99</v>
      </c>
      <c r="H1428" s="22">
        <f>VLOOKUP(A1428,[1]Orders!$A$2:$B$1616,2,0)</f>
        <v>42662</v>
      </c>
      <c r="J1428" t="s">
        <v>34</v>
      </c>
      <c r="K1428" t="s">
        <v>18</v>
      </c>
    </row>
    <row r="1429" spans="1:11" x14ac:dyDescent="0.3">
      <c r="A1429">
        <v>515</v>
      </c>
      <c r="B1429">
        <v>3</v>
      </c>
      <c r="C1429">
        <v>25</v>
      </c>
      <c r="D1429">
        <v>2</v>
      </c>
      <c r="E1429" s="1">
        <v>499.99</v>
      </c>
      <c r="F1429" s="1">
        <v>7.0000000000000007E-2</v>
      </c>
      <c r="G1429">
        <v>999.98</v>
      </c>
      <c r="H1429" s="22">
        <f>VLOOKUP(A1429,[1]Orders!$A$2:$B$1616,2,0)</f>
        <v>42662</v>
      </c>
      <c r="J1429" t="s">
        <v>35</v>
      </c>
      <c r="K1429" t="s">
        <v>18</v>
      </c>
    </row>
    <row r="1430" spans="1:11" x14ac:dyDescent="0.3">
      <c r="A1430">
        <v>515</v>
      </c>
      <c r="B1430">
        <v>4</v>
      </c>
      <c r="C1430">
        <v>6</v>
      </c>
      <c r="D1430">
        <v>2</v>
      </c>
      <c r="E1430" s="1">
        <v>469.99</v>
      </c>
      <c r="F1430" s="1">
        <v>0.2</v>
      </c>
      <c r="G1430">
        <v>939.98</v>
      </c>
      <c r="H1430" s="22">
        <f>VLOOKUP(A1430,[1]Orders!$A$2:$B$1616,2,0)</f>
        <v>42662</v>
      </c>
      <c r="J1430" t="s">
        <v>32</v>
      </c>
      <c r="K1430" t="s">
        <v>18</v>
      </c>
    </row>
    <row r="1431" spans="1:11" x14ac:dyDescent="0.3">
      <c r="A1431">
        <v>516</v>
      </c>
      <c r="B1431">
        <v>1</v>
      </c>
      <c r="C1431">
        <v>7</v>
      </c>
      <c r="D1431">
        <v>1</v>
      </c>
      <c r="E1431" s="1">
        <v>3999.99</v>
      </c>
      <c r="F1431" s="1">
        <v>0.05</v>
      </c>
      <c r="G1431">
        <v>3999.99</v>
      </c>
      <c r="H1431" s="22">
        <f>VLOOKUP(A1431,[1]Orders!$A$2:$B$1616,2,0)</f>
        <v>42664</v>
      </c>
      <c r="J1431" t="s">
        <v>29</v>
      </c>
      <c r="K1431" t="s">
        <v>18</v>
      </c>
    </row>
    <row r="1432" spans="1:11" x14ac:dyDescent="0.3">
      <c r="A1432">
        <v>516</v>
      </c>
      <c r="B1432">
        <v>2</v>
      </c>
      <c r="C1432">
        <v>5</v>
      </c>
      <c r="D1432">
        <v>2</v>
      </c>
      <c r="E1432" s="1">
        <v>1320.99</v>
      </c>
      <c r="F1432" s="1">
        <v>0.1</v>
      </c>
      <c r="G1432">
        <v>2641.98</v>
      </c>
      <c r="H1432" s="22">
        <f>VLOOKUP(A1432,[1]Orders!$A$2:$B$1616,2,0)</f>
        <v>42664</v>
      </c>
      <c r="J1432" t="s">
        <v>34</v>
      </c>
      <c r="K1432" t="s">
        <v>18</v>
      </c>
    </row>
    <row r="1433" spans="1:11" x14ac:dyDescent="0.3">
      <c r="A1433">
        <v>517</v>
      </c>
      <c r="B1433">
        <v>1</v>
      </c>
      <c r="C1433">
        <v>21</v>
      </c>
      <c r="D1433">
        <v>2</v>
      </c>
      <c r="E1433" s="1">
        <v>269.99</v>
      </c>
      <c r="F1433" s="1">
        <v>7.0000000000000007E-2</v>
      </c>
      <c r="G1433">
        <v>539.98</v>
      </c>
      <c r="H1433" s="22">
        <f>VLOOKUP(A1433,[1]Orders!$A$2:$B$1616,2,0)</f>
        <v>42664</v>
      </c>
      <c r="J1433" t="s">
        <v>31</v>
      </c>
      <c r="K1433" t="s">
        <v>18</v>
      </c>
    </row>
    <row r="1434" spans="1:11" x14ac:dyDescent="0.3">
      <c r="A1434">
        <v>518</v>
      </c>
      <c r="B1434">
        <v>1</v>
      </c>
      <c r="C1434">
        <v>16</v>
      </c>
      <c r="D1434">
        <v>2</v>
      </c>
      <c r="E1434" s="1">
        <v>599.99</v>
      </c>
      <c r="F1434" s="1">
        <v>0.2</v>
      </c>
      <c r="G1434">
        <v>1199.98</v>
      </c>
      <c r="H1434" s="22">
        <f>VLOOKUP(A1434,[1]Orders!$A$2:$B$1616,2,0)</f>
        <v>42665</v>
      </c>
      <c r="J1434" t="s">
        <v>14</v>
      </c>
      <c r="K1434" t="s">
        <v>11</v>
      </c>
    </row>
    <row r="1435" spans="1:11" x14ac:dyDescent="0.3">
      <c r="A1435">
        <v>518</v>
      </c>
      <c r="B1435">
        <v>2</v>
      </c>
      <c r="C1435">
        <v>5</v>
      </c>
      <c r="D1435">
        <v>2</v>
      </c>
      <c r="E1435" s="1">
        <v>1320.99</v>
      </c>
      <c r="F1435" s="1">
        <v>0.05</v>
      </c>
      <c r="G1435">
        <v>2641.98</v>
      </c>
      <c r="H1435" s="22">
        <f>VLOOKUP(A1435,[1]Orders!$A$2:$B$1616,2,0)</f>
        <v>42665</v>
      </c>
      <c r="J1435" t="s">
        <v>34</v>
      </c>
      <c r="K1435" t="s">
        <v>11</v>
      </c>
    </row>
    <row r="1436" spans="1:11" x14ac:dyDescent="0.3">
      <c r="A1436">
        <v>518</v>
      </c>
      <c r="B1436">
        <v>3</v>
      </c>
      <c r="C1436">
        <v>25</v>
      </c>
      <c r="D1436">
        <v>2</v>
      </c>
      <c r="E1436" s="1">
        <v>499.99</v>
      </c>
      <c r="F1436" s="1">
        <v>0.05</v>
      </c>
      <c r="G1436">
        <v>999.98</v>
      </c>
      <c r="H1436" s="22">
        <f>VLOOKUP(A1436,[1]Orders!$A$2:$B$1616,2,0)</f>
        <v>42665</v>
      </c>
      <c r="J1436" t="s">
        <v>35</v>
      </c>
      <c r="K1436" t="s">
        <v>11</v>
      </c>
    </row>
    <row r="1437" spans="1:11" x14ac:dyDescent="0.3">
      <c r="A1437">
        <v>518</v>
      </c>
      <c r="B1437">
        <v>4</v>
      </c>
      <c r="C1437">
        <v>15</v>
      </c>
      <c r="D1437">
        <v>2</v>
      </c>
      <c r="E1437" s="1">
        <v>529.99</v>
      </c>
      <c r="F1437" s="1">
        <v>0.2</v>
      </c>
      <c r="G1437">
        <v>1059.98</v>
      </c>
      <c r="H1437" s="22">
        <f>VLOOKUP(A1437,[1]Orders!$A$2:$B$1616,2,0)</f>
        <v>42665</v>
      </c>
      <c r="J1437" t="s">
        <v>27</v>
      </c>
      <c r="K1437" t="s">
        <v>11</v>
      </c>
    </row>
    <row r="1438" spans="1:11" x14ac:dyDescent="0.3">
      <c r="A1438">
        <v>518</v>
      </c>
      <c r="B1438">
        <v>5</v>
      </c>
      <c r="C1438">
        <v>11</v>
      </c>
      <c r="D1438">
        <v>2</v>
      </c>
      <c r="E1438" s="1">
        <v>1680.99</v>
      </c>
      <c r="F1438" s="1">
        <v>7.0000000000000007E-2</v>
      </c>
      <c r="G1438">
        <v>3361.98</v>
      </c>
      <c r="H1438" s="22">
        <f>VLOOKUP(A1438,[1]Orders!$A$2:$B$1616,2,0)</f>
        <v>42665</v>
      </c>
      <c r="J1438" t="s">
        <v>30</v>
      </c>
      <c r="K1438" t="s">
        <v>11</v>
      </c>
    </row>
    <row r="1439" spans="1:11" x14ac:dyDescent="0.3">
      <c r="A1439">
        <v>519</v>
      </c>
      <c r="B1439">
        <v>1</v>
      </c>
      <c r="C1439">
        <v>6</v>
      </c>
      <c r="D1439">
        <v>1</v>
      </c>
      <c r="E1439" s="1">
        <v>469.99</v>
      </c>
      <c r="F1439" s="1">
        <v>7.0000000000000007E-2</v>
      </c>
      <c r="G1439">
        <v>469.99</v>
      </c>
      <c r="H1439" s="22">
        <f>VLOOKUP(A1439,[1]Orders!$A$2:$B$1616,2,0)</f>
        <v>42665</v>
      </c>
      <c r="J1439" t="s">
        <v>32</v>
      </c>
      <c r="K1439" t="s">
        <v>18</v>
      </c>
    </row>
    <row r="1440" spans="1:11" x14ac:dyDescent="0.3">
      <c r="A1440">
        <v>519</v>
      </c>
      <c r="B1440">
        <v>2</v>
      </c>
      <c r="C1440">
        <v>16</v>
      </c>
      <c r="D1440">
        <v>1</v>
      </c>
      <c r="E1440" s="1">
        <v>599.99</v>
      </c>
      <c r="F1440" s="1">
        <v>0.1</v>
      </c>
      <c r="G1440">
        <v>599.99</v>
      </c>
      <c r="H1440" s="22">
        <f>VLOOKUP(A1440,[1]Orders!$A$2:$B$1616,2,0)</f>
        <v>42665</v>
      </c>
      <c r="J1440" t="s">
        <v>14</v>
      </c>
      <c r="K1440" t="s">
        <v>18</v>
      </c>
    </row>
    <row r="1441" spans="1:11" x14ac:dyDescent="0.3">
      <c r="A1441">
        <v>519</v>
      </c>
      <c r="B1441">
        <v>3</v>
      </c>
      <c r="C1441">
        <v>23</v>
      </c>
      <c r="D1441">
        <v>2</v>
      </c>
      <c r="E1441" s="1">
        <v>299.99</v>
      </c>
      <c r="F1441" s="1">
        <v>0.05</v>
      </c>
      <c r="G1441">
        <v>599.98</v>
      </c>
      <c r="H1441" s="22">
        <f>VLOOKUP(A1441,[1]Orders!$A$2:$B$1616,2,0)</f>
        <v>42665</v>
      </c>
      <c r="J1441" t="s">
        <v>33</v>
      </c>
      <c r="K1441" t="s">
        <v>18</v>
      </c>
    </row>
    <row r="1442" spans="1:11" x14ac:dyDescent="0.3">
      <c r="A1442">
        <v>519</v>
      </c>
      <c r="B1442">
        <v>4</v>
      </c>
      <c r="C1442">
        <v>18</v>
      </c>
      <c r="D1442">
        <v>2</v>
      </c>
      <c r="E1442" s="1">
        <v>449</v>
      </c>
      <c r="F1442" s="1">
        <v>0.2</v>
      </c>
      <c r="G1442">
        <v>898</v>
      </c>
      <c r="H1442" s="22">
        <f>VLOOKUP(A1442,[1]Orders!$A$2:$B$1616,2,0)</f>
        <v>42665</v>
      </c>
      <c r="J1442" t="s">
        <v>24</v>
      </c>
      <c r="K1442" t="s">
        <v>18</v>
      </c>
    </row>
    <row r="1443" spans="1:11" x14ac:dyDescent="0.3">
      <c r="A1443">
        <v>519</v>
      </c>
      <c r="B1443">
        <v>5</v>
      </c>
      <c r="C1443">
        <v>7</v>
      </c>
      <c r="D1443">
        <v>1</v>
      </c>
      <c r="E1443" s="1">
        <v>3999.99</v>
      </c>
      <c r="F1443" s="1">
        <v>0.05</v>
      </c>
      <c r="G1443">
        <v>3999.99</v>
      </c>
      <c r="H1443" s="22">
        <f>VLOOKUP(A1443,[1]Orders!$A$2:$B$1616,2,0)</f>
        <v>42665</v>
      </c>
      <c r="J1443" t="s">
        <v>29</v>
      </c>
      <c r="K1443" t="s">
        <v>18</v>
      </c>
    </row>
    <row r="1444" spans="1:11" x14ac:dyDescent="0.3">
      <c r="A1444">
        <v>520</v>
      </c>
      <c r="B1444">
        <v>1</v>
      </c>
      <c r="C1444">
        <v>26</v>
      </c>
      <c r="D1444">
        <v>1</v>
      </c>
      <c r="E1444" s="1">
        <v>599.99</v>
      </c>
      <c r="F1444" s="1">
        <v>0.1</v>
      </c>
      <c r="G1444">
        <v>599.99</v>
      </c>
      <c r="H1444" s="22">
        <f>VLOOKUP(A1444,[1]Orders!$A$2:$B$1616,2,0)</f>
        <v>42666</v>
      </c>
      <c r="J1444" t="s">
        <v>14</v>
      </c>
      <c r="K1444" t="s">
        <v>18</v>
      </c>
    </row>
    <row r="1445" spans="1:11" x14ac:dyDescent="0.3">
      <c r="A1445">
        <v>520</v>
      </c>
      <c r="B1445">
        <v>2</v>
      </c>
      <c r="C1445">
        <v>24</v>
      </c>
      <c r="D1445">
        <v>1</v>
      </c>
      <c r="E1445" s="1">
        <v>549.99</v>
      </c>
      <c r="F1445" s="1">
        <v>0.2</v>
      </c>
      <c r="G1445">
        <v>549.99</v>
      </c>
      <c r="H1445" s="22">
        <f>VLOOKUP(A1445,[1]Orders!$A$2:$B$1616,2,0)</f>
        <v>42666</v>
      </c>
      <c r="J1445" t="s">
        <v>25</v>
      </c>
      <c r="K1445" t="s">
        <v>18</v>
      </c>
    </row>
    <row r="1446" spans="1:11" x14ac:dyDescent="0.3">
      <c r="A1446">
        <v>520</v>
      </c>
      <c r="B1446">
        <v>3</v>
      </c>
      <c r="C1446">
        <v>10</v>
      </c>
      <c r="D1446">
        <v>1</v>
      </c>
      <c r="E1446" s="1">
        <v>1549</v>
      </c>
      <c r="F1446" s="1">
        <v>7.0000000000000007E-2</v>
      </c>
      <c r="G1446">
        <v>1549</v>
      </c>
      <c r="H1446" s="22">
        <f>VLOOKUP(A1446,[1]Orders!$A$2:$B$1616,2,0)</f>
        <v>42666</v>
      </c>
      <c r="J1446" t="s">
        <v>13</v>
      </c>
      <c r="K1446" t="s">
        <v>18</v>
      </c>
    </row>
    <row r="1447" spans="1:11" x14ac:dyDescent="0.3">
      <c r="A1447">
        <v>521</v>
      </c>
      <c r="B1447">
        <v>1</v>
      </c>
      <c r="C1447">
        <v>5</v>
      </c>
      <c r="D1447">
        <v>1</v>
      </c>
      <c r="E1447" s="1">
        <v>1320.99</v>
      </c>
      <c r="F1447" s="1">
        <v>0.2</v>
      </c>
      <c r="G1447">
        <v>1320.99</v>
      </c>
      <c r="H1447" s="22">
        <f>VLOOKUP(A1447,[1]Orders!$A$2:$B$1616,2,0)</f>
        <v>42666</v>
      </c>
      <c r="J1447" t="s">
        <v>34</v>
      </c>
      <c r="K1447" t="s">
        <v>18</v>
      </c>
    </row>
    <row r="1448" spans="1:11" x14ac:dyDescent="0.3">
      <c r="A1448">
        <v>521</v>
      </c>
      <c r="B1448">
        <v>2</v>
      </c>
      <c r="C1448">
        <v>14</v>
      </c>
      <c r="D1448">
        <v>1</v>
      </c>
      <c r="E1448" s="1">
        <v>269.99</v>
      </c>
      <c r="F1448" s="1">
        <v>0.2</v>
      </c>
      <c r="G1448">
        <v>269.99</v>
      </c>
      <c r="H1448" s="22">
        <f>VLOOKUP(A1448,[1]Orders!$A$2:$B$1616,2,0)</f>
        <v>42666</v>
      </c>
      <c r="J1448" t="s">
        <v>28</v>
      </c>
      <c r="K1448" t="s">
        <v>18</v>
      </c>
    </row>
    <row r="1449" spans="1:11" x14ac:dyDescent="0.3">
      <c r="A1449">
        <v>522</v>
      </c>
      <c r="B1449">
        <v>1</v>
      </c>
      <c r="C1449">
        <v>4</v>
      </c>
      <c r="D1449">
        <v>2</v>
      </c>
      <c r="E1449" s="1">
        <v>2899.99</v>
      </c>
      <c r="F1449" s="1">
        <v>7.0000000000000007E-2</v>
      </c>
      <c r="G1449">
        <v>5799.98</v>
      </c>
      <c r="H1449" s="22">
        <f>VLOOKUP(A1449,[1]Orders!$A$2:$B$1616,2,0)</f>
        <v>42666</v>
      </c>
      <c r="J1449" t="s">
        <v>16</v>
      </c>
      <c r="K1449" t="s">
        <v>18</v>
      </c>
    </row>
    <row r="1450" spans="1:11" x14ac:dyDescent="0.3">
      <c r="A1450">
        <v>522</v>
      </c>
      <c r="B1450">
        <v>2</v>
      </c>
      <c r="C1450">
        <v>22</v>
      </c>
      <c r="D1450">
        <v>2</v>
      </c>
      <c r="E1450" s="1">
        <v>269.99</v>
      </c>
      <c r="F1450" s="1">
        <v>7.0000000000000007E-2</v>
      </c>
      <c r="G1450">
        <v>539.98</v>
      </c>
      <c r="H1450" s="22">
        <f>VLOOKUP(A1450,[1]Orders!$A$2:$B$1616,2,0)</f>
        <v>42666</v>
      </c>
      <c r="J1450" t="s">
        <v>28</v>
      </c>
      <c r="K1450" t="s">
        <v>18</v>
      </c>
    </row>
    <row r="1451" spans="1:11" x14ac:dyDescent="0.3">
      <c r="A1451">
        <v>522</v>
      </c>
      <c r="B1451">
        <v>3</v>
      </c>
      <c r="C1451">
        <v>21</v>
      </c>
      <c r="D1451">
        <v>1</v>
      </c>
      <c r="E1451" s="1">
        <v>269.99</v>
      </c>
      <c r="F1451" s="1">
        <v>0.05</v>
      </c>
      <c r="G1451">
        <v>269.99</v>
      </c>
      <c r="H1451" s="22">
        <f>VLOOKUP(A1451,[1]Orders!$A$2:$B$1616,2,0)</f>
        <v>42666</v>
      </c>
      <c r="J1451" t="s">
        <v>31</v>
      </c>
      <c r="K1451" t="s">
        <v>18</v>
      </c>
    </row>
    <row r="1452" spans="1:11" x14ac:dyDescent="0.3">
      <c r="A1452">
        <v>523</v>
      </c>
      <c r="B1452">
        <v>1</v>
      </c>
      <c r="C1452">
        <v>12</v>
      </c>
      <c r="D1452">
        <v>1</v>
      </c>
      <c r="E1452" s="1">
        <v>549.99</v>
      </c>
      <c r="F1452" s="1">
        <v>0.2</v>
      </c>
      <c r="G1452">
        <v>549.99</v>
      </c>
      <c r="H1452" s="22">
        <f>VLOOKUP(A1452,[1]Orders!$A$2:$B$1616,2,0)</f>
        <v>42667</v>
      </c>
      <c r="J1452" t="s">
        <v>25</v>
      </c>
      <c r="K1452" t="s">
        <v>18</v>
      </c>
    </row>
    <row r="1453" spans="1:11" x14ac:dyDescent="0.3">
      <c r="A1453">
        <v>523</v>
      </c>
      <c r="B1453">
        <v>2</v>
      </c>
      <c r="C1453">
        <v>20</v>
      </c>
      <c r="D1453">
        <v>1</v>
      </c>
      <c r="E1453" s="1">
        <v>599.99</v>
      </c>
      <c r="F1453" s="1">
        <v>0.05</v>
      </c>
      <c r="G1453">
        <v>599.99</v>
      </c>
      <c r="H1453" s="22">
        <f>VLOOKUP(A1453,[1]Orders!$A$2:$B$1616,2,0)</f>
        <v>42667</v>
      </c>
      <c r="J1453" t="s">
        <v>10</v>
      </c>
      <c r="K1453" t="s">
        <v>18</v>
      </c>
    </row>
    <row r="1454" spans="1:11" x14ac:dyDescent="0.3">
      <c r="A1454">
        <v>523</v>
      </c>
      <c r="B1454">
        <v>3</v>
      </c>
      <c r="C1454">
        <v>5</v>
      </c>
      <c r="D1454">
        <v>2</v>
      </c>
      <c r="E1454" s="1">
        <v>1320.99</v>
      </c>
      <c r="F1454" s="1">
        <v>0.1</v>
      </c>
      <c r="G1454">
        <v>2641.98</v>
      </c>
      <c r="H1454" s="22">
        <f>VLOOKUP(A1454,[1]Orders!$A$2:$B$1616,2,0)</f>
        <v>42667</v>
      </c>
      <c r="J1454" t="s">
        <v>34</v>
      </c>
      <c r="K1454" t="s">
        <v>18</v>
      </c>
    </row>
    <row r="1455" spans="1:11" x14ac:dyDescent="0.3">
      <c r="A1455">
        <v>523</v>
      </c>
      <c r="B1455">
        <v>4</v>
      </c>
      <c r="C1455">
        <v>16</v>
      </c>
      <c r="D1455">
        <v>2</v>
      </c>
      <c r="E1455" s="1">
        <v>599.99</v>
      </c>
      <c r="F1455" s="1">
        <v>7.0000000000000007E-2</v>
      </c>
      <c r="G1455">
        <v>1199.98</v>
      </c>
      <c r="H1455" s="22">
        <f>VLOOKUP(A1455,[1]Orders!$A$2:$B$1616,2,0)</f>
        <v>42667</v>
      </c>
      <c r="J1455" t="s">
        <v>14</v>
      </c>
      <c r="K1455" t="s">
        <v>18</v>
      </c>
    </row>
    <row r="1456" spans="1:11" x14ac:dyDescent="0.3">
      <c r="A1456">
        <v>524</v>
      </c>
      <c r="B1456">
        <v>1</v>
      </c>
      <c r="C1456">
        <v>11</v>
      </c>
      <c r="D1456">
        <v>1</v>
      </c>
      <c r="E1456" s="1">
        <v>1680.99</v>
      </c>
      <c r="F1456" s="1">
        <v>7.0000000000000007E-2</v>
      </c>
      <c r="G1456">
        <v>1680.99</v>
      </c>
      <c r="H1456" s="22">
        <f>VLOOKUP(A1456,[1]Orders!$A$2:$B$1616,2,0)</f>
        <v>42668</v>
      </c>
      <c r="J1456" t="s">
        <v>30</v>
      </c>
      <c r="K1456" t="s">
        <v>11</v>
      </c>
    </row>
    <row r="1457" spans="1:11" x14ac:dyDescent="0.3">
      <c r="A1457">
        <v>524</v>
      </c>
      <c r="B1457">
        <v>2</v>
      </c>
      <c r="C1457">
        <v>2</v>
      </c>
      <c r="D1457">
        <v>1</v>
      </c>
      <c r="E1457" s="1">
        <v>749.99</v>
      </c>
      <c r="F1457" s="1">
        <v>0.05</v>
      </c>
      <c r="G1457">
        <v>749.99</v>
      </c>
      <c r="H1457" s="22">
        <f>VLOOKUP(A1457,[1]Orders!$A$2:$B$1616,2,0)</f>
        <v>42668</v>
      </c>
      <c r="J1457" t="s">
        <v>22</v>
      </c>
      <c r="K1457" t="s">
        <v>11</v>
      </c>
    </row>
    <row r="1458" spans="1:11" x14ac:dyDescent="0.3">
      <c r="A1458">
        <v>524</v>
      </c>
      <c r="B1458">
        <v>3</v>
      </c>
      <c r="C1458">
        <v>9</v>
      </c>
      <c r="D1458">
        <v>1</v>
      </c>
      <c r="E1458" s="1">
        <v>2999.99</v>
      </c>
      <c r="F1458" s="1">
        <v>0.2</v>
      </c>
      <c r="G1458">
        <v>2999.99</v>
      </c>
      <c r="H1458" s="22">
        <f>VLOOKUP(A1458,[1]Orders!$A$2:$B$1616,2,0)</f>
        <v>42668</v>
      </c>
      <c r="J1458" t="s">
        <v>26</v>
      </c>
      <c r="K1458" t="s">
        <v>11</v>
      </c>
    </row>
    <row r="1459" spans="1:11" x14ac:dyDescent="0.3">
      <c r="A1459">
        <v>524</v>
      </c>
      <c r="B1459">
        <v>4</v>
      </c>
      <c r="C1459">
        <v>3</v>
      </c>
      <c r="D1459">
        <v>2</v>
      </c>
      <c r="E1459" s="1">
        <v>999.99</v>
      </c>
      <c r="F1459" s="1">
        <v>7.0000000000000007E-2</v>
      </c>
      <c r="G1459">
        <v>1999.98</v>
      </c>
      <c r="H1459" s="22">
        <f>VLOOKUP(A1459,[1]Orders!$A$2:$B$1616,2,0)</f>
        <v>42668</v>
      </c>
      <c r="J1459" t="s">
        <v>20</v>
      </c>
      <c r="K1459" t="s">
        <v>11</v>
      </c>
    </row>
    <row r="1460" spans="1:11" x14ac:dyDescent="0.3">
      <c r="A1460">
        <v>524</v>
      </c>
      <c r="B1460">
        <v>5</v>
      </c>
      <c r="C1460">
        <v>26</v>
      </c>
      <c r="D1460">
        <v>1</v>
      </c>
      <c r="E1460" s="1">
        <v>599.99</v>
      </c>
      <c r="F1460" s="1">
        <v>0.05</v>
      </c>
      <c r="G1460">
        <v>599.99</v>
      </c>
      <c r="H1460" s="22">
        <f>VLOOKUP(A1460,[1]Orders!$A$2:$B$1616,2,0)</f>
        <v>42668</v>
      </c>
      <c r="J1460" t="s">
        <v>14</v>
      </c>
      <c r="K1460" t="s">
        <v>11</v>
      </c>
    </row>
    <row r="1461" spans="1:11" x14ac:dyDescent="0.3">
      <c r="A1461">
        <v>525</v>
      </c>
      <c r="B1461">
        <v>1</v>
      </c>
      <c r="C1461">
        <v>9</v>
      </c>
      <c r="D1461">
        <v>2</v>
      </c>
      <c r="E1461" s="1">
        <v>2999.99</v>
      </c>
      <c r="F1461" s="1">
        <v>7.0000000000000007E-2</v>
      </c>
      <c r="G1461">
        <v>5999.98</v>
      </c>
      <c r="H1461" s="22">
        <f>VLOOKUP(A1461,[1]Orders!$A$2:$B$1616,2,0)</f>
        <v>42669</v>
      </c>
      <c r="J1461" t="s">
        <v>26</v>
      </c>
      <c r="K1461" t="s">
        <v>11</v>
      </c>
    </row>
    <row r="1462" spans="1:11" x14ac:dyDescent="0.3">
      <c r="A1462">
        <v>525</v>
      </c>
      <c r="B1462">
        <v>2</v>
      </c>
      <c r="C1462">
        <v>6</v>
      </c>
      <c r="D1462">
        <v>2</v>
      </c>
      <c r="E1462" s="1">
        <v>469.99</v>
      </c>
      <c r="F1462" s="1">
        <v>7.0000000000000007E-2</v>
      </c>
      <c r="G1462">
        <v>939.98</v>
      </c>
      <c r="H1462" s="22">
        <f>VLOOKUP(A1462,[1]Orders!$A$2:$B$1616,2,0)</f>
        <v>42669</v>
      </c>
      <c r="J1462" t="s">
        <v>32</v>
      </c>
      <c r="K1462" t="s">
        <v>11</v>
      </c>
    </row>
    <row r="1463" spans="1:11" x14ac:dyDescent="0.3">
      <c r="A1463">
        <v>525</v>
      </c>
      <c r="B1463">
        <v>3</v>
      </c>
      <c r="C1463">
        <v>10</v>
      </c>
      <c r="D1463">
        <v>1</v>
      </c>
      <c r="E1463" s="1">
        <v>1549</v>
      </c>
      <c r="F1463" s="1">
        <v>0.1</v>
      </c>
      <c r="G1463">
        <v>1549</v>
      </c>
      <c r="H1463" s="22">
        <f>VLOOKUP(A1463,[1]Orders!$A$2:$B$1616,2,0)</f>
        <v>42669</v>
      </c>
      <c r="J1463" t="s">
        <v>13</v>
      </c>
      <c r="K1463" t="s">
        <v>11</v>
      </c>
    </row>
    <row r="1464" spans="1:11" x14ac:dyDescent="0.3">
      <c r="A1464">
        <v>526</v>
      </c>
      <c r="B1464">
        <v>1</v>
      </c>
      <c r="C1464">
        <v>3</v>
      </c>
      <c r="D1464">
        <v>2</v>
      </c>
      <c r="E1464" s="1">
        <v>999.99</v>
      </c>
      <c r="F1464" s="1">
        <v>0.1</v>
      </c>
      <c r="G1464">
        <v>1999.98</v>
      </c>
      <c r="H1464" s="22">
        <f>VLOOKUP(A1464,[1]Orders!$A$2:$B$1616,2,0)</f>
        <v>42669</v>
      </c>
      <c r="J1464" t="s">
        <v>20</v>
      </c>
      <c r="K1464" t="s">
        <v>18</v>
      </c>
    </row>
    <row r="1465" spans="1:11" x14ac:dyDescent="0.3">
      <c r="A1465">
        <v>526</v>
      </c>
      <c r="B1465">
        <v>2</v>
      </c>
      <c r="C1465">
        <v>8</v>
      </c>
      <c r="D1465">
        <v>1</v>
      </c>
      <c r="E1465" s="1">
        <v>1799.99</v>
      </c>
      <c r="F1465" s="1">
        <v>0.1</v>
      </c>
      <c r="G1465">
        <v>1799.99</v>
      </c>
      <c r="H1465" s="22">
        <f>VLOOKUP(A1465,[1]Orders!$A$2:$B$1616,2,0)</f>
        <v>42669</v>
      </c>
      <c r="J1465" t="s">
        <v>12</v>
      </c>
      <c r="K1465" t="s">
        <v>18</v>
      </c>
    </row>
    <row r="1466" spans="1:11" x14ac:dyDescent="0.3">
      <c r="A1466">
        <v>526</v>
      </c>
      <c r="B1466">
        <v>3</v>
      </c>
      <c r="C1466">
        <v>21</v>
      </c>
      <c r="D1466">
        <v>1</v>
      </c>
      <c r="E1466" s="1">
        <v>269.99</v>
      </c>
      <c r="F1466" s="1">
        <v>0.05</v>
      </c>
      <c r="G1466">
        <v>269.99</v>
      </c>
      <c r="H1466" s="22">
        <f>VLOOKUP(A1466,[1]Orders!$A$2:$B$1616,2,0)</f>
        <v>42669</v>
      </c>
      <c r="J1466" t="s">
        <v>31</v>
      </c>
      <c r="K1466" t="s">
        <v>18</v>
      </c>
    </row>
    <row r="1467" spans="1:11" x14ac:dyDescent="0.3">
      <c r="A1467">
        <v>526</v>
      </c>
      <c r="B1467">
        <v>4</v>
      </c>
      <c r="C1467">
        <v>15</v>
      </c>
      <c r="D1467">
        <v>1</v>
      </c>
      <c r="E1467" s="1">
        <v>529.99</v>
      </c>
      <c r="F1467" s="1">
        <v>7.0000000000000007E-2</v>
      </c>
      <c r="G1467">
        <v>529.99</v>
      </c>
      <c r="H1467" s="22">
        <f>VLOOKUP(A1467,[1]Orders!$A$2:$B$1616,2,0)</f>
        <v>42669</v>
      </c>
      <c r="J1467" t="s">
        <v>27</v>
      </c>
      <c r="K1467" t="s">
        <v>18</v>
      </c>
    </row>
    <row r="1468" spans="1:11" x14ac:dyDescent="0.3">
      <c r="A1468">
        <v>527</v>
      </c>
      <c r="B1468">
        <v>1</v>
      </c>
      <c r="C1468">
        <v>18</v>
      </c>
      <c r="D1468">
        <v>2</v>
      </c>
      <c r="E1468" s="1">
        <v>449</v>
      </c>
      <c r="F1468" s="1">
        <v>7.0000000000000007E-2</v>
      </c>
      <c r="G1468">
        <v>898</v>
      </c>
      <c r="H1468" s="22">
        <f>VLOOKUP(A1468,[1]Orders!$A$2:$B$1616,2,0)</f>
        <v>42670</v>
      </c>
      <c r="J1468" t="s">
        <v>24</v>
      </c>
      <c r="K1468" t="s">
        <v>11</v>
      </c>
    </row>
    <row r="1469" spans="1:11" x14ac:dyDescent="0.3">
      <c r="A1469">
        <v>527</v>
      </c>
      <c r="B1469">
        <v>2</v>
      </c>
      <c r="C1469">
        <v>4</v>
      </c>
      <c r="D1469">
        <v>1</v>
      </c>
      <c r="E1469" s="1">
        <v>2899.99</v>
      </c>
      <c r="F1469" s="1">
        <v>0.2</v>
      </c>
      <c r="G1469">
        <v>2899.99</v>
      </c>
      <c r="H1469" s="22">
        <f>VLOOKUP(A1469,[1]Orders!$A$2:$B$1616,2,0)</f>
        <v>42670</v>
      </c>
      <c r="J1469" t="s">
        <v>16</v>
      </c>
      <c r="K1469" t="s">
        <v>11</v>
      </c>
    </row>
    <row r="1470" spans="1:11" x14ac:dyDescent="0.3">
      <c r="A1470">
        <v>527</v>
      </c>
      <c r="B1470">
        <v>3</v>
      </c>
      <c r="C1470">
        <v>19</v>
      </c>
      <c r="D1470">
        <v>1</v>
      </c>
      <c r="E1470" s="1">
        <v>449</v>
      </c>
      <c r="F1470" s="1">
        <v>0.1</v>
      </c>
      <c r="G1470">
        <v>449</v>
      </c>
      <c r="H1470" s="22">
        <f>VLOOKUP(A1470,[1]Orders!$A$2:$B$1616,2,0)</f>
        <v>42670</v>
      </c>
      <c r="J1470" t="s">
        <v>36</v>
      </c>
      <c r="K1470" t="s">
        <v>11</v>
      </c>
    </row>
    <row r="1471" spans="1:11" x14ac:dyDescent="0.3">
      <c r="A1471">
        <v>527</v>
      </c>
      <c r="B1471">
        <v>4</v>
      </c>
      <c r="C1471">
        <v>9</v>
      </c>
      <c r="D1471">
        <v>2</v>
      </c>
      <c r="E1471" s="1">
        <v>2999.99</v>
      </c>
      <c r="F1471" s="1">
        <v>0.2</v>
      </c>
      <c r="G1471">
        <v>5999.98</v>
      </c>
      <c r="H1471" s="22">
        <f>VLOOKUP(A1471,[1]Orders!$A$2:$B$1616,2,0)</f>
        <v>42670</v>
      </c>
      <c r="J1471" t="s">
        <v>26</v>
      </c>
      <c r="K1471" t="s">
        <v>11</v>
      </c>
    </row>
    <row r="1472" spans="1:11" x14ac:dyDescent="0.3">
      <c r="A1472">
        <v>528</v>
      </c>
      <c r="B1472">
        <v>1</v>
      </c>
      <c r="C1472">
        <v>21</v>
      </c>
      <c r="D1472">
        <v>2</v>
      </c>
      <c r="E1472" s="1">
        <v>269.99</v>
      </c>
      <c r="F1472" s="1">
        <v>0.05</v>
      </c>
      <c r="G1472">
        <v>539.98</v>
      </c>
      <c r="H1472" s="22">
        <f>VLOOKUP(A1472,[1]Orders!$A$2:$B$1616,2,0)</f>
        <v>42671</v>
      </c>
      <c r="J1472" t="s">
        <v>31</v>
      </c>
      <c r="K1472" t="s">
        <v>18</v>
      </c>
    </row>
    <row r="1473" spans="1:11" x14ac:dyDescent="0.3">
      <c r="A1473">
        <v>529</v>
      </c>
      <c r="B1473">
        <v>1</v>
      </c>
      <c r="C1473">
        <v>12</v>
      </c>
      <c r="D1473">
        <v>2</v>
      </c>
      <c r="E1473" s="1">
        <v>549.99</v>
      </c>
      <c r="F1473" s="1">
        <v>7.0000000000000007E-2</v>
      </c>
      <c r="G1473">
        <v>1099.98</v>
      </c>
      <c r="H1473" s="22">
        <f>VLOOKUP(A1473,[1]Orders!$A$2:$B$1616,2,0)</f>
        <v>42671</v>
      </c>
      <c r="J1473" t="s">
        <v>25</v>
      </c>
      <c r="K1473" t="s">
        <v>18</v>
      </c>
    </row>
    <row r="1474" spans="1:11" x14ac:dyDescent="0.3">
      <c r="A1474">
        <v>530</v>
      </c>
      <c r="B1474">
        <v>1</v>
      </c>
      <c r="C1474">
        <v>2</v>
      </c>
      <c r="D1474">
        <v>2</v>
      </c>
      <c r="E1474" s="1">
        <v>749.99</v>
      </c>
      <c r="F1474" s="1">
        <v>0.05</v>
      </c>
      <c r="G1474">
        <v>1499.98</v>
      </c>
      <c r="H1474" s="22">
        <f>VLOOKUP(A1474,[1]Orders!$A$2:$B$1616,2,0)</f>
        <v>42671</v>
      </c>
      <c r="J1474" t="s">
        <v>22</v>
      </c>
      <c r="K1474" t="s">
        <v>18</v>
      </c>
    </row>
    <row r="1475" spans="1:11" x14ac:dyDescent="0.3">
      <c r="A1475">
        <v>530</v>
      </c>
      <c r="B1475">
        <v>2</v>
      </c>
      <c r="C1475">
        <v>4</v>
      </c>
      <c r="D1475">
        <v>1</v>
      </c>
      <c r="E1475" s="1">
        <v>2899.99</v>
      </c>
      <c r="F1475" s="1">
        <v>7.0000000000000007E-2</v>
      </c>
      <c r="G1475">
        <v>2899.99</v>
      </c>
      <c r="H1475" s="22">
        <f>VLOOKUP(A1475,[1]Orders!$A$2:$B$1616,2,0)</f>
        <v>42671</v>
      </c>
      <c r="J1475" t="s">
        <v>16</v>
      </c>
      <c r="K1475" t="s">
        <v>18</v>
      </c>
    </row>
    <row r="1476" spans="1:11" x14ac:dyDescent="0.3">
      <c r="A1476">
        <v>530</v>
      </c>
      <c r="B1476">
        <v>3</v>
      </c>
      <c r="C1476">
        <v>6</v>
      </c>
      <c r="D1476">
        <v>2</v>
      </c>
      <c r="E1476" s="1">
        <v>469.99</v>
      </c>
      <c r="F1476" s="1">
        <v>0.2</v>
      </c>
      <c r="G1476">
        <v>939.98</v>
      </c>
      <c r="H1476" s="22">
        <f>VLOOKUP(A1476,[1]Orders!$A$2:$B$1616,2,0)</f>
        <v>42671</v>
      </c>
      <c r="J1476" t="s">
        <v>32</v>
      </c>
      <c r="K1476" t="s">
        <v>18</v>
      </c>
    </row>
    <row r="1477" spans="1:11" x14ac:dyDescent="0.3">
      <c r="A1477">
        <v>531</v>
      </c>
      <c r="B1477">
        <v>1</v>
      </c>
      <c r="C1477">
        <v>6</v>
      </c>
      <c r="D1477">
        <v>1</v>
      </c>
      <c r="E1477" s="1">
        <v>469.99</v>
      </c>
      <c r="F1477" s="1">
        <v>0.2</v>
      </c>
      <c r="G1477">
        <v>469.99</v>
      </c>
      <c r="H1477" s="22">
        <f>VLOOKUP(A1477,[1]Orders!$A$2:$B$1616,2,0)</f>
        <v>42671</v>
      </c>
      <c r="J1477" t="s">
        <v>32</v>
      </c>
      <c r="K1477" t="s">
        <v>37</v>
      </c>
    </row>
    <row r="1478" spans="1:11" x14ac:dyDescent="0.3">
      <c r="A1478">
        <v>531</v>
      </c>
      <c r="B1478">
        <v>2</v>
      </c>
      <c r="C1478">
        <v>12</v>
      </c>
      <c r="D1478">
        <v>2</v>
      </c>
      <c r="E1478" s="1">
        <v>549.99</v>
      </c>
      <c r="F1478" s="1">
        <v>0.2</v>
      </c>
      <c r="G1478">
        <v>1099.98</v>
      </c>
      <c r="H1478" s="22">
        <f>VLOOKUP(A1478,[1]Orders!$A$2:$B$1616,2,0)</f>
        <v>42671</v>
      </c>
      <c r="J1478" t="s">
        <v>25</v>
      </c>
      <c r="K1478" t="s">
        <v>37</v>
      </c>
    </row>
    <row r="1479" spans="1:11" x14ac:dyDescent="0.3">
      <c r="A1479">
        <v>531</v>
      </c>
      <c r="B1479">
        <v>3</v>
      </c>
      <c r="C1479">
        <v>25</v>
      </c>
      <c r="D1479">
        <v>1</v>
      </c>
      <c r="E1479" s="1">
        <v>499.99</v>
      </c>
      <c r="F1479" s="1">
        <v>7.0000000000000007E-2</v>
      </c>
      <c r="G1479">
        <v>499.99</v>
      </c>
      <c r="H1479" s="22">
        <f>VLOOKUP(A1479,[1]Orders!$A$2:$B$1616,2,0)</f>
        <v>42671</v>
      </c>
      <c r="J1479" t="s">
        <v>35</v>
      </c>
      <c r="K1479" t="s">
        <v>37</v>
      </c>
    </row>
    <row r="1480" spans="1:11" x14ac:dyDescent="0.3">
      <c r="A1480">
        <v>532</v>
      </c>
      <c r="B1480">
        <v>1</v>
      </c>
      <c r="C1480">
        <v>17</v>
      </c>
      <c r="D1480">
        <v>2</v>
      </c>
      <c r="E1480" s="1">
        <v>429</v>
      </c>
      <c r="F1480" s="1">
        <v>7.0000000000000007E-2</v>
      </c>
      <c r="G1480">
        <v>858</v>
      </c>
      <c r="H1480" s="22">
        <f>VLOOKUP(A1480,[1]Orders!$A$2:$B$1616,2,0)</f>
        <v>42672</v>
      </c>
      <c r="J1480" t="s">
        <v>23</v>
      </c>
      <c r="K1480" t="s">
        <v>18</v>
      </c>
    </row>
    <row r="1481" spans="1:11" x14ac:dyDescent="0.3">
      <c r="A1481">
        <v>532</v>
      </c>
      <c r="B1481">
        <v>2</v>
      </c>
      <c r="C1481">
        <v>16</v>
      </c>
      <c r="D1481">
        <v>2</v>
      </c>
      <c r="E1481" s="1">
        <v>599.99</v>
      </c>
      <c r="F1481" s="1">
        <v>0.2</v>
      </c>
      <c r="G1481">
        <v>1199.98</v>
      </c>
      <c r="H1481" s="22">
        <f>VLOOKUP(A1481,[1]Orders!$A$2:$B$1616,2,0)</f>
        <v>42672</v>
      </c>
      <c r="J1481" t="s">
        <v>14</v>
      </c>
      <c r="K1481" t="s">
        <v>18</v>
      </c>
    </row>
    <row r="1482" spans="1:11" x14ac:dyDescent="0.3">
      <c r="A1482">
        <v>532</v>
      </c>
      <c r="B1482">
        <v>3</v>
      </c>
      <c r="C1482">
        <v>12</v>
      </c>
      <c r="D1482">
        <v>1</v>
      </c>
      <c r="E1482" s="1">
        <v>549.99</v>
      </c>
      <c r="F1482" s="1">
        <v>0.1</v>
      </c>
      <c r="G1482">
        <v>549.99</v>
      </c>
      <c r="H1482" s="22">
        <f>VLOOKUP(A1482,[1]Orders!$A$2:$B$1616,2,0)</f>
        <v>42672</v>
      </c>
      <c r="J1482" t="s">
        <v>25</v>
      </c>
      <c r="K1482" t="s">
        <v>18</v>
      </c>
    </row>
    <row r="1483" spans="1:11" x14ac:dyDescent="0.3">
      <c r="A1483">
        <v>533</v>
      </c>
      <c r="B1483">
        <v>1</v>
      </c>
      <c r="C1483">
        <v>4</v>
      </c>
      <c r="D1483">
        <v>1</v>
      </c>
      <c r="E1483" s="1">
        <v>2899.99</v>
      </c>
      <c r="F1483" s="1">
        <v>0.2</v>
      </c>
      <c r="G1483">
        <v>2899.99</v>
      </c>
      <c r="H1483" s="22">
        <f>VLOOKUP(A1483,[1]Orders!$A$2:$B$1616,2,0)</f>
        <v>42672</v>
      </c>
      <c r="J1483" t="s">
        <v>16</v>
      </c>
      <c r="K1483" t="s">
        <v>18</v>
      </c>
    </row>
    <row r="1484" spans="1:11" x14ac:dyDescent="0.3">
      <c r="A1484">
        <v>533</v>
      </c>
      <c r="B1484">
        <v>2</v>
      </c>
      <c r="C1484">
        <v>12</v>
      </c>
      <c r="D1484">
        <v>2</v>
      </c>
      <c r="E1484" s="1">
        <v>549.99</v>
      </c>
      <c r="F1484" s="1">
        <v>0.1</v>
      </c>
      <c r="G1484">
        <v>1099.98</v>
      </c>
      <c r="H1484" s="22">
        <f>VLOOKUP(A1484,[1]Orders!$A$2:$B$1616,2,0)</f>
        <v>42672</v>
      </c>
      <c r="J1484" t="s">
        <v>25</v>
      </c>
      <c r="K1484" t="s">
        <v>18</v>
      </c>
    </row>
    <row r="1485" spans="1:11" x14ac:dyDescent="0.3">
      <c r="A1485">
        <v>533</v>
      </c>
      <c r="B1485">
        <v>3</v>
      </c>
      <c r="C1485">
        <v>10</v>
      </c>
      <c r="D1485">
        <v>1</v>
      </c>
      <c r="E1485" s="1">
        <v>1549</v>
      </c>
      <c r="F1485" s="1">
        <v>0.2</v>
      </c>
      <c r="G1485">
        <v>1549</v>
      </c>
      <c r="H1485" s="22">
        <f>VLOOKUP(A1485,[1]Orders!$A$2:$B$1616,2,0)</f>
        <v>42672</v>
      </c>
      <c r="J1485" t="s">
        <v>13</v>
      </c>
      <c r="K1485" t="s">
        <v>18</v>
      </c>
    </row>
    <row r="1486" spans="1:11" x14ac:dyDescent="0.3">
      <c r="A1486">
        <v>533</v>
      </c>
      <c r="B1486">
        <v>4</v>
      </c>
      <c r="C1486">
        <v>25</v>
      </c>
      <c r="D1486">
        <v>1</v>
      </c>
      <c r="E1486" s="1">
        <v>499.99</v>
      </c>
      <c r="F1486" s="1">
        <v>0.05</v>
      </c>
      <c r="G1486">
        <v>499.99</v>
      </c>
      <c r="H1486" s="22">
        <f>VLOOKUP(A1486,[1]Orders!$A$2:$B$1616,2,0)</f>
        <v>42672</v>
      </c>
      <c r="J1486" t="s">
        <v>35</v>
      </c>
      <c r="K1486" t="s">
        <v>18</v>
      </c>
    </row>
    <row r="1487" spans="1:11" x14ac:dyDescent="0.3">
      <c r="A1487">
        <v>534</v>
      </c>
      <c r="B1487">
        <v>1</v>
      </c>
      <c r="C1487">
        <v>21</v>
      </c>
      <c r="D1487">
        <v>2</v>
      </c>
      <c r="E1487" s="1">
        <v>269.99</v>
      </c>
      <c r="F1487" s="1">
        <v>0.05</v>
      </c>
      <c r="G1487">
        <v>539.98</v>
      </c>
      <c r="H1487" s="22">
        <f>VLOOKUP(A1487,[1]Orders!$A$2:$B$1616,2,0)</f>
        <v>42672</v>
      </c>
      <c r="J1487" t="s">
        <v>31</v>
      </c>
      <c r="K1487" t="s">
        <v>18</v>
      </c>
    </row>
    <row r="1488" spans="1:11" x14ac:dyDescent="0.3">
      <c r="A1488">
        <v>534</v>
      </c>
      <c r="B1488">
        <v>2</v>
      </c>
      <c r="C1488">
        <v>9</v>
      </c>
      <c r="D1488">
        <v>2</v>
      </c>
      <c r="E1488" s="1">
        <v>2999.99</v>
      </c>
      <c r="F1488" s="1">
        <v>0.05</v>
      </c>
      <c r="G1488">
        <v>5999.98</v>
      </c>
      <c r="H1488" s="22">
        <f>VLOOKUP(A1488,[1]Orders!$A$2:$B$1616,2,0)</f>
        <v>42672</v>
      </c>
      <c r="J1488" t="s">
        <v>26</v>
      </c>
      <c r="K1488" t="s">
        <v>18</v>
      </c>
    </row>
    <row r="1489" spans="1:11" x14ac:dyDescent="0.3">
      <c r="A1489">
        <v>534</v>
      </c>
      <c r="B1489">
        <v>3</v>
      </c>
      <c r="C1489">
        <v>2</v>
      </c>
      <c r="D1489">
        <v>1</v>
      </c>
      <c r="E1489" s="1">
        <v>749.99</v>
      </c>
      <c r="F1489" s="1">
        <v>7.0000000000000007E-2</v>
      </c>
      <c r="G1489">
        <v>749.99</v>
      </c>
      <c r="H1489" s="22">
        <f>VLOOKUP(A1489,[1]Orders!$A$2:$B$1616,2,0)</f>
        <v>42672</v>
      </c>
      <c r="J1489" t="s">
        <v>22</v>
      </c>
      <c r="K1489" t="s">
        <v>18</v>
      </c>
    </row>
    <row r="1490" spans="1:11" x14ac:dyDescent="0.3">
      <c r="A1490">
        <v>534</v>
      </c>
      <c r="B1490">
        <v>4</v>
      </c>
      <c r="C1490">
        <v>24</v>
      </c>
      <c r="D1490">
        <v>2</v>
      </c>
      <c r="E1490" s="1">
        <v>549.99</v>
      </c>
      <c r="F1490" s="1">
        <v>0.1</v>
      </c>
      <c r="G1490">
        <v>1099.98</v>
      </c>
      <c r="H1490" s="22">
        <f>VLOOKUP(A1490,[1]Orders!$A$2:$B$1616,2,0)</f>
        <v>42672</v>
      </c>
      <c r="J1490" t="s">
        <v>25</v>
      </c>
      <c r="K1490" t="s">
        <v>18</v>
      </c>
    </row>
    <row r="1491" spans="1:11" x14ac:dyDescent="0.3">
      <c r="A1491">
        <v>535</v>
      </c>
      <c r="B1491">
        <v>1</v>
      </c>
      <c r="C1491">
        <v>24</v>
      </c>
      <c r="D1491">
        <v>1</v>
      </c>
      <c r="E1491" s="1">
        <v>549.99</v>
      </c>
      <c r="F1491" s="1">
        <v>0.05</v>
      </c>
      <c r="G1491">
        <v>549.99</v>
      </c>
      <c r="H1491" s="22">
        <f>VLOOKUP(A1491,[1]Orders!$A$2:$B$1616,2,0)</f>
        <v>42672</v>
      </c>
      <c r="J1491" t="s">
        <v>25</v>
      </c>
      <c r="K1491" t="s">
        <v>37</v>
      </c>
    </row>
    <row r="1492" spans="1:11" x14ac:dyDescent="0.3">
      <c r="A1492">
        <v>535</v>
      </c>
      <c r="B1492">
        <v>2</v>
      </c>
      <c r="C1492">
        <v>15</v>
      </c>
      <c r="D1492">
        <v>1</v>
      </c>
      <c r="E1492" s="1">
        <v>529.99</v>
      </c>
      <c r="F1492" s="1">
        <v>0.1</v>
      </c>
      <c r="G1492">
        <v>529.99</v>
      </c>
      <c r="H1492" s="22">
        <f>VLOOKUP(A1492,[1]Orders!$A$2:$B$1616,2,0)</f>
        <v>42672</v>
      </c>
      <c r="J1492" t="s">
        <v>27</v>
      </c>
      <c r="K1492" t="s">
        <v>37</v>
      </c>
    </row>
    <row r="1493" spans="1:11" x14ac:dyDescent="0.3">
      <c r="A1493">
        <v>535</v>
      </c>
      <c r="B1493">
        <v>3</v>
      </c>
      <c r="C1493">
        <v>22</v>
      </c>
      <c r="D1493">
        <v>2</v>
      </c>
      <c r="E1493" s="1">
        <v>269.99</v>
      </c>
      <c r="F1493" s="1">
        <v>0.1</v>
      </c>
      <c r="G1493">
        <v>539.98</v>
      </c>
      <c r="H1493" s="22">
        <f>VLOOKUP(A1493,[1]Orders!$A$2:$B$1616,2,0)</f>
        <v>42672</v>
      </c>
      <c r="J1493" t="s">
        <v>28</v>
      </c>
      <c r="K1493" t="s">
        <v>37</v>
      </c>
    </row>
    <row r="1494" spans="1:11" x14ac:dyDescent="0.3">
      <c r="A1494">
        <v>536</v>
      </c>
      <c r="B1494">
        <v>1</v>
      </c>
      <c r="C1494">
        <v>22</v>
      </c>
      <c r="D1494">
        <v>1</v>
      </c>
      <c r="E1494" s="1">
        <v>269.99</v>
      </c>
      <c r="F1494" s="1">
        <v>0.1</v>
      </c>
      <c r="G1494">
        <v>269.99</v>
      </c>
      <c r="H1494" s="22">
        <f>VLOOKUP(A1494,[1]Orders!$A$2:$B$1616,2,0)</f>
        <v>42674</v>
      </c>
      <c r="J1494" t="s">
        <v>28</v>
      </c>
      <c r="K1494" t="s">
        <v>11</v>
      </c>
    </row>
    <row r="1495" spans="1:11" x14ac:dyDescent="0.3">
      <c r="A1495">
        <v>536</v>
      </c>
      <c r="B1495">
        <v>2</v>
      </c>
      <c r="C1495">
        <v>2</v>
      </c>
      <c r="D1495">
        <v>1</v>
      </c>
      <c r="E1495" s="1">
        <v>749.99</v>
      </c>
      <c r="F1495" s="1">
        <v>0.1</v>
      </c>
      <c r="G1495">
        <v>749.99</v>
      </c>
      <c r="H1495" s="22">
        <f>VLOOKUP(A1495,[1]Orders!$A$2:$B$1616,2,0)</f>
        <v>42674</v>
      </c>
      <c r="J1495" t="s">
        <v>22</v>
      </c>
      <c r="K1495" t="s">
        <v>11</v>
      </c>
    </row>
    <row r="1496" spans="1:11" x14ac:dyDescent="0.3">
      <c r="A1496">
        <v>536</v>
      </c>
      <c r="B1496">
        <v>3</v>
      </c>
      <c r="C1496">
        <v>12</v>
      </c>
      <c r="D1496">
        <v>2</v>
      </c>
      <c r="E1496" s="1">
        <v>549.99</v>
      </c>
      <c r="F1496" s="1">
        <v>0.05</v>
      </c>
      <c r="G1496">
        <v>1099.98</v>
      </c>
      <c r="H1496" s="22">
        <f>VLOOKUP(A1496,[1]Orders!$A$2:$B$1616,2,0)</f>
        <v>42674</v>
      </c>
      <c r="J1496" t="s">
        <v>25</v>
      </c>
      <c r="K1496" t="s">
        <v>11</v>
      </c>
    </row>
    <row r="1497" spans="1:11" x14ac:dyDescent="0.3">
      <c r="A1497">
        <v>536</v>
      </c>
      <c r="B1497">
        <v>4</v>
      </c>
      <c r="C1497">
        <v>14</v>
      </c>
      <c r="D1497">
        <v>1</v>
      </c>
      <c r="E1497" s="1">
        <v>269.99</v>
      </c>
      <c r="F1497" s="1">
        <v>7.0000000000000007E-2</v>
      </c>
      <c r="G1497">
        <v>269.99</v>
      </c>
      <c r="H1497" s="22">
        <f>VLOOKUP(A1497,[1]Orders!$A$2:$B$1616,2,0)</f>
        <v>42674</v>
      </c>
      <c r="J1497" t="s">
        <v>28</v>
      </c>
      <c r="K1497" t="s">
        <v>11</v>
      </c>
    </row>
    <row r="1498" spans="1:11" x14ac:dyDescent="0.3">
      <c r="A1498">
        <v>537</v>
      </c>
      <c r="B1498">
        <v>1</v>
      </c>
      <c r="C1498">
        <v>10</v>
      </c>
      <c r="D1498">
        <v>1</v>
      </c>
      <c r="E1498" s="1">
        <v>1549</v>
      </c>
      <c r="F1498" s="1">
        <v>0.05</v>
      </c>
      <c r="G1498">
        <v>1549</v>
      </c>
      <c r="H1498" s="22">
        <f>VLOOKUP(A1498,[1]Orders!$A$2:$B$1616,2,0)</f>
        <v>42674</v>
      </c>
      <c r="J1498" t="s">
        <v>13</v>
      </c>
      <c r="K1498" t="s">
        <v>11</v>
      </c>
    </row>
    <row r="1499" spans="1:11" x14ac:dyDescent="0.3">
      <c r="A1499">
        <v>537</v>
      </c>
      <c r="B1499">
        <v>2</v>
      </c>
      <c r="C1499">
        <v>26</v>
      </c>
      <c r="D1499">
        <v>1</v>
      </c>
      <c r="E1499" s="1">
        <v>599.99</v>
      </c>
      <c r="F1499" s="1">
        <v>0.05</v>
      </c>
      <c r="G1499">
        <v>599.99</v>
      </c>
      <c r="H1499" s="22">
        <f>VLOOKUP(A1499,[1]Orders!$A$2:$B$1616,2,0)</f>
        <v>42674</v>
      </c>
      <c r="J1499" t="s">
        <v>14</v>
      </c>
      <c r="K1499" t="s">
        <v>11</v>
      </c>
    </row>
    <row r="1500" spans="1:11" x14ac:dyDescent="0.3">
      <c r="A1500">
        <v>537</v>
      </c>
      <c r="B1500">
        <v>3</v>
      </c>
      <c r="C1500">
        <v>17</v>
      </c>
      <c r="D1500">
        <v>2</v>
      </c>
      <c r="E1500" s="1">
        <v>429</v>
      </c>
      <c r="F1500" s="1">
        <v>0.1</v>
      </c>
      <c r="G1500">
        <v>858</v>
      </c>
      <c r="H1500" s="22">
        <f>VLOOKUP(A1500,[1]Orders!$A$2:$B$1616,2,0)</f>
        <v>42674</v>
      </c>
      <c r="J1500" t="s">
        <v>23</v>
      </c>
      <c r="K1500" t="s">
        <v>11</v>
      </c>
    </row>
    <row r="1501" spans="1:11" x14ac:dyDescent="0.3">
      <c r="A1501">
        <v>537</v>
      </c>
      <c r="B1501">
        <v>4</v>
      </c>
      <c r="C1501">
        <v>25</v>
      </c>
      <c r="D1501">
        <v>2</v>
      </c>
      <c r="E1501" s="1">
        <v>499.99</v>
      </c>
      <c r="F1501" s="1">
        <v>0.2</v>
      </c>
      <c r="G1501">
        <v>999.98</v>
      </c>
      <c r="H1501" s="22">
        <f>VLOOKUP(A1501,[1]Orders!$A$2:$B$1616,2,0)</f>
        <v>42674</v>
      </c>
      <c r="J1501" t="s">
        <v>35</v>
      </c>
      <c r="K1501" t="s">
        <v>11</v>
      </c>
    </row>
    <row r="1502" spans="1:11" x14ac:dyDescent="0.3">
      <c r="A1502">
        <v>538</v>
      </c>
      <c r="B1502">
        <v>1</v>
      </c>
      <c r="C1502">
        <v>2</v>
      </c>
      <c r="D1502">
        <v>2</v>
      </c>
      <c r="E1502" s="1">
        <v>749.99</v>
      </c>
      <c r="F1502" s="1">
        <v>0.2</v>
      </c>
      <c r="G1502">
        <v>1499.98</v>
      </c>
      <c r="H1502" s="22">
        <f>VLOOKUP(A1502,[1]Orders!$A$2:$B$1616,2,0)</f>
        <v>42676</v>
      </c>
      <c r="J1502" t="s">
        <v>22</v>
      </c>
      <c r="K1502" t="s">
        <v>18</v>
      </c>
    </row>
    <row r="1503" spans="1:11" x14ac:dyDescent="0.3">
      <c r="A1503">
        <v>539</v>
      </c>
      <c r="B1503">
        <v>1</v>
      </c>
      <c r="C1503">
        <v>9</v>
      </c>
      <c r="D1503">
        <v>2</v>
      </c>
      <c r="E1503" s="1">
        <v>2999.99</v>
      </c>
      <c r="F1503" s="1">
        <v>0.1</v>
      </c>
      <c r="G1503">
        <v>5999.98</v>
      </c>
      <c r="H1503" s="22">
        <f>VLOOKUP(A1503,[1]Orders!$A$2:$B$1616,2,0)</f>
        <v>42676</v>
      </c>
      <c r="J1503" t="s">
        <v>26</v>
      </c>
      <c r="K1503" t="s">
        <v>18</v>
      </c>
    </row>
    <row r="1504" spans="1:11" x14ac:dyDescent="0.3">
      <c r="A1504">
        <v>539</v>
      </c>
      <c r="B1504">
        <v>2</v>
      </c>
      <c r="C1504">
        <v>23</v>
      </c>
      <c r="D1504">
        <v>1</v>
      </c>
      <c r="E1504" s="1">
        <v>299.99</v>
      </c>
      <c r="F1504" s="1">
        <v>0.05</v>
      </c>
      <c r="G1504">
        <v>299.99</v>
      </c>
      <c r="H1504" s="22">
        <f>VLOOKUP(A1504,[1]Orders!$A$2:$B$1616,2,0)</f>
        <v>42676</v>
      </c>
      <c r="J1504" t="s">
        <v>33</v>
      </c>
      <c r="K1504" t="s">
        <v>18</v>
      </c>
    </row>
    <row r="1505" spans="1:11" x14ac:dyDescent="0.3">
      <c r="A1505">
        <v>539</v>
      </c>
      <c r="B1505">
        <v>3</v>
      </c>
      <c r="C1505">
        <v>21</v>
      </c>
      <c r="D1505">
        <v>2</v>
      </c>
      <c r="E1505" s="1">
        <v>269.99</v>
      </c>
      <c r="F1505" s="1">
        <v>7.0000000000000007E-2</v>
      </c>
      <c r="G1505">
        <v>539.98</v>
      </c>
      <c r="H1505" s="22">
        <f>VLOOKUP(A1505,[1]Orders!$A$2:$B$1616,2,0)</f>
        <v>42676</v>
      </c>
      <c r="J1505" t="s">
        <v>31</v>
      </c>
      <c r="K1505" t="s">
        <v>18</v>
      </c>
    </row>
    <row r="1506" spans="1:11" x14ac:dyDescent="0.3">
      <c r="A1506">
        <v>540</v>
      </c>
      <c r="B1506">
        <v>1</v>
      </c>
      <c r="C1506">
        <v>19</v>
      </c>
      <c r="D1506">
        <v>1</v>
      </c>
      <c r="E1506" s="1">
        <v>449</v>
      </c>
      <c r="F1506" s="1">
        <v>0.1</v>
      </c>
      <c r="G1506">
        <v>449</v>
      </c>
      <c r="H1506" s="22">
        <f>VLOOKUP(A1506,[1]Orders!$A$2:$B$1616,2,0)</f>
        <v>42677</v>
      </c>
      <c r="J1506" t="s">
        <v>36</v>
      </c>
      <c r="K1506" t="s">
        <v>11</v>
      </c>
    </row>
    <row r="1507" spans="1:11" x14ac:dyDescent="0.3">
      <c r="A1507">
        <v>540</v>
      </c>
      <c r="B1507">
        <v>2</v>
      </c>
      <c r="C1507">
        <v>26</v>
      </c>
      <c r="D1507">
        <v>2</v>
      </c>
      <c r="E1507" s="1">
        <v>599.99</v>
      </c>
      <c r="F1507" s="1">
        <v>0.1</v>
      </c>
      <c r="G1507">
        <v>1199.98</v>
      </c>
      <c r="H1507" s="22">
        <f>VLOOKUP(A1507,[1]Orders!$A$2:$B$1616,2,0)</f>
        <v>42677</v>
      </c>
      <c r="J1507" t="s">
        <v>14</v>
      </c>
      <c r="K1507" t="s">
        <v>11</v>
      </c>
    </row>
    <row r="1508" spans="1:11" x14ac:dyDescent="0.3">
      <c r="A1508">
        <v>540</v>
      </c>
      <c r="B1508">
        <v>3</v>
      </c>
      <c r="C1508">
        <v>23</v>
      </c>
      <c r="D1508">
        <v>2</v>
      </c>
      <c r="E1508" s="1">
        <v>299.99</v>
      </c>
      <c r="F1508" s="1">
        <v>7.0000000000000007E-2</v>
      </c>
      <c r="G1508">
        <v>599.98</v>
      </c>
      <c r="H1508" s="22">
        <f>VLOOKUP(A1508,[1]Orders!$A$2:$B$1616,2,0)</f>
        <v>42677</v>
      </c>
      <c r="J1508" t="s">
        <v>33</v>
      </c>
      <c r="K1508" t="s">
        <v>11</v>
      </c>
    </row>
    <row r="1509" spans="1:11" x14ac:dyDescent="0.3">
      <c r="A1509">
        <v>541</v>
      </c>
      <c r="B1509">
        <v>1</v>
      </c>
      <c r="C1509">
        <v>22</v>
      </c>
      <c r="D1509">
        <v>2</v>
      </c>
      <c r="E1509" s="1">
        <v>269.99</v>
      </c>
      <c r="F1509" s="1">
        <v>0.05</v>
      </c>
      <c r="G1509">
        <v>539.98</v>
      </c>
      <c r="H1509" s="22">
        <f>VLOOKUP(A1509,[1]Orders!$A$2:$B$1616,2,0)</f>
        <v>42678</v>
      </c>
      <c r="J1509" t="s">
        <v>28</v>
      </c>
      <c r="K1509" t="s">
        <v>11</v>
      </c>
    </row>
    <row r="1510" spans="1:11" x14ac:dyDescent="0.3">
      <c r="A1510">
        <v>542</v>
      </c>
      <c r="B1510">
        <v>1</v>
      </c>
      <c r="C1510">
        <v>16</v>
      </c>
      <c r="D1510">
        <v>2</v>
      </c>
      <c r="E1510" s="1">
        <v>599.99</v>
      </c>
      <c r="F1510" s="1">
        <v>0.2</v>
      </c>
      <c r="G1510">
        <v>1199.98</v>
      </c>
      <c r="H1510" s="22">
        <f>VLOOKUP(A1510,[1]Orders!$A$2:$B$1616,2,0)</f>
        <v>42678</v>
      </c>
      <c r="J1510" t="s">
        <v>14</v>
      </c>
      <c r="K1510" t="s">
        <v>18</v>
      </c>
    </row>
    <row r="1511" spans="1:11" x14ac:dyDescent="0.3">
      <c r="A1511">
        <v>542</v>
      </c>
      <c r="B1511">
        <v>2</v>
      </c>
      <c r="C1511">
        <v>9</v>
      </c>
      <c r="D1511">
        <v>1</v>
      </c>
      <c r="E1511" s="1">
        <v>2999.99</v>
      </c>
      <c r="F1511" s="1">
        <v>0.1</v>
      </c>
      <c r="G1511">
        <v>2999.99</v>
      </c>
      <c r="H1511" s="22">
        <f>VLOOKUP(A1511,[1]Orders!$A$2:$B$1616,2,0)</f>
        <v>42678</v>
      </c>
      <c r="J1511" t="s">
        <v>26</v>
      </c>
      <c r="K1511" t="s">
        <v>18</v>
      </c>
    </row>
    <row r="1512" spans="1:11" x14ac:dyDescent="0.3">
      <c r="A1512">
        <v>542</v>
      </c>
      <c r="B1512">
        <v>3</v>
      </c>
      <c r="C1512">
        <v>20</v>
      </c>
      <c r="D1512">
        <v>1</v>
      </c>
      <c r="E1512" s="1">
        <v>599.99</v>
      </c>
      <c r="F1512" s="1">
        <v>0.1</v>
      </c>
      <c r="G1512">
        <v>599.99</v>
      </c>
      <c r="H1512" s="22">
        <f>VLOOKUP(A1512,[1]Orders!$A$2:$B$1616,2,0)</f>
        <v>42678</v>
      </c>
      <c r="J1512" t="s">
        <v>10</v>
      </c>
      <c r="K1512" t="s">
        <v>18</v>
      </c>
    </row>
    <row r="1513" spans="1:11" x14ac:dyDescent="0.3">
      <c r="A1513">
        <v>542</v>
      </c>
      <c r="B1513">
        <v>4</v>
      </c>
      <c r="C1513">
        <v>19</v>
      </c>
      <c r="D1513">
        <v>2</v>
      </c>
      <c r="E1513" s="1">
        <v>449</v>
      </c>
      <c r="F1513" s="1">
        <v>0.2</v>
      </c>
      <c r="G1513">
        <v>898</v>
      </c>
      <c r="H1513" s="22">
        <f>VLOOKUP(A1513,[1]Orders!$A$2:$B$1616,2,0)</f>
        <v>42678</v>
      </c>
      <c r="J1513" t="s">
        <v>36</v>
      </c>
      <c r="K1513" t="s">
        <v>18</v>
      </c>
    </row>
    <row r="1514" spans="1:11" x14ac:dyDescent="0.3">
      <c r="A1514">
        <v>543</v>
      </c>
      <c r="B1514">
        <v>1</v>
      </c>
      <c r="C1514">
        <v>25</v>
      </c>
      <c r="D1514">
        <v>1</v>
      </c>
      <c r="E1514" s="1">
        <v>499.99</v>
      </c>
      <c r="F1514" s="1">
        <v>0.2</v>
      </c>
      <c r="G1514">
        <v>499.99</v>
      </c>
      <c r="H1514" s="22">
        <f>VLOOKUP(A1514,[1]Orders!$A$2:$B$1616,2,0)</f>
        <v>42680</v>
      </c>
      <c r="J1514" t="s">
        <v>35</v>
      </c>
      <c r="K1514" t="s">
        <v>18</v>
      </c>
    </row>
    <row r="1515" spans="1:11" x14ac:dyDescent="0.3">
      <c r="A1515">
        <v>543</v>
      </c>
      <c r="B1515">
        <v>2</v>
      </c>
      <c r="C1515">
        <v>18</v>
      </c>
      <c r="D1515">
        <v>1</v>
      </c>
      <c r="E1515" s="1">
        <v>449</v>
      </c>
      <c r="F1515" s="1">
        <v>0.2</v>
      </c>
      <c r="G1515">
        <v>449</v>
      </c>
      <c r="H1515" s="22">
        <f>VLOOKUP(A1515,[1]Orders!$A$2:$B$1616,2,0)</f>
        <v>42680</v>
      </c>
      <c r="J1515" t="s">
        <v>24</v>
      </c>
      <c r="K1515" t="s">
        <v>18</v>
      </c>
    </row>
    <row r="1516" spans="1:11" x14ac:dyDescent="0.3">
      <c r="A1516">
        <v>543</v>
      </c>
      <c r="B1516">
        <v>3</v>
      </c>
      <c r="C1516">
        <v>26</v>
      </c>
      <c r="D1516">
        <v>2</v>
      </c>
      <c r="E1516" s="1">
        <v>599.99</v>
      </c>
      <c r="F1516" s="1">
        <v>0.05</v>
      </c>
      <c r="G1516">
        <v>1199.98</v>
      </c>
      <c r="H1516" s="22">
        <f>VLOOKUP(A1516,[1]Orders!$A$2:$B$1616,2,0)</f>
        <v>42680</v>
      </c>
      <c r="J1516" t="s">
        <v>14</v>
      </c>
      <c r="K1516" t="s">
        <v>18</v>
      </c>
    </row>
    <row r="1517" spans="1:11" x14ac:dyDescent="0.3">
      <c r="A1517">
        <v>544</v>
      </c>
      <c r="B1517">
        <v>1</v>
      </c>
      <c r="C1517">
        <v>12</v>
      </c>
      <c r="D1517">
        <v>1</v>
      </c>
      <c r="E1517" s="1">
        <v>549.99</v>
      </c>
      <c r="F1517" s="1">
        <v>0.05</v>
      </c>
      <c r="G1517">
        <v>549.99</v>
      </c>
      <c r="H1517" s="22">
        <f>VLOOKUP(A1517,[1]Orders!$A$2:$B$1616,2,0)</f>
        <v>42680</v>
      </c>
      <c r="J1517" t="s">
        <v>25</v>
      </c>
      <c r="K1517" t="s">
        <v>18</v>
      </c>
    </row>
    <row r="1518" spans="1:11" x14ac:dyDescent="0.3">
      <c r="A1518">
        <v>544</v>
      </c>
      <c r="B1518">
        <v>2</v>
      </c>
      <c r="C1518">
        <v>17</v>
      </c>
      <c r="D1518">
        <v>1</v>
      </c>
      <c r="E1518" s="1">
        <v>429</v>
      </c>
      <c r="F1518" s="1">
        <v>0.1</v>
      </c>
      <c r="G1518">
        <v>429</v>
      </c>
      <c r="H1518" s="22">
        <f>VLOOKUP(A1518,[1]Orders!$A$2:$B$1616,2,0)</f>
        <v>42680</v>
      </c>
      <c r="J1518" t="s">
        <v>23</v>
      </c>
      <c r="K1518" t="s">
        <v>18</v>
      </c>
    </row>
    <row r="1519" spans="1:11" x14ac:dyDescent="0.3">
      <c r="A1519">
        <v>544</v>
      </c>
      <c r="B1519">
        <v>3</v>
      </c>
      <c r="C1519">
        <v>21</v>
      </c>
      <c r="D1519">
        <v>1</v>
      </c>
      <c r="E1519" s="1">
        <v>269.99</v>
      </c>
      <c r="F1519" s="1">
        <v>0.05</v>
      </c>
      <c r="G1519">
        <v>269.99</v>
      </c>
      <c r="H1519" s="22">
        <f>VLOOKUP(A1519,[1]Orders!$A$2:$B$1616,2,0)</f>
        <v>42680</v>
      </c>
      <c r="J1519" t="s">
        <v>31</v>
      </c>
      <c r="K1519" t="s">
        <v>18</v>
      </c>
    </row>
    <row r="1520" spans="1:11" x14ac:dyDescent="0.3">
      <c r="A1520">
        <v>545</v>
      </c>
      <c r="B1520">
        <v>1</v>
      </c>
      <c r="C1520">
        <v>25</v>
      </c>
      <c r="D1520">
        <v>2</v>
      </c>
      <c r="E1520" s="1">
        <v>499.99</v>
      </c>
      <c r="F1520" s="1">
        <v>0.2</v>
      </c>
      <c r="G1520">
        <v>999.98</v>
      </c>
      <c r="H1520" s="22">
        <f>VLOOKUP(A1520,[1]Orders!$A$2:$B$1616,2,0)</f>
        <v>42682</v>
      </c>
      <c r="J1520" t="s">
        <v>35</v>
      </c>
      <c r="K1520" t="s">
        <v>37</v>
      </c>
    </row>
    <row r="1521" spans="1:11" x14ac:dyDescent="0.3">
      <c r="A1521">
        <v>545</v>
      </c>
      <c r="B1521">
        <v>2</v>
      </c>
      <c r="C1521">
        <v>6</v>
      </c>
      <c r="D1521">
        <v>1</v>
      </c>
      <c r="E1521" s="1">
        <v>469.99</v>
      </c>
      <c r="F1521" s="1">
        <v>7.0000000000000007E-2</v>
      </c>
      <c r="G1521">
        <v>469.99</v>
      </c>
      <c r="H1521" s="22">
        <f>VLOOKUP(A1521,[1]Orders!$A$2:$B$1616,2,0)</f>
        <v>42682</v>
      </c>
      <c r="J1521" t="s">
        <v>32</v>
      </c>
      <c r="K1521" t="s">
        <v>37</v>
      </c>
    </row>
    <row r="1522" spans="1:11" x14ac:dyDescent="0.3">
      <c r="A1522">
        <v>545</v>
      </c>
      <c r="B1522">
        <v>3</v>
      </c>
      <c r="C1522">
        <v>24</v>
      </c>
      <c r="D1522">
        <v>1</v>
      </c>
      <c r="E1522" s="1">
        <v>549.99</v>
      </c>
      <c r="F1522" s="1">
        <v>0.2</v>
      </c>
      <c r="G1522">
        <v>549.99</v>
      </c>
      <c r="H1522" s="22">
        <f>VLOOKUP(A1522,[1]Orders!$A$2:$B$1616,2,0)</f>
        <v>42682</v>
      </c>
      <c r="J1522" t="s">
        <v>25</v>
      </c>
      <c r="K1522" t="s">
        <v>37</v>
      </c>
    </row>
    <row r="1523" spans="1:11" x14ac:dyDescent="0.3">
      <c r="A1523">
        <v>545</v>
      </c>
      <c r="B1523">
        <v>4</v>
      </c>
      <c r="C1523">
        <v>20</v>
      </c>
      <c r="D1523">
        <v>2</v>
      </c>
      <c r="E1523" s="1">
        <v>599.99</v>
      </c>
      <c r="F1523" s="1">
        <v>7.0000000000000007E-2</v>
      </c>
      <c r="G1523">
        <v>1199.98</v>
      </c>
      <c r="H1523" s="22">
        <f>VLOOKUP(A1523,[1]Orders!$A$2:$B$1616,2,0)</f>
        <v>42682</v>
      </c>
      <c r="J1523" t="s">
        <v>10</v>
      </c>
      <c r="K1523" t="s">
        <v>37</v>
      </c>
    </row>
    <row r="1524" spans="1:11" x14ac:dyDescent="0.3">
      <c r="A1524">
        <v>546</v>
      </c>
      <c r="B1524">
        <v>1</v>
      </c>
      <c r="C1524">
        <v>17</v>
      </c>
      <c r="D1524">
        <v>2</v>
      </c>
      <c r="E1524" s="1">
        <v>429</v>
      </c>
      <c r="F1524" s="1">
        <v>0.05</v>
      </c>
      <c r="G1524">
        <v>858</v>
      </c>
      <c r="H1524" s="22">
        <f>VLOOKUP(A1524,[1]Orders!$A$2:$B$1616,2,0)</f>
        <v>42683</v>
      </c>
      <c r="J1524" t="s">
        <v>23</v>
      </c>
      <c r="K1524" t="s">
        <v>18</v>
      </c>
    </row>
    <row r="1525" spans="1:11" x14ac:dyDescent="0.3">
      <c r="A1525">
        <v>546</v>
      </c>
      <c r="B1525">
        <v>2</v>
      </c>
      <c r="C1525">
        <v>8</v>
      </c>
      <c r="D1525">
        <v>1</v>
      </c>
      <c r="E1525" s="1">
        <v>1799.99</v>
      </c>
      <c r="F1525" s="1">
        <v>0.1</v>
      </c>
      <c r="G1525">
        <v>1799.99</v>
      </c>
      <c r="H1525" s="22">
        <f>VLOOKUP(A1525,[1]Orders!$A$2:$B$1616,2,0)</f>
        <v>42683</v>
      </c>
      <c r="J1525" t="s">
        <v>12</v>
      </c>
      <c r="K1525" t="s">
        <v>18</v>
      </c>
    </row>
    <row r="1526" spans="1:11" x14ac:dyDescent="0.3">
      <c r="A1526">
        <v>546</v>
      </c>
      <c r="B1526">
        <v>3</v>
      </c>
      <c r="C1526">
        <v>18</v>
      </c>
      <c r="D1526">
        <v>2</v>
      </c>
      <c r="E1526" s="1">
        <v>449</v>
      </c>
      <c r="F1526" s="1">
        <v>7.0000000000000007E-2</v>
      </c>
      <c r="G1526">
        <v>898</v>
      </c>
      <c r="H1526" s="22">
        <f>VLOOKUP(A1526,[1]Orders!$A$2:$B$1616,2,0)</f>
        <v>42683</v>
      </c>
      <c r="J1526" t="s">
        <v>24</v>
      </c>
      <c r="K1526" t="s">
        <v>18</v>
      </c>
    </row>
    <row r="1527" spans="1:11" x14ac:dyDescent="0.3">
      <c r="A1527">
        <v>547</v>
      </c>
      <c r="B1527">
        <v>1</v>
      </c>
      <c r="C1527">
        <v>11</v>
      </c>
      <c r="D1527">
        <v>2</v>
      </c>
      <c r="E1527" s="1">
        <v>1680.99</v>
      </c>
      <c r="F1527" s="1">
        <v>0.05</v>
      </c>
      <c r="G1527">
        <v>3361.98</v>
      </c>
      <c r="H1527" s="22">
        <f>VLOOKUP(A1527,[1]Orders!$A$2:$B$1616,2,0)</f>
        <v>42683</v>
      </c>
      <c r="J1527" t="s">
        <v>30</v>
      </c>
      <c r="K1527" t="s">
        <v>37</v>
      </c>
    </row>
    <row r="1528" spans="1:11" x14ac:dyDescent="0.3">
      <c r="A1528">
        <v>547</v>
      </c>
      <c r="B1528">
        <v>2</v>
      </c>
      <c r="C1528">
        <v>9</v>
      </c>
      <c r="D1528">
        <v>1</v>
      </c>
      <c r="E1528" s="1">
        <v>2999.99</v>
      </c>
      <c r="F1528" s="1">
        <v>0.2</v>
      </c>
      <c r="G1528">
        <v>2999.99</v>
      </c>
      <c r="H1528" s="22">
        <f>VLOOKUP(A1528,[1]Orders!$A$2:$B$1616,2,0)</f>
        <v>42683</v>
      </c>
      <c r="J1528" t="s">
        <v>26</v>
      </c>
      <c r="K1528" t="s">
        <v>37</v>
      </c>
    </row>
    <row r="1529" spans="1:11" x14ac:dyDescent="0.3">
      <c r="A1529">
        <v>547</v>
      </c>
      <c r="B1529">
        <v>3</v>
      </c>
      <c r="C1529">
        <v>5</v>
      </c>
      <c r="D1529">
        <v>1</v>
      </c>
      <c r="E1529" s="1">
        <v>1320.99</v>
      </c>
      <c r="F1529" s="1">
        <v>0.1</v>
      </c>
      <c r="G1529">
        <v>1320.99</v>
      </c>
      <c r="H1529" s="22">
        <f>VLOOKUP(A1529,[1]Orders!$A$2:$B$1616,2,0)</f>
        <v>42683</v>
      </c>
      <c r="J1529" t="s">
        <v>34</v>
      </c>
      <c r="K1529" t="s">
        <v>37</v>
      </c>
    </row>
    <row r="1530" spans="1:11" x14ac:dyDescent="0.3">
      <c r="A1530">
        <v>548</v>
      </c>
      <c r="B1530">
        <v>1</v>
      </c>
      <c r="C1530">
        <v>8</v>
      </c>
      <c r="D1530">
        <v>1</v>
      </c>
      <c r="E1530" s="1">
        <v>1799.99</v>
      </c>
      <c r="F1530" s="1">
        <v>0.1</v>
      </c>
      <c r="G1530">
        <v>1799.99</v>
      </c>
      <c r="H1530" s="22">
        <f>VLOOKUP(A1530,[1]Orders!$A$2:$B$1616,2,0)</f>
        <v>42685</v>
      </c>
      <c r="J1530" t="s">
        <v>12</v>
      </c>
      <c r="K1530" t="s">
        <v>18</v>
      </c>
    </row>
    <row r="1531" spans="1:11" x14ac:dyDescent="0.3">
      <c r="A1531">
        <v>548</v>
      </c>
      <c r="B1531">
        <v>2</v>
      </c>
      <c r="C1531">
        <v>11</v>
      </c>
      <c r="D1531">
        <v>2</v>
      </c>
      <c r="E1531" s="1">
        <v>1680.99</v>
      </c>
      <c r="F1531" s="1">
        <v>7.0000000000000007E-2</v>
      </c>
      <c r="G1531">
        <v>3361.98</v>
      </c>
      <c r="H1531" s="22">
        <f>VLOOKUP(A1531,[1]Orders!$A$2:$B$1616,2,0)</f>
        <v>42685</v>
      </c>
      <c r="J1531" t="s">
        <v>30</v>
      </c>
      <c r="K1531" t="s">
        <v>18</v>
      </c>
    </row>
    <row r="1532" spans="1:11" x14ac:dyDescent="0.3">
      <c r="A1532">
        <v>549</v>
      </c>
      <c r="B1532">
        <v>1</v>
      </c>
      <c r="C1532">
        <v>15</v>
      </c>
      <c r="D1532">
        <v>1</v>
      </c>
      <c r="E1532" s="1">
        <v>529.99</v>
      </c>
      <c r="F1532" s="1">
        <v>7.0000000000000007E-2</v>
      </c>
      <c r="G1532">
        <v>529.99</v>
      </c>
      <c r="H1532" s="22">
        <f>VLOOKUP(A1532,[1]Orders!$A$2:$B$1616,2,0)</f>
        <v>42686</v>
      </c>
      <c r="J1532" t="s">
        <v>27</v>
      </c>
      <c r="K1532" t="s">
        <v>37</v>
      </c>
    </row>
    <row r="1533" spans="1:11" x14ac:dyDescent="0.3">
      <c r="A1533">
        <v>549</v>
      </c>
      <c r="B1533">
        <v>2</v>
      </c>
      <c r="C1533">
        <v>16</v>
      </c>
      <c r="D1533">
        <v>1</v>
      </c>
      <c r="E1533" s="1">
        <v>599.99</v>
      </c>
      <c r="F1533" s="1">
        <v>0.05</v>
      </c>
      <c r="G1533">
        <v>599.99</v>
      </c>
      <c r="H1533" s="22">
        <f>VLOOKUP(A1533,[1]Orders!$A$2:$B$1616,2,0)</f>
        <v>42686</v>
      </c>
      <c r="J1533" t="s">
        <v>14</v>
      </c>
      <c r="K1533" t="s">
        <v>37</v>
      </c>
    </row>
    <row r="1534" spans="1:11" x14ac:dyDescent="0.3">
      <c r="A1534">
        <v>549</v>
      </c>
      <c r="B1534">
        <v>3</v>
      </c>
      <c r="C1534">
        <v>3</v>
      </c>
      <c r="D1534">
        <v>1</v>
      </c>
      <c r="E1534" s="1">
        <v>999.99</v>
      </c>
      <c r="F1534" s="1">
        <v>7.0000000000000007E-2</v>
      </c>
      <c r="G1534">
        <v>999.99</v>
      </c>
      <c r="H1534" s="22">
        <f>VLOOKUP(A1534,[1]Orders!$A$2:$B$1616,2,0)</f>
        <v>42686</v>
      </c>
      <c r="J1534" t="s">
        <v>20</v>
      </c>
      <c r="K1534" t="s">
        <v>37</v>
      </c>
    </row>
    <row r="1535" spans="1:11" x14ac:dyDescent="0.3">
      <c r="A1535">
        <v>549</v>
      </c>
      <c r="B1535">
        <v>4</v>
      </c>
      <c r="C1535">
        <v>7</v>
      </c>
      <c r="D1535">
        <v>1</v>
      </c>
      <c r="E1535" s="1">
        <v>3999.99</v>
      </c>
      <c r="F1535" s="1">
        <v>0.05</v>
      </c>
      <c r="G1535">
        <v>3999.99</v>
      </c>
      <c r="H1535" s="22">
        <f>VLOOKUP(A1535,[1]Orders!$A$2:$B$1616,2,0)</f>
        <v>42686</v>
      </c>
      <c r="J1535" t="s">
        <v>29</v>
      </c>
      <c r="K1535" t="s">
        <v>37</v>
      </c>
    </row>
    <row r="1536" spans="1:11" x14ac:dyDescent="0.3">
      <c r="A1536">
        <v>549</v>
      </c>
      <c r="B1536">
        <v>5</v>
      </c>
      <c r="C1536">
        <v>13</v>
      </c>
      <c r="D1536">
        <v>2</v>
      </c>
      <c r="E1536" s="1">
        <v>269.99</v>
      </c>
      <c r="F1536" s="1">
        <v>0.1</v>
      </c>
      <c r="G1536">
        <v>539.98</v>
      </c>
      <c r="H1536" s="22">
        <f>VLOOKUP(A1536,[1]Orders!$A$2:$B$1616,2,0)</f>
        <v>42686</v>
      </c>
      <c r="J1536" t="s">
        <v>31</v>
      </c>
      <c r="K1536" t="s">
        <v>37</v>
      </c>
    </row>
    <row r="1537" spans="1:11" x14ac:dyDescent="0.3">
      <c r="A1537">
        <v>550</v>
      </c>
      <c r="B1537">
        <v>1</v>
      </c>
      <c r="C1537">
        <v>4</v>
      </c>
      <c r="D1537">
        <v>1</v>
      </c>
      <c r="E1537" s="1">
        <v>2899.99</v>
      </c>
      <c r="F1537" s="1">
        <v>0.05</v>
      </c>
      <c r="G1537">
        <v>2899.99</v>
      </c>
      <c r="H1537" s="22">
        <f>VLOOKUP(A1537,[1]Orders!$A$2:$B$1616,2,0)</f>
        <v>42686</v>
      </c>
      <c r="J1537" t="s">
        <v>16</v>
      </c>
      <c r="K1537" t="s">
        <v>18</v>
      </c>
    </row>
    <row r="1538" spans="1:11" x14ac:dyDescent="0.3">
      <c r="A1538">
        <v>551</v>
      </c>
      <c r="B1538">
        <v>1</v>
      </c>
      <c r="C1538">
        <v>16</v>
      </c>
      <c r="D1538">
        <v>1</v>
      </c>
      <c r="E1538" s="1">
        <v>599.99</v>
      </c>
      <c r="F1538" s="1">
        <v>0.05</v>
      </c>
      <c r="G1538">
        <v>599.99</v>
      </c>
      <c r="H1538" s="22">
        <f>VLOOKUP(A1538,[1]Orders!$A$2:$B$1616,2,0)</f>
        <v>42686</v>
      </c>
      <c r="J1538" t="s">
        <v>14</v>
      </c>
      <c r="K1538" t="s">
        <v>18</v>
      </c>
    </row>
    <row r="1539" spans="1:11" x14ac:dyDescent="0.3">
      <c r="A1539">
        <v>551</v>
      </c>
      <c r="B1539">
        <v>2</v>
      </c>
      <c r="C1539">
        <v>26</v>
      </c>
      <c r="D1539">
        <v>1</v>
      </c>
      <c r="E1539" s="1">
        <v>599.99</v>
      </c>
      <c r="F1539" s="1">
        <v>7.0000000000000007E-2</v>
      </c>
      <c r="G1539">
        <v>599.99</v>
      </c>
      <c r="H1539" s="22">
        <f>VLOOKUP(A1539,[1]Orders!$A$2:$B$1616,2,0)</f>
        <v>42686</v>
      </c>
      <c r="J1539" t="s">
        <v>14</v>
      </c>
      <c r="K1539" t="s">
        <v>18</v>
      </c>
    </row>
    <row r="1540" spans="1:11" x14ac:dyDescent="0.3">
      <c r="A1540">
        <v>551</v>
      </c>
      <c r="B1540">
        <v>3</v>
      </c>
      <c r="C1540">
        <v>11</v>
      </c>
      <c r="D1540">
        <v>2</v>
      </c>
      <c r="E1540" s="1">
        <v>1680.99</v>
      </c>
      <c r="F1540" s="1">
        <v>0.2</v>
      </c>
      <c r="G1540">
        <v>3361.98</v>
      </c>
      <c r="H1540" s="22">
        <f>VLOOKUP(A1540,[1]Orders!$A$2:$B$1616,2,0)</f>
        <v>42686</v>
      </c>
      <c r="J1540" t="s">
        <v>30</v>
      </c>
      <c r="K1540" t="s">
        <v>18</v>
      </c>
    </row>
    <row r="1541" spans="1:11" x14ac:dyDescent="0.3">
      <c r="A1541">
        <v>551</v>
      </c>
      <c r="B1541">
        <v>4</v>
      </c>
      <c r="C1541">
        <v>15</v>
      </c>
      <c r="D1541">
        <v>2</v>
      </c>
      <c r="E1541" s="1">
        <v>529.99</v>
      </c>
      <c r="F1541" s="1">
        <v>0.2</v>
      </c>
      <c r="G1541">
        <v>1059.98</v>
      </c>
      <c r="H1541" s="22">
        <f>VLOOKUP(A1541,[1]Orders!$A$2:$B$1616,2,0)</f>
        <v>42686</v>
      </c>
      <c r="J1541" t="s">
        <v>27</v>
      </c>
      <c r="K1541" t="s">
        <v>18</v>
      </c>
    </row>
    <row r="1542" spans="1:11" x14ac:dyDescent="0.3">
      <c r="A1542">
        <v>552</v>
      </c>
      <c r="B1542">
        <v>1</v>
      </c>
      <c r="C1542">
        <v>23</v>
      </c>
      <c r="D1542">
        <v>1</v>
      </c>
      <c r="E1542" s="1">
        <v>299.99</v>
      </c>
      <c r="F1542" s="1">
        <v>0.2</v>
      </c>
      <c r="G1542">
        <v>299.99</v>
      </c>
      <c r="H1542" s="22">
        <f>VLOOKUP(A1542,[1]Orders!$A$2:$B$1616,2,0)</f>
        <v>42686</v>
      </c>
      <c r="J1542" t="s">
        <v>33</v>
      </c>
      <c r="K1542" t="s">
        <v>18</v>
      </c>
    </row>
    <row r="1543" spans="1:11" x14ac:dyDescent="0.3">
      <c r="A1543">
        <v>552</v>
      </c>
      <c r="B1543">
        <v>2</v>
      </c>
      <c r="C1543">
        <v>2</v>
      </c>
      <c r="D1543">
        <v>1</v>
      </c>
      <c r="E1543" s="1">
        <v>749.99</v>
      </c>
      <c r="F1543" s="1">
        <v>0.2</v>
      </c>
      <c r="G1543">
        <v>749.99</v>
      </c>
      <c r="H1543" s="22">
        <f>VLOOKUP(A1543,[1]Orders!$A$2:$B$1616,2,0)</f>
        <v>42686</v>
      </c>
      <c r="J1543" t="s">
        <v>22</v>
      </c>
      <c r="K1543" t="s">
        <v>18</v>
      </c>
    </row>
    <row r="1544" spans="1:11" x14ac:dyDescent="0.3">
      <c r="A1544">
        <v>552</v>
      </c>
      <c r="B1544">
        <v>3</v>
      </c>
      <c r="C1544">
        <v>24</v>
      </c>
      <c r="D1544">
        <v>1</v>
      </c>
      <c r="E1544" s="1">
        <v>549.99</v>
      </c>
      <c r="F1544" s="1">
        <v>0.2</v>
      </c>
      <c r="G1544">
        <v>549.99</v>
      </c>
      <c r="H1544" s="22">
        <f>VLOOKUP(A1544,[1]Orders!$A$2:$B$1616,2,0)</f>
        <v>42686</v>
      </c>
      <c r="J1544" t="s">
        <v>25</v>
      </c>
      <c r="K1544" t="s">
        <v>18</v>
      </c>
    </row>
    <row r="1545" spans="1:11" x14ac:dyDescent="0.3">
      <c r="A1545">
        <v>552</v>
      </c>
      <c r="B1545">
        <v>4</v>
      </c>
      <c r="C1545">
        <v>18</v>
      </c>
      <c r="D1545">
        <v>1</v>
      </c>
      <c r="E1545" s="1">
        <v>449</v>
      </c>
      <c r="F1545" s="1">
        <v>0.1</v>
      </c>
      <c r="G1545">
        <v>449</v>
      </c>
      <c r="H1545" s="22">
        <f>VLOOKUP(A1545,[1]Orders!$A$2:$B$1616,2,0)</f>
        <v>42686</v>
      </c>
      <c r="J1545" t="s">
        <v>24</v>
      </c>
      <c r="K1545" t="s">
        <v>18</v>
      </c>
    </row>
    <row r="1546" spans="1:11" x14ac:dyDescent="0.3">
      <c r="A1546">
        <v>552</v>
      </c>
      <c r="B1546">
        <v>5</v>
      </c>
      <c r="C1546">
        <v>19</v>
      </c>
      <c r="D1546">
        <v>2</v>
      </c>
      <c r="E1546" s="1">
        <v>449</v>
      </c>
      <c r="F1546" s="1">
        <v>0.2</v>
      </c>
      <c r="G1546">
        <v>898</v>
      </c>
      <c r="H1546" s="22">
        <f>VLOOKUP(A1546,[1]Orders!$A$2:$B$1616,2,0)</f>
        <v>42686</v>
      </c>
      <c r="J1546" t="s">
        <v>36</v>
      </c>
      <c r="K1546" t="s">
        <v>18</v>
      </c>
    </row>
    <row r="1547" spans="1:11" x14ac:dyDescent="0.3">
      <c r="A1547">
        <v>553</v>
      </c>
      <c r="B1547">
        <v>1</v>
      </c>
      <c r="C1547">
        <v>24</v>
      </c>
      <c r="D1547">
        <v>1</v>
      </c>
      <c r="E1547" s="1">
        <v>549.99</v>
      </c>
      <c r="F1547" s="1">
        <v>0.1</v>
      </c>
      <c r="G1547">
        <v>549.99</v>
      </c>
      <c r="H1547" s="22">
        <f>VLOOKUP(A1547,[1]Orders!$A$2:$B$1616,2,0)</f>
        <v>42686</v>
      </c>
      <c r="J1547" t="s">
        <v>25</v>
      </c>
      <c r="K1547" t="s">
        <v>37</v>
      </c>
    </row>
    <row r="1548" spans="1:11" x14ac:dyDescent="0.3">
      <c r="A1548">
        <v>553</v>
      </c>
      <c r="B1548">
        <v>2</v>
      </c>
      <c r="C1548">
        <v>18</v>
      </c>
      <c r="D1548">
        <v>2</v>
      </c>
      <c r="E1548" s="1">
        <v>449</v>
      </c>
      <c r="F1548" s="1">
        <v>7.0000000000000007E-2</v>
      </c>
      <c r="G1548">
        <v>898</v>
      </c>
      <c r="H1548" s="22">
        <f>VLOOKUP(A1548,[1]Orders!$A$2:$B$1616,2,0)</f>
        <v>42686</v>
      </c>
      <c r="J1548" t="s">
        <v>24</v>
      </c>
      <c r="K1548" t="s">
        <v>37</v>
      </c>
    </row>
    <row r="1549" spans="1:11" x14ac:dyDescent="0.3">
      <c r="A1549">
        <v>553</v>
      </c>
      <c r="B1549">
        <v>3</v>
      </c>
      <c r="C1549">
        <v>12</v>
      </c>
      <c r="D1549">
        <v>1</v>
      </c>
      <c r="E1549" s="1">
        <v>549.99</v>
      </c>
      <c r="F1549" s="1">
        <v>7.0000000000000007E-2</v>
      </c>
      <c r="G1549">
        <v>549.99</v>
      </c>
      <c r="H1549" s="22">
        <f>VLOOKUP(A1549,[1]Orders!$A$2:$B$1616,2,0)</f>
        <v>42686</v>
      </c>
      <c r="J1549" t="s">
        <v>25</v>
      </c>
      <c r="K1549" t="s">
        <v>37</v>
      </c>
    </row>
    <row r="1550" spans="1:11" x14ac:dyDescent="0.3">
      <c r="A1550">
        <v>554</v>
      </c>
      <c r="B1550">
        <v>1</v>
      </c>
      <c r="C1550">
        <v>3</v>
      </c>
      <c r="D1550">
        <v>2</v>
      </c>
      <c r="E1550" s="1">
        <v>999.99</v>
      </c>
      <c r="F1550" s="1">
        <v>7.0000000000000007E-2</v>
      </c>
      <c r="G1550">
        <v>1999.98</v>
      </c>
      <c r="H1550" s="22">
        <f>VLOOKUP(A1550,[1]Orders!$A$2:$B$1616,2,0)</f>
        <v>42687</v>
      </c>
      <c r="J1550" t="s">
        <v>20</v>
      </c>
      <c r="K1550" t="s">
        <v>11</v>
      </c>
    </row>
    <row r="1551" spans="1:11" x14ac:dyDescent="0.3">
      <c r="A1551">
        <v>554</v>
      </c>
      <c r="B1551">
        <v>2</v>
      </c>
      <c r="C1551">
        <v>22</v>
      </c>
      <c r="D1551">
        <v>1</v>
      </c>
      <c r="E1551" s="1">
        <v>269.99</v>
      </c>
      <c r="F1551" s="1">
        <v>0.05</v>
      </c>
      <c r="G1551">
        <v>269.99</v>
      </c>
      <c r="H1551" s="22">
        <f>VLOOKUP(A1551,[1]Orders!$A$2:$B$1616,2,0)</f>
        <v>42687</v>
      </c>
      <c r="J1551" t="s">
        <v>28</v>
      </c>
      <c r="K1551" t="s">
        <v>11</v>
      </c>
    </row>
    <row r="1552" spans="1:11" x14ac:dyDescent="0.3">
      <c r="A1552">
        <v>554</v>
      </c>
      <c r="B1552">
        <v>3</v>
      </c>
      <c r="C1552">
        <v>4</v>
      </c>
      <c r="D1552">
        <v>2</v>
      </c>
      <c r="E1552" s="1">
        <v>2899.99</v>
      </c>
      <c r="F1552" s="1">
        <v>0.2</v>
      </c>
      <c r="G1552">
        <v>5799.98</v>
      </c>
      <c r="H1552" s="22">
        <f>VLOOKUP(A1552,[1]Orders!$A$2:$B$1616,2,0)</f>
        <v>42687</v>
      </c>
      <c r="J1552" t="s">
        <v>16</v>
      </c>
      <c r="K1552" t="s">
        <v>11</v>
      </c>
    </row>
    <row r="1553" spans="1:11" x14ac:dyDescent="0.3">
      <c r="A1553">
        <v>555</v>
      </c>
      <c r="B1553">
        <v>1</v>
      </c>
      <c r="C1553">
        <v>8</v>
      </c>
      <c r="D1553">
        <v>1</v>
      </c>
      <c r="E1553" s="1">
        <v>1799.99</v>
      </c>
      <c r="F1553" s="1">
        <v>0.2</v>
      </c>
      <c r="G1553">
        <v>1799.99</v>
      </c>
      <c r="H1553" s="22">
        <f>VLOOKUP(A1553,[1]Orders!$A$2:$B$1616,2,0)</f>
        <v>42687</v>
      </c>
      <c r="J1553" t="s">
        <v>12</v>
      </c>
      <c r="K1553" t="s">
        <v>18</v>
      </c>
    </row>
    <row r="1554" spans="1:11" x14ac:dyDescent="0.3">
      <c r="A1554">
        <v>555</v>
      </c>
      <c r="B1554">
        <v>2</v>
      </c>
      <c r="C1554">
        <v>7</v>
      </c>
      <c r="D1554">
        <v>1</v>
      </c>
      <c r="E1554" s="1">
        <v>3999.99</v>
      </c>
      <c r="F1554" s="1">
        <v>0.1</v>
      </c>
      <c r="G1554">
        <v>3999.99</v>
      </c>
      <c r="H1554" s="22">
        <f>VLOOKUP(A1554,[1]Orders!$A$2:$B$1616,2,0)</f>
        <v>42687</v>
      </c>
      <c r="J1554" t="s">
        <v>29</v>
      </c>
      <c r="K1554" t="s">
        <v>18</v>
      </c>
    </row>
    <row r="1555" spans="1:11" x14ac:dyDescent="0.3">
      <c r="A1555">
        <v>555</v>
      </c>
      <c r="B1555">
        <v>3</v>
      </c>
      <c r="C1555">
        <v>20</v>
      </c>
      <c r="D1555">
        <v>2</v>
      </c>
      <c r="E1555" s="1">
        <v>599.99</v>
      </c>
      <c r="F1555" s="1">
        <v>7.0000000000000007E-2</v>
      </c>
      <c r="G1555">
        <v>1199.98</v>
      </c>
      <c r="H1555" s="22">
        <f>VLOOKUP(A1555,[1]Orders!$A$2:$B$1616,2,0)</f>
        <v>42687</v>
      </c>
      <c r="J1555" t="s">
        <v>10</v>
      </c>
      <c r="K1555" t="s">
        <v>18</v>
      </c>
    </row>
    <row r="1556" spans="1:11" x14ac:dyDescent="0.3">
      <c r="A1556">
        <v>556</v>
      </c>
      <c r="B1556">
        <v>1</v>
      </c>
      <c r="C1556">
        <v>16</v>
      </c>
      <c r="D1556">
        <v>1</v>
      </c>
      <c r="E1556" s="1">
        <v>599.99</v>
      </c>
      <c r="F1556" s="1">
        <v>0.1</v>
      </c>
      <c r="G1556">
        <v>599.99</v>
      </c>
      <c r="H1556" s="22">
        <f>VLOOKUP(A1556,[1]Orders!$A$2:$B$1616,2,0)</f>
        <v>42687</v>
      </c>
      <c r="J1556" t="s">
        <v>14</v>
      </c>
      <c r="K1556" t="s">
        <v>37</v>
      </c>
    </row>
    <row r="1557" spans="1:11" x14ac:dyDescent="0.3">
      <c r="A1557">
        <v>556</v>
      </c>
      <c r="B1557">
        <v>2</v>
      </c>
      <c r="C1557">
        <v>4</v>
      </c>
      <c r="D1557">
        <v>2</v>
      </c>
      <c r="E1557" s="1">
        <v>2899.99</v>
      </c>
      <c r="F1557" s="1">
        <v>0.2</v>
      </c>
      <c r="G1557">
        <v>5799.98</v>
      </c>
      <c r="H1557" s="22">
        <f>VLOOKUP(A1557,[1]Orders!$A$2:$B$1616,2,0)</f>
        <v>42687</v>
      </c>
      <c r="J1557" t="s">
        <v>16</v>
      </c>
      <c r="K1557" t="s">
        <v>37</v>
      </c>
    </row>
    <row r="1558" spans="1:11" x14ac:dyDescent="0.3">
      <c r="A1558">
        <v>557</v>
      </c>
      <c r="B1558">
        <v>1</v>
      </c>
      <c r="C1558">
        <v>9</v>
      </c>
      <c r="D1558">
        <v>2</v>
      </c>
      <c r="E1558" s="1">
        <v>2999.99</v>
      </c>
      <c r="F1558" s="1">
        <v>0.1</v>
      </c>
      <c r="G1558">
        <v>5999.98</v>
      </c>
      <c r="H1558" s="22">
        <f>VLOOKUP(A1558,[1]Orders!$A$2:$B$1616,2,0)</f>
        <v>42688</v>
      </c>
      <c r="J1558" t="s">
        <v>26</v>
      </c>
      <c r="K1558" t="s">
        <v>18</v>
      </c>
    </row>
    <row r="1559" spans="1:11" x14ac:dyDescent="0.3">
      <c r="A1559">
        <v>557</v>
      </c>
      <c r="B1559">
        <v>2</v>
      </c>
      <c r="C1559">
        <v>10</v>
      </c>
      <c r="D1559">
        <v>1</v>
      </c>
      <c r="E1559" s="1">
        <v>1549</v>
      </c>
      <c r="F1559" s="1">
        <v>0.1</v>
      </c>
      <c r="G1559">
        <v>1549</v>
      </c>
      <c r="H1559" s="22">
        <f>VLOOKUP(A1559,[1]Orders!$A$2:$B$1616,2,0)</f>
        <v>42688</v>
      </c>
      <c r="J1559" t="s">
        <v>13</v>
      </c>
      <c r="K1559" t="s">
        <v>18</v>
      </c>
    </row>
    <row r="1560" spans="1:11" x14ac:dyDescent="0.3">
      <c r="A1560">
        <v>558</v>
      </c>
      <c r="B1560">
        <v>1</v>
      </c>
      <c r="C1560">
        <v>7</v>
      </c>
      <c r="D1560">
        <v>1</v>
      </c>
      <c r="E1560" s="1">
        <v>3999.99</v>
      </c>
      <c r="F1560" s="1">
        <v>7.0000000000000007E-2</v>
      </c>
      <c r="G1560">
        <v>3999.99</v>
      </c>
      <c r="H1560" s="22">
        <f>VLOOKUP(A1560,[1]Orders!$A$2:$B$1616,2,0)</f>
        <v>42689</v>
      </c>
      <c r="J1560" t="s">
        <v>29</v>
      </c>
      <c r="K1560" t="s">
        <v>18</v>
      </c>
    </row>
    <row r="1561" spans="1:11" x14ac:dyDescent="0.3">
      <c r="A1561">
        <v>558</v>
      </c>
      <c r="B1561">
        <v>2</v>
      </c>
      <c r="C1561">
        <v>16</v>
      </c>
      <c r="D1561">
        <v>1</v>
      </c>
      <c r="E1561" s="1">
        <v>599.99</v>
      </c>
      <c r="F1561" s="1">
        <v>7.0000000000000007E-2</v>
      </c>
      <c r="G1561">
        <v>599.99</v>
      </c>
      <c r="H1561" s="22">
        <f>VLOOKUP(A1561,[1]Orders!$A$2:$B$1616,2,0)</f>
        <v>42689</v>
      </c>
      <c r="J1561" t="s">
        <v>14</v>
      </c>
      <c r="K1561" t="s">
        <v>18</v>
      </c>
    </row>
    <row r="1562" spans="1:11" x14ac:dyDescent="0.3">
      <c r="A1562">
        <v>558</v>
      </c>
      <c r="B1562">
        <v>3</v>
      </c>
      <c r="C1562">
        <v>9</v>
      </c>
      <c r="D1562">
        <v>1</v>
      </c>
      <c r="E1562" s="1">
        <v>2999.99</v>
      </c>
      <c r="F1562" s="1">
        <v>0.1</v>
      </c>
      <c r="G1562">
        <v>2999.99</v>
      </c>
      <c r="H1562" s="22">
        <f>VLOOKUP(A1562,[1]Orders!$A$2:$B$1616,2,0)</f>
        <v>42689</v>
      </c>
      <c r="J1562" t="s">
        <v>26</v>
      </c>
      <c r="K1562" t="s">
        <v>18</v>
      </c>
    </row>
    <row r="1563" spans="1:11" x14ac:dyDescent="0.3">
      <c r="A1563">
        <v>558</v>
      </c>
      <c r="B1563">
        <v>4</v>
      </c>
      <c r="C1563">
        <v>21</v>
      </c>
      <c r="D1563">
        <v>2</v>
      </c>
      <c r="E1563" s="1">
        <v>269.99</v>
      </c>
      <c r="F1563" s="1">
        <v>0.05</v>
      </c>
      <c r="G1563">
        <v>539.98</v>
      </c>
      <c r="H1563" s="22">
        <f>VLOOKUP(A1563,[1]Orders!$A$2:$B$1616,2,0)</f>
        <v>42689</v>
      </c>
      <c r="J1563" t="s">
        <v>31</v>
      </c>
      <c r="K1563" t="s">
        <v>18</v>
      </c>
    </row>
    <row r="1564" spans="1:11" x14ac:dyDescent="0.3">
      <c r="A1564">
        <v>558</v>
      </c>
      <c r="B1564">
        <v>5</v>
      </c>
      <c r="C1564">
        <v>10</v>
      </c>
      <c r="D1564">
        <v>2</v>
      </c>
      <c r="E1564" s="1">
        <v>1549</v>
      </c>
      <c r="F1564" s="1">
        <v>7.0000000000000007E-2</v>
      </c>
      <c r="G1564">
        <v>3098</v>
      </c>
      <c r="H1564" s="22">
        <f>VLOOKUP(A1564,[1]Orders!$A$2:$B$1616,2,0)</f>
        <v>42689</v>
      </c>
      <c r="J1564" t="s">
        <v>13</v>
      </c>
      <c r="K1564" t="s">
        <v>18</v>
      </c>
    </row>
    <row r="1565" spans="1:11" x14ac:dyDescent="0.3">
      <c r="A1565">
        <v>559</v>
      </c>
      <c r="B1565">
        <v>1</v>
      </c>
      <c r="C1565">
        <v>15</v>
      </c>
      <c r="D1565">
        <v>2</v>
      </c>
      <c r="E1565" s="1">
        <v>529.99</v>
      </c>
      <c r="F1565" s="1">
        <v>0.1</v>
      </c>
      <c r="G1565">
        <v>1059.98</v>
      </c>
      <c r="H1565" s="22">
        <f>VLOOKUP(A1565,[1]Orders!$A$2:$B$1616,2,0)</f>
        <v>42690</v>
      </c>
      <c r="J1565" t="s">
        <v>27</v>
      </c>
      <c r="K1565" t="s">
        <v>11</v>
      </c>
    </row>
    <row r="1566" spans="1:11" x14ac:dyDescent="0.3">
      <c r="A1566">
        <v>559</v>
      </c>
      <c r="B1566">
        <v>2</v>
      </c>
      <c r="C1566">
        <v>6</v>
      </c>
      <c r="D1566">
        <v>1</v>
      </c>
      <c r="E1566" s="1">
        <v>469.99</v>
      </c>
      <c r="F1566" s="1">
        <v>0.1</v>
      </c>
      <c r="G1566">
        <v>469.99</v>
      </c>
      <c r="H1566" s="22">
        <f>VLOOKUP(A1566,[1]Orders!$A$2:$B$1616,2,0)</f>
        <v>42690</v>
      </c>
      <c r="J1566" t="s">
        <v>32</v>
      </c>
      <c r="K1566" t="s">
        <v>11</v>
      </c>
    </row>
    <row r="1567" spans="1:11" x14ac:dyDescent="0.3">
      <c r="A1567">
        <v>559</v>
      </c>
      <c r="B1567">
        <v>3</v>
      </c>
      <c r="C1567">
        <v>7</v>
      </c>
      <c r="D1567">
        <v>2</v>
      </c>
      <c r="E1567" s="1">
        <v>3999.99</v>
      </c>
      <c r="F1567" s="1">
        <v>7.0000000000000007E-2</v>
      </c>
      <c r="G1567">
        <v>7999.98</v>
      </c>
      <c r="H1567" s="22">
        <f>VLOOKUP(A1567,[1]Orders!$A$2:$B$1616,2,0)</f>
        <v>42690</v>
      </c>
      <c r="J1567" t="s">
        <v>29</v>
      </c>
      <c r="K1567" t="s">
        <v>11</v>
      </c>
    </row>
    <row r="1568" spans="1:11" x14ac:dyDescent="0.3">
      <c r="A1568">
        <v>560</v>
      </c>
      <c r="B1568">
        <v>1</v>
      </c>
      <c r="C1568">
        <v>16</v>
      </c>
      <c r="D1568">
        <v>1</v>
      </c>
      <c r="E1568" s="1">
        <v>599.99</v>
      </c>
      <c r="F1568" s="1">
        <v>0.05</v>
      </c>
      <c r="G1568">
        <v>599.99</v>
      </c>
      <c r="H1568" s="22">
        <f>VLOOKUP(A1568,[1]Orders!$A$2:$B$1616,2,0)</f>
        <v>42692</v>
      </c>
      <c r="J1568" t="s">
        <v>14</v>
      </c>
      <c r="K1568" t="s">
        <v>18</v>
      </c>
    </row>
    <row r="1569" spans="1:11" x14ac:dyDescent="0.3">
      <c r="A1569">
        <v>560</v>
      </c>
      <c r="B1569">
        <v>2</v>
      </c>
      <c r="C1569">
        <v>26</v>
      </c>
      <c r="D1569">
        <v>2</v>
      </c>
      <c r="E1569" s="1">
        <v>599.99</v>
      </c>
      <c r="F1569" s="1">
        <v>0.1</v>
      </c>
      <c r="G1569">
        <v>1199.98</v>
      </c>
      <c r="H1569" s="22">
        <f>VLOOKUP(A1569,[1]Orders!$A$2:$B$1616,2,0)</f>
        <v>42692</v>
      </c>
      <c r="J1569" t="s">
        <v>14</v>
      </c>
      <c r="K1569" t="s">
        <v>18</v>
      </c>
    </row>
    <row r="1570" spans="1:11" x14ac:dyDescent="0.3">
      <c r="A1570">
        <v>561</v>
      </c>
      <c r="B1570">
        <v>1</v>
      </c>
      <c r="C1570">
        <v>15</v>
      </c>
      <c r="D1570">
        <v>2</v>
      </c>
      <c r="E1570" s="1">
        <v>529.99</v>
      </c>
      <c r="F1570" s="1">
        <v>0.05</v>
      </c>
      <c r="G1570">
        <v>1059.98</v>
      </c>
      <c r="H1570" s="22">
        <f>VLOOKUP(A1570,[1]Orders!$A$2:$B$1616,2,0)</f>
        <v>42693</v>
      </c>
      <c r="J1570" t="s">
        <v>27</v>
      </c>
      <c r="K1570" t="s">
        <v>18</v>
      </c>
    </row>
    <row r="1571" spans="1:11" x14ac:dyDescent="0.3">
      <c r="A1571">
        <v>561</v>
      </c>
      <c r="B1571">
        <v>2</v>
      </c>
      <c r="C1571">
        <v>18</v>
      </c>
      <c r="D1571">
        <v>1</v>
      </c>
      <c r="E1571" s="1">
        <v>449</v>
      </c>
      <c r="F1571" s="1">
        <v>0.05</v>
      </c>
      <c r="G1571">
        <v>449</v>
      </c>
      <c r="H1571" s="22">
        <f>VLOOKUP(A1571,[1]Orders!$A$2:$B$1616,2,0)</f>
        <v>42693</v>
      </c>
      <c r="J1571" t="s">
        <v>24</v>
      </c>
      <c r="K1571" t="s">
        <v>18</v>
      </c>
    </row>
    <row r="1572" spans="1:11" x14ac:dyDescent="0.3">
      <c r="A1572">
        <v>561</v>
      </c>
      <c r="B1572">
        <v>3</v>
      </c>
      <c r="C1572">
        <v>5</v>
      </c>
      <c r="D1572">
        <v>1</v>
      </c>
      <c r="E1572" s="1">
        <v>1320.99</v>
      </c>
      <c r="F1572" s="1">
        <v>0.05</v>
      </c>
      <c r="G1572">
        <v>1320.99</v>
      </c>
      <c r="H1572" s="22">
        <f>VLOOKUP(A1572,[1]Orders!$A$2:$B$1616,2,0)</f>
        <v>42693</v>
      </c>
      <c r="J1572" t="s">
        <v>34</v>
      </c>
      <c r="K1572" t="s">
        <v>18</v>
      </c>
    </row>
    <row r="1573" spans="1:11" x14ac:dyDescent="0.3">
      <c r="A1573">
        <v>561</v>
      </c>
      <c r="B1573">
        <v>4</v>
      </c>
      <c r="C1573">
        <v>17</v>
      </c>
      <c r="D1573">
        <v>2</v>
      </c>
      <c r="E1573" s="1">
        <v>429</v>
      </c>
      <c r="F1573" s="1">
        <v>7.0000000000000007E-2</v>
      </c>
      <c r="G1573">
        <v>858</v>
      </c>
      <c r="H1573" s="22">
        <f>VLOOKUP(A1573,[1]Orders!$A$2:$B$1616,2,0)</f>
        <v>42693</v>
      </c>
      <c r="J1573" t="s">
        <v>23</v>
      </c>
      <c r="K1573" t="s">
        <v>18</v>
      </c>
    </row>
    <row r="1574" spans="1:11" x14ac:dyDescent="0.3">
      <c r="A1574">
        <v>562</v>
      </c>
      <c r="B1574">
        <v>1</v>
      </c>
      <c r="C1574">
        <v>25</v>
      </c>
      <c r="D1574">
        <v>2</v>
      </c>
      <c r="E1574" s="1">
        <v>499.99</v>
      </c>
      <c r="F1574" s="1">
        <v>7.0000000000000007E-2</v>
      </c>
      <c r="G1574">
        <v>999.98</v>
      </c>
      <c r="H1574" s="22">
        <f>VLOOKUP(A1574,[1]Orders!$A$2:$B$1616,2,0)</f>
        <v>42693</v>
      </c>
      <c r="J1574" t="s">
        <v>35</v>
      </c>
      <c r="K1574" t="s">
        <v>18</v>
      </c>
    </row>
    <row r="1575" spans="1:11" x14ac:dyDescent="0.3">
      <c r="A1575">
        <v>562</v>
      </c>
      <c r="B1575">
        <v>2</v>
      </c>
      <c r="C1575">
        <v>26</v>
      </c>
      <c r="D1575">
        <v>1</v>
      </c>
      <c r="E1575" s="1">
        <v>599.99</v>
      </c>
      <c r="F1575" s="1">
        <v>0.05</v>
      </c>
      <c r="G1575">
        <v>599.99</v>
      </c>
      <c r="H1575" s="22">
        <f>VLOOKUP(A1575,[1]Orders!$A$2:$B$1616,2,0)</f>
        <v>42693</v>
      </c>
      <c r="J1575" t="s">
        <v>14</v>
      </c>
      <c r="K1575" t="s">
        <v>18</v>
      </c>
    </row>
    <row r="1576" spans="1:11" x14ac:dyDescent="0.3">
      <c r="A1576">
        <v>563</v>
      </c>
      <c r="B1576">
        <v>1</v>
      </c>
      <c r="C1576">
        <v>6</v>
      </c>
      <c r="D1576">
        <v>2</v>
      </c>
      <c r="E1576" s="1">
        <v>469.99</v>
      </c>
      <c r="F1576" s="1">
        <v>0.1</v>
      </c>
      <c r="G1576">
        <v>939.98</v>
      </c>
      <c r="H1576" s="22">
        <f>VLOOKUP(A1576,[1]Orders!$A$2:$B$1616,2,0)</f>
        <v>42694</v>
      </c>
      <c r="J1576" t="s">
        <v>32</v>
      </c>
      <c r="K1576" t="s">
        <v>18</v>
      </c>
    </row>
    <row r="1577" spans="1:11" x14ac:dyDescent="0.3">
      <c r="A1577">
        <v>563</v>
      </c>
      <c r="B1577">
        <v>2</v>
      </c>
      <c r="C1577">
        <v>19</v>
      </c>
      <c r="D1577">
        <v>1</v>
      </c>
      <c r="E1577" s="1">
        <v>449</v>
      </c>
      <c r="F1577" s="1">
        <v>0.05</v>
      </c>
      <c r="G1577">
        <v>449</v>
      </c>
      <c r="H1577" s="22">
        <f>VLOOKUP(A1577,[1]Orders!$A$2:$B$1616,2,0)</f>
        <v>42694</v>
      </c>
      <c r="J1577" t="s">
        <v>36</v>
      </c>
      <c r="K1577" t="s">
        <v>18</v>
      </c>
    </row>
    <row r="1578" spans="1:11" x14ac:dyDescent="0.3">
      <c r="A1578">
        <v>563</v>
      </c>
      <c r="B1578">
        <v>3</v>
      </c>
      <c r="C1578">
        <v>13</v>
      </c>
      <c r="D1578">
        <v>2</v>
      </c>
      <c r="E1578" s="1">
        <v>269.99</v>
      </c>
      <c r="F1578" s="1">
        <v>0.1</v>
      </c>
      <c r="G1578">
        <v>539.98</v>
      </c>
      <c r="H1578" s="22">
        <f>VLOOKUP(A1578,[1]Orders!$A$2:$B$1616,2,0)</f>
        <v>42694</v>
      </c>
      <c r="J1578" t="s">
        <v>31</v>
      </c>
      <c r="K1578" t="s">
        <v>18</v>
      </c>
    </row>
    <row r="1579" spans="1:11" x14ac:dyDescent="0.3">
      <c r="A1579">
        <v>564</v>
      </c>
      <c r="B1579">
        <v>1</v>
      </c>
      <c r="C1579">
        <v>4</v>
      </c>
      <c r="D1579">
        <v>1</v>
      </c>
      <c r="E1579" s="1">
        <v>2899.99</v>
      </c>
      <c r="F1579" s="1">
        <v>0.2</v>
      </c>
      <c r="G1579">
        <v>2899.99</v>
      </c>
      <c r="H1579" s="22">
        <f>VLOOKUP(A1579,[1]Orders!$A$2:$B$1616,2,0)</f>
        <v>42694</v>
      </c>
      <c r="J1579" t="s">
        <v>16</v>
      </c>
      <c r="K1579" t="s">
        <v>18</v>
      </c>
    </row>
    <row r="1580" spans="1:11" x14ac:dyDescent="0.3">
      <c r="A1580">
        <v>564</v>
      </c>
      <c r="B1580">
        <v>2</v>
      </c>
      <c r="C1580">
        <v>15</v>
      </c>
      <c r="D1580">
        <v>1</v>
      </c>
      <c r="E1580" s="1">
        <v>529.99</v>
      </c>
      <c r="F1580" s="1">
        <v>0.2</v>
      </c>
      <c r="G1580">
        <v>529.99</v>
      </c>
      <c r="H1580" s="22">
        <f>VLOOKUP(A1580,[1]Orders!$A$2:$B$1616,2,0)</f>
        <v>42694</v>
      </c>
      <c r="J1580" t="s">
        <v>27</v>
      </c>
      <c r="K1580" t="s">
        <v>18</v>
      </c>
    </row>
    <row r="1581" spans="1:11" x14ac:dyDescent="0.3">
      <c r="A1581">
        <v>565</v>
      </c>
      <c r="B1581">
        <v>1</v>
      </c>
      <c r="C1581">
        <v>18</v>
      </c>
      <c r="D1581">
        <v>1</v>
      </c>
      <c r="E1581" s="1">
        <v>449</v>
      </c>
      <c r="F1581" s="1">
        <v>0.2</v>
      </c>
      <c r="G1581">
        <v>449</v>
      </c>
      <c r="H1581" s="22">
        <f>VLOOKUP(A1581,[1]Orders!$A$2:$B$1616,2,0)</f>
        <v>42695</v>
      </c>
      <c r="J1581" t="s">
        <v>24</v>
      </c>
      <c r="K1581" t="s">
        <v>18</v>
      </c>
    </row>
    <row r="1582" spans="1:11" x14ac:dyDescent="0.3">
      <c r="A1582">
        <v>565</v>
      </c>
      <c r="B1582">
        <v>2</v>
      </c>
      <c r="C1582">
        <v>25</v>
      </c>
      <c r="D1582">
        <v>2</v>
      </c>
      <c r="E1582" s="1">
        <v>499.99</v>
      </c>
      <c r="F1582" s="1">
        <v>0.1</v>
      </c>
      <c r="G1582">
        <v>999.98</v>
      </c>
      <c r="H1582" s="22">
        <f>VLOOKUP(A1582,[1]Orders!$A$2:$B$1616,2,0)</f>
        <v>42695</v>
      </c>
      <c r="J1582" t="s">
        <v>35</v>
      </c>
      <c r="K1582" t="s">
        <v>18</v>
      </c>
    </row>
    <row r="1583" spans="1:11" x14ac:dyDescent="0.3">
      <c r="A1583">
        <v>565</v>
      </c>
      <c r="B1583">
        <v>3</v>
      </c>
      <c r="C1583">
        <v>9</v>
      </c>
      <c r="D1583">
        <v>1</v>
      </c>
      <c r="E1583" s="1">
        <v>2999.99</v>
      </c>
      <c r="F1583" s="1">
        <v>0.05</v>
      </c>
      <c r="G1583">
        <v>2999.99</v>
      </c>
      <c r="H1583" s="22">
        <f>VLOOKUP(A1583,[1]Orders!$A$2:$B$1616,2,0)</f>
        <v>42695</v>
      </c>
      <c r="J1583" t="s">
        <v>26</v>
      </c>
      <c r="K1583" t="s">
        <v>18</v>
      </c>
    </row>
    <row r="1584" spans="1:11" x14ac:dyDescent="0.3">
      <c r="A1584">
        <v>565</v>
      </c>
      <c r="B1584">
        <v>4</v>
      </c>
      <c r="C1584">
        <v>17</v>
      </c>
      <c r="D1584">
        <v>1</v>
      </c>
      <c r="E1584" s="1">
        <v>429</v>
      </c>
      <c r="F1584" s="1">
        <v>0.1</v>
      </c>
      <c r="G1584">
        <v>429</v>
      </c>
      <c r="H1584" s="22">
        <f>VLOOKUP(A1584,[1]Orders!$A$2:$B$1616,2,0)</f>
        <v>42695</v>
      </c>
      <c r="J1584" t="s">
        <v>23</v>
      </c>
      <c r="K1584" t="s">
        <v>18</v>
      </c>
    </row>
    <row r="1585" spans="1:11" x14ac:dyDescent="0.3">
      <c r="A1585">
        <v>566</v>
      </c>
      <c r="B1585">
        <v>1</v>
      </c>
      <c r="C1585">
        <v>24</v>
      </c>
      <c r="D1585">
        <v>2</v>
      </c>
      <c r="E1585" s="1">
        <v>549.99</v>
      </c>
      <c r="F1585" s="1">
        <v>7.0000000000000007E-2</v>
      </c>
      <c r="G1585">
        <v>1099.98</v>
      </c>
      <c r="H1585" s="22">
        <f>VLOOKUP(A1585,[1]Orders!$A$2:$B$1616,2,0)</f>
        <v>42696</v>
      </c>
      <c r="J1585" t="s">
        <v>25</v>
      </c>
      <c r="K1585" t="s">
        <v>11</v>
      </c>
    </row>
    <row r="1586" spans="1:11" x14ac:dyDescent="0.3">
      <c r="A1586">
        <v>566</v>
      </c>
      <c r="B1586">
        <v>2</v>
      </c>
      <c r="C1586">
        <v>7</v>
      </c>
      <c r="D1586">
        <v>2</v>
      </c>
      <c r="E1586" s="1">
        <v>3999.99</v>
      </c>
      <c r="F1586" s="1">
        <v>0.2</v>
      </c>
      <c r="G1586">
        <v>7999.98</v>
      </c>
      <c r="H1586" s="22">
        <f>VLOOKUP(A1586,[1]Orders!$A$2:$B$1616,2,0)</f>
        <v>42696</v>
      </c>
      <c r="J1586" t="s">
        <v>29</v>
      </c>
      <c r="K1586" t="s">
        <v>11</v>
      </c>
    </row>
    <row r="1587" spans="1:11" x14ac:dyDescent="0.3">
      <c r="A1587">
        <v>566</v>
      </c>
      <c r="B1587">
        <v>3</v>
      </c>
      <c r="C1587">
        <v>8</v>
      </c>
      <c r="D1587">
        <v>1</v>
      </c>
      <c r="E1587" s="1">
        <v>1799.99</v>
      </c>
      <c r="F1587" s="1">
        <v>0.1</v>
      </c>
      <c r="G1587">
        <v>1799.99</v>
      </c>
      <c r="H1587" s="22">
        <f>VLOOKUP(A1587,[1]Orders!$A$2:$B$1616,2,0)</f>
        <v>42696</v>
      </c>
      <c r="J1587" t="s">
        <v>12</v>
      </c>
      <c r="K1587" t="s">
        <v>11</v>
      </c>
    </row>
    <row r="1588" spans="1:11" x14ac:dyDescent="0.3">
      <c r="A1588">
        <v>566</v>
      </c>
      <c r="B1588">
        <v>4</v>
      </c>
      <c r="C1588">
        <v>21</v>
      </c>
      <c r="D1588">
        <v>2</v>
      </c>
      <c r="E1588" s="1">
        <v>269.99</v>
      </c>
      <c r="F1588" s="1">
        <v>0.2</v>
      </c>
      <c r="G1588">
        <v>539.98</v>
      </c>
      <c r="H1588" s="22">
        <f>VLOOKUP(A1588,[1]Orders!$A$2:$B$1616,2,0)</f>
        <v>42696</v>
      </c>
      <c r="J1588" t="s">
        <v>31</v>
      </c>
      <c r="K1588" t="s">
        <v>11</v>
      </c>
    </row>
    <row r="1589" spans="1:11" x14ac:dyDescent="0.3">
      <c r="A1589">
        <v>567</v>
      </c>
      <c r="B1589">
        <v>1</v>
      </c>
      <c r="C1589">
        <v>9</v>
      </c>
      <c r="D1589">
        <v>1</v>
      </c>
      <c r="E1589" s="1">
        <v>2999.99</v>
      </c>
      <c r="F1589" s="1">
        <v>0.2</v>
      </c>
      <c r="G1589">
        <v>2999.99</v>
      </c>
      <c r="H1589" s="22">
        <f>VLOOKUP(A1589,[1]Orders!$A$2:$B$1616,2,0)</f>
        <v>42696</v>
      </c>
      <c r="J1589" t="s">
        <v>26</v>
      </c>
      <c r="K1589" t="s">
        <v>11</v>
      </c>
    </row>
    <row r="1590" spans="1:11" x14ac:dyDescent="0.3">
      <c r="A1590">
        <v>567</v>
      </c>
      <c r="B1590">
        <v>2</v>
      </c>
      <c r="C1590">
        <v>5</v>
      </c>
      <c r="D1590">
        <v>1</v>
      </c>
      <c r="E1590" s="1">
        <v>1320.99</v>
      </c>
      <c r="F1590" s="1">
        <v>7.0000000000000007E-2</v>
      </c>
      <c r="G1590">
        <v>1320.99</v>
      </c>
      <c r="H1590" s="22">
        <f>VLOOKUP(A1590,[1]Orders!$A$2:$B$1616,2,0)</f>
        <v>42696</v>
      </c>
      <c r="J1590" t="s">
        <v>34</v>
      </c>
      <c r="K1590" t="s">
        <v>11</v>
      </c>
    </row>
    <row r="1591" spans="1:11" x14ac:dyDescent="0.3">
      <c r="A1591">
        <v>568</v>
      </c>
      <c r="B1591">
        <v>1</v>
      </c>
      <c r="C1591">
        <v>5</v>
      </c>
      <c r="D1591">
        <v>1</v>
      </c>
      <c r="E1591" s="1">
        <v>1320.99</v>
      </c>
      <c r="F1591" s="1">
        <v>0.05</v>
      </c>
      <c r="G1591">
        <v>1320.99</v>
      </c>
      <c r="H1591" s="22">
        <f>VLOOKUP(A1591,[1]Orders!$A$2:$B$1616,2,0)</f>
        <v>42697</v>
      </c>
      <c r="J1591" t="s">
        <v>34</v>
      </c>
      <c r="K1591" t="s">
        <v>11</v>
      </c>
    </row>
    <row r="1592" spans="1:11" x14ac:dyDescent="0.3">
      <c r="A1592">
        <v>568</v>
      </c>
      <c r="B1592">
        <v>2</v>
      </c>
      <c r="C1592">
        <v>10</v>
      </c>
      <c r="D1592">
        <v>1</v>
      </c>
      <c r="E1592" s="1">
        <v>1549</v>
      </c>
      <c r="F1592" s="1">
        <v>0.05</v>
      </c>
      <c r="G1592">
        <v>1549</v>
      </c>
      <c r="H1592" s="22">
        <f>VLOOKUP(A1592,[1]Orders!$A$2:$B$1616,2,0)</f>
        <v>42697</v>
      </c>
      <c r="J1592" t="s">
        <v>13</v>
      </c>
      <c r="K1592" t="s">
        <v>11</v>
      </c>
    </row>
    <row r="1593" spans="1:11" x14ac:dyDescent="0.3">
      <c r="A1593">
        <v>569</v>
      </c>
      <c r="B1593">
        <v>1</v>
      </c>
      <c r="C1593">
        <v>16</v>
      </c>
      <c r="D1593">
        <v>1</v>
      </c>
      <c r="E1593" s="1">
        <v>599.99</v>
      </c>
      <c r="F1593" s="1">
        <v>0.05</v>
      </c>
      <c r="G1593">
        <v>599.99</v>
      </c>
      <c r="H1593" s="22">
        <f>VLOOKUP(A1593,[1]Orders!$A$2:$B$1616,2,0)</f>
        <v>42697</v>
      </c>
      <c r="J1593" t="s">
        <v>14</v>
      </c>
      <c r="K1593" t="s">
        <v>18</v>
      </c>
    </row>
    <row r="1594" spans="1:11" x14ac:dyDescent="0.3">
      <c r="A1594">
        <v>569</v>
      </c>
      <c r="B1594">
        <v>2</v>
      </c>
      <c r="C1594">
        <v>24</v>
      </c>
      <c r="D1594">
        <v>2</v>
      </c>
      <c r="E1594" s="1">
        <v>549.99</v>
      </c>
      <c r="F1594" s="1">
        <v>0.1</v>
      </c>
      <c r="G1594">
        <v>1099.98</v>
      </c>
      <c r="H1594" s="22">
        <f>VLOOKUP(A1594,[1]Orders!$A$2:$B$1616,2,0)</f>
        <v>42697</v>
      </c>
      <c r="J1594" t="s">
        <v>25</v>
      </c>
      <c r="K1594" t="s">
        <v>18</v>
      </c>
    </row>
    <row r="1595" spans="1:11" x14ac:dyDescent="0.3">
      <c r="A1595">
        <v>570</v>
      </c>
      <c r="B1595">
        <v>1</v>
      </c>
      <c r="C1595">
        <v>18</v>
      </c>
      <c r="D1595">
        <v>1</v>
      </c>
      <c r="E1595" s="1">
        <v>449</v>
      </c>
      <c r="F1595" s="1">
        <v>7.0000000000000007E-2</v>
      </c>
      <c r="G1595">
        <v>449</v>
      </c>
      <c r="H1595" s="22">
        <f>VLOOKUP(A1595,[1]Orders!$A$2:$B$1616,2,0)</f>
        <v>42697</v>
      </c>
      <c r="J1595" t="s">
        <v>24</v>
      </c>
      <c r="K1595" t="s">
        <v>18</v>
      </c>
    </row>
    <row r="1596" spans="1:11" x14ac:dyDescent="0.3">
      <c r="A1596">
        <v>570</v>
      </c>
      <c r="B1596">
        <v>2</v>
      </c>
      <c r="C1596">
        <v>24</v>
      </c>
      <c r="D1596">
        <v>2</v>
      </c>
      <c r="E1596" s="1">
        <v>549.99</v>
      </c>
      <c r="F1596" s="1">
        <v>0.1</v>
      </c>
      <c r="G1596">
        <v>1099.98</v>
      </c>
      <c r="H1596" s="22">
        <f>VLOOKUP(A1596,[1]Orders!$A$2:$B$1616,2,0)</f>
        <v>42697</v>
      </c>
      <c r="J1596" t="s">
        <v>25</v>
      </c>
      <c r="K1596" t="s">
        <v>18</v>
      </c>
    </row>
    <row r="1597" spans="1:11" x14ac:dyDescent="0.3">
      <c r="A1597">
        <v>570</v>
      </c>
      <c r="B1597">
        <v>3</v>
      </c>
      <c r="C1597">
        <v>3</v>
      </c>
      <c r="D1597">
        <v>2</v>
      </c>
      <c r="E1597" s="1">
        <v>999.99</v>
      </c>
      <c r="F1597" s="1">
        <v>0.2</v>
      </c>
      <c r="G1597">
        <v>1999.98</v>
      </c>
      <c r="H1597" s="22">
        <f>VLOOKUP(A1597,[1]Orders!$A$2:$B$1616,2,0)</f>
        <v>42697</v>
      </c>
      <c r="J1597" t="s">
        <v>20</v>
      </c>
      <c r="K1597" t="s">
        <v>18</v>
      </c>
    </row>
    <row r="1598" spans="1:11" x14ac:dyDescent="0.3">
      <c r="A1598">
        <v>570</v>
      </c>
      <c r="B1598">
        <v>4</v>
      </c>
      <c r="C1598">
        <v>11</v>
      </c>
      <c r="D1598">
        <v>1</v>
      </c>
      <c r="E1598" s="1">
        <v>1680.99</v>
      </c>
      <c r="F1598" s="1">
        <v>0.1</v>
      </c>
      <c r="G1598">
        <v>1680.99</v>
      </c>
      <c r="H1598" s="22">
        <f>VLOOKUP(A1598,[1]Orders!$A$2:$B$1616,2,0)</f>
        <v>42697</v>
      </c>
      <c r="J1598" t="s">
        <v>30</v>
      </c>
      <c r="K1598" t="s">
        <v>18</v>
      </c>
    </row>
    <row r="1599" spans="1:11" x14ac:dyDescent="0.3">
      <c r="A1599">
        <v>570</v>
      </c>
      <c r="B1599">
        <v>5</v>
      </c>
      <c r="C1599">
        <v>16</v>
      </c>
      <c r="D1599">
        <v>1</v>
      </c>
      <c r="E1599" s="1">
        <v>599.99</v>
      </c>
      <c r="F1599" s="1">
        <v>0.05</v>
      </c>
      <c r="G1599">
        <v>599.99</v>
      </c>
      <c r="H1599" s="22">
        <f>VLOOKUP(A1599,[1]Orders!$A$2:$B$1616,2,0)</f>
        <v>42697</v>
      </c>
      <c r="J1599" t="s">
        <v>14</v>
      </c>
      <c r="K1599" t="s">
        <v>18</v>
      </c>
    </row>
    <row r="1600" spans="1:11" x14ac:dyDescent="0.3">
      <c r="A1600">
        <v>571</v>
      </c>
      <c r="B1600">
        <v>1</v>
      </c>
      <c r="C1600">
        <v>4</v>
      </c>
      <c r="D1600">
        <v>1</v>
      </c>
      <c r="E1600" s="1">
        <v>2899.99</v>
      </c>
      <c r="F1600" s="1">
        <v>0.05</v>
      </c>
      <c r="G1600">
        <v>2899.99</v>
      </c>
      <c r="H1600" s="22">
        <f>VLOOKUP(A1600,[1]Orders!$A$2:$B$1616,2,0)</f>
        <v>42698</v>
      </c>
      <c r="J1600" t="s">
        <v>16</v>
      </c>
      <c r="K1600" t="s">
        <v>11</v>
      </c>
    </row>
    <row r="1601" spans="1:11" x14ac:dyDescent="0.3">
      <c r="A1601">
        <v>571</v>
      </c>
      <c r="B1601">
        <v>2</v>
      </c>
      <c r="C1601">
        <v>9</v>
      </c>
      <c r="D1601">
        <v>1</v>
      </c>
      <c r="E1601" s="1">
        <v>2999.99</v>
      </c>
      <c r="F1601" s="1">
        <v>0.1</v>
      </c>
      <c r="G1601">
        <v>2999.99</v>
      </c>
      <c r="H1601" s="22">
        <f>VLOOKUP(A1601,[1]Orders!$A$2:$B$1616,2,0)</f>
        <v>42698</v>
      </c>
      <c r="J1601" t="s">
        <v>26</v>
      </c>
      <c r="K1601" t="s">
        <v>11</v>
      </c>
    </row>
    <row r="1602" spans="1:11" x14ac:dyDescent="0.3">
      <c r="A1602">
        <v>572</v>
      </c>
      <c r="B1602">
        <v>1</v>
      </c>
      <c r="C1602">
        <v>3</v>
      </c>
      <c r="D1602">
        <v>1</v>
      </c>
      <c r="E1602" s="1">
        <v>999.99</v>
      </c>
      <c r="F1602" s="1">
        <v>0.05</v>
      </c>
      <c r="G1602">
        <v>999.99</v>
      </c>
      <c r="H1602" s="22">
        <f>VLOOKUP(A1602,[1]Orders!$A$2:$B$1616,2,0)</f>
        <v>42698</v>
      </c>
      <c r="J1602" t="s">
        <v>20</v>
      </c>
      <c r="K1602" t="s">
        <v>18</v>
      </c>
    </row>
    <row r="1603" spans="1:11" x14ac:dyDescent="0.3">
      <c r="A1603">
        <v>572</v>
      </c>
      <c r="B1603">
        <v>2</v>
      </c>
      <c r="C1603">
        <v>13</v>
      </c>
      <c r="D1603">
        <v>2</v>
      </c>
      <c r="E1603" s="1">
        <v>269.99</v>
      </c>
      <c r="F1603" s="1">
        <v>0.1</v>
      </c>
      <c r="G1603">
        <v>539.98</v>
      </c>
      <c r="H1603" s="22">
        <f>VLOOKUP(A1603,[1]Orders!$A$2:$B$1616,2,0)</f>
        <v>42698</v>
      </c>
      <c r="J1603" t="s">
        <v>31</v>
      </c>
      <c r="K1603" t="s">
        <v>18</v>
      </c>
    </row>
    <row r="1604" spans="1:11" x14ac:dyDescent="0.3">
      <c r="A1604">
        <v>572</v>
      </c>
      <c r="B1604">
        <v>3</v>
      </c>
      <c r="C1604">
        <v>11</v>
      </c>
      <c r="D1604">
        <v>2</v>
      </c>
      <c r="E1604" s="1">
        <v>1680.99</v>
      </c>
      <c r="F1604" s="1">
        <v>0.2</v>
      </c>
      <c r="G1604">
        <v>3361.98</v>
      </c>
      <c r="H1604" s="22">
        <f>VLOOKUP(A1604,[1]Orders!$A$2:$B$1616,2,0)</f>
        <v>42698</v>
      </c>
      <c r="J1604" t="s">
        <v>30</v>
      </c>
      <c r="K1604" t="s">
        <v>18</v>
      </c>
    </row>
    <row r="1605" spans="1:11" x14ac:dyDescent="0.3">
      <c r="A1605">
        <v>573</v>
      </c>
      <c r="B1605">
        <v>1</v>
      </c>
      <c r="C1605">
        <v>2</v>
      </c>
      <c r="D1605">
        <v>1</v>
      </c>
      <c r="E1605" s="1">
        <v>749.99</v>
      </c>
      <c r="F1605" s="1">
        <v>0.2</v>
      </c>
      <c r="G1605">
        <v>749.99</v>
      </c>
      <c r="H1605" s="22">
        <f>VLOOKUP(A1605,[1]Orders!$A$2:$B$1616,2,0)</f>
        <v>42698</v>
      </c>
      <c r="J1605" t="s">
        <v>22</v>
      </c>
      <c r="K1605" t="s">
        <v>18</v>
      </c>
    </row>
    <row r="1606" spans="1:11" x14ac:dyDescent="0.3">
      <c r="A1606">
        <v>574</v>
      </c>
      <c r="B1606">
        <v>1</v>
      </c>
      <c r="C1606">
        <v>26</v>
      </c>
      <c r="D1606">
        <v>1</v>
      </c>
      <c r="E1606" s="1">
        <v>599.99</v>
      </c>
      <c r="F1606" s="1">
        <v>0.05</v>
      </c>
      <c r="G1606">
        <v>599.99</v>
      </c>
      <c r="H1606" s="22">
        <f>VLOOKUP(A1606,[1]Orders!$A$2:$B$1616,2,0)</f>
        <v>42700</v>
      </c>
      <c r="J1606" t="s">
        <v>14</v>
      </c>
      <c r="K1606" t="s">
        <v>18</v>
      </c>
    </row>
    <row r="1607" spans="1:11" x14ac:dyDescent="0.3">
      <c r="A1607">
        <v>574</v>
      </c>
      <c r="B1607">
        <v>2</v>
      </c>
      <c r="C1607">
        <v>13</v>
      </c>
      <c r="D1607">
        <v>2</v>
      </c>
      <c r="E1607" s="1">
        <v>269.99</v>
      </c>
      <c r="F1607" s="1">
        <v>0.1</v>
      </c>
      <c r="G1607">
        <v>539.98</v>
      </c>
      <c r="H1607" s="22">
        <f>VLOOKUP(A1607,[1]Orders!$A$2:$B$1616,2,0)</f>
        <v>42700</v>
      </c>
      <c r="J1607" t="s">
        <v>31</v>
      </c>
      <c r="K1607" t="s">
        <v>18</v>
      </c>
    </row>
    <row r="1608" spans="1:11" x14ac:dyDescent="0.3">
      <c r="A1608">
        <v>574</v>
      </c>
      <c r="B1608">
        <v>3</v>
      </c>
      <c r="C1608">
        <v>12</v>
      </c>
      <c r="D1608">
        <v>2</v>
      </c>
      <c r="E1608" s="1">
        <v>549.99</v>
      </c>
      <c r="F1608" s="1">
        <v>0.1</v>
      </c>
      <c r="G1608">
        <v>1099.98</v>
      </c>
      <c r="H1608" s="22">
        <f>VLOOKUP(A1608,[1]Orders!$A$2:$B$1616,2,0)</f>
        <v>42700</v>
      </c>
      <c r="J1608" t="s">
        <v>25</v>
      </c>
      <c r="K1608" t="s">
        <v>18</v>
      </c>
    </row>
    <row r="1609" spans="1:11" x14ac:dyDescent="0.3">
      <c r="A1609">
        <v>574</v>
      </c>
      <c r="B1609">
        <v>4</v>
      </c>
      <c r="C1609">
        <v>23</v>
      </c>
      <c r="D1609">
        <v>2</v>
      </c>
      <c r="E1609" s="1">
        <v>299.99</v>
      </c>
      <c r="F1609" s="1">
        <v>0.1</v>
      </c>
      <c r="G1609">
        <v>599.98</v>
      </c>
      <c r="H1609" s="22">
        <f>VLOOKUP(A1609,[1]Orders!$A$2:$B$1616,2,0)</f>
        <v>42700</v>
      </c>
      <c r="J1609" t="s">
        <v>33</v>
      </c>
      <c r="K1609" t="s">
        <v>18</v>
      </c>
    </row>
    <row r="1610" spans="1:11" x14ac:dyDescent="0.3">
      <c r="A1610">
        <v>574</v>
      </c>
      <c r="B1610">
        <v>5</v>
      </c>
      <c r="C1610">
        <v>11</v>
      </c>
      <c r="D1610">
        <v>2</v>
      </c>
      <c r="E1610" s="1">
        <v>1680.99</v>
      </c>
      <c r="F1610" s="1">
        <v>0.05</v>
      </c>
      <c r="G1610">
        <v>3361.98</v>
      </c>
      <c r="H1610" s="22">
        <f>VLOOKUP(A1610,[1]Orders!$A$2:$B$1616,2,0)</f>
        <v>42700</v>
      </c>
      <c r="J1610" t="s">
        <v>30</v>
      </c>
      <c r="K1610" t="s">
        <v>18</v>
      </c>
    </row>
    <row r="1611" spans="1:11" x14ac:dyDescent="0.3">
      <c r="A1611">
        <v>575</v>
      </c>
      <c r="B1611">
        <v>1</v>
      </c>
      <c r="C1611">
        <v>4</v>
      </c>
      <c r="D1611">
        <v>2</v>
      </c>
      <c r="E1611" s="1">
        <v>2899.99</v>
      </c>
      <c r="F1611" s="1">
        <v>7.0000000000000007E-2</v>
      </c>
      <c r="G1611">
        <v>5799.98</v>
      </c>
      <c r="H1611" s="22">
        <f>VLOOKUP(A1611,[1]Orders!$A$2:$B$1616,2,0)</f>
        <v>42701</v>
      </c>
      <c r="J1611" t="s">
        <v>16</v>
      </c>
      <c r="K1611" t="s">
        <v>11</v>
      </c>
    </row>
    <row r="1612" spans="1:11" x14ac:dyDescent="0.3">
      <c r="A1612">
        <v>575</v>
      </c>
      <c r="B1612">
        <v>2</v>
      </c>
      <c r="C1612">
        <v>12</v>
      </c>
      <c r="D1612">
        <v>1</v>
      </c>
      <c r="E1612" s="1">
        <v>549.99</v>
      </c>
      <c r="F1612" s="1">
        <v>0.2</v>
      </c>
      <c r="G1612">
        <v>549.99</v>
      </c>
      <c r="H1612" s="22">
        <f>VLOOKUP(A1612,[1]Orders!$A$2:$B$1616,2,0)</f>
        <v>42701</v>
      </c>
      <c r="J1612" t="s">
        <v>25</v>
      </c>
      <c r="K1612" t="s">
        <v>11</v>
      </c>
    </row>
    <row r="1613" spans="1:11" x14ac:dyDescent="0.3">
      <c r="A1613">
        <v>576</v>
      </c>
      <c r="B1613">
        <v>1</v>
      </c>
      <c r="C1613">
        <v>9</v>
      </c>
      <c r="D1613">
        <v>1</v>
      </c>
      <c r="E1613" s="1">
        <v>2999.99</v>
      </c>
      <c r="F1613" s="1">
        <v>0.1</v>
      </c>
      <c r="G1613">
        <v>2999.99</v>
      </c>
      <c r="H1613" s="22">
        <f>VLOOKUP(A1613,[1]Orders!$A$2:$B$1616,2,0)</f>
        <v>42701</v>
      </c>
      <c r="J1613" t="s">
        <v>26</v>
      </c>
      <c r="K1613" t="s">
        <v>11</v>
      </c>
    </row>
    <row r="1614" spans="1:11" x14ac:dyDescent="0.3">
      <c r="A1614">
        <v>577</v>
      </c>
      <c r="B1614">
        <v>1</v>
      </c>
      <c r="C1614">
        <v>3</v>
      </c>
      <c r="D1614">
        <v>2</v>
      </c>
      <c r="E1614" s="1">
        <v>999.99</v>
      </c>
      <c r="F1614" s="1">
        <v>0.2</v>
      </c>
      <c r="G1614">
        <v>1999.98</v>
      </c>
      <c r="H1614" s="22">
        <f>VLOOKUP(A1614,[1]Orders!$A$2:$B$1616,2,0)</f>
        <v>42701</v>
      </c>
      <c r="J1614" t="s">
        <v>20</v>
      </c>
      <c r="K1614" t="s">
        <v>18</v>
      </c>
    </row>
    <row r="1615" spans="1:11" x14ac:dyDescent="0.3">
      <c r="A1615">
        <v>578</v>
      </c>
      <c r="B1615">
        <v>1</v>
      </c>
      <c r="C1615">
        <v>21</v>
      </c>
      <c r="D1615">
        <v>1</v>
      </c>
      <c r="E1615" s="1">
        <v>269.99</v>
      </c>
      <c r="F1615" s="1">
        <v>7.0000000000000007E-2</v>
      </c>
      <c r="G1615">
        <v>269.99</v>
      </c>
      <c r="H1615" s="22">
        <f>VLOOKUP(A1615,[1]Orders!$A$2:$B$1616,2,0)</f>
        <v>42701</v>
      </c>
      <c r="J1615" t="s">
        <v>31</v>
      </c>
      <c r="K1615" t="s">
        <v>18</v>
      </c>
    </row>
    <row r="1616" spans="1:11" x14ac:dyDescent="0.3">
      <c r="A1616">
        <v>578</v>
      </c>
      <c r="B1616">
        <v>2</v>
      </c>
      <c r="C1616">
        <v>25</v>
      </c>
      <c r="D1616">
        <v>2</v>
      </c>
      <c r="E1616" s="1">
        <v>499.99</v>
      </c>
      <c r="F1616" s="1">
        <v>0.2</v>
      </c>
      <c r="G1616">
        <v>999.98</v>
      </c>
      <c r="H1616" s="22">
        <f>VLOOKUP(A1616,[1]Orders!$A$2:$B$1616,2,0)</f>
        <v>42701</v>
      </c>
      <c r="J1616" t="s">
        <v>35</v>
      </c>
      <c r="K1616" t="s">
        <v>18</v>
      </c>
    </row>
    <row r="1617" spans="1:11" x14ac:dyDescent="0.3">
      <c r="A1617">
        <v>578</v>
      </c>
      <c r="B1617">
        <v>3</v>
      </c>
      <c r="C1617">
        <v>18</v>
      </c>
      <c r="D1617">
        <v>2</v>
      </c>
      <c r="E1617" s="1">
        <v>449</v>
      </c>
      <c r="F1617" s="1">
        <v>0.05</v>
      </c>
      <c r="G1617">
        <v>898</v>
      </c>
      <c r="H1617" s="22">
        <f>VLOOKUP(A1617,[1]Orders!$A$2:$B$1616,2,0)</f>
        <v>42701</v>
      </c>
      <c r="J1617" t="s">
        <v>24</v>
      </c>
      <c r="K1617" t="s">
        <v>18</v>
      </c>
    </row>
    <row r="1618" spans="1:11" x14ac:dyDescent="0.3">
      <c r="A1618">
        <v>578</v>
      </c>
      <c r="B1618">
        <v>4</v>
      </c>
      <c r="C1618">
        <v>8</v>
      </c>
      <c r="D1618">
        <v>2</v>
      </c>
      <c r="E1618" s="1">
        <v>1799.99</v>
      </c>
      <c r="F1618" s="1">
        <v>0.2</v>
      </c>
      <c r="G1618">
        <v>3599.98</v>
      </c>
      <c r="H1618" s="22">
        <f>VLOOKUP(A1618,[1]Orders!$A$2:$B$1616,2,0)</f>
        <v>42701</v>
      </c>
      <c r="J1618" t="s">
        <v>12</v>
      </c>
      <c r="K1618" t="s">
        <v>18</v>
      </c>
    </row>
    <row r="1619" spans="1:11" x14ac:dyDescent="0.3">
      <c r="A1619">
        <v>579</v>
      </c>
      <c r="B1619">
        <v>1</v>
      </c>
      <c r="C1619">
        <v>7</v>
      </c>
      <c r="D1619">
        <v>2</v>
      </c>
      <c r="E1619" s="1">
        <v>3999.99</v>
      </c>
      <c r="F1619" s="1">
        <v>0.05</v>
      </c>
      <c r="G1619">
        <v>7999.98</v>
      </c>
      <c r="H1619" s="22">
        <f>VLOOKUP(A1619,[1]Orders!$A$2:$B$1616,2,0)</f>
        <v>42701</v>
      </c>
      <c r="J1619" t="s">
        <v>29</v>
      </c>
      <c r="K1619" t="s">
        <v>37</v>
      </c>
    </row>
    <row r="1620" spans="1:11" x14ac:dyDescent="0.3">
      <c r="A1620">
        <v>579</v>
      </c>
      <c r="B1620">
        <v>2</v>
      </c>
      <c r="C1620">
        <v>6</v>
      </c>
      <c r="D1620">
        <v>1</v>
      </c>
      <c r="E1620" s="1">
        <v>469.99</v>
      </c>
      <c r="F1620" s="1">
        <v>0.2</v>
      </c>
      <c r="G1620">
        <v>469.99</v>
      </c>
      <c r="H1620" s="22">
        <f>VLOOKUP(A1620,[1]Orders!$A$2:$B$1616,2,0)</f>
        <v>42701</v>
      </c>
      <c r="J1620" t="s">
        <v>32</v>
      </c>
      <c r="K1620" t="s">
        <v>37</v>
      </c>
    </row>
    <row r="1621" spans="1:11" x14ac:dyDescent="0.3">
      <c r="A1621">
        <v>580</v>
      </c>
      <c r="B1621">
        <v>1</v>
      </c>
      <c r="C1621">
        <v>16</v>
      </c>
      <c r="D1621">
        <v>2</v>
      </c>
      <c r="E1621" s="1">
        <v>599.99</v>
      </c>
      <c r="F1621" s="1">
        <v>0.2</v>
      </c>
      <c r="G1621">
        <v>1199.98</v>
      </c>
      <c r="H1621" s="22">
        <f>VLOOKUP(A1621,[1]Orders!$A$2:$B$1616,2,0)</f>
        <v>42704</v>
      </c>
      <c r="J1621" t="s">
        <v>14</v>
      </c>
      <c r="K1621" t="s">
        <v>11</v>
      </c>
    </row>
    <row r="1622" spans="1:11" x14ac:dyDescent="0.3">
      <c r="A1622">
        <v>580</v>
      </c>
      <c r="B1622">
        <v>2</v>
      </c>
      <c r="C1622">
        <v>15</v>
      </c>
      <c r="D1622">
        <v>1</v>
      </c>
      <c r="E1622" s="1">
        <v>529.99</v>
      </c>
      <c r="F1622" s="1">
        <v>7.0000000000000007E-2</v>
      </c>
      <c r="G1622">
        <v>529.99</v>
      </c>
      <c r="H1622" s="22">
        <f>VLOOKUP(A1622,[1]Orders!$A$2:$B$1616,2,0)</f>
        <v>42704</v>
      </c>
      <c r="J1622" t="s">
        <v>27</v>
      </c>
      <c r="K1622" t="s">
        <v>11</v>
      </c>
    </row>
    <row r="1623" spans="1:11" x14ac:dyDescent="0.3">
      <c r="A1623">
        <v>580</v>
      </c>
      <c r="B1623">
        <v>3</v>
      </c>
      <c r="C1623">
        <v>21</v>
      </c>
      <c r="D1623">
        <v>2</v>
      </c>
      <c r="E1623" s="1">
        <v>269.99</v>
      </c>
      <c r="F1623" s="1">
        <v>0.2</v>
      </c>
      <c r="G1623">
        <v>539.98</v>
      </c>
      <c r="H1623" s="22">
        <f>VLOOKUP(A1623,[1]Orders!$A$2:$B$1616,2,0)</f>
        <v>42704</v>
      </c>
      <c r="J1623" t="s">
        <v>31</v>
      </c>
      <c r="K1623" t="s">
        <v>11</v>
      </c>
    </row>
    <row r="1624" spans="1:11" x14ac:dyDescent="0.3">
      <c r="A1624">
        <v>580</v>
      </c>
      <c r="B1624">
        <v>4</v>
      </c>
      <c r="C1624">
        <v>9</v>
      </c>
      <c r="D1624">
        <v>2</v>
      </c>
      <c r="E1624" s="1">
        <v>2999.99</v>
      </c>
      <c r="F1624" s="1">
        <v>7.0000000000000007E-2</v>
      </c>
      <c r="G1624">
        <v>5999.98</v>
      </c>
      <c r="H1624" s="22">
        <f>VLOOKUP(A1624,[1]Orders!$A$2:$B$1616,2,0)</f>
        <v>42704</v>
      </c>
      <c r="J1624" t="s">
        <v>26</v>
      </c>
      <c r="K1624" t="s">
        <v>11</v>
      </c>
    </row>
    <row r="1625" spans="1:11" x14ac:dyDescent="0.3">
      <c r="A1625">
        <v>580</v>
      </c>
      <c r="B1625">
        <v>5</v>
      </c>
      <c r="C1625">
        <v>19</v>
      </c>
      <c r="D1625">
        <v>1</v>
      </c>
      <c r="E1625" s="1">
        <v>449</v>
      </c>
      <c r="F1625" s="1">
        <v>0.2</v>
      </c>
      <c r="G1625">
        <v>449</v>
      </c>
      <c r="H1625" s="22">
        <f>VLOOKUP(A1625,[1]Orders!$A$2:$B$1616,2,0)</f>
        <v>42704</v>
      </c>
      <c r="J1625" t="s">
        <v>36</v>
      </c>
      <c r="K1625" t="s">
        <v>11</v>
      </c>
    </row>
    <row r="1626" spans="1:11" x14ac:dyDescent="0.3">
      <c r="A1626">
        <v>581</v>
      </c>
      <c r="B1626">
        <v>1</v>
      </c>
      <c r="C1626">
        <v>8</v>
      </c>
      <c r="D1626">
        <v>2</v>
      </c>
      <c r="E1626" s="1">
        <v>1799.99</v>
      </c>
      <c r="F1626" s="1">
        <v>7.0000000000000007E-2</v>
      </c>
      <c r="G1626">
        <v>3599.98</v>
      </c>
      <c r="H1626" s="22">
        <f>VLOOKUP(A1626,[1]Orders!$A$2:$B$1616,2,0)</f>
        <v>42707</v>
      </c>
      <c r="J1626" t="s">
        <v>12</v>
      </c>
      <c r="K1626" t="s">
        <v>11</v>
      </c>
    </row>
    <row r="1627" spans="1:11" x14ac:dyDescent="0.3">
      <c r="A1627">
        <v>582</v>
      </c>
      <c r="B1627">
        <v>1</v>
      </c>
      <c r="C1627">
        <v>10</v>
      </c>
      <c r="D1627">
        <v>2</v>
      </c>
      <c r="E1627" s="1">
        <v>1549</v>
      </c>
      <c r="F1627" s="1">
        <v>0.2</v>
      </c>
      <c r="G1627">
        <v>3098</v>
      </c>
      <c r="H1627" s="22">
        <f>VLOOKUP(A1627,[1]Orders!$A$2:$B$1616,2,0)</f>
        <v>42708</v>
      </c>
      <c r="J1627" t="s">
        <v>13</v>
      </c>
      <c r="K1627" t="s">
        <v>11</v>
      </c>
    </row>
    <row r="1628" spans="1:11" x14ac:dyDescent="0.3">
      <c r="A1628">
        <v>582</v>
      </c>
      <c r="B1628">
        <v>2</v>
      </c>
      <c r="C1628">
        <v>17</v>
      </c>
      <c r="D1628">
        <v>2</v>
      </c>
      <c r="E1628" s="1">
        <v>429</v>
      </c>
      <c r="F1628" s="1">
        <v>7.0000000000000007E-2</v>
      </c>
      <c r="G1628">
        <v>858</v>
      </c>
      <c r="H1628" s="22">
        <f>VLOOKUP(A1628,[1]Orders!$A$2:$B$1616,2,0)</f>
        <v>42708</v>
      </c>
      <c r="J1628" t="s">
        <v>23</v>
      </c>
      <c r="K1628" t="s">
        <v>11</v>
      </c>
    </row>
    <row r="1629" spans="1:11" x14ac:dyDescent="0.3">
      <c r="A1629">
        <v>583</v>
      </c>
      <c r="B1629">
        <v>1</v>
      </c>
      <c r="C1629">
        <v>15</v>
      </c>
      <c r="D1629">
        <v>2</v>
      </c>
      <c r="E1629" s="1">
        <v>529.99</v>
      </c>
      <c r="F1629" s="1">
        <v>0.2</v>
      </c>
      <c r="G1629">
        <v>1059.98</v>
      </c>
      <c r="H1629" s="22">
        <f>VLOOKUP(A1629,[1]Orders!$A$2:$B$1616,2,0)</f>
        <v>42708</v>
      </c>
      <c r="J1629" t="s">
        <v>27</v>
      </c>
      <c r="K1629" t="s">
        <v>18</v>
      </c>
    </row>
    <row r="1630" spans="1:11" x14ac:dyDescent="0.3">
      <c r="A1630">
        <v>584</v>
      </c>
      <c r="B1630">
        <v>1</v>
      </c>
      <c r="C1630">
        <v>19</v>
      </c>
      <c r="D1630">
        <v>1</v>
      </c>
      <c r="E1630" s="1">
        <v>449</v>
      </c>
      <c r="F1630" s="1">
        <v>7.0000000000000007E-2</v>
      </c>
      <c r="G1630">
        <v>449</v>
      </c>
      <c r="H1630" s="22">
        <f>VLOOKUP(A1630,[1]Orders!$A$2:$B$1616,2,0)</f>
        <v>42708</v>
      </c>
      <c r="J1630" t="s">
        <v>36</v>
      </c>
      <c r="K1630" t="s">
        <v>18</v>
      </c>
    </row>
    <row r="1631" spans="1:11" x14ac:dyDescent="0.3">
      <c r="A1631">
        <v>584</v>
      </c>
      <c r="B1631">
        <v>2</v>
      </c>
      <c r="C1631">
        <v>23</v>
      </c>
      <c r="D1631">
        <v>1</v>
      </c>
      <c r="E1631" s="1">
        <v>299.99</v>
      </c>
      <c r="F1631" s="1">
        <v>7.0000000000000007E-2</v>
      </c>
      <c r="G1631">
        <v>299.99</v>
      </c>
      <c r="H1631" s="22">
        <f>VLOOKUP(A1631,[1]Orders!$A$2:$B$1616,2,0)</f>
        <v>42708</v>
      </c>
      <c r="J1631" t="s">
        <v>33</v>
      </c>
      <c r="K1631" t="s">
        <v>18</v>
      </c>
    </row>
    <row r="1632" spans="1:11" x14ac:dyDescent="0.3">
      <c r="A1632">
        <v>584</v>
      </c>
      <c r="B1632">
        <v>3</v>
      </c>
      <c r="C1632">
        <v>15</v>
      </c>
      <c r="D1632">
        <v>1</v>
      </c>
      <c r="E1632" s="1">
        <v>529.99</v>
      </c>
      <c r="F1632" s="1">
        <v>0.1</v>
      </c>
      <c r="G1632">
        <v>529.99</v>
      </c>
      <c r="H1632" s="22">
        <f>VLOOKUP(A1632,[1]Orders!$A$2:$B$1616,2,0)</f>
        <v>42708</v>
      </c>
      <c r="J1632" t="s">
        <v>27</v>
      </c>
      <c r="K1632" t="s">
        <v>18</v>
      </c>
    </row>
    <row r="1633" spans="1:11" x14ac:dyDescent="0.3">
      <c r="A1633">
        <v>584</v>
      </c>
      <c r="B1633">
        <v>4</v>
      </c>
      <c r="C1633">
        <v>22</v>
      </c>
      <c r="D1633">
        <v>1</v>
      </c>
      <c r="E1633" s="1">
        <v>269.99</v>
      </c>
      <c r="F1633" s="1">
        <v>0.05</v>
      </c>
      <c r="G1633">
        <v>269.99</v>
      </c>
      <c r="H1633" s="22">
        <f>VLOOKUP(A1633,[1]Orders!$A$2:$B$1616,2,0)</f>
        <v>42708</v>
      </c>
      <c r="J1633" t="s">
        <v>28</v>
      </c>
      <c r="K1633" t="s">
        <v>18</v>
      </c>
    </row>
    <row r="1634" spans="1:11" x14ac:dyDescent="0.3">
      <c r="A1634">
        <v>584</v>
      </c>
      <c r="B1634">
        <v>5</v>
      </c>
      <c r="C1634">
        <v>8</v>
      </c>
      <c r="D1634">
        <v>2</v>
      </c>
      <c r="E1634" s="1">
        <v>1799.99</v>
      </c>
      <c r="F1634" s="1">
        <v>7.0000000000000007E-2</v>
      </c>
      <c r="G1634">
        <v>3599.98</v>
      </c>
      <c r="H1634" s="22">
        <f>VLOOKUP(A1634,[1]Orders!$A$2:$B$1616,2,0)</f>
        <v>42708</v>
      </c>
      <c r="J1634" t="s">
        <v>12</v>
      </c>
      <c r="K1634" t="s">
        <v>18</v>
      </c>
    </row>
    <row r="1635" spans="1:11" x14ac:dyDescent="0.3">
      <c r="A1635">
        <v>585</v>
      </c>
      <c r="B1635">
        <v>1</v>
      </c>
      <c r="C1635">
        <v>10</v>
      </c>
      <c r="D1635">
        <v>1</v>
      </c>
      <c r="E1635" s="1">
        <v>1549</v>
      </c>
      <c r="F1635" s="1">
        <v>0.2</v>
      </c>
      <c r="G1635">
        <v>1549</v>
      </c>
      <c r="H1635" s="22">
        <f>VLOOKUP(A1635,[1]Orders!$A$2:$B$1616,2,0)</f>
        <v>42708</v>
      </c>
      <c r="J1635" t="s">
        <v>13</v>
      </c>
      <c r="K1635" t="s">
        <v>18</v>
      </c>
    </row>
    <row r="1636" spans="1:11" x14ac:dyDescent="0.3">
      <c r="A1636">
        <v>585</v>
      </c>
      <c r="B1636">
        <v>2</v>
      </c>
      <c r="C1636">
        <v>18</v>
      </c>
      <c r="D1636">
        <v>2</v>
      </c>
      <c r="E1636" s="1">
        <v>449</v>
      </c>
      <c r="F1636" s="1">
        <v>0.2</v>
      </c>
      <c r="G1636">
        <v>898</v>
      </c>
      <c r="H1636" s="22">
        <f>VLOOKUP(A1636,[1]Orders!$A$2:$B$1616,2,0)</f>
        <v>42708</v>
      </c>
      <c r="J1636" t="s">
        <v>24</v>
      </c>
      <c r="K1636" t="s">
        <v>18</v>
      </c>
    </row>
    <row r="1637" spans="1:11" x14ac:dyDescent="0.3">
      <c r="A1637">
        <v>585</v>
      </c>
      <c r="B1637">
        <v>3</v>
      </c>
      <c r="C1637">
        <v>15</v>
      </c>
      <c r="D1637">
        <v>1</v>
      </c>
      <c r="E1637" s="1">
        <v>529.99</v>
      </c>
      <c r="F1637" s="1">
        <v>0.05</v>
      </c>
      <c r="G1637">
        <v>529.99</v>
      </c>
      <c r="H1637" s="22">
        <f>VLOOKUP(A1637,[1]Orders!$A$2:$B$1616,2,0)</f>
        <v>42708</v>
      </c>
      <c r="J1637" t="s">
        <v>27</v>
      </c>
      <c r="K1637" t="s">
        <v>18</v>
      </c>
    </row>
    <row r="1638" spans="1:11" x14ac:dyDescent="0.3">
      <c r="A1638">
        <v>585</v>
      </c>
      <c r="B1638">
        <v>4</v>
      </c>
      <c r="C1638">
        <v>12</v>
      </c>
      <c r="D1638">
        <v>2</v>
      </c>
      <c r="E1638" s="1">
        <v>549.99</v>
      </c>
      <c r="F1638" s="1">
        <v>7.0000000000000007E-2</v>
      </c>
      <c r="G1638">
        <v>1099.98</v>
      </c>
      <c r="H1638" s="22">
        <f>VLOOKUP(A1638,[1]Orders!$A$2:$B$1616,2,0)</f>
        <v>42708</v>
      </c>
      <c r="J1638" t="s">
        <v>25</v>
      </c>
      <c r="K1638" t="s">
        <v>18</v>
      </c>
    </row>
    <row r="1639" spans="1:11" x14ac:dyDescent="0.3">
      <c r="A1639">
        <v>586</v>
      </c>
      <c r="B1639">
        <v>1</v>
      </c>
      <c r="C1639">
        <v>11</v>
      </c>
      <c r="D1639">
        <v>2</v>
      </c>
      <c r="E1639" s="1">
        <v>1680.99</v>
      </c>
      <c r="F1639" s="1">
        <v>0.1</v>
      </c>
      <c r="G1639">
        <v>3361.98</v>
      </c>
      <c r="H1639" s="22">
        <f>VLOOKUP(A1639,[1]Orders!$A$2:$B$1616,2,0)</f>
        <v>42708</v>
      </c>
      <c r="J1639" t="s">
        <v>30</v>
      </c>
      <c r="K1639" t="s">
        <v>18</v>
      </c>
    </row>
    <row r="1640" spans="1:11" x14ac:dyDescent="0.3">
      <c r="A1640">
        <v>586</v>
      </c>
      <c r="B1640">
        <v>2</v>
      </c>
      <c r="C1640">
        <v>23</v>
      </c>
      <c r="D1640">
        <v>2</v>
      </c>
      <c r="E1640" s="1">
        <v>299.99</v>
      </c>
      <c r="F1640" s="1">
        <v>0.2</v>
      </c>
      <c r="G1640">
        <v>599.98</v>
      </c>
      <c r="H1640" s="22">
        <f>VLOOKUP(A1640,[1]Orders!$A$2:$B$1616,2,0)</f>
        <v>42708</v>
      </c>
      <c r="J1640" t="s">
        <v>33</v>
      </c>
      <c r="K1640" t="s">
        <v>18</v>
      </c>
    </row>
    <row r="1641" spans="1:11" x14ac:dyDescent="0.3">
      <c r="A1641">
        <v>587</v>
      </c>
      <c r="B1641">
        <v>1</v>
      </c>
      <c r="C1641">
        <v>24</v>
      </c>
      <c r="D1641">
        <v>1</v>
      </c>
      <c r="E1641" s="1">
        <v>549.99</v>
      </c>
      <c r="F1641" s="1">
        <v>0.05</v>
      </c>
      <c r="G1641">
        <v>549.99</v>
      </c>
      <c r="H1641" s="22">
        <f>VLOOKUP(A1641,[1]Orders!$A$2:$B$1616,2,0)</f>
        <v>42710</v>
      </c>
      <c r="J1641" t="s">
        <v>25</v>
      </c>
      <c r="K1641" t="s">
        <v>11</v>
      </c>
    </row>
    <row r="1642" spans="1:11" x14ac:dyDescent="0.3">
      <c r="A1642">
        <v>587</v>
      </c>
      <c r="B1642">
        <v>2</v>
      </c>
      <c r="C1642">
        <v>23</v>
      </c>
      <c r="D1642">
        <v>1</v>
      </c>
      <c r="E1642" s="1">
        <v>299.99</v>
      </c>
      <c r="F1642" s="1">
        <v>0.05</v>
      </c>
      <c r="G1642">
        <v>299.99</v>
      </c>
      <c r="H1642" s="22">
        <f>VLOOKUP(A1642,[1]Orders!$A$2:$B$1616,2,0)</f>
        <v>42710</v>
      </c>
      <c r="J1642" t="s">
        <v>33</v>
      </c>
      <c r="K1642" t="s">
        <v>11</v>
      </c>
    </row>
    <row r="1643" spans="1:11" x14ac:dyDescent="0.3">
      <c r="A1643">
        <v>587</v>
      </c>
      <c r="B1643">
        <v>3</v>
      </c>
      <c r="C1643">
        <v>18</v>
      </c>
      <c r="D1643">
        <v>1</v>
      </c>
      <c r="E1643" s="1">
        <v>449</v>
      </c>
      <c r="F1643" s="1">
        <v>0.05</v>
      </c>
      <c r="G1643">
        <v>449</v>
      </c>
      <c r="H1643" s="22">
        <f>VLOOKUP(A1643,[1]Orders!$A$2:$B$1616,2,0)</f>
        <v>42710</v>
      </c>
      <c r="J1643" t="s">
        <v>24</v>
      </c>
      <c r="K1643" t="s">
        <v>11</v>
      </c>
    </row>
    <row r="1644" spans="1:11" x14ac:dyDescent="0.3">
      <c r="A1644">
        <v>587</v>
      </c>
      <c r="B1644">
        <v>4</v>
      </c>
      <c r="C1644">
        <v>21</v>
      </c>
      <c r="D1644">
        <v>1</v>
      </c>
      <c r="E1644" s="1">
        <v>269.99</v>
      </c>
      <c r="F1644" s="1">
        <v>0.2</v>
      </c>
      <c r="G1644">
        <v>269.99</v>
      </c>
      <c r="H1644" s="22">
        <f>VLOOKUP(A1644,[1]Orders!$A$2:$B$1616,2,0)</f>
        <v>42710</v>
      </c>
      <c r="J1644" t="s">
        <v>31</v>
      </c>
      <c r="K1644" t="s">
        <v>11</v>
      </c>
    </row>
    <row r="1645" spans="1:11" x14ac:dyDescent="0.3">
      <c r="A1645">
        <v>588</v>
      </c>
      <c r="B1645">
        <v>1</v>
      </c>
      <c r="C1645">
        <v>10</v>
      </c>
      <c r="D1645">
        <v>2</v>
      </c>
      <c r="E1645" s="1">
        <v>1549</v>
      </c>
      <c r="F1645" s="1">
        <v>7.0000000000000007E-2</v>
      </c>
      <c r="G1645">
        <v>3098</v>
      </c>
      <c r="H1645" s="22">
        <f>VLOOKUP(A1645,[1]Orders!$A$2:$B$1616,2,0)</f>
        <v>42710</v>
      </c>
      <c r="J1645" t="s">
        <v>13</v>
      </c>
      <c r="K1645" t="s">
        <v>18</v>
      </c>
    </row>
    <row r="1646" spans="1:11" x14ac:dyDescent="0.3">
      <c r="A1646">
        <v>588</v>
      </c>
      <c r="B1646">
        <v>2</v>
      </c>
      <c r="C1646">
        <v>23</v>
      </c>
      <c r="D1646">
        <v>1</v>
      </c>
      <c r="E1646" s="1">
        <v>299.99</v>
      </c>
      <c r="F1646" s="1">
        <v>0.2</v>
      </c>
      <c r="G1646">
        <v>299.99</v>
      </c>
      <c r="H1646" s="22">
        <f>VLOOKUP(A1646,[1]Orders!$A$2:$B$1616,2,0)</f>
        <v>42710</v>
      </c>
      <c r="J1646" t="s">
        <v>33</v>
      </c>
      <c r="K1646" t="s">
        <v>18</v>
      </c>
    </row>
    <row r="1647" spans="1:11" x14ac:dyDescent="0.3">
      <c r="A1647">
        <v>589</v>
      </c>
      <c r="B1647">
        <v>1</v>
      </c>
      <c r="C1647">
        <v>15</v>
      </c>
      <c r="D1647">
        <v>2</v>
      </c>
      <c r="E1647" s="1">
        <v>529.99</v>
      </c>
      <c r="F1647" s="1">
        <v>0.05</v>
      </c>
      <c r="G1647">
        <v>1059.98</v>
      </c>
      <c r="H1647" s="22">
        <f>VLOOKUP(A1647,[1]Orders!$A$2:$B$1616,2,0)</f>
        <v>42710</v>
      </c>
      <c r="J1647" t="s">
        <v>27</v>
      </c>
      <c r="K1647" t="s">
        <v>18</v>
      </c>
    </row>
    <row r="1648" spans="1:11" x14ac:dyDescent="0.3">
      <c r="A1648">
        <v>590</v>
      </c>
      <c r="B1648">
        <v>1</v>
      </c>
      <c r="C1648">
        <v>2</v>
      </c>
      <c r="D1648">
        <v>2</v>
      </c>
      <c r="E1648" s="1">
        <v>749.99</v>
      </c>
      <c r="F1648" s="1">
        <v>0.1</v>
      </c>
      <c r="G1648">
        <v>1499.98</v>
      </c>
      <c r="H1648" s="22">
        <f>VLOOKUP(A1648,[1]Orders!$A$2:$B$1616,2,0)</f>
        <v>42710</v>
      </c>
      <c r="J1648" t="s">
        <v>22</v>
      </c>
      <c r="K1648" t="s">
        <v>18</v>
      </c>
    </row>
    <row r="1649" spans="1:11" x14ac:dyDescent="0.3">
      <c r="A1649">
        <v>590</v>
      </c>
      <c r="B1649">
        <v>2</v>
      </c>
      <c r="C1649">
        <v>20</v>
      </c>
      <c r="D1649">
        <v>1</v>
      </c>
      <c r="E1649" s="1">
        <v>599.99</v>
      </c>
      <c r="F1649" s="1">
        <v>7.0000000000000007E-2</v>
      </c>
      <c r="G1649">
        <v>599.99</v>
      </c>
      <c r="H1649" s="22">
        <f>VLOOKUP(A1649,[1]Orders!$A$2:$B$1616,2,0)</f>
        <v>42710</v>
      </c>
      <c r="J1649" t="s">
        <v>10</v>
      </c>
      <c r="K1649" t="s">
        <v>18</v>
      </c>
    </row>
    <row r="1650" spans="1:11" x14ac:dyDescent="0.3">
      <c r="A1650">
        <v>590</v>
      </c>
      <c r="B1650">
        <v>3</v>
      </c>
      <c r="C1650">
        <v>8</v>
      </c>
      <c r="D1650">
        <v>2</v>
      </c>
      <c r="E1650" s="1">
        <v>1799.99</v>
      </c>
      <c r="F1650" s="1">
        <v>0.05</v>
      </c>
      <c r="G1650">
        <v>3599.98</v>
      </c>
      <c r="H1650" s="22">
        <f>VLOOKUP(A1650,[1]Orders!$A$2:$B$1616,2,0)</f>
        <v>42710</v>
      </c>
      <c r="J1650" t="s">
        <v>12</v>
      </c>
      <c r="K1650" t="s">
        <v>18</v>
      </c>
    </row>
    <row r="1651" spans="1:11" x14ac:dyDescent="0.3">
      <c r="A1651">
        <v>590</v>
      </c>
      <c r="B1651">
        <v>4</v>
      </c>
      <c r="C1651">
        <v>5</v>
      </c>
      <c r="D1651">
        <v>2</v>
      </c>
      <c r="E1651" s="1">
        <v>1320.99</v>
      </c>
      <c r="F1651" s="1">
        <v>0.1</v>
      </c>
      <c r="G1651">
        <v>2641.98</v>
      </c>
      <c r="H1651" s="22">
        <f>VLOOKUP(A1651,[1]Orders!$A$2:$B$1616,2,0)</f>
        <v>42710</v>
      </c>
      <c r="J1651" t="s">
        <v>34</v>
      </c>
      <c r="K1651" t="s">
        <v>18</v>
      </c>
    </row>
    <row r="1652" spans="1:11" x14ac:dyDescent="0.3">
      <c r="A1652">
        <v>590</v>
      </c>
      <c r="B1652">
        <v>5</v>
      </c>
      <c r="C1652">
        <v>24</v>
      </c>
      <c r="D1652">
        <v>1</v>
      </c>
      <c r="E1652" s="1">
        <v>549.99</v>
      </c>
      <c r="F1652" s="1">
        <v>0.1</v>
      </c>
      <c r="G1652">
        <v>549.99</v>
      </c>
      <c r="H1652" s="22">
        <f>VLOOKUP(A1652,[1]Orders!$A$2:$B$1616,2,0)</f>
        <v>42710</v>
      </c>
      <c r="J1652" t="s">
        <v>25</v>
      </c>
      <c r="K1652" t="s">
        <v>18</v>
      </c>
    </row>
    <row r="1653" spans="1:11" x14ac:dyDescent="0.3">
      <c r="A1653">
        <v>591</v>
      </c>
      <c r="B1653">
        <v>1</v>
      </c>
      <c r="C1653">
        <v>16</v>
      </c>
      <c r="D1653">
        <v>2</v>
      </c>
      <c r="E1653" s="1">
        <v>599.99</v>
      </c>
      <c r="F1653" s="1">
        <v>0.05</v>
      </c>
      <c r="G1653">
        <v>1199.98</v>
      </c>
      <c r="H1653" s="22">
        <f>VLOOKUP(A1653,[1]Orders!$A$2:$B$1616,2,0)</f>
        <v>42710</v>
      </c>
      <c r="J1653" t="s">
        <v>14</v>
      </c>
      <c r="K1653" t="s">
        <v>18</v>
      </c>
    </row>
    <row r="1654" spans="1:11" x14ac:dyDescent="0.3">
      <c r="A1654">
        <v>591</v>
      </c>
      <c r="B1654">
        <v>2</v>
      </c>
      <c r="C1654">
        <v>25</v>
      </c>
      <c r="D1654">
        <v>2</v>
      </c>
      <c r="E1654" s="1">
        <v>499.99</v>
      </c>
      <c r="F1654" s="1">
        <v>0.05</v>
      </c>
      <c r="G1654">
        <v>999.98</v>
      </c>
      <c r="H1654" s="22">
        <f>VLOOKUP(A1654,[1]Orders!$A$2:$B$1616,2,0)</f>
        <v>42710</v>
      </c>
      <c r="J1654" t="s">
        <v>35</v>
      </c>
      <c r="K1654" t="s">
        <v>18</v>
      </c>
    </row>
    <row r="1655" spans="1:11" x14ac:dyDescent="0.3">
      <c r="A1655">
        <v>591</v>
      </c>
      <c r="B1655">
        <v>3</v>
      </c>
      <c r="C1655">
        <v>2</v>
      </c>
      <c r="D1655">
        <v>2</v>
      </c>
      <c r="E1655" s="1">
        <v>749.99</v>
      </c>
      <c r="F1655" s="1">
        <v>0.1</v>
      </c>
      <c r="G1655">
        <v>1499.98</v>
      </c>
      <c r="H1655" s="22">
        <f>VLOOKUP(A1655,[1]Orders!$A$2:$B$1616,2,0)</f>
        <v>42710</v>
      </c>
      <c r="J1655" t="s">
        <v>22</v>
      </c>
      <c r="K1655" t="s">
        <v>18</v>
      </c>
    </row>
    <row r="1656" spans="1:11" x14ac:dyDescent="0.3">
      <c r="A1656">
        <v>592</v>
      </c>
      <c r="B1656">
        <v>1</v>
      </c>
      <c r="C1656">
        <v>21</v>
      </c>
      <c r="D1656">
        <v>2</v>
      </c>
      <c r="E1656" s="1">
        <v>269.99</v>
      </c>
      <c r="F1656" s="1">
        <v>0.1</v>
      </c>
      <c r="G1656">
        <v>539.98</v>
      </c>
      <c r="H1656" s="22">
        <f>VLOOKUP(A1656,[1]Orders!$A$2:$B$1616,2,0)</f>
        <v>42710</v>
      </c>
      <c r="J1656" t="s">
        <v>31</v>
      </c>
      <c r="K1656" t="s">
        <v>18</v>
      </c>
    </row>
    <row r="1657" spans="1:11" x14ac:dyDescent="0.3">
      <c r="A1657">
        <v>592</v>
      </c>
      <c r="B1657">
        <v>2</v>
      </c>
      <c r="C1657">
        <v>16</v>
      </c>
      <c r="D1657">
        <v>1</v>
      </c>
      <c r="E1657" s="1">
        <v>599.99</v>
      </c>
      <c r="F1657" s="1">
        <v>0.05</v>
      </c>
      <c r="G1657">
        <v>599.99</v>
      </c>
      <c r="H1657" s="22">
        <f>VLOOKUP(A1657,[1]Orders!$A$2:$B$1616,2,0)</f>
        <v>42710</v>
      </c>
      <c r="J1657" t="s">
        <v>14</v>
      </c>
      <c r="K1657" t="s">
        <v>18</v>
      </c>
    </row>
    <row r="1658" spans="1:11" x14ac:dyDescent="0.3">
      <c r="A1658">
        <v>592</v>
      </c>
      <c r="B1658">
        <v>3</v>
      </c>
      <c r="C1658">
        <v>18</v>
      </c>
      <c r="D1658">
        <v>2</v>
      </c>
      <c r="E1658" s="1">
        <v>449</v>
      </c>
      <c r="F1658" s="1">
        <v>7.0000000000000007E-2</v>
      </c>
      <c r="G1658">
        <v>898</v>
      </c>
      <c r="H1658" s="22">
        <f>VLOOKUP(A1658,[1]Orders!$A$2:$B$1616,2,0)</f>
        <v>42710</v>
      </c>
      <c r="J1658" t="s">
        <v>24</v>
      </c>
      <c r="K1658" t="s">
        <v>18</v>
      </c>
    </row>
    <row r="1659" spans="1:11" x14ac:dyDescent="0.3">
      <c r="A1659">
        <v>593</v>
      </c>
      <c r="B1659">
        <v>1</v>
      </c>
      <c r="C1659">
        <v>3</v>
      </c>
      <c r="D1659">
        <v>2</v>
      </c>
      <c r="E1659" s="1">
        <v>999.99</v>
      </c>
      <c r="F1659" s="1">
        <v>0.1</v>
      </c>
      <c r="G1659">
        <v>1999.98</v>
      </c>
      <c r="H1659" s="22">
        <f>VLOOKUP(A1659,[1]Orders!$A$2:$B$1616,2,0)</f>
        <v>42711</v>
      </c>
      <c r="J1659" t="s">
        <v>20</v>
      </c>
      <c r="K1659" t="s">
        <v>37</v>
      </c>
    </row>
    <row r="1660" spans="1:11" x14ac:dyDescent="0.3">
      <c r="A1660">
        <v>593</v>
      </c>
      <c r="B1660">
        <v>2</v>
      </c>
      <c r="C1660">
        <v>25</v>
      </c>
      <c r="D1660">
        <v>1</v>
      </c>
      <c r="E1660" s="1">
        <v>499.99</v>
      </c>
      <c r="F1660" s="1">
        <v>7.0000000000000007E-2</v>
      </c>
      <c r="G1660">
        <v>499.99</v>
      </c>
      <c r="H1660" s="22">
        <f>VLOOKUP(A1660,[1]Orders!$A$2:$B$1616,2,0)</f>
        <v>42711</v>
      </c>
      <c r="J1660" t="s">
        <v>35</v>
      </c>
      <c r="K1660" t="s">
        <v>37</v>
      </c>
    </row>
    <row r="1661" spans="1:11" x14ac:dyDescent="0.3">
      <c r="A1661">
        <v>594</v>
      </c>
      <c r="B1661">
        <v>1</v>
      </c>
      <c r="C1661">
        <v>26</v>
      </c>
      <c r="D1661">
        <v>1</v>
      </c>
      <c r="E1661" s="1">
        <v>599.99</v>
      </c>
      <c r="F1661" s="1">
        <v>0.1</v>
      </c>
      <c r="G1661">
        <v>599.99</v>
      </c>
      <c r="H1661" s="22">
        <f>VLOOKUP(A1661,[1]Orders!$A$2:$B$1616,2,0)</f>
        <v>42711</v>
      </c>
      <c r="J1661" t="s">
        <v>14</v>
      </c>
      <c r="K1661" t="s">
        <v>37</v>
      </c>
    </row>
    <row r="1662" spans="1:11" x14ac:dyDescent="0.3">
      <c r="A1662">
        <v>594</v>
      </c>
      <c r="B1662">
        <v>2</v>
      </c>
      <c r="C1662">
        <v>21</v>
      </c>
      <c r="D1662">
        <v>2</v>
      </c>
      <c r="E1662" s="1">
        <v>269.99</v>
      </c>
      <c r="F1662" s="1">
        <v>0.05</v>
      </c>
      <c r="G1662">
        <v>539.98</v>
      </c>
      <c r="H1662" s="22">
        <f>VLOOKUP(A1662,[1]Orders!$A$2:$B$1616,2,0)</f>
        <v>42711</v>
      </c>
      <c r="J1662" t="s">
        <v>31</v>
      </c>
      <c r="K1662" t="s">
        <v>37</v>
      </c>
    </row>
    <row r="1663" spans="1:11" x14ac:dyDescent="0.3">
      <c r="A1663">
        <v>595</v>
      </c>
      <c r="B1663">
        <v>1</v>
      </c>
      <c r="C1663">
        <v>4</v>
      </c>
      <c r="D1663">
        <v>1</v>
      </c>
      <c r="E1663" s="1">
        <v>2899.99</v>
      </c>
      <c r="F1663" s="1">
        <v>7.0000000000000007E-2</v>
      </c>
      <c r="G1663">
        <v>2899.99</v>
      </c>
      <c r="H1663" s="22">
        <f>VLOOKUP(A1663,[1]Orders!$A$2:$B$1616,2,0)</f>
        <v>42712</v>
      </c>
      <c r="J1663" t="s">
        <v>16</v>
      </c>
      <c r="K1663" t="s">
        <v>11</v>
      </c>
    </row>
    <row r="1664" spans="1:11" x14ac:dyDescent="0.3">
      <c r="A1664">
        <v>595</v>
      </c>
      <c r="B1664">
        <v>2</v>
      </c>
      <c r="C1664">
        <v>19</v>
      </c>
      <c r="D1664">
        <v>2</v>
      </c>
      <c r="E1664" s="1">
        <v>449</v>
      </c>
      <c r="F1664" s="1">
        <v>7.0000000000000007E-2</v>
      </c>
      <c r="G1664">
        <v>898</v>
      </c>
      <c r="H1664" s="22">
        <f>VLOOKUP(A1664,[1]Orders!$A$2:$B$1616,2,0)</f>
        <v>42712</v>
      </c>
      <c r="J1664" t="s">
        <v>36</v>
      </c>
      <c r="K1664" t="s">
        <v>11</v>
      </c>
    </row>
    <row r="1665" spans="1:11" x14ac:dyDescent="0.3">
      <c r="A1665">
        <v>595</v>
      </c>
      <c r="B1665">
        <v>3</v>
      </c>
      <c r="C1665">
        <v>3</v>
      </c>
      <c r="D1665">
        <v>1</v>
      </c>
      <c r="E1665" s="1">
        <v>999.99</v>
      </c>
      <c r="F1665" s="1">
        <v>7.0000000000000007E-2</v>
      </c>
      <c r="G1665">
        <v>999.99</v>
      </c>
      <c r="H1665" s="22">
        <f>VLOOKUP(A1665,[1]Orders!$A$2:$B$1616,2,0)</f>
        <v>42712</v>
      </c>
      <c r="J1665" t="s">
        <v>20</v>
      </c>
      <c r="K1665" t="s">
        <v>11</v>
      </c>
    </row>
    <row r="1666" spans="1:11" x14ac:dyDescent="0.3">
      <c r="A1666">
        <v>595</v>
      </c>
      <c r="B1666">
        <v>4</v>
      </c>
      <c r="C1666">
        <v>10</v>
      </c>
      <c r="D1666">
        <v>1</v>
      </c>
      <c r="E1666" s="1">
        <v>1549</v>
      </c>
      <c r="F1666" s="1">
        <v>7.0000000000000007E-2</v>
      </c>
      <c r="G1666">
        <v>1549</v>
      </c>
      <c r="H1666" s="22">
        <f>VLOOKUP(A1666,[1]Orders!$A$2:$B$1616,2,0)</f>
        <v>42712</v>
      </c>
      <c r="J1666" t="s">
        <v>13</v>
      </c>
      <c r="K1666" t="s">
        <v>11</v>
      </c>
    </row>
    <row r="1667" spans="1:11" x14ac:dyDescent="0.3">
      <c r="A1667">
        <v>595</v>
      </c>
      <c r="B1667">
        <v>5</v>
      </c>
      <c r="C1667">
        <v>26</v>
      </c>
      <c r="D1667">
        <v>2</v>
      </c>
      <c r="E1667" s="1">
        <v>599.99</v>
      </c>
      <c r="F1667" s="1">
        <v>0.05</v>
      </c>
      <c r="G1667">
        <v>1199.98</v>
      </c>
      <c r="H1667" s="22">
        <f>VLOOKUP(A1667,[1]Orders!$A$2:$B$1616,2,0)</f>
        <v>42712</v>
      </c>
      <c r="J1667" t="s">
        <v>14</v>
      </c>
      <c r="K1667" t="s">
        <v>11</v>
      </c>
    </row>
    <row r="1668" spans="1:11" x14ac:dyDescent="0.3">
      <c r="A1668">
        <v>596</v>
      </c>
      <c r="B1668">
        <v>1</v>
      </c>
      <c r="C1668">
        <v>5</v>
      </c>
      <c r="D1668">
        <v>1</v>
      </c>
      <c r="E1668" s="1">
        <v>1320.99</v>
      </c>
      <c r="F1668" s="1">
        <v>0.05</v>
      </c>
      <c r="G1668">
        <v>1320.99</v>
      </c>
      <c r="H1668" s="22">
        <f>VLOOKUP(A1668,[1]Orders!$A$2:$B$1616,2,0)</f>
        <v>42712</v>
      </c>
      <c r="J1668" t="s">
        <v>34</v>
      </c>
      <c r="K1668" t="s">
        <v>11</v>
      </c>
    </row>
    <row r="1669" spans="1:11" x14ac:dyDescent="0.3">
      <c r="A1669">
        <v>596</v>
      </c>
      <c r="B1669">
        <v>2</v>
      </c>
      <c r="C1669">
        <v>23</v>
      </c>
      <c r="D1669">
        <v>2</v>
      </c>
      <c r="E1669" s="1">
        <v>299.99</v>
      </c>
      <c r="F1669" s="1">
        <v>0.1</v>
      </c>
      <c r="G1669">
        <v>599.98</v>
      </c>
      <c r="H1669" s="22">
        <f>VLOOKUP(A1669,[1]Orders!$A$2:$B$1616,2,0)</f>
        <v>42712</v>
      </c>
      <c r="J1669" t="s">
        <v>33</v>
      </c>
      <c r="K1669" t="s">
        <v>11</v>
      </c>
    </row>
    <row r="1670" spans="1:11" x14ac:dyDescent="0.3">
      <c r="A1670">
        <v>596</v>
      </c>
      <c r="B1670">
        <v>3</v>
      </c>
      <c r="C1670">
        <v>9</v>
      </c>
      <c r="D1670">
        <v>1</v>
      </c>
      <c r="E1670" s="1">
        <v>2999.99</v>
      </c>
      <c r="F1670" s="1">
        <v>0.05</v>
      </c>
      <c r="G1670">
        <v>2999.99</v>
      </c>
      <c r="H1670" s="22">
        <f>VLOOKUP(A1670,[1]Orders!$A$2:$B$1616,2,0)</f>
        <v>42712</v>
      </c>
      <c r="J1670" t="s">
        <v>26</v>
      </c>
      <c r="K1670" t="s">
        <v>11</v>
      </c>
    </row>
    <row r="1671" spans="1:11" x14ac:dyDescent="0.3">
      <c r="A1671">
        <v>597</v>
      </c>
      <c r="B1671">
        <v>1</v>
      </c>
      <c r="C1671">
        <v>17</v>
      </c>
      <c r="D1671">
        <v>2</v>
      </c>
      <c r="E1671" s="1">
        <v>429</v>
      </c>
      <c r="F1671" s="1">
        <v>0.2</v>
      </c>
      <c r="G1671">
        <v>858</v>
      </c>
      <c r="H1671" s="22">
        <f>VLOOKUP(A1671,[1]Orders!$A$2:$B$1616,2,0)</f>
        <v>42712</v>
      </c>
      <c r="J1671" t="s">
        <v>23</v>
      </c>
      <c r="K1671" t="s">
        <v>18</v>
      </c>
    </row>
    <row r="1672" spans="1:11" x14ac:dyDescent="0.3">
      <c r="A1672">
        <v>597</v>
      </c>
      <c r="B1672">
        <v>2</v>
      </c>
      <c r="C1672">
        <v>8</v>
      </c>
      <c r="D1672">
        <v>1</v>
      </c>
      <c r="E1672" s="1">
        <v>1799.99</v>
      </c>
      <c r="F1672" s="1">
        <v>7.0000000000000007E-2</v>
      </c>
      <c r="G1672">
        <v>1799.99</v>
      </c>
      <c r="H1672" s="22">
        <f>VLOOKUP(A1672,[1]Orders!$A$2:$B$1616,2,0)</f>
        <v>42712</v>
      </c>
      <c r="J1672" t="s">
        <v>12</v>
      </c>
      <c r="K1672" t="s">
        <v>18</v>
      </c>
    </row>
    <row r="1673" spans="1:11" x14ac:dyDescent="0.3">
      <c r="A1673">
        <v>598</v>
      </c>
      <c r="B1673">
        <v>1</v>
      </c>
      <c r="C1673">
        <v>4</v>
      </c>
      <c r="D1673">
        <v>2</v>
      </c>
      <c r="E1673" s="1">
        <v>2899.99</v>
      </c>
      <c r="F1673" s="1">
        <v>0.05</v>
      </c>
      <c r="G1673">
        <v>5799.98</v>
      </c>
      <c r="H1673" s="22">
        <f>VLOOKUP(A1673,[1]Orders!$A$2:$B$1616,2,0)</f>
        <v>42713</v>
      </c>
      <c r="J1673" t="s">
        <v>16</v>
      </c>
      <c r="K1673" t="s">
        <v>11</v>
      </c>
    </row>
    <row r="1674" spans="1:11" x14ac:dyDescent="0.3">
      <c r="A1674">
        <v>598</v>
      </c>
      <c r="B1674">
        <v>2</v>
      </c>
      <c r="C1674">
        <v>16</v>
      </c>
      <c r="D1674">
        <v>2</v>
      </c>
      <c r="E1674" s="1">
        <v>599.99</v>
      </c>
      <c r="F1674" s="1">
        <v>7.0000000000000007E-2</v>
      </c>
      <c r="G1674">
        <v>1199.98</v>
      </c>
      <c r="H1674" s="22">
        <f>VLOOKUP(A1674,[1]Orders!$A$2:$B$1616,2,0)</f>
        <v>42713</v>
      </c>
      <c r="J1674" t="s">
        <v>14</v>
      </c>
      <c r="K1674" t="s">
        <v>11</v>
      </c>
    </row>
    <row r="1675" spans="1:11" x14ac:dyDescent="0.3">
      <c r="A1675">
        <v>598</v>
      </c>
      <c r="B1675">
        <v>3</v>
      </c>
      <c r="C1675">
        <v>14</v>
      </c>
      <c r="D1675">
        <v>1</v>
      </c>
      <c r="E1675" s="1">
        <v>269.99</v>
      </c>
      <c r="F1675" s="1">
        <v>0.1</v>
      </c>
      <c r="G1675">
        <v>269.99</v>
      </c>
      <c r="H1675" s="22">
        <f>VLOOKUP(A1675,[1]Orders!$A$2:$B$1616,2,0)</f>
        <v>42713</v>
      </c>
      <c r="J1675" t="s">
        <v>28</v>
      </c>
      <c r="K1675" t="s">
        <v>11</v>
      </c>
    </row>
    <row r="1676" spans="1:11" x14ac:dyDescent="0.3">
      <c r="A1676">
        <v>599</v>
      </c>
      <c r="B1676">
        <v>1</v>
      </c>
      <c r="C1676">
        <v>9</v>
      </c>
      <c r="D1676">
        <v>2</v>
      </c>
      <c r="E1676" s="1">
        <v>2999.99</v>
      </c>
      <c r="F1676" s="1">
        <v>0.05</v>
      </c>
      <c r="G1676">
        <v>5999.98</v>
      </c>
      <c r="H1676" s="22">
        <f>VLOOKUP(A1676,[1]Orders!$A$2:$B$1616,2,0)</f>
        <v>42713</v>
      </c>
      <c r="J1676" t="s">
        <v>26</v>
      </c>
      <c r="K1676" t="s">
        <v>18</v>
      </c>
    </row>
    <row r="1677" spans="1:11" x14ac:dyDescent="0.3">
      <c r="A1677">
        <v>599</v>
      </c>
      <c r="B1677">
        <v>2</v>
      </c>
      <c r="C1677">
        <v>22</v>
      </c>
      <c r="D1677">
        <v>2</v>
      </c>
      <c r="E1677" s="1">
        <v>269.99</v>
      </c>
      <c r="F1677" s="1">
        <v>0.2</v>
      </c>
      <c r="G1677">
        <v>539.98</v>
      </c>
      <c r="H1677" s="22">
        <f>VLOOKUP(A1677,[1]Orders!$A$2:$B$1616,2,0)</f>
        <v>42713</v>
      </c>
      <c r="J1677" t="s">
        <v>28</v>
      </c>
      <c r="K1677" t="s">
        <v>18</v>
      </c>
    </row>
    <row r="1678" spans="1:11" x14ac:dyDescent="0.3">
      <c r="A1678">
        <v>599</v>
      </c>
      <c r="B1678">
        <v>3</v>
      </c>
      <c r="C1678">
        <v>23</v>
      </c>
      <c r="D1678">
        <v>1</v>
      </c>
      <c r="E1678" s="1">
        <v>299.99</v>
      </c>
      <c r="F1678" s="1">
        <v>7.0000000000000007E-2</v>
      </c>
      <c r="G1678">
        <v>299.99</v>
      </c>
      <c r="H1678" s="22">
        <f>VLOOKUP(A1678,[1]Orders!$A$2:$B$1616,2,0)</f>
        <v>42713</v>
      </c>
      <c r="J1678" t="s">
        <v>33</v>
      </c>
      <c r="K1678" t="s">
        <v>18</v>
      </c>
    </row>
    <row r="1679" spans="1:11" x14ac:dyDescent="0.3">
      <c r="A1679">
        <v>599</v>
      </c>
      <c r="B1679">
        <v>4</v>
      </c>
      <c r="C1679">
        <v>10</v>
      </c>
      <c r="D1679">
        <v>2</v>
      </c>
      <c r="E1679" s="1">
        <v>1549</v>
      </c>
      <c r="F1679" s="1">
        <v>0.1</v>
      </c>
      <c r="G1679">
        <v>3098</v>
      </c>
      <c r="H1679" s="22">
        <f>VLOOKUP(A1679,[1]Orders!$A$2:$B$1616,2,0)</f>
        <v>42713</v>
      </c>
      <c r="J1679" t="s">
        <v>13</v>
      </c>
      <c r="K1679" t="s">
        <v>18</v>
      </c>
    </row>
    <row r="1680" spans="1:11" x14ac:dyDescent="0.3">
      <c r="A1680">
        <v>600</v>
      </c>
      <c r="B1680">
        <v>1</v>
      </c>
      <c r="C1680">
        <v>26</v>
      </c>
      <c r="D1680">
        <v>2</v>
      </c>
      <c r="E1680" s="1">
        <v>599.99</v>
      </c>
      <c r="F1680" s="1">
        <v>7.0000000000000007E-2</v>
      </c>
      <c r="G1680">
        <v>1199.98</v>
      </c>
      <c r="H1680" s="22">
        <f>VLOOKUP(A1680,[1]Orders!$A$2:$B$1616,2,0)</f>
        <v>42713</v>
      </c>
      <c r="J1680" t="s">
        <v>14</v>
      </c>
      <c r="K1680" t="s">
        <v>18</v>
      </c>
    </row>
    <row r="1681" spans="1:11" x14ac:dyDescent="0.3">
      <c r="A1681">
        <v>600</v>
      </c>
      <c r="B1681">
        <v>2</v>
      </c>
      <c r="C1681">
        <v>4</v>
      </c>
      <c r="D1681">
        <v>1</v>
      </c>
      <c r="E1681" s="1">
        <v>2899.99</v>
      </c>
      <c r="F1681" s="1">
        <v>0.2</v>
      </c>
      <c r="G1681">
        <v>2899.99</v>
      </c>
      <c r="H1681" s="22">
        <f>VLOOKUP(A1681,[1]Orders!$A$2:$B$1616,2,0)</f>
        <v>42713</v>
      </c>
      <c r="J1681" t="s">
        <v>16</v>
      </c>
      <c r="K1681" t="s">
        <v>18</v>
      </c>
    </row>
    <row r="1682" spans="1:11" x14ac:dyDescent="0.3">
      <c r="A1682">
        <v>600</v>
      </c>
      <c r="B1682">
        <v>3</v>
      </c>
      <c r="C1682">
        <v>18</v>
      </c>
      <c r="D1682">
        <v>2</v>
      </c>
      <c r="E1682" s="1">
        <v>449</v>
      </c>
      <c r="F1682" s="1">
        <v>7.0000000000000007E-2</v>
      </c>
      <c r="G1682">
        <v>898</v>
      </c>
      <c r="H1682" s="22">
        <f>VLOOKUP(A1682,[1]Orders!$A$2:$B$1616,2,0)</f>
        <v>42713</v>
      </c>
      <c r="J1682" t="s">
        <v>24</v>
      </c>
      <c r="K1682" t="s">
        <v>18</v>
      </c>
    </row>
    <row r="1683" spans="1:11" x14ac:dyDescent="0.3">
      <c r="A1683">
        <v>601</v>
      </c>
      <c r="B1683">
        <v>1</v>
      </c>
      <c r="C1683">
        <v>12</v>
      </c>
      <c r="D1683">
        <v>2</v>
      </c>
      <c r="E1683" s="1">
        <v>549.99</v>
      </c>
      <c r="F1683" s="1">
        <v>0.2</v>
      </c>
      <c r="G1683">
        <v>1099.98</v>
      </c>
      <c r="H1683" s="22">
        <f>VLOOKUP(A1683,[1]Orders!$A$2:$B$1616,2,0)</f>
        <v>42713</v>
      </c>
      <c r="J1683" t="s">
        <v>25</v>
      </c>
      <c r="K1683" t="s">
        <v>18</v>
      </c>
    </row>
    <row r="1684" spans="1:11" x14ac:dyDescent="0.3">
      <c r="A1684">
        <v>602</v>
      </c>
      <c r="B1684">
        <v>1</v>
      </c>
      <c r="C1684">
        <v>15</v>
      </c>
      <c r="D1684">
        <v>2</v>
      </c>
      <c r="E1684" s="1">
        <v>529.99</v>
      </c>
      <c r="F1684" s="1">
        <v>0.05</v>
      </c>
      <c r="G1684">
        <v>1059.98</v>
      </c>
      <c r="H1684" s="22">
        <f>VLOOKUP(A1684,[1]Orders!$A$2:$B$1616,2,0)</f>
        <v>42713</v>
      </c>
      <c r="J1684" t="s">
        <v>27</v>
      </c>
      <c r="K1684" t="s">
        <v>18</v>
      </c>
    </row>
    <row r="1685" spans="1:11" x14ac:dyDescent="0.3">
      <c r="A1685">
        <v>602</v>
      </c>
      <c r="B1685">
        <v>2</v>
      </c>
      <c r="C1685">
        <v>5</v>
      </c>
      <c r="D1685">
        <v>2</v>
      </c>
      <c r="E1685" s="1">
        <v>1320.99</v>
      </c>
      <c r="F1685" s="1">
        <v>7.0000000000000007E-2</v>
      </c>
      <c r="G1685">
        <v>2641.98</v>
      </c>
      <c r="H1685" s="22">
        <f>VLOOKUP(A1685,[1]Orders!$A$2:$B$1616,2,0)</f>
        <v>42713</v>
      </c>
      <c r="J1685" t="s">
        <v>34</v>
      </c>
      <c r="K1685" t="s">
        <v>18</v>
      </c>
    </row>
    <row r="1686" spans="1:11" x14ac:dyDescent="0.3">
      <c r="A1686">
        <v>603</v>
      </c>
      <c r="B1686">
        <v>1</v>
      </c>
      <c r="C1686">
        <v>12</v>
      </c>
      <c r="D1686">
        <v>1</v>
      </c>
      <c r="E1686" s="1">
        <v>549.99</v>
      </c>
      <c r="F1686" s="1">
        <v>7.0000000000000007E-2</v>
      </c>
      <c r="G1686">
        <v>549.99</v>
      </c>
      <c r="H1686" s="22">
        <f>VLOOKUP(A1686,[1]Orders!$A$2:$B$1616,2,0)</f>
        <v>42713</v>
      </c>
      <c r="J1686" t="s">
        <v>25</v>
      </c>
      <c r="K1686" t="s">
        <v>18</v>
      </c>
    </row>
    <row r="1687" spans="1:11" x14ac:dyDescent="0.3">
      <c r="A1687">
        <v>603</v>
      </c>
      <c r="B1687">
        <v>2</v>
      </c>
      <c r="C1687">
        <v>4</v>
      </c>
      <c r="D1687">
        <v>1</v>
      </c>
      <c r="E1687" s="1">
        <v>2899.99</v>
      </c>
      <c r="F1687" s="1">
        <v>0.1</v>
      </c>
      <c r="G1687">
        <v>2899.99</v>
      </c>
      <c r="H1687" s="22">
        <f>VLOOKUP(A1687,[1]Orders!$A$2:$B$1616,2,0)</f>
        <v>42713</v>
      </c>
      <c r="J1687" t="s">
        <v>16</v>
      </c>
      <c r="K1687" t="s">
        <v>18</v>
      </c>
    </row>
    <row r="1688" spans="1:11" x14ac:dyDescent="0.3">
      <c r="A1688">
        <v>604</v>
      </c>
      <c r="B1688">
        <v>1</v>
      </c>
      <c r="C1688">
        <v>10</v>
      </c>
      <c r="D1688">
        <v>2</v>
      </c>
      <c r="E1688" s="1">
        <v>1549</v>
      </c>
      <c r="F1688" s="1">
        <v>7.0000000000000007E-2</v>
      </c>
      <c r="G1688">
        <v>3098</v>
      </c>
      <c r="H1688" s="22">
        <f>VLOOKUP(A1688,[1]Orders!$A$2:$B$1616,2,0)</f>
        <v>42714</v>
      </c>
      <c r="J1688" t="s">
        <v>13</v>
      </c>
      <c r="K1688" t="s">
        <v>18</v>
      </c>
    </row>
    <row r="1689" spans="1:11" x14ac:dyDescent="0.3">
      <c r="A1689">
        <v>604</v>
      </c>
      <c r="B1689">
        <v>2</v>
      </c>
      <c r="C1689">
        <v>9</v>
      </c>
      <c r="D1689">
        <v>2</v>
      </c>
      <c r="E1689" s="1">
        <v>2999.99</v>
      </c>
      <c r="F1689" s="1">
        <v>0.2</v>
      </c>
      <c r="G1689">
        <v>5999.98</v>
      </c>
      <c r="H1689" s="22">
        <f>VLOOKUP(A1689,[1]Orders!$A$2:$B$1616,2,0)</f>
        <v>42714</v>
      </c>
      <c r="J1689" t="s">
        <v>26</v>
      </c>
      <c r="K1689" t="s">
        <v>18</v>
      </c>
    </row>
    <row r="1690" spans="1:11" x14ac:dyDescent="0.3">
      <c r="A1690">
        <v>605</v>
      </c>
      <c r="B1690">
        <v>1</v>
      </c>
      <c r="C1690">
        <v>19</v>
      </c>
      <c r="D1690">
        <v>1</v>
      </c>
      <c r="E1690" s="1">
        <v>449</v>
      </c>
      <c r="F1690" s="1">
        <v>7.0000000000000007E-2</v>
      </c>
      <c r="G1690">
        <v>449</v>
      </c>
      <c r="H1690" s="22">
        <f>VLOOKUP(A1690,[1]Orders!$A$2:$B$1616,2,0)</f>
        <v>42714</v>
      </c>
      <c r="J1690" t="s">
        <v>36</v>
      </c>
      <c r="K1690" t="s">
        <v>18</v>
      </c>
    </row>
    <row r="1691" spans="1:11" x14ac:dyDescent="0.3">
      <c r="A1691">
        <v>605</v>
      </c>
      <c r="B1691">
        <v>2</v>
      </c>
      <c r="C1691">
        <v>25</v>
      </c>
      <c r="D1691">
        <v>2</v>
      </c>
      <c r="E1691" s="1">
        <v>499.99</v>
      </c>
      <c r="F1691" s="1">
        <v>0.05</v>
      </c>
      <c r="G1691">
        <v>999.98</v>
      </c>
      <c r="H1691" s="22">
        <f>VLOOKUP(A1691,[1]Orders!$A$2:$B$1616,2,0)</f>
        <v>42714</v>
      </c>
      <c r="J1691" t="s">
        <v>35</v>
      </c>
      <c r="K1691" t="s">
        <v>18</v>
      </c>
    </row>
    <row r="1692" spans="1:11" x14ac:dyDescent="0.3">
      <c r="A1692">
        <v>605</v>
      </c>
      <c r="B1692">
        <v>3</v>
      </c>
      <c r="C1692">
        <v>13</v>
      </c>
      <c r="D1692">
        <v>2</v>
      </c>
      <c r="E1692" s="1">
        <v>269.99</v>
      </c>
      <c r="F1692" s="1">
        <v>0.2</v>
      </c>
      <c r="G1692">
        <v>539.98</v>
      </c>
      <c r="H1692" s="22">
        <f>VLOOKUP(A1692,[1]Orders!$A$2:$B$1616,2,0)</f>
        <v>42714</v>
      </c>
      <c r="J1692" t="s">
        <v>31</v>
      </c>
      <c r="K1692" t="s">
        <v>18</v>
      </c>
    </row>
    <row r="1693" spans="1:11" x14ac:dyDescent="0.3">
      <c r="A1693">
        <v>605</v>
      </c>
      <c r="B1693">
        <v>4</v>
      </c>
      <c r="C1693">
        <v>11</v>
      </c>
      <c r="D1693">
        <v>1</v>
      </c>
      <c r="E1693" s="1">
        <v>1680.99</v>
      </c>
      <c r="F1693" s="1">
        <v>0.2</v>
      </c>
      <c r="G1693">
        <v>1680.99</v>
      </c>
      <c r="H1693" s="22">
        <f>VLOOKUP(A1693,[1]Orders!$A$2:$B$1616,2,0)</f>
        <v>42714</v>
      </c>
      <c r="J1693" t="s">
        <v>30</v>
      </c>
      <c r="K1693" t="s">
        <v>18</v>
      </c>
    </row>
    <row r="1694" spans="1:11" x14ac:dyDescent="0.3">
      <c r="A1694">
        <v>606</v>
      </c>
      <c r="B1694">
        <v>1</v>
      </c>
      <c r="C1694">
        <v>6</v>
      </c>
      <c r="D1694">
        <v>2</v>
      </c>
      <c r="E1694" s="1">
        <v>469.99</v>
      </c>
      <c r="F1694" s="1">
        <v>0.2</v>
      </c>
      <c r="G1694">
        <v>939.98</v>
      </c>
      <c r="H1694" s="22">
        <f>VLOOKUP(A1694,[1]Orders!$A$2:$B$1616,2,0)</f>
        <v>42715</v>
      </c>
      <c r="J1694" t="s">
        <v>32</v>
      </c>
      <c r="K1694" t="s">
        <v>18</v>
      </c>
    </row>
    <row r="1695" spans="1:11" x14ac:dyDescent="0.3">
      <c r="A1695">
        <v>606</v>
      </c>
      <c r="B1695">
        <v>2</v>
      </c>
      <c r="C1695">
        <v>18</v>
      </c>
      <c r="D1695">
        <v>2</v>
      </c>
      <c r="E1695" s="1">
        <v>449</v>
      </c>
      <c r="F1695" s="1">
        <v>0.05</v>
      </c>
      <c r="G1695">
        <v>898</v>
      </c>
      <c r="H1695" s="22">
        <f>VLOOKUP(A1695,[1]Orders!$A$2:$B$1616,2,0)</f>
        <v>42715</v>
      </c>
      <c r="J1695" t="s">
        <v>24</v>
      </c>
      <c r="K1695" t="s">
        <v>18</v>
      </c>
    </row>
    <row r="1696" spans="1:11" x14ac:dyDescent="0.3">
      <c r="A1696">
        <v>607</v>
      </c>
      <c r="B1696">
        <v>1</v>
      </c>
      <c r="C1696">
        <v>11</v>
      </c>
      <c r="D1696">
        <v>2</v>
      </c>
      <c r="E1696" s="1">
        <v>1680.99</v>
      </c>
      <c r="F1696" s="1">
        <v>0.2</v>
      </c>
      <c r="G1696">
        <v>3361.98</v>
      </c>
      <c r="H1696" s="22">
        <f>VLOOKUP(A1696,[1]Orders!$A$2:$B$1616,2,0)</f>
        <v>42715</v>
      </c>
      <c r="J1696" t="s">
        <v>30</v>
      </c>
      <c r="K1696" t="s">
        <v>18</v>
      </c>
    </row>
    <row r="1697" spans="1:11" x14ac:dyDescent="0.3">
      <c r="A1697">
        <v>607</v>
      </c>
      <c r="B1697">
        <v>2</v>
      </c>
      <c r="C1697">
        <v>26</v>
      </c>
      <c r="D1697">
        <v>2</v>
      </c>
      <c r="E1697" s="1">
        <v>599.99</v>
      </c>
      <c r="F1697" s="1">
        <v>0.2</v>
      </c>
      <c r="G1697">
        <v>1199.98</v>
      </c>
      <c r="H1697" s="22">
        <f>VLOOKUP(A1697,[1]Orders!$A$2:$B$1616,2,0)</f>
        <v>42715</v>
      </c>
      <c r="J1697" t="s">
        <v>14</v>
      </c>
      <c r="K1697" t="s">
        <v>18</v>
      </c>
    </row>
    <row r="1698" spans="1:11" x14ac:dyDescent="0.3">
      <c r="A1698">
        <v>607</v>
      </c>
      <c r="B1698">
        <v>3</v>
      </c>
      <c r="C1698">
        <v>14</v>
      </c>
      <c r="D1698">
        <v>1</v>
      </c>
      <c r="E1698" s="1">
        <v>269.99</v>
      </c>
      <c r="F1698" s="1">
        <v>7.0000000000000007E-2</v>
      </c>
      <c r="G1698">
        <v>269.99</v>
      </c>
      <c r="H1698" s="22">
        <f>VLOOKUP(A1698,[1]Orders!$A$2:$B$1616,2,0)</f>
        <v>42715</v>
      </c>
      <c r="J1698" t="s">
        <v>28</v>
      </c>
      <c r="K1698" t="s">
        <v>18</v>
      </c>
    </row>
    <row r="1699" spans="1:11" x14ac:dyDescent="0.3">
      <c r="A1699">
        <v>608</v>
      </c>
      <c r="B1699">
        <v>1</v>
      </c>
      <c r="C1699">
        <v>4</v>
      </c>
      <c r="D1699">
        <v>2</v>
      </c>
      <c r="E1699" s="1">
        <v>2899.99</v>
      </c>
      <c r="F1699" s="1">
        <v>0.2</v>
      </c>
      <c r="G1699">
        <v>5799.98</v>
      </c>
      <c r="H1699" s="22">
        <f>VLOOKUP(A1699,[1]Orders!$A$2:$B$1616,2,0)</f>
        <v>42716</v>
      </c>
      <c r="J1699" t="s">
        <v>16</v>
      </c>
      <c r="K1699" t="s">
        <v>11</v>
      </c>
    </row>
    <row r="1700" spans="1:11" x14ac:dyDescent="0.3">
      <c r="A1700">
        <v>608</v>
      </c>
      <c r="B1700">
        <v>2</v>
      </c>
      <c r="C1700">
        <v>7</v>
      </c>
      <c r="D1700">
        <v>2</v>
      </c>
      <c r="E1700" s="1">
        <v>3999.99</v>
      </c>
      <c r="F1700" s="1">
        <v>0.1</v>
      </c>
      <c r="G1700">
        <v>7999.98</v>
      </c>
      <c r="H1700" s="22">
        <f>VLOOKUP(A1700,[1]Orders!$A$2:$B$1616,2,0)</f>
        <v>42716</v>
      </c>
      <c r="J1700" t="s">
        <v>29</v>
      </c>
      <c r="K1700" t="s">
        <v>11</v>
      </c>
    </row>
    <row r="1701" spans="1:11" x14ac:dyDescent="0.3">
      <c r="A1701">
        <v>608</v>
      </c>
      <c r="B1701">
        <v>3</v>
      </c>
      <c r="C1701">
        <v>24</v>
      </c>
      <c r="D1701">
        <v>1</v>
      </c>
      <c r="E1701" s="1">
        <v>549.99</v>
      </c>
      <c r="F1701" s="1">
        <v>0.1</v>
      </c>
      <c r="G1701">
        <v>549.99</v>
      </c>
      <c r="H1701" s="22">
        <f>VLOOKUP(A1701,[1]Orders!$A$2:$B$1616,2,0)</f>
        <v>42716</v>
      </c>
      <c r="J1701" t="s">
        <v>25</v>
      </c>
      <c r="K1701" t="s">
        <v>11</v>
      </c>
    </row>
    <row r="1702" spans="1:11" x14ac:dyDescent="0.3">
      <c r="A1702">
        <v>609</v>
      </c>
      <c r="B1702">
        <v>1</v>
      </c>
      <c r="C1702">
        <v>10</v>
      </c>
      <c r="D1702">
        <v>1</v>
      </c>
      <c r="E1702" s="1">
        <v>1549</v>
      </c>
      <c r="F1702" s="1">
        <v>7.0000000000000007E-2</v>
      </c>
      <c r="G1702">
        <v>1549</v>
      </c>
      <c r="H1702" s="22">
        <f>VLOOKUP(A1702,[1]Orders!$A$2:$B$1616,2,0)</f>
        <v>42716</v>
      </c>
      <c r="J1702" t="s">
        <v>13</v>
      </c>
      <c r="K1702" t="s">
        <v>18</v>
      </c>
    </row>
    <row r="1703" spans="1:11" x14ac:dyDescent="0.3">
      <c r="A1703">
        <v>609</v>
      </c>
      <c r="B1703">
        <v>2</v>
      </c>
      <c r="C1703">
        <v>7</v>
      </c>
      <c r="D1703">
        <v>1</v>
      </c>
      <c r="E1703" s="1">
        <v>3999.99</v>
      </c>
      <c r="F1703" s="1">
        <v>0.1</v>
      </c>
      <c r="G1703">
        <v>3999.99</v>
      </c>
      <c r="H1703" s="22">
        <f>VLOOKUP(A1703,[1]Orders!$A$2:$B$1616,2,0)</f>
        <v>42716</v>
      </c>
      <c r="J1703" t="s">
        <v>29</v>
      </c>
      <c r="K1703" t="s">
        <v>18</v>
      </c>
    </row>
    <row r="1704" spans="1:11" x14ac:dyDescent="0.3">
      <c r="A1704">
        <v>609</v>
      </c>
      <c r="B1704">
        <v>3</v>
      </c>
      <c r="C1704">
        <v>22</v>
      </c>
      <c r="D1704">
        <v>2</v>
      </c>
      <c r="E1704" s="1">
        <v>269.99</v>
      </c>
      <c r="F1704" s="1">
        <v>0.1</v>
      </c>
      <c r="G1704">
        <v>539.98</v>
      </c>
      <c r="H1704" s="22">
        <f>VLOOKUP(A1704,[1]Orders!$A$2:$B$1616,2,0)</f>
        <v>42716</v>
      </c>
      <c r="J1704" t="s">
        <v>28</v>
      </c>
      <c r="K1704" t="s">
        <v>18</v>
      </c>
    </row>
    <row r="1705" spans="1:11" x14ac:dyDescent="0.3">
      <c r="A1705">
        <v>609</v>
      </c>
      <c r="B1705">
        <v>4</v>
      </c>
      <c r="C1705">
        <v>5</v>
      </c>
      <c r="D1705">
        <v>1</v>
      </c>
      <c r="E1705" s="1">
        <v>1320.99</v>
      </c>
      <c r="F1705" s="1">
        <v>0.1</v>
      </c>
      <c r="G1705">
        <v>1320.99</v>
      </c>
      <c r="H1705" s="22">
        <f>VLOOKUP(A1705,[1]Orders!$A$2:$B$1616,2,0)</f>
        <v>42716</v>
      </c>
      <c r="J1705" t="s">
        <v>34</v>
      </c>
      <c r="K1705" t="s">
        <v>18</v>
      </c>
    </row>
    <row r="1706" spans="1:11" x14ac:dyDescent="0.3">
      <c r="A1706">
        <v>610</v>
      </c>
      <c r="B1706">
        <v>1</v>
      </c>
      <c r="C1706">
        <v>26</v>
      </c>
      <c r="D1706">
        <v>1</v>
      </c>
      <c r="E1706" s="1">
        <v>599.99</v>
      </c>
      <c r="F1706" s="1">
        <v>0.1</v>
      </c>
      <c r="G1706">
        <v>599.99</v>
      </c>
      <c r="H1706" s="22">
        <f>VLOOKUP(A1706,[1]Orders!$A$2:$B$1616,2,0)</f>
        <v>42717</v>
      </c>
      <c r="J1706" t="s">
        <v>14</v>
      </c>
      <c r="K1706" t="s">
        <v>18</v>
      </c>
    </row>
    <row r="1707" spans="1:11" x14ac:dyDescent="0.3">
      <c r="A1707">
        <v>610</v>
      </c>
      <c r="B1707">
        <v>2</v>
      </c>
      <c r="C1707">
        <v>24</v>
      </c>
      <c r="D1707">
        <v>1</v>
      </c>
      <c r="E1707" s="1">
        <v>549.99</v>
      </c>
      <c r="F1707" s="1">
        <v>7.0000000000000007E-2</v>
      </c>
      <c r="G1707">
        <v>549.99</v>
      </c>
      <c r="H1707" s="22">
        <f>VLOOKUP(A1707,[1]Orders!$A$2:$B$1616,2,0)</f>
        <v>42717</v>
      </c>
      <c r="J1707" t="s">
        <v>25</v>
      </c>
      <c r="K1707" t="s">
        <v>18</v>
      </c>
    </row>
    <row r="1708" spans="1:11" x14ac:dyDescent="0.3">
      <c r="A1708">
        <v>610</v>
      </c>
      <c r="B1708">
        <v>3</v>
      </c>
      <c r="C1708">
        <v>18</v>
      </c>
      <c r="D1708">
        <v>2</v>
      </c>
      <c r="E1708" s="1">
        <v>449</v>
      </c>
      <c r="F1708" s="1">
        <v>7.0000000000000007E-2</v>
      </c>
      <c r="G1708">
        <v>898</v>
      </c>
      <c r="H1708" s="22">
        <f>VLOOKUP(A1708,[1]Orders!$A$2:$B$1616,2,0)</f>
        <v>42717</v>
      </c>
      <c r="J1708" t="s">
        <v>24</v>
      </c>
      <c r="K1708" t="s">
        <v>18</v>
      </c>
    </row>
    <row r="1709" spans="1:11" x14ac:dyDescent="0.3">
      <c r="A1709">
        <v>610</v>
      </c>
      <c r="B1709">
        <v>4</v>
      </c>
      <c r="C1709">
        <v>3</v>
      </c>
      <c r="D1709">
        <v>1</v>
      </c>
      <c r="E1709" s="1">
        <v>999.99</v>
      </c>
      <c r="F1709" s="1">
        <v>7.0000000000000007E-2</v>
      </c>
      <c r="G1709">
        <v>999.99</v>
      </c>
      <c r="H1709" s="22">
        <f>VLOOKUP(A1709,[1]Orders!$A$2:$B$1616,2,0)</f>
        <v>42717</v>
      </c>
      <c r="J1709" t="s">
        <v>20</v>
      </c>
      <c r="K1709" t="s">
        <v>18</v>
      </c>
    </row>
    <row r="1710" spans="1:11" x14ac:dyDescent="0.3">
      <c r="A1710">
        <v>610</v>
      </c>
      <c r="B1710">
        <v>5</v>
      </c>
      <c r="C1710">
        <v>8</v>
      </c>
      <c r="D1710">
        <v>1</v>
      </c>
      <c r="E1710" s="1">
        <v>1799.99</v>
      </c>
      <c r="F1710" s="1">
        <v>0.1</v>
      </c>
      <c r="G1710">
        <v>1799.99</v>
      </c>
      <c r="H1710" s="22">
        <f>VLOOKUP(A1710,[1]Orders!$A$2:$B$1616,2,0)</f>
        <v>42717</v>
      </c>
      <c r="J1710" t="s">
        <v>12</v>
      </c>
      <c r="K1710" t="s">
        <v>18</v>
      </c>
    </row>
    <row r="1711" spans="1:11" x14ac:dyDescent="0.3">
      <c r="A1711">
        <v>611</v>
      </c>
      <c r="B1711">
        <v>1</v>
      </c>
      <c r="C1711">
        <v>16</v>
      </c>
      <c r="D1711">
        <v>2</v>
      </c>
      <c r="E1711" s="1">
        <v>599.99</v>
      </c>
      <c r="F1711" s="1">
        <v>7.0000000000000007E-2</v>
      </c>
      <c r="G1711">
        <v>1199.98</v>
      </c>
      <c r="H1711" s="22">
        <f>VLOOKUP(A1711,[1]Orders!$A$2:$B$1616,2,0)</f>
        <v>42719</v>
      </c>
      <c r="J1711" t="s">
        <v>14</v>
      </c>
      <c r="K1711" t="s">
        <v>18</v>
      </c>
    </row>
    <row r="1712" spans="1:11" x14ac:dyDescent="0.3">
      <c r="A1712">
        <v>612</v>
      </c>
      <c r="B1712">
        <v>1</v>
      </c>
      <c r="C1712">
        <v>13</v>
      </c>
      <c r="D1712">
        <v>1</v>
      </c>
      <c r="E1712" s="1">
        <v>269.99</v>
      </c>
      <c r="F1712" s="1">
        <v>0.1</v>
      </c>
      <c r="G1712">
        <v>269.99</v>
      </c>
      <c r="H1712" s="22">
        <f>VLOOKUP(A1712,[1]Orders!$A$2:$B$1616,2,0)</f>
        <v>42720</v>
      </c>
      <c r="J1712" t="s">
        <v>31</v>
      </c>
      <c r="K1712" t="s">
        <v>18</v>
      </c>
    </row>
    <row r="1713" spans="1:11" x14ac:dyDescent="0.3">
      <c r="A1713">
        <v>612</v>
      </c>
      <c r="B1713">
        <v>2</v>
      </c>
      <c r="C1713">
        <v>14</v>
      </c>
      <c r="D1713">
        <v>1</v>
      </c>
      <c r="E1713" s="1">
        <v>269.99</v>
      </c>
      <c r="F1713" s="1">
        <v>0.1</v>
      </c>
      <c r="G1713">
        <v>269.99</v>
      </c>
      <c r="H1713" s="22">
        <f>VLOOKUP(A1713,[1]Orders!$A$2:$B$1616,2,0)</f>
        <v>42720</v>
      </c>
      <c r="J1713" t="s">
        <v>28</v>
      </c>
      <c r="K1713" t="s">
        <v>18</v>
      </c>
    </row>
    <row r="1714" spans="1:11" x14ac:dyDescent="0.3">
      <c r="A1714">
        <v>612</v>
      </c>
      <c r="B1714">
        <v>3</v>
      </c>
      <c r="C1714">
        <v>17</v>
      </c>
      <c r="D1714">
        <v>1</v>
      </c>
      <c r="E1714" s="1">
        <v>429</v>
      </c>
      <c r="F1714" s="1">
        <v>7.0000000000000007E-2</v>
      </c>
      <c r="G1714">
        <v>429</v>
      </c>
      <c r="H1714" s="22">
        <f>VLOOKUP(A1714,[1]Orders!$A$2:$B$1616,2,0)</f>
        <v>42720</v>
      </c>
      <c r="J1714" t="s">
        <v>23</v>
      </c>
      <c r="K1714" t="s">
        <v>18</v>
      </c>
    </row>
    <row r="1715" spans="1:11" x14ac:dyDescent="0.3">
      <c r="A1715">
        <v>612</v>
      </c>
      <c r="B1715">
        <v>4</v>
      </c>
      <c r="C1715">
        <v>20</v>
      </c>
      <c r="D1715">
        <v>1</v>
      </c>
      <c r="E1715" s="1">
        <v>599.99</v>
      </c>
      <c r="F1715" s="1">
        <v>0.2</v>
      </c>
      <c r="G1715">
        <v>599.99</v>
      </c>
      <c r="H1715" s="22">
        <f>VLOOKUP(A1715,[1]Orders!$A$2:$B$1616,2,0)</f>
        <v>42720</v>
      </c>
      <c r="J1715" t="s">
        <v>10</v>
      </c>
      <c r="K1715" t="s">
        <v>18</v>
      </c>
    </row>
    <row r="1716" spans="1:11" x14ac:dyDescent="0.3">
      <c r="A1716">
        <v>613</v>
      </c>
      <c r="B1716">
        <v>1</v>
      </c>
      <c r="C1716">
        <v>9</v>
      </c>
      <c r="D1716">
        <v>2</v>
      </c>
      <c r="E1716" s="1">
        <v>2999.99</v>
      </c>
      <c r="F1716" s="1">
        <v>0.1</v>
      </c>
      <c r="G1716">
        <v>5999.98</v>
      </c>
      <c r="H1716" s="22">
        <f>VLOOKUP(A1716,[1]Orders!$A$2:$B$1616,2,0)</f>
        <v>42721</v>
      </c>
      <c r="J1716" t="s">
        <v>26</v>
      </c>
      <c r="K1716" t="s">
        <v>18</v>
      </c>
    </row>
    <row r="1717" spans="1:11" x14ac:dyDescent="0.3">
      <c r="A1717">
        <v>613</v>
      </c>
      <c r="B1717">
        <v>2</v>
      </c>
      <c r="C1717">
        <v>18</v>
      </c>
      <c r="D1717">
        <v>2</v>
      </c>
      <c r="E1717" s="1">
        <v>449</v>
      </c>
      <c r="F1717" s="1">
        <v>0.05</v>
      </c>
      <c r="G1717">
        <v>898</v>
      </c>
      <c r="H1717" s="22">
        <f>VLOOKUP(A1717,[1]Orders!$A$2:$B$1616,2,0)</f>
        <v>42721</v>
      </c>
      <c r="J1717" t="s">
        <v>24</v>
      </c>
      <c r="K1717" t="s">
        <v>18</v>
      </c>
    </row>
    <row r="1718" spans="1:11" x14ac:dyDescent="0.3">
      <c r="A1718">
        <v>613</v>
      </c>
      <c r="B1718">
        <v>3</v>
      </c>
      <c r="C1718">
        <v>12</v>
      </c>
      <c r="D1718">
        <v>1</v>
      </c>
      <c r="E1718" s="1">
        <v>549.99</v>
      </c>
      <c r="F1718" s="1">
        <v>7.0000000000000007E-2</v>
      </c>
      <c r="G1718">
        <v>549.99</v>
      </c>
      <c r="H1718" s="22">
        <f>VLOOKUP(A1718,[1]Orders!$A$2:$B$1616,2,0)</f>
        <v>42721</v>
      </c>
      <c r="J1718" t="s">
        <v>25</v>
      </c>
      <c r="K1718" t="s">
        <v>18</v>
      </c>
    </row>
    <row r="1719" spans="1:11" x14ac:dyDescent="0.3">
      <c r="A1719">
        <v>614</v>
      </c>
      <c r="B1719">
        <v>1</v>
      </c>
      <c r="C1719">
        <v>18</v>
      </c>
      <c r="D1719">
        <v>1</v>
      </c>
      <c r="E1719" s="1">
        <v>449</v>
      </c>
      <c r="F1719" s="1">
        <v>0.1</v>
      </c>
      <c r="G1719">
        <v>449</v>
      </c>
      <c r="H1719" s="22">
        <f>VLOOKUP(A1719,[1]Orders!$A$2:$B$1616,2,0)</f>
        <v>42722</v>
      </c>
      <c r="J1719" t="s">
        <v>24</v>
      </c>
      <c r="K1719" t="s">
        <v>11</v>
      </c>
    </row>
    <row r="1720" spans="1:11" x14ac:dyDescent="0.3">
      <c r="A1720">
        <v>614</v>
      </c>
      <c r="B1720">
        <v>2</v>
      </c>
      <c r="C1720">
        <v>21</v>
      </c>
      <c r="D1720">
        <v>1</v>
      </c>
      <c r="E1720" s="1">
        <v>269.99</v>
      </c>
      <c r="F1720" s="1">
        <v>0.05</v>
      </c>
      <c r="G1720">
        <v>269.99</v>
      </c>
      <c r="H1720" s="22">
        <f>VLOOKUP(A1720,[1]Orders!$A$2:$B$1616,2,0)</f>
        <v>42722</v>
      </c>
      <c r="J1720" t="s">
        <v>31</v>
      </c>
      <c r="K1720" t="s">
        <v>11</v>
      </c>
    </row>
    <row r="1721" spans="1:11" x14ac:dyDescent="0.3">
      <c r="A1721">
        <v>615</v>
      </c>
      <c r="B1721">
        <v>1</v>
      </c>
      <c r="C1721">
        <v>11</v>
      </c>
      <c r="D1721">
        <v>1</v>
      </c>
      <c r="E1721" s="1">
        <v>1680.99</v>
      </c>
      <c r="F1721" s="1">
        <v>7.0000000000000007E-2</v>
      </c>
      <c r="G1721">
        <v>1680.99</v>
      </c>
      <c r="H1721" s="22">
        <f>VLOOKUP(A1721,[1]Orders!$A$2:$B$1616,2,0)</f>
        <v>42723</v>
      </c>
      <c r="J1721" t="s">
        <v>30</v>
      </c>
      <c r="K1721" t="s">
        <v>37</v>
      </c>
    </row>
    <row r="1722" spans="1:11" x14ac:dyDescent="0.3">
      <c r="A1722">
        <v>615</v>
      </c>
      <c r="B1722">
        <v>2</v>
      </c>
      <c r="C1722">
        <v>23</v>
      </c>
      <c r="D1722">
        <v>1</v>
      </c>
      <c r="E1722" s="1">
        <v>299.99</v>
      </c>
      <c r="F1722" s="1">
        <v>0.05</v>
      </c>
      <c r="G1722">
        <v>299.99</v>
      </c>
      <c r="H1722" s="22">
        <f>VLOOKUP(A1722,[1]Orders!$A$2:$B$1616,2,0)</f>
        <v>42723</v>
      </c>
      <c r="J1722" t="s">
        <v>33</v>
      </c>
      <c r="K1722" t="s">
        <v>37</v>
      </c>
    </row>
    <row r="1723" spans="1:11" x14ac:dyDescent="0.3">
      <c r="A1723">
        <v>615</v>
      </c>
      <c r="B1723">
        <v>3</v>
      </c>
      <c r="C1723">
        <v>6</v>
      </c>
      <c r="D1723">
        <v>2</v>
      </c>
      <c r="E1723" s="1">
        <v>469.99</v>
      </c>
      <c r="F1723" s="1">
        <v>0.1</v>
      </c>
      <c r="G1723">
        <v>939.98</v>
      </c>
      <c r="H1723" s="22">
        <f>VLOOKUP(A1723,[1]Orders!$A$2:$B$1616,2,0)</f>
        <v>42723</v>
      </c>
      <c r="J1723" t="s">
        <v>32</v>
      </c>
      <c r="K1723" t="s">
        <v>37</v>
      </c>
    </row>
    <row r="1724" spans="1:11" x14ac:dyDescent="0.3">
      <c r="A1724">
        <v>615</v>
      </c>
      <c r="B1724">
        <v>4</v>
      </c>
      <c r="C1724">
        <v>19</v>
      </c>
      <c r="D1724">
        <v>2</v>
      </c>
      <c r="E1724" s="1">
        <v>449</v>
      </c>
      <c r="F1724" s="1">
        <v>0.1</v>
      </c>
      <c r="G1724">
        <v>898</v>
      </c>
      <c r="H1724" s="22">
        <f>VLOOKUP(A1724,[1]Orders!$A$2:$B$1616,2,0)</f>
        <v>42723</v>
      </c>
      <c r="J1724" t="s">
        <v>36</v>
      </c>
      <c r="K1724" t="s">
        <v>37</v>
      </c>
    </row>
    <row r="1725" spans="1:11" x14ac:dyDescent="0.3">
      <c r="A1725">
        <v>616</v>
      </c>
      <c r="B1725">
        <v>1</v>
      </c>
      <c r="C1725">
        <v>24</v>
      </c>
      <c r="D1725">
        <v>1</v>
      </c>
      <c r="E1725" s="1">
        <v>549.99</v>
      </c>
      <c r="F1725" s="1">
        <v>0.2</v>
      </c>
      <c r="G1725">
        <v>549.99</v>
      </c>
      <c r="H1725" s="22">
        <f>VLOOKUP(A1725,[1]Orders!$A$2:$B$1616,2,0)</f>
        <v>42724</v>
      </c>
      <c r="J1725" t="s">
        <v>25</v>
      </c>
      <c r="K1725" t="s">
        <v>18</v>
      </c>
    </row>
    <row r="1726" spans="1:11" x14ac:dyDescent="0.3">
      <c r="A1726">
        <v>616</v>
      </c>
      <c r="B1726">
        <v>2</v>
      </c>
      <c r="C1726">
        <v>16</v>
      </c>
      <c r="D1726">
        <v>2</v>
      </c>
      <c r="E1726" s="1">
        <v>599.99</v>
      </c>
      <c r="F1726" s="1">
        <v>0.2</v>
      </c>
      <c r="G1726">
        <v>1199.98</v>
      </c>
      <c r="H1726" s="22">
        <f>VLOOKUP(A1726,[1]Orders!$A$2:$B$1616,2,0)</f>
        <v>42724</v>
      </c>
      <c r="J1726" t="s">
        <v>14</v>
      </c>
      <c r="K1726" t="s">
        <v>18</v>
      </c>
    </row>
    <row r="1727" spans="1:11" x14ac:dyDescent="0.3">
      <c r="A1727">
        <v>617</v>
      </c>
      <c r="B1727">
        <v>1</v>
      </c>
      <c r="C1727">
        <v>15</v>
      </c>
      <c r="D1727">
        <v>2</v>
      </c>
      <c r="E1727" s="1">
        <v>529.99</v>
      </c>
      <c r="F1727" s="1">
        <v>0.2</v>
      </c>
      <c r="G1727">
        <v>1059.98</v>
      </c>
      <c r="H1727" s="22">
        <f>VLOOKUP(A1727,[1]Orders!$A$2:$B$1616,2,0)</f>
        <v>42725</v>
      </c>
      <c r="J1727" t="s">
        <v>27</v>
      </c>
      <c r="K1727" t="s">
        <v>18</v>
      </c>
    </row>
    <row r="1728" spans="1:11" x14ac:dyDescent="0.3">
      <c r="A1728">
        <v>617</v>
      </c>
      <c r="B1728">
        <v>2</v>
      </c>
      <c r="C1728">
        <v>11</v>
      </c>
      <c r="D1728">
        <v>2</v>
      </c>
      <c r="E1728" s="1">
        <v>1680.99</v>
      </c>
      <c r="F1728" s="1">
        <v>7.0000000000000007E-2</v>
      </c>
      <c r="G1728">
        <v>3361.98</v>
      </c>
      <c r="H1728" s="22">
        <f>VLOOKUP(A1728,[1]Orders!$A$2:$B$1616,2,0)</f>
        <v>42725</v>
      </c>
      <c r="J1728" t="s">
        <v>30</v>
      </c>
      <c r="K1728" t="s">
        <v>18</v>
      </c>
    </row>
    <row r="1729" spans="1:11" x14ac:dyDescent="0.3">
      <c r="A1729">
        <v>618</v>
      </c>
      <c r="B1729">
        <v>1</v>
      </c>
      <c r="C1729">
        <v>17</v>
      </c>
      <c r="D1729">
        <v>2</v>
      </c>
      <c r="E1729" s="1">
        <v>429</v>
      </c>
      <c r="F1729" s="1">
        <v>0.1</v>
      </c>
      <c r="G1729">
        <v>858</v>
      </c>
      <c r="H1729" s="22">
        <f>VLOOKUP(A1729,[1]Orders!$A$2:$B$1616,2,0)</f>
        <v>42725</v>
      </c>
      <c r="J1729" t="s">
        <v>23</v>
      </c>
      <c r="K1729" t="s">
        <v>18</v>
      </c>
    </row>
    <row r="1730" spans="1:11" x14ac:dyDescent="0.3">
      <c r="A1730">
        <v>618</v>
      </c>
      <c r="B1730">
        <v>2</v>
      </c>
      <c r="C1730">
        <v>11</v>
      </c>
      <c r="D1730">
        <v>1</v>
      </c>
      <c r="E1730" s="1">
        <v>1680.99</v>
      </c>
      <c r="F1730" s="1">
        <v>7.0000000000000007E-2</v>
      </c>
      <c r="G1730">
        <v>1680.99</v>
      </c>
      <c r="H1730" s="22">
        <f>VLOOKUP(A1730,[1]Orders!$A$2:$B$1616,2,0)</f>
        <v>42725</v>
      </c>
      <c r="J1730" t="s">
        <v>30</v>
      </c>
      <c r="K1730" t="s">
        <v>18</v>
      </c>
    </row>
    <row r="1731" spans="1:11" x14ac:dyDescent="0.3">
      <c r="A1731">
        <v>619</v>
      </c>
      <c r="B1731">
        <v>1</v>
      </c>
      <c r="C1731">
        <v>25</v>
      </c>
      <c r="D1731">
        <v>1</v>
      </c>
      <c r="E1731" s="1">
        <v>499.99</v>
      </c>
      <c r="F1731" s="1">
        <v>7.0000000000000007E-2</v>
      </c>
      <c r="G1731">
        <v>499.99</v>
      </c>
      <c r="H1731" s="22">
        <f>VLOOKUP(A1731,[1]Orders!$A$2:$B$1616,2,0)</f>
        <v>42726</v>
      </c>
      <c r="J1731" t="s">
        <v>35</v>
      </c>
      <c r="K1731" t="s">
        <v>18</v>
      </c>
    </row>
    <row r="1732" spans="1:11" x14ac:dyDescent="0.3">
      <c r="A1732">
        <v>620</v>
      </c>
      <c r="B1732">
        <v>1</v>
      </c>
      <c r="C1732">
        <v>5</v>
      </c>
      <c r="D1732">
        <v>2</v>
      </c>
      <c r="E1732" s="1">
        <v>1320.99</v>
      </c>
      <c r="F1732" s="1">
        <v>0.2</v>
      </c>
      <c r="G1732">
        <v>2641.98</v>
      </c>
      <c r="H1732" s="22">
        <f>VLOOKUP(A1732,[1]Orders!$A$2:$B$1616,2,0)</f>
        <v>42726</v>
      </c>
      <c r="J1732" t="s">
        <v>34</v>
      </c>
      <c r="K1732" t="s">
        <v>18</v>
      </c>
    </row>
    <row r="1733" spans="1:11" x14ac:dyDescent="0.3">
      <c r="A1733">
        <v>621</v>
      </c>
      <c r="B1733">
        <v>1</v>
      </c>
      <c r="C1733">
        <v>17</v>
      </c>
      <c r="D1733">
        <v>2</v>
      </c>
      <c r="E1733" s="1">
        <v>429</v>
      </c>
      <c r="F1733" s="1">
        <v>7.0000000000000007E-2</v>
      </c>
      <c r="G1733">
        <v>858</v>
      </c>
      <c r="H1733" s="22">
        <f>VLOOKUP(A1733,[1]Orders!$A$2:$B$1616,2,0)</f>
        <v>42727</v>
      </c>
      <c r="J1733" t="s">
        <v>23</v>
      </c>
      <c r="K1733" t="s">
        <v>18</v>
      </c>
    </row>
    <row r="1734" spans="1:11" x14ac:dyDescent="0.3">
      <c r="A1734">
        <v>622</v>
      </c>
      <c r="B1734">
        <v>1</v>
      </c>
      <c r="C1734">
        <v>9</v>
      </c>
      <c r="D1734">
        <v>2</v>
      </c>
      <c r="E1734" s="1">
        <v>2999.99</v>
      </c>
      <c r="F1734" s="1">
        <v>7.0000000000000007E-2</v>
      </c>
      <c r="G1734">
        <v>5999.98</v>
      </c>
      <c r="H1734" s="22">
        <f>VLOOKUP(A1734,[1]Orders!$A$2:$B$1616,2,0)</f>
        <v>42727</v>
      </c>
      <c r="J1734" t="s">
        <v>26</v>
      </c>
      <c r="K1734" t="s">
        <v>18</v>
      </c>
    </row>
    <row r="1735" spans="1:11" x14ac:dyDescent="0.3">
      <c r="A1735">
        <v>622</v>
      </c>
      <c r="B1735">
        <v>2</v>
      </c>
      <c r="C1735">
        <v>18</v>
      </c>
      <c r="D1735">
        <v>1</v>
      </c>
      <c r="E1735" s="1">
        <v>449</v>
      </c>
      <c r="F1735" s="1">
        <v>0.1</v>
      </c>
      <c r="G1735">
        <v>449</v>
      </c>
      <c r="H1735" s="22">
        <f>VLOOKUP(A1735,[1]Orders!$A$2:$B$1616,2,0)</f>
        <v>42727</v>
      </c>
      <c r="J1735" t="s">
        <v>24</v>
      </c>
      <c r="K1735" t="s">
        <v>18</v>
      </c>
    </row>
    <row r="1736" spans="1:11" x14ac:dyDescent="0.3">
      <c r="A1736">
        <v>622</v>
      </c>
      <c r="B1736">
        <v>3</v>
      </c>
      <c r="C1736">
        <v>10</v>
      </c>
      <c r="D1736">
        <v>1</v>
      </c>
      <c r="E1736" s="1">
        <v>1549</v>
      </c>
      <c r="F1736" s="1">
        <v>0.2</v>
      </c>
      <c r="G1736">
        <v>1549</v>
      </c>
      <c r="H1736" s="22">
        <f>VLOOKUP(A1736,[1]Orders!$A$2:$B$1616,2,0)</f>
        <v>42727</v>
      </c>
      <c r="J1736" t="s">
        <v>13</v>
      </c>
      <c r="K1736" t="s">
        <v>18</v>
      </c>
    </row>
    <row r="1737" spans="1:11" x14ac:dyDescent="0.3">
      <c r="A1737">
        <v>622</v>
      </c>
      <c r="B1737">
        <v>4</v>
      </c>
      <c r="C1737">
        <v>25</v>
      </c>
      <c r="D1737">
        <v>1</v>
      </c>
      <c r="E1737" s="1">
        <v>499.99</v>
      </c>
      <c r="F1737" s="1">
        <v>7.0000000000000007E-2</v>
      </c>
      <c r="G1737">
        <v>499.99</v>
      </c>
      <c r="H1737" s="22">
        <f>VLOOKUP(A1737,[1]Orders!$A$2:$B$1616,2,0)</f>
        <v>42727</v>
      </c>
      <c r="J1737" t="s">
        <v>35</v>
      </c>
      <c r="K1737" t="s">
        <v>18</v>
      </c>
    </row>
    <row r="1738" spans="1:11" x14ac:dyDescent="0.3">
      <c r="A1738">
        <v>623</v>
      </c>
      <c r="B1738">
        <v>1</v>
      </c>
      <c r="C1738">
        <v>8</v>
      </c>
      <c r="D1738">
        <v>1</v>
      </c>
      <c r="E1738" s="1">
        <v>1799.99</v>
      </c>
      <c r="F1738" s="1">
        <v>7.0000000000000007E-2</v>
      </c>
      <c r="G1738">
        <v>1799.99</v>
      </c>
      <c r="H1738" s="22">
        <f>VLOOKUP(A1738,[1]Orders!$A$2:$B$1616,2,0)</f>
        <v>42728</v>
      </c>
      <c r="J1738" t="s">
        <v>12</v>
      </c>
      <c r="K1738" t="s">
        <v>18</v>
      </c>
    </row>
    <row r="1739" spans="1:11" x14ac:dyDescent="0.3">
      <c r="A1739">
        <v>624</v>
      </c>
      <c r="B1739">
        <v>1</v>
      </c>
      <c r="C1739">
        <v>21</v>
      </c>
      <c r="D1739">
        <v>2</v>
      </c>
      <c r="E1739" s="1">
        <v>269.99</v>
      </c>
      <c r="F1739" s="1">
        <v>0.05</v>
      </c>
      <c r="G1739">
        <v>539.98</v>
      </c>
      <c r="H1739" s="22">
        <f>VLOOKUP(A1739,[1]Orders!$A$2:$B$1616,2,0)</f>
        <v>42728</v>
      </c>
      <c r="J1739" t="s">
        <v>31</v>
      </c>
      <c r="K1739" t="s">
        <v>18</v>
      </c>
    </row>
    <row r="1740" spans="1:11" x14ac:dyDescent="0.3">
      <c r="A1740">
        <v>624</v>
      </c>
      <c r="B1740">
        <v>2</v>
      </c>
      <c r="C1740">
        <v>16</v>
      </c>
      <c r="D1740">
        <v>1</v>
      </c>
      <c r="E1740" s="1">
        <v>599.99</v>
      </c>
      <c r="F1740" s="1">
        <v>7.0000000000000007E-2</v>
      </c>
      <c r="G1740">
        <v>599.99</v>
      </c>
      <c r="H1740" s="22">
        <f>VLOOKUP(A1740,[1]Orders!$A$2:$B$1616,2,0)</f>
        <v>42728</v>
      </c>
      <c r="J1740" t="s">
        <v>14</v>
      </c>
      <c r="K1740" t="s">
        <v>18</v>
      </c>
    </row>
    <row r="1741" spans="1:11" x14ac:dyDescent="0.3">
      <c r="A1741">
        <v>624</v>
      </c>
      <c r="B1741">
        <v>3</v>
      </c>
      <c r="C1741">
        <v>22</v>
      </c>
      <c r="D1741">
        <v>1</v>
      </c>
      <c r="E1741" s="1">
        <v>269.99</v>
      </c>
      <c r="F1741" s="1">
        <v>7.0000000000000007E-2</v>
      </c>
      <c r="G1741">
        <v>269.99</v>
      </c>
      <c r="H1741" s="22">
        <f>VLOOKUP(A1741,[1]Orders!$A$2:$B$1616,2,0)</f>
        <v>42728</v>
      </c>
      <c r="J1741" t="s">
        <v>28</v>
      </c>
      <c r="K1741" t="s">
        <v>18</v>
      </c>
    </row>
    <row r="1742" spans="1:11" x14ac:dyDescent="0.3">
      <c r="A1742">
        <v>624</v>
      </c>
      <c r="B1742">
        <v>4</v>
      </c>
      <c r="C1742">
        <v>14</v>
      </c>
      <c r="D1742">
        <v>2</v>
      </c>
      <c r="E1742" s="1">
        <v>269.99</v>
      </c>
      <c r="F1742" s="1">
        <v>0.2</v>
      </c>
      <c r="G1742">
        <v>539.98</v>
      </c>
      <c r="H1742" s="22">
        <f>VLOOKUP(A1742,[1]Orders!$A$2:$B$1616,2,0)</f>
        <v>42728</v>
      </c>
      <c r="J1742" t="s">
        <v>28</v>
      </c>
      <c r="K1742" t="s">
        <v>18</v>
      </c>
    </row>
    <row r="1743" spans="1:11" x14ac:dyDescent="0.3">
      <c r="A1743">
        <v>625</v>
      </c>
      <c r="B1743">
        <v>1</v>
      </c>
      <c r="C1743">
        <v>17</v>
      </c>
      <c r="D1743">
        <v>1</v>
      </c>
      <c r="E1743" s="1">
        <v>429</v>
      </c>
      <c r="F1743" s="1">
        <v>7.0000000000000007E-2</v>
      </c>
      <c r="G1743">
        <v>429</v>
      </c>
      <c r="H1743" s="22">
        <f>VLOOKUP(A1743,[1]Orders!$A$2:$B$1616,2,0)</f>
        <v>42729</v>
      </c>
      <c r="J1743" t="s">
        <v>23</v>
      </c>
      <c r="K1743" t="s">
        <v>11</v>
      </c>
    </row>
    <row r="1744" spans="1:11" x14ac:dyDescent="0.3">
      <c r="A1744">
        <v>625</v>
      </c>
      <c r="B1744">
        <v>2</v>
      </c>
      <c r="C1744">
        <v>11</v>
      </c>
      <c r="D1744">
        <v>2</v>
      </c>
      <c r="E1744" s="1">
        <v>1680.99</v>
      </c>
      <c r="F1744" s="1">
        <v>0.2</v>
      </c>
      <c r="G1744">
        <v>3361.98</v>
      </c>
      <c r="H1744" s="22">
        <f>VLOOKUP(A1744,[1]Orders!$A$2:$B$1616,2,0)</f>
        <v>42729</v>
      </c>
      <c r="J1744" t="s">
        <v>30</v>
      </c>
      <c r="K1744" t="s">
        <v>11</v>
      </c>
    </row>
    <row r="1745" spans="1:11" x14ac:dyDescent="0.3">
      <c r="A1745">
        <v>625</v>
      </c>
      <c r="B1745">
        <v>3</v>
      </c>
      <c r="C1745">
        <v>26</v>
      </c>
      <c r="D1745">
        <v>1</v>
      </c>
      <c r="E1745" s="1">
        <v>599.99</v>
      </c>
      <c r="F1745" s="1">
        <v>7.0000000000000007E-2</v>
      </c>
      <c r="G1745">
        <v>599.99</v>
      </c>
      <c r="H1745" s="22">
        <f>VLOOKUP(A1745,[1]Orders!$A$2:$B$1616,2,0)</f>
        <v>42729</v>
      </c>
      <c r="J1745" t="s">
        <v>14</v>
      </c>
      <c r="K1745" t="s">
        <v>11</v>
      </c>
    </row>
    <row r="1746" spans="1:11" x14ac:dyDescent="0.3">
      <c r="A1746">
        <v>625</v>
      </c>
      <c r="B1746">
        <v>4</v>
      </c>
      <c r="C1746">
        <v>23</v>
      </c>
      <c r="D1746">
        <v>2</v>
      </c>
      <c r="E1746" s="1">
        <v>299.99</v>
      </c>
      <c r="F1746" s="1">
        <v>0.1</v>
      </c>
      <c r="G1746">
        <v>599.98</v>
      </c>
      <c r="H1746" s="22">
        <f>VLOOKUP(A1746,[1]Orders!$A$2:$B$1616,2,0)</f>
        <v>42729</v>
      </c>
      <c r="J1746" t="s">
        <v>33</v>
      </c>
      <c r="K1746" t="s">
        <v>11</v>
      </c>
    </row>
    <row r="1747" spans="1:11" x14ac:dyDescent="0.3">
      <c r="A1747">
        <v>626</v>
      </c>
      <c r="B1747">
        <v>1</v>
      </c>
      <c r="C1747">
        <v>15</v>
      </c>
      <c r="D1747">
        <v>1</v>
      </c>
      <c r="E1747" s="1">
        <v>529.99</v>
      </c>
      <c r="F1747" s="1">
        <v>0.2</v>
      </c>
      <c r="G1747">
        <v>529.99</v>
      </c>
      <c r="H1747" s="22">
        <f>VLOOKUP(A1747,[1]Orders!$A$2:$B$1616,2,0)</f>
        <v>42729</v>
      </c>
      <c r="J1747" t="s">
        <v>27</v>
      </c>
      <c r="K1747" t="s">
        <v>18</v>
      </c>
    </row>
    <row r="1748" spans="1:11" x14ac:dyDescent="0.3">
      <c r="A1748">
        <v>627</v>
      </c>
      <c r="B1748">
        <v>1</v>
      </c>
      <c r="C1748">
        <v>19</v>
      </c>
      <c r="D1748">
        <v>1</v>
      </c>
      <c r="E1748" s="1">
        <v>449</v>
      </c>
      <c r="F1748" s="1">
        <v>7.0000000000000007E-2</v>
      </c>
      <c r="G1748">
        <v>449</v>
      </c>
      <c r="H1748" s="22">
        <f>VLOOKUP(A1748,[1]Orders!$A$2:$B$1616,2,0)</f>
        <v>42729</v>
      </c>
      <c r="J1748" t="s">
        <v>36</v>
      </c>
      <c r="K1748" t="s">
        <v>18</v>
      </c>
    </row>
    <row r="1749" spans="1:11" x14ac:dyDescent="0.3">
      <c r="A1749">
        <v>627</v>
      </c>
      <c r="B1749">
        <v>2</v>
      </c>
      <c r="C1749">
        <v>9</v>
      </c>
      <c r="D1749">
        <v>2</v>
      </c>
      <c r="E1749" s="1">
        <v>2999.99</v>
      </c>
      <c r="F1749" s="1">
        <v>0.2</v>
      </c>
      <c r="G1749">
        <v>5999.98</v>
      </c>
      <c r="H1749" s="22">
        <f>VLOOKUP(A1749,[1]Orders!$A$2:$B$1616,2,0)</f>
        <v>42729</v>
      </c>
      <c r="J1749" t="s">
        <v>26</v>
      </c>
      <c r="K1749" t="s">
        <v>18</v>
      </c>
    </row>
    <row r="1750" spans="1:11" x14ac:dyDescent="0.3">
      <c r="A1750">
        <v>627</v>
      </c>
      <c r="B1750">
        <v>3</v>
      </c>
      <c r="C1750">
        <v>26</v>
      </c>
      <c r="D1750">
        <v>1</v>
      </c>
      <c r="E1750" s="1">
        <v>599.99</v>
      </c>
      <c r="F1750" s="1">
        <v>7.0000000000000007E-2</v>
      </c>
      <c r="G1750">
        <v>599.99</v>
      </c>
      <c r="H1750" s="22">
        <f>VLOOKUP(A1750,[1]Orders!$A$2:$B$1616,2,0)</f>
        <v>42729</v>
      </c>
      <c r="J1750" t="s">
        <v>14</v>
      </c>
      <c r="K1750" t="s">
        <v>18</v>
      </c>
    </row>
    <row r="1751" spans="1:11" x14ac:dyDescent="0.3">
      <c r="A1751">
        <v>628</v>
      </c>
      <c r="B1751">
        <v>1</v>
      </c>
      <c r="C1751">
        <v>15</v>
      </c>
      <c r="D1751">
        <v>2</v>
      </c>
      <c r="E1751" s="1">
        <v>529.99</v>
      </c>
      <c r="F1751" s="1">
        <v>0.1</v>
      </c>
      <c r="G1751">
        <v>1059.98</v>
      </c>
      <c r="H1751" s="22">
        <f>VLOOKUP(A1751,[1]Orders!$A$2:$B$1616,2,0)</f>
        <v>42730</v>
      </c>
      <c r="J1751" t="s">
        <v>27</v>
      </c>
      <c r="K1751" t="s">
        <v>11</v>
      </c>
    </row>
    <row r="1752" spans="1:11" x14ac:dyDescent="0.3">
      <c r="A1752">
        <v>629</v>
      </c>
      <c r="B1752">
        <v>1</v>
      </c>
      <c r="C1752">
        <v>19</v>
      </c>
      <c r="D1752">
        <v>1</v>
      </c>
      <c r="E1752" s="1">
        <v>449</v>
      </c>
      <c r="F1752" s="1">
        <v>0.05</v>
      </c>
      <c r="G1752">
        <v>449</v>
      </c>
      <c r="H1752" s="22">
        <f>VLOOKUP(A1752,[1]Orders!$A$2:$B$1616,2,0)</f>
        <v>42730</v>
      </c>
      <c r="J1752" t="s">
        <v>36</v>
      </c>
      <c r="K1752" t="s">
        <v>11</v>
      </c>
    </row>
    <row r="1753" spans="1:11" x14ac:dyDescent="0.3">
      <c r="A1753">
        <v>629</v>
      </c>
      <c r="B1753">
        <v>2</v>
      </c>
      <c r="C1753">
        <v>5</v>
      </c>
      <c r="D1753">
        <v>2</v>
      </c>
      <c r="E1753" s="1">
        <v>1320.99</v>
      </c>
      <c r="F1753" s="1">
        <v>0.05</v>
      </c>
      <c r="G1753">
        <v>2641.98</v>
      </c>
      <c r="H1753" s="22">
        <f>VLOOKUP(A1753,[1]Orders!$A$2:$B$1616,2,0)</f>
        <v>42730</v>
      </c>
      <c r="J1753" t="s">
        <v>34</v>
      </c>
      <c r="K1753" t="s">
        <v>11</v>
      </c>
    </row>
    <row r="1754" spans="1:11" x14ac:dyDescent="0.3">
      <c r="A1754">
        <v>629</v>
      </c>
      <c r="B1754">
        <v>3</v>
      </c>
      <c r="C1754">
        <v>23</v>
      </c>
      <c r="D1754">
        <v>2</v>
      </c>
      <c r="E1754" s="1">
        <v>299.99</v>
      </c>
      <c r="F1754" s="1">
        <v>0.1</v>
      </c>
      <c r="G1754">
        <v>599.98</v>
      </c>
      <c r="H1754" s="22">
        <f>VLOOKUP(A1754,[1]Orders!$A$2:$B$1616,2,0)</f>
        <v>42730</v>
      </c>
      <c r="J1754" t="s">
        <v>33</v>
      </c>
      <c r="K1754" t="s">
        <v>11</v>
      </c>
    </row>
    <row r="1755" spans="1:11" x14ac:dyDescent="0.3">
      <c r="A1755">
        <v>629</v>
      </c>
      <c r="B1755">
        <v>4</v>
      </c>
      <c r="C1755">
        <v>14</v>
      </c>
      <c r="D1755">
        <v>2</v>
      </c>
      <c r="E1755" s="1">
        <v>269.99</v>
      </c>
      <c r="F1755" s="1">
        <v>0.05</v>
      </c>
      <c r="G1755">
        <v>539.98</v>
      </c>
      <c r="H1755" s="22">
        <f>VLOOKUP(A1755,[1]Orders!$A$2:$B$1616,2,0)</f>
        <v>42730</v>
      </c>
      <c r="J1755" t="s">
        <v>28</v>
      </c>
      <c r="K1755" t="s">
        <v>11</v>
      </c>
    </row>
    <row r="1756" spans="1:11" x14ac:dyDescent="0.3">
      <c r="A1756">
        <v>629</v>
      </c>
      <c r="B1756">
        <v>5</v>
      </c>
      <c r="C1756">
        <v>6</v>
      </c>
      <c r="D1756">
        <v>2</v>
      </c>
      <c r="E1756" s="1">
        <v>469.99</v>
      </c>
      <c r="F1756" s="1">
        <v>0.1</v>
      </c>
      <c r="G1756">
        <v>939.98</v>
      </c>
      <c r="H1756" s="22">
        <f>VLOOKUP(A1756,[1]Orders!$A$2:$B$1616,2,0)</f>
        <v>42730</v>
      </c>
      <c r="J1756" t="s">
        <v>32</v>
      </c>
      <c r="K1756" t="s">
        <v>11</v>
      </c>
    </row>
    <row r="1757" spans="1:11" x14ac:dyDescent="0.3">
      <c r="A1757">
        <v>630</v>
      </c>
      <c r="B1757">
        <v>1</v>
      </c>
      <c r="C1757">
        <v>5</v>
      </c>
      <c r="D1757">
        <v>1</v>
      </c>
      <c r="E1757" s="1">
        <v>1320.99</v>
      </c>
      <c r="F1757" s="1">
        <v>0.05</v>
      </c>
      <c r="G1757">
        <v>1320.99</v>
      </c>
      <c r="H1757" s="22">
        <f>VLOOKUP(A1757,[1]Orders!$A$2:$B$1616,2,0)</f>
        <v>42730</v>
      </c>
      <c r="J1757" t="s">
        <v>34</v>
      </c>
      <c r="K1757" t="s">
        <v>18</v>
      </c>
    </row>
    <row r="1758" spans="1:11" x14ac:dyDescent="0.3">
      <c r="A1758">
        <v>630</v>
      </c>
      <c r="B1758">
        <v>2</v>
      </c>
      <c r="C1758">
        <v>25</v>
      </c>
      <c r="D1758">
        <v>1</v>
      </c>
      <c r="E1758" s="1">
        <v>499.99</v>
      </c>
      <c r="F1758" s="1">
        <v>0.1</v>
      </c>
      <c r="G1758">
        <v>499.99</v>
      </c>
      <c r="H1758" s="22">
        <f>VLOOKUP(A1758,[1]Orders!$A$2:$B$1616,2,0)</f>
        <v>42730</v>
      </c>
      <c r="J1758" t="s">
        <v>35</v>
      </c>
      <c r="K1758" t="s">
        <v>18</v>
      </c>
    </row>
    <row r="1759" spans="1:11" x14ac:dyDescent="0.3">
      <c r="A1759">
        <v>630</v>
      </c>
      <c r="B1759">
        <v>3</v>
      </c>
      <c r="C1759">
        <v>18</v>
      </c>
      <c r="D1759">
        <v>2</v>
      </c>
      <c r="E1759" s="1">
        <v>449</v>
      </c>
      <c r="F1759" s="1">
        <v>0.1</v>
      </c>
      <c r="G1759">
        <v>898</v>
      </c>
      <c r="H1759" s="22">
        <f>VLOOKUP(A1759,[1]Orders!$A$2:$B$1616,2,0)</f>
        <v>42730</v>
      </c>
      <c r="J1759" t="s">
        <v>24</v>
      </c>
      <c r="K1759" t="s">
        <v>18</v>
      </c>
    </row>
    <row r="1760" spans="1:11" x14ac:dyDescent="0.3">
      <c r="A1760">
        <v>630</v>
      </c>
      <c r="B1760">
        <v>4</v>
      </c>
      <c r="C1760">
        <v>21</v>
      </c>
      <c r="D1760">
        <v>2</v>
      </c>
      <c r="E1760" s="1">
        <v>269.99</v>
      </c>
      <c r="F1760" s="1">
        <v>7.0000000000000007E-2</v>
      </c>
      <c r="G1760">
        <v>539.98</v>
      </c>
      <c r="H1760" s="22">
        <f>VLOOKUP(A1760,[1]Orders!$A$2:$B$1616,2,0)</f>
        <v>42730</v>
      </c>
      <c r="J1760" t="s">
        <v>31</v>
      </c>
      <c r="K1760" t="s">
        <v>18</v>
      </c>
    </row>
    <row r="1761" spans="1:11" x14ac:dyDescent="0.3">
      <c r="A1761">
        <v>631</v>
      </c>
      <c r="B1761">
        <v>1</v>
      </c>
      <c r="C1761">
        <v>24</v>
      </c>
      <c r="D1761">
        <v>2</v>
      </c>
      <c r="E1761" s="1">
        <v>549.99</v>
      </c>
      <c r="F1761" s="1">
        <v>7.0000000000000007E-2</v>
      </c>
      <c r="G1761">
        <v>1099.98</v>
      </c>
      <c r="H1761" s="22">
        <f>VLOOKUP(A1761,[1]Orders!$A$2:$B$1616,2,0)</f>
        <v>42731</v>
      </c>
      <c r="J1761" t="s">
        <v>25</v>
      </c>
      <c r="K1761" t="s">
        <v>11</v>
      </c>
    </row>
    <row r="1762" spans="1:11" x14ac:dyDescent="0.3">
      <c r="A1762">
        <v>631</v>
      </c>
      <c r="B1762">
        <v>2</v>
      </c>
      <c r="C1762">
        <v>15</v>
      </c>
      <c r="D1762">
        <v>2</v>
      </c>
      <c r="E1762" s="1">
        <v>529.99</v>
      </c>
      <c r="F1762" s="1">
        <v>7.0000000000000007E-2</v>
      </c>
      <c r="G1762">
        <v>1059.98</v>
      </c>
      <c r="H1762" s="22">
        <f>VLOOKUP(A1762,[1]Orders!$A$2:$B$1616,2,0)</f>
        <v>42731</v>
      </c>
      <c r="J1762" t="s">
        <v>27</v>
      </c>
      <c r="K1762" t="s">
        <v>11</v>
      </c>
    </row>
    <row r="1763" spans="1:11" x14ac:dyDescent="0.3">
      <c r="A1763">
        <v>632</v>
      </c>
      <c r="B1763">
        <v>1</v>
      </c>
      <c r="C1763">
        <v>25</v>
      </c>
      <c r="D1763">
        <v>1</v>
      </c>
      <c r="E1763" s="1">
        <v>499.99</v>
      </c>
      <c r="F1763" s="1">
        <v>0.2</v>
      </c>
      <c r="G1763">
        <v>499.99</v>
      </c>
      <c r="H1763" s="22">
        <f>VLOOKUP(A1763,[1]Orders!$A$2:$B$1616,2,0)</f>
        <v>42731</v>
      </c>
      <c r="J1763" t="s">
        <v>35</v>
      </c>
      <c r="K1763" t="s">
        <v>18</v>
      </c>
    </row>
    <row r="1764" spans="1:11" x14ac:dyDescent="0.3">
      <c r="A1764">
        <v>632</v>
      </c>
      <c r="B1764">
        <v>2</v>
      </c>
      <c r="C1764">
        <v>11</v>
      </c>
      <c r="D1764">
        <v>2</v>
      </c>
      <c r="E1764" s="1">
        <v>1680.99</v>
      </c>
      <c r="F1764" s="1">
        <v>0.1</v>
      </c>
      <c r="G1764">
        <v>3361.98</v>
      </c>
      <c r="H1764" s="22">
        <f>VLOOKUP(A1764,[1]Orders!$A$2:$B$1616,2,0)</f>
        <v>42731</v>
      </c>
      <c r="J1764" t="s">
        <v>30</v>
      </c>
      <c r="K1764" t="s">
        <v>18</v>
      </c>
    </row>
    <row r="1765" spans="1:11" x14ac:dyDescent="0.3">
      <c r="A1765">
        <v>632</v>
      </c>
      <c r="B1765">
        <v>3</v>
      </c>
      <c r="C1765">
        <v>15</v>
      </c>
      <c r="D1765">
        <v>1</v>
      </c>
      <c r="E1765" s="1">
        <v>529.99</v>
      </c>
      <c r="F1765" s="1">
        <v>7.0000000000000007E-2</v>
      </c>
      <c r="G1765">
        <v>529.99</v>
      </c>
      <c r="H1765" s="22">
        <f>VLOOKUP(A1765,[1]Orders!$A$2:$B$1616,2,0)</f>
        <v>42731</v>
      </c>
      <c r="J1765" t="s">
        <v>27</v>
      </c>
      <c r="K1765" t="s">
        <v>18</v>
      </c>
    </row>
    <row r="1766" spans="1:11" x14ac:dyDescent="0.3">
      <c r="A1766">
        <v>632</v>
      </c>
      <c r="B1766">
        <v>4</v>
      </c>
      <c r="C1766">
        <v>6</v>
      </c>
      <c r="D1766">
        <v>1</v>
      </c>
      <c r="E1766" s="1">
        <v>469.99</v>
      </c>
      <c r="F1766" s="1">
        <v>0.05</v>
      </c>
      <c r="G1766">
        <v>469.99</v>
      </c>
      <c r="H1766" s="22">
        <f>VLOOKUP(A1766,[1]Orders!$A$2:$B$1616,2,0)</f>
        <v>42731</v>
      </c>
      <c r="J1766" t="s">
        <v>32</v>
      </c>
      <c r="K1766" t="s">
        <v>18</v>
      </c>
    </row>
    <row r="1767" spans="1:11" x14ac:dyDescent="0.3">
      <c r="A1767">
        <v>632</v>
      </c>
      <c r="B1767">
        <v>5</v>
      </c>
      <c r="C1767">
        <v>22</v>
      </c>
      <c r="D1767">
        <v>2</v>
      </c>
      <c r="E1767" s="1">
        <v>269.99</v>
      </c>
      <c r="F1767" s="1">
        <v>0.1</v>
      </c>
      <c r="G1767">
        <v>539.98</v>
      </c>
      <c r="H1767" s="22">
        <f>VLOOKUP(A1767,[1]Orders!$A$2:$B$1616,2,0)</f>
        <v>42731</v>
      </c>
      <c r="J1767" t="s">
        <v>28</v>
      </c>
      <c r="K1767" t="s">
        <v>18</v>
      </c>
    </row>
    <row r="1768" spans="1:11" x14ac:dyDescent="0.3">
      <c r="A1768">
        <v>633</v>
      </c>
      <c r="B1768">
        <v>1</v>
      </c>
      <c r="C1768">
        <v>12</v>
      </c>
      <c r="D1768">
        <v>2</v>
      </c>
      <c r="E1768" s="1">
        <v>549.99</v>
      </c>
      <c r="F1768" s="1">
        <v>0.05</v>
      </c>
      <c r="G1768">
        <v>1099.98</v>
      </c>
      <c r="H1768" s="22">
        <f>VLOOKUP(A1768,[1]Orders!$A$2:$B$1616,2,0)</f>
        <v>42732</v>
      </c>
      <c r="J1768" t="s">
        <v>25</v>
      </c>
      <c r="K1768" t="s">
        <v>37</v>
      </c>
    </row>
    <row r="1769" spans="1:11" x14ac:dyDescent="0.3">
      <c r="A1769">
        <v>633</v>
      </c>
      <c r="B1769">
        <v>2</v>
      </c>
      <c r="C1769">
        <v>13</v>
      </c>
      <c r="D1769">
        <v>2</v>
      </c>
      <c r="E1769" s="1">
        <v>269.99</v>
      </c>
      <c r="F1769" s="1">
        <v>0.2</v>
      </c>
      <c r="G1769">
        <v>539.98</v>
      </c>
      <c r="H1769" s="22">
        <f>VLOOKUP(A1769,[1]Orders!$A$2:$B$1616,2,0)</f>
        <v>42732</v>
      </c>
      <c r="J1769" t="s">
        <v>31</v>
      </c>
      <c r="K1769" t="s">
        <v>37</v>
      </c>
    </row>
    <row r="1770" spans="1:11" x14ac:dyDescent="0.3">
      <c r="A1770">
        <v>633</v>
      </c>
      <c r="B1770">
        <v>3</v>
      </c>
      <c r="C1770">
        <v>5</v>
      </c>
      <c r="D1770">
        <v>2</v>
      </c>
      <c r="E1770" s="1">
        <v>1320.99</v>
      </c>
      <c r="F1770" s="1">
        <v>0.2</v>
      </c>
      <c r="G1770">
        <v>2641.98</v>
      </c>
      <c r="H1770" s="22">
        <f>VLOOKUP(A1770,[1]Orders!$A$2:$B$1616,2,0)</f>
        <v>42732</v>
      </c>
      <c r="J1770" t="s">
        <v>34</v>
      </c>
      <c r="K1770" t="s">
        <v>37</v>
      </c>
    </row>
    <row r="1771" spans="1:11" x14ac:dyDescent="0.3">
      <c r="A1771">
        <v>633</v>
      </c>
      <c r="B1771">
        <v>4</v>
      </c>
      <c r="C1771">
        <v>10</v>
      </c>
      <c r="D1771">
        <v>2</v>
      </c>
      <c r="E1771" s="1">
        <v>1549</v>
      </c>
      <c r="F1771" s="1">
        <v>0.2</v>
      </c>
      <c r="G1771">
        <v>3098</v>
      </c>
      <c r="H1771" s="22">
        <f>VLOOKUP(A1771,[1]Orders!$A$2:$B$1616,2,0)</f>
        <v>42732</v>
      </c>
      <c r="J1771" t="s">
        <v>13</v>
      </c>
      <c r="K1771" t="s">
        <v>37</v>
      </c>
    </row>
    <row r="1772" spans="1:11" x14ac:dyDescent="0.3">
      <c r="A1772">
        <v>634</v>
      </c>
      <c r="B1772">
        <v>1</v>
      </c>
      <c r="C1772">
        <v>4</v>
      </c>
      <c r="D1772">
        <v>2</v>
      </c>
      <c r="E1772" s="1">
        <v>2899.99</v>
      </c>
      <c r="F1772" s="1">
        <v>0.05</v>
      </c>
      <c r="G1772">
        <v>5799.98</v>
      </c>
      <c r="H1772" s="22">
        <f>VLOOKUP(A1772,[1]Orders!$A$2:$B$1616,2,0)</f>
        <v>42733</v>
      </c>
      <c r="J1772" t="s">
        <v>16</v>
      </c>
      <c r="K1772" t="s">
        <v>18</v>
      </c>
    </row>
    <row r="1773" spans="1:11" x14ac:dyDescent="0.3">
      <c r="A1773">
        <v>634</v>
      </c>
      <c r="B1773">
        <v>2</v>
      </c>
      <c r="C1773">
        <v>12</v>
      </c>
      <c r="D1773">
        <v>1</v>
      </c>
      <c r="E1773" s="1">
        <v>549.99</v>
      </c>
      <c r="F1773" s="1">
        <v>0.1</v>
      </c>
      <c r="G1773">
        <v>549.99</v>
      </c>
      <c r="H1773" s="22">
        <f>VLOOKUP(A1773,[1]Orders!$A$2:$B$1616,2,0)</f>
        <v>42733</v>
      </c>
      <c r="J1773" t="s">
        <v>25</v>
      </c>
      <c r="K1773" t="s">
        <v>18</v>
      </c>
    </row>
    <row r="1774" spans="1:11" x14ac:dyDescent="0.3">
      <c r="A1774">
        <v>635</v>
      </c>
      <c r="B1774">
        <v>1</v>
      </c>
      <c r="C1774">
        <v>4</v>
      </c>
      <c r="D1774">
        <v>1</v>
      </c>
      <c r="E1774" s="1">
        <v>2899.99</v>
      </c>
      <c r="F1774" s="1">
        <v>0.05</v>
      </c>
      <c r="G1774">
        <v>2899.99</v>
      </c>
      <c r="H1774" s="22">
        <f>VLOOKUP(A1774,[1]Orders!$A$2:$B$1616,2,0)</f>
        <v>42734</v>
      </c>
      <c r="J1774" t="s">
        <v>16</v>
      </c>
      <c r="K1774" t="s">
        <v>18</v>
      </c>
    </row>
    <row r="1775" spans="1:11" x14ac:dyDescent="0.3">
      <c r="A1775">
        <v>636</v>
      </c>
      <c r="B1775">
        <v>1</v>
      </c>
      <c r="C1775">
        <v>85</v>
      </c>
      <c r="D1775">
        <v>2</v>
      </c>
      <c r="E1775" s="1">
        <v>329.99</v>
      </c>
      <c r="F1775" s="1">
        <v>0.2</v>
      </c>
      <c r="G1775">
        <v>659.98</v>
      </c>
      <c r="H1775" s="22">
        <f>VLOOKUP(A1775,[1]Orders!$A$2:$B$1616,2,0)</f>
        <v>42738</v>
      </c>
      <c r="J1775" t="s">
        <v>38</v>
      </c>
      <c r="K1775" t="s">
        <v>11</v>
      </c>
    </row>
    <row r="1776" spans="1:11" x14ac:dyDescent="0.3">
      <c r="A1776">
        <v>637</v>
      </c>
      <c r="B1776">
        <v>1</v>
      </c>
      <c r="C1776">
        <v>9</v>
      </c>
      <c r="D1776">
        <v>1</v>
      </c>
      <c r="E1776" s="1">
        <v>2999.99</v>
      </c>
      <c r="F1776" s="1">
        <v>0.1</v>
      </c>
      <c r="G1776">
        <v>2999.99</v>
      </c>
      <c r="H1776" s="22">
        <f>VLOOKUP(A1776,[1]Orders!$A$2:$B$1616,2,0)</f>
        <v>42738</v>
      </c>
      <c r="J1776" t="s">
        <v>26</v>
      </c>
      <c r="K1776" t="s">
        <v>18</v>
      </c>
    </row>
    <row r="1777" spans="1:11" x14ac:dyDescent="0.3">
      <c r="A1777">
        <v>637</v>
      </c>
      <c r="B1777">
        <v>2</v>
      </c>
      <c r="C1777">
        <v>106</v>
      </c>
      <c r="D1777">
        <v>2</v>
      </c>
      <c r="E1777" s="1">
        <v>449.99</v>
      </c>
      <c r="F1777" s="1">
        <v>0.1</v>
      </c>
      <c r="G1777">
        <v>899.98</v>
      </c>
      <c r="H1777" s="22">
        <f>VLOOKUP(A1777,[1]Orders!$A$2:$B$1616,2,0)</f>
        <v>42738</v>
      </c>
      <c r="J1777" t="s">
        <v>39</v>
      </c>
      <c r="K1777" t="s">
        <v>18</v>
      </c>
    </row>
    <row r="1778" spans="1:11" x14ac:dyDescent="0.3">
      <c r="A1778">
        <v>638</v>
      </c>
      <c r="B1778">
        <v>1</v>
      </c>
      <c r="C1778">
        <v>103</v>
      </c>
      <c r="D1778">
        <v>1</v>
      </c>
      <c r="E1778" s="1">
        <v>551.99</v>
      </c>
      <c r="F1778" s="1">
        <v>0.05</v>
      </c>
      <c r="G1778">
        <v>551.99</v>
      </c>
      <c r="H1778" s="22">
        <f>VLOOKUP(A1778,[1]Orders!$A$2:$B$1616,2,0)</f>
        <v>42739</v>
      </c>
      <c r="J1778" t="s">
        <v>40</v>
      </c>
      <c r="K1778" t="s">
        <v>18</v>
      </c>
    </row>
    <row r="1779" spans="1:11" x14ac:dyDescent="0.3">
      <c r="A1779">
        <v>638</v>
      </c>
      <c r="B1779">
        <v>2</v>
      </c>
      <c r="C1779">
        <v>56</v>
      </c>
      <c r="D1779">
        <v>1</v>
      </c>
      <c r="E1779" s="1">
        <v>5499.99</v>
      </c>
      <c r="F1779" s="1">
        <v>0.2</v>
      </c>
      <c r="G1779">
        <v>5499.99</v>
      </c>
      <c r="H1779" s="22">
        <f>VLOOKUP(A1779,[1]Orders!$A$2:$B$1616,2,0)</f>
        <v>42739</v>
      </c>
      <c r="J1779" t="s">
        <v>41</v>
      </c>
      <c r="K1779" t="s">
        <v>18</v>
      </c>
    </row>
    <row r="1780" spans="1:11" x14ac:dyDescent="0.3">
      <c r="A1780">
        <v>638</v>
      </c>
      <c r="B1780">
        <v>3</v>
      </c>
      <c r="C1780">
        <v>53</v>
      </c>
      <c r="D1780">
        <v>2</v>
      </c>
      <c r="E1780" s="1">
        <v>749.99</v>
      </c>
      <c r="F1780" s="1">
        <v>0.05</v>
      </c>
      <c r="G1780">
        <v>1499.98</v>
      </c>
      <c r="H1780" s="22">
        <f>VLOOKUP(A1780,[1]Orders!$A$2:$B$1616,2,0)</f>
        <v>42739</v>
      </c>
      <c r="J1780" t="s">
        <v>42</v>
      </c>
      <c r="K1780" t="s">
        <v>18</v>
      </c>
    </row>
    <row r="1781" spans="1:11" x14ac:dyDescent="0.3">
      <c r="A1781">
        <v>639</v>
      </c>
      <c r="B1781">
        <v>1</v>
      </c>
      <c r="C1781">
        <v>15</v>
      </c>
      <c r="D1781">
        <v>1</v>
      </c>
      <c r="E1781" s="1">
        <v>529.99</v>
      </c>
      <c r="F1781" s="1">
        <v>7.0000000000000007E-2</v>
      </c>
      <c r="G1781">
        <v>529.99</v>
      </c>
      <c r="H1781" s="22">
        <f>VLOOKUP(A1781,[1]Orders!$A$2:$B$1616,2,0)</f>
        <v>42741</v>
      </c>
      <c r="J1781" t="s">
        <v>27</v>
      </c>
      <c r="K1781" t="s">
        <v>18</v>
      </c>
    </row>
    <row r="1782" spans="1:11" x14ac:dyDescent="0.3">
      <c r="A1782">
        <v>639</v>
      </c>
      <c r="B1782">
        <v>2</v>
      </c>
      <c r="C1782">
        <v>73</v>
      </c>
      <c r="D1782">
        <v>1</v>
      </c>
      <c r="E1782" s="1">
        <v>749.99</v>
      </c>
      <c r="F1782" s="1">
        <v>0.05</v>
      </c>
      <c r="G1782">
        <v>749.99</v>
      </c>
      <c r="H1782" s="22">
        <f>VLOOKUP(A1782,[1]Orders!$A$2:$B$1616,2,0)</f>
        <v>42741</v>
      </c>
      <c r="J1782" t="s">
        <v>43</v>
      </c>
      <c r="K1782" t="s">
        <v>18</v>
      </c>
    </row>
    <row r="1783" spans="1:11" x14ac:dyDescent="0.3">
      <c r="A1783">
        <v>639</v>
      </c>
      <c r="B1783">
        <v>3</v>
      </c>
      <c r="C1783">
        <v>72</v>
      </c>
      <c r="D1783">
        <v>1</v>
      </c>
      <c r="E1783" s="1">
        <v>619.99</v>
      </c>
      <c r="F1783" s="1">
        <v>0.05</v>
      </c>
      <c r="G1783">
        <v>619.99</v>
      </c>
      <c r="H1783" s="22">
        <f>VLOOKUP(A1783,[1]Orders!$A$2:$B$1616,2,0)</f>
        <v>42741</v>
      </c>
      <c r="J1783" t="s">
        <v>44</v>
      </c>
      <c r="K1783" t="s">
        <v>18</v>
      </c>
    </row>
    <row r="1784" spans="1:11" x14ac:dyDescent="0.3">
      <c r="A1784">
        <v>639</v>
      </c>
      <c r="B1784">
        <v>4</v>
      </c>
      <c r="C1784">
        <v>61</v>
      </c>
      <c r="D1784">
        <v>2</v>
      </c>
      <c r="E1784" s="1">
        <v>4999.99</v>
      </c>
      <c r="F1784" s="1">
        <v>0.1</v>
      </c>
      <c r="G1784">
        <v>9999.98</v>
      </c>
      <c r="H1784" s="22">
        <f>VLOOKUP(A1784,[1]Orders!$A$2:$B$1616,2,0)</f>
        <v>42741</v>
      </c>
      <c r="J1784" t="s">
        <v>45</v>
      </c>
      <c r="K1784" t="s">
        <v>18</v>
      </c>
    </row>
    <row r="1785" spans="1:11" x14ac:dyDescent="0.3">
      <c r="A1785">
        <v>640</v>
      </c>
      <c r="B1785">
        <v>1</v>
      </c>
      <c r="C1785">
        <v>106</v>
      </c>
      <c r="D1785">
        <v>2</v>
      </c>
      <c r="E1785" s="1">
        <v>449.99</v>
      </c>
      <c r="F1785" s="1">
        <v>0.05</v>
      </c>
      <c r="G1785">
        <v>899.98</v>
      </c>
      <c r="H1785" s="22">
        <f>VLOOKUP(A1785,[1]Orders!$A$2:$B$1616,2,0)</f>
        <v>42741</v>
      </c>
      <c r="J1785" t="s">
        <v>39</v>
      </c>
      <c r="K1785" t="s">
        <v>18</v>
      </c>
    </row>
    <row r="1786" spans="1:11" x14ac:dyDescent="0.3">
      <c r="A1786">
        <v>640</v>
      </c>
      <c r="B1786">
        <v>2</v>
      </c>
      <c r="C1786">
        <v>32</v>
      </c>
      <c r="D1786">
        <v>1</v>
      </c>
      <c r="E1786" s="1">
        <v>469.99</v>
      </c>
      <c r="F1786" s="1">
        <v>7.0000000000000007E-2</v>
      </c>
      <c r="G1786">
        <v>469.99</v>
      </c>
      <c r="H1786" s="22">
        <f>VLOOKUP(A1786,[1]Orders!$A$2:$B$1616,2,0)</f>
        <v>42741</v>
      </c>
      <c r="J1786" t="s">
        <v>46</v>
      </c>
      <c r="K1786" t="s">
        <v>18</v>
      </c>
    </row>
    <row r="1787" spans="1:11" x14ac:dyDescent="0.3">
      <c r="A1787">
        <v>640</v>
      </c>
      <c r="B1787">
        <v>3</v>
      </c>
      <c r="C1787">
        <v>30</v>
      </c>
      <c r="D1787">
        <v>1</v>
      </c>
      <c r="E1787" s="1">
        <v>999.99</v>
      </c>
      <c r="F1787" s="1">
        <v>7.0000000000000007E-2</v>
      </c>
      <c r="G1787">
        <v>999.99</v>
      </c>
      <c r="H1787" s="22">
        <f>VLOOKUP(A1787,[1]Orders!$A$2:$B$1616,2,0)</f>
        <v>42741</v>
      </c>
      <c r="J1787" t="s">
        <v>47</v>
      </c>
      <c r="K1787" t="s">
        <v>18</v>
      </c>
    </row>
    <row r="1788" spans="1:11" x14ac:dyDescent="0.3">
      <c r="A1788">
        <v>640</v>
      </c>
      <c r="B1788">
        <v>4</v>
      </c>
      <c r="C1788">
        <v>76</v>
      </c>
      <c r="D1788">
        <v>2</v>
      </c>
      <c r="E1788" s="1">
        <v>299.99</v>
      </c>
      <c r="F1788" s="1">
        <v>7.0000000000000007E-2</v>
      </c>
      <c r="G1788">
        <v>599.98</v>
      </c>
      <c r="H1788" s="22">
        <f>VLOOKUP(A1788,[1]Orders!$A$2:$B$1616,2,0)</f>
        <v>42741</v>
      </c>
      <c r="J1788" t="s">
        <v>48</v>
      </c>
      <c r="K1788" t="s">
        <v>18</v>
      </c>
    </row>
    <row r="1789" spans="1:11" x14ac:dyDescent="0.3">
      <c r="A1789">
        <v>640</v>
      </c>
      <c r="B1789">
        <v>5</v>
      </c>
      <c r="C1789">
        <v>109</v>
      </c>
      <c r="D1789">
        <v>2</v>
      </c>
      <c r="E1789" s="1">
        <v>416.99</v>
      </c>
      <c r="F1789" s="1">
        <v>0.2</v>
      </c>
      <c r="G1789">
        <v>833.98</v>
      </c>
      <c r="H1789" s="22">
        <f>VLOOKUP(A1789,[1]Orders!$A$2:$B$1616,2,0)</f>
        <v>42741</v>
      </c>
      <c r="J1789" t="s">
        <v>49</v>
      </c>
      <c r="K1789" t="s">
        <v>18</v>
      </c>
    </row>
    <row r="1790" spans="1:11" x14ac:dyDescent="0.3">
      <c r="A1790">
        <v>641</v>
      </c>
      <c r="B1790">
        <v>1</v>
      </c>
      <c r="C1790">
        <v>15</v>
      </c>
      <c r="D1790">
        <v>1</v>
      </c>
      <c r="E1790" s="1">
        <v>529.99</v>
      </c>
      <c r="F1790" s="1">
        <v>0.05</v>
      </c>
      <c r="G1790">
        <v>529.99</v>
      </c>
      <c r="H1790" s="22">
        <f>VLOOKUP(A1790,[1]Orders!$A$2:$B$1616,2,0)</f>
        <v>42742</v>
      </c>
      <c r="J1790" t="s">
        <v>27</v>
      </c>
      <c r="K1790" t="s">
        <v>11</v>
      </c>
    </row>
    <row r="1791" spans="1:11" x14ac:dyDescent="0.3">
      <c r="A1791">
        <v>641</v>
      </c>
      <c r="B1791">
        <v>2</v>
      </c>
      <c r="C1791">
        <v>62</v>
      </c>
      <c r="D1791">
        <v>1</v>
      </c>
      <c r="E1791" s="1">
        <v>3499.99</v>
      </c>
      <c r="F1791" s="1">
        <v>0.2</v>
      </c>
      <c r="G1791">
        <v>3499.99</v>
      </c>
      <c r="H1791" s="22">
        <f>VLOOKUP(A1791,[1]Orders!$A$2:$B$1616,2,0)</f>
        <v>42742</v>
      </c>
      <c r="J1791" t="s">
        <v>50</v>
      </c>
      <c r="K1791" t="s">
        <v>11</v>
      </c>
    </row>
    <row r="1792" spans="1:11" x14ac:dyDescent="0.3">
      <c r="A1792">
        <v>641</v>
      </c>
      <c r="B1792">
        <v>3</v>
      </c>
      <c r="C1792">
        <v>64</v>
      </c>
      <c r="D1792">
        <v>1</v>
      </c>
      <c r="E1792" s="1">
        <v>489.99</v>
      </c>
      <c r="F1792" s="1">
        <v>0.2</v>
      </c>
      <c r="G1792">
        <v>489.99</v>
      </c>
      <c r="H1792" s="22">
        <f>VLOOKUP(A1792,[1]Orders!$A$2:$B$1616,2,0)</f>
        <v>42742</v>
      </c>
      <c r="J1792" t="s">
        <v>51</v>
      </c>
      <c r="K1792" t="s">
        <v>11</v>
      </c>
    </row>
    <row r="1793" spans="1:11" x14ac:dyDescent="0.3">
      <c r="A1793">
        <v>642</v>
      </c>
      <c r="B1793">
        <v>1</v>
      </c>
      <c r="C1793">
        <v>68</v>
      </c>
      <c r="D1793">
        <v>2</v>
      </c>
      <c r="E1793" s="1">
        <v>449.99</v>
      </c>
      <c r="F1793" s="1">
        <v>7.0000000000000007E-2</v>
      </c>
      <c r="G1793">
        <v>899.98</v>
      </c>
      <c r="H1793" s="22">
        <f>VLOOKUP(A1793,[1]Orders!$A$2:$B$1616,2,0)</f>
        <v>42742</v>
      </c>
      <c r="J1793" t="s">
        <v>39</v>
      </c>
      <c r="K1793" t="s">
        <v>18</v>
      </c>
    </row>
    <row r="1794" spans="1:11" x14ac:dyDescent="0.3">
      <c r="A1794">
        <v>643</v>
      </c>
      <c r="B1794">
        <v>1</v>
      </c>
      <c r="C1794">
        <v>53</v>
      </c>
      <c r="D1794">
        <v>1</v>
      </c>
      <c r="E1794" s="1">
        <v>749.99</v>
      </c>
      <c r="F1794" s="1">
        <v>0.05</v>
      </c>
      <c r="G1794">
        <v>749.99</v>
      </c>
      <c r="H1794" s="22">
        <f>VLOOKUP(A1794,[1]Orders!$A$2:$B$1616,2,0)</f>
        <v>42743</v>
      </c>
      <c r="J1794" t="s">
        <v>42</v>
      </c>
      <c r="K1794" t="s">
        <v>11</v>
      </c>
    </row>
    <row r="1795" spans="1:11" x14ac:dyDescent="0.3">
      <c r="A1795">
        <v>644</v>
      </c>
      <c r="B1795">
        <v>1</v>
      </c>
      <c r="C1795">
        <v>9</v>
      </c>
      <c r="D1795">
        <v>1</v>
      </c>
      <c r="E1795" s="1">
        <v>2999.99</v>
      </c>
      <c r="F1795" s="1">
        <v>7.0000000000000007E-2</v>
      </c>
      <c r="G1795">
        <v>2999.99</v>
      </c>
      <c r="H1795" s="22">
        <f>VLOOKUP(A1795,[1]Orders!$A$2:$B$1616,2,0)</f>
        <v>42743</v>
      </c>
      <c r="J1795" t="s">
        <v>26</v>
      </c>
      <c r="K1795" t="s">
        <v>18</v>
      </c>
    </row>
    <row r="1796" spans="1:11" x14ac:dyDescent="0.3">
      <c r="A1796">
        <v>645</v>
      </c>
      <c r="B1796">
        <v>1</v>
      </c>
      <c r="C1796">
        <v>99</v>
      </c>
      <c r="D1796">
        <v>1</v>
      </c>
      <c r="E1796" s="1">
        <v>299.99</v>
      </c>
      <c r="F1796" s="1">
        <v>7.0000000000000007E-2</v>
      </c>
      <c r="G1796">
        <v>299.99</v>
      </c>
      <c r="H1796" s="22">
        <f>VLOOKUP(A1796,[1]Orders!$A$2:$B$1616,2,0)</f>
        <v>42743</v>
      </c>
      <c r="J1796" t="s">
        <v>52</v>
      </c>
      <c r="K1796" t="s">
        <v>18</v>
      </c>
    </row>
    <row r="1797" spans="1:11" x14ac:dyDescent="0.3">
      <c r="A1797">
        <v>645</v>
      </c>
      <c r="B1797">
        <v>2</v>
      </c>
      <c r="C1797">
        <v>42</v>
      </c>
      <c r="D1797">
        <v>2</v>
      </c>
      <c r="E1797" s="1">
        <v>2299.9899999999998</v>
      </c>
      <c r="F1797" s="1">
        <v>0.05</v>
      </c>
      <c r="G1797">
        <v>4599.9799999999996</v>
      </c>
      <c r="H1797" s="22">
        <f>VLOOKUP(A1797,[1]Orders!$A$2:$B$1616,2,0)</f>
        <v>42743</v>
      </c>
      <c r="J1797" t="s">
        <v>53</v>
      </c>
      <c r="K1797" t="s">
        <v>18</v>
      </c>
    </row>
    <row r="1798" spans="1:11" x14ac:dyDescent="0.3">
      <c r="A1798">
        <v>645</v>
      </c>
      <c r="B1798">
        <v>3</v>
      </c>
      <c r="C1798">
        <v>6</v>
      </c>
      <c r="D1798">
        <v>1</v>
      </c>
      <c r="E1798" s="1">
        <v>469.99</v>
      </c>
      <c r="F1798" s="1">
        <v>0.05</v>
      </c>
      <c r="G1798">
        <v>469.99</v>
      </c>
      <c r="H1798" s="22">
        <f>VLOOKUP(A1798,[1]Orders!$A$2:$B$1616,2,0)</f>
        <v>42743</v>
      </c>
      <c r="J1798" t="s">
        <v>32</v>
      </c>
      <c r="K1798" t="s">
        <v>18</v>
      </c>
    </row>
    <row r="1799" spans="1:11" x14ac:dyDescent="0.3">
      <c r="A1799">
        <v>645</v>
      </c>
      <c r="B1799">
        <v>4</v>
      </c>
      <c r="C1799">
        <v>47</v>
      </c>
      <c r="D1799">
        <v>2</v>
      </c>
      <c r="E1799" s="1">
        <v>5299.99</v>
      </c>
      <c r="F1799" s="1">
        <v>7.0000000000000007E-2</v>
      </c>
      <c r="G1799">
        <v>10599.98</v>
      </c>
      <c r="H1799" s="22">
        <f>VLOOKUP(A1799,[1]Orders!$A$2:$B$1616,2,0)</f>
        <v>42743</v>
      </c>
      <c r="J1799" t="s">
        <v>54</v>
      </c>
      <c r="K1799" t="s">
        <v>18</v>
      </c>
    </row>
    <row r="1800" spans="1:11" x14ac:dyDescent="0.3">
      <c r="A1800">
        <v>645</v>
      </c>
      <c r="B1800">
        <v>5</v>
      </c>
      <c r="C1800">
        <v>21</v>
      </c>
      <c r="D1800">
        <v>2</v>
      </c>
      <c r="E1800" s="1">
        <v>269.99</v>
      </c>
      <c r="F1800" s="1">
        <v>7.0000000000000007E-2</v>
      </c>
      <c r="G1800">
        <v>539.98</v>
      </c>
      <c r="H1800" s="22">
        <f>VLOOKUP(A1800,[1]Orders!$A$2:$B$1616,2,0)</f>
        <v>42743</v>
      </c>
      <c r="J1800" t="s">
        <v>31</v>
      </c>
      <c r="K1800" t="s">
        <v>18</v>
      </c>
    </row>
    <row r="1801" spans="1:11" x14ac:dyDescent="0.3">
      <c r="A1801">
        <v>646</v>
      </c>
      <c r="B1801">
        <v>1</v>
      </c>
      <c r="C1801">
        <v>15</v>
      </c>
      <c r="D1801">
        <v>2</v>
      </c>
      <c r="E1801" s="1">
        <v>529.99</v>
      </c>
      <c r="F1801" s="1">
        <v>0.2</v>
      </c>
      <c r="G1801">
        <v>1059.98</v>
      </c>
      <c r="H1801" s="22">
        <f>VLOOKUP(A1801,[1]Orders!$A$2:$B$1616,2,0)</f>
        <v>42744</v>
      </c>
      <c r="J1801" t="s">
        <v>27</v>
      </c>
      <c r="K1801" t="s">
        <v>11</v>
      </c>
    </row>
    <row r="1802" spans="1:11" x14ac:dyDescent="0.3">
      <c r="A1802">
        <v>646</v>
      </c>
      <c r="B1802">
        <v>2</v>
      </c>
      <c r="C1802">
        <v>4</v>
      </c>
      <c r="D1802">
        <v>1</v>
      </c>
      <c r="E1802" s="1">
        <v>2899.99</v>
      </c>
      <c r="F1802" s="1">
        <v>7.0000000000000007E-2</v>
      </c>
      <c r="G1802">
        <v>2899.99</v>
      </c>
      <c r="H1802" s="22">
        <f>VLOOKUP(A1802,[1]Orders!$A$2:$B$1616,2,0)</f>
        <v>42744</v>
      </c>
      <c r="J1802" t="s">
        <v>16</v>
      </c>
      <c r="K1802" t="s">
        <v>11</v>
      </c>
    </row>
    <row r="1803" spans="1:11" x14ac:dyDescent="0.3">
      <c r="A1803">
        <v>646</v>
      </c>
      <c r="B1803">
        <v>3</v>
      </c>
      <c r="C1803">
        <v>95</v>
      </c>
      <c r="D1803">
        <v>1</v>
      </c>
      <c r="E1803" s="1">
        <v>299.99</v>
      </c>
      <c r="F1803" s="1">
        <v>0.05</v>
      </c>
      <c r="G1803">
        <v>299.99</v>
      </c>
      <c r="H1803" s="22">
        <f>VLOOKUP(A1803,[1]Orders!$A$2:$B$1616,2,0)</f>
        <v>42744</v>
      </c>
      <c r="J1803" t="s">
        <v>48</v>
      </c>
      <c r="K1803" t="s">
        <v>11</v>
      </c>
    </row>
    <row r="1804" spans="1:11" x14ac:dyDescent="0.3">
      <c r="A1804">
        <v>646</v>
      </c>
      <c r="B1804">
        <v>4</v>
      </c>
      <c r="C1804">
        <v>12</v>
      </c>
      <c r="D1804">
        <v>1</v>
      </c>
      <c r="E1804" s="1">
        <v>549.99</v>
      </c>
      <c r="F1804" s="1">
        <v>0.2</v>
      </c>
      <c r="G1804">
        <v>549.99</v>
      </c>
      <c r="H1804" s="22">
        <f>VLOOKUP(A1804,[1]Orders!$A$2:$B$1616,2,0)</f>
        <v>42744</v>
      </c>
      <c r="J1804" t="s">
        <v>25</v>
      </c>
      <c r="K1804" t="s">
        <v>11</v>
      </c>
    </row>
    <row r="1805" spans="1:11" x14ac:dyDescent="0.3">
      <c r="A1805">
        <v>647</v>
      </c>
      <c r="B1805">
        <v>1</v>
      </c>
      <c r="C1805">
        <v>25</v>
      </c>
      <c r="D1805">
        <v>2</v>
      </c>
      <c r="E1805" s="1">
        <v>499.99</v>
      </c>
      <c r="F1805" s="1">
        <v>7.0000000000000007E-2</v>
      </c>
      <c r="G1805">
        <v>999.98</v>
      </c>
      <c r="H1805" s="22">
        <f>VLOOKUP(A1805,[1]Orders!$A$2:$B$1616,2,0)</f>
        <v>42744</v>
      </c>
      <c r="J1805" t="s">
        <v>35</v>
      </c>
      <c r="K1805" t="s">
        <v>18</v>
      </c>
    </row>
    <row r="1806" spans="1:11" x14ac:dyDescent="0.3">
      <c r="A1806">
        <v>647</v>
      </c>
      <c r="B1806">
        <v>2</v>
      </c>
      <c r="C1806">
        <v>13</v>
      </c>
      <c r="D1806">
        <v>1</v>
      </c>
      <c r="E1806" s="1">
        <v>269.99</v>
      </c>
      <c r="F1806" s="1">
        <v>0.1</v>
      </c>
      <c r="G1806">
        <v>269.99</v>
      </c>
      <c r="H1806" s="22">
        <f>VLOOKUP(A1806,[1]Orders!$A$2:$B$1616,2,0)</f>
        <v>42744</v>
      </c>
      <c r="J1806" t="s">
        <v>31</v>
      </c>
      <c r="K1806" t="s">
        <v>18</v>
      </c>
    </row>
    <row r="1807" spans="1:11" x14ac:dyDescent="0.3">
      <c r="A1807">
        <v>648</v>
      </c>
      <c r="B1807">
        <v>1</v>
      </c>
      <c r="C1807">
        <v>24</v>
      </c>
      <c r="D1807">
        <v>1</v>
      </c>
      <c r="E1807" s="1">
        <v>549.99</v>
      </c>
      <c r="F1807" s="1">
        <v>7.0000000000000007E-2</v>
      </c>
      <c r="G1807">
        <v>549.99</v>
      </c>
      <c r="H1807" s="22">
        <f>VLOOKUP(A1807,[1]Orders!$A$2:$B$1616,2,0)</f>
        <v>42744</v>
      </c>
      <c r="J1807" t="s">
        <v>25</v>
      </c>
      <c r="K1807" t="s">
        <v>18</v>
      </c>
    </row>
    <row r="1808" spans="1:11" x14ac:dyDescent="0.3">
      <c r="A1808">
        <v>649</v>
      </c>
      <c r="B1808">
        <v>1</v>
      </c>
      <c r="C1808">
        <v>97</v>
      </c>
      <c r="D1808">
        <v>2</v>
      </c>
      <c r="E1808" s="1">
        <v>349.99</v>
      </c>
      <c r="F1808" s="1">
        <v>0.1</v>
      </c>
      <c r="G1808">
        <v>699.98</v>
      </c>
      <c r="H1808" s="22">
        <f>VLOOKUP(A1808,[1]Orders!$A$2:$B$1616,2,0)</f>
        <v>42745</v>
      </c>
      <c r="J1808" t="s">
        <v>55</v>
      </c>
      <c r="K1808" t="s">
        <v>11</v>
      </c>
    </row>
    <row r="1809" spans="1:11" x14ac:dyDescent="0.3">
      <c r="A1809">
        <v>649</v>
      </c>
      <c r="B1809">
        <v>2</v>
      </c>
      <c r="C1809">
        <v>90</v>
      </c>
      <c r="D1809">
        <v>1</v>
      </c>
      <c r="E1809" s="1">
        <v>209.99</v>
      </c>
      <c r="F1809" s="1">
        <v>7.0000000000000007E-2</v>
      </c>
      <c r="G1809">
        <v>209.99</v>
      </c>
      <c r="H1809" s="22">
        <f>VLOOKUP(A1809,[1]Orders!$A$2:$B$1616,2,0)</f>
        <v>42745</v>
      </c>
      <c r="J1809" t="s">
        <v>56</v>
      </c>
      <c r="K1809" t="s">
        <v>11</v>
      </c>
    </row>
    <row r="1810" spans="1:11" x14ac:dyDescent="0.3">
      <c r="A1810">
        <v>649</v>
      </c>
      <c r="B1810">
        <v>3</v>
      </c>
      <c r="C1810">
        <v>11</v>
      </c>
      <c r="D1810">
        <v>2</v>
      </c>
      <c r="E1810" s="1">
        <v>1680.99</v>
      </c>
      <c r="F1810" s="1">
        <v>0.1</v>
      </c>
      <c r="G1810">
        <v>3361.98</v>
      </c>
      <c r="H1810" s="22">
        <f>VLOOKUP(A1810,[1]Orders!$A$2:$B$1616,2,0)</f>
        <v>42745</v>
      </c>
      <c r="J1810" t="s">
        <v>30</v>
      </c>
      <c r="K1810" t="s">
        <v>11</v>
      </c>
    </row>
    <row r="1811" spans="1:11" x14ac:dyDescent="0.3">
      <c r="A1811">
        <v>649</v>
      </c>
      <c r="B1811">
        <v>4</v>
      </c>
      <c r="C1811">
        <v>78</v>
      </c>
      <c r="D1811">
        <v>1</v>
      </c>
      <c r="E1811" s="1">
        <v>647.99</v>
      </c>
      <c r="F1811" s="1">
        <v>0.05</v>
      </c>
      <c r="G1811">
        <v>647.99</v>
      </c>
      <c r="H1811" s="22">
        <f>VLOOKUP(A1811,[1]Orders!$A$2:$B$1616,2,0)</f>
        <v>42745</v>
      </c>
      <c r="J1811" t="s">
        <v>57</v>
      </c>
      <c r="K1811" t="s">
        <v>11</v>
      </c>
    </row>
    <row r="1812" spans="1:11" x14ac:dyDescent="0.3">
      <c r="A1812">
        <v>650</v>
      </c>
      <c r="B1812">
        <v>1</v>
      </c>
      <c r="C1812">
        <v>3</v>
      </c>
      <c r="D1812">
        <v>1</v>
      </c>
      <c r="E1812" s="1">
        <v>999.99</v>
      </c>
      <c r="F1812" s="1">
        <v>0.2</v>
      </c>
      <c r="G1812">
        <v>999.99</v>
      </c>
      <c r="H1812" s="22">
        <f>VLOOKUP(A1812,[1]Orders!$A$2:$B$1616,2,0)</f>
        <v>42746</v>
      </c>
      <c r="J1812" t="s">
        <v>20</v>
      </c>
      <c r="K1812" t="s">
        <v>11</v>
      </c>
    </row>
    <row r="1813" spans="1:11" x14ac:dyDescent="0.3">
      <c r="A1813">
        <v>651</v>
      </c>
      <c r="B1813">
        <v>1</v>
      </c>
      <c r="C1813">
        <v>79</v>
      </c>
      <c r="D1813">
        <v>1</v>
      </c>
      <c r="E1813" s="1">
        <v>402.99</v>
      </c>
      <c r="F1813" s="1">
        <v>0.1</v>
      </c>
      <c r="G1813">
        <v>402.99</v>
      </c>
      <c r="H1813" s="22">
        <f>VLOOKUP(A1813,[1]Orders!$A$2:$B$1616,2,0)</f>
        <v>42746</v>
      </c>
      <c r="J1813" t="s">
        <v>58</v>
      </c>
      <c r="K1813" t="s">
        <v>18</v>
      </c>
    </row>
    <row r="1814" spans="1:11" x14ac:dyDescent="0.3">
      <c r="A1814">
        <v>651</v>
      </c>
      <c r="B1814">
        <v>2</v>
      </c>
      <c r="C1814">
        <v>85</v>
      </c>
      <c r="D1814">
        <v>1</v>
      </c>
      <c r="E1814" s="1">
        <v>329.99</v>
      </c>
      <c r="F1814" s="1">
        <v>0.05</v>
      </c>
      <c r="G1814">
        <v>329.99</v>
      </c>
      <c r="H1814" s="22">
        <f>VLOOKUP(A1814,[1]Orders!$A$2:$B$1616,2,0)</f>
        <v>42746</v>
      </c>
      <c r="J1814" t="s">
        <v>38</v>
      </c>
      <c r="K1814" t="s">
        <v>18</v>
      </c>
    </row>
    <row r="1815" spans="1:11" x14ac:dyDescent="0.3">
      <c r="A1815">
        <v>651</v>
      </c>
      <c r="B1815">
        <v>3</v>
      </c>
      <c r="C1815">
        <v>102</v>
      </c>
      <c r="D1815">
        <v>2</v>
      </c>
      <c r="E1815" s="1">
        <v>489.99</v>
      </c>
      <c r="F1815" s="1">
        <v>0.05</v>
      </c>
      <c r="G1815">
        <v>979.98</v>
      </c>
      <c r="H1815" s="22">
        <f>VLOOKUP(A1815,[1]Orders!$A$2:$B$1616,2,0)</f>
        <v>42746</v>
      </c>
      <c r="J1815" t="s">
        <v>51</v>
      </c>
      <c r="K1815" t="s">
        <v>18</v>
      </c>
    </row>
    <row r="1816" spans="1:11" x14ac:dyDescent="0.3">
      <c r="A1816">
        <v>651</v>
      </c>
      <c r="B1816">
        <v>4</v>
      </c>
      <c r="C1816">
        <v>94</v>
      </c>
      <c r="D1816">
        <v>2</v>
      </c>
      <c r="E1816" s="1">
        <v>249.99</v>
      </c>
      <c r="F1816" s="1">
        <v>0.05</v>
      </c>
      <c r="G1816">
        <v>499.98</v>
      </c>
      <c r="H1816" s="22">
        <f>VLOOKUP(A1816,[1]Orders!$A$2:$B$1616,2,0)</f>
        <v>42746</v>
      </c>
      <c r="J1816" t="s">
        <v>59</v>
      </c>
      <c r="K1816" t="s">
        <v>18</v>
      </c>
    </row>
    <row r="1817" spans="1:11" x14ac:dyDescent="0.3">
      <c r="A1817">
        <v>652</v>
      </c>
      <c r="B1817">
        <v>1</v>
      </c>
      <c r="C1817">
        <v>102</v>
      </c>
      <c r="D1817">
        <v>1</v>
      </c>
      <c r="E1817" s="1">
        <v>489.99</v>
      </c>
      <c r="F1817" s="1">
        <v>0.1</v>
      </c>
      <c r="G1817">
        <v>489.99</v>
      </c>
      <c r="H1817" s="22">
        <f>VLOOKUP(A1817,[1]Orders!$A$2:$B$1616,2,0)</f>
        <v>42747</v>
      </c>
      <c r="J1817" t="s">
        <v>51</v>
      </c>
      <c r="K1817" t="s">
        <v>37</v>
      </c>
    </row>
    <row r="1818" spans="1:11" x14ac:dyDescent="0.3">
      <c r="A1818">
        <v>652</v>
      </c>
      <c r="B1818">
        <v>2</v>
      </c>
      <c r="C1818">
        <v>62</v>
      </c>
      <c r="D1818">
        <v>2</v>
      </c>
      <c r="E1818" s="1">
        <v>3499.99</v>
      </c>
      <c r="F1818" s="1">
        <v>0.2</v>
      </c>
      <c r="G1818">
        <v>6999.98</v>
      </c>
      <c r="H1818" s="22">
        <f>VLOOKUP(A1818,[1]Orders!$A$2:$B$1616,2,0)</f>
        <v>42747</v>
      </c>
      <c r="J1818" t="s">
        <v>50</v>
      </c>
      <c r="K1818" t="s">
        <v>37</v>
      </c>
    </row>
    <row r="1819" spans="1:11" x14ac:dyDescent="0.3">
      <c r="A1819">
        <v>652</v>
      </c>
      <c r="B1819">
        <v>3</v>
      </c>
      <c r="C1819">
        <v>67</v>
      </c>
      <c r="D1819">
        <v>2</v>
      </c>
      <c r="E1819" s="1">
        <v>250.99</v>
      </c>
      <c r="F1819" s="1">
        <v>0.2</v>
      </c>
      <c r="G1819">
        <v>501.98</v>
      </c>
      <c r="H1819" s="22">
        <f>VLOOKUP(A1819,[1]Orders!$A$2:$B$1616,2,0)</f>
        <v>42747</v>
      </c>
      <c r="J1819" t="s">
        <v>60</v>
      </c>
      <c r="K1819" t="s">
        <v>37</v>
      </c>
    </row>
    <row r="1820" spans="1:11" x14ac:dyDescent="0.3">
      <c r="A1820">
        <v>652</v>
      </c>
      <c r="B1820">
        <v>4</v>
      </c>
      <c r="C1820">
        <v>23</v>
      </c>
      <c r="D1820">
        <v>1</v>
      </c>
      <c r="E1820" s="1">
        <v>299.99</v>
      </c>
      <c r="F1820" s="1">
        <v>0.1</v>
      </c>
      <c r="G1820">
        <v>299.99</v>
      </c>
      <c r="H1820" s="22">
        <f>VLOOKUP(A1820,[1]Orders!$A$2:$B$1616,2,0)</f>
        <v>42747</v>
      </c>
      <c r="J1820" t="s">
        <v>33</v>
      </c>
      <c r="K1820" t="s">
        <v>37</v>
      </c>
    </row>
    <row r="1821" spans="1:11" x14ac:dyDescent="0.3">
      <c r="A1821">
        <v>652</v>
      </c>
      <c r="B1821">
        <v>5</v>
      </c>
      <c r="C1821">
        <v>74</v>
      </c>
      <c r="D1821">
        <v>1</v>
      </c>
      <c r="E1821" s="1">
        <v>439.99</v>
      </c>
      <c r="F1821" s="1">
        <v>0.05</v>
      </c>
      <c r="G1821">
        <v>439.99</v>
      </c>
      <c r="H1821" s="22">
        <f>VLOOKUP(A1821,[1]Orders!$A$2:$B$1616,2,0)</f>
        <v>42747</v>
      </c>
      <c r="J1821" t="s">
        <v>61</v>
      </c>
      <c r="K1821" t="s">
        <v>37</v>
      </c>
    </row>
    <row r="1822" spans="1:11" x14ac:dyDescent="0.3">
      <c r="A1822">
        <v>653</v>
      </c>
      <c r="B1822">
        <v>1</v>
      </c>
      <c r="C1822">
        <v>6</v>
      </c>
      <c r="D1822">
        <v>1</v>
      </c>
      <c r="E1822" s="1">
        <v>469.99</v>
      </c>
      <c r="F1822" s="1">
        <v>7.0000000000000007E-2</v>
      </c>
      <c r="G1822">
        <v>469.99</v>
      </c>
      <c r="H1822" s="22">
        <f>VLOOKUP(A1822,[1]Orders!$A$2:$B$1616,2,0)</f>
        <v>42749</v>
      </c>
      <c r="J1822" t="s">
        <v>32</v>
      </c>
      <c r="K1822" t="s">
        <v>11</v>
      </c>
    </row>
    <row r="1823" spans="1:11" x14ac:dyDescent="0.3">
      <c r="A1823">
        <v>653</v>
      </c>
      <c r="B1823">
        <v>2</v>
      </c>
      <c r="C1823">
        <v>43</v>
      </c>
      <c r="D1823">
        <v>1</v>
      </c>
      <c r="E1823" s="1">
        <v>5299.99</v>
      </c>
      <c r="F1823" s="1">
        <v>0.1</v>
      </c>
      <c r="G1823">
        <v>5299.99</v>
      </c>
      <c r="H1823" s="22">
        <f>VLOOKUP(A1823,[1]Orders!$A$2:$B$1616,2,0)</f>
        <v>42749</v>
      </c>
      <c r="J1823" t="s">
        <v>62</v>
      </c>
      <c r="K1823" t="s">
        <v>11</v>
      </c>
    </row>
    <row r="1824" spans="1:11" x14ac:dyDescent="0.3">
      <c r="A1824">
        <v>653</v>
      </c>
      <c r="B1824">
        <v>3</v>
      </c>
      <c r="C1824">
        <v>2</v>
      </c>
      <c r="D1824">
        <v>2</v>
      </c>
      <c r="E1824" s="1">
        <v>749.99</v>
      </c>
      <c r="F1824" s="1">
        <v>0.1</v>
      </c>
      <c r="G1824">
        <v>1499.98</v>
      </c>
      <c r="H1824" s="22">
        <f>VLOOKUP(A1824,[1]Orders!$A$2:$B$1616,2,0)</f>
        <v>42749</v>
      </c>
      <c r="J1824" t="s">
        <v>22</v>
      </c>
      <c r="K1824" t="s">
        <v>11</v>
      </c>
    </row>
    <row r="1825" spans="1:11" x14ac:dyDescent="0.3">
      <c r="A1825">
        <v>653</v>
      </c>
      <c r="B1825">
        <v>4</v>
      </c>
      <c r="C1825">
        <v>80</v>
      </c>
      <c r="D1825">
        <v>1</v>
      </c>
      <c r="E1825" s="1">
        <v>761.99</v>
      </c>
      <c r="F1825" s="1">
        <v>0.2</v>
      </c>
      <c r="G1825">
        <v>761.99</v>
      </c>
      <c r="H1825" s="22">
        <f>VLOOKUP(A1825,[1]Orders!$A$2:$B$1616,2,0)</f>
        <v>42749</v>
      </c>
      <c r="J1825" t="s">
        <v>63</v>
      </c>
      <c r="K1825" t="s">
        <v>11</v>
      </c>
    </row>
    <row r="1826" spans="1:11" x14ac:dyDescent="0.3">
      <c r="A1826">
        <v>653</v>
      </c>
      <c r="B1826">
        <v>5</v>
      </c>
      <c r="C1826">
        <v>88</v>
      </c>
      <c r="D1826">
        <v>2</v>
      </c>
      <c r="E1826" s="1">
        <v>189.99</v>
      </c>
      <c r="F1826" s="1">
        <v>7.0000000000000007E-2</v>
      </c>
      <c r="G1826">
        <v>379.98</v>
      </c>
      <c r="H1826" s="22">
        <f>VLOOKUP(A1826,[1]Orders!$A$2:$B$1616,2,0)</f>
        <v>42749</v>
      </c>
      <c r="J1826" t="s">
        <v>64</v>
      </c>
      <c r="K1826" t="s">
        <v>11</v>
      </c>
    </row>
    <row r="1827" spans="1:11" x14ac:dyDescent="0.3">
      <c r="A1827">
        <v>654</v>
      </c>
      <c r="B1827">
        <v>1</v>
      </c>
      <c r="C1827">
        <v>9</v>
      </c>
      <c r="D1827">
        <v>1</v>
      </c>
      <c r="E1827" s="1">
        <v>2999.99</v>
      </c>
      <c r="F1827" s="1">
        <v>0.1</v>
      </c>
      <c r="G1827">
        <v>2999.99</v>
      </c>
      <c r="H1827" s="22">
        <f>VLOOKUP(A1827,[1]Orders!$A$2:$B$1616,2,0)</f>
        <v>42749</v>
      </c>
      <c r="J1827" t="s">
        <v>26</v>
      </c>
      <c r="K1827" t="s">
        <v>18</v>
      </c>
    </row>
    <row r="1828" spans="1:11" x14ac:dyDescent="0.3">
      <c r="A1828">
        <v>654</v>
      </c>
      <c r="B1828">
        <v>2</v>
      </c>
      <c r="C1828">
        <v>95</v>
      </c>
      <c r="D1828">
        <v>1</v>
      </c>
      <c r="E1828" s="1">
        <v>299.99</v>
      </c>
      <c r="F1828" s="1">
        <v>0.1</v>
      </c>
      <c r="G1828">
        <v>299.99</v>
      </c>
      <c r="H1828" s="22">
        <f>VLOOKUP(A1828,[1]Orders!$A$2:$B$1616,2,0)</f>
        <v>42749</v>
      </c>
      <c r="J1828" t="s">
        <v>48</v>
      </c>
      <c r="K1828" t="s">
        <v>18</v>
      </c>
    </row>
    <row r="1829" spans="1:11" x14ac:dyDescent="0.3">
      <c r="A1829">
        <v>654</v>
      </c>
      <c r="B1829">
        <v>3</v>
      </c>
      <c r="C1829">
        <v>110</v>
      </c>
      <c r="D1829">
        <v>2</v>
      </c>
      <c r="E1829" s="1">
        <v>470.99</v>
      </c>
      <c r="F1829" s="1">
        <v>7.0000000000000007E-2</v>
      </c>
      <c r="G1829">
        <v>941.98</v>
      </c>
      <c r="H1829" s="22">
        <f>VLOOKUP(A1829,[1]Orders!$A$2:$B$1616,2,0)</f>
        <v>42749</v>
      </c>
      <c r="J1829" t="s">
        <v>65</v>
      </c>
      <c r="K1829" t="s">
        <v>18</v>
      </c>
    </row>
    <row r="1830" spans="1:11" x14ac:dyDescent="0.3">
      <c r="A1830">
        <v>654</v>
      </c>
      <c r="B1830">
        <v>4</v>
      </c>
      <c r="C1830">
        <v>97</v>
      </c>
      <c r="D1830">
        <v>2</v>
      </c>
      <c r="E1830" s="1">
        <v>349.99</v>
      </c>
      <c r="F1830" s="1">
        <v>7.0000000000000007E-2</v>
      </c>
      <c r="G1830">
        <v>699.98</v>
      </c>
      <c r="H1830" s="22">
        <f>VLOOKUP(A1830,[1]Orders!$A$2:$B$1616,2,0)</f>
        <v>42749</v>
      </c>
      <c r="J1830" t="s">
        <v>55</v>
      </c>
      <c r="K1830" t="s">
        <v>18</v>
      </c>
    </row>
    <row r="1831" spans="1:11" x14ac:dyDescent="0.3">
      <c r="A1831">
        <v>655</v>
      </c>
      <c r="B1831">
        <v>1</v>
      </c>
      <c r="C1831">
        <v>67</v>
      </c>
      <c r="D1831">
        <v>1</v>
      </c>
      <c r="E1831" s="1">
        <v>250.99</v>
      </c>
      <c r="F1831" s="1">
        <v>0.1</v>
      </c>
      <c r="G1831">
        <v>250.99</v>
      </c>
      <c r="H1831" s="22">
        <f>VLOOKUP(A1831,[1]Orders!$A$2:$B$1616,2,0)</f>
        <v>42751</v>
      </c>
      <c r="J1831" t="s">
        <v>60</v>
      </c>
      <c r="K1831" t="s">
        <v>11</v>
      </c>
    </row>
    <row r="1832" spans="1:11" x14ac:dyDescent="0.3">
      <c r="A1832">
        <v>656</v>
      </c>
      <c r="B1832">
        <v>1</v>
      </c>
      <c r="C1832">
        <v>83</v>
      </c>
      <c r="D1832">
        <v>1</v>
      </c>
      <c r="E1832" s="1">
        <v>149.99</v>
      </c>
      <c r="F1832" s="1">
        <v>0.1</v>
      </c>
      <c r="G1832">
        <v>149.99</v>
      </c>
      <c r="H1832" s="22">
        <f>VLOOKUP(A1832,[1]Orders!$A$2:$B$1616,2,0)</f>
        <v>42751</v>
      </c>
      <c r="J1832" t="s">
        <v>66</v>
      </c>
      <c r="K1832" t="s">
        <v>18</v>
      </c>
    </row>
    <row r="1833" spans="1:11" x14ac:dyDescent="0.3">
      <c r="A1833">
        <v>656</v>
      </c>
      <c r="B1833">
        <v>2</v>
      </c>
      <c r="C1833">
        <v>22</v>
      </c>
      <c r="D1833">
        <v>1</v>
      </c>
      <c r="E1833" s="1">
        <v>269.99</v>
      </c>
      <c r="F1833" s="1">
        <v>7.0000000000000007E-2</v>
      </c>
      <c r="G1833">
        <v>269.99</v>
      </c>
      <c r="H1833" s="22">
        <f>VLOOKUP(A1833,[1]Orders!$A$2:$B$1616,2,0)</f>
        <v>42751</v>
      </c>
      <c r="J1833" t="s">
        <v>28</v>
      </c>
      <c r="K1833" t="s">
        <v>18</v>
      </c>
    </row>
    <row r="1834" spans="1:11" x14ac:dyDescent="0.3">
      <c r="A1834">
        <v>656</v>
      </c>
      <c r="B1834">
        <v>3</v>
      </c>
      <c r="C1834">
        <v>33</v>
      </c>
      <c r="D1834">
        <v>2</v>
      </c>
      <c r="E1834" s="1">
        <v>469.99</v>
      </c>
      <c r="F1834" s="1">
        <v>0.05</v>
      </c>
      <c r="G1834">
        <v>939.98</v>
      </c>
      <c r="H1834" s="22">
        <f>VLOOKUP(A1834,[1]Orders!$A$2:$B$1616,2,0)</f>
        <v>42751</v>
      </c>
      <c r="J1834" t="s">
        <v>67</v>
      </c>
      <c r="K1834" t="s">
        <v>18</v>
      </c>
    </row>
    <row r="1835" spans="1:11" x14ac:dyDescent="0.3">
      <c r="A1835">
        <v>657</v>
      </c>
      <c r="B1835">
        <v>1</v>
      </c>
      <c r="C1835">
        <v>52</v>
      </c>
      <c r="D1835">
        <v>1</v>
      </c>
      <c r="E1835" s="1">
        <v>875.99</v>
      </c>
      <c r="F1835" s="1">
        <v>0.05</v>
      </c>
      <c r="G1835">
        <v>875.99</v>
      </c>
      <c r="H1835" s="22">
        <f>VLOOKUP(A1835,[1]Orders!$A$2:$B$1616,2,0)</f>
        <v>42752</v>
      </c>
      <c r="J1835" t="s">
        <v>68</v>
      </c>
      <c r="K1835" t="s">
        <v>11</v>
      </c>
    </row>
    <row r="1836" spans="1:11" x14ac:dyDescent="0.3">
      <c r="A1836">
        <v>657</v>
      </c>
      <c r="B1836">
        <v>2</v>
      </c>
      <c r="C1836">
        <v>54</v>
      </c>
      <c r="D1836">
        <v>2</v>
      </c>
      <c r="E1836" s="1">
        <v>3199.99</v>
      </c>
      <c r="F1836" s="1">
        <v>0.05</v>
      </c>
      <c r="G1836">
        <v>6399.98</v>
      </c>
      <c r="H1836" s="22">
        <f>VLOOKUP(A1836,[1]Orders!$A$2:$B$1616,2,0)</f>
        <v>42752</v>
      </c>
      <c r="J1836" t="s">
        <v>69</v>
      </c>
      <c r="K1836" t="s">
        <v>11</v>
      </c>
    </row>
    <row r="1837" spans="1:11" x14ac:dyDescent="0.3">
      <c r="A1837">
        <v>658</v>
      </c>
      <c r="B1837">
        <v>1</v>
      </c>
      <c r="C1837">
        <v>49</v>
      </c>
      <c r="D1837">
        <v>2</v>
      </c>
      <c r="E1837" s="1">
        <v>3499.99</v>
      </c>
      <c r="F1837" s="1">
        <v>0.2</v>
      </c>
      <c r="G1837">
        <v>6999.98</v>
      </c>
      <c r="H1837" s="22">
        <f>VLOOKUP(A1837,[1]Orders!$A$2:$B$1616,2,0)</f>
        <v>42752</v>
      </c>
      <c r="J1837" t="s">
        <v>70</v>
      </c>
      <c r="K1837" t="s">
        <v>18</v>
      </c>
    </row>
    <row r="1838" spans="1:11" x14ac:dyDescent="0.3">
      <c r="A1838">
        <v>658</v>
      </c>
      <c r="B1838">
        <v>2</v>
      </c>
      <c r="C1838">
        <v>29</v>
      </c>
      <c r="D1838">
        <v>1</v>
      </c>
      <c r="E1838" s="1">
        <v>999.99</v>
      </c>
      <c r="F1838" s="1">
        <v>0.05</v>
      </c>
      <c r="G1838">
        <v>999.99</v>
      </c>
      <c r="H1838" s="22">
        <f>VLOOKUP(A1838,[1]Orders!$A$2:$B$1616,2,0)</f>
        <v>42752</v>
      </c>
      <c r="J1838" t="s">
        <v>71</v>
      </c>
      <c r="K1838" t="s">
        <v>18</v>
      </c>
    </row>
    <row r="1839" spans="1:11" x14ac:dyDescent="0.3">
      <c r="A1839">
        <v>658</v>
      </c>
      <c r="B1839">
        <v>3</v>
      </c>
      <c r="C1839">
        <v>9</v>
      </c>
      <c r="D1839">
        <v>1</v>
      </c>
      <c r="E1839" s="1">
        <v>2999.99</v>
      </c>
      <c r="F1839" s="1">
        <v>0.05</v>
      </c>
      <c r="G1839">
        <v>2999.99</v>
      </c>
      <c r="H1839" s="22">
        <f>VLOOKUP(A1839,[1]Orders!$A$2:$B$1616,2,0)</f>
        <v>42752</v>
      </c>
      <c r="J1839" t="s">
        <v>26</v>
      </c>
      <c r="K1839" t="s">
        <v>18</v>
      </c>
    </row>
    <row r="1840" spans="1:11" x14ac:dyDescent="0.3">
      <c r="A1840">
        <v>659</v>
      </c>
      <c r="B1840">
        <v>1</v>
      </c>
      <c r="C1840">
        <v>42</v>
      </c>
      <c r="D1840">
        <v>2</v>
      </c>
      <c r="E1840" s="1">
        <v>2299.9899999999998</v>
      </c>
      <c r="F1840" s="1">
        <v>0.05</v>
      </c>
      <c r="G1840">
        <v>4599.9799999999996</v>
      </c>
      <c r="H1840" s="22">
        <f>VLOOKUP(A1840,[1]Orders!$A$2:$B$1616,2,0)</f>
        <v>42752</v>
      </c>
      <c r="J1840" t="s">
        <v>53</v>
      </c>
      <c r="K1840" t="s">
        <v>18</v>
      </c>
    </row>
    <row r="1841" spans="1:11" x14ac:dyDescent="0.3">
      <c r="A1841">
        <v>659</v>
      </c>
      <c r="B1841">
        <v>2</v>
      </c>
      <c r="C1841">
        <v>39</v>
      </c>
      <c r="D1841">
        <v>2</v>
      </c>
      <c r="E1841" s="1">
        <v>1499.99</v>
      </c>
      <c r="F1841" s="1">
        <v>7.0000000000000007E-2</v>
      </c>
      <c r="G1841">
        <v>2999.98</v>
      </c>
      <c r="H1841" s="22">
        <f>VLOOKUP(A1841,[1]Orders!$A$2:$B$1616,2,0)</f>
        <v>42752</v>
      </c>
      <c r="J1841" t="s">
        <v>72</v>
      </c>
      <c r="K1841" t="s">
        <v>18</v>
      </c>
    </row>
    <row r="1842" spans="1:11" x14ac:dyDescent="0.3">
      <c r="A1842">
        <v>659</v>
      </c>
      <c r="B1842">
        <v>3</v>
      </c>
      <c r="C1842">
        <v>70</v>
      </c>
      <c r="D1842">
        <v>1</v>
      </c>
      <c r="E1842" s="1">
        <v>659.99</v>
      </c>
      <c r="F1842" s="1">
        <v>0.05</v>
      </c>
      <c r="G1842">
        <v>659.99</v>
      </c>
      <c r="H1842" s="22">
        <f>VLOOKUP(A1842,[1]Orders!$A$2:$B$1616,2,0)</f>
        <v>42752</v>
      </c>
      <c r="J1842" t="s">
        <v>73</v>
      </c>
      <c r="K1842" t="s">
        <v>18</v>
      </c>
    </row>
    <row r="1843" spans="1:11" x14ac:dyDescent="0.3">
      <c r="A1843">
        <v>659</v>
      </c>
      <c r="B1843">
        <v>4</v>
      </c>
      <c r="C1843">
        <v>61</v>
      </c>
      <c r="D1843">
        <v>2</v>
      </c>
      <c r="E1843" s="1">
        <v>4999.99</v>
      </c>
      <c r="F1843" s="1">
        <v>7.0000000000000007E-2</v>
      </c>
      <c r="G1843">
        <v>9999.98</v>
      </c>
      <c r="H1843" s="22">
        <f>VLOOKUP(A1843,[1]Orders!$A$2:$B$1616,2,0)</f>
        <v>42752</v>
      </c>
      <c r="J1843" t="s">
        <v>45</v>
      </c>
      <c r="K1843" t="s">
        <v>18</v>
      </c>
    </row>
    <row r="1844" spans="1:11" x14ac:dyDescent="0.3">
      <c r="A1844">
        <v>660</v>
      </c>
      <c r="B1844">
        <v>1</v>
      </c>
      <c r="C1844">
        <v>30</v>
      </c>
      <c r="D1844">
        <v>1</v>
      </c>
      <c r="E1844" s="1">
        <v>999.99</v>
      </c>
      <c r="F1844" s="1">
        <v>0.2</v>
      </c>
      <c r="G1844">
        <v>999.99</v>
      </c>
      <c r="H1844" s="22">
        <f>VLOOKUP(A1844,[1]Orders!$A$2:$B$1616,2,0)</f>
        <v>42753</v>
      </c>
      <c r="J1844" t="s">
        <v>47</v>
      </c>
      <c r="K1844" t="s">
        <v>18</v>
      </c>
    </row>
    <row r="1845" spans="1:11" x14ac:dyDescent="0.3">
      <c r="A1845">
        <v>660</v>
      </c>
      <c r="B1845">
        <v>2</v>
      </c>
      <c r="C1845">
        <v>59</v>
      </c>
      <c r="D1845">
        <v>2</v>
      </c>
      <c r="E1845" s="1">
        <v>2599.9899999999998</v>
      </c>
      <c r="F1845" s="1">
        <v>7.0000000000000007E-2</v>
      </c>
      <c r="G1845">
        <v>5199.9799999999996</v>
      </c>
      <c r="H1845" s="22">
        <f>VLOOKUP(A1845,[1]Orders!$A$2:$B$1616,2,0)</f>
        <v>42753</v>
      </c>
      <c r="J1845" t="s">
        <v>74</v>
      </c>
      <c r="K1845" t="s">
        <v>18</v>
      </c>
    </row>
    <row r="1846" spans="1:11" x14ac:dyDescent="0.3">
      <c r="A1846">
        <v>660</v>
      </c>
      <c r="B1846">
        <v>3</v>
      </c>
      <c r="C1846">
        <v>47</v>
      </c>
      <c r="D1846">
        <v>2</v>
      </c>
      <c r="E1846" s="1">
        <v>5299.99</v>
      </c>
      <c r="F1846" s="1">
        <v>0.05</v>
      </c>
      <c r="G1846">
        <v>10599.98</v>
      </c>
      <c r="H1846" s="22">
        <f>VLOOKUP(A1846,[1]Orders!$A$2:$B$1616,2,0)</f>
        <v>42753</v>
      </c>
      <c r="J1846" t="s">
        <v>54</v>
      </c>
      <c r="K1846" t="s">
        <v>18</v>
      </c>
    </row>
    <row r="1847" spans="1:11" x14ac:dyDescent="0.3">
      <c r="A1847">
        <v>660</v>
      </c>
      <c r="B1847">
        <v>4</v>
      </c>
      <c r="C1847">
        <v>29</v>
      </c>
      <c r="D1847">
        <v>2</v>
      </c>
      <c r="E1847" s="1">
        <v>999.99</v>
      </c>
      <c r="F1847" s="1">
        <v>0.2</v>
      </c>
      <c r="G1847">
        <v>1999.98</v>
      </c>
      <c r="H1847" s="22">
        <f>VLOOKUP(A1847,[1]Orders!$A$2:$B$1616,2,0)</f>
        <v>42753</v>
      </c>
      <c r="J1847" t="s">
        <v>71</v>
      </c>
      <c r="K1847" t="s">
        <v>18</v>
      </c>
    </row>
    <row r="1848" spans="1:11" x14ac:dyDescent="0.3">
      <c r="A1848">
        <v>661</v>
      </c>
      <c r="B1848">
        <v>1</v>
      </c>
      <c r="C1848">
        <v>63</v>
      </c>
      <c r="D1848">
        <v>2</v>
      </c>
      <c r="E1848" s="1">
        <v>3499.99</v>
      </c>
      <c r="F1848" s="1">
        <v>7.0000000000000007E-2</v>
      </c>
      <c r="G1848">
        <v>6999.98</v>
      </c>
      <c r="H1848" s="22">
        <f>VLOOKUP(A1848,[1]Orders!$A$2:$B$1616,2,0)</f>
        <v>42753</v>
      </c>
      <c r="J1848" t="s">
        <v>75</v>
      </c>
      <c r="K1848" t="s">
        <v>18</v>
      </c>
    </row>
    <row r="1849" spans="1:11" x14ac:dyDescent="0.3">
      <c r="A1849">
        <v>661</v>
      </c>
      <c r="B1849">
        <v>2</v>
      </c>
      <c r="C1849">
        <v>22</v>
      </c>
      <c r="D1849">
        <v>2</v>
      </c>
      <c r="E1849" s="1">
        <v>269.99</v>
      </c>
      <c r="F1849" s="1">
        <v>0.05</v>
      </c>
      <c r="G1849">
        <v>539.98</v>
      </c>
      <c r="H1849" s="22">
        <f>VLOOKUP(A1849,[1]Orders!$A$2:$B$1616,2,0)</f>
        <v>42753</v>
      </c>
      <c r="J1849" t="s">
        <v>28</v>
      </c>
      <c r="K1849" t="s">
        <v>18</v>
      </c>
    </row>
    <row r="1850" spans="1:11" x14ac:dyDescent="0.3">
      <c r="A1850">
        <v>662</v>
      </c>
      <c r="B1850">
        <v>1</v>
      </c>
      <c r="C1850">
        <v>55</v>
      </c>
      <c r="D1850">
        <v>2</v>
      </c>
      <c r="E1850" s="1">
        <v>2699.99</v>
      </c>
      <c r="F1850" s="1">
        <v>0.1</v>
      </c>
      <c r="G1850">
        <v>5399.98</v>
      </c>
      <c r="H1850" s="22">
        <f>VLOOKUP(A1850,[1]Orders!$A$2:$B$1616,2,0)</f>
        <v>42754</v>
      </c>
      <c r="J1850" t="s">
        <v>76</v>
      </c>
      <c r="K1850" t="s">
        <v>11</v>
      </c>
    </row>
    <row r="1851" spans="1:11" x14ac:dyDescent="0.3">
      <c r="A1851">
        <v>662</v>
      </c>
      <c r="B1851">
        <v>2</v>
      </c>
      <c r="C1851">
        <v>95</v>
      </c>
      <c r="D1851">
        <v>2</v>
      </c>
      <c r="E1851" s="1">
        <v>299.99</v>
      </c>
      <c r="F1851" s="1">
        <v>0.2</v>
      </c>
      <c r="G1851">
        <v>599.98</v>
      </c>
      <c r="H1851" s="22">
        <f>VLOOKUP(A1851,[1]Orders!$A$2:$B$1616,2,0)</f>
        <v>42754</v>
      </c>
      <c r="J1851" t="s">
        <v>48</v>
      </c>
      <c r="K1851" t="s">
        <v>11</v>
      </c>
    </row>
    <row r="1852" spans="1:11" x14ac:dyDescent="0.3">
      <c r="A1852">
        <v>662</v>
      </c>
      <c r="B1852">
        <v>3</v>
      </c>
      <c r="C1852">
        <v>102</v>
      </c>
      <c r="D1852">
        <v>2</v>
      </c>
      <c r="E1852" s="1">
        <v>489.99</v>
      </c>
      <c r="F1852" s="1">
        <v>7.0000000000000007E-2</v>
      </c>
      <c r="G1852">
        <v>979.98</v>
      </c>
      <c r="H1852" s="22">
        <f>VLOOKUP(A1852,[1]Orders!$A$2:$B$1616,2,0)</f>
        <v>42754</v>
      </c>
      <c r="J1852" t="s">
        <v>51</v>
      </c>
      <c r="K1852" t="s">
        <v>11</v>
      </c>
    </row>
    <row r="1853" spans="1:11" x14ac:dyDescent="0.3">
      <c r="A1853">
        <v>662</v>
      </c>
      <c r="B1853">
        <v>4</v>
      </c>
      <c r="C1853">
        <v>22</v>
      </c>
      <c r="D1853">
        <v>1</v>
      </c>
      <c r="E1853" s="1">
        <v>269.99</v>
      </c>
      <c r="F1853" s="1">
        <v>7.0000000000000007E-2</v>
      </c>
      <c r="G1853">
        <v>269.99</v>
      </c>
      <c r="H1853" s="22">
        <f>VLOOKUP(A1853,[1]Orders!$A$2:$B$1616,2,0)</f>
        <v>42754</v>
      </c>
      <c r="J1853" t="s">
        <v>28</v>
      </c>
      <c r="K1853" t="s">
        <v>11</v>
      </c>
    </row>
    <row r="1854" spans="1:11" x14ac:dyDescent="0.3">
      <c r="A1854">
        <v>662</v>
      </c>
      <c r="B1854">
        <v>5</v>
      </c>
      <c r="C1854">
        <v>106</v>
      </c>
      <c r="D1854">
        <v>2</v>
      </c>
      <c r="E1854" s="1">
        <v>449.99</v>
      </c>
      <c r="F1854" s="1">
        <v>7.0000000000000007E-2</v>
      </c>
      <c r="G1854">
        <v>899.98</v>
      </c>
      <c r="H1854" s="22">
        <f>VLOOKUP(A1854,[1]Orders!$A$2:$B$1616,2,0)</f>
        <v>42754</v>
      </c>
      <c r="J1854" t="s">
        <v>39</v>
      </c>
      <c r="K1854" t="s">
        <v>11</v>
      </c>
    </row>
    <row r="1855" spans="1:11" x14ac:dyDescent="0.3">
      <c r="A1855">
        <v>663</v>
      </c>
      <c r="B1855">
        <v>1</v>
      </c>
      <c r="C1855">
        <v>41</v>
      </c>
      <c r="D1855">
        <v>2</v>
      </c>
      <c r="E1855" s="1">
        <v>1469.99</v>
      </c>
      <c r="F1855" s="1">
        <v>0.05</v>
      </c>
      <c r="G1855">
        <v>2939.98</v>
      </c>
      <c r="H1855" s="22">
        <f>VLOOKUP(A1855,[1]Orders!$A$2:$B$1616,2,0)</f>
        <v>42755</v>
      </c>
      <c r="J1855" t="s">
        <v>77</v>
      </c>
      <c r="K1855" t="s">
        <v>11</v>
      </c>
    </row>
    <row r="1856" spans="1:11" x14ac:dyDescent="0.3">
      <c r="A1856">
        <v>663</v>
      </c>
      <c r="B1856">
        <v>2</v>
      </c>
      <c r="C1856">
        <v>17</v>
      </c>
      <c r="D1856">
        <v>2</v>
      </c>
      <c r="E1856" s="1">
        <v>429</v>
      </c>
      <c r="F1856" s="1">
        <v>0.2</v>
      </c>
      <c r="G1856">
        <v>858</v>
      </c>
      <c r="H1856" s="22">
        <f>VLOOKUP(A1856,[1]Orders!$A$2:$B$1616,2,0)</f>
        <v>42755</v>
      </c>
      <c r="J1856" t="s">
        <v>23</v>
      </c>
      <c r="K1856" t="s">
        <v>11</v>
      </c>
    </row>
    <row r="1857" spans="1:11" x14ac:dyDescent="0.3">
      <c r="A1857">
        <v>663</v>
      </c>
      <c r="B1857">
        <v>3</v>
      </c>
      <c r="C1857">
        <v>94</v>
      </c>
      <c r="D1857">
        <v>1</v>
      </c>
      <c r="E1857" s="1">
        <v>249.99</v>
      </c>
      <c r="F1857" s="1">
        <v>0.05</v>
      </c>
      <c r="G1857">
        <v>249.99</v>
      </c>
      <c r="H1857" s="22">
        <f>VLOOKUP(A1857,[1]Orders!$A$2:$B$1616,2,0)</f>
        <v>42755</v>
      </c>
      <c r="J1857" t="s">
        <v>59</v>
      </c>
      <c r="K1857" t="s">
        <v>11</v>
      </c>
    </row>
    <row r="1858" spans="1:11" x14ac:dyDescent="0.3">
      <c r="A1858">
        <v>663</v>
      </c>
      <c r="B1858">
        <v>4</v>
      </c>
      <c r="C1858">
        <v>71</v>
      </c>
      <c r="D1858">
        <v>1</v>
      </c>
      <c r="E1858" s="1">
        <v>416.99</v>
      </c>
      <c r="F1858" s="1">
        <v>7.0000000000000007E-2</v>
      </c>
      <c r="G1858">
        <v>416.99</v>
      </c>
      <c r="H1858" s="22">
        <f>VLOOKUP(A1858,[1]Orders!$A$2:$B$1616,2,0)</f>
        <v>42755</v>
      </c>
      <c r="J1858" t="s">
        <v>78</v>
      </c>
      <c r="K1858" t="s">
        <v>11</v>
      </c>
    </row>
    <row r="1859" spans="1:11" x14ac:dyDescent="0.3">
      <c r="A1859">
        <v>663</v>
      </c>
      <c r="B1859">
        <v>5</v>
      </c>
      <c r="C1859">
        <v>106</v>
      </c>
      <c r="D1859">
        <v>1</v>
      </c>
      <c r="E1859" s="1">
        <v>449.99</v>
      </c>
      <c r="F1859" s="1">
        <v>0.2</v>
      </c>
      <c r="G1859">
        <v>449.99</v>
      </c>
      <c r="H1859" s="22">
        <f>VLOOKUP(A1859,[1]Orders!$A$2:$B$1616,2,0)</f>
        <v>42755</v>
      </c>
      <c r="J1859" t="s">
        <v>39</v>
      </c>
      <c r="K1859" t="s">
        <v>11</v>
      </c>
    </row>
    <row r="1860" spans="1:11" x14ac:dyDescent="0.3">
      <c r="A1860">
        <v>664</v>
      </c>
      <c r="B1860">
        <v>1</v>
      </c>
      <c r="C1860">
        <v>52</v>
      </c>
      <c r="D1860">
        <v>2</v>
      </c>
      <c r="E1860" s="1">
        <v>875.99</v>
      </c>
      <c r="F1860" s="1">
        <v>7.0000000000000007E-2</v>
      </c>
      <c r="G1860">
        <v>1751.98</v>
      </c>
      <c r="H1860" s="22">
        <f>VLOOKUP(A1860,[1]Orders!$A$2:$B$1616,2,0)</f>
        <v>42755</v>
      </c>
      <c r="J1860" t="s">
        <v>68</v>
      </c>
      <c r="K1860" t="s">
        <v>18</v>
      </c>
    </row>
    <row r="1861" spans="1:11" x14ac:dyDescent="0.3">
      <c r="A1861">
        <v>664</v>
      </c>
      <c r="B1861">
        <v>2</v>
      </c>
      <c r="C1861">
        <v>5</v>
      </c>
      <c r="D1861">
        <v>1</v>
      </c>
      <c r="E1861" s="1">
        <v>1320.99</v>
      </c>
      <c r="F1861" s="1">
        <v>7.0000000000000007E-2</v>
      </c>
      <c r="G1861">
        <v>1320.99</v>
      </c>
      <c r="H1861" s="22">
        <f>VLOOKUP(A1861,[1]Orders!$A$2:$B$1616,2,0)</f>
        <v>42755</v>
      </c>
      <c r="J1861" t="s">
        <v>34</v>
      </c>
      <c r="K1861" t="s">
        <v>18</v>
      </c>
    </row>
    <row r="1862" spans="1:11" x14ac:dyDescent="0.3">
      <c r="A1862">
        <v>664</v>
      </c>
      <c r="B1862">
        <v>3</v>
      </c>
      <c r="C1862">
        <v>50</v>
      </c>
      <c r="D1862">
        <v>1</v>
      </c>
      <c r="E1862" s="1">
        <v>5999.99</v>
      </c>
      <c r="F1862" s="1">
        <v>0.2</v>
      </c>
      <c r="G1862">
        <v>5999.99</v>
      </c>
      <c r="H1862" s="22">
        <f>VLOOKUP(A1862,[1]Orders!$A$2:$B$1616,2,0)</f>
        <v>42755</v>
      </c>
      <c r="J1862" t="s">
        <v>79</v>
      </c>
      <c r="K1862" t="s">
        <v>18</v>
      </c>
    </row>
    <row r="1863" spans="1:11" x14ac:dyDescent="0.3">
      <c r="A1863">
        <v>664</v>
      </c>
      <c r="B1863">
        <v>4</v>
      </c>
      <c r="C1863">
        <v>101</v>
      </c>
      <c r="D1863">
        <v>2</v>
      </c>
      <c r="E1863" s="1">
        <v>339.99</v>
      </c>
      <c r="F1863" s="1">
        <v>0.2</v>
      </c>
      <c r="G1863">
        <v>679.98</v>
      </c>
      <c r="H1863" s="22">
        <f>VLOOKUP(A1863,[1]Orders!$A$2:$B$1616,2,0)</f>
        <v>42755</v>
      </c>
      <c r="J1863" t="s">
        <v>80</v>
      </c>
      <c r="K1863" t="s">
        <v>18</v>
      </c>
    </row>
    <row r="1864" spans="1:11" x14ac:dyDescent="0.3">
      <c r="A1864">
        <v>664</v>
      </c>
      <c r="B1864">
        <v>5</v>
      </c>
      <c r="C1864">
        <v>47</v>
      </c>
      <c r="D1864">
        <v>1</v>
      </c>
      <c r="E1864" s="1">
        <v>5299.99</v>
      </c>
      <c r="F1864" s="1">
        <v>7.0000000000000007E-2</v>
      </c>
      <c r="G1864">
        <v>5299.99</v>
      </c>
      <c r="H1864" s="22">
        <f>VLOOKUP(A1864,[1]Orders!$A$2:$B$1616,2,0)</f>
        <v>42755</v>
      </c>
      <c r="J1864" t="s">
        <v>54</v>
      </c>
      <c r="K1864" t="s">
        <v>18</v>
      </c>
    </row>
    <row r="1865" spans="1:11" x14ac:dyDescent="0.3">
      <c r="A1865">
        <v>665</v>
      </c>
      <c r="B1865">
        <v>1</v>
      </c>
      <c r="C1865">
        <v>58</v>
      </c>
      <c r="D1865">
        <v>1</v>
      </c>
      <c r="E1865" s="1">
        <v>4999.99</v>
      </c>
      <c r="F1865" s="1">
        <v>7.0000000000000007E-2</v>
      </c>
      <c r="G1865">
        <v>4999.99</v>
      </c>
      <c r="H1865" s="22">
        <f>VLOOKUP(A1865,[1]Orders!$A$2:$B$1616,2,0)</f>
        <v>42756</v>
      </c>
      <c r="J1865" t="s">
        <v>81</v>
      </c>
      <c r="K1865" t="s">
        <v>18</v>
      </c>
    </row>
    <row r="1866" spans="1:11" x14ac:dyDescent="0.3">
      <c r="A1866">
        <v>665</v>
      </c>
      <c r="B1866">
        <v>2</v>
      </c>
      <c r="C1866">
        <v>42</v>
      </c>
      <c r="D1866">
        <v>2</v>
      </c>
      <c r="E1866" s="1">
        <v>2299.9899999999998</v>
      </c>
      <c r="F1866" s="1">
        <v>0.2</v>
      </c>
      <c r="G1866">
        <v>4599.9799999999996</v>
      </c>
      <c r="H1866" s="22">
        <f>VLOOKUP(A1866,[1]Orders!$A$2:$B$1616,2,0)</f>
        <v>42756</v>
      </c>
      <c r="J1866" t="s">
        <v>53</v>
      </c>
      <c r="K1866" t="s">
        <v>18</v>
      </c>
    </row>
    <row r="1867" spans="1:11" x14ac:dyDescent="0.3">
      <c r="A1867">
        <v>665</v>
      </c>
      <c r="B1867">
        <v>3</v>
      </c>
      <c r="C1867">
        <v>25</v>
      </c>
      <c r="D1867">
        <v>2</v>
      </c>
      <c r="E1867" s="1">
        <v>499.99</v>
      </c>
      <c r="F1867" s="1">
        <v>0.05</v>
      </c>
      <c r="G1867">
        <v>999.98</v>
      </c>
      <c r="H1867" s="22">
        <f>VLOOKUP(A1867,[1]Orders!$A$2:$B$1616,2,0)</f>
        <v>42756</v>
      </c>
      <c r="J1867" t="s">
        <v>35</v>
      </c>
      <c r="K1867" t="s">
        <v>18</v>
      </c>
    </row>
    <row r="1868" spans="1:11" x14ac:dyDescent="0.3">
      <c r="A1868">
        <v>666</v>
      </c>
      <c r="B1868">
        <v>1</v>
      </c>
      <c r="C1868">
        <v>98</v>
      </c>
      <c r="D1868">
        <v>2</v>
      </c>
      <c r="E1868" s="1">
        <v>489.99</v>
      </c>
      <c r="F1868" s="1">
        <v>0.2</v>
      </c>
      <c r="G1868">
        <v>979.98</v>
      </c>
      <c r="H1868" s="22">
        <f>VLOOKUP(A1868,[1]Orders!$A$2:$B$1616,2,0)</f>
        <v>42756</v>
      </c>
      <c r="J1868" t="s">
        <v>82</v>
      </c>
      <c r="K1868" t="s">
        <v>18</v>
      </c>
    </row>
    <row r="1869" spans="1:11" x14ac:dyDescent="0.3">
      <c r="A1869">
        <v>666</v>
      </c>
      <c r="B1869">
        <v>2</v>
      </c>
      <c r="C1869">
        <v>39</v>
      </c>
      <c r="D1869">
        <v>1</v>
      </c>
      <c r="E1869" s="1">
        <v>1499.99</v>
      </c>
      <c r="F1869" s="1">
        <v>0.05</v>
      </c>
      <c r="G1869">
        <v>1499.99</v>
      </c>
      <c r="H1869" s="22">
        <f>VLOOKUP(A1869,[1]Orders!$A$2:$B$1616,2,0)</f>
        <v>42756</v>
      </c>
      <c r="J1869" t="s">
        <v>72</v>
      </c>
      <c r="K1869" t="s">
        <v>18</v>
      </c>
    </row>
    <row r="1870" spans="1:11" x14ac:dyDescent="0.3">
      <c r="A1870">
        <v>667</v>
      </c>
      <c r="B1870">
        <v>1</v>
      </c>
      <c r="C1870">
        <v>79</v>
      </c>
      <c r="D1870">
        <v>1</v>
      </c>
      <c r="E1870" s="1">
        <v>402.99</v>
      </c>
      <c r="F1870" s="1">
        <v>0.2</v>
      </c>
      <c r="G1870">
        <v>402.99</v>
      </c>
      <c r="H1870" s="22">
        <f>VLOOKUP(A1870,[1]Orders!$A$2:$B$1616,2,0)</f>
        <v>42757</v>
      </c>
      <c r="J1870" t="s">
        <v>58</v>
      </c>
      <c r="K1870" t="s">
        <v>18</v>
      </c>
    </row>
    <row r="1871" spans="1:11" x14ac:dyDescent="0.3">
      <c r="A1871">
        <v>667</v>
      </c>
      <c r="B1871">
        <v>2</v>
      </c>
      <c r="C1871">
        <v>84</v>
      </c>
      <c r="D1871">
        <v>1</v>
      </c>
      <c r="E1871" s="1">
        <v>109.99</v>
      </c>
      <c r="F1871" s="1">
        <v>0.1</v>
      </c>
      <c r="G1871">
        <v>109.99</v>
      </c>
      <c r="H1871" s="22">
        <f>VLOOKUP(A1871,[1]Orders!$A$2:$B$1616,2,0)</f>
        <v>42757</v>
      </c>
      <c r="J1871" t="s">
        <v>83</v>
      </c>
      <c r="K1871" t="s">
        <v>18</v>
      </c>
    </row>
    <row r="1872" spans="1:11" x14ac:dyDescent="0.3">
      <c r="A1872">
        <v>667</v>
      </c>
      <c r="B1872">
        <v>3</v>
      </c>
      <c r="C1872">
        <v>3</v>
      </c>
      <c r="D1872">
        <v>1</v>
      </c>
      <c r="E1872" s="1">
        <v>999.99</v>
      </c>
      <c r="F1872" s="1">
        <v>0.2</v>
      </c>
      <c r="G1872">
        <v>999.99</v>
      </c>
      <c r="H1872" s="22">
        <f>VLOOKUP(A1872,[1]Orders!$A$2:$B$1616,2,0)</f>
        <v>42757</v>
      </c>
      <c r="J1872" t="s">
        <v>20</v>
      </c>
      <c r="K1872" t="s">
        <v>18</v>
      </c>
    </row>
    <row r="1873" spans="1:11" x14ac:dyDescent="0.3">
      <c r="A1873">
        <v>667</v>
      </c>
      <c r="B1873">
        <v>4</v>
      </c>
      <c r="C1873">
        <v>99</v>
      </c>
      <c r="D1873">
        <v>1</v>
      </c>
      <c r="E1873" s="1">
        <v>299.99</v>
      </c>
      <c r="F1873" s="1">
        <v>0.1</v>
      </c>
      <c r="G1873">
        <v>299.99</v>
      </c>
      <c r="H1873" s="22">
        <f>VLOOKUP(A1873,[1]Orders!$A$2:$B$1616,2,0)</f>
        <v>42757</v>
      </c>
      <c r="J1873" t="s">
        <v>52</v>
      </c>
      <c r="K1873" t="s">
        <v>18</v>
      </c>
    </row>
    <row r="1874" spans="1:11" x14ac:dyDescent="0.3">
      <c r="A1874">
        <v>667</v>
      </c>
      <c r="B1874">
        <v>5</v>
      </c>
      <c r="C1874">
        <v>85</v>
      </c>
      <c r="D1874">
        <v>1</v>
      </c>
      <c r="E1874" s="1">
        <v>329.99</v>
      </c>
      <c r="F1874" s="1">
        <v>0.05</v>
      </c>
      <c r="G1874">
        <v>329.99</v>
      </c>
      <c r="H1874" s="22">
        <f>VLOOKUP(A1874,[1]Orders!$A$2:$B$1616,2,0)</f>
        <v>42757</v>
      </c>
      <c r="J1874" t="s">
        <v>38</v>
      </c>
      <c r="K1874" t="s">
        <v>18</v>
      </c>
    </row>
    <row r="1875" spans="1:11" x14ac:dyDescent="0.3">
      <c r="A1875">
        <v>668</v>
      </c>
      <c r="B1875">
        <v>1</v>
      </c>
      <c r="C1875">
        <v>48</v>
      </c>
      <c r="D1875">
        <v>2</v>
      </c>
      <c r="E1875" s="1">
        <v>1499.99</v>
      </c>
      <c r="F1875" s="1">
        <v>0.05</v>
      </c>
      <c r="G1875">
        <v>2999.98</v>
      </c>
      <c r="H1875" s="22">
        <f>VLOOKUP(A1875,[1]Orders!$A$2:$B$1616,2,0)</f>
        <v>42757</v>
      </c>
      <c r="J1875" t="s">
        <v>84</v>
      </c>
      <c r="K1875" t="s">
        <v>37</v>
      </c>
    </row>
    <row r="1876" spans="1:11" x14ac:dyDescent="0.3">
      <c r="A1876">
        <v>668</v>
      </c>
      <c r="B1876">
        <v>2</v>
      </c>
      <c r="C1876">
        <v>19</v>
      </c>
      <c r="D1876">
        <v>2</v>
      </c>
      <c r="E1876" s="1">
        <v>449</v>
      </c>
      <c r="F1876" s="1">
        <v>0.1</v>
      </c>
      <c r="G1876">
        <v>898</v>
      </c>
      <c r="H1876" s="22">
        <f>VLOOKUP(A1876,[1]Orders!$A$2:$B$1616,2,0)</f>
        <v>42757</v>
      </c>
      <c r="J1876" t="s">
        <v>36</v>
      </c>
      <c r="K1876" t="s">
        <v>37</v>
      </c>
    </row>
    <row r="1877" spans="1:11" x14ac:dyDescent="0.3">
      <c r="A1877">
        <v>669</v>
      </c>
      <c r="B1877">
        <v>1</v>
      </c>
      <c r="C1877">
        <v>16</v>
      </c>
      <c r="D1877">
        <v>2</v>
      </c>
      <c r="E1877" s="1">
        <v>599.99</v>
      </c>
      <c r="F1877" s="1">
        <v>7.0000000000000007E-2</v>
      </c>
      <c r="G1877">
        <v>1199.98</v>
      </c>
      <c r="H1877" s="22">
        <f>VLOOKUP(A1877,[1]Orders!$A$2:$B$1616,2,0)</f>
        <v>42758</v>
      </c>
      <c r="J1877" t="s">
        <v>14</v>
      </c>
      <c r="K1877" t="s">
        <v>18</v>
      </c>
    </row>
    <row r="1878" spans="1:11" x14ac:dyDescent="0.3">
      <c r="A1878">
        <v>669</v>
      </c>
      <c r="B1878">
        <v>2</v>
      </c>
      <c r="C1878">
        <v>72</v>
      </c>
      <c r="D1878">
        <v>1</v>
      </c>
      <c r="E1878" s="1">
        <v>619.99</v>
      </c>
      <c r="F1878" s="1">
        <v>7.0000000000000007E-2</v>
      </c>
      <c r="G1878">
        <v>619.99</v>
      </c>
      <c r="H1878" s="22">
        <f>VLOOKUP(A1878,[1]Orders!$A$2:$B$1616,2,0)</f>
        <v>42758</v>
      </c>
      <c r="J1878" t="s">
        <v>44</v>
      </c>
      <c r="K1878" t="s">
        <v>18</v>
      </c>
    </row>
    <row r="1879" spans="1:11" x14ac:dyDescent="0.3">
      <c r="A1879">
        <v>670</v>
      </c>
      <c r="B1879">
        <v>1</v>
      </c>
      <c r="C1879">
        <v>108</v>
      </c>
      <c r="D1879">
        <v>1</v>
      </c>
      <c r="E1879" s="1">
        <v>449.99</v>
      </c>
      <c r="F1879" s="1">
        <v>0.1</v>
      </c>
      <c r="G1879">
        <v>449.99</v>
      </c>
      <c r="H1879" s="22">
        <f>VLOOKUP(A1879,[1]Orders!$A$2:$B$1616,2,0)</f>
        <v>42759</v>
      </c>
      <c r="J1879" t="s">
        <v>85</v>
      </c>
      <c r="K1879" t="s">
        <v>18</v>
      </c>
    </row>
    <row r="1880" spans="1:11" x14ac:dyDescent="0.3">
      <c r="A1880">
        <v>670</v>
      </c>
      <c r="B1880">
        <v>2</v>
      </c>
      <c r="C1880">
        <v>28</v>
      </c>
      <c r="D1880">
        <v>1</v>
      </c>
      <c r="E1880" s="1">
        <v>2499.9899999999998</v>
      </c>
      <c r="F1880" s="1">
        <v>7.0000000000000007E-2</v>
      </c>
      <c r="G1880">
        <v>2499.9899999999998</v>
      </c>
      <c r="H1880" s="22">
        <f>VLOOKUP(A1880,[1]Orders!$A$2:$B$1616,2,0)</f>
        <v>42759</v>
      </c>
      <c r="J1880" t="s">
        <v>86</v>
      </c>
      <c r="K1880" t="s">
        <v>18</v>
      </c>
    </row>
    <row r="1881" spans="1:11" x14ac:dyDescent="0.3">
      <c r="A1881">
        <v>670</v>
      </c>
      <c r="B1881">
        <v>3</v>
      </c>
      <c r="C1881">
        <v>104</v>
      </c>
      <c r="D1881">
        <v>2</v>
      </c>
      <c r="E1881" s="1">
        <v>481.99</v>
      </c>
      <c r="F1881" s="1">
        <v>0.2</v>
      </c>
      <c r="G1881">
        <v>963.98</v>
      </c>
      <c r="H1881" s="22">
        <f>VLOOKUP(A1881,[1]Orders!$A$2:$B$1616,2,0)</f>
        <v>42759</v>
      </c>
      <c r="J1881" t="s">
        <v>87</v>
      </c>
      <c r="K1881" t="s">
        <v>18</v>
      </c>
    </row>
    <row r="1882" spans="1:11" x14ac:dyDescent="0.3">
      <c r="A1882">
        <v>670</v>
      </c>
      <c r="B1882">
        <v>4</v>
      </c>
      <c r="C1882">
        <v>45</v>
      </c>
      <c r="D1882">
        <v>2</v>
      </c>
      <c r="E1882" s="1">
        <v>869.99</v>
      </c>
      <c r="F1882" s="1">
        <v>0.05</v>
      </c>
      <c r="G1882">
        <v>1739.98</v>
      </c>
      <c r="H1882" s="22">
        <f>VLOOKUP(A1882,[1]Orders!$A$2:$B$1616,2,0)</f>
        <v>42759</v>
      </c>
      <c r="J1882" t="s">
        <v>88</v>
      </c>
      <c r="K1882" t="s">
        <v>18</v>
      </c>
    </row>
    <row r="1883" spans="1:11" x14ac:dyDescent="0.3">
      <c r="A1883">
        <v>671</v>
      </c>
      <c r="B1883">
        <v>1</v>
      </c>
      <c r="C1883">
        <v>30</v>
      </c>
      <c r="D1883">
        <v>1</v>
      </c>
      <c r="E1883" s="1">
        <v>999.99</v>
      </c>
      <c r="F1883" s="1">
        <v>0.05</v>
      </c>
      <c r="G1883">
        <v>999.99</v>
      </c>
      <c r="H1883" s="22">
        <f>VLOOKUP(A1883,[1]Orders!$A$2:$B$1616,2,0)</f>
        <v>42760</v>
      </c>
      <c r="J1883" t="s">
        <v>47</v>
      </c>
      <c r="K1883" t="s">
        <v>18</v>
      </c>
    </row>
    <row r="1884" spans="1:11" x14ac:dyDescent="0.3">
      <c r="A1884">
        <v>671</v>
      </c>
      <c r="B1884">
        <v>2</v>
      </c>
      <c r="C1884">
        <v>69</v>
      </c>
      <c r="D1884">
        <v>1</v>
      </c>
      <c r="E1884" s="1">
        <v>416.99</v>
      </c>
      <c r="F1884" s="1">
        <v>0.05</v>
      </c>
      <c r="G1884">
        <v>416.99</v>
      </c>
      <c r="H1884" s="22">
        <f>VLOOKUP(A1884,[1]Orders!$A$2:$B$1616,2,0)</f>
        <v>42760</v>
      </c>
      <c r="J1884" t="s">
        <v>89</v>
      </c>
      <c r="K1884" t="s">
        <v>18</v>
      </c>
    </row>
    <row r="1885" spans="1:11" x14ac:dyDescent="0.3">
      <c r="A1885">
        <v>671</v>
      </c>
      <c r="B1885">
        <v>3</v>
      </c>
      <c r="C1885">
        <v>55</v>
      </c>
      <c r="D1885">
        <v>1</v>
      </c>
      <c r="E1885" s="1">
        <v>2699.99</v>
      </c>
      <c r="F1885" s="1">
        <v>0.2</v>
      </c>
      <c r="G1885">
        <v>2699.99</v>
      </c>
      <c r="H1885" s="22">
        <f>VLOOKUP(A1885,[1]Orders!$A$2:$B$1616,2,0)</f>
        <v>42760</v>
      </c>
      <c r="J1885" t="s">
        <v>76</v>
      </c>
      <c r="K1885" t="s">
        <v>18</v>
      </c>
    </row>
    <row r="1886" spans="1:11" x14ac:dyDescent="0.3">
      <c r="A1886">
        <v>671</v>
      </c>
      <c r="B1886">
        <v>4</v>
      </c>
      <c r="C1886">
        <v>4</v>
      </c>
      <c r="D1886">
        <v>1</v>
      </c>
      <c r="E1886" s="1">
        <v>2899.99</v>
      </c>
      <c r="F1886" s="1">
        <v>7.0000000000000007E-2</v>
      </c>
      <c r="G1886">
        <v>2899.99</v>
      </c>
      <c r="H1886" s="22">
        <f>VLOOKUP(A1886,[1]Orders!$A$2:$B$1616,2,0)</f>
        <v>42760</v>
      </c>
      <c r="J1886" t="s">
        <v>16</v>
      </c>
      <c r="K1886" t="s">
        <v>18</v>
      </c>
    </row>
    <row r="1887" spans="1:11" x14ac:dyDescent="0.3">
      <c r="A1887">
        <v>671</v>
      </c>
      <c r="B1887">
        <v>5</v>
      </c>
      <c r="C1887">
        <v>109</v>
      </c>
      <c r="D1887">
        <v>2</v>
      </c>
      <c r="E1887" s="1">
        <v>416.99</v>
      </c>
      <c r="F1887" s="1">
        <v>7.0000000000000007E-2</v>
      </c>
      <c r="G1887">
        <v>833.98</v>
      </c>
      <c r="H1887" s="22">
        <f>VLOOKUP(A1887,[1]Orders!$A$2:$B$1616,2,0)</f>
        <v>42760</v>
      </c>
      <c r="J1887" t="s">
        <v>49</v>
      </c>
      <c r="K1887" t="s">
        <v>18</v>
      </c>
    </row>
    <row r="1888" spans="1:11" x14ac:dyDescent="0.3">
      <c r="A1888">
        <v>672</v>
      </c>
      <c r="B1888">
        <v>1</v>
      </c>
      <c r="C1888">
        <v>51</v>
      </c>
      <c r="D1888">
        <v>2</v>
      </c>
      <c r="E1888" s="1">
        <v>6499.99</v>
      </c>
      <c r="F1888" s="1">
        <v>7.0000000000000007E-2</v>
      </c>
      <c r="G1888">
        <v>12999.98</v>
      </c>
      <c r="H1888" s="22">
        <f>VLOOKUP(A1888,[1]Orders!$A$2:$B$1616,2,0)</f>
        <v>42761</v>
      </c>
      <c r="J1888" t="s">
        <v>90</v>
      </c>
      <c r="K1888" t="s">
        <v>18</v>
      </c>
    </row>
    <row r="1889" spans="1:11" x14ac:dyDescent="0.3">
      <c r="A1889">
        <v>672</v>
      </c>
      <c r="B1889">
        <v>2</v>
      </c>
      <c r="C1889">
        <v>96</v>
      </c>
      <c r="D1889">
        <v>2</v>
      </c>
      <c r="E1889" s="1">
        <v>349.99</v>
      </c>
      <c r="F1889" s="1">
        <v>0.2</v>
      </c>
      <c r="G1889">
        <v>699.98</v>
      </c>
      <c r="H1889" s="22">
        <f>VLOOKUP(A1889,[1]Orders!$A$2:$B$1616,2,0)</f>
        <v>42761</v>
      </c>
      <c r="J1889" t="s">
        <v>91</v>
      </c>
      <c r="K1889" t="s">
        <v>18</v>
      </c>
    </row>
    <row r="1890" spans="1:11" x14ac:dyDescent="0.3">
      <c r="A1890">
        <v>672</v>
      </c>
      <c r="B1890">
        <v>3</v>
      </c>
      <c r="C1890">
        <v>48</v>
      </c>
      <c r="D1890">
        <v>2</v>
      </c>
      <c r="E1890" s="1">
        <v>1499.99</v>
      </c>
      <c r="F1890" s="1">
        <v>7.0000000000000007E-2</v>
      </c>
      <c r="G1890">
        <v>2999.98</v>
      </c>
      <c r="H1890" s="22">
        <f>VLOOKUP(A1890,[1]Orders!$A$2:$B$1616,2,0)</f>
        <v>42761</v>
      </c>
      <c r="J1890" t="s">
        <v>84</v>
      </c>
      <c r="K1890" t="s">
        <v>18</v>
      </c>
    </row>
    <row r="1891" spans="1:11" x14ac:dyDescent="0.3">
      <c r="A1891">
        <v>673</v>
      </c>
      <c r="B1891">
        <v>1</v>
      </c>
      <c r="C1891">
        <v>66</v>
      </c>
      <c r="D1891">
        <v>1</v>
      </c>
      <c r="E1891" s="1">
        <v>250.99</v>
      </c>
      <c r="F1891" s="1">
        <v>0.2</v>
      </c>
      <c r="G1891">
        <v>250.99</v>
      </c>
      <c r="H1891" s="22">
        <f>VLOOKUP(A1891,[1]Orders!$A$2:$B$1616,2,0)</f>
        <v>42761</v>
      </c>
      <c r="J1891" t="s">
        <v>92</v>
      </c>
      <c r="K1891" t="s">
        <v>37</v>
      </c>
    </row>
    <row r="1892" spans="1:11" x14ac:dyDescent="0.3">
      <c r="A1892">
        <v>673</v>
      </c>
      <c r="B1892">
        <v>2</v>
      </c>
      <c r="C1892">
        <v>38</v>
      </c>
      <c r="D1892">
        <v>1</v>
      </c>
      <c r="E1892" s="1">
        <v>549.99</v>
      </c>
      <c r="F1892" s="1">
        <v>0.2</v>
      </c>
      <c r="G1892">
        <v>549.99</v>
      </c>
      <c r="H1892" s="22">
        <f>VLOOKUP(A1892,[1]Orders!$A$2:$B$1616,2,0)</f>
        <v>42761</v>
      </c>
      <c r="J1892" t="s">
        <v>93</v>
      </c>
      <c r="K1892" t="s">
        <v>37</v>
      </c>
    </row>
    <row r="1893" spans="1:11" x14ac:dyDescent="0.3">
      <c r="A1893">
        <v>673</v>
      </c>
      <c r="B1893">
        <v>3</v>
      </c>
      <c r="C1893">
        <v>5</v>
      </c>
      <c r="D1893">
        <v>1</v>
      </c>
      <c r="E1893" s="1">
        <v>1320.99</v>
      </c>
      <c r="F1893" s="1">
        <v>7.0000000000000007E-2</v>
      </c>
      <c r="G1893">
        <v>1320.99</v>
      </c>
      <c r="H1893" s="22">
        <f>VLOOKUP(A1893,[1]Orders!$A$2:$B$1616,2,0)</f>
        <v>42761</v>
      </c>
      <c r="J1893" t="s">
        <v>34</v>
      </c>
      <c r="K1893" t="s">
        <v>37</v>
      </c>
    </row>
    <row r="1894" spans="1:11" x14ac:dyDescent="0.3">
      <c r="A1894">
        <v>673</v>
      </c>
      <c r="B1894">
        <v>4</v>
      </c>
      <c r="C1894">
        <v>13</v>
      </c>
      <c r="D1894">
        <v>1</v>
      </c>
      <c r="E1894" s="1">
        <v>269.99</v>
      </c>
      <c r="F1894" s="1">
        <v>0.1</v>
      </c>
      <c r="G1894">
        <v>269.99</v>
      </c>
      <c r="H1894" s="22">
        <f>VLOOKUP(A1894,[1]Orders!$A$2:$B$1616,2,0)</f>
        <v>42761</v>
      </c>
      <c r="J1894" t="s">
        <v>31</v>
      </c>
      <c r="K1894" t="s">
        <v>37</v>
      </c>
    </row>
    <row r="1895" spans="1:11" x14ac:dyDescent="0.3">
      <c r="A1895">
        <v>674</v>
      </c>
      <c r="B1895">
        <v>1</v>
      </c>
      <c r="C1895">
        <v>26</v>
      </c>
      <c r="D1895">
        <v>2</v>
      </c>
      <c r="E1895" s="1">
        <v>599.99</v>
      </c>
      <c r="F1895" s="1">
        <v>0.2</v>
      </c>
      <c r="G1895">
        <v>1199.98</v>
      </c>
      <c r="H1895" s="22">
        <f>VLOOKUP(A1895,[1]Orders!$A$2:$B$1616,2,0)</f>
        <v>42762</v>
      </c>
      <c r="J1895" t="s">
        <v>14</v>
      </c>
      <c r="K1895" t="s">
        <v>18</v>
      </c>
    </row>
    <row r="1896" spans="1:11" x14ac:dyDescent="0.3">
      <c r="A1896">
        <v>675</v>
      </c>
      <c r="B1896">
        <v>1</v>
      </c>
      <c r="C1896">
        <v>17</v>
      </c>
      <c r="D1896">
        <v>1</v>
      </c>
      <c r="E1896" s="1">
        <v>429</v>
      </c>
      <c r="F1896" s="1">
        <v>0.05</v>
      </c>
      <c r="G1896">
        <v>429</v>
      </c>
      <c r="H1896" s="22">
        <f>VLOOKUP(A1896,[1]Orders!$A$2:$B$1616,2,0)</f>
        <v>42763</v>
      </c>
      <c r="J1896" t="s">
        <v>23</v>
      </c>
      <c r="K1896" t="s">
        <v>18</v>
      </c>
    </row>
    <row r="1897" spans="1:11" x14ac:dyDescent="0.3">
      <c r="A1897">
        <v>675</v>
      </c>
      <c r="B1897">
        <v>2</v>
      </c>
      <c r="C1897">
        <v>89</v>
      </c>
      <c r="D1897">
        <v>2</v>
      </c>
      <c r="E1897" s="1">
        <v>209.99</v>
      </c>
      <c r="F1897" s="1">
        <v>0.05</v>
      </c>
      <c r="G1897">
        <v>419.98</v>
      </c>
      <c r="H1897" s="22">
        <f>VLOOKUP(A1897,[1]Orders!$A$2:$B$1616,2,0)</f>
        <v>42763</v>
      </c>
      <c r="J1897" t="s">
        <v>94</v>
      </c>
      <c r="K1897" t="s">
        <v>18</v>
      </c>
    </row>
    <row r="1898" spans="1:11" x14ac:dyDescent="0.3">
      <c r="A1898">
        <v>675</v>
      </c>
      <c r="B1898">
        <v>3</v>
      </c>
      <c r="C1898">
        <v>19</v>
      </c>
      <c r="D1898">
        <v>1</v>
      </c>
      <c r="E1898" s="1">
        <v>449</v>
      </c>
      <c r="F1898" s="1">
        <v>7.0000000000000007E-2</v>
      </c>
      <c r="G1898">
        <v>449</v>
      </c>
      <c r="H1898" s="22">
        <f>VLOOKUP(A1898,[1]Orders!$A$2:$B$1616,2,0)</f>
        <v>42763</v>
      </c>
      <c r="J1898" t="s">
        <v>36</v>
      </c>
      <c r="K1898" t="s">
        <v>18</v>
      </c>
    </row>
    <row r="1899" spans="1:11" x14ac:dyDescent="0.3">
      <c r="A1899">
        <v>675</v>
      </c>
      <c r="B1899">
        <v>4</v>
      </c>
      <c r="C1899">
        <v>32</v>
      </c>
      <c r="D1899">
        <v>1</v>
      </c>
      <c r="E1899" s="1">
        <v>469.99</v>
      </c>
      <c r="F1899" s="1">
        <v>0.2</v>
      </c>
      <c r="G1899">
        <v>469.99</v>
      </c>
      <c r="H1899" s="22">
        <f>VLOOKUP(A1899,[1]Orders!$A$2:$B$1616,2,0)</f>
        <v>42763</v>
      </c>
      <c r="J1899" t="s">
        <v>46</v>
      </c>
      <c r="K1899" t="s">
        <v>18</v>
      </c>
    </row>
    <row r="1900" spans="1:11" x14ac:dyDescent="0.3">
      <c r="A1900">
        <v>676</v>
      </c>
      <c r="B1900">
        <v>1</v>
      </c>
      <c r="C1900">
        <v>70</v>
      </c>
      <c r="D1900">
        <v>1</v>
      </c>
      <c r="E1900" s="1">
        <v>659.99</v>
      </c>
      <c r="F1900" s="1">
        <v>0.2</v>
      </c>
      <c r="G1900">
        <v>659.99</v>
      </c>
      <c r="H1900" s="22">
        <f>VLOOKUP(A1900,[1]Orders!$A$2:$B$1616,2,0)</f>
        <v>42763</v>
      </c>
      <c r="J1900" t="s">
        <v>73</v>
      </c>
      <c r="K1900" t="s">
        <v>18</v>
      </c>
    </row>
    <row r="1901" spans="1:11" x14ac:dyDescent="0.3">
      <c r="A1901">
        <v>676</v>
      </c>
      <c r="B1901">
        <v>2</v>
      </c>
      <c r="C1901">
        <v>104</v>
      </c>
      <c r="D1901">
        <v>2</v>
      </c>
      <c r="E1901" s="1">
        <v>481.99</v>
      </c>
      <c r="F1901" s="1">
        <v>7.0000000000000007E-2</v>
      </c>
      <c r="G1901">
        <v>963.98</v>
      </c>
      <c r="H1901" s="22">
        <f>VLOOKUP(A1901,[1]Orders!$A$2:$B$1616,2,0)</f>
        <v>42763</v>
      </c>
      <c r="J1901" t="s">
        <v>87</v>
      </c>
      <c r="K1901" t="s">
        <v>18</v>
      </c>
    </row>
    <row r="1902" spans="1:11" x14ac:dyDescent="0.3">
      <c r="A1902">
        <v>676</v>
      </c>
      <c r="B1902">
        <v>3</v>
      </c>
      <c r="C1902">
        <v>24</v>
      </c>
      <c r="D1902">
        <v>1</v>
      </c>
      <c r="E1902" s="1">
        <v>549.99</v>
      </c>
      <c r="F1902" s="1">
        <v>0.1</v>
      </c>
      <c r="G1902">
        <v>549.99</v>
      </c>
      <c r="H1902" s="22">
        <f>VLOOKUP(A1902,[1]Orders!$A$2:$B$1616,2,0)</f>
        <v>42763</v>
      </c>
      <c r="J1902" t="s">
        <v>25</v>
      </c>
      <c r="K1902" t="s">
        <v>18</v>
      </c>
    </row>
    <row r="1903" spans="1:11" x14ac:dyDescent="0.3">
      <c r="A1903">
        <v>676</v>
      </c>
      <c r="B1903">
        <v>4</v>
      </c>
      <c r="C1903">
        <v>29</v>
      </c>
      <c r="D1903">
        <v>1</v>
      </c>
      <c r="E1903" s="1">
        <v>999.99</v>
      </c>
      <c r="F1903" s="1">
        <v>0.2</v>
      </c>
      <c r="G1903">
        <v>999.99</v>
      </c>
      <c r="H1903" s="22">
        <f>VLOOKUP(A1903,[1]Orders!$A$2:$B$1616,2,0)</f>
        <v>42763</v>
      </c>
      <c r="J1903" t="s">
        <v>71</v>
      </c>
      <c r="K1903" t="s">
        <v>18</v>
      </c>
    </row>
    <row r="1904" spans="1:11" x14ac:dyDescent="0.3">
      <c r="A1904">
        <v>677</v>
      </c>
      <c r="B1904">
        <v>1</v>
      </c>
      <c r="C1904">
        <v>75</v>
      </c>
      <c r="D1904">
        <v>1</v>
      </c>
      <c r="E1904" s="1">
        <v>599.99</v>
      </c>
      <c r="F1904" s="1">
        <v>7.0000000000000007E-2</v>
      </c>
      <c r="G1904">
        <v>599.99</v>
      </c>
      <c r="H1904" s="22">
        <f>VLOOKUP(A1904,[1]Orders!$A$2:$B$1616,2,0)</f>
        <v>42763</v>
      </c>
      <c r="J1904" t="s">
        <v>95</v>
      </c>
      <c r="K1904" t="s">
        <v>18</v>
      </c>
    </row>
    <row r="1905" spans="1:11" x14ac:dyDescent="0.3">
      <c r="A1905">
        <v>677</v>
      </c>
      <c r="B1905">
        <v>2</v>
      </c>
      <c r="C1905">
        <v>7</v>
      </c>
      <c r="D1905">
        <v>2</v>
      </c>
      <c r="E1905" s="1">
        <v>3999.99</v>
      </c>
      <c r="F1905" s="1">
        <v>7.0000000000000007E-2</v>
      </c>
      <c r="G1905">
        <v>7999.98</v>
      </c>
      <c r="H1905" s="22">
        <f>VLOOKUP(A1905,[1]Orders!$A$2:$B$1616,2,0)</f>
        <v>42763</v>
      </c>
      <c r="J1905" t="s">
        <v>29</v>
      </c>
      <c r="K1905" t="s">
        <v>18</v>
      </c>
    </row>
    <row r="1906" spans="1:11" x14ac:dyDescent="0.3">
      <c r="A1906">
        <v>677</v>
      </c>
      <c r="B1906">
        <v>3</v>
      </c>
      <c r="C1906">
        <v>105</v>
      </c>
      <c r="D1906">
        <v>2</v>
      </c>
      <c r="E1906" s="1">
        <v>533.99</v>
      </c>
      <c r="F1906" s="1">
        <v>7.0000000000000007E-2</v>
      </c>
      <c r="G1906">
        <v>1067.98</v>
      </c>
      <c r="H1906" s="22">
        <f>VLOOKUP(A1906,[1]Orders!$A$2:$B$1616,2,0)</f>
        <v>42763</v>
      </c>
      <c r="J1906" t="s">
        <v>96</v>
      </c>
      <c r="K1906" t="s">
        <v>18</v>
      </c>
    </row>
    <row r="1907" spans="1:11" x14ac:dyDescent="0.3">
      <c r="A1907">
        <v>677</v>
      </c>
      <c r="B1907">
        <v>4</v>
      </c>
      <c r="C1907">
        <v>91</v>
      </c>
      <c r="D1907">
        <v>2</v>
      </c>
      <c r="E1907" s="1">
        <v>349.99</v>
      </c>
      <c r="F1907" s="1">
        <v>0.05</v>
      </c>
      <c r="G1907">
        <v>699.98</v>
      </c>
      <c r="H1907" s="22">
        <f>VLOOKUP(A1907,[1]Orders!$A$2:$B$1616,2,0)</f>
        <v>42763</v>
      </c>
      <c r="J1907" t="s">
        <v>97</v>
      </c>
      <c r="K1907" t="s">
        <v>18</v>
      </c>
    </row>
    <row r="1908" spans="1:11" x14ac:dyDescent="0.3">
      <c r="A1908">
        <v>677</v>
      </c>
      <c r="B1908">
        <v>5</v>
      </c>
      <c r="C1908">
        <v>54</v>
      </c>
      <c r="D1908">
        <v>2</v>
      </c>
      <c r="E1908" s="1">
        <v>3199.99</v>
      </c>
      <c r="F1908" s="1">
        <v>0.1</v>
      </c>
      <c r="G1908">
        <v>6399.98</v>
      </c>
      <c r="H1908" s="22">
        <f>VLOOKUP(A1908,[1]Orders!$A$2:$B$1616,2,0)</f>
        <v>42763</v>
      </c>
      <c r="J1908" t="s">
        <v>69</v>
      </c>
      <c r="K1908" t="s">
        <v>18</v>
      </c>
    </row>
    <row r="1909" spans="1:11" x14ac:dyDescent="0.3">
      <c r="A1909">
        <v>678</v>
      </c>
      <c r="B1909">
        <v>1</v>
      </c>
      <c r="C1909">
        <v>52</v>
      </c>
      <c r="D1909">
        <v>2</v>
      </c>
      <c r="E1909" s="1">
        <v>875.99</v>
      </c>
      <c r="F1909" s="1">
        <v>0.05</v>
      </c>
      <c r="G1909">
        <v>1751.98</v>
      </c>
      <c r="H1909" s="22">
        <f>VLOOKUP(A1909,[1]Orders!$A$2:$B$1616,2,0)</f>
        <v>42763</v>
      </c>
      <c r="J1909" t="s">
        <v>68</v>
      </c>
      <c r="K1909" t="s">
        <v>37</v>
      </c>
    </row>
    <row r="1910" spans="1:11" x14ac:dyDescent="0.3">
      <c r="A1910">
        <v>678</v>
      </c>
      <c r="B1910">
        <v>2</v>
      </c>
      <c r="C1910">
        <v>37</v>
      </c>
      <c r="D1910">
        <v>2</v>
      </c>
      <c r="E1910" s="1">
        <v>379.99</v>
      </c>
      <c r="F1910" s="1">
        <v>7.0000000000000007E-2</v>
      </c>
      <c r="G1910">
        <v>759.98</v>
      </c>
      <c r="H1910" s="22">
        <f>VLOOKUP(A1910,[1]Orders!$A$2:$B$1616,2,0)</f>
        <v>42763</v>
      </c>
      <c r="J1910" t="s">
        <v>98</v>
      </c>
      <c r="K1910" t="s">
        <v>37</v>
      </c>
    </row>
    <row r="1911" spans="1:11" x14ac:dyDescent="0.3">
      <c r="A1911">
        <v>679</v>
      </c>
      <c r="B1911">
        <v>1</v>
      </c>
      <c r="C1911">
        <v>15</v>
      </c>
      <c r="D1911">
        <v>2</v>
      </c>
      <c r="E1911" s="1">
        <v>529.99</v>
      </c>
      <c r="F1911" s="1">
        <v>0.2</v>
      </c>
      <c r="G1911">
        <v>1059.98</v>
      </c>
      <c r="H1911" s="22">
        <f>VLOOKUP(A1911,[1]Orders!$A$2:$B$1616,2,0)</f>
        <v>42764</v>
      </c>
      <c r="J1911" t="s">
        <v>27</v>
      </c>
      <c r="K1911" t="s">
        <v>11</v>
      </c>
    </row>
    <row r="1912" spans="1:11" x14ac:dyDescent="0.3">
      <c r="A1912">
        <v>679</v>
      </c>
      <c r="B1912">
        <v>2</v>
      </c>
      <c r="C1912">
        <v>83</v>
      </c>
      <c r="D1912">
        <v>2</v>
      </c>
      <c r="E1912" s="1">
        <v>149.99</v>
      </c>
      <c r="F1912" s="1">
        <v>0.05</v>
      </c>
      <c r="G1912">
        <v>299.98</v>
      </c>
      <c r="H1912" s="22">
        <f>VLOOKUP(A1912,[1]Orders!$A$2:$B$1616,2,0)</f>
        <v>42764</v>
      </c>
      <c r="J1912" t="s">
        <v>66</v>
      </c>
      <c r="K1912" t="s">
        <v>11</v>
      </c>
    </row>
    <row r="1913" spans="1:11" x14ac:dyDescent="0.3">
      <c r="A1913">
        <v>680</v>
      </c>
      <c r="B1913">
        <v>1</v>
      </c>
      <c r="C1913">
        <v>81</v>
      </c>
      <c r="D1913">
        <v>2</v>
      </c>
      <c r="E1913" s="1">
        <v>1099.99</v>
      </c>
      <c r="F1913" s="1">
        <v>0.05</v>
      </c>
      <c r="G1913">
        <v>2199.98</v>
      </c>
      <c r="H1913" s="22">
        <f>VLOOKUP(A1913,[1]Orders!$A$2:$B$1616,2,0)</f>
        <v>42764</v>
      </c>
      <c r="J1913" t="s">
        <v>99</v>
      </c>
      <c r="K1913" t="s">
        <v>11</v>
      </c>
    </row>
    <row r="1914" spans="1:11" x14ac:dyDescent="0.3">
      <c r="A1914">
        <v>680</v>
      </c>
      <c r="B1914">
        <v>2</v>
      </c>
      <c r="C1914">
        <v>7</v>
      </c>
      <c r="D1914">
        <v>1</v>
      </c>
      <c r="E1914" s="1">
        <v>3999.99</v>
      </c>
      <c r="F1914" s="1">
        <v>0.2</v>
      </c>
      <c r="G1914">
        <v>3999.99</v>
      </c>
      <c r="H1914" s="22">
        <f>VLOOKUP(A1914,[1]Orders!$A$2:$B$1616,2,0)</f>
        <v>42764</v>
      </c>
      <c r="J1914" t="s">
        <v>29</v>
      </c>
      <c r="K1914" t="s">
        <v>11</v>
      </c>
    </row>
    <row r="1915" spans="1:11" x14ac:dyDescent="0.3">
      <c r="A1915">
        <v>680</v>
      </c>
      <c r="B1915">
        <v>3</v>
      </c>
      <c r="C1915">
        <v>50</v>
      </c>
      <c r="D1915">
        <v>1</v>
      </c>
      <c r="E1915" s="1">
        <v>5999.99</v>
      </c>
      <c r="F1915" s="1">
        <v>7.0000000000000007E-2</v>
      </c>
      <c r="G1915">
        <v>5999.99</v>
      </c>
      <c r="H1915" s="22">
        <f>VLOOKUP(A1915,[1]Orders!$A$2:$B$1616,2,0)</f>
        <v>42764</v>
      </c>
      <c r="J1915" t="s">
        <v>79</v>
      </c>
      <c r="K1915" t="s">
        <v>11</v>
      </c>
    </row>
    <row r="1916" spans="1:11" x14ac:dyDescent="0.3">
      <c r="A1916">
        <v>681</v>
      </c>
      <c r="B1916">
        <v>1</v>
      </c>
      <c r="C1916">
        <v>82</v>
      </c>
      <c r="D1916">
        <v>1</v>
      </c>
      <c r="E1916" s="1">
        <v>659.99</v>
      </c>
      <c r="F1916" s="1">
        <v>0.05</v>
      </c>
      <c r="G1916">
        <v>659.99</v>
      </c>
      <c r="H1916" s="22">
        <f>VLOOKUP(A1916,[1]Orders!$A$2:$B$1616,2,0)</f>
        <v>42764</v>
      </c>
      <c r="J1916" t="s">
        <v>100</v>
      </c>
      <c r="K1916" t="s">
        <v>18</v>
      </c>
    </row>
    <row r="1917" spans="1:11" x14ac:dyDescent="0.3">
      <c r="A1917">
        <v>681</v>
      </c>
      <c r="B1917">
        <v>2</v>
      </c>
      <c r="C1917">
        <v>63</v>
      </c>
      <c r="D1917">
        <v>1</v>
      </c>
      <c r="E1917" s="1">
        <v>3499.99</v>
      </c>
      <c r="F1917" s="1">
        <v>7.0000000000000007E-2</v>
      </c>
      <c r="G1917">
        <v>3499.99</v>
      </c>
      <c r="H1917" s="22">
        <f>VLOOKUP(A1917,[1]Orders!$A$2:$B$1616,2,0)</f>
        <v>42764</v>
      </c>
      <c r="J1917" t="s">
        <v>75</v>
      </c>
      <c r="K1917" t="s">
        <v>18</v>
      </c>
    </row>
    <row r="1918" spans="1:11" x14ac:dyDescent="0.3">
      <c r="A1918">
        <v>681</v>
      </c>
      <c r="B1918">
        <v>3</v>
      </c>
      <c r="C1918">
        <v>61</v>
      </c>
      <c r="D1918">
        <v>1</v>
      </c>
      <c r="E1918" s="1">
        <v>4999.99</v>
      </c>
      <c r="F1918" s="1">
        <v>0.2</v>
      </c>
      <c r="G1918">
        <v>4999.99</v>
      </c>
      <c r="H1918" s="22">
        <f>VLOOKUP(A1918,[1]Orders!$A$2:$B$1616,2,0)</f>
        <v>42764</v>
      </c>
      <c r="J1918" t="s">
        <v>45</v>
      </c>
      <c r="K1918" t="s">
        <v>18</v>
      </c>
    </row>
    <row r="1919" spans="1:11" x14ac:dyDescent="0.3">
      <c r="A1919">
        <v>681</v>
      </c>
      <c r="B1919">
        <v>4</v>
      </c>
      <c r="C1919">
        <v>6</v>
      </c>
      <c r="D1919">
        <v>2</v>
      </c>
      <c r="E1919" s="1">
        <v>469.99</v>
      </c>
      <c r="F1919" s="1">
        <v>0.05</v>
      </c>
      <c r="G1919">
        <v>939.98</v>
      </c>
      <c r="H1919" s="22">
        <f>VLOOKUP(A1919,[1]Orders!$A$2:$B$1616,2,0)</f>
        <v>42764</v>
      </c>
      <c r="J1919" t="s">
        <v>32</v>
      </c>
      <c r="K1919" t="s">
        <v>18</v>
      </c>
    </row>
    <row r="1920" spans="1:11" x14ac:dyDescent="0.3">
      <c r="A1920">
        <v>681</v>
      </c>
      <c r="B1920">
        <v>5</v>
      </c>
      <c r="C1920">
        <v>30</v>
      </c>
      <c r="D1920">
        <v>1</v>
      </c>
      <c r="E1920" s="1">
        <v>999.99</v>
      </c>
      <c r="F1920" s="1">
        <v>7.0000000000000007E-2</v>
      </c>
      <c r="G1920">
        <v>999.99</v>
      </c>
      <c r="H1920" s="22">
        <f>VLOOKUP(A1920,[1]Orders!$A$2:$B$1616,2,0)</f>
        <v>42764</v>
      </c>
      <c r="J1920" t="s">
        <v>47</v>
      </c>
      <c r="K1920" t="s">
        <v>18</v>
      </c>
    </row>
    <row r="1921" spans="1:11" x14ac:dyDescent="0.3">
      <c r="A1921">
        <v>682</v>
      </c>
      <c r="B1921">
        <v>1</v>
      </c>
      <c r="C1921">
        <v>39</v>
      </c>
      <c r="D1921">
        <v>1</v>
      </c>
      <c r="E1921" s="1">
        <v>1499.99</v>
      </c>
      <c r="F1921" s="1">
        <v>0.2</v>
      </c>
      <c r="G1921">
        <v>1499.99</v>
      </c>
      <c r="H1921" s="22">
        <f>VLOOKUP(A1921,[1]Orders!$A$2:$B$1616,2,0)</f>
        <v>42764</v>
      </c>
      <c r="J1921" t="s">
        <v>72</v>
      </c>
      <c r="K1921" t="s">
        <v>18</v>
      </c>
    </row>
    <row r="1922" spans="1:11" x14ac:dyDescent="0.3">
      <c r="A1922">
        <v>682</v>
      </c>
      <c r="B1922">
        <v>2</v>
      </c>
      <c r="C1922">
        <v>60</v>
      </c>
      <c r="D1922">
        <v>2</v>
      </c>
      <c r="E1922" s="1">
        <v>1559.99</v>
      </c>
      <c r="F1922" s="1">
        <v>0.2</v>
      </c>
      <c r="G1922">
        <v>3119.98</v>
      </c>
      <c r="H1922" s="22">
        <f>VLOOKUP(A1922,[1]Orders!$A$2:$B$1616,2,0)</f>
        <v>42764</v>
      </c>
      <c r="J1922" t="s">
        <v>101</v>
      </c>
      <c r="K1922" t="s">
        <v>18</v>
      </c>
    </row>
    <row r="1923" spans="1:11" x14ac:dyDescent="0.3">
      <c r="A1923">
        <v>682</v>
      </c>
      <c r="B1923">
        <v>3</v>
      </c>
      <c r="C1923">
        <v>99</v>
      </c>
      <c r="D1923">
        <v>1</v>
      </c>
      <c r="E1923" s="1">
        <v>299.99</v>
      </c>
      <c r="F1923" s="1">
        <v>0.2</v>
      </c>
      <c r="G1923">
        <v>299.99</v>
      </c>
      <c r="H1923" s="22">
        <f>VLOOKUP(A1923,[1]Orders!$A$2:$B$1616,2,0)</f>
        <v>42764</v>
      </c>
      <c r="J1923" t="s">
        <v>52</v>
      </c>
      <c r="K1923" t="s">
        <v>18</v>
      </c>
    </row>
    <row r="1924" spans="1:11" x14ac:dyDescent="0.3">
      <c r="A1924">
        <v>683</v>
      </c>
      <c r="B1924">
        <v>1</v>
      </c>
      <c r="C1924">
        <v>2</v>
      </c>
      <c r="D1924">
        <v>2</v>
      </c>
      <c r="E1924" s="1">
        <v>749.99</v>
      </c>
      <c r="F1924" s="1">
        <v>0.1</v>
      </c>
      <c r="G1924">
        <v>1499.98</v>
      </c>
      <c r="H1924" s="22">
        <f>VLOOKUP(A1924,[1]Orders!$A$2:$B$1616,2,0)</f>
        <v>42764</v>
      </c>
      <c r="J1924" t="s">
        <v>22</v>
      </c>
      <c r="K1924" t="s">
        <v>18</v>
      </c>
    </row>
    <row r="1925" spans="1:11" x14ac:dyDescent="0.3">
      <c r="A1925">
        <v>684</v>
      </c>
      <c r="B1925">
        <v>1</v>
      </c>
      <c r="C1925">
        <v>56</v>
      </c>
      <c r="D1925">
        <v>1</v>
      </c>
      <c r="E1925" s="1">
        <v>5499.99</v>
      </c>
      <c r="F1925" s="1">
        <v>7.0000000000000007E-2</v>
      </c>
      <c r="G1925">
        <v>5499.99</v>
      </c>
      <c r="H1925" s="22">
        <f>VLOOKUP(A1925,[1]Orders!$A$2:$B$1616,2,0)</f>
        <v>42766</v>
      </c>
      <c r="J1925" t="s">
        <v>41</v>
      </c>
      <c r="K1925" t="s">
        <v>18</v>
      </c>
    </row>
    <row r="1926" spans="1:11" x14ac:dyDescent="0.3">
      <c r="A1926">
        <v>684</v>
      </c>
      <c r="B1926">
        <v>2</v>
      </c>
      <c r="C1926">
        <v>33</v>
      </c>
      <c r="D1926">
        <v>1</v>
      </c>
      <c r="E1926" s="1">
        <v>469.99</v>
      </c>
      <c r="F1926" s="1">
        <v>0.1</v>
      </c>
      <c r="G1926">
        <v>469.99</v>
      </c>
      <c r="H1926" s="22">
        <f>VLOOKUP(A1926,[1]Orders!$A$2:$B$1616,2,0)</f>
        <v>42766</v>
      </c>
      <c r="J1926" t="s">
        <v>67</v>
      </c>
      <c r="K1926" t="s">
        <v>18</v>
      </c>
    </row>
    <row r="1927" spans="1:11" x14ac:dyDescent="0.3">
      <c r="A1927">
        <v>685</v>
      </c>
      <c r="B1927">
        <v>1</v>
      </c>
      <c r="C1927">
        <v>59</v>
      </c>
      <c r="D1927">
        <v>1</v>
      </c>
      <c r="E1927" s="1">
        <v>2599.9899999999998</v>
      </c>
      <c r="F1927" s="1">
        <v>0.05</v>
      </c>
      <c r="G1927">
        <v>2599.9899999999998</v>
      </c>
      <c r="H1927" s="22">
        <f>VLOOKUP(A1927,[1]Orders!$A$2:$B$1616,2,0)</f>
        <v>42766</v>
      </c>
      <c r="J1927" t="s">
        <v>74</v>
      </c>
      <c r="K1927" t="s">
        <v>18</v>
      </c>
    </row>
    <row r="1928" spans="1:11" x14ac:dyDescent="0.3">
      <c r="A1928">
        <v>685</v>
      </c>
      <c r="B1928">
        <v>2</v>
      </c>
      <c r="C1928">
        <v>48</v>
      </c>
      <c r="D1928">
        <v>2</v>
      </c>
      <c r="E1928" s="1">
        <v>1499.99</v>
      </c>
      <c r="F1928" s="1">
        <v>0.05</v>
      </c>
      <c r="G1928">
        <v>2999.98</v>
      </c>
      <c r="H1928" s="22">
        <f>VLOOKUP(A1928,[1]Orders!$A$2:$B$1616,2,0)</f>
        <v>42766</v>
      </c>
      <c r="J1928" t="s">
        <v>84</v>
      </c>
      <c r="K1928" t="s">
        <v>18</v>
      </c>
    </row>
    <row r="1929" spans="1:11" x14ac:dyDescent="0.3">
      <c r="A1929">
        <v>685</v>
      </c>
      <c r="B1929">
        <v>3</v>
      </c>
      <c r="C1929">
        <v>107</v>
      </c>
      <c r="D1929">
        <v>1</v>
      </c>
      <c r="E1929" s="1">
        <v>416.99</v>
      </c>
      <c r="F1929" s="1">
        <v>0.05</v>
      </c>
      <c r="G1929">
        <v>416.99</v>
      </c>
      <c r="H1929" s="22">
        <f>VLOOKUP(A1929,[1]Orders!$A$2:$B$1616,2,0)</f>
        <v>42766</v>
      </c>
      <c r="J1929" t="s">
        <v>89</v>
      </c>
      <c r="K1929" t="s">
        <v>18</v>
      </c>
    </row>
    <row r="1930" spans="1:11" x14ac:dyDescent="0.3">
      <c r="A1930">
        <v>685</v>
      </c>
      <c r="B1930">
        <v>4</v>
      </c>
      <c r="C1930">
        <v>98</v>
      </c>
      <c r="D1930">
        <v>2</v>
      </c>
      <c r="E1930" s="1">
        <v>489.99</v>
      </c>
      <c r="F1930" s="1">
        <v>0.2</v>
      </c>
      <c r="G1930">
        <v>979.98</v>
      </c>
      <c r="H1930" s="22">
        <f>VLOOKUP(A1930,[1]Orders!$A$2:$B$1616,2,0)</f>
        <v>42766</v>
      </c>
      <c r="J1930" t="s">
        <v>82</v>
      </c>
      <c r="K1930" t="s">
        <v>18</v>
      </c>
    </row>
    <row r="1931" spans="1:11" x14ac:dyDescent="0.3">
      <c r="A1931">
        <v>685</v>
      </c>
      <c r="B1931">
        <v>5</v>
      </c>
      <c r="C1931">
        <v>56</v>
      </c>
      <c r="D1931">
        <v>2</v>
      </c>
      <c r="E1931" s="1">
        <v>5499.99</v>
      </c>
      <c r="F1931" s="1">
        <v>0.05</v>
      </c>
      <c r="G1931">
        <v>10999.98</v>
      </c>
      <c r="H1931" s="22">
        <f>VLOOKUP(A1931,[1]Orders!$A$2:$B$1616,2,0)</f>
        <v>42766</v>
      </c>
      <c r="J1931" t="s">
        <v>41</v>
      </c>
      <c r="K1931" t="s">
        <v>18</v>
      </c>
    </row>
    <row r="1932" spans="1:11" x14ac:dyDescent="0.3">
      <c r="A1932">
        <v>686</v>
      </c>
      <c r="B1932">
        <v>1</v>
      </c>
      <c r="C1932">
        <v>16</v>
      </c>
      <c r="D1932">
        <v>1</v>
      </c>
      <c r="E1932" s="1">
        <v>599.99</v>
      </c>
      <c r="F1932" s="1">
        <v>0.2</v>
      </c>
      <c r="G1932">
        <v>599.99</v>
      </c>
      <c r="H1932" s="22">
        <f>VLOOKUP(A1932,[1]Orders!$A$2:$B$1616,2,0)</f>
        <v>42767</v>
      </c>
      <c r="J1932" t="s">
        <v>14</v>
      </c>
      <c r="K1932" t="s">
        <v>18</v>
      </c>
    </row>
    <row r="1933" spans="1:11" x14ac:dyDescent="0.3">
      <c r="A1933">
        <v>686</v>
      </c>
      <c r="B1933">
        <v>2</v>
      </c>
      <c r="C1933">
        <v>30</v>
      </c>
      <c r="D1933">
        <v>1</v>
      </c>
      <c r="E1933" s="1">
        <v>999.99</v>
      </c>
      <c r="F1933" s="1">
        <v>0.1</v>
      </c>
      <c r="G1933">
        <v>999.99</v>
      </c>
      <c r="H1933" s="22">
        <f>VLOOKUP(A1933,[1]Orders!$A$2:$B$1616,2,0)</f>
        <v>42767</v>
      </c>
      <c r="J1933" t="s">
        <v>47</v>
      </c>
      <c r="K1933" t="s">
        <v>18</v>
      </c>
    </row>
    <row r="1934" spans="1:11" x14ac:dyDescent="0.3">
      <c r="A1934">
        <v>686</v>
      </c>
      <c r="B1934">
        <v>3</v>
      </c>
      <c r="C1934">
        <v>88</v>
      </c>
      <c r="D1934">
        <v>2</v>
      </c>
      <c r="E1934" s="1">
        <v>189.99</v>
      </c>
      <c r="F1934" s="1">
        <v>0.2</v>
      </c>
      <c r="G1934">
        <v>379.98</v>
      </c>
      <c r="H1934" s="22">
        <f>VLOOKUP(A1934,[1]Orders!$A$2:$B$1616,2,0)</f>
        <v>42767</v>
      </c>
      <c r="J1934" t="s">
        <v>64</v>
      </c>
      <c r="K1934" t="s">
        <v>18</v>
      </c>
    </row>
    <row r="1935" spans="1:11" x14ac:dyDescent="0.3">
      <c r="A1935">
        <v>686</v>
      </c>
      <c r="B1935">
        <v>4</v>
      </c>
      <c r="C1935">
        <v>19</v>
      </c>
      <c r="D1935">
        <v>2</v>
      </c>
      <c r="E1935" s="1">
        <v>449</v>
      </c>
      <c r="F1935" s="1">
        <v>0.2</v>
      </c>
      <c r="G1935">
        <v>898</v>
      </c>
      <c r="H1935" s="22">
        <f>VLOOKUP(A1935,[1]Orders!$A$2:$B$1616,2,0)</f>
        <v>42767</v>
      </c>
      <c r="J1935" t="s">
        <v>36</v>
      </c>
      <c r="K1935" t="s">
        <v>18</v>
      </c>
    </row>
    <row r="1936" spans="1:11" x14ac:dyDescent="0.3">
      <c r="A1936">
        <v>686</v>
      </c>
      <c r="B1936">
        <v>5</v>
      </c>
      <c r="C1936">
        <v>104</v>
      </c>
      <c r="D1936">
        <v>1</v>
      </c>
      <c r="E1936" s="1">
        <v>481.99</v>
      </c>
      <c r="F1936" s="1">
        <v>0.2</v>
      </c>
      <c r="G1936">
        <v>481.99</v>
      </c>
      <c r="H1936" s="22">
        <f>VLOOKUP(A1936,[1]Orders!$A$2:$B$1616,2,0)</f>
        <v>42767</v>
      </c>
      <c r="J1936" t="s">
        <v>87</v>
      </c>
      <c r="K1936" t="s">
        <v>18</v>
      </c>
    </row>
    <row r="1937" spans="1:11" x14ac:dyDescent="0.3">
      <c r="A1937">
        <v>687</v>
      </c>
      <c r="B1937">
        <v>1</v>
      </c>
      <c r="C1937">
        <v>48</v>
      </c>
      <c r="D1937">
        <v>2</v>
      </c>
      <c r="E1937" s="1">
        <v>1499.99</v>
      </c>
      <c r="F1937" s="1">
        <v>0.05</v>
      </c>
      <c r="G1937">
        <v>2999.98</v>
      </c>
      <c r="H1937" s="22">
        <f>VLOOKUP(A1937,[1]Orders!$A$2:$B$1616,2,0)</f>
        <v>42768</v>
      </c>
      <c r="J1937" t="s">
        <v>84</v>
      </c>
      <c r="K1937" t="s">
        <v>11</v>
      </c>
    </row>
    <row r="1938" spans="1:11" x14ac:dyDescent="0.3">
      <c r="A1938">
        <v>687</v>
      </c>
      <c r="B1938">
        <v>2</v>
      </c>
      <c r="C1938">
        <v>95</v>
      </c>
      <c r="D1938">
        <v>1</v>
      </c>
      <c r="E1938" s="1">
        <v>299.99</v>
      </c>
      <c r="F1938" s="1">
        <v>7.0000000000000007E-2</v>
      </c>
      <c r="G1938">
        <v>299.99</v>
      </c>
      <c r="H1938" s="22">
        <f>VLOOKUP(A1938,[1]Orders!$A$2:$B$1616,2,0)</f>
        <v>42768</v>
      </c>
      <c r="J1938" t="s">
        <v>48</v>
      </c>
      <c r="K1938" t="s">
        <v>11</v>
      </c>
    </row>
    <row r="1939" spans="1:11" x14ac:dyDescent="0.3">
      <c r="A1939">
        <v>687</v>
      </c>
      <c r="B1939">
        <v>3</v>
      </c>
      <c r="C1939">
        <v>5</v>
      </c>
      <c r="D1939">
        <v>2</v>
      </c>
      <c r="E1939" s="1">
        <v>1320.99</v>
      </c>
      <c r="F1939" s="1">
        <v>0.2</v>
      </c>
      <c r="G1939">
        <v>2641.98</v>
      </c>
      <c r="H1939" s="22">
        <f>VLOOKUP(A1939,[1]Orders!$A$2:$B$1616,2,0)</f>
        <v>42768</v>
      </c>
      <c r="J1939" t="s">
        <v>34</v>
      </c>
      <c r="K1939" t="s">
        <v>11</v>
      </c>
    </row>
    <row r="1940" spans="1:11" x14ac:dyDescent="0.3">
      <c r="A1940">
        <v>687</v>
      </c>
      <c r="B1940">
        <v>4</v>
      </c>
      <c r="C1940">
        <v>83</v>
      </c>
      <c r="D1940">
        <v>1</v>
      </c>
      <c r="E1940" s="1">
        <v>149.99</v>
      </c>
      <c r="F1940" s="1">
        <v>7.0000000000000007E-2</v>
      </c>
      <c r="G1940">
        <v>149.99</v>
      </c>
      <c r="H1940" s="22">
        <f>VLOOKUP(A1940,[1]Orders!$A$2:$B$1616,2,0)</f>
        <v>42768</v>
      </c>
      <c r="J1940" t="s">
        <v>66</v>
      </c>
      <c r="K1940" t="s">
        <v>11</v>
      </c>
    </row>
    <row r="1941" spans="1:11" x14ac:dyDescent="0.3">
      <c r="A1941">
        <v>688</v>
      </c>
      <c r="B1941">
        <v>1</v>
      </c>
      <c r="C1941">
        <v>8</v>
      </c>
      <c r="D1941">
        <v>1</v>
      </c>
      <c r="E1941" s="1">
        <v>1799.99</v>
      </c>
      <c r="F1941" s="1">
        <v>0.1</v>
      </c>
      <c r="G1941">
        <v>1799.99</v>
      </c>
      <c r="H1941" s="22">
        <f>VLOOKUP(A1941,[1]Orders!$A$2:$B$1616,2,0)</f>
        <v>42768</v>
      </c>
      <c r="J1941" t="s">
        <v>12</v>
      </c>
      <c r="K1941" t="s">
        <v>18</v>
      </c>
    </row>
    <row r="1942" spans="1:11" x14ac:dyDescent="0.3">
      <c r="A1942">
        <v>688</v>
      </c>
      <c r="B1942">
        <v>2</v>
      </c>
      <c r="C1942">
        <v>88</v>
      </c>
      <c r="D1942">
        <v>1</v>
      </c>
      <c r="E1942" s="1">
        <v>189.99</v>
      </c>
      <c r="F1942" s="1">
        <v>0.05</v>
      </c>
      <c r="G1942">
        <v>189.99</v>
      </c>
      <c r="H1942" s="22">
        <f>VLOOKUP(A1942,[1]Orders!$A$2:$B$1616,2,0)</f>
        <v>42768</v>
      </c>
      <c r="J1942" t="s">
        <v>64</v>
      </c>
      <c r="K1942" t="s">
        <v>18</v>
      </c>
    </row>
    <row r="1943" spans="1:11" x14ac:dyDescent="0.3">
      <c r="A1943">
        <v>689</v>
      </c>
      <c r="B1943">
        <v>1</v>
      </c>
      <c r="C1943">
        <v>33</v>
      </c>
      <c r="D1943">
        <v>2</v>
      </c>
      <c r="E1943" s="1">
        <v>469.99</v>
      </c>
      <c r="F1943" s="1">
        <v>0.1</v>
      </c>
      <c r="G1943">
        <v>939.98</v>
      </c>
      <c r="H1943" s="22">
        <f>VLOOKUP(A1943,[1]Orders!$A$2:$B$1616,2,0)</f>
        <v>42768</v>
      </c>
      <c r="J1943" t="s">
        <v>67</v>
      </c>
      <c r="K1943" t="s">
        <v>18</v>
      </c>
    </row>
    <row r="1944" spans="1:11" x14ac:dyDescent="0.3">
      <c r="A1944">
        <v>690</v>
      </c>
      <c r="B1944">
        <v>1</v>
      </c>
      <c r="C1944">
        <v>84</v>
      </c>
      <c r="D1944">
        <v>1</v>
      </c>
      <c r="E1944" s="1">
        <v>109.99</v>
      </c>
      <c r="F1944" s="1">
        <v>0.2</v>
      </c>
      <c r="G1944">
        <v>109.99</v>
      </c>
      <c r="H1944" s="22">
        <f>VLOOKUP(A1944,[1]Orders!$A$2:$B$1616,2,0)</f>
        <v>42769</v>
      </c>
      <c r="J1944" t="s">
        <v>83</v>
      </c>
      <c r="K1944" t="s">
        <v>11</v>
      </c>
    </row>
    <row r="1945" spans="1:11" x14ac:dyDescent="0.3">
      <c r="A1945">
        <v>690</v>
      </c>
      <c r="B1945">
        <v>2</v>
      </c>
      <c r="C1945">
        <v>11</v>
      </c>
      <c r="D1945">
        <v>2</v>
      </c>
      <c r="E1945" s="1">
        <v>1680.99</v>
      </c>
      <c r="F1945" s="1">
        <v>7.0000000000000007E-2</v>
      </c>
      <c r="G1945">
        <v>3361.98</v>
      </c>
      <c r="H1945" s="22">
        <f>VLOOKUP(A1945,[1]Orders!$A$2:$B$1616,2,0)</f>
        <v>42769</v>
      </c>
      <c r="J1945" t="s">
        <v>30</v>
      </c>
      <c r="K1945" t="s">
        <v>11</v>
      </c>
    </row>
    <row r="1946" spans="1:11" x14ac:dyDescent="0.3">
      <c r="A1946">
        <v>690</v>
      </c>
      <c r="B1946">
        <v>3</v>
      </c>
      <c r="C1946">
        <v>85</v>
      </c>
      <c r="D1946">
        <v>1</v>
      </c>
      <c r="E1946" s="1">
        <v>329.99</v>
      </c>
      <c r="F1946" s="1">
        <v>0.05</v>
      </c>
      <c r="G1946">
        <v>329.99</v>
      </c>
      <c r="H1946" s="22">
        <f>VLOOKUP(A1946,[1]Orders!$A$2:$B$1616,2,0)</f>
        <v>42769</v>
      </c>
      <c r="J1946" t="s">
        <v>38</v>
      </c>
      <c r="K1946" t="s">
        <v>11</v>
      </c>
    </row>
    <row r="1947" spans="1:11" x14ac:dyDescent="0.3">
      <c r="A1947">
        <v>690</v>
      </c>
      <c r="B1947">
        <v>4</v>
      </c>
      <c r="C1947">
        <v>109</v>
      </c>
      <c r="D1947">
        <v>2</v>
      </c>
      <c r="E1947" s="1">
        <v>416.99</v>
      </c>
      <c r="F1947" s="1">
        <v>0.2</v>
      </c>
      <c r="G1947">
        <v>833.98</v>
      </c>
      <c r="H1947" s="22">
        <f>VLOOKUP(A1947,[1]Orders!$A$2:$B$1616,2,0)</f>
        <v>42769</v>
      </c>
      <c r="J1947" t="s">
        <v>49</v>
      </c>
      <c r="K1947" t="s">
        <v>11</v>
      </c>
    </row>
    <row r="1948" spans="1:11" x14ac:dyDescent="0.3">
      <c r="A1948">
        <v>691</v>
      </c>
      <c r="B1948">
        <v>1</v>
      </c>
      <c r="C1948">
        <v>23</v>
      </c>
      <c r="D1948">
        <v>2</v>
      </c>
      <c r="E1948" s="1">
        <v>299.99</v>
      </c>
      <c r="F1948" s="1">
        <v>0.05</v>
      </c>
      <c r="G1948">
        <v>599.98</v>
      </c>
      <c r="H1948" s="22">
        <f>VLOOKUP(A1948,[1]Orders!$A$2:$B$1616,2,0)</f>
        <v>42770</v>
      </c>
      <c r="J1948" t="s">
        <v>33</v>
      </c>
      <c r="K1948" t="s">
        <v>18</v>
      </c>
    </row>
    <row r="1949" spans="1:11" x14ac:dyDescent="0.3">
      <c r="A1949">
        <v>691</v>
      </c>
      <c r="B1949">
        <v>2</v>
      </c>
      <c r="C1949">
        <v>5</v>
      </c>
      <c r="D1949">
        <v>2</v>
      </c>
      <c r="E1949" s="1">
        <v>1320.99</v>
      </c>
      <c r="F1949" s="1">
        <v>0.1</v>
      </c>
      <c r="G1949">
        <v>2641.98</v>
      </c>
      <c r="H1949" s="22">
        <f>VLOOKUP(A1949,[1]Orders!$A$2:$B$1616,2,0)</f>
        <v>42770</v>
      </c>
      <c r="J1949" t="s">
        <v>34</v>
      </c>
      <c r="K1949" t="s">
        <v>18</v>
      </c>
    </row>
    <row r="1950" spans="1:11" x14ac:dyDescent="0.3">
      <c r="A1950">
        <v>691</v>
      </c>
      <c r="B1950">
        <v>3</v>
      </c>
      <c r="C1950">
        <v>55</v>
      </c>
      <c r="D1950">
        <v>2</v>
      </c>
      <c r="E1950" s="1">
        <v>2699.99</v>
      </c>
      <c r="F1950" s="1">
        <v>0.2</v>
      </c>
      <c r="G1950">
        <v>5399.98</v>
      </c>
      <c r="H1950" s="22">
        <f>VLOOKUP(A1950,[1]Orders!$A$2:$B$1616,2,0)</f>
        <v>42770</v>
      </c>
      <c r="J1950" t="s">
        <v>76</v>
      </c>
      <c r="K1950" t="s">
        <v>18</v>
      </c>
    </row>
    <row r="1951" spans="1:11" x14ac:dyDescent="0.3">
      <c r="A1951">
        <v>691</v>
      </c>
      <c r="B1951">
        <v>4</v>
      </c>
      <c r="C1951">
        <v>20</v>
      </c>
      <c r="D1951">
        <v>1</v>
      </c>
      <c r="E1951" s="1">
        <v>599.99</v>
      </c>
      <c r="F1951" s="1">
        <v>0.2</v>
      </c>
      <c r="G1951">
        <v>599.99</v>
      </c>
      <c r="H1951" s="22">
        <f>VLOOKUP(A1951,[1]Orders!$A$2:$B$1616,2,0)</f>
        <v>42770</v>
      </c>
      <c r="J1951" t="s">
        <v>10</v>
      </c>
      <c r="K1951" t="s">
        <v>18</v>
      </c>
    </row>
    <row r="1952" spans="1:11" x14ac:dyDescent="0.3">
      <c r="A1952">
        <v>692</v>
      </c>
      <c r="B1952">
        <v>1</v>
      </c>
      <c r="C1952">
        <v>59</v>
      </c>
      <c r="D1952">
        <v>1</v>
      </c>
      <c r="E1952" s="1">
        <v>2599.9899999999998</v>
      </c>
      <c r="F1952" s="1">
        <v>0.2</v>
      </c>
      <c r="G1952">
        <v>2599.9899999999998</v>
      </c>
      <c r="H1952" s="22">
        <f>VLOOKUP(A1952,[1]Orders!$A$2:$B$1616,2,0)</f>
        <v>42771</v>
      </c>
      <c r="J1952" t="s">
        <v>74</v>
      </c>
      <c r="K1952" t="s">
        <v>11</v>
      </c>
    </row>
    <row r="1953" spans="1:11" x14ac:dyDescent="0.3">
      <c r="A1953">
        <v>692</v>
      </c>
      <c r="B1953">
        <v>2</v>
      </c>
      <c r="C1953">
        <v>75</v>
      </c>
      <c r="D1953">
        <v>1</v>
      </c>
      <c r="E1953" s="1">
        <v>599.99</v>
      </c>
      <c r="F1953" s="1">
        <v>7.0000000000000007E-2</v>
      </c>
      <c r="G1953">
        <v>599.99</v>
      </c>
      <c r="H1953" s="22">
        <f>VLOOKUP(A1953,[1]Orders!$A$2:$B$1616,2,0)</f>
        <v>42771</v>
      </c>
      <c r="J1953" t="s">
        <v>95</v>
      </c>
      <c r="K1953" t="s">
        <v>11</v>
      </c>
    </row>
    <row r="1954" spans="1:11" x14ac:dyDescent="0.3">
      <c r="A1954">
        <v>692</v>
      </c>
      <c r="B1954">
        <v>3</v>
      </c>
      <c r="C1954">
        <v>15</v>
      </c>
      <c r="D1954">
        <v>2</v>
      </c>
      <c r="E1954" s="1">
        <v>529.99</v>
      </c>
      <c r="F1954" s="1">
        <v>7.0000000000000007E-2</v>
      </c>
      <c r="G1954">
        <v>1059.98</v>
      </c>
      <c r="H1954" s="22">
        <f>VLOOKUP(A1954,[1]Orders!$A$2:$B$1616,2,0)</f>
        <v>42771</v>
      </c>
      <c r="J1954" t="s">
        <v>27</v>
      </c>
      <c r="K1954" t="s">
        <v>11</v>
      </c>
    </row>
    <row r="1955" spans="1:11" x14ac:dyDescent="0.3">
      <c r="A1955">
        <v>692</v>
      </c>
      <c r="B1955">
        <v>4</v>
      </c>
      <c r="C1955">
        <v>56</v>
      </c>
      <c r="D1955">
        <v>2</v>
      </c>
      <c r="E1955" s="1">
        <v>5499.99</v>
      </c>
      <c r="F1955" s="1">
        <v>0.1</v>
      </c>
      <c r="G1955">
        <v>10999.98</v>
      </c>
      <c r="H1955" s="22">
        <f>VLOOKUP(A1955,[1]Orders!$A$2:$B$1616,2,0)</f>
        <v>42771</v>
      </c>
      <c r="J1955" t="s">
        <v>41</v>
      </c>
      <c r="K1955" t="s">
        <v>11</v>
      </c>
    </row>
    <row r="1956" spans="1:11" x14ac:dyDescent="0.3">
      <c r="A1956">
        <v>693</v>
      </c>
      <c r="B1956">
        <v>1</v>
      </c>
      <c r="C1956">
        <v>104</v>
      </c>
      <c r="D1956">
        <v>2</v>
      </c>
      <c r="E1956" s="1">
        <v>481.99</v>
      </c>
      <c r="F1956" s="1">
        <v>0.2</v>
      </c>
      <c r="G1956">
        <v>963.98</v>
      </c>
      <c r="H1956" s="22">
        <f>VLOOKUP(A1956,[1]Orders!$A$2:$B$1616,2,0)</f>
        <v>42771</v>
      </c>
      <c r="J1956" t="s">
        <v>87</v>
      </c>
      <c r="K1956" t="s">
        <v>11</v>
      </c>
    </row>
    <row r="1957" spans="1:11" x14ac:dyDescent="0.3">
      <c r="A1957">
        <v>693</v>
      </c>
      <c r="B1957">
        <v>2</v>
      </c>
      <c r="C1957">
        <v>13</v>
      </c>
      <c r="D1957">
        <v>1</v>
      </c>
      <c r="E1957" s="1">
        <v>269.99</v>
      </c>
      <c r="F1957" s="1">
        <v>0.2</v>
      </c>
      <c r="G1957">
        <v>269.99</v>
      </c>
      <c r="H1957" s="22">
        <f>VLOOKUP(A1957,[1]Orders!$A$2:$B$1616,2,0)</f>
        <v>42771</v>
      </c>
      <c r="J1957" t="s">
        <v>31</v>
      </c>
      <c r="K1957" t="s">
        <v>11</v>
      </c>
    </row>
    <row r="1958" spans="1:11" x14ac:dyDescent="0.3">
      <c r="A1958">
        <v>693</v>
      </c>
      <c r="B1958">
        <v>3</v>
      </c>
      <c r="C1958">
        <v>5</v>
      </c>
      <c r="D1958">
        <v>2</v>
      </c>
      <c r="E1958" s="1">
        <v>1320.99</v>
      </c>
      <c r="F1958" s="1">
        <v>0.05</v>
      </c>
      <c r="G1958">
        <v>2641.98</v>
      </c>
      <c r="H1958" s="22">
        <f>VLOOKUP(A1958,[1]Orders!$A$2:$B$1616,2,0)</f>
        <v>42771</v>
      </c>
      <c r="J1958" t="s">
        <v>34</v>
      </c>
      <c r="K1958" t="s">
        <v>11</v>
      </c>
    </row>
    <row r="1959" spans="1:11" x14ac:dyDescent="0.3">
      <c r="A1959">
        <v>693</v>
      </c>
      <c r="B1959">
        <v>4</v>
      </c>
      <c r="C1959">
        <v>31</v>
      </c>
      <c r="D1959">
        <v>1</v>
      </c>
      <c r="E1959" s="1">
        <v>1632.99</v>
      </c>
      <c r="F1959" s="1">
        <v>7.0000000000000007E-2</v>
      </c>
      <c r="G1959">
        <v>1632.99</v>
      </c>
      <c r="H1959" s="22">
        <f>VLOOKUP(A1959,[1]Orders!$A$2:$B$1616,2,0)</f>
        <v>42771</v>
      </c>
      <c r="J1959" t="s">
        <v>102</v>
      </c>
      <c r="K1959" t="s">
        <v>11</v>
      </c>
    </row>
    <row r="1960" spans="1:11" x14ac:dyDescent="0.3">
      <c r="A1960">
        <v>694</v>
      </c>
      <c r="B1960">
        <v>1</v>
      </c>
      <c r="C1960">
        <v>48</v>
      </c>
      <c r="D1960">
        <v>1</v>
      </c>
      <c r="E1960" s="1">
        <v>1499.99</v>
      </c>
      <c r="F1960" s="1">
        <v>0.2</v>
      </c>
      <c r="G1960">
        <v>1499.99</v>
      </c>
      <c r="H1960" s="22">
        <f>VLOOKUP(A1960,[1]Orders!$A$2:$B$1616,2,0)</f>
        <v>42771</v>
      </c>
      <c r="J1960" t="s">
        <v>84</v>
      </c>
      <c r="K1960" t="s">
        <v>18</v>
      </c>
    </row>
    <row r="1961" spans="1:11" x14ac:dyDescent="0.3">
      <c r="A1961">
        <v>694</v>
      </c>
      <c r="B1961">
        <v>2</v>
      </c>
      <c r="C1961">
        <v>39</v>
      </c>
      <c r="D1961">
        <v>1</v>
      </c>
      <c r="E1961" s="1">
        <v>1499.99</v>
      </c>
      <c r="F1961" s="1">
        <v>0.05</v>
      </c>
      <c r="G1961">
        <v>1499.99</v>
      </c>
      <c r="H1961" s="22">
        <f>VLOOKUP(A1961,[1]Orders!$A$2:$B$1616,2,0)</f>
        <v>42771</v>
      </c>
      <c r="J1961" t="s">
        <v>72</v>
      </c>
      <c r="K1961" t="s">
        <v>18</v>
      </c>
    </row>
    <row r="1962" spans="1:11" x14ac:dyDescent="0.3">
      <c r="A1962">
        <v>694</v>
      </c>
      <c r="B1962">
        <v>3</v>
      </c>
      <c r="C1962">
        <v>55</v>
      </c>
      <c r="D1962">
        <v>2</v>
      </c>
      <c r="E1962" s="1">
        <v>2699.99</v>
      </c>
      <c r="F1962" s="1">
        <v>0.1</v>
      </c>
      <c r="G1962">
        <v>5399.98</v>
      </c>
      <c r="H1962" s="22">
        <f>VLOOKUP(A1962,[1]Orders!$A$2:$B$1616,2,0)</f>
        <v>42771</v>
      </c>
      <c r="J1962" t="s">
        <v>76</v>
      </c>
      <c r="K1962" t="s">
        <v>18</v>
      </c>
    </row>
    <row r="1963" spans="1:11" x14ac:dyDescent="0.3">
      <c r="A1963">
        <v>694</v>
      </c>
      <c r="B1963">
        <v>4</v>
      </c>
      <c r="C1963">
        <v>103</v>
      </c>
      <c r="D1963">
        <v>2</v>
      </c>
      <c r="E1963" s="1">
        <v>551.99</v>
      </c>
      <c r="F1963" s="1">
        <v>0.2</v>
      </c>
      <c r="G1963">
        <v>1103.98</v>
      </c>
      <c r="H1963" s="22">
        <f>VLOOKUP(A1963,[1]Orders!$A$2:$B$1616,2,0)</f>
        <v>42771</v>
      </c>
      <c r="J1963" t="s">
        <v>40</v>
      </c>
      <c r="K1963" t="s">
        <v>18</v>
      </c>
    </row>
    <row r="1964" spans="1:11" x14ac:dyDescent="0.3">
      <c r="A1964">
        <v>694</v>
      </c>
      <c r="B1964">
        <v>5</v>
      </c>
      <c r="C1964">
        <v>45</v>
      </c>
      <c r="D1964">
        <v>2</v>
      </c>
      <c r="E1964" s="1">
        <v>869.99</v>
      </c>
      <c r="F1964" s="1">
        <v>0.1</v>
      </c>
      <c r="G1964">
        <v>1739.98</v>
      </c>
      <c r="H1964" s="22">
        <f>VLOOKUP(A1964,[1]Orders!$A$2:$B$1616,2,0)</f>
        <v>42771</v>
      </c>
      <c r="J1964" t="s">
        <v>88</v>
      </c>
      <c r="K1964" t="s">
        <v>18</v>
      </c>
    </row>
    <row r="1965" spans="1:11" x14ac:dyDescent="0.3">
      <c r="A1965">
        <v>695</v>
      </c>
      <c r="B1965">
        <v>1</v>
      </c>
      <c r="C1965">
        <v>82</v>
      </c>
      <c r="D1965">
        <v>2</v>
      </c>
      <c r="E1965" s="1">
        <v>659.99</v>
      </c>
      <c r="F1965" s="1">
        <v>0.1</v>
      </c>
      <c r="G1965">
        <v>1319.98</v>
      </c>
      <c r="H1965" s="22">
        <f>VLOOKUP(A1965,[1]Orders!$A$2:$B$1616,2,0)</f>
        <v>42771</v>
      </c>
      <c r="J1965" t="s">
        <v>100</v>
      </c>
      <c r="K1965" t="s">
        <v>18</v>
      </c>
    </row>
    <row r="1966" spans="1:11" x14ac:dyDescent="0.3">
      <c r="A1966">
        <v>695</v>
      </c>
      <c r="B1966">
        <v>2</v>
      </c>
      <c r="C1966">
        <v>57</v>
      </c>
      <c r="D1966">
        <v>2</v>
      </c>
      <c r="E1966" s="1">
        <v>1999.99</v>
      </c>
      <c r="F1966" s="1">
        <v>0.2</v>
      </c>
      <c r="G1966">
        <v>3999.98</v>
      </c>
      <c r="H1966" s="22">
        <f>VLOOKUP(A1966,[1]Orders!$A$2:$B$1616,2,0)</f>
        <v>42771</v>
      </c>
      <c r="J1966" t="s">
        <v>103</v>
      </c>
      <c r="K1966" t="s">
        <v>18</v>
      </c>
    </row>
    <row r="1967" spans="1:11" x14ac:dyDescent="0.3">
      <c r="A1967">
        <v>696</v>
      </c>
      <c r="B1967">
        <v>1</v>
      </c>
      <c r="C1967">
        <v>88</v>
      </c>
      <c r="D1967">
        <v>2</v>
      </c>
      <c r="E1967" s="1">
        <v>189.99</v>
      </c>
      <c r="F1967" s="1">
        <v>7.0000000000000007E-2</v>
      </c>
      <c r="G1967">
        <v>379.98</v>
      </c>
      <c r="H1967" s="22">
        <f>VLOOKUP(A1967,[1]Orders!$A$2:$B$1616,2,0)</f>
        <v>42771</v>
      </c>
      <c r="J1967" t="s">
        <v>64</v>
      </c>
      <c r="K1967" t="s">
        <v>18</v>
      </c>
    </row>
    <row r="1968" spans="1:11" x14ac:dyDescent="0.3">
      <c r="A1968">
        <v>696</v>
      </c>
      <c r="B1968">
        <v>2</v>
      </c>
      <c r="C1968">
        <v>7</v>
      </c>
      <c r="D1968">
        <v>1</v>
      </c>
      <c r="E1968" s="1">
        <v>3999.99</v>
      </c>
      <c r="F1968" s="1">
        <v>0.1</v>
      </c>
      <c r="G1968">
        <v>3999.99</v>
      </c>
      <c r="H1968" s="22">
        <f>VLOOKUP(A1968,[1]Orders!$A$2:$B$1616,2,0)</f>
        <v>42771</v>
      </c>
      <c r="J1968" t="s">
        <v>29</v>
      </c>
      <c r="K1968" t="s">
        <v>18</v>
      </c>
    </row>
    <row r="1969" spans="1:11" x14ac:dyDescent="0.3">
      <c r="A1969">
        <v>696</v>
      </c>
      <c r="B1969">
        <v>3</v>
      </c>
      <c r="C1969">
        <v>45</v>
      </c>
      <c r="D1969">
        <v>1</v>
      </c>
      <c r="E1969" s="1">
        <v>869.99</v>
      </c>
      <c r="F1969" s="1">
        <v>7.0000000000000007E-2</v>
      </c>
      <c r="G1969">
        <v>869.99</v>
      </c>
      <c r="H1969" s="22">
        <f>VLOOKUP(A1969,[1]Orders!$A$2:$B$1616,2,0)</f>
        <v>42771</v>
      </c>
      <c r="J1969" t="s">
        <v>88</v>
      </c>
      <c r="K1969" t="s">
        <v>18</v>
      </c>
    </row>
    <row r="1970" spans="1:11" x14ac:dyDescent="0.3">
      <c r="A1970">
        <v>697</v>
      </c>
      <c r="B1970">
        <v>1</v>
      </c>
      <c r="C1970">
        <v>5</v>
      </c>
      <c r="D1970">
        <v>2</v>
      </c>
      <c r="E1970" s="1">
        <v>1320.99</v>
      </c>
      <c r="F1970" s="1">
        <v>0.05</v>
      </c>
      <c r="G1970">
        <v>2641.98</v>
      </c>
      <c r="H1970" s="22">
        <f>VLOOKUP(A1970,[1]Orders!$A$2:$B$1616,2,0)</f>
        <v>42772</v>
      </c>
      <c r="J1970" t="s">
        <v>34</v>
      </c>
      <c r="K1970" t="s">
        <v>11</v>
      </c>
    </row>
    <row r="1971" spans="1:11" x14ac:dyDescent="0.3">
      <c r="A1971">
        <v>698</v>
      </c>
      <c r="B1971">
        <v>1</v>
      </c>
      <c r="C1971">
        <v>96</v>
      </c>
      <c r="D1971">
        <v>1</v>
      </c>
      <c r="E1971" s="1">
        <v>349.99</v>
      </c>
      <c r="F1971" s="1">
        <v>7.0000000000000007E-2</v>
      </c>
      <c r="G1971">
        <v>349.99</v>
      </c>
      <c r="H1971" s="22">
        <f>VLOOKUP(A1971,[1]Orders!$A$2:$B$1616,2,0)</f>
        <v>42772</v>
      </c>
      <c r="J1971" t="s">
        <v>91</v>
      </c>
      <c r="K1971" t="s">
        <v>37</v>
      </c>
    </row>
    <row r="1972" spans="1:11" x14ac:dyDescent="0.3">
      <c r="A1972">
        <v>698</v>
      </c>
      <c r="B1972">
        <v>2</v>
      </c>
      <c r="C1972">
        <v>12</v>
      </c>
      <c r="D1972">
        <v>1</v>
      </c>
      <c r="E1972" s="1">
        <v>549.99</v>
      </c>
      <c r="F1972" s="1">
        <v>7.0000000000000007E-2</v>
      </c>
      <c r="G1972">
        <v>549.99</v>
      </c>
      <c r="H1972" s="22">
        <f>VLOOKUP(A1972,[1]Orders!$A$2:$B$1616,2,0)</f>
        <v>42772</v>
      </c>
      <c r="J1972" t="s">
        <v>25</v>
      </c>
      <c r="K1972" t="s">
        <v>37</v>
      </c>
    </row>
    <row r="1973" spans="1:11" x14ac:dyDescent="0.3">
      <c r="A1973">
        <v>698</v>
      </c>
      <c r="B1973">
        <v>3</v>
      </c>
      <c r="C1973">
        <v>40</v>
      </c>
      <c r="D1973">
        <v>2</v>
      </c>
      <c r="E1973" s="1">
        <v>4999.99</v>
      </c>
      <c r="F1973" s="1">
        <v>0.05</v>
      </c>
      <c r="G1973">
        <v>9999.98</v>
      </c>
      <c r="H1973" s="22">
        <f>VLOOKUP(A1973,[1]Orders!$A$2:$B$1616,2,0)</f>
        <v>42772</v>
      </c>
      <c r="J1973" t="s">
        <v>104</v>
      </c>
      <c r="K1973" t="s">
        <v>37</v>
      </c>
    </row>
    <row r="1974" spans="1:11" x14ac:dyDescent="0.3">
      <c r="A1974">
        <v>699</v>
      </c>
      <c r="B1974">
        <v>1</v>
      </c>
      <c r="C1974">
        <v>106</v>
      </c>
      <c r="D1974">
        <v>2</v>
      </c>
      <c r="E1974" s="1">
        <v>449.99</v>
      </c>
      <c r="F1974" s="1">
        <v>0.1</v>
      </c>
      <c r="G1974">
        <v>899.98</v>
      </c>
      <c r="H1974" s="22">
        <f>VLOOKUP(A1974,[1]Orders!$A$2:$B$1616,2,0)</f>
        <v>42772</v>
      </c>
      <c r="J1974" t="s">
        <v>39</v>
      </c>
      <c r="K1974" t="s">
        <v>37</v>
      </c>
    </row>
    <row r="1975" spans="1:11" x14ac:dyDescent="0.3">
      <c r="A1975">
        <v>699</v>
      </c>
      <c r="B1975">
        <v>2</v>
      </c>
      <c r="C1975">
        <v>48</v>
      </c>
      <c r="D1975">
        <v>1</v>
      </c>
      <c r="E1975" s="1">
        <v>1499.99</v>
      </c>
      <c r="F1975" s="1">
        <v>7.0000000000000007E-2</v>
      </c>
      <c r="G1975">
        <v>1499.99</v>
      </c>
      <c r="H1975" s="22">
        <f>VLOOKUP(A1975,[1]Orders!$A$2:$B$1616,2,0)</f>
        <v>42772</v>
      </c>
      <c r="J1975" t="s">
        <v>84</v>
      </c>
      <c r="K1975" t="s">
        <v>37</v>
      </c>
    </row>
    <row r="1976" spans="1:11" x14ac:dyDescent="0.3">
      <c r="A1976">
        <v>699</v>
      </c>
      <c r="B1976">
        <v>3</v>
      </c>
      <c r="C1976">
        <v>31</v>
      </c>
      <c r="D1976">
        <v>1</v>
      </c>
      <c r="E1976" s="1">
        <v>1632.99</v>
      </c>
      <c r="F1976" s="1">
        <v>0.2</v>
      </c>
      <c r="G1976">
        <v>1632.99</v>
      </c>
      <c r="H1976" s="22">
        <f>VLOOKUP(A1976,[1]Orders!$A$2:$B$1616,2,0)</f>
        <v>42772</v>
      </c>
      <c r="J1976" t="s">
        <v>102</v>
      </c>
      <c r="K1976" t="s">
        <v>37</v>
      </c>
    </row>
    <row r="1977" spans="1:11" x14ac:dyDescent="0.3">
      <c r="A1977">
        <v>699</v>
      </c>
      <c r="B1977">
        <v>4</v>
      </c>
      <c r="C1977">
        <v>24</v>
      </c>
      <c r="D1977">
        <v>2</v>
      </c>
      <c r="E1977" s="1">
        <v>549.99</v>
      </c>
      <c r="F1977" s="1">
        <v>0.1</v>
      </c>
      <c r="G1977">
        <v>1099.98</v>
      </c>
      <c r="H1977" s="22">
        <f>VLOOKUP(A1977,[1]Orders!$A$2:$B$1616,2,0)</f>
        <v>42772</v>
      </c>
      <c r="J1977" t="s">
        <v>25</v>
      </c>
      <c r="K1977" t="s">
        <v>37</v>
      </c>
    </row>
    <row r="1978" spans="1:11" x14ac:dyDescent="0.3">
      <c r="A1978">
        <v>699</v>
      </c>
      <c r="B1978">
        <v>5</v>
      </c>
      <c r="C1978">
        <v>82</v>
      </c>
      <c r="D1978">
        <v>2</v>
      </c>
      <c r="E1978" s="1">
        <v>659.99</v>
      </c>
      <c r="F1978" s="1">
        <v>0.2</v>
      </c>
      <c r="G1978">
        <v>1319.98</v>
      </c>
      <c r="H1978" s="22">
        <f>VLOOKUP(A1978,[1]Orders!$A$2:$B$1616,2,0)</f>
        <v>42772</v>
      </c>
      <c r="J1978" t="s">
        <v>100</v>
      </c>
      <c r="K1978" t="s">
        <v>37</v>
      </c>
    </row>
    <row r="1979" spans="1:11" x14ac:dyDescent="0.3">
      <c r="A1979">
        <v>700</v>
      </c>
      <c r="B1979">
        <v>1</v>
      </c>
      <c r="C1979">
        <v>7</v>
      </c>
      <c r="D1979">
        <v>2</v>
      </c>
      <c r="E1979" s="1">
        <v>3999.99</v>
      </c>
      <c r="F1979" s="1">
        <v>0.05</v>
      </c>
      <c r="G1979">
        <v>7999.98</v>
      </c>
      <c r="H1979" s="22">
        <f>VLOOKUP(A1979,[1]Orders!$A$2:$B$1616,2,0)</f>
        <v>42773</v>
      </c>
      <c r="J1979" t="s">
        <v>29</v>
      </c>
      <c r="K1979" t="s">
        <v>18</v>
      </c>
    </row>
    <row r="1980" spans="1:11" x14ac:dyDescent="0.3">
      <c r="A1980">
        <v>700</v>
      </c>
      <c r="B1980">
        <v>2</v>
      </c>
      <c r="C1980">
        <v>63</v>
      </c>
      <c r="D1980">
        <v>1</v>
      </c>
      <c r="E1980" s="1">
        <v>3499.99</v>
      </c>
      <c r="F1980" s="1">
        <v>0.2</v>
      </c>
      <c r="G1980">
        <v>3499.99</v>
      </c>
      <c r="H1980" s="22">
        <f>VLOOKUP(A1980,[1]Orders!$A$2:$B$1616,2,0)</f>
        <v>42773</v>
      </c>
      <c r="J1980" t="s">
        <v>75</v>
      </c>
      <c r="K1980" t="s">
        <v>18</v>
      </c>
    </row>
    <row r="1981" spans="1:11" x14ac:dyDescent="0.3">
      <c r="A1981">
        <v>701</v>
      </c>
      <c r="B1981">
        <v>1</v>
      </c>
      <c r="C1981">
        <v>84</v>
      </c>
      <c r="D1981">
        <v>1</v>
      </c>
      <c r="E1981" s="1">
        <v>109.99</v>
      </c>
      <c r="F1981" s="1">
        <v>0.05</v>
      </c>
      <c r="G1981">
        <v>109.99</v>
      </c>
      <c r="H1981" s="22">
        <f>VLOOKUP(A1981,[1]Orders!$A$2:$B$1616,2,0)</f>
        <v>42773</v>
      </c>
      <c r="J1981" t="s">
        <v>83</v>
      </c>
      <c r="K1981" t="s">
        <v>37</v>
      </c>
    </row>
    <row r="1982" spans="1:11" x14ac:dyDescent="0.3">
      <c r="A1982">
        <v>702</v>
      </c>
      <c r="B1982">
        <v>1</v>
      </c>
      <c r="C1982">
        <v>25</v>
      </c>
      <c r="D1982">
        <v>2</v>
      </c>
      <c r="E1982" s="1">
        <v>499.99</v>
      </c>
      <c r="F1982" s="1">
        <v>0.05</v>
      </c>
      <c r="G1982">
        <v>999.98</v>
      </c>
      <c r="H1982" s="22">
        <f>VLOOKUP(A1982,[1]Orders!$A$2:$B$1616,2,0)</f>
        <v>42774</v>
      </c>
      <c r="J1982" t="s">
        <v>35</v>
      </c>
      <c r="K1982" t="s">
        <v>11</v>
      </c>
    </row>
    <row r="1983" spans="1:11" x14ac:dyDescent="0.3">
      <c r="A1983">
        <v>702</v>
      </c>
      <c r="B1983">
        <v>2</v>
      </c>
      <c r="C1983">
        <v>104</v>
      </c>
      <c r="D1983">
        <v>1</v>
      </c>
      <c r="E1983" s="1">
        <v>481.99</v>
      </c>
      <c r="F1983" s="1">
        <v>0.1</v>
      </c>
      <c r="G1983">
        <v>481.99</v>
      </c>
      <c r="H1983" s="22">
        <f>VLOOKUP(A1983,[1]Orders!$A$2:$B$1616,2,0)</f>
        <v>42774</v>
      </c>
      <c r="J1983" t="s">
        <v>87</v>
      </c>
      <c r="K1983" t="s">
        <v>11</v>
      </c>
    </row>
    <row r="1984" spans="1:11" x14ac:dyDescent="0.3">
      <c r="A1984">
        <v>702</v>
      </c>
      <c r="B1984">
        <v>3</v>
      </c>
      <c r="C1984">
        <v>3</v>
      </c>
      <c r="D1984">
        <v>2</v>
      </c>
      <c r="E1984" s="1">
        <v>999.99</v>
      </c>
      <c r="F1984" s="1">
        <v>7.0000000000000007E-2</v>
      </c>
      <c r="G1984">
        <v>1999.98</v>
      </c>
      <c r="H1984" s="22">
        <f>VLOOKUP(A1984,[1]Orders!$A$2:$B$1616,2,0)</f>
        <v>42774</v>
      </c>
      <c r="J1984" t="s">
        <v>20</v>
      </c>
      <c r="K1984" t="s">
        <v>11</v>
      </c>
    </row>
    <row r="1985" spans="1:11" x14ac:dyDescent="0.3">
      <c r="A1985">
        <v>703</v>
      </c>
      <c r="B1985">
        <v>1</v>
      </c>
      <c r="C1985">
        <v>45</v>
      </c>
      <c r="D1985">
        <v>2</v>
      </c>
      <c r="E1985" s="1">
        <v>869.99</v>
      </c>
      <c r="F1985" s="1">
        <v>0.2</v>
      </c>
      <c r="G1985">
        <v>1739.98</v>
      </c>
      <c r="H1985" s="22">
        <f>VLOOKUP(A1985,[1]Orders!$A$2:$B$1616,2,0)</f>
        <v>42774</v>
      </c>
      <c r="J1985" t="s">
        <v>88</v>
      </c>
      <c r="K1985" t="s">
        <v>18</v>
      </c>
    </row>
    <row r="1986" spans="1:11" x14ac:dyDescent="0.3">
      <c r="A1986">
        <v>703</v>
      </c>
      <c r="B1986">
        <v>2</v>
      </c>
      <c r="C1986">
        <v>66</v>
      </c>
      <c r="D1986">
        <v>2</v>
      </c>
      <c r="E1986" s="1">
        <v>250.99</v>
      </c>
      <c r="F1986" s="1">
        <v>0.05</v>
      </c>
      <c r="G1986">
        <v>501.98</v>
      </c>
      <c r="H1986" s="22">
        <f>VLOOKUP(A1986,[1]Orders!$A$2:$B$1616,2,0)</f>
        <v>42774</v>
      </c>
      <c r="J1986" t="s">
        <v>92</v>
      </c>
      <c r="K1986" t="s">
        <v>18</v>
      </c>
    </row>
    <row r="1987" spans="1:11" x14ac:dyDescent="0.3">
      <c r="A1987">
        <v>703</v>
      </c>
      <c r="B1987">
        <v>3</v>
      </c>
      <c r="C1987">
        <v>72</v>
      </c>
      <c r="D1987">
        <v>1</v>
      </c>
      <c r="E1987" s="1">
        <v>619.99</v>
      </c>
      <c r="F1987" s="1">
        <v>0.2</v>
      </c>
      <c r="G1987">
        <v>619.99</v>
      </c>
      <c r="H1987" s="22">
        <f>VLOOKUP(A1987,[1]Orders!$A$2:$B$1616,2,0)</f>
        <v>42774</v>
      </c>
      <c r="J1987" t="s">
        <v>44</v>
      </c>
      <c r="K1987" t="s">
        <v>18</v>
      </c>
    </row>
    <row r="1988" spans="1:11" x14ac:dyDescent="0.3">
      <c r="A1988">
        <v>703</v>
      </c>
      <c r="B1988">
        <v>4</v>
      </c>
      <c r="C1988">
        <v>4</v>
      </c>
      <c r="D1988">
        <v>2</v>
      </c>
      <c r="E1988" s="1">
        <v>2899.99</v>
      </c>
      <c r="F1988" s="1">
        <v>0.2</v>
      </c>
      <c r="G1988">
        <v>5799.98</v>
      </c>
      <c r="H1988" s="22">
        <f>VLOOKUP(A1988,[1]Orders!$A$2:$B$1616,2,0)</f>
        <v>42774</v>
      </c>
      <c r="J1988" t="s">
        <v>16</v>
      </c>
      <c r="K1988" t="s">
        <v>18</v>
      </c>
    </row>
    <row r="1989" spans="1:11" x14ac:dyDescent="0.3">
      <c r="A1989">
        <v>704</v>
      </c>
      <c r="B1989">
        <v>1</v>
      </c>
      <c r="C1989">
        <v>10</v>
      </c>
      <c r="D1989">
        <v>2</v>
      </c>
      <c r="E1989" s="1">
        <v>1549</v>
      </c>
      <c r="F1989" s="1">
        <v>0.05</v>
      </c>
      <c r="G1989">
        <v>3098</v>
      </c>
      <c r="H1989" s="22">
        <f>VLOOKUP(A1989,[1]Orders!$A$2:$B$1616,2,0)</f>
        <v>42774</v>
      </c>
      <c r="J1989" t="s">
        <v>13</v>
      </c>
      <c r="K1989" t="s">
        <v>18</v>
      </c>
    </row>
    <row r="1990" spans="1:11" x14ac:dyDescent="0.3">
      <c r="A1990">
        <v>704</v>
      </c>
      <c r="B1990">
        <v>2</v>
      </c>
      <c r="C1990">
        <v>62</v>
      </c>
      <c r="D1990">
        <v>1</v>
      </c>
      <c r="E1990" s="1">
        <v>3499.99</v>
      </c>
      <c r="F1990" s="1">
        <v>0.2</v>
      </c>
      <c r="G1990">
        <v>3499.99</v>
      </c>
      <c r="H1990" s="22">
        <f>VLOOKUP(A1990,[1]Orders!$A$2:$B$1616,2,0)</f>
        <v>42774</v>
      </c>
      <c r="J1990" t="s">
        <v>50</v>
      </c>
      <c r="K1990" t="s">
        <v>18</v>
      </c>
    </row>
    <row r="1991" spans="1:11" x14ac:dyDescent="0.3">
      <c r="A1991">
        <v>704</v>
      </c>
      <c r="B1991">
        <v>3</v>
      </c>
      <c r="C1991">
        <v>100</v>
      </c>
      <c r="D1991">
        <v>2</v>
      </c>
      <c r="E1991" s="1">
        <v>489.99</v>
      </c>
      <c r="F1991" s="1">
        <v>7.0000000000000007E-2</v>
      </c>
      <c r="G1991">
        <v>979.98</v>
      </c>
      <c r="H1991" s="22">
        <f>VLOOKUP(A1991,[1]Orders!$A$2:$B$1616,2,0)</f>
        <v>42774</v>
      </c>
      <c r="J1991" t="s">
        <v>105</v>
      </c>
      <c r="K1991" t="s">
        <v>18</v>
      </c>
    </row>
    <row r="1992" spans="1:11" x14ac:dyDescent="0.3">
      <c r="A1992">
        <v>705</v>
      </c>
      <c r="B1992">
        <v>1</v>
      </c>
      <c r="C1992">
        <v>61</v>
      </c>
      <c r="D1992">
        <v>1</v>
      </c>
      <c r="E1992" s="1">
        <v>4999.99</v>
      </c>
      <c r="F1992" s="1">
        <v>0.1</v>
      </c>
      <c r="G1992">
        <v>4999.99</v>
      </c>
      <c r="H1992" s="22">
        <f>VLOOKUP(A1992,[1]Orders!$A$2:$B$1616,2,0)</f>
        <v>42774</v>
      </c>
      <c r="J1992" t="s">
        <v>45</v>
      </c>
      <c r="K1992" t="s">
        <v>18</v>
      </c>
    </row>
    <row r="1993" spans="1:11" x14ac:dyDescent="0.3">
      <c r="A1993">
        <v>706</v>
      </c>
      <c r="B1993">
        <v>1</v>
      </c>
      <c r="C1993">
        <v>27</v>
      </c>
      <c r="D1993">
        <v>1</v>
      </c>
      <c r="E1993" s="1">
        <v>999.99</v>
      </c>
      <c r="F1993" s="1">
        <v>0.1</v>
      </c>
      <c r="G1993">
        <v>999.99</v>
      </c>
      <c r="H1993" s="22">
        <f>VLOOKUP(A1993,[1]Orders!$A$2:$B$1616,2,0)</f>
        <v>42775</v>
      </c>
      <c r="J1993" t="s">
        <v>106</v>
      </c>
      <c r="K1993" t="s">
        <v>11</v>
      </c>
    </row>
    <row r="1994" spans="1:11" x14ac:dyDescent="0.3">
      <c r="A1994">
        <v>706</v>
      </c>
      <c r="B1994">
        <v>2</v>
      </c>
      <c r="C1994">
        <v>23</v>
      </c>
      <c r="D1994">
        <v>2</v>
      </c>
      <c r="E1994" s="1">
        <v>299.99</v>
      </c>
      <c r="F1994" s="1">
        <v>0.05</v>
      </c>
      <c r="G1994">
        <v>599.98</v>
      </c>
      <c r="H1994" s="22">
        <f>VLOOKUP(A1994,[1]Orders!$A$2:$B$1616,2,0)</f>
        <v>42775</v>
      </c>
      <c r="J1994" t="s">
        <v>33</v>
      </c>
      <c r="K1994" t="s">
        <v>11</v>
      </c>
    </row>
    <row r="1995" spans="1:11" x14ac:dyDescent="0.3">
      <c r="A1995">
        <v>706</v>
      </c>
      <c r="B1995">
        <v>3</v>
      </c>
      <c r="C1995">
        <v>60</v>
      </c>
      <c r="D1995">
        <v>1</v>
      </c>
      <c r="E1995" s="1">
        <v>1559.99</v>
      </c>
      <c r="F1995" s="1">
        <v>0.2</v>
      </c>
      <c r="G1995">
        <v>1559.99</v>
      </c>
      <c r="H1995" s="22">
        <f>VLOOKUP(A1995,[1]Orders!$A$2:$B$1616,2,0)</f>
        <v>42775</v>
      </c>
      <c r="J1995" t="s">
        <v>101</v>
      </c>
      <c r="K1995" t="s">
        <v>11</v>
      </c>
    </row>
    <row r="1996" spans="1:11" x14ac:dyDescent="0.3">
      <c r="A1996">
        <v>707</v>
      </c>
      <c r="B1996">
        <v>1</v>
      </c>
      <c r="C1996">
        <v>106</v>
      </c>
      <c r="D1996">
        <v>2</v>
      </c>
      <c r="E1996" s="1">
        <v>449.99</v>
      </c>
      <c r="F1996" s="1">
        <v>0.05</v>
      </c>
      <c r="G1996">
        <v>899.98</v>
      </c>
      <c r="H1996" s="22">
        <f>VLOOKUP(A1996,[1]Orders!$A$2:$B$1616,2,0)</f>
        <v>42775</v>
      </c>
      <c r="J1996" t="s">
        <v>39</v>
      </c>
      <c r="K1996" t="s">
        <v>18</v>
      </c>
    </row>
    <row r="1997" spans="1:11" x14ac:dyDescent="0.3">
      <c r="A1997">
        <v>707</v>
      </c>
      <c r="B1997">
        <v>2</v>
      </c>
      <c r="C1997">
        <v>100</v>
      </c>
      <c r="D1997">
        <v>1</v>
      </c>
      <c r="E1997" s="1">
        <v>489.99</v>
      </c>
      <c r="F1997" s="1">
        <v>7.0000000000000007E-2</v>
      </c>
      <c r="G1997">
        <v>489.99</v>
      </c>
      <c r="H1997" s="22">
        <f>VLOOKUP(A1997,[1]Orders!$A$2:$B$1616,2,0)</f>
        <v>42775</v>
      </c>
      <c r="J1997" t="s">
        <v>105</v>
      </c>
      <c r="K1997" t="s">
        <v>18</v>
      </c>
    </row>
    <row r="1998" spans="1:11" x14ac:dyDescent="0.3">
      <c r="A1998">
        <v>707</v>
      </c>
      <c r="B1998">
        <v>3</v>
      </c>
      <c r="C1998">
        <v>11</v>
      </c>
      <c r="D1998">
        <v>2</v>
      </c>
      <c r="E1998" s="1">
        <v>1680.99</v>
      </c>
      <c r="F1998" s="1">
        <v>0.1</v>
      </c>
      <c r="G1998">
        <v>3361.98</v>
      </c>
      <c r="H1998" s="22">
        <f>VLOOKUP(A1998,[1]Orders!$A$2:$B$1616,2,0)</f>
        <v>42775</v>
      </c>
      <c r="J1998" t="s">
        <v>30</v>
      </c>
      <c r="K1998" t="s">
        <v>18</v>
      </c>
    </row>
    <row r="1999" spans="1:11" x14ac:dyDescent="0.3">
      <c r="A1999">
        <v>707</v>
      </c>
      <c r="B1999">
        <v>4</v>
      </c>
      <c r="C1999">
        <v>26</v>
      </c>
      <c r="D1999">
        <v>2</v>
      </c>
      <c r="E1999" s="1">
        <v>599.99</v>
      </c>
      <c r="F1999" s="1">
        <v>0.1</v>
      </c>
      <c r="G1999">
        <v>1199.98</v>
      </c>
      <c r="H1999" s="22">
        <f>VLOOKUP(A1999,[1]Orders!$A$2:$B$1616,2,0)</f>
        <v>42775</v>
      </c>
      <c r="J1999" t="s">
        <v>14</v>
      </c>
      <c r="K1999" t="s">
        <v>18</v>
      </c>
    </row>
    <row r="2000" spans="1:11" x14ac:dyDescent="0.3">
      <c r="A2000">
        <v>708</v>
      </c>
      <c r="B2000">
        <v>1</v>
      </c>
      <c r="C2000">
        <v>6</v>
      </c>
      <c r="D2000">
        <v>1</v>
      </c>
      <c r="E2000" s="1">
        <v>469.99</v>
      </c>
      <c r="F2000" s="1">
        <v>7.0000000000000007E-2</v>
      </c>
      <c r="G2000">
        <v>469.99</v>
      </c>
      <c r="H2000" s="22">
        <f>VLOOKUP(A2000,[1]Orders!$A$2:$B$1616,2,0)</f>
        <v>42776</v>
      </c>
      <c r="J2000" t="s">
        <v>32</v>
      </c>
      <c r="K2000" t="s">
        <v>11</v>
      </c>
    </row>
    <row r="2001" spans="1:11" x14ac:dyDescent="0.3">
      <c r="A2001">
        <v>708</v>
      </c>
      <c r="B2001">
        <v>2</v>
      </c>
      <c r="C2001">
        <v>47</v>
      </c>
      <c r="D2001">
        <v>1</v>
      </c>
      <c r="E2001" s="1">
        <v>5299.99</v>
      </c>
      <c r="F2001" s="1">
        <v>0.1</v>
      </c>
      <c r="G2001">
        <v>5299.99</v>
      </c>
      <c r="H2001" s="22">
        <f>VLOOKUP(A2001,[1]Orders!$A$2:$B$1616,2,0)</f>
        <v>42776</v>
      </c>
      <c r="J2001" t="s">
        <v>54</v>
      </c>
      <c r="K2001" t="s">
        <v>11</v>
      </c>
    </row>
    <row r="2002" spans="1:11" x14ac:dyDescent="0.3">
      <c r="A2002">
        <v>708</v>
      </c>
      <c r="B2002">
        <v>3</v>
      </c>
      <c r="C2002">
        <v>34</v>
      </c>
      <c r="D2002">
        <v>2</v>
      </c>
      <c r="E2002" s="1">
        <v>469.99</v>
      </c>
      <c r="F2002" s="1">
        <v>0.2</v>
      </c>
      <c r="G2002">
        <v>939.98</v>
      </c>
      <c r="H2002" s="22">
        <f>VLOOKUP(A2002,[1]Orders!$A$2:$B$1616,2,0)</f>
        <v>42776</v>
      </c>
      <c r="J2002" t="s">
        <v>107</v>
      </c>
      <c r="K2002" t="s">
        <v>11</v>
      </c>
    </row>
    <row r="2003" spans="1:11" x14ac:dyDescent="0.3">
      <c r="A2003">
        <v>709</v>
      </c>
      <c r="B2003">
        <v>1</v>
      </c>
      <c r="C2003">
        <v>55</v>
      </c>
      <c r="D2003">
        <v>2</v>
      </c>
      <c r="E2003" s="1">
        <v>2699.99</v>
      </c>
      <c r="F2003" s="1">
        <v>0.05</v>
      </c>
      <c r="G2003">
        <v>5399.98</v>
      </c>
      <c r="H2003" s="22">
        <f>VLOOKUP(A2003,[1]Orders!$A$2:$B$1616,2,0)</f>
        <v>42777</v>
      </c>
      <c r="J2003" t="s">
        <v>76</v>
      </c>
      <c r="K2003" t="s">
        <v>18</v>
      </c>
    </row>
    <row r="2004" spans="1:11" x14ac:dyDescent="0.3">
      <c r="A2004">
        <v>709</v>
      </c>
      <c r="B2004">
        <v>2</v>
      </c>
      <c r="C2004">
        <v>101</v>
      </c>
      <c r="D2004">
        <v>2</v>
      </c>
      <c r="E2004" s="1">
        <v>339.99</v>
      </c>
      <c r="F2004" s="1">
        <v>7.0000000000000007E-2</v>
      </c>
      <c r="G2004">
        <v>679.98</v>
      </c>
      <c r="H2004" s="22">
        <f>VLOOKUP(A2004,[1]Orders!$A$2:$B$1616,2,0)</f>
        <v>42777</v>
      </c>
      <c r="J2004" t="s">
        <v>80</v>
      </c>
      <c r="K2004" t="s">
        <v>18</v>
      </c>
    </row>
    <row r="2005" spans="1:11" x14ac:dyDescent="0.3">
      <c r="A2005">
        <v>709</v>
      </c>
      <c r="B2005">
        <v>3</v>
      </c>
      <c r="C2005">
        <v>48</v>
      </c>
      <c r="D2005">
        <v>1</v>
      </c>
      <c r="E2005" s="1">
        <v>1499.99</v>
      </c>
      <c r="F2005" s="1">
        <v>7.0000000000000007E-2</v>
      </c>
      <c r="G2005">
        <v>1499.99</v>
      </c>
      <c r="H2005" s="22">
        <f>VLOOKUP(A2005,[1]Orders!$A$2:$B$1616,2,0)</f>
        <v>42777</v>
      </c>
      <c r="J2005" t="s">
        <v>84</v>
      </c>
      <c r="K2005" t="s">
        <v>18</v>
      </c>
    </row>
    <row r="2006" spans="1:11" x14ac:dyDescent="0.3">
      <c r="A2006">
        <v>710</v>
      </c>
      <c r="B2006">
        <v>1</v>
      </c>
      <c r="C2006">
        <v>42</v>
      </c>
      <c r="D2006">
        <v>1</v>
      </c>
      <c r="E2006" s="1">
        <v>2299.9899999999998</v>
      </c>
      <c r="F2006" s="1">
        <v>0.05</v>
      </c>
      <c r="G2006">
        <v>2299.9899999999998</v>
      </c>
      <c r="H2006" s="22">
        <f>VLOOKUP(A2006,[1]Orders!$A$2:$B$1616,2,0)</f>
        <v>42779</v>
      </c>
      <c r="J2006" t="s">
        <v>53</v>
      </c>
      <c r="K2006" t="s">
        <v>18</v>
      </c>
    </row>
    <row r="2007" spans="1:11" x14ac:dyDescent="0.3">
      <c r="A2007">
        <v>710</v>
      </c>
      <c r="B2007">
        <v>2</v>
      </c>
      <c r="C2007">
        <v>60</v>
      </c>
      <c r="D2007">
        <v>2</v>
      </c>
      <c r="E2007" s="1">
        <v>1559.99</v>
      </c>
      <c r="F2007" s="1">
        <v>0.2</v>
      </c>
      <c r="G2007">
        <v>3119.98</v>
      </c>
      <c r="H2007" s="22">
        <f>VLOOKUP(A2007,[1]Orders!$A$2:$B$1616,2,0)</f>
        <v>42779</v>
      </c>
      <c r="J2007" t="s">
        <v>101</v>
      </c>
      <c r="K2007" t="s">
        <v>18</v>
      </c>
    </row>
    <row r="2008" spans="1:11" x14ac:dyDescent="0.3">
      <c r="A2008">
        <v>710</v>
      </c>
      <c r="B2008">
        <v>3</v>
      </c>
      <c r="C2008">
        <v>39</v>
      </c>
      <c r="D2008">
        <v>2</v>
      </c>
      <c r="E2008" s="1">
        <v>1499.99</v>
      </c>
      <c r="F2008" s="1">
        <v>0.2</v>
      </c>
      <c r="G2008">
        <v>2999.98</v>
      </c>
      <c r="H2008" s="22">
        <f>VLOOKUP(A2008,[1]Orders!$A$2:$B$1616,2,0)</f>
        <v>42779</v>
      </c>
      <c r="J2008" t="s">
        <v>72</v>
      </c>
      <c r="K2008" t="s">
        <v>18</v>
      </c>
    </row>
    <row r="2009" spans="1:11" x14ac:dyDescent="0.3">
      <c r="A2009">
        <v>710</v>
      </c>
      <c r="B2009">
        <v>4</v>
      </c>
      <c r="C2009">
        <v>57</v>
      </c>
      <c r="D2009">
        <v>1</v>
      </c>
      <c r="E2009" s="1">
        <v>1999.99</v>
      </c>
      <c r="F2009" s="1">
        <v>0.2</v>
      </c>
      <c r="G2009">
        <v>1999.99</v>
      </c>
      <c r="H2009" s="22">
        <f>VLOOKUP(A2009,[1]Orders!$A$2:$B$1616,2,0)</f>
        <v>42779</v>
      </c>
      <c r="J2009" t="s">
        <v>103</v>
      </c>
      <c r="K2009" t="s">
        <v>18</v>
      </c>
    </row>
    <row r="2010" spans="1:11" x14ac:dyDescent="0.3">
      <c r="A2010">
        <v>710</v>
      </c>
      <c r="B2010">
        <v>5</v>
      </c>
      <c r="C2010">
        <v>28</v>
      </c>
      <c r="D2010">
        <v>1</v>
      </c>
      <c r="E2010" s="1">
        <v>2499.9899999999998</v>
      </c>
      <c r="F2010" s="1">
        <v>0.05</v>
      </c>
      <c r="G2010">
        <v>2499.9899999999998</v>
      </c>
      <c r="H2010" s="22">
        <f>VLOOKUP(A2010,[1]Orders!$A$2:$B$1616,2,0)</f>
        <v>42779</v>
      </c>
      <c r="J2010" t="s">
        <v>86</v>
      </c>
      <c r="K2010" t="s">
        <v>18</v>
      </c>
    </row>
    <row r="2011" spans="1:11" x14ac:dyDescent="0.3">
      <c r="A2011">
        <v>711</v>
      </c>
      <c r="B2011">
        <v>1</v>
      </c>
      <c r="C2011">
        <v>5</v>
      </c>
      <c r="D2011">
        <v>2</v>
      </c>
      <c r="E2011" s="1">
        <v>1320.99</v>
      </c>
      <c r="F2011" s="1">
        <v>0.05</v>
      </c>
      <c r="G2011">
        <v>2641.98</v>
      </c>
      <c r="H2011" s="22">
        <f>VLOOKUP(A2011,[1]Orders!$A$2:$B$1616,2,0)</f>
        <v>42779</v>
      </c>
      <c r="J2011" t="s">
        <v>34</v>
      </c>
      <c r="K2011" t="s">
        <v>18</v>
      </c>
    </row>
    <row r="2012" spans="1:11" x14ac:dyDescent="0.3">
      <c r="A2012">
        <v>711</v>
      </c>
      <c r="B2012">
        <v>2</v>
      </c>
      <c r="C2012">
        <v>95</v>
      </c>
      <c r="D2012">
        <v>2</v>
      </c>
      <c r="E2012" s="1">
        <v>299.99</v>
      </c>
      <c r="F2012" s="1">
        <v>0.2</v>
      </c>
      <c r="G2012">
        <v>599.98</v>
      </c>
      <c r="H2012" s="22">
        <f>VLOOKUP(A2012,[1]Orders!$A$2:$B$1616,2,0)</f>
        <v>42779</v>
      </c>
      <c r="J2012" t="s">
        <v>48</v>
      </c>
      <c r="K2012" t="s">
        <v>18</v>
      </c>
    </row>
    <row r="2013" spans="1:11" x14ac:dyDescent="0.3">
      <c r="A2013">
        <v>711</v>
      </c>
      <c r="B2013">
        <v>3</v>
      </c>
      <c r="C2013">
        <v>72</v>
      </c>
      <c r="D2013">
        <v>2</v>
      </c>
      <c r="E2013" s="1">
        <v>619.99</v>
      </c>
      <c r="F2013" s="1">
        <v>0.05</v>
      </c>
      <c r="G2013">
        <v>1239.98</v>
      </c>
      <c r="H2013" s="22">
        <f>VLOOKUP(A2013,[1]Orders!$A$2:$B$1616,2,0)</f>
        <v>42779</v>
      </c>
      <c r="J2013" t="s">
        <v>44</v>
      </c>
      <c r="K2013" t="s">
        <v>18</v>
      </c>
    </row>
    <row r="2014" spans="1:11" x14ac:dyDescent="0.3">
      <c r="A2014">
        <v>712</v>
      </c>
      <c r="B2014">
        <v>1</v>
      </c>
      <c r="C2014">
        <v>44</v>
      </c>
      <c r="D2014">
        <v>2</v>
      </c>
      <c r="E2014" s="1">
        <v>539.99</v>
      </c>
      <c r="F2014" s="1">
        <v>0.2</v>
      </c>
      <c r="G2014">
        <v>1079.98</v>
      </c>
      <c r="H2014" s="22">
        <f>VLOOKUP(A2014,[1]Orders!$A$2:$B$1616,2,0)</f>
        <v>42779</v>
      </c>
      <c r="J2014" t="s">
        <v>108</v>
      </c>
      <c r="K2014" t="s">
        <v>37</v>
      </c>
    </row>
    <row r="2015" spans="1:11" x14ac:dyDescent="0.3">
      <c r="A2015">
        <v>712</v>
      </c>
      <c r="B2015">
        <v>2</v>
      </c>
      <c r="C2015">
        <v>74</v>
      </c>
      <c r="D2015">
        <v>2</v>
      </c>
      <c r="E2015" s="1">
        <v>439.99</v>
      </c>
      <c r="F2015" s="1">
        <v>0.1</v>
      </c>
      <c r="G2015">
        <v>879.98</v>
      </c>
      <c r="H2015" s="22">
        <f>VLOOKUP(A2015,[1]Orders!$A$2:$B$1616,2,0)</f>
        <v>42779</v>
      </c>
      <c r="J2015" t="s">
        <v>61</v>
      </c>
      <c r="K2015" t="s">
        <v>37</v>
      </c>
    </row>
    <row r="2016" spans="1:11" x14ac:dyDescent="0.3">
      <c r="A2016">
        <v>712</v>
      </c>
      <c r="B2016">
        <v>3</v>
      </c>
      <c r="C2016">
        <v>35</v>
      </c>
      <c r="D2016">
        <v>1</v>
      </c>
      <c r="E2016" s="1">
        <v>832.99</v>
      </c>
      <c r="F2016" s="1">
        <v>0.2</v>
      </c>
      <c r="G2016">
        <v>832.99</v>
      </c>
      <c r="H2016" s="22">
        <f>VLOOKUP(A2016,[1]Orders!$A$2:$B$1616,2,0)</f>
        <v>42779</v>
      </c>
      <c r="J2016" t="s">
        <v>109</v>
      </c>
      <c r="K2016" t="s">
        <v>37</v>
      </c>
    </row>
    <row r="2017" spans="1:11" x14ac:dyDescent="0.3">
      <c r="A2017">
        <v>712</v>
      </c>
      <c r="B2017">
        <v>4</v>
      </c>
      <c r="C2017">
        <v>76</v>
      </c>
      <c r="D2017">
        <v>1</v>
      </c>
      <c r="E2017" s="1">
        <v>299.99</v>
      </c>
      <c r="F2017" s="1">
        <v>0.2</v>
      </c>
      <c r="G2017">
        <v>299.99</v>
      </c>
      <c r="H2017" s="22">
        <f>VLOOKUP(A2017,[1]Orders!$A$2:$B$1616,2,0)</f>
        <v>42779</v>
      </c>
      <c r="J2017" t="s">
        <v>48</v>
      </c>
      <c r="K2017" t="s">
        <v>37</v>
      </c>
    </row>
    <row r="2018" spans="1:11" x14ac:dyDescent="0.3">
      <c r="A2018">
        <v>712</v>
      </c>
      <c r="B2018">
        <v>5</v>
      </c>
      <c r="C2018">
        <v>4</v>
      </c>
      <c r="D2018">
        <v>2</v>
      </c>
      <c r="E2018" s="1">
        <v>2899.99</v>
      </c>
      <c r="F2018" s="1">
        <v>0.05</v>
      </c>
      <c r="G2018">
        <v>5799.98</v>
      </c>
      <c r="H2018" s="22">
        <f>VLOOKUP(A2018,[1]Orders!$A$2:$B$1616,2,0)</f>
        <v>42779</v>
      </c>
      <c r="J2018" t="s">
        <v>16</v>
      </c>
      <c r="K2018" t="s">
        <v>37</v>
      </c>
    </row>
    <row r="2019" spans="1:11" x14ac:dyDescent="0.3">
      <c r="A2019">
        <v>713</v>
      </c>
      <c r="B2019">
        <v>1</v>
      </c>
      <c r="C2019">
        <v>93</v>
      </c>
      <c r="D2019">
        <v>2</v>
      </c>
      <c r="E2019" s="1">
        <v>209.99</v>
      </c>
      <c r="F2019" s="1">
        <v>0.2</v>
      </c>
      <c r="G2019">
        <v>419.98</v>
      </c>
      <c r="H2019" s="22">
        <f>VLOOKUP(A2019,[1]Orders!$A$2:$B$1616,2,0)</f>
        <v>42779</v>
      </c>
      <c r="J2019" t="s">
        <v>110</v>
      </c>
      <c r="K2019" t="s">
        <v>37</v>
      </c>
    </row>
    <row r="2020" spans="1:11" x14ac:dyDescent="0.3">
      <c r="A2020">
        <v>713</v>
      </c>
      <c r="B2020">
        <v>2</v>
      </c>
      <c r="C2020">
        <v>97</v>
      </c>
      <c r="D2020">
        <v>2</v>
      </c>
      <c r="E2020" s="1">
        <v>349.99</v>
      </c>
      <c r="F2020" s="1">
        <v>0.1</v>
      </c>
      <c r="G2020">
        <v>699.98</v>
      </c>
      <c r="H2020" s="22">
        <f>VLOOKUP(A2020,[1]Orders!$A$2:$B$1616,2,0)</f>
        <v>42779</v>
      </c>
      <c r="J2020" t="s">
        <v>55</v>
      </c>
      <c r="K2020" t="s">
        <v>37</v>
      </c>
    </row>
    <row r="2021" spans="1:11" x14ac:dyDescent="0.3">
      <c r="A2021">
        <v>713</v>
      </c>
      <c r="B2021">
        <v>3</v>
      </c>
      <c r="C2021">
        <v>53</v>
      </c>
      <c r="D2021">
        <v>1</v>
      </c>
      <c r="E2021" s="1">
        <v>749.99</v>
      </c>
      <c r="F2021" s="1">
        <v>7.0000000000000007E-2</v>
      </c>
      <c r="G2021">
        <v>749.99</v>
      </c>
      <c r="H2021" s="22">
        <f>VLOOKUP(A2021,[1]Orders!$A$2:$B$1616,2,0)</f>
        <v>42779</v>
      </c>
      <c r="J2021" t="s">
        <v>42</v>
      </c>
      <c r="K2021" t="s">
        <v>37</v>
      </c>
    </row>
    <row r="2022" spans="1:11" x14ac:dyDescent="0.3">
      <c r="A2022">
        <v>713</v>
      </c>
      <c r="B2022">
        <v>4</v>
      </c>
      <c r="C2022">
        <v>108</v>
      </c>
      <c r="D2022">
        <v>2</v>
      </c>
      <c r="E2022" s="1">
        <v>449.99</v>
      </c>
      <c r="F2022" s="1">
        <v>7.0000000000000007E-2</v>
      </c>
      <c r="G2022">
        <v>899.98</v>
      </c>
      <c r="H2022" s="22">
        <f>VLOOKUP(A2022,[1]Orders!$A$2:$B$1616,2,0)</f>
        <v>42779</v>
      </c>
      <c r="J2022" t="s">
        <v>85</v>
      </c>
      <c r="K2022" t="s">
        <v>37</v>
      </c>
    </row>
    <row r="2023" spans="1:11" x14ac:dyDescent="0.3">
      <c r="A2023">
        <v>714</v>
      </c>
      <c r="B2023">
        <v>1</v>
      </c>
      <c r="C2023">
        <v>92</v>
      </c>
      <c r="D2023">
        <v>2</v>
      </c>
      <c r="E2023" s="1">
        <v>209.99</v>
      </c>
      <c r="F2023" s="1">
        <v>0.2</v>
      </c>
      <c r="G2023">
        <v>419.98</v>
      </c>
      <c r="H2023" s="22">
        <f>VLOOKUP(A2023,[1]Orders!$A$2:$B$1616,2,0)</f>
        <v>42780</v>
      </c>
      <c r="J2023" t="s">
        <v>111</v>
      </c>
      <c r="K2023" t="s">
        <v>18</v>
      </c>
    </row>
    <row r="2024" spans="1:11" x14ac:dyDescent="0.3">
      <c r="A2024">
        <v>715</v>
      </c>
      <c r="B2024">
        <v>1</v>
      </c>
      <c r="C2024">
        <v>61</v>
      </c>
      <c r="D2024">
        <v>2</v>
      </c>
      <c r="E2024" s="1">
        <v>4999.99</v>
      </c>
      <c r="F2024" s="1">
        <v>0.1</v>
      </c>
      <c r="G2024">
        <v>9999.98</v>
      </c>
      <c r="H2024" s="22">
        <f>VLOOKUP(A2024,[1]Orders!$A$2:$B$1616,2,0)</f>
        <v>42781</v>
      </c>
      <c r="J2024" t="s">
        <v>45</v>
      </c>
      <c r="K2024" t="s">
        <v>18</v>
      </c>
    </row>
    <row r="2025" spans="1:11" x14ac:dyDescent="0.3">
      <c r="A2025">
        <v>715</v>
      </c>
      <c r="B2025">
        <v>2</v>
      </c>
      <c r="C2025">
        <v>50</v>
      </c>
      <c r="D2025">
        <v>1</v>
      </c>
      <c r="E2025" s="1">
        <v>5999.99</v>
      </c>
      <c r="F2025" s="1">
        <v>0.2</v>
      </c>
      <c r="G2025">
        <v>5999.99</v>
      </c>
      <c r="H2025" s="22">
        <f>VLOOKUP(A2025,[1]Orders!$A$2:$B$1616,2,0)</f>
        <v>42781</v>
      </c>
      <c r="J2025" t="s">
        <v>79</v>
      </c>
      <c r="K2025" t="s">
        <v>18</v>
      </c>
    </row>
    <row r="2026" spans="1:11" x14ac:dyDescent="0.3">
      <c r="A2026">
        <v>716</v>
      </c>
      <c r="B2026">
        <v>1</v>
      </c>
      <c r="C2026">
        <v>111</v>
      </c>
      <c r="D2026">
        <v>2</v>
      </c>
      <c r="E2026" s="1">
        <v>470.99</v>
      </c>
      <c r="F2026" s="1">
        <v>0.1</v>
      </c>
      <c r="G2026">
        <v>941.98</v>
      </c>
      <c r="H2026" s="22">
        <f>VLOOKUP(A2026,[1]Orders!$A$2:$B$1616,2,0)</f>
        <v>42781</v>
      </c>
      <c r="J2026" t="s">
        <v>112</v>
      </c>
      <c r="K2026" t="s">
        <v>18</v>
      </c>
    </row>
    <row r="2027" spans="1:11" x14ac:dyDescent="0.3">
      <c r="A2027">
        <v>716</v>
      </c>
      <c r="B2027">
        <v>2</v>
      </c>
      <c r="C2027">
        <v>93</v>
      </c>
      <c r="D2027">
        <v>2</v>
      </c>
      <c r="E2027" s="1">
        <v>209.99</v>
      </c>
      <c r="F2027" s="1">
        <v>7.0000000000000007E-2</v>
      </c>
      <c r="G2027">
        <v>419.98</v>
      </c>
      <c r="H2027" s="22">
        <f>VLOOKUP(A2027,[1]Orders!$A$2:$B$1616,2,0)</f>
        <v>42781</v>
      </c>
      <c r="J2027" t="s">
        <v>110</v>
      </c>
      <c r="K2027" t="s">
        <v>18</v>
      </c>
    </row>
    <row r="2028" spans="1:11" x14ac:dyDescent="0.3">
      <c r="A2028">
        <v>716</v>
      </c>
      <c r="B2028">
        <v>3</v>
      </c>
      <c r="C2028">
        <v>79</v>
      </c>
      <c r="D2028">
        <v>1</v>
      </c>
      <c r="E2028" s="1">
        <v>402.99</v>
      </c>
      <c r="F2028" s="1">
        <v>0.1</v>
      </c>
      <c r="G2028">
        <v>402.99</v>
      </c>
      <c r="H2028" s="22">
        <f>VLOOKUP(A2028,[1]Orders!$A$2:$B$1616,2,0)</f>
        <v>42781</v>
      </c>
      <c r="J2028" t="s">
        <v>58</v>
      </c>
      <c r="K2028" t="s">
        <v>18</v>
      </c>
    </row>
    <row r="2029" spans="1:11" x14ac:dyDescent="0.3">
      <c r="A2029">
        <v>716</v>
      </c>
      <c r="B2029">
        <v>4</v>
      </c>
      <c r="C2029">
        <v>4</v>
      </c>
      <c r="D2029">
        <v>2</v>
      </c>
      <c r="E2029" s="1">
        <v>2899.99</v>
      </c>
      <c r="F2029" s="1">
        <v>0.05</v>
      </c>
      <c r="G2029">
        <v>5799.98</v>
      </c>
      <c r="H2029" s="22">
        <f>VLOOKUP(A2029,[1]Orders!$A$2:$B$1616,2,0)</f>
        <v>42781</v>
      </c>
      <c r="J2029" t="s">
        <v>16</v>
      </c>
      <c r="K2029" t="s">
        <v>18</v>
      </c>
    </row>
    <row r="2030" spans="1:11" x14ac:dyDescent="0.3">
      <c r="A2030">
        <v>717</v>
      </c>
      <c r="B2030">
        <v>1</v>
      </c>
      <c r="C2030">
        <v>56</v>
      </c>
      <c r="D2030">
        <v>2</v>
      </c>
      <c r="E2030" s="1">
        <v>5499.99</v>
      </c>
      <c r="F2030" s="1">
        <v>0.05</v>
      </c>
      <c r="G2030">
        <v>10999.98</v>
      </c>
      <c r="H2030" s="22">
        <f>VLOOKUP(A2030,[1]Orders!$A$2:$B$1616,2,0)</f>
        <v>42781</v>
      </c>
      <c r="J2030" t="s">
        <v>41</v>
      </c>
      <c r="K2030" t="s">
        <v>18</v>
      </c>
    </row>
    <row r="2031" spans="1:11" x14ac:dyDescent="0.3">
      <c r="A2031">
        <v>717</v>
      </c>
      <c r="B2031">
        <v>2</v>
      </c>
      <c r="C2031">
        <v>93</v>
      </c>
      <c r="D2031">
        <v>1</v>
      </c>
      <c r="E2031" s="1">
        <v>209.99</v>
      </c>
      <c r="F2031" s="1">
        <v>0.2</v>
      </c>
      <c r="G2031">
        <v>209.99</v>
      </c>
      <c r="H2031" s="22">
        <f>VLOOKUP(A2031,[1]Orders!$A$2:$B$1616,2,0)</f>
        <v>42781</v>
      </c>
      <c r="J2031" t="s">
        <v>110</v>
      </c>
      <c r="K2031" t="s">
        <v>18</v>
      </c>
    </row>
    <row r="2032" spans="1:11" x14ac:dyDescent="0.3">
      <c r="A2032">
        <v>718</v>
      </c>
      <c r="B2032">
        <v>1</v>
      </c>
      <c r="C2032">
        <v>92</v>
      </c>
      <c r="D2032">
        <v>2</v>
      </c>
      <c r="E2032" s="1">
        <v>209.99</v>
      </c>
      <c r="F2032" s="1">
        <v>7.0000000000000007E-2</v>
      </c>
      <c r="G2032">
        <v>419.98</v>
      </c>
      <c r="H2032" s="22">
        <f>VLOOKUP(A2032,[1]Orders!$A$2:$B$1616,2,0)</f>
        <v>42782</v>
      </c>
      <c r="J2032" t="s">
        <v>111</v>
      </c>
      <c r="K2032" t="s">
        <v>18</v>
      </c>
    </row>
    <row r="2033" spans="1:11" x14ac:dyDescent="0.3">
      <c r="A2033">
        <v>718</v>
      </c>
      <c r="B2033">
        <v>2</v>
      </c>
      <c r="C2033">
        <v>40</v>
      </c>
      <c r="D2033">
        <v>2</v>
      </c>
      <c r="E2033" s="1">
        <v>4999.99</v>
      </c>
      <c r="F2033" s="1">
        <v>7.0000000000000007E-2</v>
      </c>
      <c r="G2033">
        <v>9999.98</v>
      </c>
      <c r="H2033" s="22">
        <f>VLOOKUP(A2033,[1]Orders!$A$2:$B$1616,2,0)</f>
        <v>42782</v>
      </c>
      <c r="J2033" t="s">
        <v>104</v>
      </c>
      <c r="K2033" t="s">
        <v>18</v>
      </c>
    </row>
    <row r="2034" spans="1:11" x14ac:dyDescent="0.3">
      <c r="A2034">
        <v>718</v>
      </c>
      <c r="B2034">
        <v>3</v>
      </c>
      <c r="C2034">
        <v>64</v>
      </c>
      <c r="D2034">
        <v>2</v>
      </c>
      <c r="E2034" s="1">
        <v>489.99</v>
      </c>
      <c r="F2034" s="1">
        <v>0.1</v>
      </c>
      <c r="G2034">
        <v>979.98</v>
      </c>
      <c r="H2034" s="22">
        <f>VLOOKUP(A2034,[1]Orders!$A$2:$B$1616,2,0)</f>
        <v>42782</v>
      </c>
      <c r="J2034" t="s">
        <v>51</v>
      </c>
      <c r="K2034" t="s">
        <v>18</v>
      </c>
    </row>
    <row r="2035" spans="1:11" x14ac:dyDescent="0.3">
      <c r="A2035">
        <v>719</v>
      </c>
      <c r="B2035">
        <v>1</v>
      </c>
      <c r="C2035">
        <v>100</v>
      </c>
      <c r="D2035">
        <v>1</v>
      </c>
      <c r="E2035" s="1">
        <v>489.99</v>
      </c>
      <c r="F2035" s="1">
        <v>0.2</v>
      </c>
      <c r="G2035">
        <v>489.99</v>
      </c>
      <c r="H2035" s="22">
        <f>VLOOKUP(A2035,[1]Orders!$A$2:$B$1616,2,0)</f>
        <v>42782</v>
      </c>
      <c r="J2035" t="s">
        <v>105</v>
      </c>
      <c r="K2035" t="s">
        <v>18</v>
      </c>
    </row>
    <row r="2036" spans="1:11" x14ac:dyDescent="0.3">
      <c r="A2036">
        <v>720</v>
      </c>
      <c r="B2036">
        <v>1</v>
      </c>
      <c r="C2036">
        <v>111</v>
      </c>
      <c r="D2036">
        <v>1</v>
      </c>
      <c r="E2036" s="1">
        <v>470.99</v>
      </c>
      <c r="F2036" s="1">
        <v>7.0000000000000007E-2</v>
      </c>
      <c r="G2036">
        <v>470.99</v>
      </c>
      <c r="H2036" s="22">
        <f>VLOOKUP(A2036,[1]Orders!$A$2:$B$1616,2,0)</f>
        <v>42782</v>
      </c>
      <c r="J2036" t="s">
        <v>112</v>
      </c>
      <c r="K2036" t="s">
        <v>18</v>
      </c>
    </row>
    <row r="2037" spans="1:11" x14ac:dyDescent="0.3">
      <c r="A2037">
        <v>720</v>
      </c>
      <c r="B2037">
        <v>2</v>
      </c>
      <c r="C2037">
        <v>6</v>
      </c>
      <c r="D2037">
        <v>1</v>
      </c>
      <c r="E2037" s="1">
        <v>469.99</v>
      </c>
      <c r="F2037" s="1">
        <v>0.1</v>
      </c>
      <c r="G2037">
        <v>469.99</v>
      </c>
      <c r="H2037" s="22">
        <f>VLOOKUP(A2037,[1]Orders!$A$2:$B$1616,2,0)</f>
        <v>42782</v>
      </c>
      <c r="J2037" t="s">
        <v>32</v>
      </c>
      <c r="K2037" t="s">
        <v>18</v>
      </c>
    </row>
    <row r="2038" spans="1:11" x14ac:dyDescent="0.3">
      <c r="A2038">
        <v>721</v>
      </c>
      <c r="B2038">
        <v>1</v>
      </c>
      <c r="C2038">
        <v>45</v>
      </c>
      <c r="D2038">
        <v>2</v>
      </c>
      <c r="E2038" s="1">
        <v>869.99</v>
      </c>
      <c r="F2038" s="1">
        <v>7.0000000000000007E-2</v>
      </c>
      <c r="G2038">
        <v>1739.98</v>
      </c>
      <c r="H2038" s="22">
        <f>VLOOKUP(A2038,[1]Orders!$A$2:$B$1616,2,0)</f>
        <v>42782</v>
      </c>
      <c r="J2038" t="s">
        <v>88</v>
      </c>
      <c r="K2038" t="s">
        <v>18</v>
      </c>
    </row>
    <row r="2039" spans="1:11" x14ac:dyDescent="0.3">
      <c r="A2039">
        <v>721</v>
      </c>
      <c r="B2039">
        <v>2</v>
      </c>
      <c r="C2039">
        <v>102</v>
      </c>
      <c r="D2039">
        <v>1</v>
      </c>
      <c r="E2039" s="1">
        <v>489.99</v>
      </c>
      <c r="F2039" s="1">
        <v>0.1</v>
      </c>
      <c r="G2039">
        <v>489.99</v>
      </c>
      <c r="H2039" s="22">
        <f>VLOOKUP(A2039,[1]Orders!$A$2:$B$1616,2,0)</f>
        <v>42782</v>
      </c>
      <c r="J2039" t="s">
        <v>51</v>
      </c>
      <c r="K2039" t="s">
        <v>18</v>
      </c>
    </row>
    <row r="2040" spans="1:11" x14ac:dyDescent="0.3">
      <c r="A2040">
        <v>721</v>
      </c>
      <c r="B2040">
        <v>3</v>
      </c>
      <c r="C2040">
        <v>73</v>
      </c>
      <c r="D2040">
        <v>2</v>
      </c>
      <c r="E2040" s="1">
        <v>749.99</v>
      </c>
      <c r="F2040" s="1">
        <v>0.05</v>
      </c>
      <c r="G2040">
        <v>1499.98</v>
      </c>
      <c r="H2040" s="22">
        <f>VLOOKUP(A2040,[1]Orders!$A$2:$B$1616,2,0)</f>
        <v>42782</v>
      </c>
      <c r="J2040" t="s">
        <v>43</v>
      </c>
      <c r="K2040" t="s">
        <v>18</v>
      </c>
    </row>
    <row r="2041" spans="1:11" x14ac:dyDescent="0.3">
      <c r="A2041">
        <v>721</v>
      </c>
      <c r="B2041">
        <v>4</v>
      </c>
      <c r="C2041">
        <v>33</v>
      </c>
      <c r="D2041">
        <v>1</v>
      </c>
      <c r="E2041" s="1">
        <v>469.99</v>
      </c>
      <c r="F2041" s="1">
        <v>0.2</v>
      </c>
      <c r="G2041">
        <v>469.99</v>
      </c>
      <c r="H2041" s="22">
        <f>VLOOKUP(A2041,[1]Orders!$A$2:$B$1616,2,0)</f>
        <v>42782</v>
      </c>
      <c r="J2041" t="s">
        <v>67</v>
      </c>
      <c r="K2041" t="s">
        <v>18</v>
      </c>
    </row>
    <row r="2042" spans="1:11" x14ac:dyDescent="0.3">
      <c r="A2042">
        <v>722</v>
      </c>
      <c r="B2042">
        <v>1</v>
      </c>
      <c r="C2042">
        <v>22</v>
      </c>
      <c r="D2042">
        <v>2</v>
      </c>
      <c r="E2042" s="1">
        <v>269.99</v>
      </c>
      <c r="F2042" s="1">
        <v>7.0000000000000007E-2</v>
      </c>
      <c r="G2042">
        <v>539.98</v>
      </c>
      <c r="H2042" s="22">
        <f>VLOOKUP(A2042,[1]Orders!$A$2:$B$1616,2,0)</f>
        <v>42784</v>
      </c>
      <c r="J2042" t="s">
        <v>28</v>
      </c>
      <c r="K2042" t="s">
        <v>18</v>
      </c>
    </row>
    <row r="2043" spans="1:11" x14ac:dyDescent="0.3">
      <c r="A2043">
        <v>722</v>
      </c>
      <c r="B2043">
        <v>2</v>
      </c>
      <c r="C2043">
        <v>3</v>
      </c>
      <c r="D2043">
        <v>1</v>
      </c>
      <c r="E2043" s="1">
        <v>999.99</v>
      </c>
      <c r="F2043" s="1">
        <v>0.05</v>
      </c>
      <c r="G2043">
        <v>999.99</v>
      </c>
      <c r="H2043" s="22">
        <f>VLOOKUP(A2043,[1]Orders!$A$2:$B$1616,2,0)</f>
        <v>42784</v>
      </c>
      <c r="J2043" t="s">
        <v>20</v>
      </c>
      <c r="K2043" t="s">
        <v>18</v>
      </c>
    </row>
    <row r="2044" spans="1:11" x14ac:dyDescent="0.3">
      <c r="A2044">
        <v>722</v>
      </c>
      <c r="B2044">
        <v>3</v>
      </c>
      <c r="C2044">
        <v>104</v>
      </c>
      <c r="D2044">
        <v>2</v>
      </c>
      <c r="E2044" s="1">
        <v>481.99</v>
      </c>
      <c r="F2044" s="1">
        <v>0.1</v>
      </c>
      <c r="G2044">
        <v>963.98</v>
      </c>
      <c r="H2044" s="22">
        <f>VLOOKUP(A2044,[1]Orders!$A$2:$B$1616,2,0)</f>
        <v>42784</v>
      </c>
      <c r="J2044" t="s">
        <v>87</v>
      </c>
      <c r="K2044" t="s">
        <v>18</v>
      </c>
    </row>
    <row r="2045" spans="1:11" x14ac:dyDescent="0.3">
      <c r="A2045">
        <v>723</v>
      </c>
      <c r="B2045">
        <v>1</v>
      </c>
      <c r="C2045">
        <v>24</v>
      </c>
      <c r="D2045">
        <v>2</v>
      </c>
      <c r="E2045" s="1">
        <v>549.99</v>
      </c>
      <c r="F2045" s="1">
        <v>7.0000000000000007E-2</v>
      </c>
      <c r="G2045">
        <v>1099.98</v>
      </c>
      <c r="H2045" s="22">
        <f>VLOOKUP(A2045,[1]Orders!$A$2:$B$1616,2,0)</f>
        <v>42785</v>
      </c>
      <c r="J2045" t="s">
        <v>25</v>
      </c>
      <c r="K2045" t="s">
        <v>18</v>
      </c>
    </row>
    <row r="2046" spans="1:11" x14ac:dyDescent="0.3">
      <c r="A2046">
        <v>723</v>
      </c>
      <c r="B2046">
        <v>2</v>
      </c>
      <c r="C2046">
        <v>16</v>
      </c>
      <c r="D2046">
        <v>1</v>
      </c>
      <c r="E2046" s="1">
        <v>599.99</v>
      </c>
      <c r="F2046" s="1">
        <v>0.05</v>
      </c>
      <c r="G2046">
        <v>599.99</v>
      </c>
      <c r="H2046" s="22">
        <f>VLOOKUP(A2046,[1]Orders!$A$2:$B$1616,2,0)</f>
        <v>42785</v>
      </c>
      <c r="J2046" t="s">
        <v>14</v>
      </c>
      <c r="K2046" t="s">
        <v>18</v>
      </c>
    </row>
    <row r="2047" spans="1:11" x14ac:dyDescent="0.3">
      <c r="A2047">
        <v>723</v>
      </c>
      <c r="B2047">
        <v>3</v>
      </c>
      <c r="C2047">
        <v>108</v>
      </c>
      <c r="D2047">
        <v>1</v>
      </c>
      <c r="E2047" s="1">
        <v>449.99</v>
      </c>
      <c r="F2047" s="1">
        <v>7.0000000000000007E-2</v>
      </c>
      <c r="G2047">
        <v>449.99</v>
      </c>
      <c r="H2047" s="22">
        <f>VLOOKUP(A2047,[1]Orders!$A$2:$B$1616,2,0)</f>
        <v>42785</v>
      </c>
      <c r="J2047" t="s">
        <v>85</v>
      </c>
      <c r="K2047" t="s">
        <v>18</v>
      </c>
    </row>
    <row r="2048" spans="1:11" x14ac:dyDescent="0.3">
      <c r="A2048">
        <v>724</v>
      </c>
      <c r="B2048">
        <v>1</v>
      </c>
      <c r="C2048">
        <v>23</v>
      </c>
      <c r="D2048">
        <v>1</v>
      </c>
      <c r="E2048" s="1">
        <v>299.99</v>
      </c>
      <c r="F2048" s="1">
        <v>0.05</v>
      </c>
      <c r="G2048">
        <v>299.99</v>
      </c>
      <c r="H2048" s="22">
        <f>VLOOKUP(A2048,[1]Orders!$A$2:$B$1616,2,0)</f>
        <v>42785</v>
      </c>
      <c r="J2048" t="s">
        <v>33</v>
      </c>
      <c r="K2048" t="s">
        <v>18</v>
      </c>
    </row>
    <row r="2049" spans="1:11" x14ac:dyDescent="0.3">
      <c r="A2049">
        <v>724</v>
      </c>
      <c r="B2049">
        <v>2</v>
      </c>
      <c r="C2049">
        <v>75</v>
      </c>
      <c r="D2049">
        <v>1</v>
      </c>
      <c r="E2049" s="1">
        <v>599.99</v>
      </c>
      <c r="F2049" s="1">
        <v>0.2</v>
      </c>
      <c r="G2049">
        <v>599.99</v>
      </c>
      <c r="H2049" s="22">
        <f>VLOOKUP(A2049,[1]Orders!$A$2:$B$1616,2,0)</f>
        <v>42785</v>
      </c>
      <c r="J2049" t="s">
        <v>95</v>
      </c>
      <c r="K2049" t="s">
        <v>18</v>
      </c>
    </row>
    <row r="2050" spans="1:11" x14ac:dyDescent="0.3">
      <c r="A2050">
        <v>724</v>
      </c>
      <c r="B2050">
        <v>3</v>
      </c>
      <c r="C2050">
        <v>102</v>
      </c>
      <c r="D2050">
        <v>1</v>
      </c>
      <c r="E2050" s="1">
        <v>489.99</v>
      </c>
      <c r="F2050" s="1">
        <v>0.05</v>
      </c>
      <c r="G2050">
        <v>489.99</v>
      </c>
      <c r="H2050" s="22">
        <f>VLOOKUP(A2050,[1]Orders!$A$2:$B$1616,2,0)</f>
        <v>42785</v>
      </c>
      <c r="J2050" t="s">
        <v>51</v>
      </c>
      <c r="K2050" t="s">
        <v>18</v>
      </c>
    </row>
    <row r="2051" spans="1:11" x14ac:dyDescent="0.3">
      <c r="A2051">
        <v>724</v>
      </c>
      <c r="B2051">
        <v>4</v>
      </c>
      <c r="C2051">
        <v>55</v>
      </c>
      <c r="D2051">
        <v>1</v>
      </c>
      <c r="E2051" s="1">
        <v>2699.99</v>
      </c>
      <c r="F2051" s="1">
        <v>0.2</v>
      </c>
      <c r="G2051">
        <v>2699.99</v>
      </c>
      <c r="H2051" s="22">
        <f>VLOOKUP(A2051,[1]Orders!$A$2:$B$1616,2,0)</f>
        <v>42785</v>
      </c>
      <c r="J2051" t="s">
        <v>76</v>
      </c>
      <c r="K2051" t="s">
        <v>18</v>
      </c>
    </row>
    <row r="2052" spans="1:11" x14ac:dyDescent="0.3">
      <c r="A2052">
        <v>725</v>
      </c>
      <c r="B2052">
        <v>1</v>
      </c>
      <c r="C2052">
        <v>90</v>
      </c>
      <c r="D2052">
        <v>1</v>
      </c>
      <c r="E2052" s="1">
        <v>209.99</v>
      </c>
      <c r="F2052" s="1">
        <v>0.1</v>
      </c>
      <c r="G2052">
        <v>209.99</v>
      </c>
      <c r="H2052" s="22">
        <f>VLOOKUP(A2052,[1]Orders!$A$2:$B$1616,2,0)</f>
        <v>42785</v>
      </c>
      <c r="J2052" t="s">
        <v>56</v>
      </c>
      <c r="K2052" t="s">
        <v>18</v>
      </c>
    </row>
    <row r="2053" spans="1:11" x14ac:dyDescent="0.3">
      <c r="A2053">
        <v>725</v>
      </c>
      <c r="B2053">
        <v>2</v>
      </c>
      <c r="C2053">
        <v>91</v>
      </c>
      <c r="D2053">
        <v>1</v>
      </c>
      <c r="E2053" s="1">
        <v>349.99</v>
      </c>
      <c r="F2053" s="1">
        <v>0.05</v>
      </c>
      <c r="G2053">
        <v>349.99</v>
      </c>
      <c r="H2053" s="22">
        <f>VLOOKUP(A2053,[1]Orders!$A$2:$B$1616,2,0)</f>
        <v>42785</v>
      </c>
      <c r="J2053" t="s">
        <v>97</v>
      </c>
      <c r="K2053" t="s">
        <v>18</v>
      </c>
    </row>
    <row r="2054" spans="1:11" x14ac:dyDescent="0.3">
      <c r="A2054">
        <v>725</v>
      </c>
      <c r="B2054">
        <v>3</v>
      </c>
      <c r="C2054">
        <v>77</v>
      </c>
      <c r="D2054">
        <v>2</v>
      </c>
      <c r="E2054" s="1">
        <v>799.99</v>
      </c>
      <c r="F2054" s="1">
        <v>7.0000000000000007E-2</v>
      </c>
      <c r="G2054">
        <v>1599.98</v>
      </c>
      <c r="H2054" s="22">
        <f>VLOOKUP(A2054,[1]Orders!$A$2:$B$1616,2,0)</f>
        <v>42785</v>
      </c>
      <c r="J2054" t="s">
        <v>113</v>
      </c>
      <c r="K2054" t="s">
        <v>18</v>
      </c>
    </row>
    <row r="2055" spans="1:11" x14ac:dyDescent="0.3">
      <c r="A2055">
        <v>725</v>
      </c>
      <c r="B2055">
        <v>4</v>
      </c>
      <c r="C2055">
        <v>62</v>
      </c>
      <c r="D2055">
        <v>2</v>
      </c>
      <c r="E2055" s="1">
        <v>3499.99</v>
      </c>
      <c r="F2055" s="1">
        <v>0.1</v>
      </c>
      <c r="G2055">
        <v>6999.98</v>
      </c>
      <c r="H2055" s="22">
        <f>VLOOKUP(A2055,[1]Orders!$A$2:$B$1616,2,0)</f>
        <v>42785</v>
      </c>
      <c r="J2055" t="s">
        <v>50</v>
      </c>
      <c r="K2055" t="s">
        <v>18</v>
      </c>
    </row>
    <row r="2056" spans="1:11" x14ac:dyDescent="0.3">
      <c r="A2056">
        <v>726</v>
      </c>
      <c r="B2056">
        <v>1</v>
      </c>
      <c r="C2056">
        <v>64</v>
      </c>
      <c r="D2056">
        <v>1</v>
      </c>
      <c r="E2056" s="1">
        <v>489.99</v>
      </c>
      <c r="F2056" s="1">
        <v>0.2</v>
      </c>
      <c r="G2056">
        <v>489.99</v>
      </c>
      <c r="H2056" s="22">
        <f>VLOOKUP(A2056,[1]Orders!$A$2:$B$1616,2,0)</f>
        <v>42785</v>
      </c>
      <c r="J2056" t="s">
        <v>51</v>
      </c>
      <c r="K2056" t="s">
        <v>18</v>
      </c>
    </row>
    <row r="2057" spans="1:11" x14ac:dyDescent="0.3">
      <c r="A2057">
        <v>727</v>
      </c>
      <c r="B2057">
        <v>1</v>
      </c>
      <c r="C2057">
        <v>78</v>
      </c>
      <c r="D2057">
        <v>1</v>
      </c>
      <c r="E2057" s="1">
        <v>647.99</v>
      </c>
      <c r="F2057" s="1">
        <v>7.0000000000000007E-2</v>
      </c>
      <c r="G2057">
        <v>647.99</v>
      </c>
      <c r="H2057" s="22">
        <f>VLOOKUP(A2057,[1]Orders!$A$2:$B$1616,2,0)</f>
        <v>42785</v>
      </c>
      <c r="J2057" t="s">
        <v>57</v>
      </c>
      <c r="K2057" t="s">
        <v>37</v>
      </c>
    </row>
    <row r="2058" spans="1:11" x14ac:dyDescent="0.3">
      <c r="A2058">
        <v>727</v>
      </c>
      <c r="B2058">
        <v>2</v>
      </c>
      <c r="C2058">
        <v>82</v>
      </c>
      <c r="D2058">
        <v>2</v>
      </c>
      <c r="E2058" s="1">
        <v>659.99</v>
      </c>
      <c r="F2058" s="1">
        <v>0.05</v>
      </c>
      <c r="G2058">
        <v>1319.98</v>
      </c>
      <c r="H2058" s="22">
        <f>VLOOKUP(A2058,[1]Orders!$A$2:$B$1616,2,0)</f>
        <v>42785</v>
      </c>
      <c r="J2058" t="s">
        <v>100</v>
      </c>
      <c r="K2058" t="s">
        <v>37</v>
      </c>
    </row>
    <row r="2059" spans="1:11" x14ac:dyDescent="0.3">
      <c r="A2059">
        <v>728</v>
      </c>
      <c r="B2059">
        <v>1</v>
      </c>
      <c r="C2059">
        <v>70</v>
      </c>
      <c r="D2059">
        <v>1</v>
      </c>
      <c r="E2059" s="1">
        <v>659.99</v>
      </c>
      <c r="F2059" s="1">
        <v>0.05</v>
      </c>
      <c r="G2059">
        <v>659.99</v>
      </c>
      <c r="H2059" s="22">
        <f>VLOOKUP(A2059,[1]Orders!$A$2:$B$1616,2,0)</f>
        <v>42786</v>
      </c>
      <c r="J2059" t="s">
        <v>73</v>
      </c>
      <c r="K2059" t="s">
        <v>11</v>
      </c>
    </row>
    <row r="2060" spans="1:11" x14ac:dyDescent="0.3">
      <c r="A2060">
        <v>728</v>
      </c>
      <c r="B2060">
        <v>2</v>
      </c>
      <c r="C2060">
        <v>56</v>
      </c>
      <c r="D2060">
        <v>1</v>
      </c>
      <c r="E2060" s="1">
        <v>5499.99</v>
      </c>
      <c r="F2060" s="1">
        <v>0.1</v>
      </c>
      <c r="G2060">
        <v>5499.99</v>
      </c>
      <c r="H2060" s="22">
        <f>VLOOKUP(A2060,[1]Orders!$A$2:$B$1616,2,0)</f>
        <v>42786</v>
      </c>
      <c r="J2060" t="s">
        <v>41</v>
      </c>
      <c r="K2060" t="s">
        <v>11</v>
      </c>
    </row>
    <row r="2061" spans="1:11" x14ac:dyDescent="0.3">
      <c r="A2061">
        <v>728</v>
      </c>
      <c r="B2061">
        <v>3</v>
      </c>
      <c r="C2061">
        <v>91</v>
      </c>
      <c r="D2061">
        <v>1</v>
      </c>
      <c r="E2061" s="1">
        <v>349.99</v>
      </c>
      <c r="F2061" s="1">
        <v>0.1</v>
      </c>
      <c r="G2061">
        <v>349.99</v>
      </c>
      <c r="H2061" s="22">
        <f>VLOOKUP(A2061,[1]Orders!$A$2:$B$1616,2,0)</f>
        <v>42786</v>
      </c>
      <c r="J2061" t="s">
        <v>97</v>
      </c>
      <c r="K2061" t="s">
        <v>11</v>
      </c>
    </row>
    <row r="2062" spans="1:11" x14ac:dyDescent="0.3">
      <c r="A2062">
        <v>728</v>
      </c>
      <c r="B2062">
        <v>4</v>
      </c>
      <c r="C2062">
        <v>58</v>
      </c>
      <c r="D2062">
        <v>1</v>
      </c>
      <c r="E2062" s="1">
        <v>4999.99</v>
      </c>
      <c r="F2062" s="1">
        <v>7.0000000000000007E-2</v>
      </c>
      <c r="G2062">
        <v>4999.99</v>
      </c>
      <c r="H2062" s="22">
        <f>VLOOKUP(A2062,[1]Orders!$A$2:$B$1616,2,0)</f>
        <v>42786</v>
      </c>
      <c r="J2062" t="s">
        <v>81</v>
      </c>
      <c r="K2062" t="s">
        <v>11</v>
      </c>
    </row>
    <row r="2063" spans="1:11" x14ac:dyDescent="0.3">
      <c r="A2063">
        <v>729</v>
      </c>
      <c r="B2063">
        <v>1</v>
      </c>
      <c r="C2063">
        <v>101</v>
      </c>
      <c r="D2063">
        <v>2</v>
      </c>
      <c r="E2063" s="1">
        <v>339.99</v>
      </c>
      <c r="F2063" s="1">
        <v>0.1</v>
      </c>
      <c r="G2063">
        <v>679.98</v>
      </c>
      <c r="H2063" s="22">
        <f>VLOOKUP(A2063,[1]Orders!$A$2:$B$1616,2,0)</f>
        <v>42786</v>
      </c>
      <c r="J2063" t="s">
        <v>80</v>
      </c>
      <c r="K2063" t="s">
        <v>18</v>
      </c>
    </row>
    <row r="2064" spans="1:11" x14ac:dyDescent="0.3">
      <c r="A2064">
        <v>730</v>
      </c>
      <c r="B2064">
        <v>1</v>
      </c>
      <c r="C2064">
        <v>59</v>
      </c>
      <c r="D2064">
        <v>2</v>
      </c>
      <c r="E2064" s="1">
        <v>2599.9899999999998</v>
      </c>
      <c r="F2064" s="1">
        <v>0.05</v>
      </c>
      <c r="G2064">
        <v>5199.9799999999996</v>
      </c>
      <c r="H2064" s="22">
        <f>VLOOKUP(A2064,[1]Orders!$A$2:$B$1616,2,0)</f>
        <v>42787</v>
      </c>
      <c r="J2064" t="s">
        <v>74</v>
      </c>
      <c r="K2064" t="s">
        <v>18</v>
      </c>
    </row>
    <row r="2065" spans="1:11" x14ac:dyDescent="0.3">
      <c r="A2065">
        <v>730</v>
      </c>
      <c r="B2065">
        <v>2</v>
      </c>
      <c r="C2065">
        <v>79</v>
      </c>
      <c r="D2065">
        <v>1</v>
      </c>
      <c r="E2065" s="1">
        <v>402.99</v>
      </c>
      <c r="F2065" s="1">
        <v>0.1</v>
      </c>
      <c r="G2065">
        <v>402.99</v>
      </c>
      <c r="H2065" s="22">
        <f>VLOOKUP(A2065,[1]Orders!$A$2:$B$1616,2,0)</f>
        <v>42787</v>
      </c>
      <c r="J2065" t="s">
        <v>58</v>
      </c>
      <c r="K2065" t="s">
        <v>18</v>
      </c>
    </row>
    <row r="2066" spans="1:11" x14ac:dyDescent="0.3">
      <c r="A2066">
        <v>730</v>
      </c>
      <c r="B2066">
        <v>3</v>
      </c>
      <c r="C2066">
        <v>96</v>
      </c>
      <c r="D2066">
        <v>2</v>
      </c>
      <c r="E2066" s="1">
        <v>349.99</v>
      </c>
      <c r="F2066" s="1">
        <v>7.0000000000000007E-2</v>
      </c>
      <c r="G2066">
        <v>699.98</v>
      </c>
      <c r="H2066" s="22">
        <f>VLOOKUP(A2066,[1]Orders!$A$2:$B$1616,2,0)</f>
        <v>42787</v>
      </c>
      <c r="J2066" t="s">
        <v>91</v>
      </c>
      <c r="K2066" t="s">
        <v>18</v>
      </c>
    </row>
    <row r="2067" spans="1:11" x14ac:dyDescent="0.3">
      <c r="A2067">
        <v>730</v>
      </c>
      <c r="B2067">
        <v>4</v>
      </c>
      <c r="C2067">
        <v>13</v>
      </c>
      <c r="D2067">
        <v>1</v>
      </c>
      <c r="E2067" s="1">
        <v>269.99</v>
      </c>
      <c r="F2067" s="1">
        <v>0.1</v>
      </c>
      <c r="G2067">
        <v>269.99</v>
      </c>
      <c r="H2067" s="22">
        <f>VLOOKUP(A2067,[1]Orders!$A$2:$B$1616,2,0)</f>
        <v>42787</v>
      </c>
      <c r="J2067" t="s">
        <v>31</v>
      </c>
      <c r="K2067" t="s">
        <v>18</v>
      </c>
    </row>
    <row r="2068" spans="1:11" x14ac:dyDescent="0.3">
      <c r="A2068">
        <v>731</v>
      </c>
      <c r="B2068">
        <v>1</v>
      </c>
      <c r="C2068">
        <v>91</v>
      </c>
      <c r="D2068">
        <v>1</v>
      </c>
      <c r="E2068" s="1">
        <v>349.99</v>
      </c>
      <c r="F2068" s="1">
        <v>0.05</v>
      </c>
      <c r="G2068">
        <v>349.99</v>
      </c>
      <c r="H2068" s="22">
        <f>VLOOKUP(A2068,[1]Orders!$A$2:$B$1616,2,0)</f>
        <v>42791</v>
      </c>
      <c r="J2068" t="s">
        <v>97</v>
      </c>
      <c r="K2068" t="s">
        <v>37</v>
      </c>
    </row>
    <row r="2069" spans="1:11" x14ac:dyDescent="0.3">
      <c r="A2069">
        <v>731</v>
      </c>
      <c r="B2069">
        <v>2</v>
      </c>
      <c r="C2069">
        <v>49</v>
      </c>
      <c r="D2069">
        <v>1</v>
      </c>
      <c r="E2069" s="1">
        <v>3499.99</v>
      </c>
      <c r="F2069" s="1">
        <v>0.2</v>
      </c>
      <c r="G2069">
        <v>3499.99</v>
      </c>
      <c r="H2069" s="22">
        <f>VLOOKUP(A2069,[1]Orders!$A$2:$B$1616,2,0)</f>
        <v>42791</v>
      </c>
      <c r="J2069" t="s">
        <v>70</v>
      </c>
      <c r="K2069" t="s">
        <v>37</v>
      </c>
    </row>
    <row r="2070" spans="1:11" x14ac:dyDescent="0.3">
      <c r="A2070">
        <v>731</v>
      </c>
      <c r="B2070">
        <v>3</v>
      </c>
      <c r="C2070">
        <v>67</v>
      </c>
      <c r="D2070">
        <v>2</v>
      </c>
      <c r="E2070" s="1">
        <v>250.99</v>
      </c>
      <c r="F2070" s="1">
        <v>0.2</v>
      </c>
      <c r="G2070">
        <v>501.98</v>
      </c>
      <c r="H2070" s="22">
        <f>VLOOKUP(A2070,[1]Orders!$A$2:$B$1616,2,0)</f>
        <v>42791</v>
      </c>
      <c r="J2070" t="s">
        <v>60</v>
      </c>
      <c r="K2070" t="s">
        <v>37</v>
      </c>
    </row>
    <row r="2071" spans="1:11" x14ac:dyDescent="0.3">
      <c r="A2071">
        <v>731</v>
      </c>
      <c r="B2071">
        <v>4</v>
      </c>
      <c r="C2071">
        <v>29</v>
      </c>
      <c r="D2071">
        <v>1</v>
      </c>
      <c r="E2071" s="1">
        <v>999.99</v>
      </c>
      <c r="F2071" s="1">
        <v>0.2</v>
      </c>
      <c r="G2071">
        <v>999.99</v>
      </c>
      <c r="H2071" s="22">
        <f>VLOOKUP(A2071,[1]Orders!$A$2:$B$1616,2,0)</f>
        <v>42791</v>
      </c>
      <c r="J2071" t="s">
        <v>71</v>
      </c>
      <c r="K2071" t="s">
        <v>37</v>
      </c>
    </row>
    <row r="2072" spans="1:11" x14ac:dyDescent="0.3">
      <c r="A2072">
        <v>732</v>
      </c>
      <c r="B2072">
        <v>1</v>
      </c>
      <c r="C2072">
        <v>47</v>
      </c>
      <c r="D2072">
        <v>1</v>
      </c>
      <c r="E2072" s="1">
        <v>5299.99</v>
      </c>
      <c r="F2072" s="1">
        <v>7.0000000000000007E-2</v>
      </c>
      <c r="G2072">
        <v>5299.99</v>
      </c>
      <c r="H2072" s="22">
        <f>VLOOKUP(A2072,[1]Orders!$A$2:$B$1616,2,0)</f>
        <v>42792</v>
      </c>
      <c r="J2072" t="s">
        <v>54</v>
      </c>
      <c r="K2072" t="s">
        <v>18</v>
      </c>
    </row>
    <row r="2073" spans="1:11" x14ac:dyDescent="0.3">
      <c r="A2073">
        <v>732</v>
      </c>
      <c r="B2073">
        <v>2</v>
      </c>
      <c r="C2073">
        <v>4</v>
      </c>
      <c r="D2073">
        <v>2</v>
      </c>
      <c r="E2073" s="1">
        <v>2899.99</v>
      </c>
      <c r="F2073" s="1">
        <v>7.0000000000000007E-2</v>
      </c>
      <c r="G2073">
        <v>5799.98</v>
      </c>
      <c r="H2073" s="22">
        <f>VLOOKUP(A2073,[1]Orders!$A$2:$B$1616,2,0)</f>
        <v>42792</v>
      </c>
      <c r="J2073" t="s">
        <v>16</v>
      </c>
      <c r="K2073" t="s">
        <v>18</v>
      </c>
    </row>
    <row r="2074" spans="1:11" x14ac:dyDescent="0.3">
      <c r="A2074">
        <v>733</v>
      </c>
      <c r="B2074">
        <v>1</v>
      </c>
      <c r="C2074">
        <v>84</v>
      </c>
      <c r="D2074">
        <v>1</v>
      </c>
      <c r="E2074" s="1">
        <v>109.99</v>
      </c>
      <c r="F2074" s="1">
        <v>0.05</v>
      </c>
      <c r="G2074">
        <v>109.99</v>
      </c>
      <c r="H2074" s="22">
        <f>VLOOKUP(A2074,[1]Orders!$A$2:$B$1616,2,0)</f>
        <v>42792</v>
      </c>
      <c r="J2074" t="s">
        <v>83</v>
      </c>
      <c r="K2074" t="s">
        <v>18</v>
      </c>
    </row>
    <row r="2075" spans="1:11" x14ac:dyDescent="0.3">
      <c r="A2075">
        <v>733</v>
      </c>
      <c r="B2075">
        <v>2</v>
      </c>
      <c r="C2075">
        <v>55</v>
      </c>
      <c r="D2075">
        <v>1</v>
      </c>
      <c r="E2075" s="1">
        <v>2699.99</v>
      </c>
      <c r="F2075" s="1">
        <v>0.2</v>
      </c>
      <c r="G2075">
        <v>2699.99</v>
      </c>
      <c r="H2075" s="22">
        <f>VLOOKUP(A2075,[1]Orders!$A$2:$B$1616,2,0)</f>
        <v>42792</v>
      </c>
      <c r="J2075" t="s">
        <v>76</v>
      </c>
      <c r="K2075" t="s">
        <v>18</v>
      </c>
    </row>
    <row r="2076" spans="1:11" x14ac:dyDescent="0.3">
      <c r="A2076">
        <v>733</v>
      </c>
      <c r="B2076">
        <v>3</v>
      </c>
      <c r="C2076">
        <v>102</v>
      </c>
      <c r="D2076">
        <v>2</v>
      </c>
      <c r="E2076" s="1">
        <v>489.99</v>
      </c>
      <c r="F2076" s="1">
        <v>0.1</v>
      </c>
      <c r="G2076">
        <v>979.98</v>
      </c>
      <c r="H2076" s="22">
        <f>VLOOKUP(A2076,[1]Orders!$A$2:$B$1616,2,0)</f>
        <v>42792</v>
      </c>
      <c r="J2076" t="s">
        <v>51</v>
      </c>
      <c r="K2076" t="s">
        <v>18</v>
      </c>
    </row>
    <row r="2077" spans="1:11" x14ac:dyDescent="0.3">
      <c r="A2077">
        <v>734</v>
      </c>
      <c r="B2077">
        <v>1</v>
      </c>
      <c r="C2077">
        <v>26</v>
      </c>
      <c r="D2077">
        <v>1</v>
      </c>
      <c r="E2077" s="1">
        <v>599.99</v>
      </c>
      <c r="F2077" s="1">
        <v>0.2</v>
      </c>
      <c r="G2077">
        <v>599.99</v>
      </c>
      <c r="H2077" s="22">
        <f>VLOOKUP(A2077,[1]Orders!$A$2:$B$1616,2,0)</f>
        <v>42792</v>
      </c>
      <c r="J2077" t="s">
        <v>14</v>
      </c>
      <c r="K2077" t="s">
        <v>37</v>
      </c>
    </row>
    <row r="2078" spans="1:11" x14ac:dyDescent="0.3">
      <c r="A2078">
        <v>734</v>
      </c>
      <c r="B2078">
        <v>2</v>
      </c>
      <c r="C2078">
        <v>3</v>
      </c>
      <c r="D2078">
        <v>1</v>
      </c>
      <c r="E2078" s="1">
        <v>999.99</v>
      </c>
      <c r="F2078" s="1">
        <v>0.05</v>
      </c>
      <c r="G2078">
        <v>999.99</v>
      </c>
      <c r="H2078" s="22">
        <f>VLOOKUP(A2078,[1]Orders!$A$2:$B$1616,2,0)</f>
        <v>42792</v>
      </c>
      <c r="J2078" t="s">
        <v>20</v>
      </c>
      <c r="K2078" t="s">
        <v>37</v>
      </c>
    </row>
    <row r="2079" spans="1:11" x14ac:dyDescent="0.3">
      <c r="A2079">
        <v>734</v>
      </c>
      <c r="B2079">
        <v>3</v>
      </c>
      <c r="C2079">
        <v>84</v>
      </c>
      <c r="D2079">
        <v>2</v>
      </c>
      <c r="E2079" s="1">
        <v>109.99</v>
      </c>
      <c r="F2079" s="1">
        <v>0.2</v>
      </c>
      <c r="G2079">
        <v>219.98</v>
      </c>
      <c r="H2079" s="22">
        <f>VLOOKUP(A2079,[1]Orders!$A$2:$B$1616,2,0)</f>
        <v>42792</v>
      </c>
      <c r="J2079" t="s">
        <v>83</v>
      </c>
      <c r="K2079" t="s">
        <v>37</v>
      </c>
    </row>
    <row r="2080" spans="1:11" x14ac:dyDescent="0.3">
      <c r="A2080">
        <v>734</v>
      </c>
      <c r="B2080">
        <v>4</v>
      </c>
      <c r="C2080">
        <v>65</v>
      </c>
      <c r="D2080">
        <v>2</v>
      </c>
      <c r="E2080" s="1">
        <v>346.99</v>
      </c>
      <c r="F2080" s="1">
        <v>0.1</v>
      </c>
      <c r="G2080">
        <v>693.98</v>
      </c>
      <c r="H2080" s="22">
        <f>VLOOKUP(A2080,[1]Orders!$A$2:$B$1616,2,0)</f>
        <v>42792</v>
      </c>
      <c r="J2080" t="s">
        <v>114</v>
      </c>
      <c r="K2080" t="s">
        <v>37</v>
      </c>
    </row>
    <row r="2081" spans="1:11" x14ac:dyDescent="0.3">
      <c r="A2081">
        <v>735</v>
      </c>
      <c r="B2081">
        <v>1</v>
      </c>
      <c r="C2081">
        <v>71</v>
      </c>
      <c r="D2081">
        <v>2</v>
      </c>
      <c r="E2081" s="1">
        <v>416.99</v>
      </c>
      <c r="F2081" s="1">
        <v>0.1</v>
      </c>
      <c r="G2081">
        <v>833.98</v>
      </c>
      <c r="H2081" s="22">
        <f>VLOOKUP(A2081,[1]Orders!$A$2:$B$1616,2,0)</f>
        <v>42793</v>
      </c>
      <c r="J2081" t="s">
        <v>78</v>
      </c>
      <c r="K2081" t="s">
        <v>37</v>
      </c>
    </row>
    <row r="2082" spans="1:11" x14ac:dyDescent="0.3">
      <c r="A2082">
        <v>735</v>
      </c>
      <c r="B2082">
        <v>2</v>
      </c>
      <c r="C2082">
        <v>10</v>
      </c>
      <c r="D2082">
        <v>2</v>
      </c>
      <c r="E2082" s="1">
        <v>1549</v>
      </c>
      <c r="F2082" s="1">
        <v>7.0000000000000007E-2</v>
      </c>
      <c r="G2082">
        <v>3098</v>
      </c>
      <c r="H2082" s="22">
        <f>VLOOKUP(A2082,[1]Orders!$A$2:$B$1616,2,0)</f>
        <v>42793</v>
      </c>
      <c r="J2082" t="s">
        <v>13</v>
      </c>
      <c r="K2082" t="s">
        <v>37</v>
      </c>
    </row>
    <row r="2083" spans="1:11" x14ac:dyDescent="0.3">
      <c r="A2083">
        <v>736</v>
      </c>
      <c r="B2083">
        <v>1</v>
      </c>
      <c r="C2083">
        <v>56</v>
      </c>
      <c r="D2083">
        <v>2</v>
      </c>
      <c r="E2083" s="1">
        <v>5499.99</v>
      </c>
      <c r="F2083" s="1">
        <v>0.05</v>
      </c>
      <c r="G2083">
        <v>10999.98</v>
      </c>
      <c r="H2083" s="22">
        <f>VLOOKUP(A2083,[1]Orders!$A$2:$B$1616,2,0)</f>
        <v>42793</v>
      </c>
      <c r="J2083" t="s">
        <v>41</v>
      </c>
      <c r="K2083" t="s">
        <v>18</v>
      </c>
    </row>
    <row r="2084" spans="1:11" x14ac:dyDescent="0.3">
      <c r="A2084">
        <v>736</v>
      </c>
      <c r="B2084">
        <v>2</v>
      </c>
      <c r="C2084">
        <v>17</v>
      </c>
      <c r="D2084">
        <v>1</v>
      </c>
      <c r="E2084" s="1">
        <v>429</v>
      </c>
      <c r="F2084" s="1">
        <v>0.1</v>
      </c>
      <c r="G2084">
        <v>429</v>
      </c>
      <c r="H2084" s="22">
        <f>VLOOKUP(A2084,[1]Orders!$A$2:$B$1616,2,0)</f>
        <v>42793</v>
      </c>
      <c r="J2084" t="s">
        <v>23</v>
      </c>
      <c r="K2084" t="s">
        <v>18</v>
      </c>
    </row>
    <row r="2085" spans="1:11" x14ac:dyDescent="0.3">
      <c r="A2085">
        <v>736</v>
      </c>
      <c r="B2085">
        <v>3</v>
      </c>
      <c r="C2085">
        <v>62</v>
      </c>
      <c r="D2085">
        <v>2</v>
      </c>
      <c r="E2085" s="1">
        <v>3499.99</v>
      </c>
      <c r="F2085" s="1">
        <v>0.2</v>
      </c>
      <c r="G2085">
        <v>6999.98</v>
      </c>
      <c r="H2085" s="22">
        <f>VLOOKUP(A2085,[1]Orders!$A$2:$B$1616,2,0)</f>
        <v>42793</v>
      </c>
      <c r="J2085" t="s">
        <v>50</v>
      </c>
      <c r="K2085" t="s">
        <v>18</v>
      </c>
    </row>
    <row r="2086" spans="1:11" x14ac:dyDescent="0.3">
      <c r="A2086">
        <v>737</v>
      </c>
      <c r="B2086">
        <v>1</v>
      </c>
      <c r="C2086">
        <v>52</v>
      </c>
      <c r="D2086">
        <v>1</v>
      </c>
      <c r="E2086" s="1">
        <v>875.99</v>
      </c>
      <c r="F2086" s="1">
        <v>0.05</v>
      </c>
      <c r="G2086">
        <v>875.99</v>
      </c>
      <c r="H2086" s="22">
        <f>VLOOKUP(A2086,[1]Orders!$A$2:$B$1616,2,0)</f>
        <v>42793</v>
      </c>
      <c r="J2086" t="s">
        <v>68</v>
      </c>
      <c r="K2086" t="s">
        <v>18</v>
      </c>
    </row>
    <row r="2087" spans="1:11" x14ac:dyDescent="0.3">
      <c r="A2087">
        <v>737</v>
      </c>
      <c r="B2087">
        <v>2</v>
      </c>
      <c r="C2087">
        <v>19</v>
      </c>
      <c r="D2087">
        <v>2</v>
      </c>
      <c r="E2087" s="1">
        <v>449</v>
      </c>
      <c r="F2087" s="1">
        <v>7.0000000000000007E-2</v>
      </c>
      <c r="G2087">
        <v>898</v>
      </c>
      <c r="H2087" s="22">
        <f>VLOOKUP(A2087,[1]Orders!$A$2:$B$1616,2,0)</f>
        <v>42793</v>
      </c>
      <c r="J2087" t="s">
        <v>36</v>
      </c>
      <c r="K2087" t="s">
        <v>18</v>
      </c>
    </row>
    <row r="2088" spans="1:11" x14ac:dyDescent="0.3">
      <c r="A2088">
        <v>737</v>
      </c>
      <c r="B2088">
        <v>3</v>
      </c>
      <c r="C2088">
        <v>77</v>
      </c>
      <c r="D2088">
        <v>2</v>
      </c>
      <c r="E2088" s="1">
        <v>799.99</v>
      </c>
      <c r="F2088" s="1">
        <v>7.0000000000000007E-2</v>
      </c>
      <c r="G2088">
        <v>1599.98</v>
      </c>
      <c r="H2088" s="22">
        <f>VLOOKUP(A2088,[1]Orders!$A$2:$B$1616,2,0)</f>
        <v>42793</v>
      </c>
      <c r="J2088" t="s">
        <v>113</v>
      </c>
      <c r="K2088" t="s">
        <v>18</v>
      </c>
    </row>
    <row r="2089" spans="1:11" x14ac:dyDescent="0.3">
      <c r="A2089">
        <v>737</v>
      </c>
      <c r="B2089">
        <v>4</v>
      </c>
      <c r="C2089">
        <v>34</v>
      </c>
      <c r="D2089">
        <v>1</v>
      </c>
      <c r="E2089" s="1">
        <v>469.99</v>
      </c>
      <c r="F2089" s="1">
        <v>0.2</v>
      </c>
      <c r="G2089">
        <v>469.99</v>
      </c>
      <c r="H2089" s="22">
        <f>VLOOKUP(A2089,[1]Orders!$A$2:$B$1616,2,0)</f>
        <v>42793</v>
      </c>
      <c r="J2089" t="s">
        <v>107</v>
      </c>
      <c r="K2089" t="s">
        <v>18</v>
      </c>
    </row>
    <row r="2090" spans="1:11" x14ac:dyDescent="0.3">
      <c r="A2090">
        <v>738</v>
      </c>
      <c r="B2090">
        <v>1</v>
      </c>
      <c r="C2090">
        <v>82</v>
      </c>
      <c r="D2090">
        <v>2</v>
      </c>
      <c r="E2090" s="1">
        <v>659.99</v>
      </c>
      <c r="F2090" s="1">
        <v>7.0000000000000007E-2</v>
      </c>
      <c r="G2090">
        <v>1319.98</v>
      </c>
      <c r="H2090" s="22">
        <f>VLOOKUP(A2090,[1]Orders!$A$2:$B$1616,2,0)</f>
        <v>42794</v>
      </c>
      <c r="J2090" t="s">
        <v>100</v>
      </c>
      <c r="K2090" t="s">
        <v>11</v>
      </c>
    </row>
    <row r="2091" spans="1:11" x14ac:dyDescent="0.3">
      <c r="A2091">
        <v>738</v>
      </c>
      <c r="B2091">
        <v>2</v>
      </c>
      <c r="C2091">
        <v>38</v>
      </c>
      <c r="D2091">
        <v>2</v>
      </c>
      <c r="E2091" s="1">
        <v>549.99</v>
      </c>
      <c r="F2091" s="1">
        <v>0.2</v>
      </c>
      <c r="G2091">
        <v>1099.98</v>
      </c>
      <c r="H2091" s="22">
        <f>VLOOKUP(A2091,[1]Orders!$A$2:$B$1616,2,0)</f>
        <v>42794</v>
      </c>
      <c r="J2091" t="s">
        <v>93</v>
      </c>
      <c r="K2091" t="s">
        <v>11</v>
      </c>
    </row>
    <row r="2092" spans="1:11" x14ac:dyDescent="0.3">
      <c r="A2092">
        <v>738</v>
      </c>
      <c r="B2092">
        <v>3</v>
      </c>
      <c r="C2092">
        <v>25</v>
      </c>
      <c r="D2092">
        <v>1</v>
      </c>
      <c r="E2092" s="1">
        <v>499.99</v>
      </c>
      <c r="F2092" s="1">
        <v>0.1</v>
      </c>
      <c r="G2092">
        <v>499.99</v>
      </c>
      <c r="H2092" s="22">
        <f>VLOOKUP(A2092,[1]Orders!$A$2:$B$1616,2,0)</f>
        <v>42794</v>
      </c>
      <c r="J2092" t="s">
        <v>35</v>
      </c>
      <c r="K2092" t="s">
        <v>11</v>
      </c>
    </row>
    <row r="2093" spans="1:11" x14ac:dyDescent="0.3">
      <c r="A2093">
        <v>738</v>
      </c>
      <c r="B2093">
        <v>4</v>
      </c>
      <c r="C2093">
        <v>63</v>
      </c>
      <c r="D2093">
        <v>1</v>
      </c>
      <c r="E2093" s="1">
        <v>3499.99</v>
      </c>
      <c r="F2093" s="1">
        <v>7.0000000000000007E-2</v>
      </c>
      <c r="G2093">
        <v>3499.99</v>
      </c>
      <c r="H2093" s="22">
        <f>VLOOKUP(A2093,[1]Orders!$A$2:$B$1616,2,0)</f>
        <v>42794</v>
      </c>
      <c r="J2093" t="s">
        <v>75</v>
      </c>
      <c r="K2093" t="s">
        <v>11</v>
      </c>
    </row>
    <row r="2094" spans="1:11" x14ac:dyDescent="0.3">
      <c r="A2094">
        <v>739</v>
      </c>
      <c r="B2094">
        <v>1</v>
      </c>
      <c r="C2094">
        <v>3</v>
      </c>
      <c r="D2094">
        <v>1</v>
      </c>
      <c r="E2094" s="1">
        <v>999.99</v>
      </c>
      <c r="F2094" s="1">
        <v>0.2</v>
      </c>
      <c r="G2094">
        <v>999.99</v>
      </c>
      <c r="H2094" s="22">
        <f>VLOOKUP(A2094,[1]Orders!$A$2:$B$1616,2,0)</f>
        <v>42794</v>
      </c>
      <c r="J2094" t="s">
        <v>20</v>
      </c>
      <c r="K2094" t="s">
        <v>18</v>
      </c>
    </row>
    <row r="2095" spans="1:11" x14ac:dyDescent="0.3">
      <c r="A2095">
        <v>740</v>
      </c>
      <c r="B2095">
        <v>1</v>
      </c>
      <c r="C2095">
        <v>81</v>
      </c>
      <c r="D2095">
        <v>1</v>
      </c>
      <c r="E2095" s="1">
        <v>1099.99</v>
      </c>
      <c r="F2095" s="1">
        <v>0.05</v>
      </c>
      <c r="G2095">
        <v>1099.99</v>
      </c>
      <c r="H2095" s="22">
        <f>VLOOKUP(A2095,[1]Orders!$A$2:$B$1616,2,0)</f>
        <v>42794</v>
      </c>
      <c r="J2095" t="s">
        <v>99</v>
      </c>
      <c r="K2095" t="s">
        <v>18</v>
      </c>
    </row>
    <row r="2096" spans="1:11" x14ac:dyDescent="0.3">
      <c r="A2096">
        <v>740</v>
      </c>
      <c r="B2096">
        <v>2</v>
      </c>
      <c r="C2096">
        <v>94</v>
      </c>
      <c r="D2096">
        <v>2</v>
      </c>
      <c r="E2096" s="1">
        <v>249.99</v>
      </c>
      <c r="F2096" s="1">
        <v>0.2</v>
      </c>
      <c r="G2096">
        <v>499.98</v>
      </c>
      <c r="H2096" s="22">
        <f>VLOOKUP(A2096,[1]Orders!$A$2:$B$1616,2,0)</f>
        <v>42794</v>
      </c>
      <c r="J2096" t="s">
        <v>59</v>
      </c>
      <c r="K2096" t="s">
        <v>18</v>
      </c>
    </row>
    <row r="2097" spans="1:11" x14ac:dyDescent="0.3">
      <c r="A2097">
        <v>740</v>
      </c>
      <c r="B2097">
        <v>3</v>
      </c>
      <c r="C2097">
        <v>11</v>
      </c>
      <c r="D2097">
        <v>1</v>
      </c>
      <c r="E2097" s="1">
        <v>1680.99</v>
      </c>
      <c r="F2097" s="1">
        <v>0.2</v>
      </c>
      <c r="G2097">
        <v>1680.99</v>
      </c>
      <c r="H2097" s="22">
        <f>VLOOKUP(A2097,[1]Orders!$A$2:$B$1616,2,0)</f>
        <v>42794</v>
      </c>
      <c r="J2097" t="s">
        <v>30</v>
      </c>
      <c r="K2097" t="s">
        <v>18</v>
      </c>
    </row>
    <row r="2098" spans="1:11" x14ac:dyDescent="0.3">
      <c r="A2098">
        <v>740</v>
      </c>
      <c r="B2098">
        <v>4</v>
      </c>
      <c r="C2098">
        <v>19</v>
      </c>
      <c r="D2098">
        <v>1</v>
      </c>
      <c r="E2098" s="1">
        <v>449</v>
      </c>
      <c r="F2098" s="1">
        <v>0.2</v>
      </c>
      <c r="G2098">
        <v>449</v>
      </c>
      <c r="H2098" s="22">
        <f>VLOOKUP(A2098,[1]Orders!$A$2:$B$1616,2,0)</f>
        <v>42794</v>
      </c>
      <c r="J2098" t="s">
        <v>36</v>
      </c>
      <c r="K2098" t="s">
        <v>18</v>
      </c>
    </row>
    <row r="2099" spans="1:11" x14ac:dyDescent="0.3">
      <c r="A2099">
        <v>740</v>
      </c>
      <c r="B2099">
        <v>5</v>
      </c>
      <c r="C2099">
        <v>12</v>
      </c>
      <c r="D2099">
        <v>2</v>
      </c>
      <c r="E2099" s="1">
        <v>549.99</v>
      </c>
      <c r="F2099" s="1">
        <v>7.0000000000000007E-2</v>
      </c>
      <c r="G2099">
        <v>1099.98</v>
      </c>
      <c r="H2099" s="22">
        <f>VLOOKUP(A2099,[1]Orders!$A$2:$B$1616,2,0)</f>
        <v>42794</v>
      </c>
      <c r="J2099" t="s">
        <v>25</v>
      </c>
      <c r="K2099" t="s">
        <v>18</v>
      </c>
    </row>
    <row r="2100" spans="1:11" x14ac:dyDescent="0.3">
      <c r="A2100">
        <v>741</v>
      </c>
      <c r="B2100">
        <v>1</v>
      </c>
      <c r="C2100">
        <v>58</v>
      </c>
      <c r="D2100">
        <v>1</v>
      </c>
      <c r="E2100" s="1">
        <v>4999.99</v>
      </c>
      <c r="F2100" s="1">
        <v>0.05</v>
      </c>
      <c r="G2100">
        <v>4999.99</v>
      </c>
      <c r="H2100" s="22">
        <f>VLOOKUP(A2100,[1]Orders!$A$2:$B$1616,2,0)</f>
        <v>42794</v>
      </c>
      <c r="J2100" t="s">
        <v>81</v>
      </c>
      <c r="K2100" t="s">
        <v>37</v>
      </c>
    </row>
    <row r="2101" spans="1:11" x14ac:dyDescent="0.3">
      <c r="A2101">
        <v>741</v>
      </c>
      <c r="B2101">
        <v>2</v>
      </c>
      <c r="C2101">
        <v>76</v>
      </c>
      <c r="D2101">
        <v>1</v>
      </c>
      <c r="E2101" s="1">
        <v>299.99</v>
      </c>
      <c r="F2101" s="1">
        <v>7.0000000000000007E-2</v>
      </c>
      <c r="G2101">
        <v>299.99</v>
      </c>
      <c r="H2101" s="22">
        <f>VLOOKUP(A2101,[1]Orders!$A$2:$B$1616,2,0)</f>
        <v>42794</v>
      </c>
      <c r="J2101" t="s">
        <v>48</v>
      </c>
      <c r="K2101" t="s">
        <v>37</v>
      </c>
    </row>
    <row r="2102" spans="1:11" x14ac:dyDescent="0.3">
      <c r="A2102">
        <v>741</v>
      </c>
      <c r="B2102">
        <v>3</v>
      </c>
      <c r="C2102">
        <v>21</v>
      </c>
      <c r="D2102">
        <v>2</v>
      </c>
      <c r="E2102" s="1">
        <v>269.99</v>
      </c>
      <c r="F2102" s="1">
        <v>7.0000000000000007E-2</v>
      </c>
      <c r="G2102">
        <v>539.98</v>
      </c>
      <c r="H2102" s="22">
        <f>VLOOKUP(A2102,[1]Orders!$A$2:$B$1616,2,0)</f>
        <v>42794</v>
      </c>
      <c r="J2102" t="s">
        <v>31</v>
      </c>
      <c r="K2102" t="s">
        <v>37</v>
      </c>
    </row>
    <row r="2103" spans="1:11" x14ac:dyDescent="0.3">
      <c r="A2103">
        <v>741</v>
      </c>
      <c r="B2103">
        <v>4</v>
      </c>
      <c r="C2103">
        <v>56</v>
      </c>
      <c r="D2103">
        <v>2</v>
      </c>
      <c r="E2103" s="1">
        <v>5499.99</v>
      </c>
      <c r="F2103" s="1">
        <v>0.05</v>
      </c>
      <c r="G2103">
        <v>10999.98</v>
      </c>
      <c r="H2103" s="22">
        <f>VLOOKUP(A2103,[1]Orders!$A$2:$B$1616,2,0)</f>
        <v>42794</v>
      </c>
      <c r="J2103" t="s">
        <v>41</v>
      </c>
      <c r="K2103" t="s">
        <v>37</v>
      </c>
    </row>
    <row r="2104" spans="1:11" x14ac:dyDescent="0.3">
      <c r="A2104">
        <v>742</v>
      </c>
      <c r="B2104">
        <v>1</v>
      </c>
      <c r="C2104">
        <v>107</v>
      </c>
      <c r="D2104">
        <v>2</v>
      </c>
      <c r="E2104" s="1">
        <v>416.99</v>
      </c>
      <c r="F2104" s="1">
        <v>0.05</v>
      </c>
      <c r="G2104">
        <v>833.98</v>
      </c>
      <c r="H2104" s="22">
        <f>VLOOKUP(A2104,[1]Orders!$A$2:$B$1616,2,0)</f>
        <v>42794</v>
      </c>
      <c r="J2104" t="s">
        <v>89</v>
      </c>
      <c r="K2104" t="s">
        <v>37</v>
      </c>
    </row>
    <row r="2105" spans="1:11" x14ac:dyDescent="0.3">
      <c r="A2105">
        <v>742</v>
      </c>
      <c r="B2105">
        <v>2</v>
      </c>
      <c r="C2105">
        <v>45</v>
      </c>
      <c r="D2105">
        <v>1</v>
      </c>
      <c r="E2105" s="1">
        <v>869.99</v>
      </c>
      <c r="F2105" s="1">
        <v>7.0000000000000007E-2</v>
      </c>
      <c r="G2105">
        <v>869.99</v>
      </c>
      <c r="H2105" s="22">
        <f>VLOOKUP(A2105,[1]Orders!$A$2:$B$1616,2,0)</f>
        <v>42794</v>
      </c>
      <c r="J2105" t="s">
        <v>88</v>
      </c>
      <c r="K2105" t="s">
        <v>37</v>
      </c>
    </row>
    <row r="2106" spans="1:11" x14ac:dyDescent="0.3">
      <c r="A2106">
        <v>743</v>
      </c>
      <c r="B2106">
        <v>1</v>
      </c>
      <c r="C2106">
        <v>80</v>
      </c>
      <c r="D2106">
        <v>1</v>
      </c>
      <c r="E2106" s="1">
        <v>761.99</v>
      </c>
      <c r="F2106" s="1">
        <v>0.05</v>
      </c>
      <c r="G2106">
        <v>761.99</v>
      </c>
      <c r="H2106" s="22">
        <f>VLOOKUP(A2106,[1]Orders!$A$2:$B$1616,2,0)</f>
        <v>42795</v>
      </c>
      <c r="J2106" t="s">
        <v>63</v>
      </c>
      <c r="K2106" t="s">
        <v>18</v>
      </c>
    </row>
    <row r="2107" spans="1:11" x14ac:dyDescent="0.3">
      <c r="A2107">
        <v>744</v>
      </c>
      <c r="B2107">
        <v>1</v>
      </c>
      <c r="C2107">
        <v>33</v>
      </c>
      <c r="D2107">
        <v>2</v>
      </c>
      <c r="E2107" s="1">
        <v>469.99</v>
      </c>
      <c r="F2107" s="1">
        <v>0.2</v>
      </c>
      <c r="G2107">
        <v>939.98</v>
      </c>
      <c r="H2107" s="22">
        <f>VLOOKUP(A2107,[1]Orders!$A$2:$B$1616,2,0)</f>
        <v>42795</v>
      </c>
      <c r="J2107" t="s">
        <v>67</v>
      </c>
      <c r="K2107" t="s">
        <v>18</v>
      </c>
    </row>
    <row r="2108" spans="1:11" x14ac:dyDescent="0.3">
      <c r="A2108">
        <v>745</v>
      </c>
      <c r="B2108">
        <v>1</v>
      </c>
      <c r="C2108">
        <v>95</v>
      </c>
      <c r="D2108">
        <v>2</v>
      </c>
      <c r="E2108" s="1">
        <v>299.99</v>
      </c>
      <c r="F2108" s="1">
        <v>0.05</v>
      </c>
      <c r="G2108">
        <v>599.98</v>
      </c>
      <c r="H2108" s="22">
        <f>VLOOKUP(A2108,[1]Orders!$A$2:$B$1616,2,0)</f>
        <v>42795</v>
      </c>
      <c r="J2108" t="s">
        <v>48</v>
      </c>
      <c r="K2108" t="s">
        <v>18</v>
      </c>
    </row>
    <row r="2109" spans="1:11" x14ac:dyDescent="0.3">
      <c r="A2109">
        <v>745</v>
      </c>
      <c r="B2109">
        <v>2</v>
      </c>
      <c r="C2109">
        <v>22</v>
      </c>
      <c r="D2109">
        <v>2</v>
      </c>
      <c r="E2109" s="1">
        <v>269.99</v>
      </c>
      <c r="F2109" s="1">
        <v>0.2</v>
      </c>
      <c r="G2109">
        <v>539.98</v>
      </c>
      <c r="H2109" s="22">
        <f>VLOOKUP(A2109,[1]Orders!$A$2:$B$1616,2,0)</f>
        <v>42795</v>
      </c>
      <c r="J2109" t="s">
        <v>28</v>
      </c>
      <c r="K2109" t="s">
        <v>18</v>
      </c>
    </row>
    <row r="2110" spans="1:11" x14ac:dyDescent="0.3">
      <c r="A2110">
        <v>745</v>
      </c>
      <c r="B2110">
        <v>3</v>
      </c>
      <c r="C2110">
        <v>78</v>
      </c>
      <c r="D2110">
        <v>1</v>
      </c>
      <c r="E2110" s="1">
        <v>647.99</v>
      </c>
      <c r="F2110" s="1">
        <v>0.1</v>
      </c>
      <c r="G2110">
        <v>647.99</v>
      </c>
      <c r="H2110" s="22">
        <f>VLOOKUP(A2110,[1]Orders!$A$2:$B$1616,2,0)</f>
        <v>42795</v>
      </c>
      <c r="J2110" t="s">
        <v>57</v>
      </c>
      <c r="K2110" t="s">
        <v>18</v>
      </c>
    </row>
    <row r="2111" spans="1:11" x14ac:dyDescent="0.3">
      <c r="A2111">
        <v>746</v>
      </c>
      <c r="B2111">
        <v>1</v>
      </c>
      <c r="C2111">
        <v>99</v>
      </c>
      <c r="D2111">
        <v>1</v>
      </c>
      <c r="E2111" s="1">
        <v>299.99</v>
      </c>
      <c r="F2111" s="1">
        <v>0.1</v>
      </c>
      <c r="G2111">
        <v>299.99</v>
      </c>
      <c r="H2111" s="22">
        <f>VLOOKUP(A2111,[1]Orders!$A$2:$B$1616,2,0)</f>
        <v>42796</v>
      </c>
      <c r="J2111" t="s">
        <v>52</v>
      </c>
      <c r="K2111" t="s">
        <v>11</v>
      </c>
    </row>
    <row r="2112" spans="1:11" x14ac:dyDescent="0.3">
      <c r="A2112">
        <v>747</v>
      </c>
      <c r="B2112">
        <v>1</v>
      </c>
      <c r="C2112">
        <v>110</v>
      </c>
      <c r="D2112">
        <v>1</v>
      </c>
      <c r="E2112" s="1">
        <v>470.99</v>
      </c>
      <c r="F2112" s="1">
        <v>7.0000000000000007E-2</v>
      </c>
      <c r="G2112">
        <v>470.99</v>
      </c>
      <c r="H2112" s="22">
        <f>VLOOKUP(A2112,[1]Orders!$A$2:$B$1616,2,0)</f>
        <v>42797</v>
      </c>
      <c r="J2112" t="s">
        <v>65</v>
      </c>
      <c r="K2112" t="s">
        <v>11</v>
      </c>
    </row>
    <row r="2113" spans="1:11" x14ac:dyDescent="0.3">
      <c r="A2113">
        <v>747</v>
      </c>
      <c r="B2113">
        <v>2</v>
      </c>
      <c r="C2113">
        <v>86</v>
      </c>
      <c r="D2113">
        <v>1</v>
      </c>
      <c r="E2113" s="1">
        <v>149.99</v>
      </c>
      <c r="F2113" s="1">
        <v>0.2</v>
      </c>
      <c r="G2113">
        <v>149.99</v>
      </c>
      <c r="H2113" s="22">
        <f>VLOOKUP(A2113,[1]Orders!$A$2:$B$1616,2,0)</f>
        <v>42797</v>
      </c>
      <c r="J2113" t="s">
        <v>115</v>
      </c>
      <c r="K2113" t="s">
        <v>11</v>
      </c>
    </row>
    <row r="2114" spans="1:11" x14ac:dyDescent="0.3">
      <c r="A2114">
        <v>747</v>
      </c>
      <c r="B2114">
        <v>3</v>
      </c>
      <c r="C2114">
        <v>33</v>
      </c>
      <c r="D2114">
        <v>2</v>
      </c>
      <c r="E2114" s="1">
        <v>469.99</v>
      </c>
      <c r="F2114" s="1">
        <v>0.1</v>
      </c>
      <c r="G2114">
        <v>939.98</v>
      </c>
      <c r="H2114" s="22">
        <f>VLOOKUP(A2114,[1]Orders!$A$2:$B$1616,2,0)</f>
        <v>42797</v>
      </c>
      <c r="J2114" t="s">
        <v>67</v>
      </c>
      <c r="K2114" t="s">
        <v>11</v>
      </c>
    </row>
    <row r="2115" spans="1:11" x14ac:dyDescent="0.3">
      <c r="A2115">
        <v>747</v>
      </c>
      <c r="B2115">
        <v>4</v>
      </c>
      <c r="C2115">
        <v>81</v>
      </c>
      <c r="D2115">
        <v>1</v>
      </c>
      <c r="E2115" s="1">
        <v>1099.99</v>
      </c>
      <c r="F2115" s="1">
        <v>7.0000000000000007E-2</v>
      </c>
      <c r="G2115">
        <v>1099.99</v>
      </c>
      <c r="H2115" s="22">
        <f>VLOOKUP(A2115,[1]Orders!$A$2:$B$1616,2,0)</f>
        <v>42797</v>
      </c>
      <c r="J2115" t="s">
        <v>99</v>
      </c>
      <c r="K2115" t="s">
        <v>11</v>
      </c>
    </row>
    <row r="2116" spans="1:11" x14ac:dyDescent="0.3">
      <c r="A2116">
        <v>748</v>
      </c>
      <c r="B2116">
        <v>1</v>
      </c>
      <c r="C2116">
        <v>16</v>
      </c>
      <c r="D2116">
        <v>2</v>
      </c>
      <c r="E2116" s="1">
        <v>599.99</v>
      </c>
      <c r="F2116" s="1">
        <v>0.1</v>
      </c>
      <c r="G2116">
        <v>1199.98</v>
      </c>
      <c r="H2116" s="22">
        <f>VLOOKUP(A2116,[1]Orders!$A$2:$B$1616,2,0)</f>
        <v>42797</v>
      </c>
      <c r="J2116" t="s">
        <v>14</v>
      </c>
      <c r="K2116" t="s">
        <v>37</v>
      </c>
    </row>
    <row r="2117" spans="1:11" x14ac:dyDescent="0.3">
      <c r="A2117">
        <v>748</v>
      </c>
      <c r="B2117">
        <v>2</v>
      </c>
      <c r="C2117">
        <v>83</v>
      </c>
      <c r="D2117">
        <v>2</v>
      </c>
      <c r="E2117" s="1">
        <v>149.99</v>
      </c>
      <c r="F2117" s="1">
        <v>0.05</v>
      </c>
      <c r="G2117">
        <v>299.98</v>
      </c>
      <c r="H2117" s="22">
        <f>VLOOKUP(A2117,[1]Orders!$A$2:$B$1616,2,0)</f>
        <v>42797</v>
      </c>
      <c r="J2117" t="s">
        <v>66</v>
      </c>
      <c r="K2117" t="s">
        <v>37</v>
      </c>
    </row>
    <row r="2118" spans="1:11" x14ac:dyDescent="0.3">
      <c r="A2118">
        <v>748</v>
      </c>
      <c r="B2118">
        <v>3</v>
      </c>
      <c r="C2118">
        <v>41</v>
      </c>
      <c r="D2118">
        <v>1</v>
      </c>
      <c r="E2118" s="1">
        <v>1469.99</v>
      </c>
      <c r="F2118" s="1">
        <v>7.0000000000000007E-2</v>
      </c>
      <c r="G2118">
        <v>1469.99</v>
      </c>
      <c r="H2118" s="22">
        <f>VLOOKUP(A2118,[1]Orders!$A$2:$B$1616,2,0)</f>
        <v>42797</v>
      </c>
      <c r="J2118" t="s">
        <v>77</v>
      </c>
      <c r="K2118" t="s">
        <v>37</v>
      </c>
    </row>
    <row r="2119" spans="1:11" x14ac:dyDescent="0.3">
      <c r="A2119">
        <v>748</v>
      </c>
      <c r="B2119">
        <v>4</v>
      </c>
      <c r="C2119">
        <v>35</v>
      </c>
      <c r="D2119">
        <v>2</v>
      </c>
      <c r="E2119" s="1">
        <v>832.99</v>
      </c>
      <c r="F2119" s="1">
        <v>0.2</v>
      </c>
      <c r="G2119">
        <v>1665.98</v>
      </c>
      <c r="H2119" s="22">
        <f>VLOOKUP(A2119,[1]Orders!$A$2:$B$1616,2,0)</f>
        <v>42797</v>
      </c>
      <c r="J2119" t="s">
        <v>109</v>
      </c>
      <c r="K2119" t="s">
        <v>37</v>
      </c>
    </row>
    <row r="2120" spans="1:11" x14ac:dyDescent="0.3">
      <c r="A2120">
        <v>749</v>
      </c>
      <c r="B2120">
        <v>1</v>
      </c>
      <c r="C2120">
        <v>9</v>
      </c>
      <c r="D2120">
        <v>1</v>
      </c>
      <c r="E2120" s="1">
        <v>2999.99</v>
      </c>
      <c r="F2120" s="1">
        <v>0.2</v>
      </c>
      <c r="G2120">
        <v>2999.99</v>
      </c>
      <c r="H2120" s="22">
        <f>VLOOKUP(A2120,[1]Orders!$A$2:$B$1616,2,0)</f>
        <v>42798</v>
      </c>
      <c r="J2120" t="s">
        <v>26</v>
      </c>
      <c r="K2120" t="s">
        <v>18</v>
      </c>
    </row>
    <row r="2121" spans="1:11" x14ac:dyDescent="0.3">
      <c r="A2121">
        <v>749</v>
      </c>
      <c r="B2121">
        <v>2</v>
      </c>
      <c r="C2121">
        <v>28</v>
      </c>
      <c r="D2121">
        <v>1</v>
      </c>
      <c r="E2121" s="1">
        <v>2499.9899999999998</v>
      </c>
      <c r="F2121" s="1">
        <v>0.05</v>
      </c>
      <c r="G2121">
        <v>2499.9899999999998</v>
      </c>
      <c r="H2121" s="22">
        <f>VLOOKUP(A2121,[1]Orders!$A$2:$B$1616,2,0)</f>
        <v>42798</v>
      </c>
      <c r="J2121" t="s">
        <v>86</v>
      </c>
      <c r="K2121" t="s">
        <v>18</v>
      </c>
    </row>
    <row r="2122" spans="1:11" x14ac:dyDescent="0.3">
      <c r="A2122">
        <v>749</v>
      </c>
      <c r="B2122">
        <v>3</v>
      </c>
      <c r="C2122">
        <v>79</v>
      </c>
      <c r="D2122">
        <v>1</v>
      </c>
      <c r="E2122" s="1">
        <v>402.99</v>
      </c>
      <c r="F2122" s="1">
        <v>0.2</v>
      </c>
      <c r="G2122">
        <v>402.99</v>
      </c>
      <c r="H2122" s="22">
        <f>VLOOKUP(A2122,[1]Orders!$A$2:$B$1616,2,0)</f>
        <v>42798</v>
      </c>
      <c r="J2122" t="s">
        <v>58</v>
      </c>
      <c r="K2122" t="s">
        <v>18</v>
      </c>
    </row>
    <row r="2123" spans="1:11" x14ac:dyDescent="0.3">
      <c r="A2123">
        <v>749</v>
      </c>
      <c r="B2123">
        <v>4</v>
      </c>
      <c r="C2123">
        <v>24</v>
      </c>
      <c r="D2123">
        <v>1</v>
      </c>
      <c r="E2123" s="1">
        <v>549.99</v>
      </c>
      <c r="F2123" s="1">
        <v>0.05</v>
      </c>
      <c r="G2123">
        <v>549.99</v>
      </c>
      <c r="H2123" s="22">
        <f>VLOOKUP(A2123,[1]Orders!$A$2:$B$1616,2,0)</f>
        <v>42798</v>
      </c>
      <c r="J2123" t="s">
        <v>25</v>
      </c>
      <c r="K2123" t="s">
        <v>18</v>
      </c>
    </row>
    <row r="2124" spans="1:11" x14ac:dyDescent="0.3">
      <c r="A2124">
        <v>749</v>
      </c>
      <c r="B2124">
        <v>5</v>
      </c>
      <c r="C2124">
        <v>40</v>
      </c>
      <c r="D2124">
        <v>1</v>
      </c>
      <c r="E2124" s="1">
        <v>4999.99</v>
      </c>
      <c r="F2124" s="1">
        <v>7.0000000000000007E-2</v>
      </c>
      <c r="G2124">
        <v>4999.99</v>
      </c>
      <c r="H2124" s="22">
        <f>VLOOKUP(A2124,[1]Orders!$A$2:$B$1616,2,0)</f>
        <v>42798</v>
      </c>
      <c r="J2124" t="s">
        <v>104</v>
      </c>
      <c r="K2124" t="s">
        <v>18</v>
      </c>
    </row>
    <row r="2125" spans="1:11" x14ac:dyDescent="0.3">
      <c r="A2125">
        <v>750</v>
      </c>
      <c r="B2125">
        <v>1</v>
      </c>
      <c r="C2125">
        <v>72</v>
      </c>
      <c r="D2125">
        <v>1</v>
      </c>
      <c r="E2125" s="1">
        <v>619.99</v>
      </c>
      <c r="F2125" s="1">
        <v>0.05</v>
      </c>
      <c r="G2125">
        <v>619.99</v>
      </c>
      <c r="H2125" s="22">
        <f>VLOOKUP(A2125,[1]Orders!$A$2:$B$1616,2,0)</f>
        <v>42798</v>
      </c>
      <c r="J2125" t="s">
        <v>44</v>
      </c>
      <c r="K2125" t="s">
        <v>37</v>
      </c>
    </row>
    <row r="2126" spans="1:11" x14ac:dyDescent="0.3">
      <c r="A2126">
        <v>750</v>
      </c>
      <c r="B2126">
        <v>2</v>
      </c>
      <c r="C2126">
        <v>78</v>
      </c>
      <c r="D2126">
        <v>2</v>
      </c>
      <c r="E2126" s="1">
        <v>647.99</v>
      </c>
      <c r="F2126" s="1">
        <v>0.1</v>
      </c>
      <c r="G2126">
        <v>1295.98</v>
      </c>
      <c r="H2126" s="22">
        <f>VLOOKUP(A2126,[1]Orders!$A$2:$B$1616,2,0)</f>
        <v>42798</v>
      </c>
      <c r="J2126" t="s">
        <v>57</v>
      </c>
      <c r="K2126" t="s">
        <v>37</v>
      </c>
    </row>
    <row r="2127" spans="1:11" x14ac:dyDescent="0.3">
      <c r="A2127">
        <v>751</v>
      </c>
      <c r="B2127">
        <v>1</v>
      </c>
      <c r="C2127">
        <v>45</v>
      </c>
      <c r="D2127">
        <v>2</v>
      </c>
      <c r="E2127" s="1">
        <v>869.99</v>
      </c>
      <c r="F2127" s="1">
        <v>0.05</v>
      </c>
      <c r="G2127">
        <v>1739.98</v>
      </c>
      <c r="H2127" s="22">
        <f>VLOOKUP(A2127,[1]Orders!$A$2:$B$1616,2,0)</f>
        <v>42799</v>
      </c>
      <c r="J2127" t="s">
        <v>88</v>
      </c>
      <c r="K2127" t="s">
        <v>11</v>
      </c>
    </row>
    <row r="2128" spans="1:11" x14ac:dyDescent="0.3">
      <c r="A2128">
        <v>752</v>
      </c>
      <c r="B2128">
        <v>1</v>
      </c>
      <c r="C2128">
        <v>12</v>
      </c>
      <c r="D2128">
        <v>2</v>
      </c>
      <c r="E2128" s="1">
        <v>549.99</v>
      </c>
      <c r="F2128" s="1">
        <v>0.05</v>
      </c>
      <c r="G2128">
        <v>1099.98</v>
      </c>
      <c r="H2128" s="22">
        <f>VLOOKUP(A2128,[1]Orders!$A$2:$B$1616,2,0)</f>
        <v>42799</v>
      </c>
      <c r="J2128" t="s">
        <v>25</v>
      </c>
      <c r="K2128" t="s">
        <v>18</v>
      </c>
    </row>
    <row r="2129" spans="1:11" x14ac:dyDescent="0.3">
      <c r="A2129">
        <v>752</v>
      </c>
      <c r="B2129">
        <v>2</v>
      </c>
      <c r="C2129">
        <v>31</v>
      </c>
      <c r="D2129">
        <v>2</v>
      </c>
      <c r="E2129" s="1">
        <v>1632.99</v>
      </c>
      <c r="F2129" s="1">
        <v>0.05</v>
      </c>
      <c r="G2129">
        <v>3265.98</v>
      </c>
      <c r="H2129" s="22">
        <f>VLOOKUP(A2129,[1]Orders!$A$2:$B$1616,2,0)</f>
        <v>42799</v>
      </c>
      <c r="J2129" t="s">
        <v>102</v>
      </c>
      <c r="K2129" t="s">
        <v>18</v>
      </c>
    </row>
    <row r="2130" spans="1:11" x14ac:dyDescent="0.3">
      <c r="A2130">
        <v>753</v>
      </c>
      <c r="B2130">
        <v>1</v>
      </c>
      <c r="C2130">
        <v>105</v>
      </c>
      <c r="D2130">
        <v>2</v>
      </c>
      <c r="E2130" s="1">
        <v>533.99</v>
      </c>
      <c r="F2130" s="1">
        <v>7.0000000000000007E-2</v>
      </c>
      <c r="G2130">
        <v>1067.98</v>
      </c>
      <c r="H2130" s="22">
        <f>VLOOKUP(A2130,[1]Orders!$A$2:$B$1616,2,0)</f>
        <v>42799</v>
      </c>
      <c r="J2130" t="s">
        <v>96</v>
      </c>
      <c r="K2130" t="s">
        <v>18</v>
      </c>
    </row>
    <row r="2131" spans="1:11" x14ac:dyDescent="0.3">
      <c r="A2131">
        <v>753</v>
      </c>
      <c r="B2131">
        <v>2</v>
      </c>
      <c r="C2131">
        <v>7</v>
      </c>
      <c r="D2131">
        <v>2</v>
      </c>
      <c r="E2131" s="1">
        <v>3999.99</v>
      </c>
      <c r="F2131" s="1">
        <v>0.2</v>
      </c>
      <c r="G2131">
        <v>7999.98</v>
      </c>
      <c r="H2131" s="22">
        <f>VLOOKUP(A2131,[1]Orders!$A$2:$B$1616,2,0)</f>
        <v>42799</v>
      </c>
      <c r="J2131" t="s">
        <v>29</v>
      </c>
      <c r="K2131" t="s">
        <v>18</v>
      </c>
    </row>
    <row r="2132" spans="1:11" x14ac:dyDescent="0.3">
      <c r="A2132">
        <v>753</v>
      </c>
      <c r="B2132">
        <v>3</v>
      </c>
      <c r="C2132">
        <v>36</v>
      </c>
      <c r="D2132">
        <v>2</v>
      </c>
      <c r="E2132" s="1">
        <v>832.99</v>
      </c>
      <c r="F2132" s="1">
        <v>0.1</v>
      </c>
      <c r="G2132">
        <v>1665.98</v>
      </c>
      <c r="H2132" s="22">
        <f>VLOOKUP(A2132,[1]Orders!$A$2:$B$1616,2,0)</f>
        <v>42799</v>
      </c>
      <c r="J2132" t="s">
        <v>116</v>
      </c>
      <c r="K2132" t="s">
        <v>18</v>
      </c>
    </row>
    <row r="2133" spans="1:11" x14ac:dyDescent="0.3">
      <c r="A2133">
        <v>753</v>
      </c>
      <c r="B2133">
        <v>4</v>
      </c>
      <c r="C2133">
        <v>95</v>
      </c>
      <c r="D2133">
        <v>1</v>
      </c>
      <c r="E2133" s="1">
        <v>299.99</v>
      </c>
      <c r="F2133" s="1">
        <v>7.0000000000000007E-2</v>
      </c>
      <c r="G2133">
        <v>299.99</v>
      </c>
      <c r="H2133" s="22">
        <f>VLOOKUP(A2133,[1]Orders!$A$2:$B$1616,2,0)</f>
        <v>42799</v>
      </c>
      <c r="J2133" t="s">
        <v>48</v>
      </c>
      <c r="K2133" t="s">
        <v>18</v>
      </c>
    </row>
    <row r="2134" spans="1:11" x14ac:dyDescent="0.3">
      <c r="A2134">
        <v>753</v>
      </c>
      <c r="B2134">
        <v>5</v>
      </c>
      <c r="C2134">
        <v>66</v>
      </c>
      <c r="D2134">
        <v>1</v>
      </c>
      <c r="E2134" s="1">
        <v>250.99</v>
      </c>
      <c r="F2134" s="1">
        <v>0.2</v>
      </c>
      <c r="G2134">
        <v>250.99</v>
      </c>
      <c r="H2134" s="22">
        <f>VLOOKUP(A2134,[1]Orders!$A$2:$B$1616,2,0)</f>
        <v>42799</v>
      </c>
      <c r="J2134" t="s">
        <v>92</v>
      </c>
      <c r="K2134" t="s">
        <v>18</v>
      </c>
    </row>
    <row r="2135" spans="1:11" x14ac:dyDescent="0.3">
      <c r="A2135">
        <v>754</v>
      </c>
      <c r="B2135">
        <v>1</v>
      </c>
      <c r="C2135">
        <v>74</v>
      </c>
      <c r="D2135">
        <v>2</v>
      </c>
      <c r="E2135" s="1">
        <v>439.99</v>
      </c>
      <c r="F2135" s="1">
        <v>7.0000000000000007E-2</v>
      </c>
      <c r="G2135">
        <v>879.98</v>
      </c>
      <c r="H2135" s="22">
        <f>VLOOKUP(A2135,[1]Orders!$A$2:$B$1616,2,0)</f>
        <v>42800</v>
      </c>
      <c r="J2135" t="s">
        <v>61</v>
      </c>
      <c r="K2135" t="s">
        <v>11</v>
      </c>
    </row>
    <row r="2136" spans="1:11" x14ac:dyDescent="0.3">
      <c r="A2136">
        <v>754</v>
      </c>
      <c r="B2136">
        <v>2</v>
      </c>
      <c r="C2136">
        <v>12</v>
      </c>
      <c r="D2136">
        <v>2</v>
      </c>
      <c r="E2136" s="1">
        <v>549.99</v>
      </c>
      <c r="F2136" s="1">
        <v>7.0000000000000007E-2</v>
      </c>
      <c r="G2136">
        <v>1099.98</v>
      </c>
      <c r="H2136" s="22">
        <f>VLOOKUP(A2136,[1]Orders!$A$2:$B$1616,2,0)</f>
        <v>42800</v>
      </c>
      <c r="J2136" t="s">
        <v>25</v>
      </c>
      <c r="K2136" t="s">
        <v>11</v>
      </c>
    </row>
    <row r="2137" spans="1:11" x14ac:dyDescent="0.3">
      <c r="A2137">
        <v>754</v>
      </c>
      <c r="B2137">
        <v>3</v>
      </c>
      <c r="C2137">
        <v>3</v>
      </c>
      <c r="D2137">
        <v>1</v>
      </c>
      <c r="E2137" s="1">
        <v>999.99</v>
      </c>
      <c r="F2137" s="1">
        <v>0.05</v>
      </c>
      <c r="G2137">
        <v>999.99</v>
      </c>
      <c r="H2137" s="22">
        <f>VLOOKUP(A2137,[1]Orders!$A$2:$B$1616,2,0)</f>
        <v>42800</v>
      </c>
      <c r="J2137" t="s">
        <v>20</v>
      </c>
      <c r="K2137" t="s">
        <v>11</v>
      </c>
    </row>
    <row r="2138" spans="1:11" x14ac:dyDescent="0.3">
      <c r="A2138">
        <v>754</v>
      </c>
      <c r="B2138">
        <v>4</v>
      </c>
      <c r="C2138">
        <v>67</v>
      </c>
      <c r="D2138">
        <v>2</v>
      </c>
      <c r="E2138" s="1">
        <v>250.99</v>
      </c>
      <c r="F2138" s="1">
        <v>0.05</v>
      </c>
      <c r="G2138">
        <v>501.98</v>
      </c>
      <c r="H2138" s="22">
        <f>VLOOKUP(A2138,[1]Orders!$A$2:$B$1616,2,0)</f>
        <v>42800</v>
      </c>
      <c r="J2138" t="s">
        <v>60</v>
      </c>
      <c r="K2138" t="s">
        <v>11</v>
      </c>
    </row>
    <row r="2139" spans="1:11" x14ac:dyDescent="0.3">
      <c r="A2139">
        <v>754</v>
      </c>
      <c r="B2139">
        <v>5</v>
      </c>
      <c r="C2139">
        <v>7</v>
      </c>
      <c r="D2139">
        <v>1</v>
      </c>
      <c r="E2139" s="1">
        <v>3999.99</v>
      </c>
      <c r="F2139" s="1">
        <v>0.2</v>
      </c>
      <c r="G2139">
        <v>3999.99</v>
      </c>
      <c r="H2139" s="22">
        <f>VLOOKUP(A2139,[1]Orders!$A$2:$B$1616,2,0)</f>
        <v>42800</v>
      </c>
      <c r="J2139" t="s">
        <v>29</v>
      </c>
      <c r="K2139" t="s">
        <v>11</v>
      </c>
    </row>
    <row r="2140" spans="1:11" x14ac:dyDescent="0.3">
      <c r="A2140">
        <v>755</v>
      </c>
      <c r="B2140">
        <v>1</v>
      </c>
      <c r="C2140">
        <v>80</v>
      </c>
      <c r="D2140">
        <v>2</v>
      </c>
      <c r="E2140" s="1">
        <v>761.99</v>
      </c>
      <c r="F2140" s="1">
        <v>7.0000000000000007E-2</v>
      </c>
      <c r="G2140">
        <v>1523.98</v>
      </c>
      <c r="H2140" s="22">
        <f>VLOOKUP(A2140,[1]Orders!$A$2:$B$1616,2,0)</f>
        <v>42800</v>
      </c>
      <c r="J2140" t="s">
        <v>63</v>
      </c>
      <c r="K2140" t="s">
        <v>18</v>
      </c>
    </row>
    <row r="2141" spans="1:11" x14ac:dyDescent="0.3">
      <c r="A2141">
        <v>755</v>
      </c>
      <c r="B2141">
        <v>2</v>
      </c>
      <c r="C2141">
        <v>43</v>
      </c>
      <c r="D2141">
        <v>2</v>
      </c>
      <c r="E2141" s="1">
        <v>5299.99</v>
      </c>
      <c r="F2141" s="1">
        <v>0.05</v>
      </c>
      <c r="G2141">
        <v>10599.98</v>
      </c>
      <c r="H2141" s="22">
        <f>VLOOKUP(A2141,[1]Orders!$A$2:$B$1616,2,0)</f>
        <v>42800</v>
      </c>
      <c r="J2141" t="s">
        <v>62</v>
      </c>
      <c r="K2141" t="s">
        <v>18</v>
      </c>
    </row>
    <row r="2142" spans="1:11" x14ac:dyDescent="0.3">
      <c r="A2142">
        <v>755</v>
      </c>
      <c r="B2142">
        <v>3</v>
      </c>
      <c r="C2142">
        <v>57</v>
      </c>
      <c r="D2142">
        <v>2</v>
      </c>
      <c r="E2142" s="1">
        <v>1999.99</v>
      </c>
      <c r="F2142" s="1">
        <v>0.1</v>
      </c>
      <c r="G2142">
        <v>3999.98</v>
      </c>
      <c r="H2142" s="22">
        <f>VLOOKUP(A2142,[1]Orders!$A$2:$B$1616,2,0)</f>
        <v>42800</v>
      </c>
      <c r="J2142" t="s">
        <v>103</v>
      </c>
      <c r="K2142" t="s">
        <v>18</v>
      </c>
    </row>
    <row r="2143" spans="1:11" x14ac:dyDescent="0.3">
      <c r="A2143">
        <v>756</v>
      </c>
      <c r="B2143">
        <v>1</v>
      </c>
      <c r="C2143">
        <v>64</v>
      </c>
      <c r="D2143">
        <v>1</v>
      </c>
      <c r="E2143" s="1">
        <v>489.99</v>
      </c>
      <c r="F2143" s="1">
        <v>0.1</v>
      </c>
      <c r="G2143">
        <v>489.99</v>
      </c>
      <c r="H2143" s="22">
        <f>VLOOKUP(A2143,[1]Orders!$A$2:$B$1616,2,0)</f>
        <v>42800</v>
      </c>
      <c r="J2143" t="s">
        <v>51</v>
      </c>
      <c r="K2143" t="s">
        <v>18</v>
      </c>
    </row>
    <row r="2144" spans="1:11" x14ac:dyDescent="0.3">
      <c r="A2144">
        <v>756</v>
      </c>
      <c r="B2144">
        <v>2</v>
      </c>
      <c r="C2144">
        <v>17</v>
      </c>
      <c r="D2144">
        <v>2</v>
      </c>
      <c r="E2144" s="1">
        <v>429</v>
      </c>
      <c r="F2144" s="1">
        <v>0.05</v>
      </c>
      <c r="G2144">
        <v>858</v>
      </c>
      <c r="H2144" s="22">
        <f>VLOOKUP(A2144,[1]Orders!$A$2:$B$1616,2,0)</f>
        <v>42800</v>
      </c>
      <c r="J2144" t="s">
        <v>23</v>
      </c>
      <c r="K2144" t="s">
        <v>18</v>
      </c>
    </row>
    <row r="2145" spans="1:11" x14ac:dyDescent="0.3">
      <c r="A2145">
        <v>757</v>
      </c>
      <c r="B2145">
        <v>1</v>
      </c>
      <c r="C2145">
        <v>95</v>
      </c>
      <c r="D2145">
        <v>1</v>
      </c>
      <c r="E2145" s="1">
        <v>299.99</v>
      </c>
      <c r="F2145" s="1">
        <v>0.1</v>
      </c>
      <c r="G2145">
        <v>299.99</v>
      </c>
      <c r="H2145" s="22">
        <f>VLOOKUP(A2145,[1]Orders!$A$2:$B$1616,2,0)</f>
        <v>42800</v>
      </c>
      <c r="J2145" t="s">
        <v>48</v>
      </c>
      <c r="K2145" t="s">
        <v>18</v>
      </c>
    </row>
    <row r="2146" spans="1:11" x14ac:dyDescent="0.3">
      <c r="A2146">
        <v>758</v>
      </c>
      <c r="B2146">
        <v>1</v>
      </c>
      <c r="C2146">
        <v>22</v>
      </c>
      <c r="D2146">
        <v>2</v>
      </c>
      <c r="E2146" s="1">
        <v>269.99</v>
      </c>
      <c r="F2146" s="1">
        <v>7.0000000000000007E-2</v>
      </c>
      <c r="G2146">
        <v>539.98</v>
      </c>
      <c r="H2146" s="22">
        <f>VLOOKUP(A2146,[1]Orders!$A$2:$B$1616,2,0)</f>
        <v>42800</v>
      </c>
      <c r="J2146" t="s">
        <v>28</v>
      </c>
      <c r="K2146" t="s">
        <v>37</v>
      </c>
    </row>
    <row r="2147" spans="1:11" x14ac:dyDescent="0.3">
      <c r="A2147">
        <v>758</v>
      </c>
      <c r="B2147">
        <v>2</v>
      </c>
      <c r="C2147">
        <v>99</v>
      </c>
      <c r="D2147">
        <v>1</v>
      </c>
      <c r="E2147" s="1">
        <v>299.99</v>
      </c>
      <c r="F2147" s="1">
        <v>0.1</v>
      </c>
      <c r="G2147">
        <v>299.99</v>
      </c>
      <c r="H2147" s="22">
        <f>VLOOKUP(A2147,[1]Orders!$A$2:$B$1616,2,0)</f>
        <v>42800</v>
      </c>
      <c r="J2147" t="s">
        <v>52</v>
      </c>
      <c r="K2147" t="s">
        <v>37</v>
      </c>
    </row>
    <row r="2148" spans="1:11" x14ac:dyDescent="0.3">
      <c r="A2148">
        <v>758</v>
      </c>
      <c r="B2148">
        <v>3</v>
      </c>
      <c r="C2148">
        <v>27</v>
      </c>
      <c r="D2148">
        <v>1</v>
      </c>
      <c r="E2148" s="1">
        <v>999.99</v>
      </c>
      <c r="F2148" s="1">
        <v>7.0000000000000007E-2</v>
      </c>
      <c r="G2148">
        <v>999.99</v>
      </c>
      <c r="H2148" s="22">
        <f>VLOOKUP(A2148,[1]Orders!$A$2:$B$1616,2,0)</f>
        <v>42800</v>
      </c>
      <c r="J2148" t="s">
        <v>106</v>
      </c>
      <c r="K2148" t="s">
        <v>37</v>
      </c>
    </row>
    <row r="2149" spans="1:11" x14ac:dyDescent="0.3">
      <c r="A2149">
        <v>758</v>
      </c>
      <c r="B2149">
        <v>4</v>
      </c>
      <c r="C2149">
        <v>65</v>
      </c>
      <c r="D2149">
        <v>2</v>
      </c>
      <c r="E2149" s="1">
        <v>346.99</v>
      </c>
      <c r="F2149" s="1">
        <v>7.0000000000000007E-2</v>
      </c>
      <c r="G2149">
        <v>693.98</v>
      </c>
      <c r="H2149" s="22">
        <f>VLOOKUP(A2149,[1]Orders!$A$2:$B$1616,2,0)</f>
        <v>42800</v>
      </c>
      <c r="J2149" t="s">
        <v>114</v>
      </c>
      <c r="K2149" t="s">
        <v>37</v>
      </c>
    </row>
    <row r="2150" spans="1:11" x14ac:dyDescent="0.3">
      <c r="A2150">
        <v>758</v>
      </c>
      <c r="B2150">
        <v>5</v>
      </c>
      <c r="C2150">
        <v>109</v>
      </c>
      <c r="D2150">
        <v>1</v>
      </c>
      <c r="E2150" s="1">
        <v>416.99</v>
      </c>
      <c r="F2150" s="1">
        <v>0.2</v>
      </c>
      <c r="G2150">
        <v>416.99</v>
      </c>
      <c r="H2150" s="22">
        <f>VLOOKUP(A2150,[1]Orders!$A$2:$B$1616,2,0)</f>
        <v>42800</v>
      </c>
      <c r="J2150" t="s">
        <v>49</v>
      </c>
      <c r="K2150" t="s">
        <v>37</v>
      </c>
    </row>
    <row r="2151" spans="1:11" x14ac:dyDescent="0.3">
      <c r="A2151">
        <v>759</v>
      </c>
      <c r="B2151">
        <v>1</v>
      </c>
      <c r="C2151">
        <v>93</v>
      </c>
      <c r="D2151">
        <v>2</v>
      </c>
      <c r="E2151" s="1">
        <v>209.99</v>
      </c>
      <c r="F2151" s="1">
        <v>0.05</v>
      </c>
      <c r="G2151">
        <v>419.98</v>
      </c>
      <c r="H2151" s="22">
        <f>VLOOKUP(A2151,[1]Orders!$A$2:$B$1616,2,0)</f>
        <v>42801</v>
      </c>
      <c r="J2151" t="s">
        <v>110</v>
      </c>
      <c r="K2151" t="s">
        <v>18</v>
      </c>
    </row>
    <row r="2152" spans="1:11" x14ac:dyDescent="0.3">
      <c r="A2152">
        <v>759</v>
      </c>
      <c r="B2152">
        <v>2</v>
      </c>
      <c r="C2152">
        <v>78</v>
      </c>
      <c r="D2152">
        <v>1</v>
      </c>
      <c r="E2152" s="1">
        <v>647.99</v>
      </c>
      <c r="F2152" s="1">
        <v>7.0000000000000007E-2</v>
      </c>
      <c r="G2152">
        <v>647.99</v>
      </c>
      <c r="H2152" s="22">
        <f>VLOOKUP(A2152,[1]Orders!$A$2:$B$1616,2,0)</f>
        <v>42801</v>
      </c>
      <c r="J2152" t="s">
        <v>57</v>
      </c>
      <c r="K2152" t="s">
        <v>18</v>
      </c>
    </row>
    <row r="2153" spans="1:11" x14ac:dyDescent="0.3">
      <c r="A2153">
        <v>760</v>
      </c>
      <c r="B2153">
        <v>1</v>
      </c>
      <c r="C2153">
        <v>21</v>
      </c>
      <c r="D2153">
        <v>2</v>
      </c>
      <c r="E2153" s="1">
        <v>269.99</v>
      </c>
      <c r="F2153" s="1">
        <v>7.0000000000000007E-2</v>
      </c>
      <c r="G2153">
        <v>539.98</v>
      </c>
      <c r="H2153" s="22">
        <f>VLOOKUP(A2153,[1]Orders!$A$2:$B$1616,2,0)</f>
        <v>42801</v>
      </c>
      <c r="J2153" t="s">
        <v>31</v>
      </c>
      <c r="K2153" t="s">
        <v>18</v>
      </c>
    </row>
    <row r="2154" spans="1:11" x14ac:dyDescent="0.3">
      <c r="A2154">
        <v>760</v>
      </c>
      <c r="B2154">
        <v>2</v>
      </c>
      <c r="C2154">
        <v>29</v>
      </c>
      <c r="D2154">
        <v>2</v>
      </c>
      <c r="E2154" s="1">
        <v>999.99</v>
      </c>
      <c r="F2154" s="1">
        <v>7.0000000000000007E-2</v>
      </c>
      <c r="G2154">
        <v>1999.98</v>
      </c>
      <c r="H2154" s="22">
        <f>VLOOKUP(A2154,[1]Orders!$A$2:$B$1616,2,0)</f>
        <v>42801</v>
      </c>
      <c r="J2154" t="s">
        <v>71</v>
      </c>
      <c r="K2154" t="s">
        <v>18</v>
      </c>
    </row>
    <row r="2155" spans="1:11" x14ac:dyDescent="0.3">
      <c r="A2155">
        <v>761</v>
      </c>
      <c r="B2155">
        <v>1</v>
      </c>
      <c r="C2155">
        <v>43</v>
      </c>
      <c r="D2155">
        <v>1</v>
      </c>
      <c r="E2155" s="1">
        <v>5299.99</v>
      </c>
      <c r="F2155" s="1">
        <v>7.0000000000000007E-2</v>
      </c>
      <c r="G2155">
        <v>5299.99</v>
      </c>
      <c r="H2155" s="22">
        <f>VLOOKUP(A2155,[1]Orders!$A$2:$B$1616,2,0)</f>
        <v>42801</v>
      </c>
      <c r="J2155" t="s">
        <v>62</v>
      </c>
      <c r="K2155" t="s">
        <v>18</v>
      </c>
    </row>
    <row r="2156" spans="1:11" x14ac:dyDescent="0.3">
      <c r="A2156">
        <v>761</v>
      </c>
      <c r="B2156">
        <v>2</v>
      </c>
      <c r="C2156">
        <v>52</v>
      </c>
      <c r="D2156">
        <v>2</v>
      </c>
      <c r="E2156" s="1">
        <v>875.99</v>
      </c>
      <c r="F2156" s="1">
        <v>0.2</v>
      </c>
      <c r="G2156">
        <v>1751.98</v>
      </c>
      <c r="H2156" s="22">
        <f>VLOOKUP(A2156,[1]Orders!$A$2:$B$1616,2,0)</f>
        <v>42801</v>
      </c>
      <c r="J2156" t="s">
        <v>68</v>
      </c>
      <c r="K2156" t="s">
        <v>18</v>
      </c>
    </row>
    <row r="2157" spans="1:11" x14ac:dyDescent="0.3">
      <c r="A2157">
        <v>762</v>
      </c>
      <c r="B2157">
        <v>1</v>
      </c>
      <c r="C2157">
        <v>102</v>
      </c>
      <c r="D2157">
        <v>2</v>
      </c>
      <c r="E2157" s="1">
        <v>489.99</v>
      </c>
      <c r="F2157" s="1">
        <v>0.05</v>
      </c>
      <c r="G2157">
        <v>979.98</v>
      </c>
      <c r="H2157" s="22">
        <f>VLOOKUP(A2157,[1]Orders!$A$2:$B$1616,2,0)</f>
        <v>42802</v>
      </c>
      <c r="J2157" t="s">
        <v>51</v>
      </c>
      <c r="K2157" t="s">
        <v>18</v>
      </c>
    </row>
    <row r="2158" spans="1:11" x14ac:dyDescent="0.3">
      <c r="A2158">
        <v>763</v>
      </c>
      <c r="B2158">
        <v>1</v>
      </c>
      <c r="C2158">
        <v>90</v>
      </c>
      <c r="D2158">
        <v>1</v>
      </c>
      <c r="E2158" s="1">
        <v>209.99</v>
      </c>
      <c r="F2158" s="1">
        <v>7.0000000000000007E-2</v>
      </c>
      <c r="G2158">
        <v>209.99</v>
      </c>
      <c r="H2158" s="22">
        <f>VLOOKUP(A2158,[1]Orders!$A$2:$B$1616,2,0)</f>
        <v>42802</v>
      </c>
      <c r="J2158" t="s">
        <v>56</v>
      </c>
      <c r="K2158" t="s">
        <v>37</v>
      </c>
    </row>
    <row r="2159" spans="1:11" x14ac:dyDescent="0.3">
      <c r="A2159">
        <v>763</v>
      </c>
      <c r="B2159">
        <v>2</v>
      </c>
      <c r="C2159">
        <v>103</v>
      </c>
      <c r="D2159">
        <v>1</v>
      </c>
      <c r="E2159" s="1">
        <v>551.99</v>
      </c>
      <c r="F2159" s="1">
        <v>0.1</v>
      </c>
      <c r="G2159">
        <v>551.99</v>
      </c>
      <c r="H2159" s="22">
        <f>VLOOKUP(A2159,[1]Orders!$A$2:$B$1616,2,0)</f>
        <v>42802</v>
      </c>
      <c r="J2159" t="s">
        <v>40</v>
      </c>
      <c r="K2159" t="s">
        <v>37</v>
      </c>
    </row>
    <row r="2160" spans="1:11" x14ac:dyDescent="0.3">
      <c r="A2160">
        <v>764</v>
      </c>
      <c r="B2160">
        <v>1</v>
      </c>
      <c r="C2160">
        <v>55</v>
      </c>
      <c r="D2160">
        <v>1</v>
      </c>
      <c r="E2160" s="1">
        <v>2699.99</v>
      </c>
      <c r="F2160" s="1">
        <v>7.0000000000000007E-2</v>
      </c>
      <c r="G2160">
        <v>2699.99</v>
      </c>
      <c r="H2160" s="22">
        <f>VLOOKUP(A2160,[1]Orders!$A$2:$B$1616,2,0)</f>
        <v>42803</v>
      </c>
      <c r="J2160" t="s">
        <v>76</v>
      </c>
      <c r="K2160" t="s">
        <v>11</v>
      </c>
    </row>
    <row r="2161" spans="1:11" x14ac:dyDescent="0.3">
      <c r="A2161">
        <v>764</v>
      </c>
      <c r="B2161">
        <v>2</v>
      </c>
      <c r="C2161">
        <v>95</v>
      </c>
      <c r="D2161">
        <v>2</v>
      </c>
      <c r="E2161" s="1">
        <v>299.99</v>
      </c>
      <c r="F2161" s="1">
        <v>0.05</v>
      </c>
      <c r="G2161">
        <v>599.98</v>
      </c>
      <c r="H2161" s="22">
        <f>VLOOKUP(A2161,[1]Orders!$A$2:$B$1616,2,0)</f>
        <v>42803</v>
      </c>
      <c r="J2161" t="s">
        <v>48</v>
      </c>
      <c r="K2161" t="s">
        <v>11</v>
      </c>
    </row>
    <row r="2162" spans="1:11" x14ac:dyDescent="0.3">
      <c r="A2162">
        <v>764</v>
      </c>
      <c r="B2162">
        <v>3</v>
      </c>
      <c r="C2162">
        <v>81</v>
      </c>
      <c r="D2162">
        <v>2</v>
      </c>
      <c r="E2162" s="1">
        <v>1099.99</v>
      </c>
      <c r="F2162" s="1">
        <v>7.0000000000000007E-2</v>
      </c>
      <c r="G2162">
        <v>2199.98</v>
      </c>
      <c r="H2162" s="22">
        <f>VLOOKUP(A2162,[1]Orders!$A$2:$B$1616,2,0)</f>
        <v>42803</v>
      </c>
      <c r="J2162" t="s">
        <v>99</v>
      </c>
      <c r="K2162" t="s">
        <v>11</v>
      </c>
    </row>
    <row r="2163" spans="1:11" x14ac:dyDescent="0.3">
      <c r="A2163">
        <v>765</v>
      </c>
      <c r="B2163">
        <v>1</v>
      </c>
      <c r="C2163">
        <v>28</v>
      </c>
      <c r="D2163">
        <v>2</v>
      </c>
      <c r="E2163" s="1">
        <v>2499.9899999999998</v>
      </c>
      <c r="F2163" s="1">
        <v>0.2</v>
      </c>
      <c r="G2163">
        <v>4999.9799999999996</v>
      </c>
      <c r="H2163" s="22">
        <f>VLOOKUP(A2163,[1]Orders!$A$2:$B$1616,2,0)</f>
        <v>42803</v>
      </c>
      <c r="J2163" t="s">
        <v>86</v>
      </c>
      <c r="K2163" t="s">
        <v>11</v>
      </c>
    </row>
    <row r="2164" spans="1:11" x14ac:dyDescent="0.3">
      <c r="A2164">
        <v>765</v>
      </c>
      <c r="B2164">
        <v>2</v>
      </c>
      <c r="C2164">
        <v>12</v>
      </c>
      <c r="D2164">
        <v>1</v>
      </c>
      <c r="E2164" s="1">
        <v>549.99</v>
      </c>
      <c r="F2164" s="1">
        <v>7.0000000000000007E-2</v>
      </c>
      <c r="G2164">
        <v>549.99</v>
      </c>
      <c r="H2164" s="22">
        <f>VLOOKUP(A2164,[1]Orders!$A$2:$B$1616,2,0)</f>
        <v>42803</v>
      </c>
      <c r="J2164" t="s">
        <v>25</v>
      </c>
      <c r="K2164" t="s">
        <v>11</v>
      </c>
    </row>
    <row r="2165" spans="1:11" x14ac:dyDescent="0.3">
      <c r="A2165">
        <v>765</v>
      </c>
      <c r="B2165">
        <v>3</v>
      </c>
      <c r="C2165">
        <v>25</v>
      </c>
      <c r="D2165">
        <v>1</v>
      </c>
      <c r="E2165" s="1">
        <v>499.99</v>
      </c>
      <c r="F2165" s="1">
        <v>0.2</v>
      </c>
      <c r="G2165">
        <v>499.99</v>
      </c>
      <c r="H2165" s="22">
        <f>VLOOKUP(A2165,[1]Orders!$A$2:$B$1616,2,0)</f>
        <v>42803</v>
      </c>
      <c r="J2165" t="s">
        <v>35</v>
      </c>
      <c r="K2165" t="s">
        <v>11</v>
      </c>
    </row>
    <row r="2166" spans="1:11" x14ac:dyDescent="0.3">
      <c r="A2166">
        <v>765</v>
      </c>
      <c r="B2166">
        <v>4</v>
      </c>
      <c r="C2166">
        <v>53</v>
      </c>
      <c r="D2166">
        <v>1</v>
      </c>
      <c r="E2166" s="1">
        <v>749.99</v>
      </c>
      <c r="F2166" s="1">
        <v>0.2</v>
      </c>
      <c r="G2166">
        <v>749.99</v>
      </c>
      <c r="H2166" s="22">
        <f>VLOOKUP(A2166,[1]Orders!$A$2:$B$1616,2,0)</f>
        <v>42803</v>
      </c>
      <c r="J2166" t="s">
        <v>42</v>
      </c>
      <c r="K2166" t="s">
        <v>11</v>
      </c>
    </row>
    <row r="2167" spans="1:11" x14ac:dyDescent="0.3">
      <c r="A2167">
        <v>765</v>
      </c>
      <c r="B2167">
        <v>5</v>
      </c>
      <c r="C2167">
        <v>65</v>
      </c>
      <c r="D2167">
        <v>1</v>
      </c>
      <c r="E2167" s="1">
        <v>346.99</v>
      </c>
      <c r="F2167" s="1">
        <v>0.05</v>
      </c>
      <c r="G2167">
        <v>346.99</v>
      </c>
      <c r="H2167" s="22">
        <f>VLOOKUP(A2167,[1]Orders!$A$2:$B$1616,2,0)</f>
        <v>42803</v>
      </c>
      <c r="J2167" t="s">
        <v>114</v>
      </c>
      <c r="K2167" t="s">
        <v>11</v>
      </c>
    </row>
    <row r="2168" spans="1:11" x14ac:dyDescent="0.3">
      <c r="A2168">
        <v>766</v>
      </c>
      <c r="B2168">
        <v>1</v>
      </c>
      <c r="C2168">
        <v>111</v>
      </c>
      <c r="D2168">
        <v>1</v>
      </c>
      <c r="E2168" s="1">
        <v>470.99</v>
      </c>
      <c r="F2168" s="1">
        <v>0.2</v>
      </c>
      <c r="G2168">
        <v>470.99</v>
      </c>
      <c r="H2168" s="22">
        <f>VLOOKUP(A2168,[1]Orders!$A$2:$B$1616,2,0)</f>
        <v>42803</v>
      </c>
      <c r="J2168" t="s">
        <v>112</v>
      </c>
      <c r="K2168" t="s">
        <v>18</v>
      </c>
    </row>
    <row r="2169" spans="1:11" x14ac:dyDescent="0.3">
      <c r="A2169">
        <v>767</v>
      </c>
      <c r="B2169">
        <v>1</v>
      </c>
      <c r="C2169">
        <v>63</v>
      </c>
      <c r="D2169">
        <v>1</v>
      </c>
      <c r="E2169" s="1">
        <v>3499.99</v>
      </c>
      <c r="F2169" s="1">
        <v>0.1</v>
      </c>
      <c r="G2169">
        <v>3499.99</v>
      </c>
      <c r="H2169" s="22">
        <f>VLOOKUP(A2169,[1]Orders!$A$2:$B$1616,2,0)</f>
        <v>42803</v>
      </c>
      <c r="J2169" t="s">
        <v>75</v>
      </c>
      <c r="K2169" t="s">
        <v>18</v>
      </c>
    </row>
    <row r="2170" spans="1:11" x14ac:dyDescent="0.3">
      <c r="A2170">
        <v>767</v>
      </c>
      <c r="B2170">
        <v>2</v>
      </c>
      <c r="C2170">
        <v>29</v>
      </c>
      <c r="D2170">
        <v>1</v>
      </c>
      <c r="E2170" s="1">
        <v>999.99</v>
      </c>
      <c r="F2170" s="1">
        <v>7.0000000000000007E-2</v>
      </c>
      <c r="G2170">
        <v>999.99</v>
      </c>
      <c r="H2170" s="22">
        <f>VLOOKUP(A2170,[1]Orders!$A$2:$B$1616,2,0)</f>
        <v>42803</v>
      </c>
      <c r="J2170" t="s">
        <v>71</v>
      </c>
      <c r="K2170" t="s">
        <v>18</v>
      </c>
    </row>
    <row r="2171" spans="1:11" x14ac:dyDescent="0.3">
      <c r="A2171">
        <v>767</v>
      </c>
      <c r="B2171">
        <v>3</v>
      </c>
      <c r="C2171">
        <v>41</v>
      </c>
      <c r="D2171">
        <v>2</v>
      </c>
      <c r="E2171" s="1">
        <v>1469.99</v>
      </c>
      <c r="F2171" s="1">
        <v>0.05</v>
      </c>
      <c r="G2171">
        <v>2939.98</v>
      </c>
      <c r="H2171" s="22">
        <f>VLOOKUP(A2171,[1]Orders!$A$2:$B$1616,2,0)</f>
        <v>42803</v>
      </c>
      <c r="J2171" t="s">
        <v>77</v>
      </c>
      <c r="K2171" t="s">
        <v>18</v>
      </c>
    </row>
    <row r="2172" spans="1:11" x14ac:dyDescent="0.3">
      <c r="A2172">
        <v>767</v>
      </c>
      <c r="B2172">
        <v>4</v>
      </c>
      <c r="C2172">
        <v>77</v>
      </c>
      <c r="D2172">
        <v>2</v>
      </c>
      <c r="E2172" s="1">
        <v>799.99</v>
      </c>
      <c r="F2172" s="1">
        <v>0.05</v>
      </c>
      <c r="G2172">
        <v>1599.98</v>
      </c>
      <c r="H2172" s="22">
        <f>VLOOKUP(A2172,[1]Orders!$A$2:$B$1616,2,0)</f>
        <v>42803</v>
      </c>
      <c r="J2172" t="s">
        <v>113</v>
      </c>
      <c r="K2172" t="s">
        <v>18</v>
      </c>
    </row>
    <row r="2173" spans="1:11" x14ac:dyDescent="0.3">
      <c r="A2173">
        <v>768</v>
      </c>
      <c r="B2173">
        <v>1</v>
      </c>
      <c r="C2173">
        <v>31</v>
      </c>
      <c r="D2173">
        <v>1</v>
      </c>
      <c r="E2173" s="1">
        <v>1632.99</v>
      </c>
      <c r="F2173" s="1">
        <v>0.2</v>
      </c>
      <c r="G2173">
        <v>1632.99</v>
      </c>
      <c r="H2173" s="22">
        <f>VLOOKUP(A2173,[1]Orders!$A$2:$B$1616,2,0)</f>
        <v>42803</v>
      </c>
      <c r="J2173" t="s">
        <v>102</v>
      </c>
      <c r="K2173" t="s">
        <v>18</v>
      </c>
    </row>
    <row r="2174" spans="1:11" x14ac:dyDescent="0.3">
      <c r="A2174">
        <v>768</v>
      </c>
      <c r="B2174">
        <v>2</v>
      </c>
      <c r="C2174">
        <v>76</v>
      </c>
      <c r="D2174">
        <v>1</v>
      </c>
      <c r="E2174" s="1">
        <v>299.99</v>
      </c>
      <c r="F2174" s="1">
        <v>0.2</v>
      </c>
      <c r="G2174">
        <v>299.99</v>
      </c>
      <c r="H2174" s="22">
        <f>VLOOKUP(A2174,[1]Orders!$A$2:$B$1616,2,0)</f>
        <v>42803</v>
      </c>
      <c r="J2174" t="s">
        <v>48</v>
      </c>
      <c r="K2174" t="s">
        <v>18</v>
      </c>
    </row>
    <row r="2175" spans="1:11" x14ac:dyDescent="0.3">
      <c r="A2175">
        <v>769</v>
      </c>
      <c r="B2175">
        <v>1</v>
      </c>
      <c r="C2175">
        <v>8</v>
      </c>
      <c r="D2175">
        <v>1</v>
      </c>
      <c r="E2175" s="1">
        <v>1799.99</v>
      </c>
      <c r="F2175" s="1">
        <v>0.1</v>
      </c>
      <c r="G2175">
        <v>1799.99</v>
      </c>
      <c r="H2175" s="22">
        <f>VLOOKUP(A2175,[1]Orders!$A$2:$B$1616,2,0)</f>
        <v>42803</v>
      </c>
      <c r="J2175" t="s">
        <v>12</v>
      </c>
      <c r="K2175" t="s">
        <v>18</v>
      </c>
    </row>
    <row r="2176" spans="1:11" x14ac:dyDescent="0.3">
      <c r="A2176">
        <v>769</v>
      </c>
      <c r="B2176">
        <v>2</v>
      </c>
      <c r="C2176">
        <v>6</v>
      </c>
      <c r="D2176">
        <v>2</v>
      </c>
      <c r="E2176" s="1">
        <v>469.99</v>
      </c>
      <c r="F2176" s="1">
        <v>0.05</v>
      </c>
      <c r="G2176">
        <v>939.98</v>
      </c>
      <c r="H2176" s="22">
        <f>VLOOKUP(A2176,[1]Orders!$A$2:$B$1616,2,0)</f>
        <v>42803</v>
      </c>
      <c r="J2176" t="s">
        <v>32</v>
      </c>
      <c r="K2176" t="s">
        <v>18</v>
      </c>
    </row>
    <row r="2177" spans="1:11" x14ac:dyDescent="0.3">
      <c r="A2177">
        <v>769</v>
      </c>
      <c r="B2177">
        <v>3</v>
      </c>
      <c r="C2177">
        <v>36</v>
      </c>
      <c r="D2177">
        <v>2</v>
      </c>
      <c r="E2177" s="1">
        <v>832.99</v>
      </c>
      <c r="F2177" s="1">
        <v>7.0000000000000007E-2</v>
      </c>
      <c r="G2177">
        <v>1665.98</v>
      </c>
      <c r="H2177" s="22">
        <f>VLOOKUP(A2177,[1]Orders!$A$2:$B$1616,2,0)</f>
        <v>42803</v>
      </c>
      <c r="J2177" t="s">
        <v>116</v>
      </c>
      <c r="K2177" t="s">
        <v>18</v>
      </c>
    </row>
    <row r="2178" spans="1:11" x14ac:dyDescent="0.3">
      <c r="A2178">
        <v>770</v>
      </c>
      <c r="B2178">
        <v>1</v>
      </c>
      <c r="C2178">
        <v>110</v>
      </c>
      <c r="D2178">
        <v>1</v>
      </c>
      <c r="E2178" s="1">
        <v>470.99</v>
      </c>
      <c r="F2178" s="1">
        <v>0.05</v>
      </c>
      <c r="G2178">
        <v>470.99</v>
      </c>
      <c r="H2178" s="22">
        <f>VLOOKUP(A2178,[1]Orders!$A$2:$B$1616,2,0)</f>
        <v>42803</v>
      </c>
      <c r="J2178" t="s">
        <v>65</v>
      </c>
      <c r="K2178" t="s">
        <v>37</v>
      </c>
    </row>
    <row r="2179" spans="1:11" x14ac:dyDescent="0.3">
      <c r="A2179">
        <v>770</v>
      </c>
      <c r="B2179">
        <v>2</v>
      </c>
      <c r="C2179">
        <v>42</v>
      </c>
      <c r="D2179">
        <v>1</v>
      </c>
      <c r="E2179" s="1">
        <v>2299.9899999999998</v>
      </c>
      <c r="F2179" s="1">
        <v>0.2</v>
      </c>
      <c r="G2179">
        <v>2299.9899999999998</v>
      </c>
      <c r="H2179" s="22">
        <f>VLOOKUP(A2179,[1]Orders!$A$2:$B$1616,2,0)</f>
        <v>42803</v>
      </c>
      <c r="J2179" t="s">
        <v>53</v>
      </c>
      <c r="K2179" t="s">
        <v>37</v>
      </c>
    </row>
    <row r="2180" spans="1:11" x14ac:dyDescent="0.3">
      <c r="A2180">
        <v>770</v>
      </c>
      <c r="B2180">
        <v>3</v>
      </c>
      <c r="C2180">
        <v>103</v>
      </c>
      <c r="D2180">
        <v>1</v>
      </c>
      <c r="E2180" s="1">
        <v>551.99</v>
      </c>
      <c r="F2180" s="1">
        <v>0.2</v>
      </c>
      <c r="G2180">
        <v>551.99</v>
      </c>
      <c r="H2180" s="22">
        <f>VLOOKUP(A2180,[1]Orders!$A$2:$B$1616,2,0)</f>
        <v>42803</v>
      </c>
      <c r="J2180" t="s">
        <v>40</v>
      </c>
      <c r="K2180" t="s">
        <v>37</v>
      </c>
    </row>
    <row r="2181" spans="1:11" x14ac:dyDescent="0.3">
      <c r="A2181">
        <v>770</v>
      </c>
      <c r="B2181">
        <v>4</v>
      </c>
      <c r="C2181">
        <v>11</v>
      </c>
      <c r="D2181">
        <v>2</v>
      </c>
      <c r="E2181" s="1">
        <v>1680.99</v>
      </c>
      <c r="F2181" s="1">
        <v>0.05</v>
      </c>
      <c r="G2181">
        <v>3361.98</v>
      </c>
      <c r="H2181" s="22">
        <f>VLOOKUP(A2181,[1]Orders!$A$2:$B$1616,2,0)</f>
        <v>42803</v>
      </c>
      <c r="J2181" t="s">
        <v>30</v>
      </c>
      <c r="K2181" t="s">
        <v>37</v>
      </c>
    </row>
    <row r="2182" spans="1:11" x14ac:dyDescent="0.3">
      <c r="A2182">
        <v>771</v>
      </c>
      <c r="B2182">
        <v>1</v>
      </c>
      <c r="C2182">
        <v>13</v>
      </c>
      <c r="D2182">
        <v>2</v>
      </c>
      <c r="E2182" s="1">
        <v>269.99</v>
      </c>
      <c r="F2182" s="1">
        <v>0.2</v>
      </c>
      <c r="G2182">
        <v>539.98</v>
      </c>
      <c r="H2182" s="22">
        <f>VLOOKUP(A2182,[1]Orders!$A$2:$B$1616,2,0)</f>
        <v>42805</v>
      </c>
      <c r="J2182" t="s">
        <v>31</v>
      </c>
      <c r="K2182" t="s">
        <v>11</v>
      </c>
    </row>
    <row r="2183" spans="1:11" x14ac:dyDescent="0.3">
      <c r="A2183">
        <v>771</v>
      </c>
      <c r="B2183">
        <v>2</v>
      </c>
      <c r="C2183">
        <v>88</v>
      </c>
      <c r="D2183">
        <v>1</v>
      </c>
      <c r="E2183" s="1">
        <v>189.99</v>
      </c>
      <c r="F2183" s="1">
        <v>0.2</v>
      </c>
      <c r="G2183">
        <v>189.99</v>
      </c>
      <c r="H2183" s="22">
        <f>VLOOKUP(A2183,[1]Orders!$A$2:$B$1616,2,0)</f>
        <v>42805</v>
      </c>
      <c r="J2183" t="s">
        <v>64</v>
      </c>
      <c r="K2183" t="s">
        <v>11</v>
      </c>
    </row>
    <row r="2184" spans="1:11" x14ac:dyDescent="0.3">
      <c r="A2184">
        <v>772</v>
      </c>
      <c r="B2184">
        <v>1</v>
      </c>
      <c r="C2184">
        <v>103</v>
      </c>
      <c r="D2184">
        <v>1</v>
      </c>
      <c r="E2184" s="1">
        <v>551.99</v>
      </c>
      <c r="F2184" s="1">
        <v>7.0000000000000007E-2</v>
      </c>
      <c r="G2184">
        <v>551.99</v>
      </c>
      <c r="H2184" s="22">
        <f>VLOOKUP(A2184,[1]Orders!$A$2:$B$1616,2,0)</f>
        <v>42805</v>
      </c>
      <c r="J2184" t="s">
        <v>40</v>
      </c>
      <c r="K2184" t="s">
        <v>18</v>
      </c>
    </row>
    <row r="2185" spans="1:11" x14ac:dyDescent="0.3">
      <c r="A2185">
        <v>773</v>
      </c>
      <c r="B2185">
        <v>1</v>
      </c>
      <c r="C2185">
        <v>92</v>
      </c>
      <c r="D2185">
        <v>1</v>
      </c>
      <c r="E2185" s="1">
        <v>209.99</v>
      </c>
      <c r="F2185" s="1">
        <v>0.1</v>
      </c>
      <c r="G2185">
        <v>209.99</v>
      </c>
      <c r="H2185" s="22">
        <f>VLOOKUP(A2185,[1]Orders!$A$2:$B$1616,2,0)</f>
        <v>42805</v>
      </c>
      <c r="J2185" t="s">
        <v>111</v>
      </c>
      <c r="K2185" t="s">
        <v>18</v>
      </c>
    </row>
    <row r="2186" spans="1:11" x14ac:dyDescent="0.3">
      <c r="A2186">
        <v>773</v>
      </c>
      <c r="B2186">
        <v>2</v>
      </c>
      <c r="C2186">
        <v>14</v>
      </c>
      <c r="D2186">
        <v>1</v>
      </c>
      <c r="E2186" s="1">
        <v>269.99</v>
      </c>
      <c r="F2186" s="1">
        <v>0.05</v>
      </c>
      <c r="G2186">
        <v>269.99</v>
      </c>
      <c r="H2186" s="22">
        <f>VLOOKUP(A2186,[1]Orders!$A$2:$B$1616,2,0)</f>
        <v>42805</v>
      </c>
      <c r="J2186" t="s">
        <v>28</v>
      </c>
      <c r="K2186" t="s">
        <v>18</v>
      </c>
    </row>
    <row r="2187" spans="1:11" x14ac:dyDescent="0.3">
      <c r="A2187">
        <v>773</v>
      </c>
      <c r="B2187">
        <v>3</v>
      </c>
      <c r="C2187">
        <v>17</v>
      </c>
      <c r="D2187">
        <v>2</v>
      </c>
      <c r="E2187" s="1">
        <v>429</v>
      </c>
      <c r="F2187" s="1">
        <v>0.2</v>
      </c>
      <c r="G2187">
        <v>858</v>
      </c>
      <c r="H2187" s="22">
        <f>VLOOKUP(A2187,[1]Orders!$A$2:$B$1616,2,0)</f>
        <v>42805</v>
      </c>
      <c r="J2187" t="s">
        <v>23</v>
      </c>
      <c r="K2187" t="s">
        <v>18</v>
      </c>
    </row>
    <row r="2188" spans="1:11" x14ac:dyDescent="0.3">
      <c r="A2188">
        <v>773</v>
      </c>
      <c r="B2188">
        <v>4</v>
      </c>
      <c r="C2188">
        <v>33</v>
      </c>
      <c r="D2188">
        <v>2</v>
      </c>
      <c r="E2188" s="1">
        <v>469.99</v>
      </c>
      <c r="F2188" s="1">
        <v>7.0000000000000007E-2</v>
      </c>
      <c r="G2188">
        <v>939.98</v>
      </c>
      <c r="H2188" s="22">
        <f>VLOOKUP(A2188,[1]Orders!$A$2:$B$1616,2,0)</f>
        <v>42805</v>
      </c>
      <c r="J2188" t="s">
        <v>67</v>
      </c>
      <c r="K2188" t="s">
        <v>18</v>
      </c>
    </row>
    <row r="2189" spans="1:11" x14ac:dyDescent="0.3">
      <c r="A2189">
        <v>774</v>
      </c>
      <c r="B2189">
        <v>1</v>
      </c>
      <c r="C2189">
        <v>65</v>
      </c>
      <c r="D2189">
        <v>1</v>
      </c>
      <c r="E2189" s="1">
        <v>346.99</v>
      </c>
      <c r="F2189" s="1">
        <v>0.05</v>
      </c>
      <c r="G2189">
        <v>346.99</v>
      </c>
      <c r="H2189" s="22">
        <f>VLOOKUP(A2189,[1]Orders!$A$2:$B$1616,2,0)</f>
        <v>42806</v>
      </c>
      <c r="J2189" t="s">
        <v>114</v>
      </c>
      <c r="K2189" t="s">
        <v>18</v>
      </c>
    </row>
    <row r="2190" spans="1:11" x14ac:dyDescent="0.3">
      <c r="A2190">
        <v>774</v>
      </c>
      <c r="B2190">
        <v>2</v>
      </c>
      <c r="C2190">
        <v>36</v>
      </c>
      <c r="D2190">
        <v>2</v>
      </c>
      <c r="E2190" s="1">
        <v>832.99</v>
      </c>
      <c r="F2190" s="1">
        <v>0.05</v>
      </c>
      <c r="G2190">
        <v>1665.98</v>
      </c>
      <c r="H2190" s="22">
        <f>VLOOKUP(A2190,[1]Orders!$A$2:$B$1616,2,0)</f>
        <v>42806</v>
      </c>
      <c r="J2190" t="s">
        <v>116</v>
      </c>
      <c r="K2190" t="s">
        <v>18</v>
      </c>
    </row>
    <row r="2191" spans="1:11" x14ac:dyDescent="0.3">
      <c r="A2191">
        <v>774</v>
      </c>
      <c r="B2191">
        <v>3</v>
      </c>
      <c r="C2191">
        <v>20</v>
      </c>
      <c r="D2191">
        <v>1</v>
      </c>
      <c r="E2191" s="1">
        <v>599.99</v>
      </c>
      <c r="F2191" s="1">
        <v>0.2</v>
      </c>
      <c r="G2191">
        <v>599.99</v>
      </c>
      <c r="H2191" s="22">
        <f>VLOOKUP(A2191,[1]Orders!$A$2:$B$1616,2,0)</f>
        <v>42806</v>
      </c>
      <c r="J2191" t="s">
        <v>10</v>
      </c>
      <c r="K2191" t="s">
        <v>18</v>
      </c>
    </row>
    <row r="2192" spans="1:11" x14ac:dyDescent="0.3">
      <c r="A2192">
        <v>774</v>
      </c>
      <c r="B2192">
        <v>4</v>
      </c>
      <c r="C2192">
        <v>73</v>
      </c>
      <c r="D2192">
        <v>1</v>
      </c>
      <c r="E2192" s="1">
        <v>749.99</v>
      </c>
      <c r="F2192" s="1">
        <v>0.05</v>
      </c>
      <c r="G2192">
        <v>749.99</v>
      </c>
      <c r="H2192" s="22">
        <f>VLOOKUP(A2192,[1]Orders!$A$2:$B$1616,2,0)</f>
        <v>42806</v>
      </c>
      <c r="J2192" t="s">
        <v>43</v>
      </c>
      <c r="K2192" t="s">
        <v>18</v>
      </c>
    </row>
    <row r="2193" spans="1:11" x14ac:dyDescent="0.3">
      <c r="A2193">
        <v>774</v>
      </c>
      <c r="B2193">
        <v>5</v>
      </c>
      <c r="C2193">
        <v>58</v>
      </c>
      <c r="D2193">
        <v>2</v>
      </c>
      <c r="E2193" s="1">
        <v>4999.99</v>
      </c>
      <c r="F2193" s="1">
        <v>0.1</v>
      </c>
      <c r="G2193">
        <v>9999.98</v>
      </c>
      <c r="H2193" s="22">
        <f>VLOOKUP(A2193,[1]Orders!$A$2:$B$1616,2,0)</f>
        <v>42806</v>
      </c>
      <c r="J2193" t="s">
        <v>81</v>
      </c>
      <c r="K2193" t="s">
        <v>18</v>
      </c>
    </row>
    <row r="2194" spans="1:11" x14ac:dyDescent="0.3">
      <c r="A2194">
        <v>775</v>
      </c>
      <c r="B2194">
        <v>1</v>
      </c>
      <c r="C2194">
        <v>39</v>
      </c>
      <c r="D2194">
        <v>1</v>
      </c>
      <c r="E2194" s="1">
        <v>1499.99</v>
      </c>
      <c r="F2194" s="1">
        <v>7.0000000000000007E-2</v>
      </c>
      <c r="G2194">
        <v>1499.99</v>
      </c>
      <c r="H2194" s="22">
        <f>VLOOKUP(A2194,[1]Orders!$A$2:$B$1616,2,0)</f>
        <v>42806</v>
      </c>
      <c r="J2194" t="s">
        <v>72</v>
      </c>
      <c r="K2194" t="s">
        <v>18</v>
      </c>
    </row>
    <row r="2195" spans="1:11" x14ac:dyDescent="0.3">
      <c r="A2195">
        <v>776</v>
      </c>
      <c r="B2195">
        <v>1</v>
      </c>
      <c r="C2195">
        <v>28</v>
      </c>
      <c r="D2195">
        <v>1</v>
      </c>
      <c r="E2195" s="1">
        <v>2499.9899999999998</v>
      </c>
      <c r="F2195" s="1">
        <v>0.2</v>
      </c>
      <c r="G2195">
        <v>2499.9899999999998</v>
      </c>
      <c r="H2195" s="22">
        <f>VLOOKUP(A2195,[1]Orders!$A$2:$B$1616,2,0)</f>
        <v>42807</v>
      </c>
      <c r="J2195" t="s">
        <v>86</v>
      </c>
      <c r="K2195" t="s">
        <v>18</v>
      </c>
    </row>
    <row r="2196" spans="1:11" x14ac:dyDescent="0.3">
      <c r="A2196">
        <v>776</v>
      </c>
      <c r="B2196">
        <v>2</v>
      </c>
      <c r="C2196">
        <v>42</v>
      </c>
      <c r="D2196">
        <v>2</v>
      </c>
      <c r="E2196" s="1">
        <v>2299.9899999999998</v>
      </c>
      <c r="F2196" s="1">
        <v>0.2</v>
      </c>
      <c r="G2196">
        <v>4599.9799999999996</v>
      </c>
      <c r="H2196" s="22">
        <f>VLOOKUP(A2196,[1]Orders!$A$2:$B$1616,2,0)</f>
        <v>42807</v>
      </c>
      <c r="J2196" t="s">
        <v>53</v>
      </c>
      <c r="K2196" t="s">
        <v>18</v>
      </c>
    </row>
    <row r="2197" spans="1:11" x14ac:dyDescent="0.3">
      <c r="A2197">
        <v>776</v>
      </c>
      <c r="B2197">
        <v>3</v>
      </c>
      <c r="C2197">
        <v>71</v>
      </c>
      <c r="D2197">
        <v>1</v>
      </c>
      <c r="E2197" s="1">
        <v>416.99</v>
      </c>
      <c r="F2197" s="1">
        <v>0.1</v>
      </c>
      <c r="G2197">
        <v>416.99</v>
      </c>
      <c r="H2197" s="22">
        <f>VLOOKUP(A2197,[1]Orders!$A$2:$B$1616,2,0)</f>
        <v>42807</v>
      </c>
      <c r="J2197" t="s">
        <v>78</v>
      </c>
      <c r="K2197" t="s">
        <v>18</v>
      </c>
    </row>
    <row r="2198" spans="1:11" x14ac:dyDescent="0.3">
      <c r="A2198">
        <v>776</v>
      </c>
      <c r="B2198">
        <v>4</v>
      </c>
      <c r="C2198">
        <v>35</v>
      </c>
      <c r="D2198">
        <v>1</v>
      </c>
      <c r="E2198" s="1">
        <v>832.99</v>
      </c>
      <c r="F2198" s="1">
        <v>0.1</v>
      </c>
      <c r="G2198">
        <v>832.99</v>
      </c>
      <c r="H2198" s="22">
        <f>VLOOKUP(A2198,[1]Orders!$A$2:$B$1616,2,0)</f>
        <v>42807</v>
      </c>
      <c r="J2198" t="s">
        <v>109</v>
      </c>
      <c r="K2198" t="s">
        <v>18</v>
      </c>
    </row>
    <row r="2199" spans="1:11" x14ac:dyDescent="0.3">
      <c r="A2199">
        <v>777</v>
      </c>
      <c r="B2199">
        <v>1</v>
      </c>
      <c r="C2199">
        <v>5</v>
      </c>
      <c r="D2199">
        <v>1</v>
      </c>
      <c r="E2199" s="1">
        <v>1320.99</v>
      </c>
      <c r="F2199" s="1">
        <v>0.2</v>
      </c>
      <c r="G2199">
        <v>1320.99</v>
      </c>
      <c r="H2199" s="22">
        <f>VLOOKUP(A2199,[1]Orders!$A$2:$B$1616,2,0)</f>
        <v>42807</v>
      </c>
      <c r="J2199" t="s">
        <v>34</v>
      </c>
      <c r="K2199" t="s">
        <v>18</v>
      </c>
    </row>
    <row r="2200" spans="1:11" x14ac:dyDescent="0.3">
      <c r="A2200">
        <v>777</v>
      </c>
      <c r="B2200">
        <v>2</v>
      </c>
      <c r="C2200">
        <v>7</v>
      </c>
      <c r="D2200">
        <v>2</v>
      </c>
      <c r="E2200" s="1">
        <v>3999.99</v>
      </c>
      <c r="F2200" s="1">
        <v>0.2</v>
      </c>
      <c r="G2200">
        <v>7999.98</v>
      </c>
      <c r="H2200" s="22">
        <f>VLOOKUP(A2200,[1]Orders!$A$2:$B$1616,2,0)</f>
        <v>42807</v>
      </c>
      <c r="J2200" t="s">
        <v>29</v>
      </c>
      <c r="K2200" t="s">
        <v>18</v>
      </c>
    </row>
    <row r="2201" spans="1:11" x14ac:dyDescent="0.3">
      <c r="A2201">
        <v>777</v>
      </c>
      <c r="B2201">
        <v>3</v>
      </c>
      <c r="C2201">
        <v>2</v>
      </c>
      <c r="D2201">
        <v>1</v>
      </c>
      <c r="E2201" s="1">
        <v>749.99</v>
      </c>
      <c r="F2201" s="1">
        <v>0.2</v>
      </c>
      <c r="G2201">
        <v>749.99</v>
      </c>
      <c r="H2201" s="22">
        <f>VLOOKUP(A2201,[1]Orders!$A$2:$B$1616,2,0)</f>
        <v>42807</v>
      </c>
      <c r="J2201" t="s">
        <v>22</v>
      </c>
      <c r="K2201" t="s">
        <v>18</v>
      </c>
    </row>
    <row r="2202" spans="1:11" x14ac:dyDescent="0.3">
      <c r="A2202">
        <v>778</v>
      </c>
      <c r="B2202">
        <v>1</v>
      </c>
      <c r="C2202">
        <v>64</v>
      </c>
      <c r="D2202">
        <v>1</v>
      </c>
      <c r="E2202" s="1">
        <v>489.99</v>
      </c>
      <c r="F2202" s="1">
        <v>0.1</v>
      </c>
      <c r="G2202">
        <v>489.99</v>
      </c>
      <c r="H2202" s="22">
        <f>VLOOKUP(A2202,[1]Orders!$A$2:$B$1616,2,0)</f>
        <v>42809</v>
      </c>
      <c r="J2202" t="s">
        <v>51</v>
      </c>
      <c r="K2202" t="s">
        <v>37</v>
      </c>
    </row>
    <row r="2203" spans="1:11" x14ac:dyDescent="0.3">
      <c r="A2203">
        <v>778</v>
      </c>
      <c r="B2203">
        <v>2</v>
      </c>
      <c r="C2203">
        <v>85</v>
      </c>
      <c r="D2203">
        <v>1</v>
      </c>
      <c r="E2203" s="1">
        <v>329.99</v>
      </c>
      <c r="F2203" s="1">
        <v>0.05</v>
      </c>
      <c r="G2203">
        <v>329.99</v>
      </c>
      <c r="H2203" s="22">
        <f>VLOOKUP(A2203,[1]Orders!$A$2:$B$1616,2,0)</f>
        <v>42809</v>
      </c>
      <c r="J2203" t="s">
        <v>38</v>
      </c>
      <c r="K2203" t="s">
        <v>37</v>
      </c>
    </row>
    <row r="2204" spans="1:11" x14ac:dyDescent="0.3">
      <c r="A2204">
        <v>779</v>
      </c>
      <c r="B2204">
        <v>1</v>
      </c>
      <c r="C2204">
        <v>101</v>
      </c>
      <c r="D2204">
        <v>1</v>
      </c>
      <c r="E2204" s="1">
        <v>339.99</v>
      </c>
      <c r="F2204" s="1">
        <v>0.05</v>
      </c>
      <c r="G2204">
        <v>339.99</v>
      </c>
      <c r="H2204" s="22">
        <f>VLOOKUP(A2204,[1]Orders!$A$2:$B$1616,2,0)</f>
        <v>42809</v>
      </c>
      <c r="J2204" t="s">
        <v>80</v>
      </c>
      <c r="K2204" t="s">
        <v>18</v>
      </c>
    </row>
    <row r="2205" spans="1:11" x14ac:dyDescent="0.3">
      <c r="A2205">
        <v>779</v>
      </c>
      <c r="B2205">
        <v>2</v>
      </c>
      <c r="C2205">
        <v>90</v>
      </c>
      <c r="D2205">
        <v>2</v>
      </c>
      <c r="E2205" s="1">
        <v>209.99</v>
      </c>
      <c r="F2205" s="1">
        <v>0.2</v>
      </c>
      <c r="G2205">
        <v>419.98</v>
      </c>
      <c r="H2205" s="22">
        <f>VLOOKUP(A2205,[1]Orders!$A$2:$B$1616,2,0)</f>
        <v>42809</v>
      </c>
      <c r="J2205" t="s">
        <v>56</v>
      </c>
      <c r="K2205" t="s">
        <v>18</v>
      </c>
    </row>
    <row r="2206" spans="1:11" x14ac:dyDescent="0.3">
      <c r="A2206">
        <v>779</v>
      </c>
      <c r="B2206">
        <v>3</v>
      </c>
      <c r="C2206">
        <v>47</v>
      </c>
      <c r="D2206">
        <v>1</v>
      </c>
      <c r="E2206" s="1">
        <v>5299.99</v>
      </c>
      <c r="F2206" s="1">
        <v>0.2</v>
      </c>
      <c r="G2206">
        <v>5299.99</v>
      </c>
      <c r="H2206" s="22">
        <f>VLOOKUP(A2206,[1]Orders!$A$2:$B$1616,2,0)</f>
        <v>42809</v>
      </c>
      <c r="J2206" t="s">
        <v>54</v>
      </c>
      <c r="K2206" t="s">
        <v>18</v>
      </c>
    </row>
    <row r="2207" spans="1:11" x14ac:dyDescent="0.3">
      <c r="A2207">
        <v>779</v>
      </c>
      <c r="B2207">
        <v>4</v>
      </c>
      <c r="C2207">
        <v>8</v>
      </c>
      <c r="D2207">
        <v>1</v>
      </c>
      <c r="E2207" s="1">
        <v>1799.99</v>
      </c>
      <c r="F2207" s="1">
        <v>0.2</v>
      </c>
      <c r="G2207">
        <v>1799.99</v>
      </c>
      <c r="H2207" s="22">
        <f>VLOOKUP(A2207,[1]Orders!$A$2:$B$1616,2,0)</f>
        <v>42809</v>
      </c>
      <c r="J2207" t="s">
        <v>12</v>
      </c>
      <c r="K2207" t="s">
        <v>18</v>
      </c>
    </row>
    <row r="2208" spans="1:11" x14ac:dyDescent="0.3">
      <c r="A2208">
        <v>779</v>
      </c>
      <c r="B2208">
        <v>5</v>
      </c>
      <c r="C2208">
        <v>85</v>
      </c>
      <c r="D2208">
        <v>1</v>
      </c>
      <c r="E2208" s="1">
        <v>329.99</v>
      </c>
      <c r="F2208" s="1">
        <v>0.2</v>
      </c>
      <c r="G2208">
        <v>329.99</v>
      </c>
      <c r="H2208" s="22">
        <f>VLOOKUP(A2208,[1]Orders!$A$2:$B$1616,2,0)</f>
        <v>42809</v>
      </c>
      <c r="J2208" t="s">
        <v>38</v>
      </c>
      <c r="K2208" t="s">
        <v>18</v>
      </c>
    </row>
    <row r="2209" spans="1:11" x14ac:dyDescent="0.3">
      <c r="A2209">
        <v>780</v>
      </c>
      <c r="B2209">
        <v>1</v>
      </c>
      <c r="C2209">
        <v>32</v>
      </c>
      <c r="D2209">
        <v>1</v>
      </c>
      <c r="E2209" s="1">
        <v>469.99</v>
      </c>
      <c r="F2209" s="1">
        <v>0.1</v>
      </c>
      <c r="G2209">
        <v>469.99</v>
      </c>
      <c r="H2209" s="22">
        <f>VLOOKUP(A2209,[1]Orders!$A$2:$B$1616,2,0)</f>
        <v>42809</v>
      </c>
      <c r="J2209" t="s">
        <v>46</v>
      </c>
      <c r="K2209" t="s">
        <v>18</v>
      </c>
    </row>
    <row r="2210" spans="1:11" x14ac:dyDescent="0.3">
      <c r="A2210">
        <v>781</v>
      </c>
      <c r="B2210">
        <v>1</v>
      </c>
      <c r="C2210">
        <v>109</v>
      </c>
      <c r="D2210">
        <v>2</v>
      </c>
      <c r="E2210" s="1">
        <v>416.99</v>
      </c>
      <c r="F2210" s="1">
        <v>0.05</v>
      </c>
      <c r="G2210">
        <v>833.98</v>
      </c>
      <c r="H2210" s="22">
        <f>VLOOKUP(A2210,[1]Orders!$A$2:$B$1616,2,0)</f>
        <v>42809</v>
      </c>
      <c r="J2210" t="s">
        <v>49</v>
      </c>
      <c r="K2210" t="s">
        <v>18</v>
      </c>
    </row>
    <row r="2211" spans="1:11" x14ac:dyDescent="0.3">
      <c r="A2211">
        <v>781</v>
      </c>
      <c r="B2211">
        <v>2</v>
      </c>
      <c r="C2211">
        <v>7</v>
      </c>
      <c r="D2211">
        <v>2</v>
      </c>
      <c r="E2211" s="1">
        <v>3999.99</v>
      </c>
      <c r="F2211" s="1">
        <v>0.2</v>
      </c>
      <c r="G2211">
        <v>7999.98</v>
      </c>
      <c r="H2211" s="22">
        <f>VLOOKUP(A2211,[1]Orders!$A$2:$B$1616,2,0)</f>
        <v>42809</v>
      </c>
      <c r="J2211" t="s">
        <v>29</v>
      </c>
      <c r="K2211" t="s">
        <v>18</v>
      </c>
    </row>
    <row r="2212" spans="1:11" x14ac:dyDescent="0.3">
      <c r="A2212">
        <v>781</v>
      </c>
      <c r="B2212">
        <v>3</v>
      </c>
      <c r="C2212">
        <v>57</v>
      </c>
      <c r="D2212">
        <v>2</v>
      </c>
      <c r="E2212" s="1">
        <v>1999.99</v>
      </c>
      <c r="F2212" s="1">
        <v>0.1</v>
      </c>
      <c r="G2212">
        <v>3999.98</v>
      </c>
      <c r="H2212" s="22">
        <f>VLOOKUP(A2212,[1]Orders!$A$2:$B$1616,2,0)</f>
        <v>42809</v>
      </c>
      <c r="J2212" t="s">
        <v>103</v>
      </c>
      <c r="K2212" t="s">
        <v>18</v>
      </c>
    </row>
    <row r="2213" spans="1:11" x14ac:dyDescent="0.3">
      <c r="A2213">
        <v>782</v>
      </c>
      <c r="B2213">
        <v>1</v>
      </c>
      <c r="C2213">
        <v>20</v>
      </c>
      <c r="D2213">
        <v>2</v>
      </c>
      <c r="E2213" s="1">
        <v>599.99</v>
      </c>
      <c r="F2213" s="1">
        <v>7.0000000000000007E-2</v>
      </c>
      <c r="G2213">
        <v>1199.98</v>
      </c>
      <c r="H2213" s="22">
        <f>VLOOKUP(A2213,[1]Orders!$A$2:$B$1616,2,0)</f>
        <v>42809</v>
      </c>
      <c r="J2213" t="s">
        <v>10</v>
      </c>
      <c r="K2213" t="s">
        <v>18</v>
      </c>
    </row>
    <row r="2214" spans="1:11" x14ac:dyDescent="0.3">
      <c r="A2214">
        <v>782</v>
      </c>
      <c r="B2214">
        <v>2</v>
      </c>
      <c r="C2214">
        <v>57</v>
      </c>
      <c r="D2214">
        <v>1</v>
      </c>
      <c r="E2214" s="1">
        <v>1999.99</v>
      </c>
      <c r="F2214" s="1">
        <v>7.0000000000000007E-2</v>
      </c>
      <c r="G2214">
        <v>1999.99</v>
      </c>
      <c r="H2214" s="22">
        <f>VLOOKUP(A2214,[1]Orders!$A$2:$B$1616,2,0)</f>
        <v>42809</v>
      </c>
      <c r="J2214" t="s">
        <v>103</v>
      </c>
      <c r="K2214" t="s">
        <v>18</v>
      </c>
    </row>
    <row r="2215" spans="1:11" x14ac:dyDescent="0.3">
      <c r="A2215">
        <v>782</v>
      </c>
      <c r="B2215">
        <v>3</v>
      </c>
      <c r="C2215">
        <v>99</v>
      </c>
      <c r="D2215">
        <v>1</v>
      </c>
      <c r="E2215" s="1">
        <v>299.99</v>
      </c>
      <c r="F2215" s="1">
        <v>7.0000000000000007E-2</v>
      </c>
      <c r="G2215">
        <v>299.99</v>
      </c>
      <c r="H2215" s="22">
        <f>VLOOKUP(A2215,[1]Orders!$A$2:$B$1616,2,0)</f>
        <v>42809</v>
      </c>
      <c r="J2215" t="s">
        <v>52</v>
      </c>
      <c r="K2215" t="s">
        <v>18</v>
      </c>
    </row>
    <row r="2216" spans="1:11" x14ac:dyDescent="0.3">
      <c r="A2216">
        <v>782</v>
      </c>
      <c r="B2216">
        <v>4</v>
      </c>
      <c r="C2216">
        <v>16</v>
      </c>
      <c r="D2216">
        <v>2</v>
      </c>
      <c r="E2216" s="1">
        <v>599.99</v>
      </c>
      <c r="F2216" s="1">
        <v>0.2</v>
      </c>
      <c r="G2216">
        <v>1199.98</v>
      </c>
      <c r="H2216" s="22">
        <f>VLOOKUP(A2216,[1]Orders!$A$2:$B$1616,2,0)</f>
        <v>42809</v>
      </c>
      <c r="J2216" t="s">
        <v>14</v>
      </c>
      <c r="K2216" t="s">
        <v>18</v>
      </c>
    </row>
    <row r="2217" spans="1:11" x14ac:dyDescent="0.3">
      <c r="A2217">
        <v>783</v>
      </c>
      <c r="B2217">
        <v>1</v>
      </c>
      <c r="C2217">
        <v>92</v>
      </c>
      <c r="D2217">
        <v>1</v>
      </c>
      <c r="E2217" s="1">
        <v>209.99</v>
      </c>
      <c r="F2217" s="1">
        <v>0.2</v>
      </c>
      <c r="G2217">
        <v>209.99</v>
      </c>
      <c r="H2217" s="22">
        <f>VLOOKUP(A2217,[1]Orders!$A$2:$B$1616,2,0)</f>
        <v>42810</v>
      </c>
      <c r="J2217" t="s">
        <v>111</v>
      </c>
      <c r="K2217" t="s">
        <v>11</v>
      </c>
    </row>
    <row r="2218" spans="1:11" x14ac:dyDescent="0.3">
      <c r="A2218">
        <v>783</v>
      </c>
      <c r="B2218">
        <v>2</v>
      </c>
      <c r="C2218">
        <v>22</v>
      </c>
      <c r="D2218">
        <v>2</v>
      </c>
      <c r="E2218" s="1">
        <v>269.99</v>
      </c>
      <c r="F2218" s="1">
        <v>0.05</v>
      </c>
      <c r="G2218">
        <v>539.98</v>
      </c>
      <c r="H2218" s="22">
        <f>VLOOKUP(A2218,[1]Orders!$A$2:$B$1616,2,0)</f>
        <v>42810</v>
      </c>
      <c r="J2218" t="s">
        <v>28</v>
      </c>
      <c r="K2218" t="s">
        <v>11</v>
      </c>
    </row>
    <row r="2219" spans="1:11" x14ac:dyDescent="0.3">
      <c r="A2219">
        <v>783</v>
      </c>
      <c r="B2219">
        <v>3</v>
      </c>
      <c r="C2219">
        <v>94</v>
      </c>
      <c r="D2219">
        <v>1</v>
      </c>
      <c r="E2219" s="1">
        <v>249.99</v>
      </c>
      <c r="F2219" s="1">
        <v>0.05</v>
      </c>
      <c r="G2219">
        <v>249.99</v>
      </c>
      <c r="H2219" s="22">
        <f>VLOOKUP(A2219,[1]Orders!$A$2:$B$1616,2,0)</f>
        <v>42810</v>
      </c>
      <c r="J2219" t="s">
        <v>59</v>
      </c>
      <c r="K2219" t="s">
        <v>11</v>
      </c>
    </row>
    <row r="2220" spans="1:11" x14ac:dyDescent="0.3">
      <c r="A2220">
        <v>783</v>
      </c>
      <c r="B2220">
        <v>4</v>
      </c>
      <c r="C2220">
        <v>29</v>
      </c>
      <c r="D2220">
        <v>1</v>
      </c>
      <c r="E2220" s="1">
        <v>999.99</v>
      </c>
      <c r="F2220" s="1">
        <v>0.1</v>
      </c>
      <c r="G2220">
        <v>999.99</v>
      </c>
      <c r="H2220" s="22">
        <f>VLOOKUP(A2220,[1]Orders!$A$2:$B$1616,2,0)</f>
        <v>42810</v>
      </c>
      <c r="J2220" t="s">
        <v>71</v>
      </c>
      <c r="K2220" t="s">
        <v>11</v>
      </c>
    </row>
    <row r="2221" spans="1:11" x14ac:dyDescent="0.3">
      <c r="A2221">
        <v>784</v>
      </c>
      <c r="B2221">
        <v>1</v>
      </c>
      <c r="C2221">
        <v>22</v>
      </c>
      <c r="D2221">
        <v>1</v>
      </c>
      <c r="E2221" s="1">
        <v>269.99</v>
      </c>
      <c r="F2221" s="1">
        <v>7.0000000000000007E-2</v>
      </c>
      <c r="G2221">
        <v>269.99</v>
      </c>
      <c r="H2221" s="22">
        <f>VLOOKUP(A2221,[1]Orders!$A$2:$B$1616,2,0)</f>
        <v>42810</v>
      </c>
      <c r="J2221" t="s">
        <v>28</v>
      </c>
      <c r="K2221" t="s">
        <v>18</v>
      </c>
    </row>
    <row r="2222" spans="1:11" x14ac:dyDescent="0.3">
      <c r="A2222">
        <v>784</v>
      </c>
      <c r="B2222">
        <v>2</v>
      </c>
      <c r="C2222">
        <v>72</v>
      </c>
      <c r="D2222">
        <v>2</v>
      </c>
      <c r="E2222" s="1">
        <v>619.99</v>
      </c>
      <c r="F2222" s="1">
        <v>0.1</v>
      </c>
      <c r="G2222">
        <v>1239.98</v>
      </c>
      <c r="H2222" s="22">
        <f>VLOOKUP(A2222,[1]Orders!$A$2:$B$1616,2,0)</f>
        <v>42810</v>
      </c>
      <c r="J2222" t="s">
        <v>44</v>
      </c>
      <c r="K2222" t="s">
        <v>18</v>
      </c>
    </row>
    <row r="2223" spans="1:11" x14ac:dyDescent="0.3">
      <c r="A2223">
        <v>784</v>
      </c>
      <c r="B2223">
        <v>3</v>
      </c>
      <c r="C2223">
        <v>16</v>
      </c>
      <c r="D2223">
        <v>1</v>
      </c>
      <c r="E2223" s="1">
        <v>599.99</v>
      </c>
      <c r="F2223" s="1">
        <v>0.2</v>
      </c>
      <c r="G2223">
        <v>599.99</v>
      </c>
      <c r="H2223" s="22">
        <f>VLOOKUP(A2223,[1]Orders!$A$2:$B$1616,2,0)</f>
        <v>42810</v>
      </c>
      <c r="J2223" t="s">
        <v>14</v>
      </c>
      <c r="K2223" t="s">
        <v>18</v>
      </c>
    </row>
    <row r="2224" spans="1:11" x14ac:dyDescent="0.3">
      <c r="A2224">
        <v>785</v>
      </c>
      <c r="B2224">
        <v>1</v>
      </c>
      <c r="C2224">
        <v>59</v>
      </c>
      <c r="D2224">
        <v>2</v>
      </c>
      <c r="E2224" s="1">
        <v>2599.9899999999998</v>
      </c>
      <c r="F2224" s="1">
        <v>0.2</v>
      </c>
      <c r="G2224">
        <v>5199.9799999999996</v>
      </c>
      <c r="H2224" s="22">
        <f>VLOOKUP(A2224,[1]Orders!$A$2:$B$1616,2,0)</f>
        <v>42812</v>
      </c>
      <c r="J2224" t="s">
        <v>74</v>
      </c>
      <c r="K2224" t="s">
        <v>11</v>
      </c>
    </row>
    <row r="2225" spans="1:11" x14ac:dyDescent="0.3">
      <c r="A2225">
        <v>785</v>
      </c>
      <c r="B2225">
        <v>2</v>
      </c>
      <c r="C2225">
        <v>40</v>
      </c>
      <c r="D2225">
        <v>1</v>
      </c>
      <c r="E2225" s="1">
        <v>4999.99</v>
      </c>
      <c r="F2225" s="1">
        <v>7.0000000000000007E-2</v>
      </c>
      <c r="G2225">
        <v>4999.99</v>
      </c>
      <c r="H2225" s="22">
        <f>VLOOKUP(A2225,[1]Orders!$A$2:$B$1616,2,0)</f>
        <v>42812</v>
      </c>
      <c r="J2225" t="s">
        <v>104</v>
      </c>
      <c r="K2225" t="s">
        <v>11</v>
      </c>
    </row>
    <row r="2226" spans="1:11" x14ac:dyDescent="0.3">
      <c r="A2226">
        <v>785</v>
      </c>
      <c r="B2226">
        <v>3</v>
      </c>
      <c r="C2226">
        <v>25</v>
      </c>
      <c r="D2226">
        <v>1</v>
      </c>
      <c r="E2226" s="1">
        <v>499.99</v>
      </c>
      <c r="F2226" s="1">
        <v>7.0000000000000007E-2</v>
      </c>
      <c r="G2226">
        <v>499.99</v>
      </c>
      <c r="H2226" s="22">
        <f>VLOOKUP(A2226,[1]Orders!$A$2:$B$1616,2,0)</f>
        <v>42812</v>
      </c>
      <c r="J2226" t="s">
        <v>35</v>
      </c>
      <c r="K2226" t="s">
        <v>11</v>
      </c>
    </row>
    <row r="2227" spans="1:11" x14ac:dyDescent="0.3">
      <c r="A2227">
        <v>786</v>
      </c>
      <c r="B2227">
        <v>1</v>
      </c>
      <c r="C2227">
        <v>80</v>
      </c>
      <c r="D2227">
        <v>1</v>
      </c>
      <c r="E2227" s="1">
        <v>761.99</v>
      </c>
      <c r="F2227" s="1">
        <v>0.05</v>
      </c>
      <c r="G2227">
        <v>761.99</v>
      </c>
      <c r="H2227" s="22">
        <f>VLOOKUP(A2227,[1]Orders!$A$2:$B$1616,2,0)</f>
        <v>42812</v>
      </c>
      <c r="J2227" t="s">
        <v>63</v>
      </c>
      <c r="K2227" t="s">
        <v>18</v>
      </c>
    </row>
    <row r="2228" spans="1:11" x14ac:dyDescent="0.3">
      <c r="A2228">
        <v>787</v>
      </c>
      <c r="B2228">
        <v>1</v>
      </c>
      <c r="C2228">
        <v>51</v>
      </c>
      <c r="D2228">
        <v>2</v>
      </c>
      <c r="E2228" s="1">
        <v>6499.99</v>
      </c>
      <c r="F2228" s="1">
        <v>7.0000000000000007E-2</v>
      </c>
      <c r="G2228">
        <v>12999.98</v>
      </c>
      <c r="H2228" s="22">
        <f>VLOOKUP(A2228,[1]Orders!$A$2:$B$1616,2,0)</f>
        <v>42812</v>
      </c>
      <c r="J2228" t="s">
        <v>90</v>
      </c>
      <c r="K2228" t="s">
        <v>37</v>
      </c>
    </row>
    <row r="2229" spans="1:11" x14ac:dyDescent="0.3">
      <c r="A2229">
        <v>787</v>
      </c>
      <c r="B2229">
        <v>2</v>
      </c>
      <c r="C2229">
        <v>66</v>
      </c>
      <c r="D2229">
        <v>2</v>
      </c>
      <c r="E2229" s="1">
        <v>250.99</v>
      </c>
      <c r="F2229" s="1">
        <v>0.1</v>
      </c>
      <c r="G2229">
        <v>501.98</v>
      </c>
      <c r="H2229" s="22">
        <f>VLOOKUP(A2229,[1]Orders!$A$2:$B$1616,2,0)</f>
        <v>42812</v>
      </c>
      <c r="J2229" t="s">
        <v>92</v>
      </c>
      <c r="K2229" t="s">
        <v>37</v>
      </c>
    </row>
    <row r="2230" spans="1:11" x14ac:dyDescent="0.3">
      <c r="A2230">
        <v>788</v>
      </c>
      <c r="B2230">
        <v>1</v>
      </c>
      <c r="C2230">
        <v>48</v>
      </c>
      <c r="D2230">
        <v>1</v>
      </c>
      <c r="E2230" s="1">
        <v>1499.99</v>
      </c>
      <c r="F2230" s="1">
        <v>0.2</v>
      </c>
      <c r="G2230">
        <v>1499.99</v>
      </c>
      <c r="H2230" s="22">
        <f>VLOOKUP(A2230,[1]Orders!$A$2:$B$1616,2,0)</f>
        <v>42812</v>
      </c>
      <c r="J2230" t="s">
        <v>84</v>
      </c>
      <c r="K2230" t="s">
        <v>37</v>
      </c>
    </row>
    <row r="2231" spans="1:11" x14ac:dyDescent="0.3">
      <c r="A2231">
        <v>788</v>
      </c>
      <c r="B2231">
        <v>2</v>
      </c>
      <c r="C2231">
        <v>19</v>
      </c>
      <c r="D2231">
        <v>1</v>
      </c>
      <c r="E2231" s="1">
        <v>449</v>
      </c>
      <c r="F2231" s="1">
        <v>0.1</v>
      </c>
      <c r="G2231">
        <v>449</v>
      </c>
      <c r="H2231" s="22">
        <f>VLOOKUP(A2231,[1]Orders!$A$2:$B$1616,2,0)</f>
        <v>42812</v>
      </c>
      <c r="J2231" t="s">
        <v>36</v>
      </c>
      <c r="K2231" t="s">
        <v>37</v>
      </c>
    </row>
    <row r="2232" spans="1:11" x14ac:dyDescent="0.3">
      <c r="A2232">
        <v>788</v>
      </c>
      <c r="B2232">
        <v>3</v>
      </c>
      <c r="C2232">
        <v>13</v>
      </c>
      <c r="D2232">
        <v>1</v>
      </c>
      <c r="E2232" s="1">
        <v>269.99</v>
      </c>
      <c r="F2232" s="1">
        <v>0.05</v>
      </c>
      <c r="G2232">
        <v>269.99</v>
      </c>
      <c r="H2232" s="22">
        <f>VLOOKUP(A2232,[1]Orders!$A$2:$B$1616,2,0)</f>
        <v>42812</v>
      </c>
      <c r="J2232" t="s">
        <v>31</v>
      </c>
      <c r="K2232" t="s">
        <v>37</v>
      </c>
    </row>
    <row r="2233" spans="1:11" x14ac:dyDescent="0.3">
      <c r="A2233">
        <v>789</v>
      </c>
      <c r="B2233">
        <v>1</v>
      </c>
      <c r="C2233">
        <v>100</v>
      </c>
      <c r="D2233">
        <v>2</v>
      </c>
      <c r="E2233" s="1">
        <v>489.99</v>
      </c>
      <c r="F2233" s="1">
        <v>0.2</v>
      </c>
      <c r="G2233">
        <v>979.98</v>
      </c>
      <c r="H2233" s="22">
        <f>VLOOKUP(A2233,[1]Orders!$A$2:$B$1616,2,0)</f>
        <v>42813</v>
      </c>
      <c r="J2233" t="s">
        <v>105</v>
      </c>
      <c r="K2233" t="s">
        <v>18</v>
      </c>
    </row>
    <row r="2234" spans="1:11" x14ac:dyDescent="0.3">
      <c r="A2234">
        <v>789</v>
      </c>
      <c r="B2234">
        <v>2</v>
      </c>
      <c r="C2234">
        <v>93</v>
      </c>
      <c r="D2234">
        <v>2</v>
      </c>
      <c r="E2234" s="1">
        <v>209.99</v>
      </c>
      <c r="F2234" s="1">
        <v>7.0000000000000007E-2</v>
      </c>
      <c r="G2234">
        <v>419.98</v>
      </c>
      <c r="H2234" s="22">
        <f>VLOOKUP(A2234,[1]Orders!$A$2:$B$1616,2,0)</f>
        <v>42813</v>
      </c>
      <c r="J2234" t="s">
        <v>110</v>
      </c>
      <c r="K2234" t="s">
        <v>18</v>
      </c>
    </row>
    <row r="2235" spans="1:11" x14ac:dyDescent="0.3">
      <c r="A2235">
        <v>790</v>
      </c>
      <c r="B2235">
        <v>1</v>
      </c>
      <c r="C2235">
        <v>62</v>
      </c>
      <c r="D2235">
        <v>2</v>
      </c>
      <c r="E2235" s="1">
        <v>3499.99</v>
      </c>
      <c r="F2235" s="1">
        <v>7.0000000000000007E-2</v>
      </c>
      <c r="G2235">
        <v>6999.98</v>
      </c>
      <c r="H2235" s="22">
        <f>VLOOKUP(A2235,[1]Orders!$A$2:$B$1616,2,0)</f>
        <v>42813</v>
      </c>
      <c r="J2235" t="s">
        <v>50</v>
      </c>
      <c r="K2235" t="s">
        <v>18</v>
      </c>
    </row>
    <row r="2236" spans="1:11" x14ac:dyDescent="0.3">
      <c r="A2236">
        <v>790</v>
      </c>
      <c r="B2236">
        <v>2</v>
      </c>
      <c r="C2236">
        <v>91</v>
      </c>
      <c r="D2236">
        <v>1</v>
      </c>
      <c r="E2236" s="1">
        <v>349.99</v>
      </c>
      <c r="F2236" s="1">
        <v>0.1</v>
      </c>
      <c r="G2236">
        <v>349.99</v>
      </c>
      <c r="H2236" s="22">
        <f>VLOOKUP(A2236,[1]Orders!$A$2:$B$1616,2,0)</f>
        <v>42813</v>
      </c>
      <c r="J2236" t="s">
        <v>97</v>
      </c>
      <c r="K2236" t="s">
        <v>18</v>
      </c>
    </row>
    <row r="2237" spans="1:11" x14ac:dyDescent="0.3">
      <c r="A2237">
        <v>791</v>
      </c>
      <c r="B2237">
        <v>1</v>
      </c>
      <c r="C2237">
        <v>54</v>
      </c>
      <c r="D2237">
        <v>1</v>
      </c>
      <c r="E2237" s="1">
        <v>3199.99</v>
      </c>
      <c r="F2237" s="1">
        <v>0.2</v>
      </c>
      <c r="G2237">
        <v>3199.99</v>
      </c>
      <c r="H2237" s="22">
        <f>VLOOKUP(A2237,[1]Orders!$A$2:$B$1616,2,0)</f>
        <v>42814</v>
      </c>
      <c r="J2237" t="s">
        <v>69</v>
      </c>
      <c r="K2237" t="s">
        <v>18</v>
      </c>
    </row>
    <row r="2238" spans="1:11" x14ac:dyDescent="0.3">
      <c r="A2238">
        <v>791</v>
      </c>
      <c r="B2238">
        <v>2</v>
      </c>
      <c r="C2238">
        <v>25</v>
      </c>
      <c r="D2238">
        <v>2</v>
      </c>
      <c r="E2238" s="1">
        <v>499.99</v>
      </c>
      <c r="F2238" s="1">
        <v>7.0000000000000007E-2</v>
      </c>
      <c r="G2238">
        <v>999.98</v>
      </c>
      <c r="H2238" s="22">
        <f>VLOOKUP(A2238,[1]Orders!$A$2:$B$1616,2,0)</f>
        <v>42814</v>
      </c>
      <c r="J2238" t="s">
        <v>35</v>
      </c>
      <c r="K2238" t="s">
        <v>18</v>
      </c>
    </row>
    <row r="2239" spans="1:11" x14ac:dyDescent="0.3">
      <c r="A2239">
        <v>792</v>
      </c>
      <c r="B2239">
        <v>1</v>
      </c>
      <c r="C2239">
        <v>16</v>
      </c>
      <c r="D2239">
        <v>2</v>
      </c>
      <c r="E2239" s="1">
        <v>599.99</v>
      </c>
      <c r="F2239" s="1">
        <v>0.2</v>
      </c>
      <c r="G2239">
        <v>1199.98</v>
      </c>
      <c r="H2239" s="22">
        <f>VLOOKUP(A2239,[1]Orders!$A$2:$B$1616,2,0)</f>
        <v>42816</v>
      </c>
      <c r="J2239" t="s">
        <v>14</v>
      </c>
      <c r="K2239" t="s">
        <v>18</v>
      </c>
    </row>
    <row r="2240" spans="1:11" x14ac:dyDescent="0.3">
      <c r="A2240">
        <v>792</v>
      </c>
      <c r="B2240">
        <v>2</v>
      </c>
      <c r="C2240">
        <v>39</v>
      </c>
      <c r="D2240">
        <v>1</v>
      </c>
      <c r="E2240" s="1">
        <v>1499.99</v>
      </c>
      <c r="F2240" s="1">
        <v>0.2</v>
      </c>
      <c r="G2240">
        <v>1499.99</v>
      </c>
      <c r="H2240" s="22">
        <f>VLOOKUP(A2240,[1]Orders!$A$2:$B$1616,2,0)</f>
        <v>42816</v>
      </c>
      <c r="J2240" t="s">
        <v>72</v>
      </c>
      <c r="K2240" t="s">
        <v>18</v>
      </c>
    </row>
    <row r="2241" spans="1:11" x14ac:dyDescent="0.3">
      <c r="A2241">
        <v>792</v>
      </c>
      <c r="B2241">
        <v>3</v>
      </c>
      <c r="C2241">
        <v>56</v>
      </c>
      <c r="D2241">
        <v>1</v>
      </c>
      <c r="E2241" s="1">
        <v>5499.99</v>
      </c>
      <c r="F2241" s="1">
        <v>0.2</v>
      </c>
      <c r="G2241">
        <v>5499.99</v>
      </c>
      <c r="H2241" s="22">
        <f>VLOOKUP(A2241,[1]Orders!$A$2:$B$1616,2,0)</f>
        <v>42816</v>
      </c>
      <c r="J2241" t="s">
        <v>41</v>
      </c>
      <c r="K2241" t="s">
        <v>18</v>
      </c>
    </row>
    <row r="2242" spans="1:11" x14ac:dyDescent="0.3">
      <c r="A2242">
        <v>792</v>
      </c>
      <c r="B2242">
        <v>4</v>
      </c>
      <c r="C2242">
        <v>30</v>
      </c>
      <c r="D2242">
        <v>1</v>
      </c>
      <c r="E2242" s="1">
        <v>999.99</v>
      </c>
      <c r="F2242" s="1">
        <v>0.05</v>
      </c>
      <c r="G2242">
        <v>999.99</v>
      </c>
      <c r="H2242" s="22">
        <f>VLOOKUP(A2242,[1]Orders!$A$2:$B$1616,2,0)</f>
        <v>42816</v>
      </c>
      <c r="J2242" t="s">
        <v>47</v>
      </c>
      <c r="K2242" t="s">
        <v>18</v>
      </c>
    </row>
    <row r="2243" spans="1:11" x14ac:dyDescent="0.3">
      <c r="A2243">
        <v>792</v>
      </c>
      <c r="B2243">
        <v>5</v>
      </c>
      <c r="C2243">
        <v>2</v>
      </c>
      <c r="D2243">
        <v>1</v>
      </c>
      <c r="E2243" s="1">
        <v>749.99</v>
      </c>
      <c r="F2243" s="1">
        <v>0.2</v>
      </c>
      <c r="G2243">
        <v>749.99</v>
      </c>
      <c r="H2243" s="22">
        <f>VLOOKUP(A2243,[1]Orders!$A$2:$B$1616,2,0)</f>
        <v>42816</v>
      </c>
      <c r="J2243" t="s">
        <v>22</v>
      </c>
      <c r="K2243" t="s">
        <v>18</v>
      </c>
    </row>
    <row r="2244" spans="1:11" x14ac:dyDescent="0.3">
      <c r="A2244">
        <v>793</v>
      </c>
      <c r="B2244">
        <v>1</v>
      </c>
      <c r="C2244">
        <v>60</v>
      </c>
      <c r="D2244">
        <v>1</v>
      </c>
      <c r="E2244" s="1">
        <v>1559.99</v>
      </c>
      <c r="F2244" s="1">
        <v>0.05</v>
      </c>
      <c r="G2244">
        <v>1559.99</v>
      </c>
      <c r="H2244" s="22">
        <f>VLOOKUP(A2244,[1]Orders!$A$2:$B$1616,2,0)</f>
        <v>42817</v>
      </c>
      <c r="J2244" t="s">
        <v>101</v>
      </c>
      <c r="K2244" t="s">
        <v>18</v>
      </c>
    </row>
    <row r="2245" spans="1:11" x14ac:dyDescent="0.3">
      <c r="A2245">
        <v>793</v>
      </c>
      <c r="B2245">
        <v>2</v>
      </c>
      <c r="C2245">
        <v>95</v>
      </c>
      <c r="D2245">
        <v>2</v>
      </c>
      <c r="E2245" s="1">
        <v>299.99</v>
      </c>
      <c r="F2245" s="1">
        <v>0.05</v>
      </c>
      <c r="G2245">
        <v>599.98</v>
      </c>
      <c r="H2245" s="22">
        <f>VLOOKUP(A2245,[1]Orders!$A$2:$B$1616,2,0)</f>
        <v>42817</v>
      </c>
      <c r="J2245" t="s">
        <v>48</v>
      </c>
      <c r="K2245" t="s">
        <v>18</v>
      </c>
    </row>
    <row r="2246" spans="1:11" x14ac:dyDescent="0.3">
      <c r="A2246">
        <v>793</v>
      </c>
      <c r="B2246">
        <v>3</v>
      </c>
      <c r="C2246">
        <v>75</v>
      </c>
      <c r="D2246">
        <v>2</v>
      </c>
      <c r="E2246" s="1">
        <v>599.99</v>
      </c>
      <c r="F2246" s="1">
        <v>0.05</v>
      </c>
      <c r="G2246">
        <v>1199.98</v>
      </c>
      <c r="H2246" s="22">
        <f>VLOOKUP(A2246,[1]Orders!$A$2:$B$1616,2,0)</f>
        <v>42817</v>
      </c>
      <c r="J2246" t="s">
        <v>95</v>
      </c>
      <c r="K2246" t="s">
        <v>18</v>
      </c>
    </row>
    <row r="2247" spans="1:11" x14ac:dyDescent="0.3">
      <c r="A2247">
        <v>794</v>
      </c>
      <c r="B2247">
        <v>1</v>
      </c>
      <c r="C2247">
        <v>41</v>
      </c>
      <c r="D2247">
        <v>2</v>
      </c>
      <c r="E2247" s="1">
        <v>1469.99</v>
      </c>
      <c r="F2247" s="1">
        <v>0.05</v>
      </c>
      <c r="G2247">
        <v>2939.98</v>
      </c>
      <c r="H2247" s="22">
        <f>VLOOKUP(A2247,[1]Orders!$A$2:$B$1616,2,0)</f>
        <v>42817</v>
      </c>
      <c r="J2247" t="s">
        <v>77</v>
      </c>
      <c r="K2247" t="s">
        <v>18</v>
      </c>
    </row>
    <row r="2248" spans="1:11" x14ac:dyDescent="0.3">
      <c r="A2248">
        <v>794</v>
      </c>
      <c r="B2248">
        <v>2</v>
      </c>
      <c r="C2248">
        <v>68</v>
      </c>
      <c r="D2248">
        <v>1</v>
      </c>
      <c r="E2248" s="1">
        <v>449.99</v>
      </c>
      <c r="F2248" s="1">
        <v>0.2</v>
      </c>
      <c r="G2248">
        <v>449.99</v>
      </c>
      <c r="H2248" s="22">
        <f>VLOOKUP(A2248,[1]Orders!$A$2:$B$1616,2,0)</f>
        <v>42817</v>
      </c>
      <c r="J2248" t="s">
        <v>39</v>
      </c>
      <c r="K2248" t="s">
        <v>18</v>
      </c>
    </row>
    <row r="2249" spans="1:11" x14ac:dyDescent="0.3">
      <c r="A2249">
        <v>794</v>
      </c>
      <c r="B2249">
        <v>3</v>
      </c>
      <c r="C2249">
        <v>17</v>
      </c>
      <c r="D2249">
        <v>1</v>
      </c>
      <c r="E2249" s="1">
        <v>429</v>
      </c>
      <c r="F2249" s="1">
        <v>7.0000000000000007E-2</v>
      </c>
      <c r="G2249">
        <v>429</v>
      </c>
      <c r="H2249" s="22">
        <f>VLOOKUP(A2249,[1]Orders!$A$2:$B$1616,2,0)</f>
        <v>42817</v>
      </c>
      <c r="J2249" t="s">
        <v>23</v>
      </c>
      <c r="K2249" t="s">
        <v>18</v>
      </c>
    </row>
    <row r="2250" spans="1:11" x14ac:dyDescent="0.3">
      <c r="A2250">
        <v>794</v>
      </c>
      <c r="B2250">
        <v>4</v>
      </c>
      <c r="C2250">
        <v>28</v>
      </c>
      <c r="D2250">
        <v>1</v>
      </c>
      <c r="E2250" s="1">
        <v>2499.9899999999998</v>
      </c>
      <c r="F2250" s="1">
        <v>0.1</v>
      </c>
      <c r="G2250">
        <v>2499.9899999999998</v>
      </c>
      <c r="H2250" s="22">
        <f>VLOOKUP(A2250,[1]Orders!$A$2:$B$1616,2,0)</f>
        <v>42817</v>
      </c>
      <c r="J2250" t="s">
        <v>86</v>
      </c>
      <c r="K2250" t="s">
        <v>18</v>
      </c>
    </row>
    <row r="2251" spans="1:11" x14ac:dyDescent="0.3">
      <c r="A2251">
        <v>795</v>
      </c>
      <c r="B2251">
        <v>1</v>
      </c>
      <c r="C2251">
        <v>95</v>
      </c>
      <c r="D2251">
        <v>2</v>
      </c>
      <c r="E2251" s="1">
        <v>299.99</v>
      </c>
      <c r="F2251" s="1">
        <v>0.05</v>
      </c>
      <c r="G2251">
        <v>599.98</v>
      </c>
      <c r="H2251" s="22">
        <f>VLOOKUP(A2251,[1]Orders!$A$2:$B$1616,2,0)</f>
        <v>42817</v>
      </c>
      <c r="J2251" t="s">
        <v>48</v>
      </c>
      <c r="K2251" t="s">
        <v>18</v>
      </c>
    </row>
    <row r="2252" spans="1:11" x14ac:dyDescent="0.3">
      <c r="A2252">
        <v>795</v>
      </c>
      <c r="B2252">
        <v>2</v>
      </c>
      <c r="C2252">
        <v>99</v>
      </c>
      <c r="D2252">
        <v>2</v>
      </c>
      <c r="E2252" s="1">
        <v>299.99</v>
      </c>
      <c r="F2252" s="1">
        <v>0.05</v>
      </c>
      <c r="G2252">
        <v>599.98</v>
      </c>
      <c r="H2252" s="22">
        <f>VLOOKUP(A2252,[1]Orders!$A$2:$B$1616,2,0)</f>
        <v>42817</v>
      </c>
      <c r="J2252" t="s">
        <v>52</v>
      </c>
      <c r="K2252" t="s">
        <v>18</v>
      </c>
    </row>
    <row r="2253" spans="1:11" x14ac:dyDescent="0.3">
      <c r="A2253">
        <v>796</v>
      </c>
      <c r="B2253">
        <v>1</v>
      </c>
      <c r="C2253">
        <v>6</v>
      </c>
      <c r="D2253">
        <v>2</v>
      </c>
      <c r="E2253" s="1">
        <v>469.99</v>
      </c>
      <c r="F2253" s="1">
        <v>0.2</v>
      </c>
      <c r="G2253">
        <v>939.98</v>
      </c>
      <c r="H2253" s="22">
        <f>VLOOKUP(A2253,[1]Orders!$A$2:$B$1616,2,0)</f>
        <v>42817</v>
      </c>
      <c r="J2253" t="s">
        <v>32</v>
      </c>
      <c r="K2253" t="s">
        <v>37</v>
      </c>
    </row>
    <row r="2254" spans="1:11" x14ac:dyDescent="0.3">
      <c r="A2254">
        <v>797</v>
      </c>
      <c r="B2254">
        <v>1</v>
      </c>
      <c r="C2254">
        <v>11</v>
      </c>
      <c r="D2254">
        <v>1</v>
      </c>
      <c r="E2254" s="1">
        <v>1680.99</v>
      </c>
      <c r="F2254" s="1">
        <v>7.0000000000000007E-2</v>
      </c>
      <c r="G2254">
        <v>1680.99</v>
      </c>
      <c r="H2254" s="22">
        <f>VLOOKUP(A2254,[1]Orders!$A$2:$B$1616,2,0)</f>
        <v>42818</v>
      </c>
      <c r="J2254" t="s">
        <v>30</v>
      </c>
      <c r="K2254" t="s">
        <v>18</v>
      </c>
    </row>
    <row r="2255" spans="1:11" x14ac:dyDescent="0.3">
      <c r="A2255">
        <v>797</v>
      </c>
      <c r="B2255">
        <v>2</v>
      </c>
      <c r="C2255">
        <v>69</v>
      </c>
      <c r="D2255">
        <v>1</v>
      </c>
      <c r="E2255" s="1">
        <v>416.99</v>
      </c>
      <c r="F2255" s="1">
        <v>0.05</v>
      </c>
      <c r="G2255">
        <v>416.99</v>
      </c>
      <c r="H2255" s="22">
        <f>VLOOKUP(A2255,[1]Orders!$A$2:$B$1616,2,0)</f>
        <v>42818</v>
      </c>
      <c r="J2255" t="s">
        <v>89</v>
      </c>
      <c r="K2255" t="s">
        <v>18</v>
      </c>
    </row>
    <row r="2256" spans="1:11" x14ac:dyDescent="0.3">
      <c r="A2256">
        <v>797</v>
      </c>
      <c r="B2256">
        <v>3</v>
      </c>
      <c r="C2256">
        <v>74</v>
      </c>
      <c r="D2256">
        <v>1</v>
      </c>
      <c r="E2256" s="1">
        <v>439.99</v>
      </c>
      <c r="F2256" s="1">
        <v>0.1</v>
      </c>
      <c r="G2256">
        <v>439.99</v>
      </c>
      <c r="H2256" s="22">
        <f>VLOOKUP(A2256,[1]Orders!$A$2:$B$1616,2,0)</f>
        <v>42818</v>
      </c>
      <c r="J2256" t="s">
        <v>61</v>
      </c>
      <c r="K2256" t="s">
        <v>18</v>
      </c>
    </row>
    <row r="2257" spans="1:11" x14ac:dyDescent="0.3">
      <c r="A2257">
        <v>797</v>
      </c>
      <c r="B2257">
        <v>4</v>
      </c>
      <c r="C2257">
        <v>54</v>
      </c>
      <c r="D2257">
        <v>2</v>
      </c>
      <c r="E2257" s="1">
        <v>3199.99</v>
      </c>
      <c r="F2257" s="1">
        <v>0.05</v>
      </c>
      <c r="G2257">
        <v>6399.98</v>
      </c>
      <c r="H2257" s="22">
        <f>VLOOKUP(A2257,[1]Orders!$A$2:$B$1616,2,0)</f>
        <v>42818</v>
      </c>
      <c r="J2257" t="s">
        <v>69</v>
      </c>
      <c r="K2257" t="s">
        <v>18</v>
      </c>
    </row>
    <row r="2258" spans="1:11" x14ac:dyDescent="0.3">
      <c r="A2258">
        <v>797</v>
      </c>
      <c r="B2258">
        <v>5</v>
      </c>
      <c r="C2258">
        <v>62</v>
      </c>
      <c r="D2258">
        <v>2</v>
      </c>
      <c r="E2258" s="1">
        <v>3499.99</v>
      </c>
      <c r="F2258" s="1">
        <v>0.1</v>
      </c>
      <c r="G2258">
        <v>6999.98</v>
      </c>
      <c r="H2258" s="22">
        <f>VLOOKUP(A2258,[1]Orders!$A$2:$B$1616,2,0)</f>
        <v>42818</v>
      </c>
      <c r="J2258" t="s">
        <v>50</v>
      </c>
      <c r="K2258" t="s">
        <v>18</v>
      </c>
    </row>
    <row r="2259" spans="1:11" x14ac:dyDescent="0.3">
      <c r="A2259">
        <v>798</v>
      </c>
      <c r="B2259">
        <v>1</v>
      </c>
      <c r="C2259">
        <v>23</v>
      </c>
      <c r="D2259">
        <v>1</v>
      </c>
      <c r="E2259" s="1">
        <v>299.99</v>
      </c>
      <c r="F2259" s="1">
        <v>0.1</v>
      </c>
      <c r="G2259">
        <v>299.99</v>
      </c>
      <c r="H2259" s="22">
        <f>VLOOKUP(A2259,[1]Orders!$A$2:$B$1616,2,0)</f>
        <v>42820</v>
      </c>
      <c r="J2259" t="s">
        <v>33</v>
      </c>
      <c r="K2259" t="s">
        <v>11</v>
      </c>
    </row>
    <row r="2260" spans="1:11" x14ac:dyDescent="0.3">
      <c r="A2260">
        <v>798</v>
      </c>
      <c r="B2260">
        <v>2</v>
      </c>
      <c r="C2260">
        <v>90</v>
      </c>
      <c r="D2260">
        <v>1</v>
      </c>
      <c r="E2260" s="1">
        <v>209.99</v>
      </c>
      <c r="F2260" s="1">
        <v>0.05</v>
      </c>
      <c r="G2260">
        <v>209.99</v>
      </c>
      <c r="H2260" s="22">
        <f>VLOOKUP(A2260,[1]Orders!$A$2:$B$1616,2,0)</f>
        <v>42820</v>
      </c>
      <c r="J2260" t="s">
        <v>56</v>
      </c>
      <c r="K2260" t="s">
        <v>11</v>
      </c>
    </row>
    <row r="2261" spans="1:11" x14ac:dyDescent="0.3">
      <c r="A2261">
        <v>798</v>
      </c>
      <c r="B2261">
        <v>3</v>
      </c>
      <c r="C2261">
        <v>91</v>
      </c>
      <c r="D2261">
        <v>2</v>
      </c>
      <c r="E2261" s="1">
        <v>349.99</v>
      </c>
      <c r="F2261" s="1">
        <v>7.0000000000000007E-2</v>
      </c>
      <c r="G2261">
        <v>699.98</v>
      </c>
      <c r="H2261" s="22">
        <f>VLOOKUP(A2261,[1]Orders!$A$2:$B$1616,2,0)</f>
        <v>42820</v>
      </c>
      <c r="J2261" t="s">
        <v>97</v>
      </c>
      <c r="K2261" t="s">
        <v>11</v>
      </c>
    </row>
    <row r="2262" spans="1:11" x14ac:dyDescent="0.3">
      <c r="A2262">
        <v>798</v>
      </c>
      <c r="B2262">
        <v>4</v>
      </c>
      <c r="C2262">
        <v>42</v>
      </c>
      <c r="D2262">
        <v>1</v>
      </c>
      <c r="E2262" s="1">
        <v>2299.9899999999998</v>
      </c>
      <c r="F2262" s="1">
        <v>0.2</v>
      </c>
      <c r="G2262">
        <v>2299.9899999999998</v>
      </c>
      <c r="H2262" s="22">
        <f>VLOOKUP(A2262,[1]Orders!$A$2:$B$1616,2,0)</f>
        <v>42820</v>
      </c>
      <c r="J2262" t="s">
        <v>53</v>
      </c>
      <c r="K2262" t="s">
        <v>11</v>
      </c>
    </row>
    <row r="2263" spans="1:11" x14ac:dyDescent="0.3">
      <c r="A2263">
        <v>798</v>
      </c>
      <c r="B2263">
        <v>5</v>
      </c>
      <c r="C2263">
        <v>26</v>
      </c>
      <c r="D2263">
        <v>2</v>
      </c>
      <c r="E2263" s="1">
        <v>599.99</v>
      </c>
      <c r="F2263" s="1">
        <v>0.05</v>
      </c>
      <c r="G2263">
        <v>1199.98</v>
      </c>
      <c r="H2263" s="22">
        <f>VLOOKUP(A2263,[1]Orders!$A$2:$B$1616,2,0)</f>
        <v>42820</v>
      </c>
      <c r="J2263" t="s">
        <v>14</v>
      </c>
      <c r="K2263" t="s">
        <v>11</v>
      </c>
    </row>
    <row r="2264" spans="1:11" x14ac:dyDescent="0.3">
      <c r="A2264">
        <v>799</v>
      </c>
      <c r="B2264">
        <v>1</v>
      </c>
      <c r="C2264">
        <v>5</v>
      </c>
      <c r="D2264">
        <v>2</v>
      </c>
      <c r="E2264" s="1">
        <v>1320.99</v>
      </c>
      <c r="F2264" s="1">
        <v>0.1</v>
      </c>
      <c r="G2264">
        <v>2641.98</v>
      </c>
      <c r="H2264" s="22">
        <f>VLOOKUP(A2264,[1]Orders!$A$2:$B$1616,2,0)</f>
        <v>42821</v>
      </c>
      <c r="J2264" t="s">
        <v>34</v>
      </c>
      <c r="K2264" t="s">
        <v>11</v>
      </c>
    </row>
    <row r="2265" spans="1:11" x14ac:dyDescent="0.3">
      <c r="A2265">
        <v>799</v>
      </c>
      <c r="B2265">
        <v>2</v>
      </c>
      <c r="C2265">
        <v>34</v>
      </c>
      <c r="D2265">
        <v>2</v>
      </c>
      <c r="E2265" s="1">
        <v>469.99</v>
      </c>
      <c r="F2265" s="1">
        <v>0.05</v>
      </c>
      <c r="G2265">
        <v>939.98</v>
      </c>
      <c r="H2265" s="22">
        <f>VLOOKUP(A2265,[1]Orders!$A$2:$B$1616,2,0)</f>
        <v>42821</v>
      </c>
      <c r="J2265" t="s">
        <v>107</v>
      </c>
      <c r="K2265" t="s">
        <v>11</v>
      </c>
    </row>
    <row r="2266" spans="1:11" x14ac:dyDescent="0.3">
      <c r="A2266">
        <v>799</v>
      </c>
      <c r="B2266">
        <v>3</v>
      </c>
      <c r="C2266">
        <v>29</v>
      </c>
      <c r="D2266">
        <v>2</v>
      </c>
      <c r="E2266" s="1">
        <v>999.99</v>
      </c>
      <c r="F2266" s="1">
        <v>7.0000000000000007E-2</v>
      </c>
      <c r="G2266">
        <v>1999.98</v>
      </c>
      <c r="H2266" s="22">
        <f>VLOOKUP(A2266,[1]Orders!$A$2:$B$1616,2,0)</f>
        <v>42821</v>
      </c>
      <c r="J2266" t="s">
        <v>71</v>
      </c>
      <c r="K2266" t="s">
        <v>11</v>
      </c>
    </row>
    <row r="2267" spans="1:11" x14ac:dyDescent="0.3">
      <c r="A2267">
        <v>799</v>
      </c>
      <c r="B2267">
        <v>4</v>
      </c>
      <c r="C2267">
        <v>63</v>
      </c>
      <c r="D2267">
        <v>1</v>
      </c>
      <c r="E2267" s="1">
        <v>3499.99</v>
      </c>
      <c r="F2267" s="1">
        <v>0.1</v>
      </c>
      <c r="G2267">
        <v>3499.99</v>
      </c>
      <c r="H2267" s="22">
        <f>VLOOKUP(A2267,[1]Orders!$A$2:$B$1616,2,0)</f>
        <v>42821</v>
      </c>
      <c r="J2267" t="s">
        <v>75</v>
      </c>
      <c r="K2267" t="s">
        <v>11</v>
      </c>
    </row>
    <row r="2268" spans="1:11" x14ac:dyDescent="0.3">
      <c r="A2268">
        <v>799</v>
      </c>
      <c r="B2268">
        <v>5</v>
      </c>
      <c r="C2268">
        <v>58</v>
      </c>
      <c r="D2268">
        <v>2</v>
      </c>
      <c r="E2268" s="1">
        <v>4999.99</v>
      </c>
      <c r="F2268" s="1">
        <v>7.0000000000000007E-2</v>
      </c>
      <c r="G2268">
        <v>9999.98</v>
      </c>
      <c r="H2268" s="22">
        <f>VLOOKUP(A2268,[1]Orders!$A$2:$B$1616,2,0)</f>
        <v>42821</v>
      </c>
      <c r="J2268" t="s">
        <v>81</v>
      </c>
      <c r="K2268" t="s">
        <v>11</v>
      </c>
    </row>
    <row r="2269" spans="1:11" x14ac:dyDescent="0.3">
      <c r="A2269">
        <v>800</v>
      </c>
      <c r="B2269">
        <v>1</v>
      </c>
      <c r="C2269">
        <v>65</v>
      </c>
      <c r="D2269">
        <v>2</v>
      </c>
      <c r="E2269" s="1">
        <v>346.99</v>
      </c>
      <c r="F2269" s="1">
        <v>0.1</v>
      </c>
      <c r="G2269">
        <v>693.98</v>
      </c>
      <c r="H2269" s="22">
        <f>VLOOKUP(A2269,[1]Orders!$A$2:$B$1616,2,0)</f>
        <v>42821</v>
      </c>
      <c r="J2269" t="s">
        <v>114</v>
      </c>
      <c r="K2269" t="s">
        <v>18</v>
      </c>
    </row>
    <row r="2270" spans="1:11" x14ac:dyDescent="0.3">
      <c r="A2270">
        <v>800</v>
      </c>
      <c r="B2270">
        <v>2</v>
      </c>
      <c r="C2270">
        <v>54</v>
      </c>
      <c r="D2270">
        <v>1</v>
      </c>
      <c r="E2270" s="1">
        <v>3199.99</v>
      </c>
      <c r="F2270" s="1">
        <v>7.0000000000000007E-2</v>
      </c>
      <c r="G2270">
        <v>3199.99</v>
      </c>
      <c r="H2270" s="22">
        <f>VLOOKUP(A2270,[1]Orders!$A$2:$B$1616,2,0)</f>
        <v>42821</v>
      </c>
      <c r="J2270" t="s">
        <v>69</v>
      </c>
      <c r="K2270" t="s">
        <v>18</v>
      </c>
    </row>
    <row r="2271" spans="1:11" x14ac:dyDescent="0.3">
      <c r="A2271">
        <v>800</v>
      </c>
      <c r="B2271">
        <v>3</v>
      </c>
      <c r="C2271">
        <v>6</v>
      </c>
      <c r="D2271">
        <v>2</v>
      </c>
      <c r="E2271" s="1">
        <v>469.99</v>
      </c>
      <c r="F2271" s="1">
        <v>0.05</v>
      </c>
      <c r="G2271">
        <v>939.98</v>
      </c>
      <c r="H2271" s="22">
        <f>VLOOKUP(A2271,[1]Orders!$A$2:$B$1616,2,0)</f>
        <v>42821</v>
      </c>
      <c r="J2271" t="s">
        <v>32</v>
      </c>
      <c r="K2271" t="s">
        <v>18</v>
      </c>
    </row>
    <row r="2272" spans="1:11" x14ac:dyDescent="0.3">
      <c r="A2272">
        <v>800</v>
      </c>
      <c r="B2272">
        <v>4</v>
      </c>
      <c r="C2272">
        <v>52</v>
      </c>
      <c r="D2272">
        <v>1</v>
      </c>
      <c r="E2272" s="1">
        <v>875.99</v>
      </c>
      <c r="F2272" s="1">
        <v>0.1</v>
      </c>
      <c r="G2272">
        <v>875.99</v>
      </c>
      <c r="H2272" s="22">
        <f>VLOOKUP(A2272,[1]Orders!$A$2:$B$1616,2,0)</f>
        <v>42821</v>
      </c>
      <c r="J2272" t="s">
        <v>68</v>
      </c>
      <c r="K2272" t="s">
        <v>18</v>
      </c>
    </row>
    <row r="2273" spans="1:11" x14ac:dyDescent="0.3">
      <c r="A2273">
        <v>800</v>
      </c>
      <c r="B2273">
        <v>5</v>
      </c>
      <c r="C2273">
        <v>95</v>
      </c>
      <c r="D2273">
        <v>2</v>
      </c>
      <c r="E2273" s="1">
        <v>299.99</v>
      </c>
      <c r="F2273" s="1">
        <v>0.05</v>
      </c>
      <c r="G2273">
        <v>599.98</v>
      </c>
      <c r="H2273" s="22">
        <f>VLOOKUP(A2273,[1]Orders!$A$2:$B$1616,2,0)</f>
        <v>42821</v>
      </c>
      <c r="J2273" t="s">
        <v>48</v>
      </c>
      <c r="K2273" t="s">
        <v>18</v>
      </c>
    </row>
    <row r="2274" spans="1:11" x14ac:dyDescent="0.3">
      <c r="A2274">
        <v>801</v>
      </c>
      <c r="B2274">
        <v>1</v>
      </c>
      <c r="C2274">
        <v>101</v>
      </c>
      <c r="D2274">
        <v>1</v>
      </c>
      <c r="E2274" s="1">
        <v>339.99</v>
      </c>
      <c r="F2274" s="1">
        <v>7.0000000000000007E-2</v>
      </c>
      <c r="G2274">
        <v>339.99</v>
      </c>
      <c r="H2274" s="22">
        <f>VLOOKUP(A2274,[1]Orders!$A$2:$B$1616,2,0)</f>
        <v>42822</v>
      </c>
      <c r="J2274" t="s">
        <v>80</v>
      </c>
      <c r="K2274" t="s">
        <v>11</v>
      </c>
    </row>
    <row r="2275" spans="1:11" x14ac:dyDescent="0.3">
      <c r="A2275">
        <v>802</v>
      </c>
      <c r="B2275">
        <v>1</v>
      </c>
      <c r="C2275">
        <v>30</v>
      </c>
      <c r="D2275">
        <v>1</v>
      </c>
      <c r="E2275" s="1">
        <v>999.99</v>
      </c>
      <c r="F2275" s="1">
        <v>0.05</v>
      </c>
      <c r="G2275">
        <v>999.99</v>
      </c>
      <c r="H2275" s="22">
        <f>VLOOKUP(A2275,[1]Orders!$A$2:$B$1616,2,0)</f>
        <v>42822</v>
      </c>
      <c r="J2275" t="s">
        <v>47</v>
      </c>
      <c r="K2275" t="s">
        <v>18</v>
      </c>
    </row>
    <row r="2276" spans="1:11" x14ac:dyDescent="0.3">
      <c r="A2276">
        <v>802</v>
      </c>
      <c r="B2276">
        <v>2</v>
      </c>
      <c r="C2276">
        <v>36</v>
      </c>
      <c r="D2276">
        <v>2</v>
      </c>
      <c r="E2276" s="1">
        <v>832.99</v>
      </c>
      <c r="F2276" s="1">
        <v>0.2</v>
      </c>
      <c r="G2276">
        <v>1665.98</v>
      </c>
      <c r="H2276" s="22">
        <f>VLOOKUP(A2276,[1]Orders!$A$2:$B$1616,2,0)</f>
        <v>42822</v>
      </c>
      <c r="J2276" t="s">
        <v>116</v>
      </c>
      <c r="K2276" t="s">
        <v>18</v>
      </c>
    </row>
    <row r="2277" spans="1:11" x14ac:dyDescent="0.3">
      <c r="A2277">
        <v>802</v>
      </c>
      <c r="B2277">
        <v>3</v>
      </c>
      <c r="C2277">
        <v>40</v>
      </c>
      <c r="D2277">
        <v>1</v>
      </c>
      <c r="E2277" s="1">
        <v>4999.99</v>
      </c>
      <c r="F2277" s="1">
        <v>0.1</v>
      </c>
      <c r="G2277">
        <v>4999.99</v>
      </c>
      <c r="H2277" s="22">
        <f>VLOOKUP(A2277,[1]Orders!$A$2:$B$1616,2,0)</f>
        <v>42822</v>
      </c>
      <c r="J2277" t="s">
        <v>104</v>
      </c>
      <c r="K2277" t="s">
        <v>18</v>
      </c>
    </row>
    <row r="2278" spans="1:11" x14ac:dyDescent="0.3">
      <c r="A2278">
        <v>802</v>
      </c>
      <c r="B2278">
        <v>4</v>
      </c>
      <c r="C2278">
        <v>28</v>
      </c>
      <c r="D2278">
        <v>1</v>
      </c>
      <c r="E2278" s="1">
        <v>2499.9899999999998</v>
      </c>
      <c r="F2278" s="1">
        <v>0.05</v>
      </c>
      <c r="G2278">
        <v>2499.9899999999998</v>
      </c>
      <c r="H2278" s="22">
        <f>VLOOKUP(A2278,[1]Orders!$A$2:$B$1616,2,0)</f>
        <v>42822</v>
      </c>
      <c r="J2278" t="s">
        <v>86</v>
      </c>
      <c r="K2278" t="s">
        <v>18</v>
      </c>
    </row>
    <row r="2279" spans="1:11" x14ac:dyDescent="0.3">
      <c r="A2279">
        <v>803</v>
      </c>
      <c r="B2279">
        <v>1</v>
      </c>
      <c r="C2279">
        <v>111</v>
      </c>
      <c r="D2279">
        <v>1</v>
      </c>
      <c r="E2279" s="1">
        <v>470.99</v>
      </c>
      <c r="F2279" s="1">
        <v>7.0000000000000007E-2</v>
      </c>
      <c r="G2279">
        <v>470.99</v>
      </c>
      <c r="H2279" s="22">
        <f>VLOOKUP(A2279,[1]Orders!$A$2:$B$1616,2,0)</f>
        <v>42822</v>
      </c>
      <c r="J2279" t="s">
        <v>112</v>
      </c>
      <c r="K2279" t="s">
        <v>37</v>
      </c>
    </row>
    <row r="2280" spans="1:11" x14ac:dyDescent="0.3">
      <c r="A2280">
        <v>803</v>
      </c>
      <c r="B2280">
        <v>2</v>
      </c>
      <c r="C2280">
        <v>52</v>
      </c>
      <c r="D2280">
        <v>2</v>
      </c>
      <c r="E2280" s="1">
        <v>875.99</v>
      </c>
      <c r="F2280" s="1">
        <v>0.05</v>
      </c>
      <c r="G2280">
        <v>1751.98</v>
      </c>
      <c r="H2280" s="22">
        <f>VLOOKUP(A2280,[1]Orders!$A$2:$B$1616,2,0)</f>
        <v>42822</v>
      </c>
      <c r="J2280" t="s">
        <v>68</v>
      </c>
      <c r="K2280" t="s">
        <v>37</v>
      </c>
    </row>
    <row r="2281" spans="1:11" x14ac:dyDescent="0.3">
      <c r="A2281">
        <v>803</v>
      </c>
      <c r="B2281">
        <v>3</v>
      </c>
      <c r="C2281">
        <v>102</v>
      </c>
      <c r="D2281">
        <v>1</v>
      </c>
      <c r="E2281" s="1">
        <v>489.99</v>
      </c>
      <c r="F2281" s="1">
        <v>7.0000000000000007E-2</v>
      </c>
      <c r="G2281">
        <v>489.99</v>
      </c>
      <c r="H2281" s="22">
        <f>VLOOKUP(A2281,[1]Orders!$A$2:$B$1616,2,0)</f>
        <v>42822</v>
      </c>
      <c r="J2281" t="s">
        <v>51</v>
      </c>
      <c r="K2281" t="s">
        <v>37</v>
      </c>
    </row>
    <row r="2282" spans="1:11" x14ac:dyDescent="0.3">
      <c r="A2282">
        <v>803</v>
      </c>
      <c r="B2282">
        <v>4</v>
      </c>
      <c r="C2282">
        <v>83</v>
      </c>
      <c r="D2282">
        <v>2</v>
      </c>
      <c r="E2282" s="1">
        <v>149.99</v>
      </c>
      <c r="F2282" s="1">
        <v>0.05</v>
      </c>
      <c r="G2282">
        <v>299.98</v>
      </c>
      <c r="H2282" s="22">
        <f>VLOOKUP(A2282,[1]Orders!$A$2:$B$1616,2,0)</f>
        <v>42822</v>
      </c>
      <c r="J2282" t="s">
        <v>66</v>
      </c>
      <c r="K2282" t="s">
        <v>37</v>
      </c>
    </row>
    <row r="2283" spans="1:11" x14ac:dyDescent="0.3">
      <c r="A2283">
        <v>804</v>
      </c>
      <c r="B2283">
        <v>1</v>
      </c>
      <c r="C2283">
        <v>89</v>
      </c>
      <c r="D2283">
        <v>2</v>
      </c>
      <c r="E2283" s="1">
        <v>209.99</v>
      </c>
      <c r="F2283" s="1">
        <v>0.2</v>
      </c>
      <c r="G2283">
        <v>419.98</v>
      </c>
      <c r="H2283" s="22">
        <f>VLOOKUP(A2283,[1]Orders!$A$2:$B$1616,2,0)</f>
        <v>42823</v>
      </c>
      <c r="J2283" t="s">
        <v>94</v>
      </c>
      <c r="K2283" t="s">
        <v>18</v>
      </c>
    </row>
    <row r="2284" spans="1:11" x14ac:dyDescent="0.3">
      <c r="A2284">
        <v>804</v>
      </c>
      <c r="B2284">
        <v>2</v>
      </c>
      <c r="C2284">
        <v>53</v>
      </c>
      <c r="D2284">
        <v>1</v>
      </c>
      <c r="E2284" s="1">
        <v>749.99</v>
      </c>
      <c r="F2284" s="1">
        <v>7.0000000000000007E-2</v>
      </c>
      <c r="G2284">
        <v>749.99</v>
      </c>
      <c r="H2284" s="22">
        <f>VLOOKUP(A2284,[1]Orders!$A$2:$B$1616,2,0)</f>
        <v>42823</v>
      </c>
      <c r="J2284" t="s">
        <v>42</v>
      </c>
      <c r="K2284" t="s">
        <v>18</v>
      </c>
    </row>
    <row r="2285" spans="1:11" x14ac:dyDescent="0.3">
      <c r="A2285">
        <v>804</v>
      </c>
      <c r="B2285">
        <v>3</v>
      </c>
      <c r="C2285">
        <v>50</v>
      </c>
      <c r="D2285">
        <v>2</v>
      </c>
      <c r="E2285" s="1">
        <v>5999.99</v>
      </c>
      <c r="F2285" s="1">
        <v>0.05</v>
      </c>
      <c r="G2285">
        <v>11999.98</v>
      </c>
      <c r="H2285" s="22">
        <f>VLOOKUP(A2285,[1]Orders!$A$2:$B$1616,2,0)</f>
        <v>42823</v>
      </c>
      <c r="J2285" t="s">
        <v>79</v>
      </c>
      <c r="K2285" t="s">
        <v>18</v>
      </c>
    </row>
    <row r="2286" spans="1:11" x14ac:dyDescent="0.3">
      <c r="A2286">
        <v>805</v>
      </c>
      <c r="B2286">
        <v>1</v>
      </c>
      <c r="C2286">
        <v>24</v>
      </c>
      <c r="D2286">
        <v>1</v>
      </c>
      <c r="E2286" s="1">
        <v>549.99</v>
      </c>
      <c r="F2286" s="1">
        <v>0.05</v>
      </c>
      <c r="G2286">
        <v>549.99</v>
      </c>
      <c r="H2286" s="22">
        <f>VLOOKUP(A2286,[1]Orders!$A$2:$B$1616,2,0)</f>
        <v>42823</v>
      </c>
      <c r="J2286" t="s">
        <v>25</v>
      </c>
      <c r="K2286" t="s">
        <v>18</v>
      </c>
    </row>
    <row r="2287" spans="1:11" x14ac:dyDescent="0.3">
      <c r="A2287">
        <v>805</v>
      </c>
      <c r="B2287">
        <v>2</v>
      </c>
      <c r="C2287">
        <v>33</v>
      </c>
      <c r="D2287">
        <v>2</v>
      </c>
      <c r="E2287" s="1">
        <v>469.99</v>
      </c>
      <c r="F2287" s="1">
        <v>0.2</v>
      </c>
      <c r="G2287">
        <v>939.98</v>
      </c>
      <c r="H2287" s="22">
        <f>VLOOKUP(A2287,[1]Orders!$A$2:$B$1616,2,0)</f>
        <v>42823</v>
      </c>
      <c r="J2287" t="s">
        <v>67</v>
      </c>
      <c r="K2287" t="s">
        <v>18</v>
      </c>
    </row>
    <row r="2288" spans="1:11" x14ac:dyDescent="0.3">
      <c r="A2288">
        <v>805</v>
      </c>
      <c r="B2288">
        <v>3</v>
      </c>
      <c r="C2288">
        <v>62</v>
      </c>
      <c r="D2288">
        <v>2</v>
      </c>
      <c r="E2288" s="1">
        <v>3499.99</v>
      </c>
      <c r="F2288" s="1">
        <v>0.2</v>
      </c>
      <c r="G2288">
        <v>6999.98</v>
      </c>
      <c r="H2288" s="22">
        <f>VLOOKUP(A2288,[1]Orders!$A$2:$B$1616,2,0)</f>
        <v>42823</v>
      </c>
      <c r="J2288" t="s">
        <v>50</v>
      </c>
      <c r="K2288" t="s">
        <v>18</v>
      </c>
    </row>
    <row r="2289" spans="1:11" x14ac:dyDescent="0.3">
      <c r="A2289">
        <v>805</v>
      </c>
      <c r="B2289">
        <v>4</v>
      </c>
      <c r="C2289">
        <v>32</v>
      </c>
      <c r="D2289">
        <v>1</v>
      </c>
      <c r="E2289" s="1">
        <v>469.99</v>
      </c>
      <c r="F2289" s="1">
        <v>7.0000000000000007E-2</v>
      </c>
      <c r="G2289">
        <v>469.99</v>
      </c>
      <c r="H2289" s="22">
        <f>VLOOKUP(A2289,[1]Orders!$A$2:$B$1616,2,0)</f>
        <v>42823</v>
      </c>
      <c r="J2289" t="s">
        <v>46</v>
      </c>
      <c r="K2289" t="s">
        <v>18</v>
      </c>
    </row>
    <row r="2290" spans="1:11" x14ac:dyDescent="0.3">
      <c r="A2290">
        <v>805</v>
      </c>
      <c r="B2290">
        <v>5</v>
      </c>
      <c r="C2290">
        <v>6</v>
      </c>
      <c r="D2290">
        <v>2</v>
      </c>
      <c r="E2290" s="1">
        <v>469.99</v>
      </c>
      <c r="F2290" s="1">
        <v>0.05</v>
      </c>
      <c r="G2290">
        <v>939.98</v>
      </c>
      <c r="H2290" s="22">
        <f>VLOOKUP(A2290,[1]Orders!$A$2:$B$1616,2,0)</f>
        <v>42823</v>
      </c>
      <c r="J2290" t="s">
        <v>32</v>
      </c>
      <c r="K2290" t="s">
        <v>18</v>
      </c>
    </row>
    <row r="2291" spans="1:11" x14ac:dyDescent="0.3">
      <c r="A2291">
        <v>806</v>
      </c>
      <c r="B2291">
        <v>1</v>
      </c>
      <c r="C2291">
        <v>93</v>
      </c>
      <c r="D2291">
        <v>2</v>
      </c>
      <c r="E2291" s="1">
        <v>209.99</v>
      </c>
      <c r="F2291" s="1">
        <v>0.1</v>
      </c>
      <c r="G2291">
        <v>419.98</v>
      </c>
      <c r="H2291" s="22">
        <f>VLOOKUP(A2291,[1]Orders!$A$2:$B$1616,2,0)</f>
        <v>42824</v>
      </c>
      <c r="J2291" t="s">
        <v>110</v>
      </c>
      <c r="K2291" t="s">
        <v>18</v>
      </c>
    </row>
    <row r="2292" spans="1:11" x14ac:dyDescent="0.3">
      <c r="A2292">
        <v>806</v>
      </c>
      <c r="B2292">
        <v>2</v>
      </c>
      <c r="C2292">
        <v>97</v>
      </c>
      <c r="D2292">
        <v>1</v>
      </c>
      <c r="E2292" s="1">
        <v>349.99</v>
      </c>
      <c r="F2292" s="1">
        <v>0.2</v>
      </c>
      <c r="G2292">
        <v>349.99</v>
      </c>
      <c r="H2292" s="22">
        <f>VLOOKUP(A2292,[1]Orders!$A$2:$B$1616,2,0)</f>
        <v>42824</v>
      </c>
      <c r="J2292" t="s">
        <v>55</v>
      </c>
      <c r="K2292" t="s">
        <v>18</v>
      </c>
    </row>
    <row r="2293" spans="1:11" x14ac:dyDescent="0.3">
      <c r="A2293">
        <v>806</v>
      </c>
      <c r="B2293">
        <v>3</v>
      </c>
      <c r="C2293">
        <v>77</v>
      </c>
      <c r="D2293">
        <v>2</v>
      </c>
      <c r="E2293" s="1">
        <v>799.99</v>
      </c>
      <c r="F2293" s="1">
        <v>0.1</v>
      </c>
      <c r="G2293">
        <v>1599.98</v>
      </c>
      <c r="H2293" s="22">
        <f>VLOOKUP(A2293,[1]Orders!$A$2:$B$1616,2,0)</f>
        <v>42824</v>
      </c>
      <c r="J2293" t="s">
        <v>113</v>
      </c>
      <c r="K2293" t="s">
        <v>18</v>
      </c>
    </row>
    <row r="2294" spans="1:11" x14ac:dyDescent="0.3">
      <c r="A2294">
        <v>806</v>
      </c>
      <c r="B2294">
        <v>4</v>
      </c>
      <c r="C2294">
        <v>82</v>
      </c>
      <c r="D2294">
        <v>2</v>
      </c>
      <c r="E2294" s="1">
        <v>659.99</v>
      </c>
      <c r="F2294" s="1">
        <v>0.2</v>
      </c>
      <c r="G2294">
        <v>1319.98</v>
      </c>
      <c r="H2294" s="22">
        <f>VLOOKUP(A2294,[1]Orders!$A$2:$B$1616,2,0)</f>
        <v>42824</v>
      </c>
      <c r="J2294" t="s">
        <v>100</v>
      </c>
      <c r="K2294" t="s">
        <v>18</v>
      </c>
    </row>
    <row r="2295" spans="1:11" x14ac:dyDescent="0.3">
      <c r="A2295">
        <v>806</v>
      </c>
      <c r="B2295">
        <v>5</v>
      </c>
      <c r="C2295">
        <v>91</v>
      </c>
      <c r="D2295">
        <v>2</v>
      </c>
      <c r="E2295" s="1">
        <v>349.99</v>
      </c>
      <c r="F2295" s="1">
        <v>7.0000000000000007E-2</v>
      </c>
      <c r="G2295">
        <v>699.98</v>
      </c>
      <c r="H2295" s="22">
        <f>VLOOKUP(A2295,[1]Orders!$A$2:$B$1616,2,0)</f>
        <v>42824</v>
      </c>
      <c r="J2295" t="s">
        <v>97</v>
      </c>
      <c r="K2295" t="s">
        <v>18</v>
      </c>
    </row>
    <row r="2296" spans="1:11" x14ac:dyDescent="0.3">
      <c r="A2296">
        <v>807</v>
      </c>
      <c r="B2296">
        <v>1</v>
      </c>
      <c r="C2296">
        <v>21</v>
      </c>
      <c r="D2296">
        <v>2</v>
      </c>
      <c r="E2296" s="1">
        <v>269.99</v>
      </c>
      <c r="F2296" s="1">
        <v>0.2</v>
      </c>
      <c r="G2296">
        <v>539.98</v>
      </c>
      <c r="H2296" s="22">
        <f>VLOOKUP(A2296,[1]Orders!$A$2:$B$1616,2,0)</f>
        <v>42824</v>
      </c>
      <c r="J2296" t="s">
        <v>31</v>
      </c>
      <c r="K2296" t="s">
        <v>18</v>
      </c>
    </row>
    <row r="2297" spans="1:11" x14ac:dyDescent="0.3">
      <c r="A2297">
        <v>807</v>
      </c>
      <c r="B2297">
        <v>2</v>
      </c>
      <c r="C2297">
        <v>6</v>
      </c>
      <c r="D2297">
        <v>1</v>
      </c>
      <c r="E2297" s="1">
        <v>469.99</v>
      </c>
      <c r="F2297" s="1">
        <v>7.0000000000000007E-2</v>
      </c>
      <c r="G2297">
        <v>469.99</v>
      </c>
      <c r="H2297" s="22">
        <f>VLOOKUP(A2297,[1]Orders!$A$2:$B$1616,2,0)</f>
        <v>42824</v>
      </c>
      <c r="J2297" t="s">
        <v>32</v>
      </c>
      <c r="K2297" t="s">
        <v>18</v>
      </c>
    </row>
    <row r="2298" spans="1:11" x14ac:dyDescent="0.3">
      <c r="A2298">
        <v>807</v>
      </c>
      <c r="B2298">
        <v>3</v>
      </c>
      <c r="C2298">
        <v>3</v>
      </c>
      <c r="D2298">
        <v>2</v>
      </c>
      <c r="E2298" s="1">
        <v>999.99</v>
      </c>
      <c r="F2298" s="1">
        <v>7.0000000000000007E-2</v>
      </c>
      <c r="G2298">
        <v>1999.98</v>
      </c>
      <c r="H2298" s="22">
        <f>VLOOKUP(A2298,[1]Orders!$A$2:$B$1616,2,0)</f>
        <v>42824</v>
      </c>
      <c r="J2298" t="s">
        <v>20</v>
      </c>
      <c r="K2298" t="s">
        <v>18</v>
      </c>
    </row>
    <row r="2299" spans="1:11" x14ac:dyDescent="0.3">
      <c r="A2299">
        <v>807</v>
      </c>
      <c r="B2299">
        <v>4</v>
      </c>
      <c r="C2299">
        <v>9</v>
      </c>
      <c r="D2299">
        <v>2</v>
      </c>
      <c r="E2299" s="1">
        <v>2999.99</v>
      </c>
      <c r="F2299" s="1">
        <v>0.2</v>
      </c>
      <c r="G2299">
        <v>5999.98</v>
      </c>
      <c r="H2299" s="22">
        <f>VLOOKUP(A2299,[1]Orders!$A$2:$B$1616,2,0)</f>
        <v>42824</v>
      </c>
      <c r="J2299" t="s">
        <v>26</v>
      </c>
      <c r="K2299" t="s">
        <v>18</v>
      </c>
    </row>
    <row r="2300" spans="1:11" x14ac:dyDescent="0.3">
      <c r="A2300">
        <v>807</v>
      </c>
      <c r="B2300">
        <v>5</v>
      </c>
      <c r="C2300">
        <v>16</v>
      </c>
      <c r="D2300">
        <v>1</v>
      </c>
      <c r="E2300" s="1">
        <v>599.99</v>
      </c>
      <c r="F2300" s="1">
        <v>0.2</v>
      </c>
      <c r="G2300">
        <v>599.99</v>
      </c>
      <c r="H2300" s="22">
        <f>VLOOKUP(A2300,[1]Orders!$A$2:$B$1616,2,0)</f>
        <v>42824</v>
      </c>
      <c r="J2300" t="s">
        <v>14</v>
      </c>
      <c r="K2300" t="s">
        <v>18</v>
      </c>
    </row>
    <row r="2301" spans="1:11" x14ac:dyDescent="0.3">
      <c r="A2301">
        <v>808</v>
      </c>
      <c r="B2301">
        <v>1</v>
      </c>
      <c r="C2301">
        <v>96</v>
      </c>
      <c r="D2301">
        <v>2</v>
      </c>
      <c r="E2301" s="1">
        <v>349.99</v>
      </c>
      <c r="F2301" s="1">
        <v>0.05</v>
      </c>
      <c r="G2301">
        <v>699.98</v>
      </c>
      <c r="H2301" s="22">
        <f>VLOOKUP(A2301,[1]Orders!$A$2:$B$1616,2,0)</f>
        <v>42825</v>
      </c>
      <c r="J2301" t="s">
        <v>91</v>
      </c>
      <c r="K2301" t="s">
        <v>18</v>
      </c>
    </row>
    <row r="2302" spans="1:11" x14ac:dyDescent="0.3">
      <c r="A2302">
        <v>808</v>
      </c>
      <c r="B2302">
        <v>2</v>
      </c>
      <c r="C2302">
        <v>18</v>
      </c>
      <c r="D2302">
        <v>1</v>
      </c>
      <c r="E2302" s="1">
        <v>449</v>
      </c>
      <c r="F2302" s="1">
        <v>0.05</v>
      </c>
      <c r="G2302">
        <v>449</v>
      </c>
      <c r="H2302" s="22">
        <f>VLOOKUP(A2302,[1]Orders!$A$2:$B$1616,2,0)</f>
        <v>42825</v>
      </c>
      <c r="J2302" t="s">
        <v>24</v>
      </c>
      <c r="K2302" t="s">
        <v>18</v>
      </c>
    </row>
    <row r="2303" spans="1:11" x14ac:dyDescent="0.3">
      <c r="A2303">
        <v>808</v>
      </c>
      <c r="B2303">
        <v>3</v>
      </c>
      <c r="C2303">
        <v>85</v>
      </c>
      <c r="D2303">
        <v>1</v>
      </c>
      <c r="E2303" s="1">
        <v>329.99</v>
      </c>
      <c r="F2303" s="1">
        <v>0.05</v>
      </c>
      <c r="G2303">
        <v>329.99</v>
      </c>
      <c r="H2303" s="22">
        <f>VLOOKUP(A2303,[1]Orders!$A$2:$B$1616,2,0)</f>
        <v>42825</v>
      </c>
      <c r="J2303" t="s">
        <v>38</v>
      </c>
      <c r="K2303" t="s">
        <v>18</v>
      </c>
    </row>
    <row r="2304" spans="1:11" x14ac:dyDescent="0.3">
      <c r="A2304">
        <v>808</v>
      </c>
      <c r="B2304">
        <v>4</v>
      </c>
      <c r="C2304">
        <v>19</v>
      </c>
      <c r="D2304">
        <v>2</v>
      </c>
      <c r="E2304" s="1">
        <v>449</v>
      </c>
      <c r="F2304" s="1">
        <v>0.05</v>
      </c>
      <c r="G2304">
        <v>898</v>
      </c>
      <c r="H2304" s="22">
        <f>VLOOKUP(A2304,[1]Orders!$A$2:$B$1616,2,0)</f>
        <v>42825</v>
      </c>
      <c r="J2304" t="s">
        <v>36</v>
      </c>
      <c r="K2304" t="s">
        <v>18</v>
      </c>
    </row>
    <row r="2305" spans="1:11" x14ac:dyDescent="0.3">
      <c r="A2305">
        <v>809</v>
      </c>
      <c r="B2305">
        <v>1</v>
      </c>
      <c r="C2305">
        <v>78</v>
      </c>
      <c r="D2305">
        <v>1</v>
      </c>
      <c r="E2305" s="1">
        <v>647.99</v>
      </c>
      <c r="F2305" s="1">
        <v>0.1</v>
      </c>
      <c r="G2305">
        <v>647.99</v>
      </c>
      <c r="H2305" s="22">
        <f>VLOOKUP(A2305,[1]Orders!$A$2:$B$1616,2,0)</f>
        <v>42825</v>
      </c>
      <c r="J2305" t="s">
        <v>57</v>
      </c>
      <c r="K2305" t="s">
        <v>18</v>
      </c>
    </row>
    <row r="2306" spans="1:11" x14ac:dyDescent="0.3">
      <c r="A2306">
        <v>809</v>
      </c>
      <c r="B2306">
        <v>2</v>
      </c>
      <c r="C2306">
        <v>26</v>
      </c>
      <c r="D2306">
        <v>1</v>
      </c>
      <c r="E2306" s="1">
        <v>599.99</v>
      </c>
      <c r="F2306" s="1">
        <v>0.2</v>
      </c>
      <c r="G2306">
        <v>599.99</v>
      </c>
      <c r="H2306" s="22">
        <f>VLOOKUP(A2306,[1]Orders!$A$2:$B$1616,2,0)</f>
        <v>42825</v>
      </c>
      <c r="J2306" t="s">
        <v>14</v>
      </c>
      <c r="K2306" t="s">
        <v>18</v>
      </c>
    </row>
    <row r="2307" spans="1:11" x14ac:dyDescent="0.3">
      <c r="A2307">
        <v>809</v>
      </c>
      <c r="B2307">
        <v>3</v>
      </c>
      <c r="C2307">
        <v>92</v>
      </c>
      <c r="D2307">
        <v>2</v>
      </c>
      <c r="E2307" s="1">
        <v>209.99</v>
      </c>
      <c r="F2307" s="1">
        <v>0.1</v>
      </c>
      <c r="G2307">
        <v>419.98</v>
      </c>
      <c r="H2307" s="22">
        <f>VLOOKUP(A2307,[1]Orders!$A$2:$B$1616,2,0)</f>
        <v>42825</v>
      </c>
      <c r="J2307" t="s">
        <v>111</v>
      </c>
      <c r="K2307" t="s">
        <v>18</v>
      </c>
    </row>
    <row r="2308" spans="1:11" x14ac:dyDescent="0.3">
      <c r="A2308">
        <v>810</v>
      </c>
      <c r="B2308">
        <v>1</v>
      </c>
      <c r="C2308">
        <v>103</v>
      </c>
      <c r="D2308">
        <v>2</v>
      </c>
      <c r="E2308" s="1">
        <v>551.99</v>
      </c>
      <c r="F2308" s="1">
        <v>0.05</v>
      </c>
      <c r="G2308">
        <v>1103.98</v>
      </c>
      <c r="H2308" s="22">
        <f>VLOOKUP(A2308,[1]Orders!$A$2:$B$1616,2,0)</f>
        <v>42826</v>
      </c>
      <c r="J2308" t="s">
        <v>40</v>
      </c>
      <c r="K2308" t="s">
        <v>37</v>
      </c>
    </row>
    <row r="2309" spans="1:11" x14ac:dyDescent="0.3">
      <c r="A2309">
        <v>810</v>
      </c>
      <c r="B2309">
        <v>2</v>
      </c>
      <c r="C2309">
        <v>100</v>
      </c>
      <c r="D2309">
        <v>1</v>
      </c>
      <c r="E2309" s="1">
        <v>489.99</v>
      </c>
      <c r="F2309" s="1">
        <v>0.2</v>
      </c>
      <c r="G2309">
        <v>489.99</v>
      </c>
      <c r="H2309" s="22">
        <f>VLOOKUP(A2309,[1]Orders!$A$2:$B$1616,2,0)</f>
        <v>42826</v>
      </c>
      <c r="J2309" t="s">
        <v>105</v>
      </c>
      <c r="K2309" t="s">
        <v>37</v>
      </c>
    </row>
    <row r="2310" spans="1:11" x14ac:dyDescent="0.3">
      <c r="A2310">
        <v>810</v>
      </c>
      <c r="B2310">
        <v>3</v>
      </c>
      <c r="C2310">
        <v>56</v>
      </c>
      <c r="D2310">
        <v>1</v>
      </c>
      <c r="E2310" s="1">
        <v>5499.99</v>
      </c>
      <c r="F2310" s="1">
        <v>0.05</v>
      </c>
      <c r="G2310">
        <v>5499.99</v>
      </c>
      <c r="H2310" s="22">
        <f>VLOOKUP(A2310,[1]Orders!$A$2:$B$1616,2,0)</f>
        <v>42826</v>
      </c>
      <c r="J2310" t="s">
        <v>41</v>
      </c>
      <c r="K2310" t="s">
        <v>37</v>
      </c>
    </row>
    <row r="2311" spans="1:11" x14ac:dyDescent="0.3">
      <c r="A2311">
        <v>810</v>
      </c>
      <c r="B2311">
        <v>4</v>
      </c>
      <c r="C2311">
        <v>22</v>
      </c>
      <c r="D2311">
        <v>1</v>
      </c>
      <c r="E2311" s="1">
        <v>269.99</v>
      </c>
      <c r="F2311" s="1">
        <v>0.2</v>
      </c>
      <c r="G2311">
        <v>269.99</v>
      </c>
      <c r="H2311" s="22">
        <f>VLOOKUP(A2311,[1]Orders!$A$2:$B$1616,2,0)</f>
        <v>42826</v>
      </c>
      <c r="J2311" t="s">
        <v>28</v>
      </c>
      <c r="K2311" t="s">
        <v>37</v>
      </c>
    </row>
    <row r="2312" spans="1:11" x14ac:dyDescent="0.3">
      <c r="A2312">
        <v>811</v>
      </c>
      <c r="B2312">
        <v>1</v>
      </c>
      <c r="C2312">
        <v>45</v>
      </c>
      <c r="D2312">
        <v>2</v>
      </c>
      <c r="E2312" s="1">
        <v>869.99</v>
      </c>
      <c r="F2312" s="1">
        <v>7.0000000000000007E-2</v>
      </c>
      <c r="G2312">
        <v>1739.98</v>
      </c>
      <c r="H2312" s="22">
        <f>VLOOKUP(A2312,[1]Orders!$A$2:$B$1616,2,0)</f>
        <v>42826</v>
      </c>
      <c r="J2312" t="s">
        <v>88</v>
      </c>
      <c r="K2312" t="s">
        <v>18</v>
      </c>
    </row>
    <row r="2313" spans="1:11" x14ac:dyDescent="0.3">
      <c r="A2313">
        <v>811</v>
      </c>
      <c r="B2313">
        <v>2</v>
      </c>
      <c r="C2313">
        <v>54</v>
      </c>
      <c r="D2313">
        <v>1</v>
      </c>
      <c r="E2313" s="1">
        <v>3199.99</v>
      </c>
      <c r="F2313" s="1">
        <v>0.2</v>
      </c>
      <c r="G2313">
        <v>3199.99</v>
      </c>
      <c r="H2313" s="22">
        <f>VLOOKUP(A2313,[1]Orders!$A$2:$B$1616,2,0)</f>
        <v>42826</v>
      </c>
      <c r="J2313" t="s">
        <v>69</v>
      </c>
      <c r="K2313" t="s">
        <v>18</v>
      </c>
    </row>
    <row r="2314" spans="1:11" x14ac:dyDescent="0.3">
      <c r="A2314">
        <v>811</v>
      </c>
      <c r="B2314">
        <v>3</v>
      </c>
      <c r="C2314">
        <v>70</v>
      </c>
      <c r="D2314">
        <v>1</v>
      </c>
      <c r="E2314" s="1">
        <v>659.99</v>
      </c>
      <c r="F2314" s="1">
        <v>7.0000000000000007E-2</v>
      </c>
      <c r="G2314">
        <v>659.99</v>
      </c>
      <c r="H2314" s="22">
        <f>VLOOKUP(A2314,[1]Orders!$A$2:$B$1616,2,0)</f>
        <v>42826</v>
      </c>
      <c r="J2314" t="s">
        <v>73</v>
      </c>
      <c r="K2314" t="s">
        <v>18</v>
      </c>
    </row>
    <row r="2315" spans="1:11" x14ac:dyDescent="0.3">
      <c r="A2315">
        <v>811</v>
      </c>
      <c r="B2315">
        <v>4</v>
      </c>
      <c r="C2315">
        <v>66</v>
      </c>
      <c r="D2315">
        <v>1</v>
      </c>
      <c r="E2315" s="1">
        <v>250.99</v>
      </c>
      <c r="F2315" s="1">
        <v>0.1</v>
      </c>
      <c r="G2315">
        <v>250.99</v>
      </c>
      <c r="H2315" s="22">
        <f>VLOOKUP(A2315,[1]Orders!$A$2:$B$1616,2,0)</f>
        <v>42826</v>
      </c>
      <c r="J2315" t="s">
        <v>92</v>
      </c>
      <c r="K2315" t="s">
        <v>18</v>
      </c>
    </row>
    <row r="2316" spans="1:11" x14ac:dyDescent="0.3">
      <c r="A2316">
        <v>812</v>
      </c>
      <c r="B2316">
        <v>1</v>
      </c>
      <c r="C2316">
        <v>76</v>
      </c>
      <c r="D2316">
        <v>2</v>
      </c>
      <c r="E2316" s="1">
        <v>299.99</v>
      </c>
      <c r="F2316" s="1">
        <v>0.1</v>
      </c>
      <c r="G2316">
        <v>599.98</v>
      </c>
      <c r="H2316" s="22">
        <f>VLOOKUP(A2316,[1]Orders!$A$2:$B$1616,2,0)</f>
        <v>42826</v>
      </c>
      <c r="J2316" t="s">
        <v>48</v>
      </c>
      <c r="K2316" t="s">
        <v>18</v>
      </c>
    </row>
    <row r="2317" spans="1:11" x14ac:dyDescent="0.3">
      <c r="A2317">
        <v>812</v>
      </c>
      <c r="B2317">
        <v>2</v>
      </c>
      <c r="C2317">
        <v>40</v>
      </c>
      <c r="D2317">
        <v>1</v>
      </c>
      <c r="E2317" s="1">
        <v>4999.99</v>
      </c>
      <c r="F2317" s="1">
        <v>0.2</v>
      </c>
      <c r="G2317">
        <v>4999.99</v>
      </c>
      <c r="H2317" s="22">
        <f>VLOOKUP(A2317,[1]Orders!$A$2:$B$1616,2,0)</f>
        <v>42826</v>
      </c>
      <c r="J2317" t="s">
        <v>104</v>
      </c>
      <c r="K2317" t="s">
        <v>18</v>
      </c>
    </row>
    <row r="2318" spans="1:11" x14ac:dyDescent="0.3">
      <c r="A2318">
        <v>813</v>
      </c>
      <c r="B2318">
        <v>1</v>
      </c>
      <c r="C2318">
        <v>96</v>
      </c>
      <c r="D2318">
        <v>2</v>
      </c>
      <c r="E2318" s="1">
        <v>349.99</v>
      </c>
      <c r="F2318" s="1">
        <v>0.1</v>
      </c>
      <c r="G2318">
        <v>699.98</v>
      </c>
      <c r="H2318" s="22">
        <f>VLOOKUP(A2318,[1]Orders!$A$2:$B$1616,2,0)</f>
        <v>42826</v>
      </c>
      <c r="J2318" t="s">
        <v>91</v>
      </c>
      <c r="K2318" t="s">
        <v>37</v>
      </c>
    </row>
    <row r="2319" spans="1:11" x14ac:dyDescent="0.3">
      <c r="A2319">
        <v>813</v>
      </c>
      <c r="B2319">
        <v>2</v>
      </c>
      <c r="C2319">
        <v>85</v>
      </c>
      <c r="D2319">
        <v>2</v>
      </c>
      <c r="E2319" s="1">
        <v>329.99</v>
      </c>
      <c r="F2319" s="1">
        <v>0.2</v>
      </c>
      <c r="G2319">
        <v>659.98</v>
      </c>
      <c r="H2319" s="22">
        <f>VLOOKUP(A2319,[1]Orders!$A$2:$B$1616,2,0)</f>
        <v>42826</v>
      </c>
      <c r="J2319" t="s">
        <v>38</v>
      </c>
      <c r="K2319" t="s">
        <v>37</v>
      </c>
    </row>
    <row r="2320" spans="1:11" x14ac:dyDescent="0.3">
      <c r="A2320">
        <v>813</v>
      </c>
      <c r="B2320">
        <v>3</v>
      </c>
      <c r="C2320">
        <v>33</v>
      </c>
      <c r="D2320">
        <v>2</v>
      </c>
      <c r="E2320" s="1">
        <v>469.99</v>
      </c>
      <c r="F2320" s="1">
        <v>0.2</v>
      </c>
      <c r="G2320">
        <v>939.98</v>
      </c>
      <c r="H2320" s="22">
        <f>VLOOKUP(A2320,[1]Orders!$A$2:$B$1616,2,0)</f>
        <v>42826</v>
      </c>
      <c r="J2320" t="s">
        <v>67</v>
      </c>
      <c r="K2320" t="s">
        <v>37</v>
      </c>
    </row>
    <row r="2321" spans="1:11" x14ac:dyDescent="0.3">
      <c r="A2321">
        <v>813</v>
      </c>
      <c r="B2321">
        <v>4</v>
      </c>
      <c r="C2321">
        <v>26</v>
      </c>
      <c r="D2321">
        <v>2</v>
      </c>
      <c r="E2321" s="1">
        <v>599.99</v>
      </c>
      <c r="F2321" s="1">
        <v>7.0000000000000007E-2</v>
      </c>
      <c r="G2321">
        <v>1199.98</v>
      </c>
      <c r="H2321" s="22">
        <f>VLOOKUP(A2321,[1]Orders!$A$2:$B$1616,2,0)</f>
        <v>42826</v>
      </c>
      <c r="J2321" t="s">
        <v>14</v>
      </c>
      <c r="K2321" t="s">
        <v>37</v>
      </c>
    </row>
    <row r="2322" spans="1:11" x14ac:dyDescent="0.3">
      <c r="A2322">
        <v>813</v>
      </c>
      <c r="B2322">
        <v>5</v>
      </c>
      <c r="C2322">
        <v>71</v>
      </c>
      <c r="D2322">
        <v>2</v>
      </c>
      <c r="E2322" s="1">
        <v>416.99</v>
      </c>
      <c r="F2322" s="1">
        <v>0.05</v>
      </c>
      <c r="G2322">
        <v>833.98</v>
      </c>
      <c r="H2322" s="22">
        <f>VLOOKUP(A2322,[1]Orders!$A$2:$B$1616,2,0)</f>
        <v>42826</v>
      </c>
      <c r="J2322" t="s">
        <v>78</v>
      </c>
      <c r="K2322" t="s">
        <v>37</v>
      </c>
    </row>
    <row r="2323" spans="1:11" x14ac:dyDescent="0.3">
      <c r="A2323">
        <v>814</v>
      </c>
      <c r="B2323">
        <v>1</v>
      </c>
      <c r="C2323">
        <v>69</v>
      </c>
      <c r="D2323">
        <v>2</v>
      </c>
      <c r="E2323" s="1">
        <v>416.99</v>
      </c>
      <c r="F2323" s="1">
        <v>0.1</v>
      </c>
      <c r="G2323">
        <v>833.98</v>
      </c>
      <c r="H2323" s="22">
        <f>VLOOKUP(A2323,[1]Orders!$A$2:$B$1616,2,0)</f>
        <v>42827</v>
      </c>
      <c r="J2323" t="s">
        <v>89</v>
      </c>
      <c r="K2323" t="s">
        <v>18</v>
      </c>
    </row>
    <row r="2324" spans="1:11" x14ac:dyDescent="0.3">
      <c r="A2324">
        <v>814</v>
      </c>
      <c r="B2324">
        <v>2</v>
      </c>
      <c r="C2324">
        <v>100</v>
      </c>
      <c r="D2324">
        <v>1</v>
      </c>
      <c r="E2324" s="1">
        <v>489.99</v>
      </c>
      <c r="F2324" s="1">
        <v>0.1</v>
      </c>
      <c r="G2324">
        <v>489.99</v>
      </c>
      <c r="H2324" s="22">
        <f>VLOOKUP(A2324,[1]Orders!$A$2:$B$1616,2,0)</f>
        <v>42827</v>
      </c>
      <c r="J2324" t="s">
        <v>105</v>
      </c>
      <c r="K2324" t="s">
        <v>18</v>
      </c>
    </row>
    <row r="2325" spans="1:11" x14ac:dyDescent="0.3">
      <c r="A2325">
        <v>814</v>
      </c>
      <c r="B2325">
        <v>3</v>
      </c>
      <c r="C2325">
        <v>65</v>
      </c>
      <c r="D2325">
        <v>1</v>
      </c>
      <c r="E2325" s="1">
        <v>346.99</v>
      </c>
      <c r="F2325" s="1">
        <v>0.2</v>
      </c>
      <c r="G2325">
        <v>346.99</v>
      </c>
      <c r="H2325" s="22">
        <f>VLOOKUP(A2325,[1]Orders!$A$2:$B$1616,2,0)</f>
        <v>42827</v>
      </c>
      <c r="J2325" t="s">
        <v>114</v>
      </c>
      <c r="K2325" t="s">
        <v>18</v>
      </c>
    </row>
    <row r="2326" spans="1:11" x14ac:dyDescent="0.3">
      <c r="A2326">
        <v>814</v>
      </c>
      <c r="B2326">
        <v>4</v>
      </c>
      <c r="C2326">
        <v>83</v>
      </c>
      <c r="D2326">
        <v>2</v>
      </c>
      <c r="E2326" s="1">
        <v>149.99</v>
      </c>
      <c r="F2326" s="1">
        <v>0.05</v>
      </c>
      <c r="G2326">
        <v>299.98</v>
      </c>
      <c r="H2326" s="22">
        <f>VLOOKUP(A2326,[1]Orders!$A$2:$B$1616,2,0)</f>
        <v>42827</v>
      </c>
      <c r="J2326" t="s">
        <v>66</v>
      </c>
      <c r="K2326" t="s">
        <v>18</v>
      </c>
    </row>
    <row r="2327" spans="1:11" x14ac:dyDescent="0.3">
      <c r="A2327">
        <v>815</v>
      </c>
      <c r="B2327">
        <v>1</v>
      </c>
      <c r="C2327">
        <v>105</v>
      </c>
      <c r="D2327">
        <v>2</v>
      </c>
      <c r="E2327" s="1">
        <v>533.99</v>
      </c>
      <c r="F2327" s="1">
        <v>0.2</v>
      </c>
      <c r="G2327">
        <v>1067.98</v>
      </c>
      <c r="H2327" s="22">
        <f>VLOOKUP(A2327,[1]Orders!$A$2:$B$1616,2,0)</f>
        <v>42828</v>
      </c>
      <c r="J2327" t="s">
        <v>96</v>
      </c>
      <c r="K2327" t="s">
        <v>11</v>
      </c>
    </row>
    <row r="2328" spans="1:11" x14ac:dyDescent="0.3">
      <c r="A2328">
        <v>815</v>
      </c>
      <c r="B2328">
        <v>2</v>
      </c>
      <c r="C2328">
        <v>102</v>
      </c>
      <c r="D2328">
        <v>2</v>
      </c>
      <c r="E2328" s="1">
        <v>489.99</v>
      </c>
      <c r="F2328" s="1">
        <v>0.2</v>
      </c>
      <c r="G2328">
        <v>979.98</v>
      </c>
      <c r="H2328" s="22">
        <f>VLOOKUP(A2328,[1]Orders!$A$2:$B$1616,2,0)</f>
        <v>42828</v>
      </c>
      <c r="J2328" t="s">
        <v>51</v>
      </c>
      <c r="K2328" t="s">
        <v>11</v>
      </c>
    </row>
    <row r="2329" spans="1:11" x14ac:dyDescent="0.3">
      <c r="A2329">
        <v>815</v>
      </c>
      <c r="B2329">
        <v>3</v>
      </c>
      <c r="C2329">
        <v>87</v>
      </c>
      <c r="D2329">
        <v>2</v>
      </c>
      <c r="E2329" s="1">
        <v>189.99</v>
      </c>
      <c r="F2329" s="1">
        <v>0.1</v>
      </c>
      <c r="G2329">
        <v>379.98</v>
      </c>
      <c r="H2329" s="22">
        <f>VLOOKUP(A2329,[1]Orders!$A$2:$B$1616,2,0)</f>
        <v>42828</v>
      </c>
      <c r="J2329" t="s">
        <v>117</v>
      </c>
      <c r="K2329" t="s">
        <v>11</v>
      </c>
    </row>
    <row r="2330" spans="1:11" x14ac:dyDescent="0.3">
      <c r="A2330">
        <v>815</v>
      </c>
      <c r="B2330">
        <v>4</v>
      </c>
      <c r="C2330">
        <v>23</v>
      </c>
      <c r="D2330">
        <v>1</v>
      </c>
      <c r="E2330" s="1">
        <v>299.99</v>
      </c>
      <c r="F2330" s="1">
        <v>7.0000000000000007E-2</v>
      </c>
      <c r="G2330">
        <v>299.99</v>
      </c>
      <c r="H2330" s="22">
        <f>VLOOKUP(A2330,[1]Orders!$A$2:$B$1616,2,0)</f>
        <v>42828</v>
      </c>
      <c r="J2330" t="s">
        <v>33</v>
      </c>
      <c r="K2330" t="s">
        <v>11</v>
      </c>
    </row>
    <row r="2331" spans="1:11" x14ac:dyDescent="0.3">
      <c r="A2331">
        <v>816</v>
      </c>
      <c r="B2331">
        <v>1</v>
      </c>
      <c r="C2331">
        <v>75</v>
      </c>
      <c r="D2331">
        <v>2</v>
      </c>
      <c r="E2331" s="1">
        <v>599.99</v>
      </c>
      <c r="F2331" s="1">
        <v>0.1</v>
      </c>
      <c r="G2331">
        <v>1199.98</v>
      </c>
      <c r="H2331" s="22">
        <f>VLOOKUP(A2331,[1]Orders!$A$2:$B$1616,2,0)</f>
        <v>42828</v>
      </c>
      <c r="J2331" t="s">
        <v>95</v>
      </c>
      <c r="K2331" t="s">
        <v>18</v>
      </c>
    </row>
    <row r="2332" spans="1:11" x14ac:dyDescent="0.3">
      <c r="A2332">
        <v>816</v>
      </c>
      <c r="B2332">
        <v>2</v>
      </c>
      <c r="C2332">
        <v>64</v>
      </c>
      <c r="D2332">
        <v>2</v>
      </c>
      <c r="E2332" s="1">
        <v>489.99</v>
      </c>
      <c r="F2332" s="1">
        <v>0.2</v>
      </c>
      <c r="G2332">
        <v>979.98</v>
      </c>
      <c r="H2332" s="22">
        <f>VLOOKUP(A2332,[1]Orders!$A$2:$B$1616,2,0)</f>
        <v>42828</v>
      </c>
      <c r="J2332" t="s">
        <v>51</v>
      </c>
      <c r="K2332" t="s">
        <v>18</v>
      </c>
    </row>
    <row r="2333" spans="1:11" x14ac:dyDescent="0.3">
      <c r="A2333">
        <v>817</v>
      </c>
      <c r="B2333">
        <v>1</v>
      </c>
      <c r="C2333">
        <v>85</v>
      </c>
      <c r="D2333">
        <v>1</v>
      </c>
      <c r="E2333" s="1">
        <v>329.99</v>
      </c>
      <c r="F2333" s="1">
        <v>0.05</v>
      </c>
      <c r="G2333">
        <v>329.99</v>
      </c>
      <c r="H2333" s="22">
        <f>VLOOKUP(A2333,[1]Orders!$A$2:$B$1616,2,0)</f>
        <v>42829</v>
      </c>
      <c r="J2333" t="s">
        <v>38</v>
      </c>
      <c r="K2333" t="s">
        <v>18</v>
      </c>
    </row>
    <row r="2334" spans="1:11" x14ac:dyDescent="0.3">
      <c r="A2334">
        <v>817</v>
      </c>
      <c r="B2334">
        <v>2</v>
      </c>
      <c r="C2334">
        <v>105</v>
      </c>
      <c r="D2334">
        <v>2</v>
      </c>
      <c r="E2334" s="1">
        <v>533.99</v>
      </c>
      <c r="F2334" s="1">
        <v>7.0000000000000007E-2</v>
      </c>
      <c r="G2334">
        <v>1067.98</v>
      </c>
      <c r="H2334" s="22">
        <f>VLOOKUP(A2334,[1]Orders!$A$2:$B$1616,2,0)</f>
        <v>42829</v>
      </c>
      <c r="J2334" t="s">
        <v>96</v>
      </c>
      <c r="K2334" t="s">
        <v>18</v>
      </c>
    </row>
    <row r="2335" spans="1:11" x14ac:dyDescent="0.3">
      <c r="A2335">
        <v>817</v>
      </c>
      <c r="B2335">
        <v>3</v>
      </c>
      <c r="C2335">
        <v>48</v>
      </c>
      <c r="D2335">
        <v>2</v>
      </c>
      <c r="E2335" s="1">
        <v>1499.99</v>
      </c>
      <c r="F2335" s="1">
        <v>0.05</v>
      </c>
      <c r="G2335">
        <v>2999.98</v>
      </c>
      <c r="H2335" s="22">
        <f>VLOOKUP(A2335,[1]Orders!$A$2:$B$1616,2,0)</f>
        <v>42829</v>
      </c>
      <c r="J2335" t="s">
        <v>84</v>
      </c>
      <c r="K2335" t="s">
        <v>18</v>
      </c>
    </row>
    <row r="2336" spans="1:11" x14ac:dyDescent="0.3">
      <c r="A2336">
        <v>818</v>
      </c>
      <c r="B2336">
        <v>1</v>
      </c>
      <c r="C2336">
        <v>103</v>
      </c>
      <c r="D2336">
        <v>1</v>
      </c>
      <c r="E2336" s="1">
        <v>551.99</v>
      </c>
      <c r="F2336" s="1">
        <v>0.05</v>
      </c>
      <c r="G2336">
        <v>551.99</v>
      </c>
      <c r="H2336" s="22">
        <f>VLOOKUP(A2336,[1]Orders!$A$2:$B$1616,2,0)</f>
        <v>42829</v>
      </c>
      <c r="J2336" t="s">
        <v>40</v>
      </c>
      <c r="K2336" t="s">
        <v>18</v>
      </c>
    </row>
    <row r="2337" spans="1:11" x14ac:dyDescent="0.3">
      <c r="A2337">
        <v>818</v>
      </c>
      <c r="B2337">
        <v>2</v>
      </c>
      <c r="C2337">
        <v>44</v>
      </c>
      <c r="D2337">
        <v>2</v>
      </c>
      <c r="E2337" s="1">
        <v>539.99</v>
      </c>
      <c r="F2337" s="1">
        <v>7.0000000000000007E-2</v>
      </c>
      <c r="G2337">
        <v>1079.98</v>
      </c>
      <c r="H2337" s="22">
        <f>VLOOKUP(A2337,[1]Orders!$A$2:$B$1616,2,0)</f>
        <v>42829</v>
      </c>
      <c r="J2337" t="s">
        <v>108</v>
      </c>
      <c r="K2337" t="s">
        <v>18</v>
      </c>
    </row>
    <row r="2338" spans="1:11" x14ac:dyDescent="0.3">
      <c r="A2338">
        <v>818</v>
      </c>
      <c r="B2338">
        <v>3</v>
      </c>
      <c r="C2338">
        <v>19</v>
      </c>
      <c r="D2338">
        <v>2</v>
      </c>
      <c r="E2338" s="1">
        <v>449</v>
      </c>
      <c r="F2338" s="1">
        <v>0.05</v>
      </c>
      <c r="G2338">
        <v>898</v>
      </c>
      <c r="H2338" s="22">
        <f>VLOOKUP(A2338,[1]Orders!$A$2:$B$1616,2,0)</f>
        <v>42829</v>
      </c>
      <c r="J2338" t="s">
        <v>36</v>
      </c>
      <c r="K2338" t="s">
        <v>18</v>
      </c>
    </row>
    <row r="2339" spans="1:11" x14ac:dyDescent="0.3">
      <c r="A2339">
        <v>818</v>
      </c>
      <c r="B2339">
        <v>4</v>
      </c>
      <c r="C2339">
        <v>48</v>
      </c>
      <c r="D2339">
        <v>2</v>
      </c>
      <c r="E2339" s="1">
        <v>1499.99</v>
      </c>
      <c r="F2339" s="1">
        <v>0.05</v>
      </c>
      <c r="G2339">
        <v>2999.98</v>
      </c>
      <c r="H2339" s="22">
        <f>VLOOKUP(A2339,[1]Orders!$A$2:$B$1616,2,0)</f>
        <v>42829</v>
      </c>
      <c r="J2339" t="s">
        <v>84</v>
      </c>
      <c r="K2339" t="s">
        <v>18</v>
      </c>
    </row>
    <row r="2340" spans="1:11" x14ac:dyDescent="0.3">
      <c r="A2340">
        <v>819</v>
      </c>
      <c r="B2340">
        <v>1</v>
      </c>
      <c r="C2340">
        <v>94</v>
      </c>
      <c r="D2340">
        <v>1</v>
      </c>
      <c r="E2340" s="1">
        <v>249.99</v>
      </c>
      <c r="F2340" s="1">
        <v>0.2</v>
      </c>
      <c r="G2340">
        <v>249.99</v>
      </c>
      <c r="H2340" s="22">
        <f>VLOOKUP(A2340,[1]Orders!$A$2:$B$1616,2,0)</f>
        <v>42829</v>
      </c>
      <c r="J2340" t="s">
        <v>59</v>
      </c>
      <c r="K2340" t="s">
        <v>37</v>
      </c>
    </row>
    <row r="2341" spans="1:11" x14ac:dyDescent="0.3">
      <c r="A2341">
        <v>820</v>
      </c>
      <c r="B2341">
        <v>1</v>
      </c>
      <c r="C2341">
        <v>107</v>
      </c>
      <c r="D2341">
        <v>1</v>
      </c>
      <c r="E2341" s="1">
        <v>416.99</v>
      </c>
      <c r="F2341" s="1">
        <v>0.05</v>
      </c>
      <c r="G2341">
        <v>416.99</v>
      </c>
      <c r="H2341" s="22">
        <f>VLOOKUP(A2341,[1]Orders!$A$2:$B$1616,2,0)</f>
        <v>42830</v>
      </c>
      <c r="J2341" t="s">
        <v>89</v>
      </c>
      <c r="K2341" t="s">
        <v>18</v>
      </c>
    </row>
    <row r="2342" spans="1:11" x14ac:dyDescent="0.3">
      <c r="A2342">
        <v>821</v>
      </c>
      <c r="B2342">
        <v>1</v>
      </c>
      <c r="C2342">
        <v>102</v>
      </c>
      <c r="D2342">
        <v>1</v>
      </c>
      <c r="E2342" s="1">
        <v>489.99</v>
      </c>
      <c r="F2342" s="1">
        <v>7.0000000000000007E-2</v>
      </c>
      <c r="G2342">
        <v>489.99</v>
      </c>
      <c r="H2342" s="22">
        <f>VLOOKUP(A2342,[1]Orders!$A$2:$B$1616,2,0)</f>
        <v>42830</v>
      </c>
      <c r="J2342" t="s">
        <v>51</v>
      </c>
      <c r="K2342" t="s">
        <v>18</v>
      </c>
    </row>
    <row r="2343" spans="1:11" x14ac:dyDescent="0.3">
      <c r="A2343">
        <v>821</v>
      </c>
      <c r="B2343">
        <v>2</v>
      </c>
      <c r="C2343">
        <v>70</v>
      </c>
      <c r="D2343">
        <v>2</v>
      </c>
      <c r="E2343" s="1">
        <v>659.99</v>
      </c>
      <c r="F2343" s="1">
        <v>0.2</v>
      </c>
      <c r="G2343">
        <v>1319.98</v>
      </c>
      <c r="H2343" s="22">
        <f>VLOOKUP(A2343,[1]Orders!$A$2:$B$1616,2,0)</f>
        <v>42830</v>
      </c>
      <c r="J2343" t="s">
        <v>73</v>
      </c>
      <c r="K2343" t="s">
        <v>18</v>
      </c>
    </row>
    <row r="2344" spans="1:11" x14ac:dyDescent="0.3">
      <c r="A2344">
        <v>821</v>
      </c>
      <c r="B2344">
        <v>3</v>
      </c>
      <c r="C2344">
        <v>6</v>
      </c>
      <c r="D2344">
        <v>1</v>
      </c>
      <c r="E2344" s="1">
        <v>469.99</v>
      </c>
      <c r="F2344" s="1">
        <v>0.2</v>
      </c>
      <c r="G2344">
        <v>469.99</v>
      </c>
      <c r="H2344" s="22">
        <f>VLOOKUP(A2344,[1]Orders!$A$2:$B$1616,2,0)</f>
        <v>42830</v>
      </c>
      <c r="J2344" t="s">
        <v>32</v>
      </c>
      <c r="K2344" t="s">
        <v>18</v>
      </c>
    </row>
    <row r="2345" spans="1:11" x14ac:dyDescent="0.3">
      <c r="A2345">
        <v>821</v>
      </c>
      <c r="B2345">
        <v>4</v>
      </c>
      <c r="C2345">
        <v>107</v>
      </c>
      <c r="D2345">
        <v>1</v>
      </c>
      <c r="E2345" s="1">
        <v>416.99</v>
      </c>
      <c r="F2345" s="1">
        <v>0.05</v>
      </c>
      <c r="G2345">
        <v>416.99</v>
      </c>
      <c r="H2345" s="22">
        <f>VLOOKUP(A2345,[1]Orders!$A$2:$B$1616,2,0)</f>
        <v>42830</v>
      </c>
      <c r="J2345" t="s">
        <v>89</v>
      </c>
      <c r="K2345" t="s">
        <v>18</v>
      </c>
    </row>
    <row r="2346" spans="1:11" x14ac:dyDescent="0.3">
      <c r="A2346">
        <v>822</v>
      </c>
      <c r="B2346">
        <v>1</v>
      </c>
      <c r="C2346">
        <v>53</v>
      </c>
      <c r="D2346">
        <v>1</v>
      </c>
      <c r="E2346" s="1">
        <v>749.99</v>
      </c>
      <c r="F2346" s="1">
        <v>0.05</v>
      </c>
      <c r="G2346">
        <v>749.99</v>
      </c>
      <c r="H2346" s="22">
        <f>VLOOKUP(A2346,[1]Orders!$A$2:$B$1616,2,0)</f>
        <v>42831</v>
      </c>
      <c r="J2346" t="s">
        <v>42</v>
      </c>
      <c r="K2346" t="s">
        <v>18</v>
      </c>
    </row>
    <row r="2347" spans="1:11" x14ac:dyDescent="0.3">
      <c r="A2347">
        <v>822</v>
      </c>
      <c r="B2347">
        <v>2</v>
      </c>
      <c r="C2347">
        <v>72</v>
      </c>
      <c r="D2347">
        <v>1</v>
      </c>
      <c r="E2347" s="1">
        <v>619.99</v>
      </c>
      <c r="F2347" s="1">
        <v>0.2</v>
      </c>
      <c r="G2347">
        <v>619.99</v>
      </c>
      <c r="H2347" s="22">
        <f>VLOOKUP(A2347,[1]Orders!$A$2:$B$1616,2,0)</f>
        <v>42831</v>
      </c>
      <c r="J2347" t="s">
        <v>44</v>
      </c>
      <c r="K2347" t="s">
        <v>18</v>
      </c>
    </row>
    <row r="2348" spans="1:11" x14ac:dyDescent="0.3">
      <c r="A2348">
        <v>823</v>
      </c>
      <c r="B2348">
        <v>1</v>
      </c>
      <c r="C2348">
        <v>56</v>
      </c>
      <c r="D2348">
        <v>2</v>
      </c>
      <c r="E2348" s="1">
        <v>5499.99</v>
      </c>
      <c r="F2348" s="1">
        <v>7.0000000000000007E-2</v>
      </c>
      <c r="G2348">
        <v>10999.98</v>
      </c>
      <c r="H2348" s="22">
        <f>VLOOKUP(A2348,[1]Orders!$A$2:$B$1616,2,0)</f>
        <v>42831</v>
      </c>
      <c r="J2348" t="s">
        <v>41</v>
      </c>
      <c r="K2348" t="s">
        <v>37</v>
      </c>
    </row>
    <row r="2349" spans="1:11" x14ac:dyDescent="0.3">
      <c r="A2349">
        <v>823</v>
      </c>
      <c r="B2349">
        <v>2</v>
      </c>
      <c r="C2349">
        <v>86</v>
      </c>
      <c r="D2349">
        <v>2</v>
      </c>
      <c r="E2349" s="1">
        <v>149.99</v>
      </c>
      <c r="F2349" s="1">
        <v>0.2</v>
      </c>
      <c r="G2349">
        <v>299.98</v>
      </c>
      <c r="H2349" s="22">
        <f>VLOOKUP(A2349,[1]Orders!$A$2:$B$1616,2,0)</f>
        <v>42831</v>
      </c>
      <c r="J2349" t="s">
        <v>115</v>
      </c>
      <c r="K2349" t="s">
        <v>37</v>
      </c>
    </row>
    <row r="2350" spans="1:11" x14ac:dyDescent="0.3">
      <c r="A2350">
        <v>823</v>
      </c>
      <c r="B2350">
        <v>3</v>
      </c>
      <c r="C2350">
        <v>81</v>
      </c>
      <c r="D2350">
        <v>1</v>
      </c>
      <c r="E2350" s="1">
        <v>1099.99</v>
      </c>
      <c r="F2350" s="1">
        <v>0.2</v>
      </c>
      <c r="G2350">
        <v>1099.99</v>
      </c>
      <c r="H2350" s="22">
        <f>VLOOKUP(A2350,[1]Orders!$A$2:$B$1616,2,0)</f>
        <v>42831</v>
      </c>
      <c r="J2350" t="s">
        <v>99</v>
      </c>
      <c r="K2350" t="s">
        <v>37</v>
      </c>
    </row>
    <row r="2351" spans="1:11" x14ac:dyDescent="0.3">
      <c r="A2351">
        <v>824</v>
      </c>
      <c r="B2351">
        <v>1</v>
      </c>
      <c r="C2351">
        <v>92</v>
      </c>
      <c r="D2351">
        <v>2</v>
      </c>
      <c r="E2351" s="1">
        <v>209.99</v>
      </c>
      <c r="F2351" s="1">
        <v>0.1</v>
      </c>
      <c r="G2351">
        <v>419.98</v>
      </c>
      <c r="H2351" s="22">
        <f>VLOOKUP(A2351,[1]Orders!$A$2:$B$1616,2,0)</f>
        <v>42832</v>
      </c>
      <c r="J2351" t="s">
        <v>111</v>
      </c>
      <c r="K2351" t="s">
        <v>11</v>
      </c>
    </row>
    <row r="2352" spans="1:11" x14ac:dyDescent="0.3">
      <c r="A2352">
        <v>825</v>
      </c>
      <c r="B2352">
        <v>1</v>
      </c>
      <c r="C2352">
        <v>19</v>
      </c>
      <c r="D2352">
        <v>1</v>
      </c>
      <c r="E2352" s="1">
        <v>449</v>
      </c>
      <c r="F2352" s="1">
        <v>0.1</v>
      </c>
      <c r="G2352">
        <v>449</v>
      </c>
      <c r="H2352" s="22">
        <f>VLOOKUP(A2352,[1]Orders!$A$2:$B$1616,2,0)</f>
        <v>42832</v>
      </c>
      <c r="J2352" t="s">
        <v>36</v>
      </c>
      <c r="K2352" t="s">
        <v>18</v>
      </c>
    </row>
    <row r="2353" spans="1:11" x14ac:dyDescent="0.3">
      <c r="A2353">
        <v>825</v>
      </c>
      <c r="B2353">
        <v>2</v>
      </c>
      <c r="C2353">
        <v>30</v>
      </c>
      <c r="D2353">
        <v>2</v>
      </c>
      <c r="E2353" s="1">
        <v>999.99</v>
      </c>
      <c r="F2353" s="1">
        <v>0.2</v>
      </c>
      <c r="G2353">
        <v>1999.98</v>
      </c>
      <c r="H2353" s="22">
        <f>VLOOKUP(A2353,[1]Orders!$A$2:$B$1616,2,0)</f>
        <v>42832</v>
      </c>
      <c r="J2353" t="s">
        <v>47</v>
      </c>
      <c r="K2353" t="s">
        <v>18</v>
      </c>
    </row>
    <row r="2354" spans="1:11" x14ac:dyDescent="0.3">
      <c r="A2354">
        <v>826</v>
      </c>
      <c r="B2354">
        <v>1</v>
      </c>
      <c r="C2354">
        <v>45</v>
      </c>
      <c r="D2354">
        <v>2</v>
      </c>
      <c r="E2354" s="1">
        <v>869.99</v>
      </c>
      <c r="F2354" s="1">
        <v>0.2</v>
      </c>
      <c r="G2354">
        <v>1739.98</v>
      </c>
      <c r="H2354" s="22">
        <f>VLOOKUP(A2354,[1]Orders!$A$2:$B$1616,2,0)</f>
        <v>42832</v>
      </c>
      <c r="J2354" t="s">
        <v>88</v>
      </c>
      <c r="K2354" t="s">
        <v>18</v>
      </c>
    </row>
    <row r="2355" spans="1:11" x14ac:dyDescent="0.3">
      <c r="A2355">
        <v>826</v>
      </c>
      <c r="B2355">
        <v>2</v>
      </c>
      <c r="C2355">
        <v>36</v>
      </c>
      <c r="D2355">
        <v>1</v>
      </c>
      <c r="E2355" s="1">
        <v>832.99</v>
      </c>
      <c r="F2355" s="1">
        <v>0.1</v>
      </c>
      <c r="G2355">
        <v>832.99</v>
      </c>
      <c r="H2355" s="22">
        <f>VLOOKUP(A2355,[1]Orders!$A$2:$B$1616,2,0)</f>
        <v>42832</v>
      </c>
      <c r="J2355" t="s">
        <v>116</v>
      </c>
      <c r="K2355" t="s">
        <v>18</v>
      </c>
    </row>
    <row r="2356" spans="1:11" x14ac:dyDescent="0.3">
      <c r="A2356">
        <v>827</v>
      </c>
      <c r="B2356">
        <v>1</v>
      </c>
      <c r="C2356">
        <v>43</v>
      </c>
      <c r="D2356">
        <v>1</v>
      </c>
      <c r="E2356" s="1">
        <v>5299.99</v>
      </c>
      <c r="F2356" s="1">
        <v>0.05</v>
      </c>
      <c r="G2356">
        <v>5299.99</v>
      </c>
      <c r="H2356" s="22">
        <f>VLOOKUP(A2356,[1]Orders!$A$2:$B$1616,2,0)</f>
        <v>42832</v>
      </c>
      <c r="J2356" t="s">
        <v>62</v>
      </c>
      <c r="K2356" t="s">
        <v>18</v>
      </c>
    </row>
    <row r="2357" spans="1:11" x14ac:dyDescent="0.3">
      <c r="A2357">
        <v>827</v>
      </c>
      <c r="B2357">
        <v>2</v>
      </c>
      <c r="C2357">
        <v>41</v>
      </c>
      <c r="D2357">
        <v>1</v>
      </c>
      <c r="E2357" s="1">
        <v>1469.99</v>
      </c>
      <c r="F2357" s="1">
        <v>0.2</v>
      </c>
      <c r="G2357">
        <v>1469.99</v>
      </c>
      <c r="H2357" s="22">
        <f>VLOOKUP(A2357,[1]Orders!$A$2:$B$1616,2,0)</f>
        <v>42832</v>
      </c>
      <c r="J2357" t="s">
        <v>77</v>
      </c>
      <c r="K2357" t="s">
        <v>18</v>
      </c>
    </row>
    <row r="2358" spans="1:11" x14ac:dyDescent="0.3">
      <c r="A2358">
        <v>827</v>
      </c>
      <c r="B2358">
        <v>3</v>
      </c>
      <c r="C2358">
        <v>28</v>
      </c>
      <c r="D2358">
        <v>1</v>
      </c>
      <c r="E2358" s="1">
        <v>2499.9899999999998</v>
      </c>
      <c r="F2358" s="1">
        <v>0.2</v>
      </c>
      <c r="G2358">
        <v>2499.9899999999998</v>
      </c>
      <c r="H2358" s="22">
        <f>VLOOKUP(A2358,[1]Orders!$A$2:$B$1616,2,0)</f>
        <v>42832</v>
      </c>
      <c r="J2358" t="s">
        <v>86</v>
      </c>
      <c r="K2358" t="s">
        <v>18</v>
      </c>
    </row>
    <row r="2359" spans="1:11" x14ac:dyDescent="0.3">
      <c r="A2359">
        <v>827</v>
      </c>
      <c r="B2359">
        <v>4</v>
      </c>
      <c r="C2359">
        <v>108</v>
      </c>
      <c r="D2359">
        <v>1</v>
      </c>
      <c r="E2359" s="1">
        <v>449.99</v>
      </c>
      <c r="F2359" s="1">
        <v>0.2</v>
      </c>
      <c r="G2359">
        <v>449.99</v>
      </c>
      <c r="H2359" s="22">
        <f>VLOOKUP(A2359,[1]Orders!$A$2:$B$1616,2,0)</f>
        <v>42832</v>
      </c>
      <c r="J2359" t="s">
        <v>85</v>
      </c>
      <c r="K2359" t="s">
        <v>18</v>
      </c>
    </row>
    <row r="2360" spans="1:11" x14ac:dyDescent="0.3">
      <c r="A2360">
        <v>828</v>
      </c>
      <c r="B2360">
        <v>1</v>
      </c>
      <c r="C2360">
        <v>25</v>
      </c>
      <c r="D2360">
        <v>2</v>
      </c>
      <c r="E2360" s="1">
        <v>499.99</v>
      </c>
      <c r="F2360" s="1">
        <v>0.2</v>
      </c>
      <c r="G2360">
        <v>999.98</v>
      </c>
      <c r="H2360" s="22">
        <f>VLOOKUP(A2360,[1]Orders!$A$2:$B$1616,2,0)</f>
        <v>42834</v>
      </c>
      <c r="J2360" t="s">
        <v>35</v>
      </c>
      <c r="K2360" t="s">
        <v>18</v>
      </c>
    </row>
    <row r="2361" spans="1:11" x14ac:dyDescent="0.3">
      <c r="A2361">
        <v>828</v>
      </c>
      <c r="B2361">
        <v>2</v>
      </c>
      <c r="C2361">
        <v>24</v>
      </c>
      <c r="D2361">
        <v>1</v>
      </c>
      <c r="E2361" s="1">
        <v>549.99</v>
      </c>
      <c r="F2361" s="1">
        <v>0.2</v>
      </c>
      <c r="G2361">
        <v>549.99</v>
      </c>
      <c r="H2361" s="22">
        <f>VLOOKUP(A2361,[1]Orders!$A$2:$B$1616,2,0)</f>
        <v>42834</v>
      </c>
      <c r="J2361" t="s">
        <v>25</v>
      </c>
      <c r="K2361" t="s">
        <v>18</v>
      </c>
    </row>
    <row r="2362" spans="1:11" x14ac:dyDescent="0.3">
      <c r="A2362">
        <v>828</v>
      </c>
      <c r="B2362">
        <v>3</v>
      </c>
      <c r="C2362">
        <v>55</v>
      </c>
      <c r="D2362">
        <v>2</v>
      </c>
      <c r="E2362" s="1">
        <v>2699.99</v>
      </c>
      <c r="F2362" s="1">
        <v>7.0000000000000007E-2</v>
      </c>
      <c r="G2362">
        <v>5399.98</v>
      </c>
      <c r="H2362" s="22">
        <f>VLOOKUP(A2362,[1]Orders!$A$2:$B$1616,2,0)</f>
        <v>42834</v>
      </c>
      <c r="J2362" t="s">
        <v>76</v>
      </c>
      <c r="K2362" t="s">
        <v>18</v>
      </c>
    </row>
    <row r="2363" spans="1:11" x14ac:dyDescent="0.3">
      <c r="A2363">
        <v>829</v>
      </c>
      <c r="B2363">
        <v>1</v>
      </c>
      <c r="C2363">
        <v>103</v>
      </c>
      <c r="D2363">
        <v>1</v>
      </c>
      <c r="E2363" s="1">
        <v>551.99</v>
      </c>
      <c r="F2363" s="1">
        <v>0.2</v>
      </c>
      <c r="G2363">
        <v>551.99</v>
      </c>
      <c r="H2363" s="22">
        <f>VLOOKUP(A2363,[1]Orders!$A$2:$B$1616,2,0)</f>
        <v>42834</v>
      </c>
      <c r="J2363" t="s">
        <v>40</v>
      </c>
      <c r="K2363" t="s">
        <v>18</v>
      </c>
    </row>
    <row r="2364" spans="1:11" x14ac:dyDescent="0.3">
      <c r="A2364">
        <v>829</v>
      </c>
      <c r="B2364">
        <v>2</v>
      </c>
      <c r="C2364">
        <v>105</v>
      </c>
      <c r="D2364">
        <v>2</v>
      </c>
      <c r="E2364" s="1">
        <v>533.99</v>
      </c>
      <c r="F2364" s="1">
        <v>0.1</v>
      </c>
      <c r="G2364">
        <v>1067.98</v>
      </c>
      <c r="H2364" s="22">
        <f>VLOOKUP(A2364,[1]Orders!$A$2:$B$1616,2,0)</f>
        <v>42834</v>
      </c>
      <c r="J2364" t="s">
        <v>96</v>
      </c>
      <c r="K2364" t="s">
        <v>18</v>
      </c>
    </row>
    <row r="2365" spans="1:11" x14ac:dyDescent="0.3">
      <c r="A2365">
        <v>830</v>
      </c>
      <c r="B2365">
        <v>1</v>
      </c>
      <c r="C2365">
        <v>85</v>
      </c>
      <c r="D2365">
        <v>2</v>
      </c>
      <c r="E2365" s="1">
        <v>329.99</v>
      </c>
      <c r="F2365" s="1">
        <v>0.2</v>
      </c>
      <c r="G2365">
        <v>659.98</v>
      </c>
      <c r="H2365" s="22">
        <f>VLOOKUP(A2365,[1]Orders!$A$2:$B$1616,2,0)</f>
        <v>42836</v>
      </c>
      <c r="J2365" t="s">
        <v>38</v>
      </c>
      <c r="K2365" t="s">
        <v>18</v>
      </c>
    </row>
    <row r="2366" spans="1:11" x14ac:dyDescent="0.3">
      <c r="A2366">
        <v>830</v>
      </c>
      <c r="B2366">
        <v>2</v>
      </c>
      <c r="C2366">
        <v>100</v>
      </c>
      <c r="D2366">
        <v>2</v>
      </c>
      <c r="E2366" s="1">
        <v>489.99</v>
      </c>
      <c r="F2366" s="1">
        <v>7.0000000000000007E-2</v>
      </c>
      <c r="G2366">
        <v>979.98</v>
      </c>
      <c r="H2366" s="22">
        <f>VLOOKUP(A2366,[1]Orders!$A$2:$B$1616,2,0)</f>
        <v>42836</v>
      </c>
      <c r="J2366" t="s">
        <v>105</v>
      </c>
      <c r="K2366" t="s">
        <v>18</v>
      </c>
    </row>
    <row r="2367" spans="1:11" x14ac:dyDescent="0.3">
      <c r="A2367">
        <v>830</v>
      </c>
      <c r="B2367">
        <v>3</v>
      </c>
      <c r="C2367">
        <v>96</v>
      </c>
      <c r="D2367">
        <v>2</v>
      </c>
      <c r="E2367" s="1">
        <v>349.99</v>
      </c>
      <c r="F2367" s="1">
        <v>0.2</v>
      </c>
      <c r="G2367">
        <v>699.98</v>
      </c>
      <c r="H2367" s="22">
        <f>VLOOKUP(A2367,[1]Orders!$A$2:$B$1616,2,0)</f>
        <v>42836</v>
      </c>
      <c r="J2367" t="s">
        <v>91</v>
      </c>
      <c r="K2367" t="s">
        <v>18</v>
      </c>
    </row>
    <row r="2368" spans="1:11" x14ac:dyDescent="0.3">
      <c r="A2368">
        <v>831</v>
      </c>
      <c r="B2368">
        <v>1</v>
      </c>
      <c r="C2368">
        <v>67</v>
      </c>
      <c r="D2368">
        <v>1</v>
      </c>
      <c r="E2368" s="1">
        <v>250.99</v>
      </c>
      <c r="F2368" s="1">
        <v>0.2</v>
      </c>
      <c r="G2368">
        <v>250.99</v>
      </c>
      <c r="H2368" s="22">
        <f>VLOOKUP(A2368,[1]Orders!$A$2:$B$1616,2,0)</f>
        <v>42836</v>
      </c>
      <c r="J2368" t="s">
        <v>60</v>
      </c>
      <c r="K2368" t="s">
        <v>18</v>
      </c>
    </row>
    <row r="2369" spans="1:11" x14ac:dyDescent="0.3">
      <c r="A2369">
        <v>831</v>
      </c>
      <c r="B2369">
        <v>2</v>
      </c>
      <c r="C2369">
        <v>11</v>
      </c>
      <c r="D2369">
        <v>1</v>
      </c>
      <c r="E2369" s="1">
        <v>1680.99</v>
      </c>
      <c r="F2369" s="1">
        <v>0.2</v>
      </c>
      <c r="G2369">
        <v>1680.99</v>
      </c>
      <c r="H2369" s="22">
        <f>VLOOKUP(A2369,[1]Orders!$A$2:$B$1616,2,0)</f>
        <v>42836</v>
      </c>
      <c r="J2369" t="s">
        <v>30</v>
      </c>
      <c r="K2369" t="s">
        <v>18</v>
      </c>
    </row>
    <row r="2370" spans="1:11" x14ac:dyDescent="0.3">
      <c r="A2370">
        <v>831</v>
      </c>
      <c r="B2370">
        <v>3</v>
      </c>
      <c r="C2370">
        <v>68</v>
      </c>
      <c r="D2370">
        <v>1</v>
      </c>
      <c r="E2370" s="1">
        <v>449.99</v>
      </c>
      <c r="F2370" s="1">
        <v>0.1</v>
      </c>
      <c r="G2370">
        <v>449.99</v>
      </c>
      <c r="H2370" s="22">
        <f>VLOOKUP(A2370,[1]Orders!$A$2:$B$1616,2,0)</f>
        <v>42836</v>
      </c>
      <c r="J2370" t="s">
        <v>39</v>
      </c>
      <c r="K2370" t="s">
        <v>18</v>
      </c>
    </row>
    <row r="2371" spans="1:11" x14ac:dyDescent="0.3">
      <c r="A2371">
        <v>832</v>
      </c>
      <c r="B2371">
        <v>1</v>
      </c>
      <c r="C2371">
        <v>54</v>
      </c>
      <c r="D2371">
        <v>1</v>
      </c>
      <c r="E2371" s="1">
        <v>3199.99</v>
      </c>
      <c r="F2371" s="1">
        <v>0.05</v>
      </c>
      <c r="G2371">
        <v>3199.99</v>
      </c>
      <c r="H2371" s="22">
        <f>VLOOKUP(A2371,[1]Orders!$A$2:$B$1616,2,0)</f>
        <v>42836</v>
      </c>
      <c r="J2371" t="s">
        <v>69</v>
      </c>
      <c r="K2371" t="s">
        <v>18</v>
      </c>
    </row>
    <row r="2372" spans="1:11" x14ac:dyDescent="0.3">
      <c r="A2372">
        <v>832</v>
      </c>
      <c r="B2372">
        <v>2</v>
      </c>
      <c r="C2372">
        <v>45</v>
      </c>
      <c r="D2372">
        <v>1</v>
      </c>
      <c r="E2372" s="1">
        <v>869.99</v>
      </c>
      <c r="F2372" s="1">
        <v>0.2</v>
      </c>
      <c r="G2372">
        <v>869.99</v>
      </c>
      <c r="H2372" s="22">
        <f>VLOOKUP(A2372,[1]Orders!$A$2:$B$1616,2,0)</f>
        <v>42836</v>
      </c>
      <c r="J2372" t="s">
        <v>88</v>
      </c>
      <c r="K2372" t="s">
        <v>18</v>
      </c>
    </row>
    <row r="2373" spans="1:11" x14ac:dyDescent="0.3">
      <c r="A2373">
        <v>832</v>
      </c>
      <c r="B2373">
        <v>3</v>
      </c>
      <c r="C2373">
        <v>27</v>
      </c>
      <c r="D2373">
        <v>1</v>
      </c>
      <c r="E2373" s="1">
        <v>999.99</v>
      </c>
      <c r="F2373" s="1">
        <v>7.0000000000000007E-2</v>
      </c>
      <c r="G2373">
        <v>999.99</v>
      </c>
      <c r="H2373" s="22">
        <f>VLOOKUP(A2373,[1]Orders!$A$2:$B$1616,2,0)</f>
        <v>42836</v>
      </c>
      <c r="J2373" t="s">
        <v>106</v>
      </c>
      <c r="K2373" t="s">
        <v>18</v>
      </c>
    </row>
    <row r="2374" spans="1:11" x14ac:dyDescent="0.3">
      <c r="A2374">
        <v>832</v>
      </c>
      <c r="B2374">
        <v>4</v>
      </c>
      <c r="C2374">
        <v>16</v>
      </c>
      <c r="D2374">
        <v>2</v>
      </c>
      <c r="E2374" s="1">
        <v>599.99</v>
      </c>
      <c r="F2374" s="1">
        <v>0.1</v>
      </c>
      <c r="G2374">
        <v>1199.98</v>
      </c>
      <c r="H2374" s="22">
        <f>VLOOKUP(A2374,[1]Orders!$A$2:$B$1616,2,0)</f>
        <v>42836</v>
      </c>
      <c r="J2374" t="s">
        <v>14</v>
      </c>
      <c r="K2374" t="s">
        <v>18</v>
      </c>
    </row>
    <row r="2375" spans="1:11" x14ac:dyDescent="0.3">
      <c r="A2375">
        <v>833</v>
      </c>
      <c r="B2375">
        <v>1</v>
      </c>
      <c r="C2375">
        <v>20</v>
      </c>
      <c r="D2375">
        <v>2</v>
      </c>
      <c r="E2375" s="1">
        <v>599.99</v>
      </c>
      <c r="F2375" s="1">
        <v>0.05</v>
      </c>
      <c r="G2375">
        <v>1199.98</v>
      </c>
      <c r="H2375" s="22">
        <f>VLOOKUP(A2375,[1]Orders!$A$2:$B$1616,2,0)</f>
        <v>42837</v>
      </c>
      <c r="J2375" t="s">
        <v>10</v>
      </c>
      <c r="K2375" t="s">
        <v>18</v>
      </c>
    </row>
    <row r="2376" spans="1:11" x14ac:dyDescent="0.3">
      <c r="A2376">
        <v>834</v>
      </c>
      <c r="B2376">
        <v>1</v>
      </c>
      <c r="C2376">
        <v>54</v>
      </c>
      <c r="D2376">
        <v>1</v>
      </c>
      <c r="E2376" s="1">
        <v>3199.99</v>
      </c>
      <c r="F2376" s="1">
        <v>7.0000000000000007E-2</v>
      </c>
      <c r="G2376">
        <v>3199.99</v>
      </c>
      <c r="H2376" s="22">
        <f>VLOOKUP(A2376,[1]Orders!$A$2:$B$1616,2,0)</f>
        <v>42837</v>
      </c>
      <c r="J2376" t="s">
        <v>69</v>
      </c>
      <c r="K2376" t="s">
        <v>18</v>
      </c>
    </row>
    <row r="2377" spans="1:11" x14ac:dyDescent="0.3">
      <c r="A2377">
        <v>834</v>
      </c>
      <c r="B2377">
        <v>2</v>
      </c>
      <c r="C2377">
        <v>21</v>
      </c>
      <c r="D2377">
        <v>1</v>
      </c>
      <c r="E2377" s="1">
        <v>269.99</v>
      </c>
      <c r="F2377" s="1">
        <v>0.05</v>
      </c>
      <c r="G2377">
        <v>269.99</v>
      </c>
      <c r="H2377" s="22">
        <f>VLOOKUP(A2377,[1]Orders!$A$2:$B$1616,2,0)</f>
        <v>42837</v>
      </c>
      <c r="J2377" t="s">
        <v>31</v>
      </c>
      <c r="K2377" t="s">
        <v>18</v>
      </c>
    </row>
    <row r="2378" spans="1:11" x14ac:dyDescent="0.3">
      <c r="A2378">
        <v>834</v>
      </c>
      <c r="B2378">
        <v>3</v>
      </c>
      <c r="C2378">
        <v>78</v>
      </c>
      <c r="D2378">
        <v>1</v>
      </c>
      <c r="E2378" s="1">
        <v>647.99</v>
      </c>
      <c r="F2378" s="1">
        <v>0.2</v>
      </c>
      <c r="G2378">
        <v>647.99</v>
      </c>
      <c r="H2378" s="22">
        <f>VLOOKUP(A2378,[1]Orders!$A$2:$B$1616,2,0)</f>
        <v>42837</v>
      </c>
      <c r="J2378" t="s">
        <v>57</v>
      </c>
      <c r="K2378" t="s">
        <v>18</v>
      </c>
    </row>
    <row r="2379" spans="1:11" x14ac:dyDescent="0.3">
      <c r="A2379">
        <v>835</v>
      </c>
      <c r="B2379">
        <v>1</v>
      </c>
      <c r="C2379">
        <v>65</v>
      </c>
      <c r="D2379">
        <v>2</v>
      </c>
      <c r="E2379" s="1">
        <v>346.99</v>
      </c>
      <c r="F2379" s="1">
        <v>7.0000000000000007E-2</v>
      </c>
      <c r="G2379">
        <v>693.98</v>
      </c>
      <c r="H2379" s="22">
        <f>VLOOKUP(A2379,[1]Orders!$A$2:$B$1616,2,0)</f>
        <v>42838</v>
      </c>
      <c r="J2379" t="s">
        <v>114</v>
      </c>
      <c r="K2379" t="s">
        <v>11</v>
      </c>
    </row>
    <row r="2380" spans="1:11" x14ac:dyDescent="0.3">
      <c r="A2380">
        <v>835</v>
      </c>
      <c r="B2380">
        <v>2</v>
      </c>
      <c r="C2380">
        <v>82</v>
      </c>
      <c r="D2380">
        <v>1</v>
      </c>
      <c r="E2380" s="1">
        <v>659.99</v>
      </c>
      <c r="F2380" s="1">
        <v>0.2</v>
      </c>
      <c r="G2380">
        <v>659.99</v>
      </c>
      <c r="H2380" s="22">
        <f>VLOOKUP(A2380,[1]Orders!$A$2:$B$1616,2,0)</f>
        <v>42838</v>
      </c>
      <c r="J2380" t="s">
        <v>100</v>
      </c>
      <c r="K2380" t="s">
        <v>11</v>
      </c>
    </row>
    <row r="2381" spans="1:11" x14ac:dyDescent="0.3">
      <c r="A2381">
        <v>835</v>
      </c>
      <c r="B2381">
        <v>3</v>
      </c>
      <c r="C2381">
        <v>2</v>
      </c>
      <c r="D2381">
        <v>1</v>
      </c>
      <c r="E2381" s="1">
        <v>749.99</v>
      </c>
      <c r="F2381" s="1">
        <v>0.05</v>
      </c>
      <c r="G2381">
        <v>749.99</v>
      </c>
      <c r="H2381" s="22">
        <f>VLOOKUP(A2381,[1]Orders!$A$2:$B$1616,2,0)</f>
        <v>42838</v>
      </c>
      <c r="J2381" t="s">
        <v>22</v>
      </c>
      <c r="K2381" t="s">
        <v>11</v>
      </c>
    </row>
    <row r="2382" spans="1:11" x14ac:dyDescent="0.3">
      <c r="A2382">
        <v>836</v>
      </c>
      <c r="B2382">
        <v>1</v>
      </c>
      <c r="C2382">
        <v>108</v>
      </c>
      <c r="D2382">
        <v>2</v>
      </c>
      <c r="E2382" s="1">
        <v>449.99</v>
      </c>
      <c r="F2382" s="1">
        <v>0.2</v>
      </c>
      <c r="G2382">
        <v>899.98</v>
      </c>
      <c r="H2382" s="22">
        <f>VLOOKUP(A2382,[1]Orders!$A$2:$B$1616,2,0)</f>
        <v>42838</v>
      </c>
      <c r="J2382" t="s">
        <v>85</v>
      </c>
      <c r="K2382" t="s">
        <v>18</v>
      </c>
    </row>
    <row r="2383" spans="1:11" x14ac:dyDescent="0.3">
      <c r="A2383">
        <v>837</v>
      </c>
      <c r="B2383">
        <v>1</v>
      </c>
      <c r="C2383">
        <v>51</v>
      </c>
      <c r="D2383">
        <v>1</v>
      </c>
      <c r="E2383" s="1">
        <v>6499.99</v>
      </c>
      <c r="F2383" s="1">
        <v>0.05</v>
      </c>
      <c r="G2383">
        <v>6499.99</v>
      </c>
      <c r="H2383" s="22">
        <f>VLOOKUP(A2383,[1]Orders!$A$2:$B$1616,2,0)</f>
        <v>42838</v>
      </c>
      <c r="J2383" t="s">
        <v>90</v>
      </c>
      <c r="K2383" t="s">
        <v>18</v>
      </c>
    </row>
    <row r="2384" spans="1:11" x14ac:dyDescent="0.3">
      <c r="A2384">
        <v>837</v>
      </c>
      <c r="B2384">
        <v>2</v>
      </c>
      <c r="C2384">
        <v>97</v>
      </c>
      <c r="D2384">
        <v>1</v>
      </c>
      <c r="E2384" s="1">
        <v>349.99</v>
      </c>
      <c r="F2384" s="1">
        <v>0.1</v>
      </c>
      <c r="G2384">
        <v>349.99</v>
      </c>
      <c r="H2384" s="22">
        <f>VLOOKUP(A2384,[1]Orders!$A$2:$B$1616,2,0)</f>
        <v>42838</v>
      </c>
      <c r="J2384" t="s">
        <v>55</v>
      </c>
      <c r="K2384" t="s">
        <v>18</v>
      </c>
    </row>
    <row r="2385" spans="1:11" x14ac:dyDescent="0.3">
      <c r="A2385">
        <v>837</v>
      </c>
      <c r="B2385">
        <v>3</v>
      </c>
      <c r="C2385">
        <v>87</v>
      </c>
      <c r="D2385">
        <v>2</v>
      </c>
      <c r="E2385" s="1">
        <v>189.99</v>
      </c>
      <c r="F2385" s="1">
        <v>0.2</v>
      </c>
      <c r="G2385">
        <v>379.98</v>
      </c>
      <c r="H2385" s="22">
        <f>VLOOKUP(A2385,[1]Orders!$A$2:$B$1616,2,0)</f>
        <v>42838</v>
      </c>
      <c r="J2385" t="s">
        <v>117</v>
      </c>
      <c r="K2385" t="s">
        <v>18</v>
      </c>
    </row>
    <row r="2386" spans="1:11" x14ac:dyDescent="0.3">
      <c r="A2386">
        <v>838</v>
      </c>
      <c r="B2386">
        <v>1</v>
      </c>
      <c r="C2386">
        <v>28</v>
      </c>
      <c r="D2386">
        <v>1</v>
      </c>
      <c r="E2386" s="1">
        <v>2499.9899999999998</v>
      </c>
      <c r="F2386" s="1">
        <v>0.1</v>
      </c>
      <c r="G2386">
        <v>2499.9899999999998</v>
      </c>
      <c r="H2386" s="22">
        <f>VLOOKUP(A2386,[1]Orders!$A$2:$B$1616,2,0)</f>
        <v>42839</v>
      </c>
      <c r="J2386" t="s">
        <v>86</v>
      </c>
      <c r="K2386" t="s">
        <v>18</v>
      </c>
    </row>
    <row r="2387" spans="1:11" x14ac:dyDescent="0.3">
      <c r="A2387">
        <v>838</v>
      </c>
      <c r="B2387">
        <v>2</v>
      </c>
      <c r="C2387">
        <v>10</v>
      </c>
      <c r="D2387">
        <v>1</v>
      </c>
      <c r="E2387" s="1">
        <v>1549</v>
      </c>
      <c r="F2387" s="1">
        <v>0.1</v>
      </c>
      <c r="G2387">
        <v>1549</v>
      </c>
      <c r="H2387" s="22">
        <f>VLOOKUP(A2387,[1]Orders!$A$2:$B$1616,2,0)</f>
        <v>42839</v>
      </c>
      <c r="J2387" t="s">
        <v>13</v>
      </c>
      <c r="K2387" t="s">
        <v>18</v>
      </c>
    </row>
    <row r="2388" spans="1:11" x14ac:dyDescent="0.3">
      <c r="A2388">
        <v>838</v>
      </c>
      <c r="B2388">
        <v>3</v>
      </c>
      <c r="C2388">
        <v>100</v>
      </c>
      <c r="D2388">
        <v>2</v>
      </c>
      <c r="E2388" s="1">
        <v>489.99</v>
      </c>
      <c r="F2388" s="1">
        <v>0.05</v>
      </c>
      <c r="G2388">
        <v>979.98</v>
      </c>
      <c r="H2388" s="22">
        <f>VLOOKUP(A2388,[1]Orders!$A$2:$B$1616,2,0)</f>
        <v>42839</v>
      </c>
      <c r="J2388" t="s">
        <v>105</v>
      </c>
      <c r="K2388" t="s">
        <v>18</v>
      </c>
    </row>
    <row r="2389" spans="1:11" x14ac:dyDescent="0.3">
      <c r="A2389">
        <v>838</v>
      </c>
      <c r="B2389">
        <v>4</v>
      </c>
      <c r="C2389">
        <v>65</v>
      </c>
      <c r="D2389">
        <v>2</v>
      </c>
      <c r="E2389" s="1">
        <v>346.99</v>
      </c>
      <c r="F2389" s="1">
        <v>7.0000000000000007E-2</v>
      </c>
      <c r="G2389">
        <v>693.98</v>
      </c>
      <c r="H2389" s="22">
        <f>VLOOKUP(A2389,[1]Orders!$A$2:$B$1616,2,0)</f>
        <v>42839</v>
      </c>
      <c r="J2389" t="s">
        <v>114</v>
      </c>
      <c r="K2389" t="s">
        <v>18</v>
      </c>
    </row>
    <row r="2390" spans="1:11" x14ac:dyDescent="0.3">
      <c r="A2390">
        <v>839</v>
      </c>
      <c r="B2390">
        <v>1</v>
      </c>
      <c r="C2390">
        <v>55</v>
      </c>
      <c r="D2390">
        <v>1</v>
      </c>
      <c r="E2390" s="1">
        <v>2699.99</v>
      </c>
      <c r="F2390" s="1">
        <v>7.0000000000000007E-2</v>
      </c>
      <c r="G2390">
        <v>2699.99</v>
      </c>
      <c r="H2390" s="22">
        <f>VLOOKUP(A2390,[1]Orders!$A$2:$B$1616,2,0)</f>
        <v>42840</v>
      </c>
      <c r="J2390" t="s">
        <v>76</v>
      </c>
      <c r="K2390" t="s">
        <v>11</v>
      </c>
    </row>
    <row r="2391" spans="1:11" x14ac:dyDescent="0.3">
      <c r="A2391">
        <v>839</v>
      </c>
      <c r="B2391">
        <v>2</v>
      </c>
      <c r="C2391">
        <v>85</v>
      </c>
      <c r="D2391">
        <v>1</v>
      </c>
      <c r="E2391" s="1">
        <v>329.99</v>
      </c>
      <c r="F2391" s="1">
        <v>0.1</v>
      </c>
      <c r="G2391">
        <v>329.99</v>
      </c>
      <c r="H2391" s="22">
        <f>VLOOKUP(A2391,[1]Orders!$A$2:$B$1616,2,0)</f>
        <v>42840</v>
      </c>
      <c r="J2391" t="s">
        <v>38</v>
      </c>
      <c r="K2391" t="s">
        <v>11</v>
      </c>
    </row>
    <row r="2392" spans="1:11" x14ac:dyDescent="0.3">
      <c r="A2392">
        <v>839</v>
      </c>
      <c r="B2392">
        <v>3</v>
      </c>
      <c r="C2392">
        <v>58</v>
      </c>
      <c r="D2392">
        <v>2</v>
      </c>
      <c r="E2392" s="1">
        <v>4999.99</v>
      </c>
      <c r="F2392" s="1">
        <v>0.05</v>
      </c>
      <c r="G2392">
        <v>9999.98</v>
      </c>
      <c r="H2392" s="22">
        <f>VLOOKUP(A2392,[1]Orders!$A$2:$B$1616,2,0)</f>
        <v>42840</v>
      </c>
      <c r="J2392" t="s">
        <v>81</v>
      </c>
      <c r="K2392" t="s">
        <v>11</v>
      </c>
    </row>
    <row r="2393" spans="1:11" x14ac:dyDescent="0.3">
      <c r="A2393">
        <v>840</v>
      </c>
      <c r="B2393">
        <v>1</v>
      </c>
      <c r="C2393">
        <v>27</v>
      </c>
      <c r="D2393">
        <v>1</v>
      </c>
      <c r="E2393" s="1">
        <v>999.99</v>
      </c>
      <c r="F2393" s="1">
        <v>7.0000000000000007E-2</v>
      </c>
      <c r="G2393">
        <v>999.99</v>
      </c>
      <c r="H2393" s="22">
        <f>VLOOKUP(A2393,[1]Orders!$A$2:$B$1616,2,0)</f>
        <v>42840</v>
      </c>
      <c r="J2393" t="s">
        <v>106</v>
      </c>
      <c r="K2393" t="s">
        <v>18</v>
      </c>
    </row>
    <row r="2394" spans="1:11" x14ac:dyDescent="0.3">
      <c r="A2394">
        <v>840</v>
      </c>
      <c r="B2394">
        <v>2</v>
      </c>
      <c r="C2394">
        <v>43</v>
      </c>
      <c r="D2394">
        <v>1</v>
      </c>
      <c r="E2394" s="1">
        <v>5299.99</v>
      </c>
      <c r="F2394" s="1">
        <v>7.0000000000000007E-2</v>
      </c>
      <c r="G2394">
        <v>5299.99</v>
      </c>
      <c r="H2394" s="22">
        <f>VLOOKUP(A2394,[1]Orders!$A$2:$B$1616,2,0)</f>
        <v>42840</v>
      </c>
      <c r="J2394" t="s">
        <v>62</v>
      </c>
      <c r="K2394" t="s">
        <v>18</v>
      </c>
    </row>
    <row r="2395" spans="1:11" x14ac:dyDescent="0.3">
      <c r="A2395">
        <v>840</v>
      </c>
      <c r="B2395">
        <v>3</v>
      </c>
      <c r="C2395">
        <v>106</v>
      </c>
      <c r="D2395">
        <v>2</v>
      </c>
      <c r="E2395" s="1">
        <v>449.99</v>
      </c>
      <c r="F2395" s="1">
        <v>0.2</v>
      </c>
      <c r="G2395">
        <v>899.98</v>
      </c>
      <c r="H2395" s="22">
        <f>VLOOKUP(A2395,[1]Orders!$A$2:$B$1616,2,0)</f>
        <v>42840</v>
      </c>
      <c r="J2395" t="s">
        <v>39</v>
      </c>
      <c r="K2395" t="s">
        <v>18</v>
      </c>
    </row>
    <row r="2396" spans="1:11" x14ac:dyDescent="0.3">
      <c r="A2396">
        <v>841</v>
      </c>
      <c r="B2396">
        <v>1</v>
      </c>
      <c r="C2396">
        <v>22</v>
      </c>
      <c r="D2396">
        <v>2</v>
      </c>
      <c r="E2396" s="1">
        <v>269.99</v>
      </c>
      <c r="F2396" s="1">
        <v>0.1</v>
      </c>
      <c r="G2396">
        <v>539.98</v>
      </c>
      <c r="H2396" s="22">
        <f>VLOOKUP(A2396,[1]Orders!$A$2:$B$1616,2,0)</f>
        <v>42840</v>
      </c>
      <c r="J2396" t="s">
        <v>28</v>
      </c>
      <c r="K2396" t="s">
        <v>18</v>
      </c>
    </row>
    <row r="2397" spans="1:11" x14ac:dyDescent="0.3">
      <c r="A2397">
        <v>841</v>
      </c>
      <c r="B2397">
        <v>2</v>
      </c>
      <c r="C2397">
        <v>9</v>
      </c>
      <c r="D2397">
        <v>1</v>
      </c>
      <c r="E2397" s="1">
        <v>2999.99</v>
      </c>
      <c r="F2397" s="1">
        <v>0.2</v>
      </c>
      <c r="G2397">
        <v>2999.99</v>
      </c>
      <c r="H2397" s="22">
        <f>VLOOKUP(A2397,[1]Orders!$A$2:$B$1616,2,0)</f>
        <v>42840</v>
      </c>
      <c r="J2397" t="s">
        <v>26</v>
      </c>
      <c r="K2397" t="s">
        <v>18</v>
      </c>
    </row>
    <row r="2398" spans="1:11" x14ac:dyDescent="0.3">
      <c r="A2398">
        <v>841</v>
      </c>
      <c r="B2398">
        <v>3</v>
      </c>
      <c r="C2398">
        <v>11</v>
      </c>
      <c r="D2398">
        <v>1</v>
      </c>
      <c r="E2398" s="1">
        <v>1680.99</v>
      </c>
      <c r="F2398" s="1">
        <v>0.2</v>
      </c>
      <c r="G2398">
        <v>1680.99</v>
      </c>
      <c r="H2398" s="22">
        <f>VLOOKUP(A2398,[1]Orders!$A$2:$B$1616,2,0)</f>
        <v>42840</v>
      </c>
      <c r="J2398" t="s">
        <v>30</v>
      </c>
      <c r="K2398" t="s">
        <v>18</v>
      </c>
    </row>
    <row r="2399" spans="1:11" x14ac:dyDescent="0.3">
      <c r="A2399">
        <v>841</v>
      </c>
      <c r="B2399">
        <v>4</v>
      </c>
      <c r="C2399">
        <v>90</v>
      </c>
      <c r="D2399">
        <v>2</v>
      </c>
      <c r="E2399" s="1">
        <v>209.99</v>
      </c>
      <c r="F2399" s="1">
        <v>7.0000000000000007E-2</v>
      </c>
      <c r="G2399">
        <v>419.98</v>
      </c>
      <c r="H2399" s="22">
        <f>VLOOKUP(A2399,[1]Orders!$A$2:$B$1616,2,0)</f>
        <v>42840</v>
      </c>
      <c r="J2399" t="s">
        <v>56</v>
      </c>
      <c r="K2399" t="s">
        <v>18</v>
      </c>
    </row>
    <row r="2400" spans="1:11" x14ac:dyDescent="0.3">
      <c r="A2400">
        <v>841</v>
      </c>
      <c r="B2400">
        <v>5</v>
      </c>
      <c r="C2400">
        <v>100</v>
      </c>
      <c r="D2400">
        <v>1</v>
      </c>
      <c r="E2400" s="1">
        <v>489.99</v>
      </c>
      <c r="F2400" s="1">
        <v>0.1</v>
      </c>
      <c r="G2400">
        <v>489.99</v>
      </c>
      <c r="H2400" s="22">
        <f>VLOOKUP(A2400,[1]Orders!$A$2:$B$1616,2,0)</f>
        <v>42840</v>
      </c>
      <c r="J2400" t="s">
        <v>105</v>
      </c>
      <c r="K2400" t="s">
        <v>18</v>
      </c>
    </row>
    <row r="2401" spans="1:11" x14ac:dyDescent="0.3">
      <c r="A2401">
        <v>842</v>
      </c>
      <c r="B2401">
        <v>1</v>
      </c>
      <c r="C2401">
        <v>81</v>
      </c>
      <c r="D2401">
        <v>2</v>
      </c>
      <c r="E2401" s="1">
        <v>1099.99</v>
      </c>
      <c r="F2401" s="1">
        <v>7.0000000000000007E-2</v>
      </c>
      <c r="G2401">
        <v>2199.98</v>
      </c>
      <c r="H2401" s="22">
        <f>VLOOKUP(A2401,[1]Orders!$A$2:$B$1616,2,0)</f>
        <v>42840</v>
      </c>
      <c r="J2401" t="s">
        <v>99</v>
      </c>
      <c r="K2401" t="s">
        <v>18</v>
      </c>
    </row>
    <row r="2402" spans="1:11" x14ac:dyDescent="0.3">
      <c r="A2402">
        <v>842</v>
      </c>
      <c r="B2402">
        <v>2</v>
      </c>
      <c r="C2402">
        <v>42</v>
      </c>
      <c r="D2402">
        <v>1</v>
      </c>
      <c r="E2402" s="1">
        <v>2299.9899999999998</v>
      </c>
      <c r="F2402" s="1">
        <v>0.1</v>
      </c>
      <c r="G2402">
        <v>2299.9899999999998</v>
      </c>
      <c r="H2402" s="22">
        <f>VLOOKUP(A2402,[1]Orders!$A$2:$B$1616,2,0)</f>
        <v>42840</v>
      </c>
      <c r="J2402" t="s">
        <v>53</v>
      </c>
      <c r="K2402" t="s">
        <v>18</v>
      </c>
    </row>
    <row r="2403" spans="1:11" x14ac:dyDescent="0.3">
      <c r="A2403">
        <v>843</v>
      </c>
      <c r="B2403">
        <v>1</v>
      </c>
      <c r="C2403">
        <v>72</v>
      </c>
      <c r="D2403">
        <v>1</v>
      </c>
      <c r="E2403" s="1">
        <v>619.99</v>
      </c>
      <c r="F2403" s="1">
        <v>0.1</v>
      </c>
      <c r="G2403">
        <v>619.99</v>
      </c>
      <c r="H2403" s="22">
        <f>VLOOKUP(A2403,[1]Orders!$A$2:$B$1616,2,0)</f>
        <v>42841</v>
      </c>
      <c r="J2403" t="s">
        <v>44</v>
      </c>
      <c r="K2403" t="s">
        <v>18</v>
      </c>
    </row>
    <row r="2404" spans="1:11" x14ac:dyDescent="0.3">
      <c r="A2404">
        <v>843</v>
      </c>
      <c r="B2404">
        <v>2</v>
      </c>
      <c r="C2404">
        <v>75</v>
      </c>
      <c r="D2404">
        <v>2</v>
      </c>
      <c r="E2404" s="1">
        <v>599.99</v>
      </c>
      <c r="F2404" s="1">
        <v>0.1</v>
      </c>
      <c r="G2404">
        <v>1199.98</v>
      </c>
      <c r="H2404" s="22">
        <f>VLOOKUP(A2404,[1]Orders!$A$2:$B$1616,2,0)</f>
        <v>42841</v>
      </c>
      <c r="J2404" t="s">
        <v>95</v>
      </c>
      <c r="K2404" t="s">
        <v>18</v>
      </c>
    </row>
    <row r="2405" spans="1:11" x14ac:dyDescent="0.3">
      <c r="A2405">
        <v>843</v>
      </c>
      <c r="B2405">
        <v>3</v>
      </c>
      <c r="C2405">
        <v>81</v>
      </c>
      <c r="D2405">
        <v>1</v>
      </c>
      <c r="E2405" s="1">
        <v>1099.99</v>
      </c>
      <c r="F2405" s="1">
        <v>0.1</v>
      </c>
      <c r="G2405">
        <v>1099.99</v>
      </c>
      <c r="H2405" s="22">
        <f>VLOOKUP(A2405,[1]Orders!$A$2:$B$1616,2,0)</f>
        <v>42841</v>
      </c>
      <c r="J2405" t="s">
        <v>99</v>
      </c>
      <c r="K2405" t="s">
        <v>18</v>
      </c>
    </row>
    <row r="2406" spans="1:11" x14ac:dyDescent="0.3">
      <c r="A2406">
        <v>843</v>
      </c>
      <c r="B2406">
        <v>4</v>
      </c>
      <c r="C2406">
        <v>23</v>
      </c>
      <c r="D2406">
        <v>2</v>
      </c>
      <c r="E2406" s="1">
        <v>299.99</v>
      </c>
      <c r="F2406" s="1">
        <v>7.0000000000000007E-2</v>
      </c>
      <c r="G2406">
        <v>599.98</v>
      </c>
      <c r="H2406" s="22">
        <f>VLOOKUP(A2406,[1]Orders!$A$2:$B$1616,2,0)</f>
        <v>42841</v>
      </c>
      <c r="J2406" t="s">
        <v>33</v>
      </c>
      <c r="K2406" t="s">
        <v>18</v>
      </c>
    </row>
    <row r="2407" spans="1:11" x14ac:dyDescent="0.3">
      <c r="A2407">
        <v>844</v>
      </c>
      <c r="B2407">
        <v>1</v>
      </c>
      <c r="C2407">
        <v>79</v>
      </c>
      <c r="D2407">
        <v>2</v>
      </c>
      <c r="E2407" s="1">
        <v>402.99</v>
      </c>
      <c r="F2407" s="1">
        <v>7.0000000000000007E-2</v>
      </c>
      <c r="G2407">
        <v>805.98</v>
      </c>
      <c r="H2407" s="22">
        <f>VLOOKUP(A2407,[1]Orders!$A$2:$B$1616,2,0)</f>
        <v>42841</v>
      </c>
      <c r="J2407" t="s">
        <v>58</v>
      </c>
      <c r="K2407" t="s">
        <v>18</v>
      </c>
    </row>
    <row r="2408" spans="1:11" x14ac:dyDescent="0.3">
      <c r="A2408">
        <v>844</v>
      </c>
      <c r="B2408">
        <v>2</v>
      </c>
      <c r="C2408">
        <v>12</v>
      </c>
      <c r="D2408">
        <v>1</v>
      </c>
      <c r="E2408" s="1">
        <v>549.99</v>
      </c>
      <c r="F2408" s="1">
        <v>0.1</v>
      </c>
      <c r="G2408">
        <v>549.99</v>
      </c>
      <c r="H2408" s="22">
        <f>VLOOKUP(A2408,[1]Orders!$A$2:$B$1616,2,0)</f>
        <v>42841</v>
      </c>
      <c r="J2408" t="s">
        <v>25</v>
      </c>
      <c r="K2408" t="s">
        <v>18</v>
      </c>
    </row>
    <row r="2409" spans="1:11" x14ac:dyDescent="0.3">
      <c r="A2409">
        <v>844</v>
      </c>
      <c r="B2409">
        <v>3</v>
      </c>
      <c r="C2409">
        <v>83</v>
      </c>
      <c r="D2409">
        <v>2</v>
      </c>
      <c r="E2409" s="1">
        <v>149.99</v>
      </c>
      <c r="F2409" s="1">
        <v>0.2</v>
      </c>
      <c r="G2409">
        <v>299.98</v>
      </c>
      <c r="H2409" s="22">
        <f>VLOOKUP(A2409,[1]Orders!$A$2:$B$1616,2,0)</f>
        <v>42841</v>
      </c>
      <c r="J2409" t="s">
        <v>66</v>
      </c>
      <c r="K2409" t="s">
        <v>18</v>
      </c>
    </row>
    <row r="2410" spans="1:11" x14ac:dyDescent="0.3">
      <c r="A2410">
        <v>844</v>
      </c>
      <c r="B2410">
        <v>4</v>
      </c>
      <c r="C2410">
        <v>48</v>
      </c>
      <c r="D2410">
        <v>1</v>
      </c>
      <c r="E2410" s="1">
        <v>1499.99</v>
      </c>
      <c r="F2410" s="1">
        <v>0.2</v>
      </c>
      <c r="G2410">
        <v>1499.99</v>
      </c>
      <c r="H2410" s="22">
        <f>VLOOKUP(A2410,[1]Orders!$A$2:$B$1616,2,0)</f>
        <v>42841</v>
      </c>
      <c r="J2410" t="s">
        <v>84</v>
      </c>
      <c r="K2410" t="s">
        <v>18</v>
      </c>
    </row>
    <row r="2411" spans="1:11" x14ac:dyDescent="0.3">
      <c r="A2411">
        <v>844</v>
      </c>
      <c r="B2411">
        <v>5</v>
      </c>
      <c r="C2411">
        <v>63</v>
      </c>
      <c r="D2411">
        <v>2</v>
      </c>
      <c r="E2411" s="1">
        <v>3499.99</v>
      </c>
      <c r="F2411" s="1">
        <v>0.05</v>
      </c>
      <c r="G2411">
        <v>6999.98</v>
      </c>
      <c r="H2411" s="22">
        <f>VLOOKUP(A2411,[1]Orders!$A$2:$B$1616,2,0)</f>
        <v>42841</v>
      </c>
      <c r="J2411" t="s">
        <v>75</v>
      </c>
      <c r="K2411" t="s">
        <v>18</v>
      </c>
    </row>
    <row r="2412" spans="1:11" x14ac:dyDescent="0.3">
      <c r="A2412">
        <v>845</v>
      </c>
      <c r="B2412">
        <v>1</v>
      </c>
      <c r="C2412">
        <v>16</v>
      </c>
      <c r="D2412">
        <v>2</v>
      </c>
      <c r="E2412" s="1">
        <v>599.99</v>
      </c>
      <c r="F2412" s="1">
        <v>0.2</v>
      </c>
      <c r="G2412">
        <v>1199.98</v>
      </c>
      <c r="H2412" s="22">
        <f>VLOOKUP(A2412,[1]Orders!$A$2:$B$1616,2,0)</f>
        <v>42842</v>
      </c>
      <c r="J2412" t="s">
        <v>14</v>
      </c>
      <c r="K2412" t="s">
        <v>18</v>
      </c>
    </row>
    <row r="2413" spans="1:11" x14ac:dyDescent="0.3">
      <c r="A2413">
        <v>845</v>
      </c>
      <c r="B2413">
        <v>2</v>
      </c>
      <c r="C2413">
        <v>75</v>
      </c>
      <c r="D2413">
        <v>1</v>
      </c>
      <c r="E2413" s="1">
        <v>599.99</v>
      </c>
      <c r="F2413" s="1">
        <v>0.2</v>
      </c>
      <c r="G2413">
        <v>599.99</v>
      </c>
      <c r="H2413" s="22">
        <f>VLOOKUP(A2413,[1]Orders!$A$2:$B$1616,2,0)</f>
        <v>42842</v>
      </c>
      <c r="J2413" t="s">
        <v>95</v>
      </c>
      <c r="K2413" t="s">
        <v>18</v>
      </c>
    </row>
    <row r="2414" spans="1:11" x14ac:dyDescent="0.3">
      <c r="A2414">
        <v>845</v>
      </c>
      <c r="B2414">
        <v>3</v>
      </c>
      <c r="C2414">
        <v>26</v>
      </c>
      <c r="D2414">
        <v>2</v>
      </c>
      <c r="E2414" s="1">
        <v>599.99</v>
      </c>
      <c r="F2414" s="1">
        <v>0.05</v>
      </c>
      <c r="G2414">
        <v>1199.98</v>
      </c>
      <c r="H2414" s="22">
        <f>VLOOKUP(A2414,[1]Orders!$A$2:$B$1616,2,0)</f>
        <v>42842</v>
      </c>
      <c r="J2414" t="s">
        <v>14</v>
      </c>
      <c r="K2414" t="s">
        <v>18</v>
      </c>
    </row>
    <row r="2415" spans="1:11" x14ac:dyDescent="0.3">
      <c r="A2415">
        <v>845</v>
      </c>
      <c r="B2415">
        <v>4</v>
      </c>
      <c r="C2415">
        <v>73</v>
      </c>
      <c r="D2415">
        <v>2</v>
      </c>
      <c r="E2415" s="1">
        <v>749.99</v>
      </c>
      <c r="F2415" s="1">
        <v>0.2</v>
      </c>
      <c r="G2415">
        <v>1499.98</v>
      </c>
      <c r="H2415" s="22">
        <f>VLOOKUP(A2415,[1]Orders!$A$2:$B$1616,2,0)</f>
        <v>42842</v>
      </c>
      <c r="J2415" t="s">
        <v>43</v>
      </c>
      <c r="K2415" t="s">
        <v>18</v>
      </c>
    </row>
    <row r="2416" spans="1:11" x14ac:dyDescent="0.3">
      <c r="A2416">
        <v>845</v>
      </c>
      <c r="B2416">
        <v>5</v>
      </c>
      <c r="C2416">
        <v>88</v>
      </c>
      <c r="D2416">
        <v>1</v>
      </c>
      <c r="E2416" s="1">
        <v>189.99</v>
      </c>
      <c r="F2416" s="1">
        <v>0.05</v>
      </c>
      <c r="G2416">
        <v>189.99</v>
      </c>
      <c r="H2416" s="22">
        <f>VLOOKUP(A2416,[1]Orders!$A$2:$B$1616,2,0)</f>
        <v>42842</v>
      </c>
      <c r="J2416" t="s">
        <v>64</v>
      </c>
      <c r="K2416" t="s">
        <v>18</v>
      </c>
    </row>
    <row r="2417" spans="1:11" x14ac:dyDescent="0.3">
      <c r="A2417">
        <v>846</v>
      </c>
      <c r="B2417">
        <v>1</v>
      </c>
      <c r="C2417">
        <v>46</v>
      </c>
      <c r="D2417">
        <v>2</v>
      </c>
      <c r="E2417" s="1">
        <v>1409.99</v>
      </c>
      <c r="F2417" s="1">
        <v>0.05</v>
      </c>
      <c r="G2417">
        <v>2819.98</v>
      </c>
      <c r="H2417" s="22">
        <f>VLOOKUP(A2417,[1]Orders!$A$2:$B$1616,2,0)</f>
        <v>42842</v>
      </c>
      <c r="J2417" t="s">
        <v>118</v>
      </c>
      <c r="K2417" t="s">
        <v>18</v>
      </c>
    </row>
    <row r="2418" spans="1:11" x14ac:dyDescent="0.3">
      <c r="A2418">
        <v>846</v>
      </c>
      <c r="B2418">
        <v>2</v>
      </c>
      <c r="C2418">
        <v>47</v>
      </c>
      <c r="D2418">
        <v>1</v>
      </c>
      <c r="E2418" s="1">
        <v>5299.99</v>
      </c>
      <c r="F2418" s="1">
        <v>7.0000000000000007E-2</v>
      </c>
      <c r="G2418">
        <v>5299.99</v>
      </c>
      <c r="H2418" s="22">
        <f>VLOOKUP(A2418,[1]Orders!$A$2:$B$1616,2,0)</f>
        <v>42842</v>
      </c>
      <c r="J2418" t="s">
        <v>54</v>
      </c>
      <c r="K2418" t="s">
        <v>18</v>
      </c>
    </row>
    <row r="2419" spans="1:11" x14ac:dyDescent="0.3">
      <c r="A2419">
        <v>846</v>
      </c>
      <c r="B2419">
        <v>3</v>
      </c>
      <c r="C2419">
        <v>71</v>
      </c>
      <c r="D2419">
        <v>1</v>
      </c>
      <c r="E2419" s="1">
        <v>416.99</v>
      </c>
      <c r="F2419" s="1">
        <v>0.1</v>
      </c>
      <c r="G2419">
        <v>416.99</v>
      </c>
      <c r="H2419" s="22">
        <f>VLOOKUP(A2419,[1]Orders!$A$2:$B$1616,2,0)</f>
        <v>42842</v>
      </c>
      <c r="J2419" t="s">
        <v>78</v>
      </c>
      <c r="K2419" t="s">
        <v>18</v>
      </c>
    </row>
    <row r="2420" spans="1:11" x14ac:dyDescent="0.3">
      <c r="A2420">
        <v>846</v>
      </c>
      <c r="B2420">
        <v>4</v>
      </c>
      <c r="C2420">
        <v>72</v>
      </c>
      <c r="D2420">
        <v>2</v>
      </c>
      <c r="E2420" s="1">
        <v>619.99</v>
      </c>
      <c r="F2420" s="1">
        <v>0.05</v>
      </c>
      <c r="G2420">
        <v>1239.98</v>
      </c>
      <c r="H2420" s="22">
        <f>VLOOKUP(A2420,[1]Orders!$A$2:$B$1616,2,0)</f>
        <v>42842</v>
      </c>
      <c r="J2420" t="s">
        <v>44</v>
      </c>
      <c r="K2420" t="s">
        <v>18</v>
      </c>
    </row>
    <row r="2421" spans="1:11" x14ac:dyDescent="0.3">
      <c r="A2421">
        <v>846</v>
      </c>
      <c r="B2421">
        <v>5</v>
      </c>
      <c r="C2421">
        <v>103</v>
      </c>
      <c r="D2421">
        <v>2</v>
      </c>
      <c r="E2421" s="1">
        <v>551.99</v>
      </c>
      <c r="F2421" s="1">
        <v>7.0000000000000007E-2</v>
      </c>
      <c r="G2421">
        <v>1103.98</v>
      </c>
      <c r="H2421" s="22">
        <f>VLOOKUP(A2421,[1]Orders!$A$2:$B$1616,2,0)</f>
        <v>42842</v>
      </c>
      <c r="J2421" t="s">
        <v>40</v>
      </c>
      <c r="K2421" t="s">
        <v>18</v>
      </c>
    </row>
    <row r="2422" spans="1:11" x14ac:dyDescent="0.3">
      <c r="A2422">
        <v>847</v>
      </c>
      <c r="B2422">
        <v>1</v>
      </c>
      <c r="C2422">
        <v>61</v>
      </c>
      <c r="D2422">
        <v>2</v>
      </c>
      <c r="E2422" s="1">
        <v>4999.99</v>
      </c>
      <c r="F2422" s="1">
        <v>0.05</v>
      </c>
      <c r="G2422">
        <v>9999.98</v>
      </c>
      <c r="H2422" s="22">
        <f>VLOOKUP(A2422,[1]Orders!$A$2:$B$1616,2,0)</f>
        <v>42843</v>
      </c>
      <c r="J2422" t="s">
        <v>45</v>
      </c>
      <c r="K2422" t="s">
        <v>18</v>
      </c>
    </row>
    <row r="2423" spans="1:11" x14ac:dyDescent="0.3">
      <c r="A2423">
        <v>848</v>
      </c>
      <c r="B2423">
        <v>1</v>
      </c>
      <c r="C2423">
        <v>93</v>
      </c>
      <c r="D2423">
        <v>1</v>
      </c>
      <c r="E2423" s="1">
        <v>209.99</v>
      </c>
      <c r="F2423" s="1">
        <v>7.0000000000000007E-2</v>
      </c>
      <c r="G2423">
        <v>209.99</v>
      </c>
      <c r="H2423" s="22">
        <f>VLOOKUP(A2423,[1]Orders!$A$2:$B$1616,2,0)</f>
        <v>42843</v>
      </c>
      <c r="J2423" t="s">
        <v>110</v>
      </c>
      <c r="K2423" t="s">
        <v>18</v>
      </c>
    </row>
    <row r="2424" spans="1:11" x14ac:dyDescent="0.3">
      <c r="A2424">
        <v>848</v>
      </c>
      <c r="B2424">
        <v>2</v>
      </c>
      <c r="C2424">
        <v>100</v>
      </c>
      <c r="D2424">
        <v>2</v>
      </c>
      <c r="E2424" s="1">
        <v>489.99</v>
      </c>
      <c r="F2424" s="1">
        <v>0.2</v>
      </c>
      <c r="G2424">
        <v>979.98</v>
      </c>
      <c r="H2424" s="22">
        <f>VLOOKUP(A2424,[1]Orders!$A$2:$B$1616,2,0)</f>
        <v>42843</v>
      </c>
      <c r="J2424" t="s">
        <v>105</v>
      </c>
      <c r="K2424" t="s">
        <v>18</v>
      </c>
    </row>
    <row r="2425" spans="1:11" x14ac:dyDescent="0.3">
      <c r="A2425">
        <v>848</v>
      </c>
      <c r="B2425">
        <v>3</v>
      </c>
      <c r="C2425">
        <v>88</v>
      </c>
      <c r="D2425">
        <v>2</v>
      </c>
      <c r="E2425" s="1">
        <v>189.99</v>
      </c>
      <c r="F2425" s="1">
        <v>0.2</v>
      </c>
      <c r="G2425">
        <v>379.98</v>
      </c>
      <c r="H2425" s="22">
        <f>VLOOKUP(A2425,[1]Orders!$A$2:$B$1616,2,0)</f>
        <v>42843</v>
      </c>
      <c r="J2425" t="s">
        <v>64</v>
      </c>
      <c r="K2425" t="s">
        <v>18</v>
      </c>
    </row>
    <row r="2426" spans="1:11" x14ac:dyDescent="0.3">
      <c r="A2426">
        <v>848</v>
      </c>
      <c r="B2426">
        <v>4</v>
      </c>
      <c r="C2426">
        <v>41</v>
      </c>
      <c r="D2426">
        <v>2</v>
      </c>
      <c r="E2426" s="1">
        <v>1469.99</v>
      </c>
      <c r="F2426" s="1">
        <v>7.0000000000000007E-2</v>
      </c>
      <c r="G2426">
        <v>2939.98</v>
      </c>
      <c r="H2426" s="22">
        <f>VLOOKUP(A2426,[1]Orders!$A$2:$B$1616,2,0)</f>
        <v>42843</v>
      </c>
      <c r="J2426" t="s">
        <v>77</v>
      </c>
      <c r="K2426" t="s">
        <v>18</v>
      </c>
    </row>
    <row r="2427" spans="1:11" x14ac:dyDescent="0.3">
      <c r="A2427">
        <v>849</v>
      </c>
      <c r="B2427">
        <v>1</v>
      </c>
      <c r="C2427">
        <v>109</v>
      </c>
      <c r="D2427">
        <v>1</v>
      </c>
      <c r="E2427" s="1">
        <v>416.99</v>
      </c>
      <c r="F2427" s="1">
        <v>0.2</v>
      </c>
      <c r="G2427">
        <v>416.99</v>
      </c>
      <c r="H2427" s="22">
        <f>VLOOKUP(A2427,[1]Orders!$A$2:$B$1616,2,0)</f>
        <v>42844</v>
      </c>
      <c r="J2427" t="s">
        <v>49</v>
      </c>
      <c r="K2427" t="s">
        <v>11</v>
      </c>
    </row>
    <row r="2428" spans="1:11" x14ac:dyDescent="0.3">
      <c r="A2428">
        <v>850</v>
      </c>
      <c r="B2428">
        <v>1</v>
      </c>
      <c r="C2428">
        <v>101</v>
      </c>
      <c r="D2428">
        <v>2</v>
      </c>
      <c r="E2428" s="1">
        <v>339.99</v>
      </c>
      <c r="F2428" s="1">
        <v>7.0000000000000007E-2</v>
      </c>
      <c r="G2428">
        <v>679.98</v>
      </c>
      <c r="H2428" s="22">
        <f>VLOOKUP(A2428,[1]Orders!$A$2:$B$1616,2,0)</f>
        <v>42844</v>
      </c>
      <c r="J2428" t="s">
        <v>80</v>
      </c>
      <c r="K2428" t="s">
        <v>11</v>
      </c>
    </row>
    <row r="2429" spans="1:11" x14ac:dyDescent="0.3">
      <c r="A2429">
        <v>850</v>
      </c>
      <c r="B2429">
        <v>2</v>
      </c>
      <c r="C2429">
        <v>5</v>
      </c>
      <c r="D2429">
        <v>2</v>
      </c>
      <c r="E2429" s="1">
        <v>1320.99</v>
      </c>
      <c r="F2429" s="1">
        <v>7.0000000000000007E-2</v>
      </c>
      <c r="G2429">
        <v>2641.98</v>
      </c>
      <c r="H2429" s="22">
        <f>VLOOKUP(A2429,[1]Orders!$A$2:$B$1616,2,0)</f>
        <v>42844</v>
      </c>
      <c r="J2429" t="s">
        <v>34</v>
      </c>
      <c r="K2429" t="s">
        <v>11</v>
      </c>
    </row>
    <row r="2430" spans="1:11" x14ac:dyDescent="0.3">
      <c r="A2430">
        <v>850</v>
      </c>
      <c r="B2430">
        <v>3</v>
      </c>
      <c r="C2430">
        <v>37</v>
      </c>
      <c r="D2430">
        <v>1</v>
      </c>
      <c r="E2430" s="1">
        <v>379.99</v>
      </c>
      <c r="F2430" s="1">
        <v>7.0000000000000007E-2</v>
      </c>
      <c r="G2430">
        <v>379.99</v>
      </c>
      <c r="H2430" s="22">
        <f>VLOOKUP(A2430,[1]Orders!$A$2:$B$1616,2,0)</f>
        <v>42844</v>
      </c>
      <c r="J2430" t="s">
        <v>98</v>
      </c>
      <c r="K2430" t="s">
        <v>11</v>
      </c>
    </row>
    <row r="2431" spans="1:11" x14ac:dyDescent="0.3">
      <c r="A2431">
        <v>851</v>
      </c>
      <c r="B2431">
        <v>1</v>
      </c>
      <c r="C2431">
        <v>30</v>
      </c>
      <c r="D2431">
        <v>1</v>
      </c>
      <c r="E2431" s="1">
        <v>999.99</v>
      </c>
      <c r="F2431" s="1">
        <v>0.2</v>
      </c>
      <c r="G2431">
        <v>999.99</v>
      </c>
      <c r="H2431" s="22">
        <f>VLOOKUP(A2431,[1]Orders!$A$2:$B$1616,2,0)</f>
        <v>42845</v>
      </c>
      <c r="J2431" t="s">
        <v>47</v>
      </c>
      <c r="K2431" t="s">
        <v>18</v>
      </c>
    </row>
    <row r="2432" spans="1:11" x14ac:dyDescent="0.3">
      <c r="A2432">
        <v>851</v>
      </c>
      <c r="B2432">
        <v>2</v>
      </c>
      <c r="C2432">
        <v>93</v>
      </c>
      <c r="D2432">
        <v>1</v>
      </c>
      <c r="E2432" s="1">
        <v>209.99</v>
      </c>
      <c r="F2432" s="1">
        <v>0.05</v>
      </c>
      <c r="G2432">
        <v>209.99</v>
      </c>
      <c r="H2432" s="22">
        <f>VLOOKUP(A2432,[1]Orders!$A$2:$B$1616,2,0)</f>
        <v>42845</v>
      </c>
      <c r="J2432" t="s">
        <v>110</v>
      </c>
      <c r="K2432" t="s">
        <v>18</v>
      </c>
    </row>
    <row r="2433" spans="1:11" x14ac:dyDescent="0.3">
      <c r="A2433">
        <v>852</v>
      </c>
      <c r="B2433">
        <v>1</v>
      </c>
      <c r="C2433">
        <v>46</v>
      </c>
      <c r="D2433">
        <v>2</v>
      </c>
      <c r="E2433" s="1">
        <v>1409.99</v>
      </c>
      <c r="F2433" s="1">
        <v>7.0000000000000007E-2</v>
      </c>
      <c r="G2433">
        <v>2819.98</v>
      </c>
      <c r="H2433" s="22">
        <f>VLOOKUP(A2433,[1]Orders!$A$2:$B$1616,2,0)</f>
        <v>42846</v>
      </c>
      <c r="J2433" t="s">
        <v>118</v>
      </c>
      <c r="K2433" t="s">
        <v>37</v>
      </c>
    </row>
    <row r="2434" spans="1:11" x14ac:dyDescent="0.3">
      <c r="A2434">
        <v>853</v>
      </c>
      <c r="B2434">
        <v>1</v>
      </c>
      <c r="C2434">
        <v>99</v>
      </c>
      <c r="D2434">
        <v>1</v>
      </c>
      <c r="E2434" s="1">
        <v>299.99</v>
      </c>
      <c r="F2434" s="1">
        <v>0.05</v>
      </c>
      <c r="G2434">
        <v>299.99</v>
      </c>
      <c r="H2434" s="22">
        <f>VLOOKUP(A2434,[1]Orders!$A$2:$B$1616,2,0)</f>
        <v>42846</v>
      </c>
      <c r="J2434" t="s">
        <v>52</v>
      </c>
      <c r="K2434" t="s">
        <v>37</v>
      </c>
    </row>
    <row r="2435" spans="1:11" x14ac:dyDescent="0.3">
      <c r="A2435">
        <v>853</v>
      </c>
      <c r="B2435">
        <v>2</v>
      </c>
      <c r="C2435">
        <v>58</v>
      </c>
      <c r="D2435">
        <v>2</v>
      </c>
      <c r="E2435" s="1">
        <v>4999.99</v>
      </c>
      <c r="F2435" s="1">
        <v>0.2</v>
      </c>
      <c r="G2435">
        <v>9999.98</v>
      </c>
      <c r="H2435" s="22">
        <f>VLOOKUP(A2435,[1]Orders!$A$2:$B$1616,2,0)</f>
        <v>42846</v>
      </c>
      <c r="J2435" t="s">
        <v>81</v>
      </c>
      <c r="K2435" t="s">
        <v>37</v>
      </c>
    </row>
    <row r="2436" spans="1:11" x14ac:dyDescent="0.3">
      <c r="A2436">
        <v>853</v>
      </c>
      <c r="B2436">
        <v>3</v>
      </c>
      <c r="C2436">
        <v>42</v>
      </c>
      <c r="D2436">
        <v>2</v>
      </c>
      <c r="E2436" s="1">
        <v>2299.9899999999998</v>
      </c>
      <c r="F2436" s="1">
        <v>0.2</v>
      </c>
      <c r="G2436">
        <v>4599.9799999999996</v>
      </c>
      <c r="H2436" s="22">
        <f>VLOOKUP(A2436,[1]Orders!$A$2:$B$1616,2,0)</f>
        <v>42846</v>
      </c>
      <c r="J2436" t="s">
        <v>53</v>
      </c>
      <c r="K2436" t="s">
        <v>37</v>
      </c>
    </row>
    <row r="2437" spans="1:11" x14ac:dyDescent="0.3">
      <c r="A2437">
        <v>853</v>
      </c>
      <c r="B2437">
        <v>4</v>
      </c>
      <c r="C2437">
        <v>45</v>
      </c>
      <c r="D2437">
        <v>1</v>
      </c>
      <c r="E2437" s="1">
        <v>869.99</v>
      </c>
      <c r="F2437" s="1">
        <v>0.2</v>
      </c>
      <c r="G2437">
        <v>869.99</v>
      </c>
      <c r="H2437" s="22">
        <f>VLOOKUP(A2437,[1]Orders!$A$2:$B$1616,2,0)</f>
        <v>42846</v>
      </c>
      <c r="J2437" t="s">
        <v>88</v>
      </c>
      <c r="K2437" t="s">
        <v>37</v>
      </c>
    </row>
    <row r="2438" spans="1:11" x14ac:dyDescent="0.3">
      <c r="A2438">
        <v>853</v>
      </c>
      <c r="B2438">
        <v>5</v>
      </c>
      <c r="C2438">
        <v>6</v>
      </c>
      <c r="D2438">
        <v>1</v>
      </c>
      <c r="E2438" s="1">
        <v>469.99</v>
      </c>
      <c r="F2438" s="1">
        <v>0.05</v>
      </c>
      <c r="G2438">
        <v>469.99</v>
      </c>
      <c r="H2438" s="22">
        <f>VLOOKUP(A2438,[1]Orders!$A$2:$B$1616,2,0)</f>
        <v>42846</v>
      </c>
      <c r="J2438" t="s">
        <v>32</v>
      </c>
      <c r="K2438" t="s">
        <v>37</v>
      </c>
    </row>
    <row r="2439" spans="1:11" x14ac:dyDescent="0.3">
      <c r="A2439">
        <v>854</v>
      </c>
      <c r="B2439">
        <v>1</v>
      </c>
      <c r="C2439">
        <v>87</v>
      </c>
      <c r="D2439">
        <v>1</v>
      </c>
      <c r="E2439" s="1">
        <v>189.99</v>
      </c>
      <c r="F2439" s="1">
        <v>0.1</v>
      </c>
      <c r="G2439">
        <v>189.99</v>
      </c>
      <c r="H2439" s="22">
        <f>VLOOKUP(A2439,[1]Orders!$A$2:$B$1616,2,0)</f>
        <v>42847</v>
      </c>
      <c r="J2439" t="s">
        <v>117</v>
      </c>
      <c r="K2439" t="s">
        <v>18</v>
      </c>
    </row>
    <row r="2440" spans="1:11" x14ac:dyDescent="0.3">
      <c r="A2440">
        <v>855</v>
      </c>
      <c r="B2440">
        <v>1</v>
      </c>
      <c r="C2440">
        <v>18</v>
      </c>
      <c r="D2440">
        <v>1</v>
      </c>
      <c r="E2440" s="1">
        <v>449</v>
      </c>
      <c r="F2440" s="1">
        <v>0.1</v>
      </c>
      <c r="G2440">
        <v>449</v>
      </c>
      <c r="H2440" s="22">
        <f>VLOOKUP(A2440,[1]Orders!$A$2:$B$1616,2,0)</f>
        <v>42847</v>
      </c>
      <c r="J2440" t="s">
        <v>24</v>
      </c>
      <c r="K2440" t="s">
        <v>18</v>
      </c>
    </row>
    <row r="2441" spans="1:11" x14ac:dyDescent="0.3">
      <c r="A2441">
        <v>855</v>
      </c>
      <c r="B2441">
        <v>2</v>
      </c>
      <c r="C2441">
        <v>93</v>
      </c>
      <c r="D2441">
        <v>2</v>
      </c>
      <c r="E2441" s="1">
        <v>209.99</v>
      </c>
      <c r="F2441" s="1">
        <v>0.2</v>
      </c>
      <c r="G2441">
        <v>419.98</v>
      </c>
      <c r="H2441" s="22">
        <f>VLOOKUP(A2441,[1]Orders!$A$2:$B$1616,2,0)</f>
        <v>42847</v>
      </c>
      <c r="J2441" t="s">
        <v>110</v>
      </c>
      <c r="K2441" t="s">
        <v>18</v>
      </c>
    </row>
    <row r="2442" spans="1:11" x14ac:dyDescent="0.3">
      <c r="A2442">
        <v>855</v>
      </c>
      <c r="B2442">
        <v>3</v>
      </c>
      <c r="C2442">
        <v>89</v>
      </c>
      <c r="D2442">
        <v>1</v>
      </c>
      <c r="E2442" s="1">
        <v>209.99</v>
      </c>
      <c r="F2442" s="1">
        <v>0.2</v>
      </c>
      <c r="G2442">
        <v>209.99</v>
      </c>
      <c r="H2442" s="22">
        <f>VLOOKUP(A2442,[1]Orders!$A$2:$B$1616,2,0)</f>
        <v>42847</v>
      </c>
      <c r="J2442" t="s">
        <v>94</v>
      </c>
      <c r="K2442" t="s">
        <v>18</v>
      </c>
    </row>
    <row r="2443" spans="1:11" x14ac:dyDescent="0.3">
      <c r="A2443">
        <v>856</v>
      </c>
      <c r="B2443">
        <v>1</v>
      </c>
      <c r="C2443">
        <v>38</v>
      </c>
      <c r="D2443">
        <v>2</v>
      </c>
      <c r="E2443" s="1">
        <v>549.99</v>
      </c>
      <c r="F2443" s="1">
        <v>0.05</v>
      </c>
      <c r="G2443">
        <v>1099.98</v>
      </c>
      <c r="H2443" s="22">
        <f>VLOOKUP(A2443,[1]Orders!$A$2:$B$1616,2,0)</f>
        <v>42848</v>
      </c>
      <c r="J2443" t="s">
        <v>93</v>
      </c>
      <c r="K2443" t="s">
        <v>18</v>
      </c>
    </row>
    <row r="2444" spans="1:11" x14ac:dyDescent="0.3">
      <c r="A2444">
        <v>857</v>
      </c>
      <c r="B2444">
        <v>1</v>
      </c>
      <c r="C2444">
        <v>29</v>
      </c>
      <c r="D2444">
        <v>1</v>
      </c>
      <c r="E2444" s="1">
        <v>999.99</v>
      </c>
      <c r="F2444" s="1">
        <v>0.2</v>
      </c>
      <c r="G2444">
        <v>999.99</v>
      </c>
      <c r="H2444" s="22">
        <f>VLOOKUP(A2444,[1]Orders!$A$2:$B$1616,2,0)</f>
        <v>42849</v>
      </c>
      <c r="J2444" t="s">
        <v>71</v>
      </c>
      <c r="K2444" t="s">
        <v>18</v>
      </c>
    </row>
    <row r="2445" spans="1:11" x14ac:dyDescent="0.3">
      <c r="A2445">
        <v>858</v>
      </c>
      <c r="B2445">
        <v>1</v>
      </c>
      <c r="C2445">
        <v>45</v>
      </c>
      <c r="D2445">
        <v>2</v>
      </c>
      <c r="E2445" s="1">
        <v>869.99</v>
      </c>
      <c r="F2445" s="1">
        <v>0.2</v>
      </c>
      <c r="G2445">
        <v>1739.98</v>
      </c>
      <c r="H2445" s="22">
        <f>VLOOKUP(A2445,[1]Orders!$A$2:$B$1616,2,0)</f>
        <v>42850</v>
      </c>
      <c r="J2445" t="s">
        <v>88</v>
      </c>
      <c r="K2445" t="s">
        <v>18</v>
      </c>
    </row>
    <row r="2446" spans="1:11" x14ac:dyDescent="0.3">
      <c r="A2446">
        <v>858</v>
      </c>
      <c r="B2446">
        <v>2</v>
      </c>
      <c r="C2446">
        <v>5</v>
      </c>
      <c r="D2446">
        <v>1</v>
      </c>
      <c r="E2446" s="1">
        <v>1320.99</v>
      </c>
      <c r="F2446" s="1">
        <v>0.2</v>
      </c>
      <c r="G2446">
        <v>1320.99</v>
      </c>
      <c r="H2446" s="22">
        <f>VLOOKUP(A2446,[1]Orders!$A$2:$B$1616,2,0)</f>
        <v>42850</v>
      </c>
      <c r="J2446" t="s">
        <v>34</v>
      </c>
      <c r="K2446" t="s">
        <v>18</v>
      </c>
    </row>
    <row r="2447" spans="1:11" x14ac:dyDescent="0.3">
      <c r="A2447">
        <v>858</v>
      </c>
      <c r="B2447">
        <v>3</v>
      </c>
      <c r="C2447">
        <v>14</v>
      </c>
      <c r="D2447">
        <v>1</v>
      </c>
      <c r="E2447" s="1">
        <v>269.99</v>
      </c>
      <c r="F2447" s="1">
        <v>7.0000000000000007E-2</v>
      </c>
      <c r="G2447">
        <v>269.99</v>
      </c>
      <c r="H2447" s="22">
        <f>VLOOKUP(A2447,[1]Orders!$A$2:$B$1616,2,0)</f>
        <v>42850</v>
      </c>
      <c r="J2447" t="s">
        <v>28</v>
      </c>
      <c r="K2447" t="s">
        <v>18</v>
      </c>
    </row>
    <row r="2448" spans="1:11" x14ac:dyDescent="0.3">
      <c r="A2448">
        <v>858</v>
      </c>
      <c r="B2448">
        <v>4</v>
      </c>
      <c r="C2448">
        <v>73</v>
      </c>
      <c r="D2448">
        <v>2</v>
      </c>
      <c r="E2448" s="1">
        <v>749.99</v>
      </c>
      <c r="F2448" s="1">
        <v>7.0000000000000007E-2</v>
      </c>
      <c r="G2448">
        <v>1499.98</v>
      </c>
      <c r="H2448" s="22">
        <f>VLOOKUP(A2448,[1]Orders!$A$2:$B$1616,2,0)</f>
        <v>42850</v>
      </c>
      <c r="J2448" t="s">
        <v>43</v>
      </c>
      <c r="K2448" t="s">
        <v>18</v>
      </c>
    </row>
    <row r="2449" spans="1:11" x14ac:dyDescent="0.3">
      <c r="A2449">
        <v>859</v>
      </c>
      <c r="B2449">
        <v>1</v>
      </c>
      <c r="C2449">
        <v>38</v>
      </c>
      <c r="D2449">
        <v>2</v>
      </c>
      <c r="E2449" s="1">
        <v>549.99</v>
      </c>
      <c r="F2449" s="1">
        <v>7.0000000000000007E-2</v>
      </c>
      <c r="G2449">
        <v>1099.98</v>
      </c>
      <c r="H2449" s="22">
        <f>VLOOKUP(A2449,[1]Orders!$A$2:$B$1616,2,0)</f>
        <v>42850</v>
      </c>
      <c r="J2449" t="s">
        <v>93</v>
      </c>
      <c r="K2449" t="s">
        <v>18</v>
      </c>
    </row>
    <row r="2450" spans="1:11" x14ac:dyDescent="0.3">
      <c r="A2450">
        <v>859</v>
      </c>
      <c r="B2450">
        <v>2</v>
      </c>
      <c r="C2450">
        <v>13</v>
      </c>
      <c r="D2450">
        <v>1</v>
      </c>
      <c r="E2450" s="1">
        <v>269.99</v>
      </c>
      <c r="F2450" s="1">
        <v>0.1</v>
      </c>
      <c r="G2450">
        <v>269.99</v>
      </c>
      <c r="H2450" s="22">
        <f>VLOOKUP(A2450,[1]Orders!$A$2:$B$1616,2,0)</f>
        <v>42850</v>
      </c>
      <c r="J2450" t="s">
        <v>31</v>
      </c>
      <c r="K2450" t="s">
        <v>18</v>
      </c>
    </row>
    <row r="2451" spans="1:11" x14ac:dyDescent="0.3">
      <c r="A2451">
        <v>859</v>
      </c>
      <c r="B2451">
        <v>3</v>
      </c>
      <c r="C2451">
        <v>14</v>
      </c>
      <c r="D2451">
        <v>2</v>
      </c>
      <c r="E2451" s="1">
        <v>269.99</v>
      </c>
      <c r="F2451" s="1">
        <v>0.1</v>
      </c>
      <c r="G2451">
        <v>539.98</v>
      </c>
      <c r="H2451" s="22">
        <f>VLOOKUP(A2451,[1]Orders!$A$2:$B$1616,2,0)</f>
        <v>42850</v>
      </c>
      <c r="J2451" t="s">
        <v>28</v>
      </c>
      <c r="K2451" t="s">
        <v>18</v>
      </c>
    </row>
    <row r="2452" spans="1:11" x14ac:dyDescent="0.3">
      <c r="A2452">
        <v>859</v>
      </c>
      <c r="B2452">
        <v>4</v>
      </c>
      <c r="C2452">
        <v>71</v>
      </c>
      <c r="D2452">
        <v>2</v>
      </c>
      <c r="E2452" s="1">
        <v>416.99</v>
      </c>
      <c r="F2452" s="1">
        <v>0.1</v>
      </c>
      <c r="G2452">
        <v>833.98</v>
      </c>
      <c r="H2452" s="22">
        <f>VLOOKUP(A2452,[1]Orders!$A$2:$B$1616,2,0)</f>
        <v>42850</v>
      </c>
      <c r="J2452" t="s">
        <v>78</v>
      </c>
      <c r="K2452" t="s">
        <v>18</v>
      </c>
    </row>
    <row r="2453" spans="1:11" x14ac:dyDescent="0.3">
      <c r="A2453">
        <v>859</v>
      </c>
      <c r="B2453">
        <v>5</v>
      </c>
      <c r="C2453">
        <v>36</v>
      </c>
      <c r="D2453">
        <v>2</v>
      </c>
      <c r="E2453" s="1">
        <v>832.99</v>
      </c>
      <c r="F2453" s="1">
        <v>0.1</v>
      </c>
      <c r="G2453">
        <v>1665.98</v>
      </c>
      <c r="H2453" s="22">
        <f>VLOOKUP(A2453,[1]Orders!$A$2:$B$1616,2,0)</f>
        <v>42850</v>
      </c>
      <c r="J2453" t="s">
        <v>116</v>
      </c>
      <c r="K2453" t="s">
        <v>18</v>
      </c>
    </row>
    <row r="2454" spans="1:11" x14ac:dyDescent="0.3">
      <c r="A2454">
        <v>860</v>
      </c>
      <c r="B2454">
        <v>1</v>
      </c>
      <c r="C2454">
        <v>6</v>
      </c>
      <c r="D2454">
        <v>1</v>
      </c>
      <c r="E2454" s="1">
        <v>469.99</v>
      </c>
      <c r="F2454" s="1">
        <v>0.05</v>
      </c>
      <c r="G2454">
        <v>469.99</v>
      </c>
      <c r="H2454" s="22">
        <f>VLOOKUP(A2454,[1]Orders!$A$2:$B$1616,2,0)</f>
        <v>42852</v>
      </c>
      <c r="J2454" t="s">
        <v>32</v>
      </c>
      <c r="K2454" t="s">
        <v>18</v>
      </c>
    </row>
    <row r="2455" spans="1:11" x14ac:dyDescent="0.3">
      <c r="A2455">
        <v>860</v>
      </c>
      <c r="B2455">
        <v>2</v>
      </c>
      <c r="C2455">
        <v>24</v>
      </c>
      <c r="D2455">
        <v>2</v>
      </c>
      <c r="E2455" s="1">
        <v>549.99</v>
      </c>
      <c r="F2455" s="1">
        <v>0.2</v>
      </c>
      <c r="G2455">
        <v>1099.98</v>
      </c>
      <c r="H2455" s="22">
        <f>VLOOKUP(A2455,[1]Orders!$A$2:$B$1616,2,0)</f>
        <v>42852</v>
      </c>
      <c r="J2455" t="s">
        <v>25</v>
      </c>
      <c r="K2455" t="s">
        <v>18</v>
      </c>
    </row>
    <row r="2456" spans="1:11" x14ac:dyDescent="0.3">
      <c r="A2456">
        <v>860</v>
      </c>
      <c r="B2456">
        <v>3</v>
      </c>
      <c r="C2456">
        <v>25</v>
      </c>
      <c r="D2456">
        <v>1</v>
      </c>
      <c r="E2456" s="1">
        <v>499.99</v>
      </c>
      <c r="F2456" s="1">
        <v>0.2</v>
      </c>
      <c r="G2456">
        <v>499.99</v>
      </c>
      <c r="H2456" s="22">
        <f>VLOOKUP(A2456,[1]Orders!$A$2:$B$1616,2,0)</f>
        <v>42852</v>
      </c>
      <c r="J2456" t="s">
        <v>35</v>
      </c>
      <c r="K2456" t="s">
        <v>18</v>
      </c>
    </row>
    <row r="2457" spans="1:11" x14ac:dyDescent="0.3">
      <c r="A2457">
        <v>860</v>
      </c>
      <c r="B2457">
        <v>4</v>
      </c>
      <c r="C2457">
        <v>58</v>
      </c>
      <c r="D2457">
        <v>2</v>
      </c>
      <c r="E2457" s="1">
        <v>4999.99</v>
      </c>
      <c r="F2457" s="1">
        <v>7.0000000000000007E-2</v>
      </c>
      <c r="G2457">
        <v>9999.98</v>
      </c>
      <c r="H2457" s="22">
        <f>VLOOKUP(A2457,[1]Orders!$A$2:$B$1616,2,0)</f>
        <v>42852</v>
      </c>
      <c r="J2457" t="s">
        <v>81</v>
      </c>
      <c r="K2457" t="s">
        <v>18</v>
      </c>
    </row>
    <row r="2458" spans="1:11" x14ac:dyDescent="0.3">
      <c r="A2458">
        <v>860</v>
      </c>
      <c r="B2458">
        <v>5</v>
      </c>
      <c r="C2458">
        <v>95</v>
      </c>
      <c r="D2458">
        <v>2</v>
      </c>
      <c r="E2458" s="1">
        <v>299.99</v>
      </c>
      <c r="F2458" s="1">
        <v>0.05</v>
      </c>
      <c r="G2458">
        <v>599.98</v>
      </c>
      <c r="H2458" s="22">
        <f>VLOOKUP(A2458,[1]Orders!$A$2:$B$1616,2,0)</f>
        <v>42852</v>
      </c>
      <c r="J2458" t="s">
        <v>48</v>
      </c>
      <c r="K2458" t="s">
        <v>18</v>
      </c>
    </row>
    <row r="2459" spans="1:11" x14ac:dyDescent="0.3">
      <c r="A2459">
        <v>861</v>
      </c>
      <c r="B2459">
        <v>1</v>
      </c>
      <c r="C2459">
        <v>14</v>
      </c>
      <c r="D2459">
        <v>2</v>
      </c>
      <c r="E2459" s="1">
        <v>269.99</v>
      </c>
      <c r="F2459" s="1">
        <v>7.0000000000000007E-2</v>
      </c>
      <c r="G2459">
        <v>539.98</v>
      </c>
      <c r="H2459" s="22">
        <f>VLOOKUP(A2459,[1]Orders!$A$2:$B$1616,2,0)</f>
        <v>42852</v>
      </c>
      <c r="J2459" t="s">
        <v>28</v>
      </c>
      <c r="K2459" t="s">
        <v>18</v>
      </c>
    </row>
    <row r="2460" spans="1:11" x14ac:dyDescent="0.3">
      <c r="A2460">
        <v>861</v>
      </c>
      <c r="B2460">
        <v>2</v>
      </c>
      <c r="C2460">
        <v>62</v>
      </c>
      <c r="D2460">
        <v>1</v>
      </c>
      <c r="E2460" s="1">
        <v>3499.99</v>
      </c>
      <c r="F2460" s="1">
        <v>0.2</v>
      </c>
      <c r="G2460">
        <v>3499.99</v>
      </c>
      <c r="H2460" s="22">
        <f>VLOOKUP(A2460,[1]Orders!$A$2:$B$1616,2,0)</f>
        <v>42852</v>
      </c>
      <c r="J2460" t="s">
        <v>50</v>
      </c>
      <c r="K2460" t="s">
        <v>18</v>
      </c>
    </row>
    <row r="2461" spans="1:11" x14ac:dyDescent="0.3">
      <c r="A2461">
        <v>862</v>
      </c>
      <c r="B2461">
        <v>1</v>
      </c>
      <c r="C2461">
        <v>85</v>
      </c>
      <c r="D2461">
        <v>1</v>
      </c>
      <c r="E2461" s="1">
        <v>329.99</v>
      </c>
      <c r="F2461" s="1">
        <v>0.05</v>
      </c>
      <c r="G2461">
        <v>329.99</v>
      </c>
      <c r="H2461" s="22">
        <f>VLOOKUP(A2461,[1]Orders!$A$2:$B$1616,2,0)</f>
        <v>42852</v>
      </c>
      <c r="J2461" t="s">
        <v>38</v>
      </c>
      <c r="K2461" t="s">
        <v>37</v>
      </c>
    </row>
    <row r="2462" spans="1:11" x14ac:dyDescent="0.3">
      <c r="A2462">
        <v>862</v>
      </c>
      <c r="B2462">
        <v>2</v>
      </c>
      <c r="C2462">
        <v>99</v>
      </c>
      <c r="D2462">
        <v>1</v>
      </c>
      <c r="E2462" s="1">
        <v>299.99</v>
      </c>
      <c r="F2462" s="1">
        <v>0.2</v>
      </c>
      <c r="G2462">
        <v>299.99</v>
      </c>
      <c r="H2462" s="22">
        <f>VLOOKUP(A2462,[1]Orders!$A$2:$B$1616,2,0)</f>
        <v>42852</v>
      </c>
      <c r="J2462" t="s">
        <v>52</v>
      </c>
      <c r="K2462" t="s">
        <v>37</v>
      </c>
    </row>
    <row r="2463" spans="1:11" x14ac:dyDescent="0.3">
      <c r="A2463">
        <v>862</v>
      </c>
      <c r="B2463">
        <v>3</v>
      </c>
      <c r="C2463">
        <v>49</v>
      </c>
      <c r="D2463">
        <v>2</v>
      </c>
      <c r="E2463" s="1">
        <v>3499.99</v>
      </c>
      <c r="F2463" s="1">
        <v>7.0000000000000007E-2</v>
      </c>
      <c r="G2463">
        <v>6999.98</v>
      </c>
      <c r="H2463" s="22">
        <f>VLOOKUP(A2463,[1]Orders!$A$2:$B$1616,2,0)</f>
        <v>42852</v>
      </c>
      <c r="J2463" t="s">
        <v>70</v>
      </c>
      <c r="K2463" t="s">
        <v>37</v>
      </c>
    </row>
    <row r="2464" spans="1:11" x14ac:dyDescent="0.3">
      <c r="A2464">
        <v>863</v>
      </c>
      <c r="B2464">
        <v>1</v>
      </c>
      <c r="C2464">
        <v>93</v>
      </c>
      <c r="D2464">
        <v>2</v>
      </c>
      <c r="E2464" s="1">
        <v>209.99</v>
      </c>
      <c r="F2464" s="1">
        <v>0.1</v>
      </c>
      <c r="G2464">
        <v>419.98</v>
      </c>
      <c r="H2464" s="22">
        <f>VLOOKUP(A2464,[1]Orders!$A$2:$B$1616,2,0)</f>
        <v>42853</v>
      </c>
      <c r="J2464" t="s">
        <v>110</v>
      </c>
      <c r="K2464" t="s">
        <v>18</v>
      </c>
    </row>
    <row r="2465" spans="1:11" x14ac:dyDescent="0.3">
      <c r="A2465">
        <v>864</v>
      </c>
      <c r="B2465">
        <v>1</v>
      </c>
      <c r="C2465">
        <v>37</v>
      </c>
      <c r="D2465">
        <v>1</v>
      </c>
      <c r="E2465" s="1">
        <v>379.99</v>
      </c>
      <c r="F2465" s="1">
        <v>0.1</v>
      </c>
      <c r="G2465">
        <v>379.99</v>
      </c>
      <c r="H2465" s="22">
        <f>VLOOKUP(A2465,[1]Orders!$A$2:$B$1616,2,0)</f>
        <v>42853</v>
      </c>
      <c r="J2465" t="s">
        <v>98</v>
      </c>
      <c r="K2465" t="s">
        <v>18</v>
      </c>
    </row>
    <row r="2466" spans="1:11" x14ac:dyDescent="0.3">
      <c r="A2466">
        <v>864</v>
      </c>
      <c r="B2466">
        <v>2</v>
      </c>
      <c r="C2466">
        <v>65</v>
      </c>
      <c r="D2466">
        <v>2</v>
      </c>
      <c r="E2466" s="1">
        <v>346.99</v>
      </c>
      <c r="F2466" s="1">
        <v>0.05</v>
      </c>
      <c r="G2466">
        <v>693.98</v>
      </c>
      <c r="H2466" s="22">
        <f>VLOOKUP(A2466,[1]Orders!$A$2:$B$1616,2,0)</f>
        <v>42853</v>
      </c>
      <c r="J2466" t="s">
        <v>114</v>
      </c>
      <c r="K2466" t="s">
        <v>18</v>
      </c>
    </row>
    <row r="2467" spans="1:11" x14ac:dyDescent="0.3">
      <c r="A2467">
        <v>864</v>
      </c>
      <c r="B2467">
        <v>3</v>
      </c>
      <c r="C2467">
        <v>13</v>
      </c>
      <c r="D2467">
        <v>1</v>
      </c>
      <c r="E2467" s="1">
        <v>269.99</v>
      </c>
      <c r="F2467" s="1">
        <v>0.2</v>
      </c>
      <c r="G2467">
        <v>269.99</v>
      </c>
      <c r="H2467" s="22">
        <f>VLOOKUP(A2467,[1]Orders!$A$2:$B$1616,2,0)</f>
        <v>42853</v>
      </c>
      <c r="J2467" t="s">
        <v>31</v>
      </c>
      <c r="K2467" t="s">
        <v>18</v>
      </c>
    </row>
    <row r="2468" spans="1:11" x14ac:dyDescent="0.3">
      <c r="A2468">
        <v>865</v>
      </c>
      <c r="B2468">
        <v>1</v>
      </c>
      <c r="C2468">
        <v>109</v>
      </c>
      <c r="D2468">
        <v>2</v>
      </c>
      <c r="E2468" s="1">
        <v>416.99</v>
      </c>
      <c r="F2468" s="1">
        <v>0.1</v>
      </c>
      <c r="G2468">
        <v>833.98</v>
      </c>
      <c r="H2468" s="22">
        <f>VLOOKUP(A2468,[1]Orders!$A$2:$B$1616,2,0)</f>
        <v>42854</v>
      </c>
      <c r="J2468" t="s">
        <v>49</v>
      </c>
      <c r="K2468" t="s">
        <v>18</v>
      </c>
    </row>
    <row r="2469" spans="1:11" x14ac:dyDescent="0.3">
      <c r="A2469">
        <v>865</v>
      </c>
      <c r="B2469">
        <v>2</v>
      </c>
      <c r="C2469">
        <v>34</v>
      </c>
      <c r="D2469">
        <v>1</v>
      </c>
      <c r="E2469" s="1">
        <v>469.99</v>
      </c>
      <c r="F2469" s="1">
        <v>0.05</v>
      </c>
      <c r="G2469">
        <v>469.99</v>
      </c>
      <c r="H2469" s="22">
        <f>VLOOKUP(A2469,[1]Orders!$A$2:$B$1616,2,0)</f>
        <v>42854</v>
      </c>
      <c r="J2469" t="s">
        <v>107</v>
      </c>
      <c r="K2469" t="s">
        <v>18</v>
      </c>
    </row>
    <row r="2470" spans="1:11" x14ac:dyDescent="0.3">
      <c r="A2470">
        <v>866</v>
      </c>
      <c r="B2470">
        <v>1</v>
      </c>
      <c r="C2470">
        <v>88</v>
      </c>
      <c r="D2470">
        <v>1</v>
      </c>
      <c r="E2470" s="1">
        <v>189.99</v>
      </c>
      <c r="F2470" s="1">
        <v>0.2</v>
      </c>
      <c r="G2470">
        <v>189.99</v>
      </c>
      <c r="H2470" s="22">
        <f>VLOOKUP(A2470,[1]Orders!$A$2:$B$1616,2,0)</f>
        <v>42854</v>
      </c>
      <c r="J2470" t="s">
        <v>64</v>
      </c>
      <c r="K2470" t="s">
        <v>18</v>
      </c>
    </row>
    <row r="2471" spans="1:11" x14ac:dyDescent="0.3">
      <c r="A2471">
        <v>866</v>
      </c>
      <c r="B2471">
        <v>2</v>
      </c>
      <c r="C2471">
        <v>67</v>
      </c>
      <c r="D2471">
        <v>2</v>
      </c>
      <c r="E2471" s="1">
        <v>250.99</v>
      </c>
      <c r="F2471" s="1">
        <v>7.0000000000000007E-2</v>
      </c>
      <c r="G2471">
        <v>501.98</v>
      </c>
      <c r="H2471" s="22">
        <f>VLOOKUP(A2471,[1]Orders!$A$2:$B$1616,2,0)</f>
        <v>42854</v>
      </c>
      <c r="J2471" t="s">
        <v>60</v>
      </c>
      <c r="K2471" t="s">
        <v>18</v>
      </c>
    </row>
    <row r="2472" spans="1:11" x14ac:dyDescent="0.3">
      <c r="A2472">
        <v>866</v>
      </c>
      <c r="B2472">
        <v>3</v>
      </c>
      <c r="C2472">
        <v>80</v>
      </c>
      <c r="D2472">
        <v>1</v>
      </c>
      <c r="E2472" s="1">
        <v>761.99</v>
      </c>
      <c r="F2472" s="1">
        <v>7.0000000000000007E-2</v>
      </c>
      <c r="G2472">
        <v>761.99</v>
      </c>
      <c r="H2472" s="22">
        <f>VLOOKUP(A2472,[1]Orders!$A$2:$B$1616,2,0)</f>
        <v>42854</v>
      </c>
      <c r="J2472" t="s">
        <v>63</v>
      </c>
      <c r="K2472" t="s">
        <v>18</v>
      </c>
    </row>
    <row r="2473" spans="1:11" x14ac:dyDescent="0.3">
      <c r="A2473">
        <v>866</v>
      </c>
      <c r="B2473">
        <v>4</v>
      </c>
      <c r="C2473">
        <v>13</v>
      </c>
      <c r="D2473">
        <v>2</v>
      </c>
      <c r="E2473" s="1">
        <v>269.99</v>
      </c>
      <c r="F2473" s="1">
        <v>7.0000000000000007E-2</v>
      </c>
      <c r="G2473">
        <v>539.98</v>
      </c>
      <c r="H2473" s="22">
        <f>VLOOKUP(A2473,[1]Orders!$A$2:$B$1616,2,0)</f>
        <v>42854</v>
      </c>
      <c r="J2473" t="s">
        <v>31</v>
      </c>
      <c r="K2473" t="s">
        <v>18</v>
      </c>
    </row>
    <row r="2474" spans="1:11" x14ac:dyDescent="0.3">
      <c r="A2474">
        <v>867</v>
      </c>
      <c r="B2474">
        <v>1</v>
      </c>
      <c r="C2474">
        <v>101</v>
      </c>
      <c r="D2474">
        <v>1</v>
      </c>
      <c r="E2474" s="1">
        <v>339.99</v>
      </c>
      <c r="F2474" s="1">
        <v>0.05</v>
      </c>
      <c r="G2474">
        <v>339.99</v>
      </c>
      <c r="H2474" s="22">
        <f>VLOOKUP(A2474,[1]Orders!$A$2:$B$1616,2,0)</f>
        <v>42856</v>
      </c>
      <c r="J2474" t="s">
        <v>80</v>
      </c>
      <c r="K2474" t="s">
        <v>11</v>
      </c>
    </row>
    <row r="2475" spans="1:11" x14ac:dyDescent="0.3">
      <c r="A2475">
        <v>868</v>
      </c>
      <c r="B2475">
        <v>1</v>
      </c>
      <c r="C2475">
        <v>46</v>
      </c>
      <c r="D2475">
        <v>1</v>
      </c>
      <c r="E2475" s="1">
        <v>1409.99</v>
      </c>
      <c r="F2475" s="1">
        <v>7.0000000000000007E-2</v>
      </c>
      <c r="G2475">
        <v>1409.99</v>
      </c>
      <c r="H2475" s="22">
        <f>VLOOKUP(A2475,[1]Orders!$A$2:$B$1616,2,0)</f>
        <v>42856</v>
      </c>
      <c r="J2475" t="s">
        <v>118</v>
      </c>
      <c r="K2475" t="s">
        <v>11</v>
      </c>
    </row>
    <row r="2476" spans="1:11" x14ac:dyDescent="0.3">
      <c r="A2476">
        <v>869</v>
      </c>
      <c r="B2476">
        <v>1</v>
      </c>
      <c r="C2476">
        <v>7</v>
      </c>
      <c r="D2476">
        <v>1</v>
      </c>
      <c r="E2476" s="1">
        <v>3999.99</v>
      </c>
      <c r="F2476" s="1">
        <v>0.2</v>
      </c>
      <c r="G2476">
        <v>3999.99</v>
      </c>
      <c r="H2476" s="22">
        <f>VLOOKUP(A2476,[1]Orders!$A$2:$B$1616,2,0)</f>
        <v>42856</v>
      </c>
      <c r="J2476" t="s">
        <v>29</v>
      </c>
      <c r="K2476" t="s">
        <v>18</v>
      </c>
    </row>
    <row r="2477" spans="1:11" x14ac:dyDescent="0.3">
      <c r="A2477">
        <v>869</v>
      </c>
      <c r="B2477">
        <v>2</v>
      </c>
      <c r="C2477">
        <v>106</v>
      </c>
      <c r="D2477">
        <v>2</v>
      </c>
      <c r="E2477" s="1">
        <v>449.99</v>
      </c>
      <c r="F2477" s="1">
        <v>0.05</v>
      </c>
      <c r="G2477">
        <v>899.98</v>
      </c>
      <c r="H2477" s="22">
        <f>VLOOKUP(A2477,[1]Orders!$A$2:$B$1616,2,0)</f>
        <v>42856</v>
      </c>
      <c r="J2477" t="s">
        <v>39</v>
      </c>
      <c r="K2477" t="s">
        <v>18</v>
      </c>
    </row>
    <row r="2478" spans="1:11" x14ac:dyDescent="0.3">
      <c r="A2478">
        <v>869</v>
      </c>
      <c r="B2478">
        <v>3</v>
      </c>
      <c r="C2478">
        <v>33</v>
      </c>
      <c r="D2478">
        <v>1</v>
      </c>
      <c r="E2478" s="1">
        <v>469.99</v>
      </c>
      <c r="F2478" s="1">
        <v>0.05</v>
      </c>
      <c r="G2478">
        <v>469.99</v>
      </c>
      <c r="H2478" s="22">
        <f>VLOOKUP(A2478,[1]Orders!$A$2:$B$1616,2,0)</f>
        <v>42856</v>
      </c>
      <c r="J2478" t="s">
        <v>67</v>
      </c>
      <c r="K2478" t="s">
        <v>18</v>
      </c>
    </row>
    <row r="2479" spans="1:11" x14ac:dyDescent="0.3">
      <c r="A2479">
        <v>869</v>
      </c>
      <c r="B2479">
        <v>4</v>
      </c>
      <c r="C2479">
        <v>55</v>
      </c>
      <c r="D2479">
        <v>2</v>
      </c>
      <c r="E2479" s="1">
        <v>2699.99</v>
      </c>
      <c r="F2479" s="1">
        <v>0.05</v>
      </c>
      <c r="G2479">
        <v>5399.98</v>
      </c>
      <c r="H2479" s="22">
        <f>VLOOKUP(A2479,[1]Orders!$A$2:$B$1616,2,0)</f>
        <v>42856</v>
      </c>
      <c r="J2479" t="s">
        <v>76</v>
      </c>
      <c r="K2479" t="s">
        <v>18</v>
      </c>
    </row>
    <row r="2480" spans="1:11" x14ac:dyDescent="0.3">
      <c r="A2480">
        <v>869</v>
      </c>
      <c r="B2480">
        <v>5</v>
      </c>
      <c r="C2480">
        <v>65</v>
      </c>
      <c r="D2480">
        <v>2</v>
      </c>
      <c r="E2480" s="1">
        <v>346.99</v>
      </c>
      <c r="F2480" s="1">
        <v>0.2</v>
      </c>
      <c r="G2480">
        <v>693.98</v>
      </c>
      <c r="H2480" s="22">
        <f>VLOOKUP(A2480,[1]Orders!$A$2:$B$1616,2,0)</f>
        <v>42856</v>
      </c>
      <c r="J2480" t="s">
        <v>114</v>
      </c>
      <c r="K2480" t="s">
        <v>18</v>
      </c>
    </row>
    <row r="2481" spans="1:11" x14ac:dyDescent="0.3">
      <c r="A2481">
        <v>870</v>
      </c>
      <c r="B2481">
        <v>1</v>
      </c>
      <c r="C2481">
        <v>63</v>
      </c>
      <c r="D2481">
        <v>1</v>
      </c>
      <c r="E2481" s="1">
        <v>3499.99</v>
      </c>
      <c r="F2481" s="1">
        <v>7.0000000000000007E-2</v>
      </c>
      <c r="G2481">
        <v>3499.99</v>
      </c>
      <c r="H2481" s="22">
        <f>VLOOKUP(A2481,[1]Orders!$A$2:$B$1616,2,0)</f>
        <v>42856</v>
      </c>
      <c r="J2481" t="s">
        <v>75</v>
      </c>
      <c r="K2481" t="s">
        <v>18</v>
      </c>
    </row>
    <row r="2482" spans="1:11" x14ac:dyDescent="0.3">
      <c r="A2482">
        <v>871</v>
      </c>
      <c r="B2482">
        <v>1</v>
      </c>
      <c r="C2482">
        <v>106</v>
      </c>
      <c r="D2482">
        <v>1</v>
      </c>
      <c r="E2482" s="1">
        <v>449.99</v>
      </c>
      <c r="F2482" s="1">
        <v>0.2</v>
      </c>
      <c r="G2482">
        <v>449.99</v>
      </c>
      <c r="H2482" s="22">
        <f>VLOOKUP(A2482,[1]Orders!$A$2:$B$1616,2,0)</f>
        <v>42857</v>
      </c>
      <c r="J2482" t="s">
        <v>39</v>
      </c>
      <c r="K2482" t="s">
        <v>18</v>
      </c>
    </row>
    <row r="2483" spans="1:11" x14ac:dyDescent="0.3">
      <c r="A2483">
        <v>871</v>
      </c>
      <c r="B2483">
        <v>2</v>
      </c>
      <c r="C2483">
        <v>38</v>
      </c>
      <c r="D2483">
        <v>1</v>
      </c>
      <c r="E2483" s="1">
        <v>549.99</v>
      </c>
      <c r="F2483" s="1">
        <v>0.1</v>
      </c>
      <c r="G2483">
        <v>549.99</v>
      </c>
      <c r="H2483" s="22">
        <f>VLOOKUP(A2483,[1]Orders!$A$2:$B$1616,2,0)</f>
        <v>42857</v>
      </c>
      <c r="J2483" t="s">
        <v>93</v>
      </c>
      <c r="K2483" t="s">
        <v>18</v>
      </c>
    </row>
    <row r="2484" spans="1:11" x14ac:dyDescent="0.3">
      <c r="A2484">
        <v>871</v>
      </c>
      <c r="B2484">
        <v>3</v>
      </c>
      <c r="C2484">
        <v>30</v>
      </c>
      <c r="D2484">
        <v>2</v>
      </c>
      <c r="E2484" s="1">
        <v>999.99</v>
      </c>
      <c r="F2484" s="1">
        <v>0.2</v>
      </c>
      <c r="G2484">
        <v>1999.98</v>
      </c>
      <c r="H2484" s="22">
        <f>VLOOKUP(A2484,[1]Orders!$A$2:$B$1616,2,0)</f>
        <v>42857</v>
      </c>
      <c r="J2484" t="s">
        <v>47</v>
      </c>
      <c r="K2484" t="s">
        <v>18</v>
      </c>
    </row>
    <row r="2485" spans="1:11" x14ac:dyDescent="0.3">
      <c r="A2485">
        <v>871</v>
      </c>
      <c r="B2485">
        <v>4</v>
      </c>
      <c r="C2485">
        <v>107</v>
      </c>
      <c r="D2485">
        <v>2</v>
      </c>
      <c r="E2485" s="1">
        <v>416.99</v>
      </c>
      <c r="F2485" s="1">
        <v>0.05</v>
      </c>
      <c r="G2485">
        <v>833.98</v>
      </c>
      <c r="H2485" s="22">
        <f>VLOOKUP(A2485,[1]Orders!$A$2:$B$1616,2,0)</f>
        <v>42857</v>
      </c>
      <c r="J2485" t="s">
        <v>89</v>
      </c>
      <c r="K2485" t="s">
        <v>18</v>
      </c>
    </row>
    <row r="2486" spans="1:11" x14ac:dyDescent="0.3">
      <c r="A2486">
        <v>872</v>
      </c>
      <c r="B2486">
        <v>1</v>
      </c>
      <c r="C2486">
        <v>62</v>
      </c>
      <c r="D2486">
        <v>2</v>
      </c>
      <c r="E2486" s="1">
        <v>3499.99</v>
      </c>
      <c r="F2486" s="1">
        <v>7.0000000000000007E-2</v>
      </c>
      <c r="G2486">
        <v>6999.98</v>
      </c>
      <c r="H2486" s="22">
        <f>VLOOKUP(A2486,[1]Orders!$A$2:$B$1616,2,0)</f>
        <v>42858</v>
      </c>
      <c r="J2486" t="s">
        <v>50</v>
      </c>
      <c r="K2486" t="s">
        <v>11</v>
      </c>
    </row>
    <row r="2487" spans="1:11" x14ac:dyDescent="0.3">
      <c r="A2487">
        <v>872</v>
      </c>
      <c r="B2487">
        <v>2</v>
      </c>
      <c r="C2487">
        <v>53</v>
      </c>
      <c r="D2487">
        <v>1</v>
      </c>
      <c r="E2487" s="1">
        <v>749.99</v>
      </c>
      <c r="F2487" s="1">
        <v>0.1</v>
      </c>
      <c r="G2487">
        <v>749.99</v>
      </c>
      <c r="H2487" s="22">
        <f>VLOOKUP(A2487,[1]Orders!$A$2:$B$1616,2,0)</f>
        <v>42858</v>
      </c>
      <c r="J2487" t="s">
        <v>42</v>
      </c>
      <c r="K2487" t="s">
        <v>11</v>
      </c>
    </row>
    <row r="2488" spans="1:11" x14ac:dyDescent="0.3">
      <c r="A2488">
        <v>873</v>
      </c>
      <c r="B2488">
        <v>1</v>
      </c>
      <c r="C2488">
        <v>32</v>
      </c>
      <c r="D2488">
        <v>2</v>
      </c>
      <c r="E2488" s="1">
        <v>469.99</v>
      </c>
      <c r="F2488" s="1">
        <v>0.1</v>
      </c>
      <c r="G2488">
        <v>939.98</v>
      </c>
      <c r="H2488" s="22">
        <f>VLOOKUP(A2488,[1]Orders!$A$2:$B$1616,2,0)</f>
        <v>42858</v>
      </c>
      <c r="J2488" t="s">
        <v>46</v>
      </c>
      <c r="K2488" t="s">
        <v>18</v>
      </c>
    </row>
    <row r="2489" spans="1:11" x14ac:dyDescent="0.3">
      <c r="A2489">
        <v>874</v>
      </c>
      <c r="B2489">
        <v>1</v>
      </c>
      <c r="C2489">
        <v>56</v>
      </c>
      <c r="D2489">
        <v>1</v>
      </c>
      <c r="E2489" s="1">
        <v>5499.99</v>
      </c>
      <c r="F2489" s="1">
        <v>0.05</v>
      </c>
      <c r="G2489">
        <v>5499.99</v>
      </c>
      <c r="H2489" s="22">
        <f>VLOOKUP(A2489,[1]Orders!$A$2:$B$1616,2,0)</f>
        <v>42859</v>
      </c>
      <c r="J2489" t="s">
        <v>41</v>
      </c>
      <c r="K2489" t="s">
        <v>18</v>
      </c>
    </row>
    <row r="2490" spans="1:11" x14ac:dyDescent="0.3">
      <c r="A2490">
        <v>874</v>
      </c>
      <c r="B2490">
        <v>2</v>
      </c>
      <c r="C2490">
        <v>27</v>
      </c>
      <c r="D2490">
        <v>2</v>
      </c>
      <c r="E2490" s="1">
        <v>999.99</v>
      </c>
      <c r="F2490" s="1">
        <v>0.05</v>
      </c>
      <c r="G2490">
        <v>1999.98</v>
      </c>
      <c r="H2490" s="22">
        <f>VLOOKUP(A2490,[1]Orders!$A$2:$B$1616,2,0)</f>
        <v>42859</v>
      </c>
      <c r="J2490" t="s">
        <v>106</v>
      </c>
      <c r="K2490" t="s">
        <v>18</v>
      </c>
    </row>
    <row r="2491" spans="1:11" x14ac:dyDescent="0.3">
      <c r="A2491">
        <v>874</v>
      </c>
      <c r="B2491">
        <v>3</v>
      </c>
      <c r="C2491">
        <v>73</v>
      </c>
      <c r="D2491">
        <v>1</v>
      </c>
      <c r="E2491" s="1">
        <v>749.99</v>
      </c>
      <c r="F2491" s="1">
        <v>0.1</v>
      </c>
      <c r="G2491">
        <v>749.99</v>
      </c>
      <c r="H2491" s="22">
        <f>VLOOKUP(A2491,[1]Orders!$A$2:$B$1616,2,0)</f>
        <v>42859</v>
      </c>
      <c r="J2491" t="s">
        <v>43</v>
      </c>
      <c r="K2491" t="s">
        <v>18</v>
      </c>
    </row>
    <row r="2492" spans="1:11" x14ac:dyDescent="0.3">
      <c r="A2492">
        <v>874</v>
      </c>
      <c r="B2492">
        <v>4</v>
      </c>
      <c r="C2492">
        <v>77</v>
      </c>
      <c r="D2492">
        <v>2</v>
      </c>
      <c r="E2492" s="1">
        <v>799.99</v>
      </c>
      <c r="F2492" s="1">
        <v>7.0000000000000007E-2</v>
      </c>
      <c r="G2492">
        <v>1599.98</v>
      </c>
      <c r="H2492" s="22">
        <f>VLOOKUP(A2492,[1]Orders!$A$2:$B$1616,2,0)</f>
        <v>42859</v>
      </c>
      <c r="J2492" t="s">
        <v>113</v>
      </c>
      <c r="K2492" t="s">
        <v>18</v>
      </c>
    </row>
    <row r="2493" spans="1:11" x14ac:dyDescent="0.3">
      <c r="A2493">
        <v>875</v>
      </c>
      <c r="B2493">
        <v>1</v>
      </c>
      <c r="C2493">
        <v>5</v>
      </c>
      <c r="D2493">
        <v>2</v>
      </c>
      <c r="E2493" s="1">
        <v>1320.99</v>
      </c>
      <c r="F2493" s="1">
        <v>0.1</v>
      </c>
      <c r="G2493">
        <v>2641.98</v>
      </c>
      <c r="H2493" s="22">
        <f>VLOOKUP(A2493,[1]Orders!$A$2:$B$1616,2,0)</f>
        <v>42860</v>
      </c>
      <c r="J2493" t="s">
        <v>34</v>
      </c>
      <c r="K2493" t="s">
        <v>11</v>
      </c>
    </row>
    <row r="2494" spans="1:11" x14ac:dyDescent="0.3">
      <c r="A2494">
        <v>875</v>
      </c>
      <c r="B2494">
        <v>2</v>
      </c>
      <c r="C2494">
        <v>15</v>
      </c>
      <c r="D2494">
        <v>2</v>
      </c>
      <c r="E2494" s="1">
        <v>529.99</v>
      </c>
      <c r="F2494" s="1">
        <v>0.05</v>
      </c>
      <c r="G2494">
        <v>1059.98</v>
      </c>
      <c r="H2494" s="22">
        <f>VLOOKUP(A2494,[1]Orders!$A$2:$B$1616,2,0)</f>
        <v>42860</v>
      </c>
      <c r="J2494" t="s">
        <v>27</v>
      </c>
      <c r="K2494" t="s">
        <v>11</v>
      </c>
    </row>
    <row r="2495" spans="1:11" x14ac:dyDescent="0.3">
      <c r="A2495">
        <v>875</v>
      </c>
      <c r="B2495">
        <v>3</v>
      </c>
      <c r="C2495">
        <v>14</v>
      </c>
      <c r="D2495">
        <v>1</v>
      </c>
      <c r="E2495" s="1">
        <v>269.99</v>
      </c>
      <c r="F2495" s="1">
        <v>7.0000000000000007E-2</v>
      </c>
      <c r="G2495">
        <v>269.99</v>
      </c>
      <c r="H2495" s="22">
        <f>VLOOKUP(A2495,[1]Orders!$A$2:$B$1616,2,0)</f>
        <v>42860</v>
      </c>
      <c r="J2495" t="s">
        <v>28</v>
      </c>
      <c r="K2495" t="s">
        <v>11</v>
      </c>
    </row>
    <row r="2496" spans="1:11" x14ac:dyDescent="0.3">
      <c r="A2496">
        <v>875</v>
      </c>
      <c r="B2496">
        <v>4</v>
      </c>
      <c r="C2496">
        <v>111</v>
      </c>
      <c r="D2496">
        <v>1</v>
      </c>
      <c r="E2496" s="1">
        <v>470.99</v>
      </c>
      <c r="F2496" s="1">
        <v>0.2</v>
      </c>
      <c r="G2496">
        <v>470.99</v>
      </c>
      <c r="H2496" s="22">
        <f>VLOOKUP(A2496,[1]Orders!$A$2:$B$1616,2,0)</f>
        <v>42860</v>
      </c>
      <c r="J2496" t="s">
        <v>112</v>
      </c>
      <c r="K2496" t="s">
        <v>11</v>
      </c>
    </row>
    <row r="2497" spans="1:11" x14ac:dyDescent="0.3">
      <c r="A2497">
        <v>876</v>
      </c>
      <c r="B2497">
        <v>1</v>
      </c>
      <c r="C2497">
        <v>17</v>
      </c>
      <c r="D2497">
        <v>2</v>
      </c>
      <c r="E2497" s="1">
        <v>429</v>
      </c>
      <c r="F2497" s="1">
        <v>0.2</v>
      </c>
      <c r="G2497">
        <v>858</v>
      </c>
      <c r="H2497" s="22">
        <f>VLOOKUP(A2497,[1]Orders!$A$2:$B$1616,2,0)</f>
        <v>42860</v>
      </c>
      <c r="J2497" t="s">
        <v>23</v>
      </c>
      <c r="K2497" t="s">
        <v>18</v>
      </c>
    </row>
    <row r="2498" spans="1:11" x14ac:dyDescent="0.3">
      <c r="A2498">
        <v>876</v>
      </c>
      <c r="B2498">
        <v>2</v>
      </c>
      <c r="C2498">
        <v>66</v>
      </c>
      <c r="D2498">
        <v>2</v>
      </c>
      <c r="E2498" s="1">
        <v>250.99</v>
      </c>
      <c r="F2498" s="1">
        <v>0.2</v>
      </c>
      <c r="G2498">
        <v>501.98</v>
      </c>
      <c r="H2498" s="22">
        <f>VLOOKUP(A2498,[1]Orders!$A$2:$B$1616,2,0)</f>
        <v>42860</v>
      </c>
      <c r="J2498" t="s">
        <v>92</v>
      </c>
      <c r="K2498" t="s">
        <v>18</v>
      </c>
    </row>
    <row r="2499" spans="1:11" x14ac:dyDescent="0.3">
      <c r="A2499">
        <v>876</v>
      </c>
      <c r="B2499">
        <v>3</v>
      </c>
      <c r="C2499">
        <v>96</v>
      </c>
      <c r="D2499">
        <v>1</v>
      </c>
      <c r="E2499" s="1">
        <v>349.99</v>
      </c>
      <c r="F2499" s="1">
        <v>7.0000000000000007E-2</v>
      </c>
      <c r="G2499">
        <v>349.99</v>
      </c>
      <c r="H2499" s="22">
        <f>VLOOKUP(A2499,[1]Orders!$A$2:$B$1616,2,0)</f>
        <v>42860</v>
      </c>
      <c r="J2499" t="s">
        <v>91</v>
      </c>
      <c r="K2499" t="s">
        <v>18</v>
      </c>
    </row>
    <row r="2500" spans="1:11" x14ac:dyDescent="0.3">
      <c r="A2500">
        <v>876</v>
      </c>
      <c r="B2500">
        <v>4</v>
      </c>
      <c r="C2500">
        <v>107</v>
      </c>
      <c r="D2500">
        <v>2</v>
      </c>
      <c r="E2500" s="1">
        <v>416.99</v>
      </c>
      <c r="F2500" s="1">
        <v>0.05</v>
      </c>
      <c r="G2500">
        <v>833.98</v>
      </c>
      <c r="H2500" s="22">
        <f>VLOOKUP(A2500,[1]Orders!$A$2:$B$1616,2,0)</f>
        <v>42860</v>
      </c>
      <c r="J2500" t="s">
        <v>89</v>
      </c>
      <c r="K2500" t="s">
        <v>18</v>
      </c>
    </row>
    <row r="2501" spans="1:11" x14ac:dyDescent="0.3">
      <c r="A2501">
        <v>877</v>
      </c>
      <c r="B2501">
        <v>1</v>
      </c>
      <c r="C2501">
        <v>73</v>
      </c>
      <c r="D2501">
        <v>1</v>
      </c>
      <c r="E2501" s="1">
        <v>749.99</v>
      </c>
      <c r="F2501" s="1">
        <v>7.0000000000000007E-2</v>
      </c>
      <c r="G2501">
        <v>749.99</v>
      </c>
      <c r="H2501" s="22">
        <f>VLOOKUP(A2501,[1]Orders!$A$2:$B$1616,2,0)</f>
        <v>42861</v>
      </c>
      <c r="J2501" t="s">
        <v>43</v>
      </c>
      <c r="K2501" t="s">
        <v>18</v>
      </c>
    </row>
    <row r="2502" spans="1:11" x14ac:dyDescent="0.3">
      <c r="A2502">
        <v>877</v>
      </c>
      <c r="B2502">
        <v>2</v>
      </c>
      <c r="C2502">
        <v>103</v>
      </c>
      <c r="D2502">
        <v>1</v>
      </c>
      <c r="E2502" s="1">
        <v>551.99</v>
      </c>
      <c r="F2502" s="1">
        <v>0.1</v>
      </c>
      <c r="G2502">
        <v>551.99</v>
      </c>
      <c r="H2502" s="22">
        <f>VLOOKUP(A2502,[1]Orders!$A$2:$B$1616,2,0)</f>
        <v>42861</v>
      </c>
      <c r="J2502" t="s">
        <v>40</v>
      </c>
      <c r="K2502" t="s">
        <v>18</v>
      </c>
    </row>
    <row r="2503" spans="1:11" x14ac:dyDescent="0.3">
      <c r="A2503">
        <v>878</v>
      </c>
      <c r="B2503">
        <v>1</v>
      </c>
      <c r="C2503">
        <v>103</v>
      </c>
      <c r="D2503">
        <v>1</v>
      </c>
      <c r="E2503" s="1">
        <v>551.99</v>
      </c>
      <c r="F2503" s="1">
        <v>0.2</v>
      </c>
      <c r="G2503">
        <v>551.99</v>
      </c>
      <c r="H2503" s="22">
        <f>VLOOKUP(A2503,[1]Orders!$A$2:$B$1616,2,0)</f>
        <v>42862</v>
      </c>
      <c r="J2503" t="s">
        <v>40</v>
      </c>
      <c r="K2503" t="s">
        <v>11</v>
      </c>
    </row>
    <row r="2504" spans="1:11" x14ac:dyDescent="0.3">
      <c r="A2504">
        <v>878</v>
      </c>
      <c r="B2504">
        <v>2</v>
      </c>
      <c r="C2504">
        <v>13</v>
      </c>
      <c r="D2504">
        <v>1</v>
      </c>
      <c r="E2504" s="1">
        <v>269.99</v>
      </c>
      <c r="F2504" s="1">
        <v>0.1</v>
      </c>
      <c r="G2504">
        <v>269.99</v>
      </c>
      <c r="H2504" s="22">
        <f>VLOOKUP(A2504,[1]Orders!$A$2:$B$1616,2,0)</f>
        <v>42862</v>
      </c>
      <c r="J2504" t="s">
        <v>31</v>
      </c>
      <c r="K2504" t="s">
        <v>11</v>
      </c>
    </row>
    <row r="2505" spans="1:11" x14ac:dyDescent="0.3">
      <c r="A2505">
        <v>878</v>
      </c>
      <c r="B2505">
        <v>3</v>
      </c>
      <c r="C2505">
        <v>6</v>
      </c>
      <c r="D2505">
        <v>2</v>
      </c>
      <c r="E2505" s="1">
        <v>469.99</v>
      </c>
      <c r="F2505" s="1">
        <v>0.2</v>
      </c>
      <c r="G2505">
        <v>939.98</v>
      </c>
      <c r="H2505" s="22">
        <f>VLOOKUP(A2505,[1]Orders!$A$2:$B$1616,2,0)</f>
        <v>42862</v>
      </c>
      <c r="J2505" t="s">
        <v>32</v>
      </c>
      <c r="K2505" t="s">
        <v>11</v>
      </c>
    </row>
    <row r="2506" spans="1:11" x14ac:dyDescent="0.3">
      <c r="A2506">
        <v>878</v>
      </c>
      <c r="B2506">
        <v>4</v>
      </c>
      <c r="C2506">
        <v>18</v>
      </c>
      <c r="D2506">
        <v>2</v>
      </c>
      <c r="E2506" s="1">
        <v>449</v>
      </c>
      <c r="F2506" s="1">
        <v>0.05</v>
      </c>
      <c r="G2506">
        <v>898</v>
      </c>
      <c r="H2506" s="22">
        <f>VLOOKUP(A2506,[1]Orders!$A$2:$B$1616,2,0)</f>
        <v>42862</v>
      </c>
      <c r="J2506" t="s">
        <v>24</v>
      </c>
      <c r="K2506" t="s">
        <v>11</v>
      </c>
    </row>
    <row r="2507" spans="1:11" x14ac:dyDescent="0.3">
      <c r="A2507">
        <v>879</v>
      </c>
      <c r="B2507">
        <v>1</v>
      </c>
      <c r="C2507">
        <v>100</v>
      </c>
      <c r="D2507">
        <v>2</v>
      </c>
      <c r="E2507" s="1">
        <v>489.99</v>
      </c>
      <c r="F2507" s="1">
        <v>0.2</v>
      </c>
      <c r="G2507">
        <v>979.98</v>
      </c>
      <c r="H2507" s="22">
        <f>VLOOKUP(A2507,[1]Orders!$A$2:$B$1616,2,0)</f>
        <v>42863</v>
      </c>
      <c r="J2507" t="s">
        <v>105</v>
      </c>
      <c r="K2507" t="s">
        <v>18</v>
      </c>
    </row>
    <row r="2508" spans="1:11" x14ac:dyDescent="0.3">
      <c r="A2508">
        <v>879</v>
      </c>
      <c r="B2508">
        <v>2</v>
      </c>
      <c r="C2508">
        <v>2</v>
      </c>
      <c r="D2508">
        <v>2</v>
      </c>
      <c r="E2508" s="1">
        <v>749.99</v>
      </c>
      <c r="F2508" s="1">
        <v>7.0000000000000007E-2</v>
      </c>
      <c r="G2508">
        <v>1499.98</v>
      </c>
      <c r="H2508" s="22">
        <f>VLOOKUP(A2508,[1]Orders!$A$2:$B$1616,2,0)</f>
        <v>42863</v>
      </c>
      <c r="J2508" t="s">
        <v>22</v>
      </c>
      <c r="K2508" t="s">
        <v>18</v>
      </c>
    </row>
    <row r="2509" spans="1:11" x14ac:dyDescent="0.3">
      <c r="A2509">
        <v>879</v>
      </c>
      <c r="B2509">
        <v>3</v>
      </c>
      <c r="C2509">
        <v>83</v>
      </c>
      <c r="D2509">
        <v>2</v>
      </c>
      <c r="E2509" s="1">
        <v>149.99</v>
      </c>
      <c r="F2509" s="1">
        <v>0.2</v>
      </c>
      <c r="G2509">
        <v>299.98</v>
      </c>
      <c r="H2509" s="22">
        <f>VLOOKUP(A2509,[1]Orders!$A$2:$B$1616,2,0)</f>
        <v>42863</v>
      </c>
      <c r="J2509" t="s">
        <v>66</v>
      </c>
      <c r="K2509" t="s">
        <v>18</v>
      </c>
    </row>
    <row r="2510" spans="1:11" x14ac:dyDescent="0.3">
      <c r="A2510">
        <v>879</v>
      </c>
      <c r="B2510">
        <v>4</v>
      </c>
      <c r="C2510">
        <v>82</v>
      </c>
      <c r="D2510">
        <v>1</v>
      </c>
      <c r="E2510" s="1">
        <v>659.99</v>
      </c>
      <c r="F2510" s="1">
        <v>7.0000000000000007E-2</v>
      </c>
      <c r="G2510">
        <v>659.99</v>
      </c>
      <c r="H2510" s="22">
        <f>VLOOKUP(A2510,[1]Orders!$A$2:$B$1616,2,0)</f>
        <v>42863</v>
      </c>
      <c r="J2510" t="s">
        <v>100</v>
      </c>
      <c r="K2510" t="s">
        <v>18</v>
      </c>
    </row>
    <row r="2511" spans="1:11" x14ac:dyDescent="0.3">
      <c r="A2511">
        <v>880</v>
      </c>
      <c r="B2511">
        <v>1</v>
      </c>
      <c r="C2511">
        <v>28</v>
      </c>
      <c r="D2511">
        <v>2</v>
      </c>
      <c r="E2511" s="1">
        <v>2499.9899999999998</v>
      </c>
      <c r="F2511" s="1">
        <v>0.2</v>
      </c>
      <c r="G2511">
        <v>4999.9799999999996</v>
      </c>
      <c r="H2511" s="22">
        <f>VLOOKUP(A2511,[1]Orders!$A$2:$B$1616,2,0)</f>
        <v>42863</v>
      </c>
      <c r="J2511" t="s">
        <v>86</v>
      </c>
      <c r="K2511" t="s">
        <v>18</v>
      </c>
    </row>
    <row r="2512" spans="1:11" x14ac:dyDescent="0.3">
      <c r="A2512">
        <v>880</v>
      </c>
      <c r="B2512">
        <v>2</v>
      </c>
      <c r="C2512">
        <v>95</v>
      </c>
      <c r="D2512">
        <v>1</v>
      </c>
      <c r="E2512" s="1">
        <v>299.99</v>
      </c>
      <c r="F2512" s="1">
        <v>0.1</v>
      </c>
      <c r="G2512">
        <v>299.99</v>
      </c>
      <c r="H2512" s="22">
        <f>VLOOKUP(A2512,[1]Orders!$A$2:$B$1616,2,0)</f>
        <v>42863</v>
      </c>
      <c r="J2512" t="s">
        <v>48</v>
      </c>
      <c r="K2512" t="s">
        <v>18</v>
      </c>
    </row>
    <row r="2513" spans="1:11" x14ac:dyDescent="0.3">
      <c r="A2513">
        <v>880</v>
      </c>
      <c r="B2513">
        <v>3</v>
      </c>
      <c r="C2513">
        <v>5</v>
      </c>
      <c r="D2513">
        <v>1</v>
      </c>
      <c r="E2513" s="1">
        <v>1320.99</v>
      </c>
      <c r="F2513" s="1">
        <v>7.0000000000000007E-2</v>
      </c>
      <c r="G2513">
        <v>1320.99</v>
      </c>
      <c r="H2513" s="22">
        <f>VLOOKUP(A2513,[1]Orders!$A$2:$B$1616,2,0)</f>
        <v>42863</v>
      </c>
      <c r="J2513" t="s">
        <v>34</v>
      </c>
      <c r="K2513" t="s">
        <v>18</v>
      </c>
    </row>
    <row r="2514" spans="1:11" x14ac:dyDescent="0.3">
      <c r="A2514">
        <v>880</v>
      </c>
      <c r="B2514">
        <v>4</v>
      </c>
      <c r="C2514">
        <v>26</v>
      </c>
      <c r="D2514">
        <v>1</v>
      </c>
      <c r="E2514" s="1">
        <v>599.99</v>
      </c>
      <c r="F2514" s="1">
        <v>0.1</v>
      </c>
      <c r="G2514">
        <v>599.99</v>
      </c>
      <c r="H2514" s="22">
        <f>VLOOKUP(A2514,[1]Orders!$A$2:$B$1616,2,0)</f>
        <v>42863</v>
      </c>
      <c r="J2514" t="s">
        <v>14</v>
      </c>
      <c r="K2514" t="s">
        <v>18</v>
      </c>
    </row>
    <row r="2515" spans="1:11" x14ac:dyDescent="0.3">
      <c r="A2515">
        <v>880</v>
      </c>
      <c r="B2515">
        <v>5</v>
      </c>
      <c r="C2515">
        <v>66</v>
      </c>
      <c r="D2515">
        <v>1</v>
      </c>
      <c r="E2515" s="1">
        <v>250.99</v>
      </c>
      <c r="F2515" s="1">
        <v>0.2</v>
      </c>
      <c r="G2515">
        <v>250.99</v>
      </c>
      <c r="H2515" s="22">
        <f>VLOOKUP(A2515,[1]Orders!$A$2:$B$1616,2,0)</f>
        <v>42863</v>
      </c>
      <c r="J2515" t="s">
        <v>92</v>
      </c>
      <c r="K2515" t="s">
        <v>18</v>
      </c>
    </row>
    <row r="2516" spans="1:11" x14ac:dyDescent="0.3">
      <c r="A2516">
        <v>881</v>
      </c>
      <c r="B2516">
        <v>1</v>
      </c>
      <c r="C2516">
        <v>98</v>
      </c>
      <c r="D2516">
        <v>1</v>
      </c>
      <c r="E2516" s="1">
        <v>489.99</v>
      </c>
      <c r="F2516" s="1">
        <v>7.0000000000000007E-2</v>
      </c>
      <c r="G2516">
        <v>489.99</v>
      </c>
      <c r="H2516" s="22">
        <f>VLOOKUP(A2516,[1]Orders!$A$2:$B$1616,2,0)</f>
        <v>42863</v>
      </c>
      <c r="J2516" t="s">
        <v>82</v>
      </c>
      <c r="K2516" t="s">
        <v>37</v>
      </c>
    </row>
    <row r="2517" spans="1:11" x14ac:dyDescent="0.3">
      <c r="A2517">
        <v>881</v>
      </c>
      <c r="B2517">
        <v>2</v>
      </c>
      <c r="C2517">
        <v>50</v>
      </c>
      <c r="D2517">
        <v>1</v>
      </c>
      <c r="E2517" s="1">
        <v>5999.99</v>
      </c>
      <c r="F2517" s="1">
        <v>0.2</v>
      </c>
      <c r="G2517">
        <v>5999.99</v>
      </c>
      <c r="H2517" s="22">
        <f>VLOOKUP(A2517,[1]Orders!$A$2:$B$1616,2,0)</f>
        <v>42863</v>
      </c>
      <c r="J2517" t="s">
        <v>79</v>
      </c>
      <c r="K2517" t="s">
        <v>37</v>
      </c>
    </row>
    <row r="2518" spans="1:11" x14ac:dyDescent="0.3">
      <c r="A2518">
        <v>881</v>
      </c>
      <c r="B2518">
        <v>3</v>
      </c>
      <c r="C2518">
        <v>64</v>
      </c>
      <c r="D2518">
        <v>2</v>
      </c>
      <c r="E2518" s="1">
        <v>489.99</v>
      </c>
      <c r="F2518" s="1">
        <v>0.05</v>
      </c>
      <c r="G2518">
        <v>979.98</v>
      </c>
      <c r="H2518" s="22">
        <f>VLOOKUP(A2518,[1]Orders!$A$2:$B$1616,2,0)</f>
        <v>42863</v>
      </c>
      <c r="J2518" t="s">
        <v>51</v>
      </c>
      <c r="K2518" t="s">
        <v>37</v>
      </c>
    </row>
    <row r="2519" spans="1:11" x14ac:dyDescent="0.3">
      <c r="A2519">
        <v>881</v>
      </c>
      <c r="B2519">
        <v>4</v>
      </c>
      <c r="C2519">
        <v>67</v>
      </c>
      <c r="D2519">
        <v>1</v>
      </c>
      <c r="E2519" s="1">
        <v>250.99</v>
      </c>
      <c r="F2519" s="1">
        <v>0.1</v>
      </c>
      <c r="G2519">
        <v>250.99</v>
      </c>
      <c r="H2519" s="22">
        <f>VLOOKUP(A2519,[1]Orders!$A$2:$B$1616,2,0)</f>
        <v>42863</v>
      </c>
      <c r="J2519" t="s">
        <v>60</v>
      </c>
      <c r="K2519" t="s">
        <v>37</v>
      </c>
    </row>
    <row r="2520" spans="1:11" x14ac:dyDescent="0.3">
      <c r="A2520">
        <v>882</v>
      </c>
      <c r="B2520">
        <v>1</v>
      </c>
      <c r="C2520">
        <v>63</v>
      </c>
      <c r="D2520">
        <v>2</v>
      </c>
      <c r="E2520" s="1">
        <v>3499.99</v>
      </c>
      <c r="F2520" s="1">
        <v>7.0000000000000007E-2</v>
      </c>
      <c r="G2520">
        <v>6999.98</v>
      </c>
      <c r="H2520" s="22">
        <f>VLOOKUP(A2520,[1]Orders!$A$2:$B$1616,2,0)</f>
        <v>42864</v>
      </c>
      <c r="J2520" t="s">
        <v>75</v>
      </c>
      <c r="K2520" t="s">
        <v>18</v>
      </c>
    </row>
    <row r="2521" spans="1:11" x14ac:dyDescent="0.3">
      <c r="A2521">
        <v>882</v>
      </c>
      <c r="B2521">
        <v>2</v>
      </c>
      <c r="C2521">
        <v>108</v>
      </c>
      <c r="D2521">
        <v>2</v>
      </c>
      <c r="E2521" s="1">
        <v>449.99</v>
      </c>
      <c r="F2521" s="1">
        <v>0.2</v>
      </c>
      <c r="G2521">
        <v>899.98</v>
      </c>
      <c r="H2521" s="22">
        <f>VLOOKUP(A2521,[1]Orders!$A$2:$B$1616,2,0)</f>
        <v>42864</v>
      </c>
      <c r="J2521" t="s">
        <v>85</v>
      </c>
      <c r="K2521" t="s">
        <v>18</v>
      </c>
    </row>
    <row r="2522" spans="1:11" x14ac:dyDescent="0.3">
      <c r="A2522">
        <v>882</v>
      </c>
      <c r="B2522">
        <v>3</v>
      </c>
      <c r="C2522">
        <v>57</v>
      </c>
      <c r="D2522">
        <v>2</v>
      </c>
      <c r="E2522" s="1">
        <v>1999.99</v>
      </c>
      <c r="F2522" s="1">
        <v>7.0000000000000007E-2</v>
      </c>
      <c r="G2522">
        <v>3999.98</v>
      </c>
      <c r="H2522" s="22">
        <f>VLOOKUP(A2522,[1]Orders!$A$2:$B$1616,2,0)</f>
        <v>42864</v>
      </c>
      <c r="J2522" t="s">
        <v>103</v>
      </c>
      <c r="K2522" t="s">
        <v>18</v>
      </c>
    </row>
    <row r="2523" spans="1:11" x14ac:dyDescent="0.3">
      <c r="A2523">
        <v>883</v>
      </c>
      <c r="B2523">
        <v>1</v>
      </c>
      <c r="C2523">
        <v>44</v>
      </c>
      <c r="D2523">
        <v>1</v>
      </c>
      <c r="E2523" s="1">
        <v>539.99</v>
      </c>
      <c r="F2523" s="1">
        <v>0.05</v>
      </c>
      <c r="G2523">
        <v>539.99</v>
      </c>
      <c r="H2523" s="22">
        <f>VLOOKUP(A2523,[1]Orders!$A$2:$B$1616,2,0)</f>
        <v>42866</v>
      </c>
      <c r="J2523" t="s">
        <v>108</v>
      </c>
      <c r="K2523" t="s">
        <v>18</v>
      </c>
    </row>
    <row r="2524" spans="1:11" x14ac:dyDescent="0.3">
      <c r="A2524">
        <v>883</v>
      </c>
      <c r="B2524">
        <v>2</v>
      </c>
      <c r="C2524">
        <v>5</v>
      </c>
      <c r="D2524">
        <v>2</v>
      </c>
      <c r="E2524" s="1">
        <v>1320.99</v>
      </c>
      <c r="F2524" s="1">
        <v>0.05</v>
      </c>
      <c r="G2524">
        <v>2641.98</v>
      </c>
      <c r="H2524" s="22">
        <f>VLOOKUP(A2524,[1]Orders!$A$2:$B$1616,2,0)</f>
        <v>42866</v>
      </c>
      <c r="J2524" t="s">
        <v>34</v>
      </c>
      <c r="K2524" t="s">
        <v>18</v>
      </c>
    </row>
    <row r="2525" spans="1:11" x14ac:dyDescent="0.3">
      <c r="A2525">
        <v>884</v>
      </c>
      <c r="B2525">
        <v>1</v>
      </c>
      <c r="C2525">
        <v>49</v>
      </c>
      <c r="D2525">
        <v>2</v>
      </c>
      <c r="E2525" s="1">
        <v>3499.99</v>
      </c>
      <c r="F2525" s="1">
        <v>0.05</v>
      </c>
      <c r="G2525">
        <v>6999.98</v>
      </c>
      <c r="H2525" s="22">
        <f>VLOOKUP(A2525,[1]Orders!$A$2:$B$1616,2,0)</f>
        <v>42866</v>
      </c>
      <c r="J2525" t="s">
        <v>70</v>
      </c>
      <c r="K2525" t="s">
        <v>18</v>
      </c>
    </row>
    <row r="2526" spans="1:11" x14ac:dyDescent="0.3">
      <c r="A2526">
        <v>884</v>
      </c>
      <c r="B2526">
        <v>2</v>
      </c>
      <c r="C2526">
        <v>69</v>
      </c>
      <c r="D2526">
        <v>2</v>
      </c>
      <c r="E2526" s="1">
        <v>416.99</v>
      </c>
      <c r="F2526" s="1">
        <v>7.0000000000000007E-2</v>
      </c>
      <c r="G2526">
        <v>833.98</v>
      </c>
      <c r="H2526" s="22">
        <f>VLOOKUP(A2526,[1]Orders!$A$2:$B$1616,2,0)</f>
        <v>42866</v>
      </c>
      <c r="J2526" t="s">
        <v>89</v>
      </c>
      <c r="K2526" t="s">
        <v>18</v>
      </c>
    </row>
    <row r="2527" spans="1:11" x14ac:dyDescent="0.3">
      <c r="A2527">
        <v>884</v>
      </c>
      <c r="B2527">
        <v>3</v>
      </c>
      <c r="C2527">
        <v>46</v>
      </c>
      <c r="D2527">
        <v>2</v>
      </c>
      <c r="E2527" s="1">
        <v>1409.99</v>
      </c>
      <c r="F2527" s="1">
        <v>0.2</v>
      </c>
      <c r="G2527">
        <v>2819.98</v>
      </c>
      <c r="H2527" s="22">
        <f>VLOOKUP(A2527,[1]Orders!$A$2:$B$1616,2,0)</f>
        <v>42866</v>
      </c>
      <c r="J2527" t="s">
        <v>118</v>
      </c>
      <c r="K2527" t="s">
        <v>18</v>
      </c>
    </row>
    <row r="2528" spans="1:11" x14ac:dyDescent="0.3">
      <c r="A2528">
        <v>884</v>
      </c>
      <c r="B2528">
        <v>4</v>
      </c>
      <c r="C2528">
        <v>10</v>
      </c>
      <c r="D2528">
        <v>1</v>
      </c>
      <c r="E2528" s="1">
        <v>1549</v>
      </c>
      <c r="F2528" s="1">
        <v>0.1</v>
      </c>
      <c r="G2528">
        <v>1549</v>
      </c>
      <c r="H2528" s="22">
        <f>VLOOKUP(A2528,[1]Orders!$A$2:$B$1616,2,0)</f>
        <v>42866</v>
      </c>
      <c r="J2528" t="s">
        <v>13</v>
      </c>
      <c r="K2528" t="s">
        <v>18</v>
      </c>
    </row>
    <row r="2529" spans="1:11" x14ac:dyDescent="0.3">
      <c r="A2529">
        <v>884</v>
      </c>
      <c r="B2529">
        <v>5</v>
      </c>
      <c r="C2529">
        <v>21</v>
      </c>
      <c r="D2529">
        <v>2</v>
      </c>
      <c r="E2529" s="1">
        <v>269.99</v>
      </c>
      <c r="F2529" s="1">
        <v>0.05</v>
      </c>
      <c r="G2529">
        <v>539.98</v>
      </c>
      <c r="H2529" s="22">
        <f>VLOOKUP(A2529,[1]Orders!$A$2:$B$1616,2,0)</f>
        <v>42866</v>
      </c>
      <c r="J2529" t="s">
        <v>31</v>
      </c>
      <c r="K2529" t="s">
        <v>18</v>
      </c>
    </row>
    <row r="2530" spans="1:11" x14ac:dyDescent="0.3">
      <c r="A2530">
        <v>885</v>
      </c>
      <c r="B2530">
        <v>1</v>
      </c>
      <c r="C2530">
        <v>106</v>
      </c>
      <c r="D2530">
        <v>1</v>
      </c>
      <c r="E2530" s="1">
        <v>449.99</v>
      </c>
      <c r="F2530" s="1">
        <v>7.0000000000000007E-2</v>
      </c>
      <c r="G2530">
        <v>449.99</v>
      </c>
      <c r="H2530" s="22">
        <f>VLOOKUP(A2530,[1]Orders!$A$2:$B$1616,2,0)</f>
        <v>42868</v>
      </c>
      <c r="J2530" t="s">
        <v>39</v>
      </c>
      <c r="K2530" t="s">
        <v>37</v>
      </c>
    </row>
    <row r="2531" spans="1:11" x14ac:dyDescent="0.3">
      <c r="A2531">
        <v>885</v>
      </c>
      <c r="B2531">
        <v>2</v>
      </c>
      <c r="C2531">
        <v>43</v>
      </c>
      <c r="D2531">
        <v>1</v>
      </c>
      <c r="E2531" s="1">
        <v>5299.99</v>
      </c>
      <c r="F2531" s="1">
        <v>0.1</v>
      </c>
      <c r="G2531">
        <v>5299.99</v>
      </c>
      <c r="H2531" s="22">
        <f>VLOOKUP(A2531,[1]Orders!$A$2:$B$1616,2,0)</f>
        <v>42868</v>
      </c>
      <c r="J2531" t="s">
        <v>62</v>
      </c>
      <c r="K2531" t="s">
        <v>37</v>
      </c>
    </row>
    <row r="2532" spans="1:11" x14ac:dyDescent="0.3">
      <c r="A2532">
        <v>886</v>
      </c>
      <c r="B2532">
        <v>1</v>
      </c>
      <c r="C2532">
        <v>47</v>
      </c>
      <c r="D2532">
        <v>1</v>
      </c>
      <c r="E2532" s="1">
        <v>5299.99</v>
      </c>
      <c r="F2532" s="1">
        <v>0.05</v>
      </c>
      <c r="G2532">
        <v>5299.99</v>
      </c>
      <c r="H2532" s="22">
        <f>VLOOKUP(A2532,[1]Orders!$A$2:$B$1616,2,0)</f>
        <v>42868</v>
      </c>
      <c r="J2532" t="s">
        <v>54</v>
      </c>
      <c r="K2532" t="s">
        <v>11</v>
      </c>
    </row>
    <row r="2533" spans="1:11" x14ac:dyDescent="0.3">
      <c r="A2533">
        <v>886</v>
      </c>
      <c r="B2533">
        <v>2</v>
      </c>
      <c r="C2533">
        <v>30</v>
      </c>
      <c r="D2533">
        <v>1</v>
      </c>
      <c r="E2533" s="1">
        <v>999.99</v>
      </c>
      <c r="F2533" s="1">
        <v>0.05</v>
      </c>
      <c r="G2533">
        <v>999.99</v>
      </c>
      <c r="H2533" s="22">
        <f>VLOOKUP(A2533,[1]Orders!$A$2:$B$1616,2,0)</f>
        <v>42868</v>
      </c>
      <c r="J2533" t="s">
        <v>47</v>
      </c>
      <c r="K2533" t="s">
        <v>11</v>
      </c>
    </row>
    <row r="2534" spans="1:11" x14ac:dyDescent="0.3">
      <c r="A2534">
        <v>887</v>
      </c>
      <c r="B2534">
        <v>1</v>
      </c>
      <c r="C2534">
        <v>50</v>
      </c>
      <c r="D2534">
        <v>2</v>
      </c>
      <c r="E2534" s="1">
        <v>5999.99</v>
      </c>
      <c r="F2534" s="1">
        <v>0.05</v>
      </c>
      <c r="G2534">
        <v>11999.98</v>
      </c>
      <c r="H2534" s="22">
        <f>VLOOKUP(A2534,[1]Orders!$A$2:$B$1616,2,0)</f>
        <v>42868</v>
      </c>
      <c r="J2534" t="s">
        <v>79</v>
      </c>
      <c r="K2534" t="s">
        <v>18</v>
      </c>
    </row>
    <row r="2535" spans="1:11" x14ac:dyDescent="0.3">
      <c r="A2535">
        <v>887</v>
      </c>
      <c r="B2535">
        <v>2</v>
      </c>
      <c r="C2535">
        <v>70</v>
      </c>
      <c r="D2535">
        <v>1</v>
      </c>
      <c r="E2535" s="1">
        <v>659.99</v>
      </c>
      <c r="F2535" s="1">
        <v>0.1</v>
      </c>
      <c r="G2535">
        <v>659.99</v>
      </c>
      <c r="H2535" s="22">
        <f>VLOOKUP(A2535,[1]Orders!$A$2:$B$1616,2,0)</f>
        <v>42868</v>
      </c>
      <c r="J2535" t="s">
        <v>73</v>
      </c>
      <c r="K2535" t="s">
        <v>18</v>
      </c>
    </row>
    <row r="2536" spans="1:11" x14ac:dyDescent="0.3">
      <c r="A2536">
        <v>888</v>
      </c>
      <c r="B2536">
        <v>1</v>
      </c>
      <c r="C2536">
        <v>33</v>
      </c>
      <c r="D2536">
        <v>2</v>
      </c>
      <c r="E2536" s="1">
        <v>469.99</v>
      </c>
      <c r="F2536" s="1">
        <v>0.1</v>
      </c>
      <c r="G2536">
        <v>939.98</v>
      </c>
      <c r="H2536" s="22">
        <f>VLOOKUP(A2536,[1]Orders!$A$2:$B$1616,2,0)</f>
        <v>42869</v>
      </c>
      <c r="J2536" t="s">
        <v>67</v>
      </c>
      <c r="K2536" t="s">
        <v>18</v>
      </c>
    </row>
    <row r="2537" spans="1:11" x14ac:dyDescent="0.3">
      <c r="A2537">
        <v>888</v>
      </c>
      <c r="B2537">
        <v>2</v>
      </c>
      <c r="C2537">
        <v>26</v>
      </c>
      <c r="D2537">
        <v>2</v>
      </c>
      <c r="E2537" s="1">
        <v>599.99</v>
      </c>
      <c r="F2537" s="1">
        <v>0.2</v>
      </c>
      <c r="G2537">
        <v>1199.98</v>
      </c>
      <c r="H2537" s="22">
        <f>VLOOKUP(A2537,[1]Orders!$A$2:$B$1616,2,0)</f>
        <v>42869</v>
      </c>
      <c r="J2537" t="s">
        <v>14</v>
      </c>
      <c r="K2537" t="s">
        <v>18</v>
      </c>
    </row>
    <row r="2538" spans="1:11" x14ac:dyDescent="0.3">
      <c r="A2538">
        <v>889</v>
      </c>
      <c r="B2538">
        <v>1</v>
      </c>
      <c r="C2538">
        <v>12</v>
      </c>
      <c r="D2538">
        <v>2</v>
      </c>
      <c r="E2538" s="1">
        <v>549.99</v>
      </c>
      <c r="F2538" s="1">
        <v>0.1</v>
      </c>
      <c r="G2538">
        <v>1099.98</v>
      </c>
      <c r="H2538" s="22">
        <f>VLOOKUP(A2538,[1]Orders!$A$2:$B$1616,2,0)</f>
        <v>42869</v>
      </c>
      <c r="J2538" t="s">
        <v>25</v>
      </c>
      <c r="K2538" t="s">
        <v>37</v>
      </c>
    </row>
    <row r="2539" spans="1:11" x14ac:dyDescent="0.3">
      <c r="A2539">
        <v>890</v>
      </c>
      <c r="B2539">
        <v>1</v>
      </c>
      <c r="C2539">
        <v>16</v>
      </c>
      <c r="D2539">
        <v>2</v>
      </c>
      <c r="E2539" s="1">
        <v>599.99</v>
      </c>
      <c r="F2539" s="1">
        <v>0.1</v>
      </c>
      <c r="G2539">
        <v>1199.98</v>
      </c>
      <c r="H2539" s="22">
        <f>VLOOKUP(A2539,[1]Orders!$A$2:$B$1616,2,0)</f>
        <v>42870</v>
      </c>
      <c r="J2539" t="s">
        <v>14</v>
      </c>
      <c r="K2539" t="s">
        <v>18</v>
      </c>
    </row>
    <row r="2540" spans="1:11" x14ac:dyDescent="0.3">
      <c r="A2540">
        <v>890</v>
      </c>
      <c r="B2540">
        <v>2</v>
      </c>
      <c r="C2540">
        <v>105</v>
      </c>
      <c r="D2540">
        <v>2</v>
      </c>
      <c r="E2540" s="1">
        <v>533.99</v>
      </c>
      <c r="F2540" s="1">
        <v>0.1</v>
      </c>
      <c r="G2540">
        <v>1067.98</v>
      </c>
      <c r="H2540" s="22">
        <f>VLOOKUP(A2540,[1]Orders!$A$2:$B$1616,2,0)</f>
        <v>42870</v>
      </c>
      <c r="J2540" t="s">
        <v>96</v>
      </c>
      <c r="K2540" t="s">
        <v>18</v>
      </c>
    </row>
    <row r="2541" spans="1:11" x14ac:dyDescent="0.3">
      <c r="A2541">
        <v>890</v>
      </c>
      <c r="B2541">
        <v>3</v>
      </c>
      <c r="C2541">
        <v>52</v>
      </c>
      <c r="D2541">
        <v>1</v>
      </c>
      <c r="E2541" s="1">
        <v>875.99</v>
      </c>
      <c r="F2541" s="1">
        <v>0.05</v>
      </c>
      <c r="G2541">
        <v>875.99</v>
      </c>
      <c r="H2541" s="22">
        <f>VLOOKUP(A2541,[1]Orders!$A$2:$B$1616,2,0)</f>
        <v>42870</v>
      </c>
      <c r="J2541" t="s">
        <v>68</v>
      </c>
      <c r="K2541" t="s">
        <v>18</v>
      </c>
    </row>
    <row r="2542" spans="1:11" x14ac:dyDescent="0.3">
      <c r="A2542">
        <v>890</v>
      </c>
      <c r="B2542">
        <v>4</v>
      </c>
      <c r="C2542">
        <v>67</v>
      </c>
      <c r="D2542">
        <v>1</v>
      </c>
      <c r="E2542" s="1">
        <v>250.99</v>
      </c>
      <c r="F2542" s="1">
        <v>0.1</v>
      </c>
      <c r="G2542">
        <v>250.99</v>
      </c>
      <c r="H2542" s="22">
        <f>VLOOKUP(A2542,[1]Orders!$A$2:$B$1616,2,0)</f>
        <v>42870</v>
      </c>
      <c r="J2542" t="s">
        <v>60</v>
      </c>
      <c r="K2542" t="s">
        <v>18</v>
      </c>
    </row>
    <row r="2543" spans="1:11" x14ac:dyDescent="0.3">
      <c r="A2543">
        <v>890</v>
      </c>
      <c r="B2543">
        <v>5</v>
      </c>
      <c r="C2543">
        <v>65</v>
      </c>
      <c r="D2543">
        <v>2</v>
      </c>
      <c r="E2543" s="1">
        <v>346.99</v>
      </c>
      <c r="F2543" s="1">
        <v>0.1</v>
      </c>
      <c r="G2543">
        <v>693.98</v>
      </c>
      <c r="H2543" s="22">
        <f>VLOOKUP(A2543,[1]Orders!$A$2:$B$1616,2,0)</f>
        <v>42870</v>
      </c>
      <c r="J2543" t="s">
        <v>114</v>
      </c>
      <c r="K2543" t="s">
        <v>18</v>
      </c>
    </row>
    <row r="2544" spans="1:11" x14ac:dyDescent="0.3">
      <c r="A2544">
        <v>891</v>
      </c>
      <c r="B2544">
        <v>1</v>
      </c>
      <c r="C2544">
        <v>107</v>
      </c>
      <c r="D2544">
        <v>2</v>
      </c>
      <c r="E2544" s="1">
        <v>416.99</v>
      </c>
      <c r="F2544" s="1">
        <v>0.1</v>
      </c>
      <c r="G2544">
        <v>833.98</v>
      </c>
      <c r="H2544" s="22">
        <f>VLOOKUP(A2544,[1]Orders!$A$2:$B$1616,2,0)</f>
        <v>42870</v>
      </c>
      <c r="J2544" t="s">
        <v>89</v>
      </c>
      <c r="K2544" t="s">
        <v>18</v>
      </c>
    </row>
    <row r="2545" spans="1:11" x14ac:dyDescent="0.3">
      <c r="A2545">
        <v>891</v>
      </c>
      <c r="B2545">
        <v>2</v>
      </c>
      <c r="C2545">
        <v>32</v>
      </c>
      <c r="D2545">
        <v>1</v>
      </c>
      <c r="E2545" s="1">
        <v>469.99</v>
      </c>
      <c r="F2545" s="1">
        <v>0.05</v>
      </c>
      <c r="G2545">
        <v>469.99</v>
      </c>
      <c r="H2545" s="22">
        <f>VLOOKUP(A2545,[1]Orders!$A$2:$B$1616,2,0)</f>
        <v>42870</v>
      </c>
      <c r="J2545" t="s">
        <v>46</v>
      </c>
      <c r="K2545" t="s">
        <v>18</v>
      </c>
    </row>
    <row r="2546" spans="1:11" x14ac:dyDescent="0.3">
      <c r="A2546">
        <v>891</v>
      </c>
      <c r="B2546">
        <v>3</v>
      </c>
      <c r="C2546">
        <v>35</v>
      </c>
      <c r="D2546">
        <v>2</v>
      </c>
      <c r="E2546" s="1">
        <v>832.99</v>
      </c>
      <c r="F2546" s="1">
        <v>0.1</v>
      </c>
      <c r="G2546">
        <v>1665.98</v>
      </c>
      <c r="H2546" s="22">
        <f>VLOOKUP(A2546,[1]Orders!$A$2:$B$1616,2,0)</f>
        <v>42870</v>
      </c>
      <c r="J2546" t="s">
        <v>109</v>
      </c>
      <c r="K2546" t="s">
        <v>18</v>
      </c>
    </row>
    <row r="2547" spans="1:11" x14ac:dyDescent="0.3">
      <c r="A2547">
        <v>891</v>
      </c>
      <c r="B2547">
        <v>4</v>
      </c>
      <c r="C2547">
        <v>50</v>
      </c>
      <c r="D2547">
        <v>1</v>
      </c>
      <c r="E2547" s="1">
        <v>5999.99</v>
      </c>
      <c r="F2547" s="1">
        <v>0.1</v>
      </c>
      <c r="G2547">
        <v>5999.99</v>
      </c>
      <c r="H2547" s="22">
        <f>VLOOKUP(A2547,[1]Orders!$A$2:$B$1616,2,0)</f>
        <v>42870</v>
      </c>
      <c r="J2547" t="s">
        <v>79</v>
      </c>
      <c r="K2547" t="s">
        <v>18</v>
      </c>
    </row>
    <row r="2548" spans="1:11" x14ac:dyDescent="0.3">
      <c r="A2548">
        <v>892</v>
      </c>
      <c r="B2548">
        <v>1</v>
      </c>
      <c r="C2548">
        <v>36</v>
      </c>
      <c r="D2548">
        <v>1</v>
      </c>
      <c r="E2548" s="1">
        <v>832.99</v>
      </c>
      <c r="F2548" s="1">
        <v>0.1</v>
      </c>
      <c r="G2548">
        <v>832.99</v>
      </c>
      <c r="H2548" s="22">
        <f>VLOOKUP(A2548,[1]Orders!$A$2:$B$1616,2,0)</f>
        <v>42870</v>
      </c>
      <c r="J2548" t="s">
        <v>116</v>
      </c>
      <c r="K2548" t="s">
        <v>18</v>
      </c>
    </row>
    <row r="2549" spans="1:11" x14ac:dyDescent="0.3">
      <c r="A2549">
        <v>892</v>
      </c>
      <c r="B2549">
        <v>2</v>
      </c>
      <c r="C2549">
        <v>9</v>
      </c>
      <c r="D2549">
        <v>2</v>
      </c>
      <c r="E2549" s="1">
        <v>2999.99</v>
      </c>
      <c r="F2549" s="1">
        <v>0.2</v>
      </c>
      <c r="G2549">
        <v>5999.98</v>
      </c>
      <c r="H2549" s="22">
        <f>VLOOKUP(A2549,[1]Orders!$A$2:$B$1616,2,0)</f>
        <v>42870</v>
      </c>
      <c r="J2549" t="s">
        <v>26</v>
      </c>
      <c r="K2549" t="s">
        <v>18</v>
      </c>
    </row>
    <row r="2550" spans="1:11" x14ac:dyDescent="0.3">
      <c r="A2550">
        <v>892</v>
      </c>
      <c r="B2550">
        <v>3</v>
      </c>
      <c r="C2550">
        <v>50</v>
      </c>
      <c r="D2550">
        <v>2</v>
      </c>
      <c r="E2550" s="1">
        <v>5999.99</v>
      </c>
      <c r="F2550" s="1">
        <v>7.0000000000000007E-2</v>
      </c>
      <c r="G2550">
        <v>11999.98</v>
      </c>
      <c r="H2550" s="22">
        <f>VLOOKUP(A2550,[1]Orders!$A$2:$B$1616,2,0)</f>
        <v>42870</v>
      </c>
      <c r="J2550" t="s">
        <v>79</v>
      </c>
      <c r="K2550" t="s">
        <v>18</v>
      </c>
    </row>
    <row r="2551" spans="1:11" x14ac:dyDescent="0.3">
      <c r="A2551">
        <v>892</v>
      </c>
      <c r="B2551">
        <v>4</v>
      </c>
      <c r="C2551">
        <v>88</v>
      </c>
      <c r="D2551">
        <v>1</v>
      </c>
      <c r="E2551" s="1">
        <v>189.99</v>
      </c>
      <c r="F2551" s="1">
        <v>0.05</v>
      </c>
      <c r="G2551">
        <v>189.99</v>
      </c>
      <c r="H2551" s="22">
        <f>VLOOKUP(A2551,[1]Orders!$A$2:$B$1616,2,0)</f>
        <v>42870</v>
      </c>
      <c r="J2551" t="s">
        <v>64</v>
      </c>
      <c r="K2551" t="s">
        <v>18</v>
      </c>
    </row>
    <row r="2552" spans="1:11" x14ac:dyDescent="0.3">
      <c r="A2552">
        <v>893</v>
      </c>
      <c r="B2552">
        <v>1</v>
      </c>
      <c r="C2552">
        <v>67</v>
      </c>
      <c r="D2552">
        <v>2</v>
      </c>
      <c r="E2552" s="1">
        <v>250.99</v>
      </c>
      <c r="F2552" s="1">
        <v>0.05</v>
      </c>
      <c r="G2552">
        <v>501.98</v>
      </c>
      <c r="H2552" s="22">
        <f>VLOOKUP(A2552,[1]Orders!$A$2:$B$1616,2,0)</f>
        <v>42871</v>
      </c>
      <c r="J2552" t="s">
        <v>60</v>
      </c>
      <c r="K2552" t="s">
        <v>18</v>
      </c>
    </row>
    <row r="2553" spans="1:11" x14ac:dyDescent="0.3">
      <c r="A2553">
        <v>893</v>
      </c>
      <c r="B2553">
        <v>2</v>
      </c>
      <c r="C2553">
        <v>45</v>
      </c>
      <c r="D2553">
        <v>1</v>
      </c>
      <c r="E2553" s="1">
        <v>869.99</v>
      </c>
      <c r="F2553" s="1">
        <v>7.0000000000000007E-2</v>
      </c>
      <c r="G2553">
        <v>869.99</v>
      </c>
      <c r="H2553" s="22">
        <f>VLOOKUP(A2553,[1]Orders!$A$2:$B$1616,2,0)</f>
        <v>42871</v>
      </c>
      <c r="J2553" t="s">
        <v>88</v>
      </c>
      <c r="K2553" t="s">
        <v>18</v>
      </c>
    </row>
    <row r="2554" spans="1:11" x14ac:dyDescent="0.3">
      <c r="A2554">
        <v>894</v>
      </c>
      <c r="B2554">
        <v>1</v>
      </c>
      <c r="C2554">
        <v>101</v>
      </c>
      <c r="D2554">
        <v>2</v>
      </c>
      <c r="E2554" s="1">
        <v>339.99</v>
      </c>
      <c r="F2554" s="1">
        <v>0.2</v>
      </c>
      <c r="G2554">
        <v>679.98</v>
      </c>
      <c r="H2554" s="22">
        <f>VLOOKUP(A2554,[1]Orders!$A$2:$B$1616,2,0)</f>
        <v>42871</v>
      </c>
      <c r="J2554" t="s">
        <v>80</v>
      </c>
      <c r="K2554" t="s">
        <v>18</v>
      </c>
    </row>
    <row r="2555" spans="1:11" x14ac:dyDescent="0.3">
      <c r="A2555">
        <v>895</v>
      </c>
      <c r="B2555">
        <v>1</v>
      </c>
      <c r="C2555">
        <v>106</v>
      </c>
      <c r="D2555">
        <v>1</v>
      </c>
      <c r="E2555" s="1">
        <v>449.99</v>
      </c>
      <c r="F2555" s="1">
        <v>7.0000000000000007E-2</v>
      </c>
      <c r="G2555">
        <v>449.99</v>
      </c>
      <c r="H2555" s="22">
        <f>VLOOKUP(A2555,[1]Orders!$A$2:$B$1616,2,0)</f>
        <v>42873</v>
      </c>
      <c r="J2555" t="s">
        <v>39</v>
      </c>
      <c r="K2555" t="s">
        <v>18</v>
      </c>
    </row>
    <row r="2556" spans="1:11" x14ac:dyDescent="0.3">
      <c r="A2556">
        <v>896</v>
      </c>
      <c r="B2556">
        <v>1</v>
      </c>
      <c r="C2556">
        <v>91</v>
      </c>
      <c r="D2556">
        <v>2</v>
      </c>
      <c r="E2556" s="1">
        <v>349.99</v>
      </c>
      <c r="F2556" s="1">
        <v>0.05</v>
      </c>
      <c r="G2556">
        <v>699.98</v>
      </c>
      <c r="H2556" s="22">
        <f>VLOOKUP(A2556,[1]Orders!$A$2:$B$1616,2,0)</f>
        <v>42874</v>
      </c>
      <c r="J2556" t="s">
        <v>97</v>
      </c>
      <c r="K2556" t="s">
        <v>37</v>
      </c>
    </row>
    <row r="2557" spans="1:11" x14ac:dyDescent="0.3">
      <c r="A2557">
        <v>896</v>
      </c>
      <c r="B2557">
        <v>2</v>
      </c>
      <c r="C2557">
        <v>10</v>
      </c>
      <c r="D2557">
        <v>1</v>
      </c>
      <c r="E2557" s="1">
        <v>1549</v>
      </c>
      <c r="F2557" s="1">
        <v>0.05</v>
      </c>
      <c r="G2557">
        <v>1549</v>
      </c>
      <c r="H2557" s="22">
        <f>VLOOKUP(A2557,[1]Orders!$A$2:$B$1616,2,0)</f>
        <v>42874</v>
      </c>
      <c r="J2557" t="s">
        <v>13</v>
      </c>
      <c r="K2557" t="s">
        <v>37</v>
      </c>
    </row>
    <row r="2558" spans="1:11" x14ac:dyDescent="0.3">
      <c r="A2558">
        <v>897</v>
      </c>
      <c r="B2558">
        <v>1</v>
      </c>
      <c r="C2558">
        <v>105</v>
      </c>
      <c r="D2558">
        <v>1</v>
      </c>
      <c r="E2558" s="1">
        <v>533.99</v>
      </c>
      <c r="F2558" s="1">
        <v>0.05</v>
      </c>
      <c r="G2558">
        <v>533.99</v>
      </c>
      <c r="H2558" s="22">
        <f>VLOOKUP(A2558,[1]Orders!$A$2:$B$1616,2,0)</f>
        <v>42875</v>
      </c>
      <c r="J2558" t="s">
        <v>96</v>
      </c>
      <c r="K2558" t="s">
        <v>11</v>
      </c>
    </row>
    <row r="2559" spans="1:11" x14ac:dyDescent="0.3">
      <c r="A2559">
        <v>897</v>
      </c>
      <c r="B2559">
        <v>2</v>
      </c>
      <c r="C2559">
        <v>96</v>
      </c>
      <c r="D2559">
        <v>1</v>
      </c>
      <c r="E2559" s="1">
        <v>349.99</v>
      </c>
      <c r="F2559" s="1">
        <v>0.05</v>
      </c>
      <c r="G2559">
        <v>349.99</v>
      </c>
      <c r="H2559" s="22">
        <f>VLOOKUP(A2559,[1]Orders!$A$2:$B$1616,2,0)</f>
        <v>42875</v>
      </c>
      <c r="J2559" t="s">
        <v>91</v>
      </c>
      <c r="K2559" t="s">
        <v>11</v>
      </c>
    </row>
    <row r="2560" spans="1:11" x14ac:dyDescent="0.3">
      <c r="A2560">
        <v>898</v>
      </c>
      <c r="B2560">
        <v>1</v>
      </c>
      <c r="C2560">
        <v>45</v>
      </c>
      <c r="D2560">
        <v>2</v>
      </c>
      <c r="E2560" s="1">
        <v>869.99</v>
      </c>
      <c r="F2560" s="1">
        <v>0.2</v>
      </c>
      <c r="G2560">
        <v>1739.98</v>
      </c>
      <c r="H2560" s="22">
        <f>VLOOKUP(A2560,[1]Orders!$A$2:$B$1616,2,0)</f>
        <v>42875</v>
      </c>
      <c r="J2560" t="s">
        <v>88</v>
      </c>
      <c r="K2560" t="s">
        <v>18</v>
      </c>
    </row>
    <row r="2561" spans="1:11" x14ac:dyDescent="0.3">
      <c r="A2561">
        <v>898</v>
      </c>
      <c r="B2561">
        <v>2</v>
      </c>
      <c r="C2561">
        <v>16</v>
      </c>
      <c r="D2561">
        <v>1</v>
      </c>
      <c r="E2561" s="1">
        <v>599.99</v>
      </c>
      <c r="F2561" s="1">
        <v>7.0000000000000007E-2</v>
      </c>
      <c r="G2561">
        <v>599.99</v>
      </c>
      <c r="H2561" s="22">
        <f>VLOOKUP(A2561,[1]Orders!$A$2:$B$1616,2,0)</f>
        <v>42875</v>
      </c>
      <c r="J2561" t="s">
        <v>14</v>
      </c>
      <c r="K2561" t="s">
        <v>18</v>
      </c>
    </row>
    <row r="2562" spans="1:11" x14ac:dyDescent="0.3">
      <c r="A2562">
        <v>898</v>
      </c>
      <c r="B2562">
        <v>3</v>
      </c>
      <c r="C2562">
        <v>57</v>
      </c>
      <c r="D2562">
        <v>2</v>
      </c>
      <c r="E2562" s="1">
        <v>1999.99</v>
      </c>
      <c r="F2562" s="1">
        <v>0.2</v>
      </c>
      <c r="G2562">
        <v>3999.98</v>
      </c>
      <c r="H2562" s="22">
        <f>VLOOKUP(A2562,[1]Orders!$A$2:$B$1616,2,0)</f>
        <v>42875</v>
      </c>
      <c r="J2562" t="s">
        <v>103</v>
      </c>
      <c r="K2562" t="s">
        <v>18</v>
      </c>
    </row>
    <row r="2563" spans="1:11" x14ac:dyDescent="0.3">
      <c r="A2563">
        <v>898</v>
      </c>
      <c r="B2563">
        <v>4</v>
      </c>
      <c r="C2563">
        <v>69</v>
      </c>
      <c r="D2563">
        <v>2</v>
      </c>
      <c r="E2563" s="1">
        <v>416.99</v>
      </c>
      <c r="F2563" s="1">
        <v>7.0000000000000007E-2</v>
      </c>
      <c r="G2563">
        <v>833.98</v>
      </c>
      <c r="H2563" s="22">
        <f>VLOOKUP(A2563,[1]Orders!$A$2:$B$1616,2,0)</f>
        <v>42875</v>
      </c>
      <c r="J2563" t="s">
        <v>89</v>
      </c>
      <c r="K2563" t="s">
        <v>18</v>
      </c>
    </row>
    <row r="2564" spans="1:11" x14ac:dyDescent="0.3">
      <c r="A2564">
        <v>899</v>
      </c>
      <c r="B2564">
        <v>1</v>
      </c>
      <c r="C2564">
        <v>59</v>
      </c>
      <c r="D2564">
        <v>2</v>
      </c>
      <c r="E2564" s="1">
        <v>2599.9899999999998</v>
      </c>
      <c r="F2564" s="1">
        <v>0.1</v>
      </c>
      <c r="G2564">
        <v>5199.9799999999996</v>
      </c>
      <c r="H2564" s="22">
        <f>VLOOKUP(A2564,[1]Orders!$A$2:$B$1616,2,0)</f>
        <v>42875</v>
      </c>
      <c r="J2564" t="s">
        <v>74</v>
      </c>
      <c r="K2564" t="s">
        <v>18</v>
      </c>
    </row>
    <row r="2565" spans="1:11" x14ac:dyDescent="0.3">
      <c r="A2565">
        <v>899</v>
      </c>
      <c r="B2565">
        <v>2</v>
      </c>
      <c r="C2565">
        <v>17</v>
      </c>
      <c r="D2565">
        <v>1</v>
      </c>
      <c r="E2565" s="1">
        <v>429</v>
      </c>
      <c r="F2565" s="1">
        <v>0.1</v>
      </c>
      <c r="G2565">
        <v>429</v>
      </c>
      <c r="H2565" s="22">
        <f>VLOOKUP(A2565,[1]Orders!$A$2:$B$1616,2,0)</f>
        <v>42875</v>
      </c>
      <c r="J2565" t="s">
        <v>23</v>
      </c>
      <c r="K2565" t="s">
        <v>18</v>
      </c>
    </row>
    <row r="2566" spans="1:11" x14ac:dyDescent="0.3">
      <c r="A2566">
        <v>899</v>
      </c>
      <c r="B2566">
        <v>3</v>
      </c>
      <c r="C2566">
        <v>6</v>
      </c>
      <c r="D2566">
        <v>1</v>
      </c>
      <c r="E2566" s="1">
        <v>469.99</v>
      </c>
      <c r="F2566" s="1">
        <v>0.2</v>
      </c>
      <c r="G2566">
        <v>469.99</v>
      </c>
      <c r="H2566" s="22">
        <f>VLOOKUP(A2566,[1]Orders!$A$2:$B$1616,2,0)</f>
        <v>42875</v>
      </c>
      <c r="J2566" t="s">
        <v>32</v>
      </c>
      <c r="K2566" t="s">
        <v>18</v>
      </c>
    </row>
    <row r="2567" spans="1:11" x14ac:dyDescent="0.3">
      <c r="A2567">
        <v>900</v>
      </c>
      <c r="B2567">
        <v>1</v>
      </c>
      <c r="C2567">
        <v>26</v>
      </c>
      <c r="D2567">
        <v>2</v>
      </c>
      <c r="E2567" s="1">
        <v>599.99</v>
      </c>
      <c r="F2567" s="1">
        <v>0.05</v>
      </c>
      <c r="G2567">
        <v>1199.98</v>
      </c>
      <c r="H2567" s="22">
        <f>VLOOKUP(A2567,[1]Orders!$A$2:$B$1616,2,0)</f>
        <v>42875</v>
      </c>
      <c r="J2567" t="s">
        <v>14</v>
      </c>
      <c r="K2567" t="s">
        <v>18</v>
      </c>
    </row>
    <row r="2568" spans="1:11" x14ac:dyDescent="0.3">
      <c r="A2568">
        <v>900</v>
      </c>
      <c r="B2568">
        <v>2</v>
      </c>
      <c r="C2568">
        <v>108</v>
      </c>
      <c r="D2568">
        <v>1</v>
      </c>
      <c r="E2568" s="1">
        <v>449.99</v>
      </c>
      <c r="F2568" s="1">
        <v>7.0000000000000007E-2</v>
      </c>
      <c r="G2568">
        <v>449.99</v>
      </c>
      <c r="H2568" s="22">
        <f>VLOOKUP(A2568,[1]Orders!$A$2:$B$1616,2,0)</f>
        <v>42875</v>
      </c>
      <c r="J2568" t="s">
        <v>85</v>
      </c>
      <c r="K2568" t="s">
        <v>18</v>
      </c>
    </row>
    <row r="2569" spans="1:11" x14ac:dyDescent="0.3">
      <c r="A2569">
        <v>900</v>
      </c>
      <c r="B2569">
        <v>3</v>
      </c>
      <c r="C2569">
        <v>89</v>
      </c>
      <c r="D2569">
        <v>1</v>
      </c>
      <c r="E2569" s="1">
        <v>209.99</v>
      </c>
      <c r="F2569" s="1">
        <v>0.2</v>
      </c>
      <c r="G2569">
        <v>209.99</v>
      </c>
      <c r="H2569" s="22">
        <f>VLOOKUP(A2569,[1]Orders!$A$2:$B$1616,2,0)</f>
        <v>42875</v>
      </c>
      <c r="J2569" t="s">
        <v>94</v>
      </c>
      <c r="K2569" t="s">
        <v>18</v>
      </c>
    </row>
    <row r="2570" spans="1:11" x14ac:dyDescent="0.3">
      <c r="A2570">
        <v>900</v>
      </c>
      <c r="B2570">
        <v>4</v>
      </c>
      <c r="C2570">
        <v>61</v>
      </c>
      <c r="D2570">
        <v>2</v>
      </c>
      <c r="E2570" s="1">
        <v>4999.99</v>
      </c>
      <c r="F2570" s="1">
        <v>0.05</v>
      </c>
      <c r="G2570">
        <v>9999.98</v>
      </c>
      <c r="H2570" s="22">
        <f>VLOOKUP(A2570,[1]Orders!$A$2:$B$1616,2,0)</f>
        <v>42875</v>
      </c>
      <c r="J2570" t="s">
        <v>45</v>
      </c>
      <c r="K2570" t="s">
        <v>18</v>
      </c>
    </row>
    <row r="2571" spans="1:11" x14ac:dyDescent="0.3">
      <c r="A2571">
        <v>900</v>
      </c>
      <c r="B2571">
        <v>5</v>
      </c>
      <c r="C2571">
        <v>28</v>
      </c>
      <c r="D2571">
        <v>2</v>
      </c>
      <c r="E2571" s="1">
        <v>2499.9899999999998</v>
      </c>
      <c r="F2571" s="1">
        <v>7.0000000000000007E-2</v>
      </c>
      <c r="G2571">
        <v>4999.9799999999996</v>
      </c>
      <c r="H2571" s="22">
        <f>VLOOKUP(A2571,[1]Orders!$A$2:$B$1616,2,0)</f>
        <v>42875</v>
      </c>
      <c r="J2571" t="s">
        <v>86</v>
      </c>
      <c r="K2571" t="s">
        <v>18</v>
      </c>
    </row>
    <row r="2572" spans="1:11" x14ac:dyDescent="0.3">
      <c r="A2572">
        <v>901</v>
      </c>
      <c r="B2572">
        <v>1</v>
      </c>
      <c r="C2572">
        <v>50</v>
      </c>
      <c r="D2572">
        <v>1</v>
      </c>
      <c r="E2572" s="1">
        <v>5999.99</v>
      </c>
      <c r="F2572" s="1">
        <v>0.2</v>
      </c>
      <c r="G2572">
        <v>5999.99</v>
      </c>
      <c r="H2572" s="22">
        <f>VLOOKUP(A2572,[1]Orders!$A$2:$B$1616,2,0)</f>
        <v>42876</v>
      </c>
      <c r="J2572" t="s">
        <v>79</v>
      </c>
      <c r="K2572" t="s">
        <v>18</v>
      </c>
    </row>
    <row r="2573" spans="1:11" x14ac:dyDescent="0.3">
      <c r="A2573">
        <v>901</v>
      </c>
      <c r="B2573">
        <v>2</v>
      </c>
      <c r="C2573">
        <v>43</v>
      </c>
      <c r="D2573">
        <v>1</v>
      </c>
      <c r="E2573" s="1">
        <v>5299.99</v>
      </c>
      <c r="F2573" s="1">
        <v>7.0000000000000007E-2</v>
      </c>
      <c r="G2573">
        <v>5299.99</v>
      </c>
      <c r="H2573" s="22">
        <f>VLOOKUP(A2573,[1]Orders!$A$2:$B$1616,2,0)</f>
        <v>42876</v>
      </c>
      <c r="J2573" t="s">
        <v>62</v>
      </c>
      <c r="K2573" t="s">
        <v>18</v>
      </c>
    </row>
    <row r="2574" spans="1:11" x14ac:dyDescent="0.3">
      <c r="A2574">
        <v>902</v>
      </c>
      <c r="B2574">
        <v>1</v>
      </c>
      <c r="C2574">
        <v>38</v>
      </c>
      <c r="D2574">
        <v>2</v>
      </c>
      <c r="E2574" s="1">
        <v>549.99</v>
      </c>
      <c r="F2574" s="1">
        <v>7.0000000000000007E-2</v>
      </c>
      <c r="G2574">
        <v>1099.98</v>
      </c>
      <c r="H2574" s="22">
        <f>VLOOKUP(A2574,[1]Orders!$A$2:$B$1616,2,0)</f>
        <v>42876</v>
      </c>
      <c r="J2574" t="s">
        <v>93</v>
      </c>
      <c r="K2574" t="s">
        <v>18</v>
      </c>
    </row>
    <row r="2575" spans="1:11" x14ac:dyDescent="0.3">
      <c r="A2575">
        <v>902</v>
      </c>
      <c r="B2575">
        <v>2</v>
      </c>
      <c r="C2575">
        <v>92</v>
      </c>
      <c r="D2575">
        <v>1</v>
      </c>
      <c r="E2575" s="1">
        <v>209.99</v>
      </c>
      <c r="F2575" s="1">
        <v>7.0000000000000007E-2</v>
      </c>
      <c r="G2575">
        <v>209.99</v>
      </c>
      <c r="H2575" s="22">
        <f>VLOOKUP(A2575,[1]Orders!$A$2:$B$1616,2,0)</f>
        <v>42876</v>
      </c>
      <c r="J2575" t="s">
        <v>111</v>
      </c>
      <c r="K2575" t="s">
        <v>18</v>
      </c>
    </row>
    <row r="2576" spans="1:11" x14ac:dyDescent="0.3">
      <c r="A2576">
        <v>902</v>
      </c>
      <c r="B2576">
        <v>3</v>
      </c>
      <c r="C2576">
        <v>12</v>
      </c>
      <c r="D2576">
        <v>1</v>
      </c>
      <c r="E2576" s="1">
        <v>549.99</v>
      </c>
      <c r="F2576" s="1">
        <v>0.2</v>
      </c>
      <c r="G2576">
        <v>549.99</v>
      </c>
      <c r="H2576" s="22">
        <f>VLOOKUP(A2576,[1]Orders!$A$2:$B$1616,2,0)</f>
        <v>42876</v>
      </c>
      <c r="J2576" t="s">
        <v>25</v>
      </c>
      <c r="K2576" t="s">
        <v>18</v>
      </c>
    </row>
    <row r="2577" spans="1:11" x14ac:dyDescent="0.3">
      <c r="A2577">
        <v>902</v>
      </c>
      <c r="B2577">
        <v>4</v>
      </c>
      <c r="C2577">
        <v>76</v>
      </c>
      <c r="D2577">
        <v>2</v>
      </c>
      <c r="E2577" s="1">
        <v>299.99</v>
      </c>
      <c r="F2577" s="1">
        <v>0.05</v>
      </c>
      <c r="G2577">
        <v>599.98</v>
      </c>
      <c r="H2577" s="22">
        <f>VLOOKUP(A2577,[1]Orders!$A$2:$B$1616,2,0)</f>
        <v>42876</v>
      </c>
      <c r="J2577" t="s">
        <v>48</v>
      </c>
      <c r="K2577" t="s">
        <v>18</v>
      </c>
    </row>
    <row r="2578" spans="1:11" x14ac:dyDescent="0.3">
      <c r="A2578">
        <v>903</v>
      </c>
      <c r="B2578">
        <v>1</v>
      </c>
      <c r="C2578">
        <v>31</v>
      </c>
      <c r="D2578">
        <v>2</v>
      </c>
      <c r="E2578" s="1">
        <v>1632.99</v>
      </c>
      <c r="F2578" s="1">
        <v>7.0000000000000007E-2</v>
      </c>
      <c r="G2578">
        <v>3265.98</v>
      </c>
      <c r="H2578" s="22">
        <f>VLOOKUP(A2578,[1]Orders!$A$2:$B$1616,2,0)</f>
        <v>42877</v>
      </c>
      <c r="J2578" t="s">
        <v>102</v>
      </c>
      <c r="K2578" t="s">
        <v>18</v>
      </c>
    </row>
    <row r="2579" spans="1:11" x14ac:dyDescent="0.3">
      <c r="A2579">
        <v>903</v>
      </c>
      <c r="B2579">
        <v>2</v>
      </c>
      <c r="C2579">
        <v>48</v>
      </c>
      <c r="D2579">
        <v>2</v>
      </c>
      <c r="E2579" s="1">
        <v>1499.99</v>
      </c>
      <c r="F2579" s="1">
        <v>0.05</v>
      </c>
      <c r="G2579">
        <v>2999.98</v>
      </c>
      <c r="H2579" s="22">
        <f>VLOOKUP(A2579,[1]Orders!$A$2:$B$1616,2,0)</f>
        <v>42877</v>
      </c>
      <c r="J2579" t="s">
        <v>84</v>
      </c>
      <c r="K2579" t="s">
        <v>18</v>
      </c>
    </row>
    <row r="2580" spans="1:11" x14ac:dyDescent="0.3">
      <c r="A2580">
        <v>904</v>
      </c>
      <c r="B2580">
        <v>1</v>
      </c>
      <c r="C2580">
        <v>36</v>
      </c>
      <c r="D2580">
        <v>2</v>
      </c>
      <c r="E2580" s="1">
        <v>832.99</v>
      </c>
      <c r="F2580" s="1">
        <v>0.1</v>
      </c>
      <c r="G2580">
        <v>1665.98</v>
      </c>
      <c r="H2580" s="22">
        <f>VLOOKUP(A2580,[1]Orders!$A$2:$B$1616,2,0)</f>
        <v>42878</v>
      </c>
      <c r="J2580" t="s">
        <v>116</v>
      </c>
      <c r="K2580" t="s">
        <v>11</v>
      </c>
    </row>
    <row r="2581" spans="1:11" x14ac:dyDescent="0.3">
      <c r="A2581">
        <v>904</v>
      </c>
      <c r="B2581">
        <v>2</v>
      </c>
      <c r="C2581">
        <v>51</v>
      </c>
      <c r="D2581">
        <v>2</v>
      </c>
      <c r="E2581" s="1">
        <v>6499.99</v>
      </c>
      <c r="F2581" s="1">
        <v>7.0000000000000007E-2</v>
      </c>
      <c r="G2581">
        <v>12999.98</v>
      </c>
      <c r="H2581" s="22">
        <f>VLOOKUP(A2581,[1]Orders!$A$2:$B$1616,2,0)</f>
        <v>42878</v>
      </c>
      <c r="J2581" t="s">
        <v>90</v>
      </c>
      <c r="K2581" t="s">
        <v>11</v>
      </c>
    </row>
    <row r="2582" spans="1:11" x14ac:dyDescent="0.3">
      <c r="A2582">
        <v>904</v>
      </c>
      <c r="B2582">
        <v>3</v>
      </c>
      <c r="C2582">
        <v>92</v>
      </c>
      <c r="D2582">
        <v>2</v>
      </c>
      <c r="E2582" s="1">
        <v>209.99</v>
      </c>
      <c r="F2582" s="1">
        <v>0.2</v>
      </c>
      <c r="G2582">
        <v>419.98</v>
      </c>
      <c r="H2582" s="22">
        <f>VLOOKUP(A2582,[1]Orders!$A$2:$B$1616,2,0)</f>
        <v>42878</v>
      </c>
      <c r="J2582" t="s">
        <v>111</v>
      </c>
      <c r="K2582" t="s">
        <v>11</v>
      </c>
    </row>
    <row r="2583" spans="1:11" x14ac:dyDescent="0.3">
      <c r="A2583">
        <v>904</v>
      </c>
      <c r="B2583">
        <v>4</v>
      </c>
      <c r="C2583">
        <v>13</v>
      </c>
      <c r="D2583">
        <v>1</v>
      </c>
      <c r="E2583" s="1">
        <v>269.99</v>
      </c>
      <c r="F2583" s="1">
        <v>0.2</v>
      </c>
      <c r="G2583">
        <v>269.99</v>
      </c>
      <c r="H2583" s="22">
        <f>VLOOKUP(A2583,[1]Orders!$A$2:$B$1616,2,0)</f>
        <v>42878</v>
      </c>
      <c r="J2583" t="s">
        <v>31</v>
      </c>
      <c r="K2583" t="s">
        <v>11</v>
      </c>
    </row>
    <row r="2584" spans="1:11" x14ac:dyDescent="0.3">
      <c r="A2584">
        <v>905</v>
      </c>
      <c r="B2584">
        <v>1</v>
      </c>
      <c r="C2584">
        <v>67</v>
      </c>
      <c r="D2584">
        <v>1</v>
      </c>
      <c r="E2584" s="1">
        <v>250.99</v>
      </c>
      <c r="F2584" s="1">
        <v>0.1</v>
      </c>
      <c r="G2584">
        <v>250.99</v>
      </c>
      <c r="H2584" s="22">
        <f>VLOOKUP(A2584,[1]Orders!$A$2:$B$1616,2,0)</f>
        <v>42878</v>
      </c>
      <c r="J2584" t="s">
        <v>60</v>
      </c>
      <c r="K2584" t="s">
        <v>18</v>
      </c>
    </row>
    <row r="2585" spans="1:11" x14ac:dyDescent="0.3">
      <c r="A2585">
        <v>905</v>
      </c>
      <c r="B2585">
        <v>2</v>
      </c>
      <c r="C2585">
        <v>62</v>
      </c>
      <c r="D2585">
        <v>2</v>
      </c>
      <c r="E2585" s="1">
        <v>3499.99</v>
      </c>
      <c r="F2585" s="1">
        <v>0.05</v>
      </c>
      <c r="G2585">
        <v>6999.98</v>
      </c>
      <c r="H2585" s="22">
        <f>VLOOKUP(A2585,[1]Orders!$A$2:$B$1616,2,0)</f>
        <v>42878</v>
      </c>
      <c r="J2585" t="s">
        <v>50</v>
      </c>
      <c r="K2585" t="s">
        <v>18</v>
      </c>
    </row>
    <row r="2586" spans="1:11" x14ac:dyDescent="0.3">
      <c r="A2586">
        <v>905</v>
      </c>
      <c r="B2586">
        <v>3</v>
      </c>
      <c r="C2586">
        <v>42</v>
      </c>
      <c r="D2586">
        <v>2</v>
      </c>
      <c r="E2586" s="1">
        <v>2299.9899999999998</v>
      </c>
      <c r="F2586" s="1">
        <v>0.2</v>
      </c>
      <c r="G2586">
        <v>4599.9799999999996</v>
      </c>
      <c r="H2586" s="22">
        <f>VLOOKUP(A2586,[1]Orders!$A$2:$B$1616,2,0)</f>
        <v>42878</v>
      </c>
      <c r="J2586" t="s">
        <v>53</v>
      </c>
      <c r="K2586" t="s">
        <v>18</v>
      </c>
    </row>
    <row r="2587" spans="1:11" x14ac:dyDescent="0.3">
      <c r="A2587">
        <v>905</v>
      </c>
      <c r="B2587">
        <v>4</v>
      </c>
      <c r="C2587">
        <v>20</v>
      </c>
      <c r="D2587">
        <v>1</v>
      </c>
      <c r="E2587" s="1">
        <v>599.99</v>
      </c>
      <c r="F2587" s="1">
        <v>0.2</v>
      </c>
      <c r="G2587">
        <v>599.99</v>
      </c>
      <c r="H2587" s="22">
        <f>VLOOKUP(A2587,[1]Orders!$A$2:$B$1616,2,0)</f>
        <v>42878</v>
      </c>
      <c r="J2587" t="s">
        <v>10</v>
      </c>
      <c r="K2587" t="s">
        <v>18</v>
      </c>
    </row>
    <row r="2588" spans="1:11" x14ac:dyDescent="0.3">
      <c r="A2588">
        <v>906</v>
      </c>
      <c r="B2588">
        <v>1</v>
      </c>
      <c r="C2588">
        <v>23</v>
      </c>
      <c r="D2588">
        <v>2</v>
      </c>
      <c r="E2588" s="1">
        <v>299.99</v>
      </c>
      <c r="F2588" s="1">
        <v>0.2</v>
      </c>
      <c r="G2588">
        <v>599.98</v>
      </c>
      <c r="H2588" s="22">
        <f>VLOOKUP(A2588,[1]Orders!$A$2:$B$1616,2,0)</f>
        <v>42878</v>
      </c>
      <c r="J2588" t="s">
        <v>33</v>
      </c>
      <c r="K2588" t="s">
        <v>18</v>
      </c>
    </row>
    <row r="2589" spans="1:11" x14ac:dyDescent="0.3">
      <c r="A2589">
        <v>906</v>
      </c>
      <c r="B2589">
        <v>2</v>
      </c>
      <c r="C2589">
        <v>28</v>
      </c>
      <c r="D2589">
        <v>2</v>
      </c>
      <c r="E2589" s="1">
        <v>2499.9899999999998</v>
      </c>
      <c r="F2589" s="1">
        <v>7.0000000000000007E-2</v>
      </c>
      <c r="G2589">
        <v>4999.9799999999996</v>
      </c>
      <c r="H2589" s="22">
        <f>VLOOKUP(A2589,[1]Orders!$A$2:$B$1616,2,0)</f>
        <v>42878</v>
      </c>
      <c r="J2589" t="s">
        <v>86</v>
      </c>
      <c r="K2589" t="s">
        <v>18</v>
      </c>
    </row>
    <row r="2590" spans="1:11" x14ac:dyDescent="0.3">
      <c r="A2590">
        <v>906</v>
      </c>
      <c r="B2590">
        <v>3</v>
      </c>
      <c r="C2590">
        <v>46</v>
      </c>
      <c r="D2590">
        <v>1</v>
      </c>
      <c r="E2590" s="1">
        <v>1409.99</v>
      </c>
      <c r="F2590" s="1">
        <v>0.05</v>
      </c>
      <c r="G2590">
        <v>1409.99</v>
      </c>
      <c r="H2590" s="22">
        <f>VLOOKUP(A2590,[1]Orders!$A$2:$B$1616,2,0)</f>
        <v>42878</v>
      </c>
      <c r="J2590" t="s">
        <v>118</v>
      </c>
      <c r="K2590" t="s">
        <v>18</v>
      </c>
    </row>
    <row r="2591" spans="1:11" x14ac:dyDescent="0.3">
      <c r="A2591">
        <v>906</v>
      </c>
      <c r="B2591">
        <v>4</v>
      </c>
      <c r="C2591">
        <v>102</v>
      </c>
      <c r="D2591">
        <v>2</v>
      </c>
      <c r="E2591" s="1">
        <v>489.99</v>
      </c>
      <c r="F2591" s="1">
        <v>0.1</v>
      </c>
      <c r="G2591">
        <v>979.98</v>
      </c>
      <c r="H2591" s="22">
        <f>VLOOKUP(A2591,[1]Orders!$A$2:$B$1616,2,0)</f>
        <v>42878</v>
      </c>
      <c r="J2591" t="s">
        <v>51</v>
      </c>
      <c r="K2591" t="s">
        <v>18</v>
      </c>
    </row>
    <row r="2592" spans="1:11" x14ac:dyDescent="0.3">
      <c r="A2592">
        <v>906</v>
      </c>
      <c r="B2592">
        <v>5</v>
      </c>
      <c r="C2592">
        <v>22</v>
      </c>
      <c r="D2592">
        <v>2</v>
      </c>
      <c r="E2592" s="1">
        <v>269.99</v>
      </c>
      <c r="F2592" s="1">
        <v>0.2</v>
      </c>
      <c r="G2592">
        <v>539.98</v>
      </c>
      <c r="H2592" s="22">
        <f>VLOOKUP(A2592,[1]Orders!$A$2:$B$1616,2,0)</f>
        <v>42878</v>
      </c>
      <c r="J2592" t="s">
        <v>28</v>
      </c>
      <c r="K2592" t="s">
        <v>18</v>
      </c>
    </row>
    <row r="2593" spans="1:11" x14ac:dyDescent="0.3">
      <c r="A2593">
        <v>907</v>
      </c>
      <c r="B2593">
        <v>1</v>
      </c>
      <c r="C2593">
        <v>84</v>
      </c>
      <c r="D2593">
        <v>2</v>
      </c>
      <c r="E2593" s="1">
        <v>109.99</v>
      </c>
      <c r="F2593" s="1">
        <v>7.0000000000000007E-2</v>
      </c>
      <c r="G2593">
        <v>219.98</v>
      </c>
      <c r="H2593" s="22">
        <f>VLOOKUP(A2593,[1]Orders!$A$2:$B$1616,2,0)</f>
        <v>42879</v>
      </c>
      <c r="J2593" t="s">
        <v>83</v>
      </c>
      <c r="K2593" t="s">
        <v>11</v>
      </c>
    </row>
    <row r="2594" spans="1:11" x14ac:dyDescent="0.3">
      <c r="A2594">
        <v>907</v>
      </c>
      <c r="B2594">
        <v>2</v>
      </c>
      <c r="C2594">
        <v>65</v>
      </c>
      <c r="D2594">
        <v>1</v>
      </c>
      <c r="E2594" s="1">
        <v>346.99</v>
      </c>
      <c r="F2594" s="1">
        <v>7.0000000000000007E-2</v>
      </c>
      <c r="G2594">
        <v>346.99</v>
      </c>
      <c r="H2594" s="22">
        <f>VLOOKUP(A2594,[1]Orders!$A$2:$B$1616,2,0)</f>
        <v>42879</v>
      </c>
      <c r="J2594" t="s">
        <v>114</v>
      </c>
      <c r="K2594" t="s">
        <v>11</v>
      </c>
    </row>
    <row r="2595" spans="1:11" x14ac:dyDescent="0.3">
      <c r="A2595">
        <v>908</v>
      </c>
      <c r="B2595">
        <v>1</v>
      </c>
      <c r="C2595">
        <v>41</v>
      </c>
      <c r="D2595">
        <v>1</v>
      </c>
      <c r="E2595" s="1">
        <v>1469.99</v>
      </c>
      <c r="F2595" s="1">
        <v>0.2</v>
      </c>
      <c r="G2595">
        <v>1469.99</v>
      </c>
      <c r="H2595" s="22">
        <f>VLOOKUP(A2595,[1]Orders!$A$2:$B$1616,2,0)</f>
        <v>42880</v>
      </c>
      <c r="J2595" t="s">
        <v>77</v>
      </c>
      <c r="K2595" t="s">
        <v>18</v>
      </c>
    </row>
    <row r="2596" spans="1:11" x14ac:dyDescent="0.3">
      <c r="A2596">
        <v>908</v>
      </c>
      <c r="B2596">
        <v>2</v>
      </c>
      <c r="C2596">
        <v>94</v>
      </c>
      <c r="D2596">
        <v>1</v>
      </c>
      <c r="E2596" s="1">
        <v>249.99</v>
      </c>
      <c r="F2596" s="1">
        <v>0.1</v>
      </c>
      <c r="G2596">
        <v>249.99</v>
      </c>
      <c r="H2596" s="22">
        <f>VLOOKUP(A2596,[1]Orders!$A$2:$B$1616,2,0)</f>
        <v>42880</v>
      </c>
      <c r="J2596" t="s">
        <v>59</v>
      </c>
      <c r="K2596" t="s">
        <v>18</v>
      </c>
    </row>
    <row r="2597" spans="1:11" x14ac:dyDescent="0.3">
      <c r="A2597">
        <v>908</v>
      </c>
      <c r="B2597">
        <v>3</v>
      </c>
      <c r="C2597">
        <v>102</v>
      </c>
      <c r="D2597">
        <v>2</v>
      </c>
      <c r="E2597" s="1">
        <v>489.99</v>
      </c>
      <c r="F2597" s="1">
        <v>0.1</v>
      </c>
      <c r="G2597">
        <v>979.98</v>
      </c>
      <c r="H2597" s="22">
        <f>VLOOKUP(A2597,[1]Orders!$A$2:$B$1616,2,0)</f>
        <v>42880</v>
      </c>
      <c r="J2597" t="s">
        <v>51</v>
      </c>
      <c r="K2597" t="s">
        <v>18</v>
      </c>
    </row>
    <row r="2598" spans="1:11" x14ac:dyDescent="0.3">
      <c r="A2598">
        <v>909</v>
      </c>
      <c r="B2598">
        <v>1</v>
      </c>
      <c r="C2598">
        <v>5</v>
      </c>
      <c r="D2598">
        <v>1</v>
      </c>
      <c r="E2598" s="1">
        <v>1320.99</v>
      </c>
      <c r="F2598" s="1">
        <v>0.2</v>
      </c>
      <c r="G2598">
        <v>1320.99</v>
      </c>
      <c r="H2598" s="22">
        <f>VLOOKUP(A2598,[1]Orders!$A$2:$B$1616,2,0)</f>
        <v>42881</v>
      </c>
      <c r="J2598" t="s">
        <v>34</v>
      </c>
      <c r="K2598" t="s">
        <v>11</v>
      </c>
    </row>
    <row r="2599" spans="1:11" x14ac:dyDescent="0.3">
      <c r="A2599">
        <v>910</v>
      </c>
      <c r="B2599">
        <v>1</v>
      </c>
      <c r="C2599">
        <v>23</v>
      </c>
      <c r="D2599">
        <v>1</v>
      </c>
      <c r="E2599" s="1">
        <v>299.99</v>
      </c>
      <c r="F2599" s="1">
        <v>0.1</v>
      </c>
      <c r="G2599">
        <v>299.99</v>
      </c>
      <c r="H2599" s="22">
        <f>VLOOKUP(A2599,[1]Orders!$A$2:$B$1616,2,0)</f>
        <v>42881</v>
      </c>
      <c r="J2599" t="s">
        <v>33</v>
      </c>
      <c r="K2599" t="s">
        <v>18</v>
      </c>
    </row>
    <row r="2600" spans="1:11" x14ac:dyDescent="0.3">
      <c r="A2600">
        <v>911</v>
      </c>
      <c r="B2600">
        <v>1</v>
      </c>
      <c r="C2600">
        <v>66</v>
      </c>
      <c r="D2600">
        <v>2</v>
      </c>
      <c r="E2600" s="1">
        <v>250.99</v>
      </c>
      <c r="F2600" s="1">
        <v>0.05</v>
      </c>
      <c r="G2600">
        <v>501.98</v>
      </c>
      <c r="H2600" s="22">
        <f>VLOOKUP(A2600,[1]Orders!$A$2:$B$1616,2,0)</f>
        <v>42881</v>
      </c>
      <c r="J2600" t="s">
        <v>92</v>
      </c>
      <c r="K2600" t="s">
        <v>18</v>
      </c>
    </row>
    <row r="2601" spans="1:11" x14ac:dyDescent="0.3">
      <c r="A2601">
        <v>911</v>
      </c>
      <c r="B2601">
        <v>2</v>
      </c>
      <c r="C2601">
        <v>106</v>
      </c>
      <c r="D2601">
        <v>1</v>
      </c>
      <c r="E2601" s="1">
        <v>449.99</v>
      </c>
      <c r="F2601" s="1">
        <v>0.05</v>
      </c>
      <c r="G2601">
        <v>449.99</v>
      </c>
      <c r="H2601" s="22">
        <f>VLOOKUP(A2601,[1]Orders!$A$2:$B$1616,2,0)</f>
        <v>42881</v>
      </c>
      <c r="J2601" t="s">
        <v>39</v>
      </c>
      <c r="K2601" t="s">
        <v>18</v>
      </c>
    </row>
    <row r="2602" spans="1:11" x14ac:dyDescent="0.3">
      <c r="A2602">
        <v>911</v>
      </c>
      <c r="B2602">
        <v>3</v>
      </c>
      <c r="C2602">
        <v>91</v>
      </c>
      <c r="D2602">
        <v>2</v>
      </c>
      <c r="E2602" s="1">
        <v>349.99</v>
      </c>
      <c r="F2602" s="1">
        <v>0.05</v>
      </c>
      <c r="G2602">
        <v>699.98</v>
      </c>
      <c r="H2602" s="22">
        <f>VLOOKUP(A2602,[1]Orders!$A$2:$B$1616,2,0)</f>
        <v>42881</v>
      </c>
      <c r="J2602" t="s">
        <v>97</v>
      </c>
      <c r="K2602" t="s">
        <v>18</v>
      </c>
    </row>
    <row r="2603" spans="1:11" x14ac:dyDescent="0.3">
      <c r="A2603">
        <v>911</v>
      </c>
      <c r="B2603">
        <v>4</v>
      </c>
      <c r="C2603">
        <v>49</v>
      </c>
      <c r="D2603">
        <v>1</v>
      </c>
      <c r="E2603" s="1">
        <v>3499.99</v>
      </c>
      <c r="F2603" s="1">
        <v>0.2</v>
      </c>
      <c r="G2603">
        <v>3499.99</v>
      </c>
      <c r="H2603" s="22">
        <f>VLOOKUP(A2603,[1]Orders!$A$2:$B$1616,2,0)</f>
        <v>42881</v>
      </c>
      <c r="J2603" t="s">
        <v>70</v>
      </c>
      <c r="K2603" t="s">
        <v>18</v>
      </c>
    </row>
    <row r="2604" spans="1:11" x14ac:dyDescent="0.3">
      <c r="A2604">
        <v>912</v>
      </c>
      <c r="B2604">
        <v>1</v>
      </c>
      <c r="C2604">
        <v>22</v>
      </c>
      <c r="D2604">
        <v>2</v>
      </c>
      <c r="E2604" s="1">
        <v>269.99</v>
      </c>
      <c r="F2604" s="1">
        <v>0.2</v>
      </c>
      <c r="G2604">
        <v>539.98</v>
      </c>
      <c r="H2604" s="22">
        <f>VLOOKUP(A2604,[1]Orders!$A$2:$B$1616,2,0)</f>
        <v>42882</v>
      </c>
      <c r="J2604" t="s">
        <v>28</v>
      </c>
      <c r="K2604" t="s">
        <v>11</v>
      </c>
    </row>
    <row r="2605" spans="1:11" x14ac:dyDescent="0.3">
      <c r="A2605">
        <v>912</v>
      </c>
      <c r="B2605">
        <v>2</v>
      </c>
      <c r="C2605">
        <v>71</v>
      </c>
      <c r="D2605">
        <v>2</v>
      </c>
      <c r="E2605" s="1">
        <v>416.99</v>
      </c>
      <c r="F2605" s="1">
        <v>0.05</v>
      </c>
      <c r="G2605">
        <v>833.98</v>
      </c>
      <c r="H2605" s="22">
        <f>VLOOKUP(A2605,[1]Orders!$A$2:$B$1616,2,0)</f>
        <v>42882</v>
      </c>
      <c r="J2605" t="s">
        <v>78</v>
      </c>
      <c r="K2605" t="s">
        <v>11</v>
      </c>
    </row>
    <row r="2606" spans="1:11" x14ac:dyDescent="0.3">
      <c r="A2606">
        <v>912</v>
      </c>
      <c r="B2606">
        <v>3</v>
      </c>
      <c r="C2606">
        <v>101</v>
      </c>
      <c r="D2606">
        <v>1</v>
      </c>
      <c r="E2606" s="1">
        <v>339.99</v>
      </c>
      <c r="F2606" s="1">
        <v>0.05</v>
      </c>
      <c r="G2606">
        <v>339.99</v>
      </c>
      <c r="H2606" s="22">
        <f>VLOOKUP(A2606,[1]Orders!$A$2:$B$1616,2,0)</f>
        <v>42882</v>
      </c>
      <c r="J2606" t="s">
        <v>80</v>
      </c>
      <c r="K2606" t="s">
        <v>11</v>
      </c>
    </row>
    <row r="2607" spans="1:11" x14ac:dyDescent="0.3">
      <c r="A2607">
        <v>912</v>
      </c>
      <c r="B2607">
        <v>4</v>
      </c>
      <c r="C2607">
        <v>2</v>
      </c>
      <c r="D2607">
        <v>2</v>
      </c>
      <c r="E2607" s="1">
        <v>749.99</v>
      </c>
      <c r="F2607" s="1">
        <v>0.2</v>
      </c>
      <c r="G2607">
        <v>1499.98</v>
      </c>
      <c r="H2607" s="22">
        <f>VLOOKUP(A2607,[1]Orders!$A$2:$B$1616,2,0)</f>
        <v>42882</v>
      </c>
      <c r="J2607" t="s">
        <v>22</v>
      </c>
      <c r="K2607" t="s">
        <v>11</v>
      </c>
    </row>
    <row r="2608" spans="1:11" x14ac:dyDescent="0.3">
      <c r="A2608">
        <v>913</v>
      </c>
      <c r="B2608">
        <v>1</v>
      </c>
      <c r="C2608">
        <v>90</v>
      </c>
      <c r="D2608">
        <v>2</v>
      </c>
      <c r="E2608" s="1">
        <v>209.99</v>
      </c>
      <c r="F2608" s="1">
        <v>0.1</v>
      </c>
      <c r="G2608">
        <v>419.98</v>
      </c>
      <c r="H2608" s="22">
        <f>VLOOKUP(A2608,[1]Orders!$A$2:$B$1616,2,0)</f>
        <v>42882</v>
      </c>
      <c r="J2608" t="s">
        <v>56</v>
      </c>
      <c r="K2608" t="s">
        <v>18</v>
      </c>
    </row>
    <row r="2609" spans="1:11" x14ac:dyDescent="0.3">
      <c r="A2609">
        <v>913</v>
      </c>
      <c r="B2609">
        <v>2</v>
      </c>
      <c r="C2609">
        <v>24</v>
      </c>
      <c r="D2609">
        <v>2</v>
      </c>
      <c r="E2609" s="1">
        <v>549.99</v>
      </c>
      <c r="F2609" s="1">
        <v>0.05</v>
      </c>
      <c r="G2609">
        <v>1099.98</v>
      </c>
      <c r="H2609" s="22">
        <f>VLOOKUP(A2609,[1]Orders!$A$2:$B$1616,2,0)</f>
        <v>42882</v>
      </c>
      <c r="J2609" t="s">
        <v>25</v>
      </c>
      <c r="K2609" t="s">
        <v>18</v>
      </c>
    </row>
    <row r="2610" spans="1:11" x14ac:dyDescent="0.3">
      <c r="A2610">
        <v>914</v>
      </c>
      <c r="B2610">
        <v>1</v>
      </c>
      <c r="C2610">
        <v>38</v>
      </c>
      <c r="D2610">
        <v>1</v>
      </c>
      <c r="E2610" s="1">
        <v>549.99</v>
      </c>
      <c r="F2610" s="1">
        <v>7.0000000000000007E-2</v>
      </c>
      <c r="G2610">
        <v>549.99</v>
      </c>
      <c r="H2610" s="22">
        <f>VLOOKUP(A2610,[1]Orders!$A$2:$B$1616,2,0)</f>
        <v>42883</v>
      </c>
      <c r="J2610" t="s">
        <v>93</v>
      </c>
      <c r="K2610" t="s">
        <v>11</v>
      </c>
    </row>
    <row r="2611" spans="1:11" x14ac:dyDescent="0.3">
      <c r="A2611">
        <v>914</v>
      </c>
      <c r="B2611">
        <v>2</v>
      </c>
      <c r="C2611">
        <v>20</v>
      </c>
      <c r="D2611">
        <v>2</v>
      </c>
      <c r="E2611" s="1">
        <v>599.99</v>
      </c>
      <c r="F2611" s="1">
        <v>0.2</v>
      </c>
      <c r="G2611">
        <v>1199.98</v>
      </c>
      <c r="H2611" s="22">
        <f>VLOOKUP(A2611,[1]Orders!$A$2:$B$1616,2,0)</f>
        <v>42883</v>
      </c>
      <c r="J2611" t="s">
        <v>10</v>
      </c>
      <c r="K2611" t="s">
        <v>11</v>
      </c>
    </row>
    <row r="2612" spans="1:11" x14ac:dyDescent="0.3">
      <c r="A2612">
        <v>914</v>
      </c>
      <c r="B2612">
        <v>3</v>
      </c>
      <c r="C2612">
        <v>106</v>
      </c>
      <c r="D2612">
        <v>1</v>
      </c>
      <c r="E2612" s="1">
        <v>449.99</v>
      </c>
      <c r="F2612" s="1">
        <v>0.05</v>
      </c>
      <c r="G2612">
        <v>449.99</v>
      </c>
      <c r="H2612" s="22">
        <f>VLOOKUP(A2612,[1]Orders!$A$2:$B$1616,2,0)</f>
        <v>42883</v>
      </c>
      <c r="J2612" t="s">
        <v>39</v>
      </c>
      <c r="K2612" t="s">
        <v>11</v>
      </c>
    </row>
    <row r="2613" spans="1:11" x14ac:dyDescent="0.3">
      <c r="A2613">
        <v>914</v>
      </c>
      <c r="B2613">
        <v>4</v>
      </c>
      <c r="C2613">
        <v>46</v>
      </c>
      <c r="D2613">
        <v>1</v>
      </c>
      <c r="E2613" s="1">
        <v>1409.99</v>
      </c>
      <c r="F2613" s="1">
        <v>0.1</v>
      </c>
      <c r="G2613">
        <v>1409.99</v>
      </c>
      <c r="H2613" s="22">
        <f>VLOOKUP(A2613,[1]Orders!$A$2:$B$1616,2,0)</f>
        <v>42883</v>
      </c>
      <c r="J2613" t="s">
        <v>118</v>
      </c>
      <c r="K2613" t="s">
        <v>11</v>
      </c>
    </row>
    <row r="2614" spans="1:11" x14ac:dyDescent="0.3">
      <c r="A2614">
        <v>915</v>
      </c>
      <c r="B2614">
        <v>1</v>
      </c>
      <c r="C2614">
        <v>64</v>
      </c>
      <c r="D2614">
        <v>1</v>
      </c>
      <c r="E2614" s="1">
        <v>489.99</v>
      </c>
      <c r="F2614" s="1">
        <v>0.05</v>
      </c>
      <c r="G2614">
        <v>489.99</v>
      </c>
      <c r="H2614" s="22">
        <f>VLOOKUP(A2614,[1]Orders!$A$2:$B$1616,2,0)</f>
        <v>42883</v>
      </c>
      <c r="J2614" t="s">
        <v>51</v>
      </c>
      <c r="K2614" t="s">
        <v>18</v>
      </c>
    </row>
    <row r="2615" spans="1:11" x14ac:dyDescent="0.3">
      <c r="A2615">
        <v>915</v>
      </c>
      <c r="B2615">
        <v>2</v>
      </c>
      <c r="C2615">
        <v>48</v>
      </c>
      <c r="D2615">
        <v>1</v>
      </c>
      <c r="E2615" s="1">
        <v>1499.99</v>
      </c>
      <c r="F2615" s="1">
        <v>7.0000000000000007E-2</v>
      </c>
      <c r="G2615">
        <v>1499.99</v>
      </c>
      <c r="H2615" s="22">
        <f>VLOOKUP(A2615,[1]Orders!$A$2:$B$1616,2,0)</f>
        <v>42883</v>
      </c>
      <c r="J2615" t="s">
        <v>84</v>
      </c>
      <c r="K2615" t="s">
        <v>18</v>
      </c>
    </row>
    <row r="2616" spans="1:11" x14ac:dyDescent="0.3">
      <c r="A2616">
        <v>915</v>
      </c>
      <c r="B2616">
        <v>3</v>
      </c>
      <c r="C2616">
        <v>42</v>
      </c>
      <c r="D2616">
        <v>1</v>
      </c>
      <c r="E2616" s="1">
        <v>2299.9899999999998</v>
      </c>
      <c r="F2616" s="1">
        <v>0.2</v>
      </c>
      <c r="G2616">
        <v>2299.9899999999998</v>
      </c>
      <c r="H2616" s="22">
        <f>VLOOKUP(A2616,[1]Orders!$A$2:$B$1616,2,0)</f>
        <v>42883</v>
      </c>
      <c r="J2616" t="s">
        <v>53</v>
      </c>
      <c r="K2616" t="s">
        <v>18</v>
      </c>
    </row>
    <row r="2617" spans="1:11" x14ac:dyDescent="0.3">
      <c r="A2617">
        <v>915</v>
      </c>
      <c r="B2617">
        <v>4</v>
      </c>
      <c r="C2617">
        <v>2</v>
      </c>
      <c r="D2617">
        <v>1</v>
      </c>
      <c r="E2617" s="1">
        <v>749.99</v>
      </c>
      <c r="F2617" s="1">
        <v>7.0000000000000007E-2</v>
      </c>
      <c r="G2617">
        <v>749.99</v>
      </c>
      <c r="H2617" s="22">
        <f>VLOOKUP(A2617,[1]Orders!$A$2:$B$1616,2,0)</f>
        <v>42883</v>
      </c>
      <c r="J2617" t="s">
        <v>22</v>
      </c>
      <c r="K2617" t="s">
        <v>18</v>
      </c>
    </row>
    <row r="2618" spans="1:11" x14ac:dyDescent="0.3">
      <c r="A2618">
        <v>916</v>
      </c>
      <c r="B2618">
        <v>1</v>
      </c>
      <c r="C2618">
        <v>92</v>
      </c>
      <c r="D2618">
        <v>1</v>
      </c>
      <c r="E2618" s="1">
        <v>209.99</v>
      </c>
      <c r="F2618" s="1">
        <v>0.2</v>
      </c>
      <c r="G2618">
        <v>209.99</v>
      </c>
      <c r="H2618" s="22">
        <f>VLOOKUP(A2618,[1]Orders!$A$2:$B$1616,2,0)</f>
        <v>42883</v>
      </c>
      <c r="J2618" t="s">
        <v>111</v>
      </c>
      <c r="K2618" t="s">
        <v>18</v>
      </c>
    </row>
    <row r="2619" spans="1:11" x14ac:dyDescent="0.3">
      <c r="A2619">
        <v>917</v>
      </c>
      <c r="B2619">
        <v>1</v>
      </c>
      <c r="C2619">
        <v>41</v>
      </c>
      <c r="D2619">
        <v>1</v>
      </c>
      <c r="E2619" s="1">
        <v>1469.99</v>
      </c>
      <c r="F2619" s="1">
        <v>7.0000000000000007E-2</v>
      </c>
      <c r="G2619">
        <v>1469.99</v>
      </c>
      <c r="H2619" s="22">
        <f>VLOOKUP(A2619,[1]Orders!$A$2:$B$1616,2,0)</f>
        <v>42884</v>
      </c>
      <c r="J2619" t="s">
        <v>77</v>
      </c>
      <c r="K2619" t="s">
        <v>11</v>
      </c>
    </row>
    <row r="2620" spans="1:11" x14ac:dyDescent="0.3">
      <c r="A2620">
        <v>918</v>
      </c>
      <c r="B2620">
        <v>1</v>
      </c>
      <c r="C2620">
        <v>91</v>
      </c>
      <c r="D2620">
        <v>1</v>
      </c>
      <c r="E2620" s="1">
        <v>349.99</v>
      </c>
      <c r="F2620" s="1">
        <v>0.2</v>
      </c>
      <c r="G2620">
        <v>349.99</v>
      </c>
      <c r="H2620" s="22">
        <f>VLOOKUP(A2620,[1]Orders!$A$2:$B$1616,2,0)</f>
        <v>42885</v>
      </c>
      <c r="J2620" t="s">
        <v>97</v>
      </c>
      <c r="K2620" t="s">
        <v>11</v>
      </c>
    </row>
    <row r="2621" spans="1:11" x14ac:dyDescent="0.3">
      <c r="A2621">
        <v>918</v>
      </c>
      <c r="B2621">
        <v>2</v>
      </c>
      <c r="C2621">
        <v>31</v>
      </c>
      <c r="D2621">
        <v>1</v>
      </c>
      <c r="E2621" s="1">
        <v>1632.99</v>
      </c>
      <c r="F2621" s="1">
        <v>0.1</v>
      </c>
      <c r="G2621">
        <v>1632.99</v>
      </c>
      <c r="H2621" s="22">
        <f>VLOOKUP(A2621,[1]Orders!$A$2:$B$1616,2,0)</f>
        <v>42885</v>
      </c>
      <c r="J2621" t="s">
        <v>102</v>
      </c>
      <c r="K2621" t="s">
        <v>11</v>
      </c>
    </row>
    <row r="2622" spans="1:11" x14ac:dyDescent="0.3">
      <c r="A2622">
        <v>918</v>
      </c>
      <c r="B2622">
        <v>3</v>
      </c>
      <c r="C2622">
        <v>4</v>
      </c>
      <c r="D2622">
        <v>2</v>
      </c>
      <c r="E2622" s="1">
        <v>2899.99</v>
      </c>
      <c r="F2622" s="1">
        <v>7.0000000000000007E-2</v>
      </c>
      <c r="G2622">
        <v>5799.98</v>
      </c>
      <c r="H2622" s="22">
        <f>VLOOKUP(A2622,[1]Orders!$A$2:$B$1616,2,0)</f>
        <v>42885</v>
      </c>
      <c r="J2622" t="s">
        <v>16</v>
      </c>
      <c r="K2622" t="s">
        <v>11</v>
      </c>
    </row>
    <row r="2623" spans="1:11" x14ac:dyDescent="0.3">
      <c r="A2623">
        <v>919</v>
      </c>
      <c r="B2623">
        <v>1</v>
      </c>
      <c r="C2623">
        <v>7</v>
      </c>
      <c r="D2623">
        <v>1</v>
      </c>
      <c r="E2623" s="1">
        <v>3999.99</v>
      </c>
      <c r="F2623" s="1">
        <v>7.0000000000000007E-2</v>
      </c>
      <c r="G2623">
        <v>3999.99</v>
      </c>
      <c r="H2623" s="22">
        <f>VLOOKUP(A2623,[1]Orders!$A$2:$B$1616,2,0)</f>
        <v>42885</v>
      </c>
      <c r="J2623" t="s">
        <v>29</v>
      </c>
      <c r="K2623" t="s">
        <v>18</v>
      </c>
    </row>
    <row r="2624" spans="1:11" x14ac:dyDescent="0.3">
      <c r="A2624">
        <v>919</v>
      </c>
      <c r="B2624">
        <v>2</v>
      </c>
      <c r="C2624">
        <v>44</v>
      </c>
      <c r="D2624">
        <v>1</v>
      </c>
      <c r="E2624" s="1">
        <v>539.99</v>
      </c>
      <c r="F2624" s="1">
        <v>0.1</v>
      </c>
      <c r="G2624">
        <v>539.99</v>
      </c>
      <c r="H2624" s="22">
        <f>VLOOKUP(A2624,[1]Orders!$A$2:$B$1616,2,0)</f>
        <v>42885</v>
      </c>
      <c r="J2624" t="s">
        <v>108</v>
      </c>
      <c r="K2624" t="s">
        <v>18</v>
      </c>
    </row>
    <row r="2625" spans="1:11" x14ac:dyDescent="0.3">
      <c r="A2625">
        <v>920</v>
      </c>
      <c r="B2625">
        <v>1</v>
      </c>
      <c r="C2625">
        <v>76</v>
      </c>
      <c r="D2625">
        <v>1</v>
      </c>
      <c r="E2625" s="1">
        <v>299.99</v>
      </c>
      <c r="F2625" s="1">
        <v>0.05</v>
      </c>
      <c r="G2625">
        <v>299.99</v>
      </c>
      <c r="H2625" s="22">
        <f>VLOOKUP(A2625,[1]Orders!$A$2:$B$1616,2,0)</f>
        <v>42885</v>
      </c>
      <c r="J2625" t="s">
        <v>48</v>
      </c>
      <c r="K2625" t="s">
        <v>18</v>
      </c>
    </row>
    <row r="2626" spans="1:11" x14ac:dyDescent="0.3">
      <c r="A2626">
        <v>920</v>
      </c>
      <c r="B2626">
        <v>2</v>
      </c>
      <c r="C2626">
        <v>39</v>
      </c>
      <c r="D2626">
        <v>2</v>
      </c>
      <c r="E2626" s="1">
        <v>1499.99</v>
      </c>
      <c r="F2626" s="1">
        <v>7.0000000000000007E-2</v>
      </c>
      <c r="G2626">
        <v>2999.98</v>
      </c>
      <c r="H2626" s="22">
        <f>VLOOKUP(A2626,[1]Orders!$A$2:$B$1616,2,0)</f>
        <v>42885</v>
      </c>
      <c r="J2626" t="s">
        <v>72</v>
      </c>
      <c r="K2626" t="s">
        <v>18</v>
      </c>
    </row>
    <row r="2627" spans="1:11" x14ac:dyDescent="0.3">
      <c r="A2627">
        <v>920</v>
      </c>
      <c r="B2627">
        <v>3</v>
      </c>
      <c r="C2627">
        <v>78</v>
      </c>
      <c r="D2627">
        <v>1</v>
      </c>
      <c r="E2627" s="1">
        <v>647.99</v>
      </c>
      <c r="F2627" s="1">
        <v>0.05</v>
      </c>
      <c r="G2627">
        <v>647.99</v>
      </c>
      <c r="H2627" s="22">
        <f>VLOOKUP(A2627,[1]Orders!$A$2:$B$1616,2,0)</f>
        <v>42885</v>
      </c>
      <c r="J2627" t="s">
        <v>57</v>
      </c>
      <c r="K2627" t="s">
        <v>18</v>
      </c>
    </row>
    <row r="2628" spans="1:11" x14ac:dyDescent="0.3">
      <c r="A2628">
        <v>920</v>
      </c>
      <c r="B2628">
        <v>4</v>
      </c>
      <c r="C2628">
        <v>80</v>
      </c>
      <c r="D2628">
        <v>2</v>
      </c>
      <c r="E2628" s="1">
        <v>761.99</v>
      </c>
      <c r="F2628" s="1">
        <v>7.0000000000000007E-2</v>
      </c>
      <c r="G2628">
        <v>1523.98</v>
      </c>
      <c r="H2628" s="22">
        <f>VLOOKUP(A2628,[1]Orders!$A$2:$B$1616,2,0)</f>
        <v>42885</v>
      </c>
      <c r="J2628" t="s">
        <v>63</v>
      </c>
      <c r="K2628" t="s">
        <v>18</v>
      </c>
    </row>
    <row r="2629" spans="1:11" x14ac:dyDescent="0.3">
      <c r="A2629">
        <v>921</v>
      </c>
      <c r="B2629">
        <v>1</v>
      </c>
      <c r="C2629">
        <v>77</v>
      </c>
      <c r="D2629">
        <v>1</v>
      </c>
      <c r="E2629" s="1">
        <v>799.99</v>
      </c>
      <c r="F2629" s="1">
        <v>0.2</v>
      </c>
      <c r="G2629">
        <v>799.99</v>
      </c>
      <c r="H2629" s="22">
        <f>VLOOKUP(A2629,[1]Orders!$A$2:$B$1616,2,0)</f>
        <v>42886</v>
      </c>
      <c r="J2629" t="s">
        <v>113</v>
      </c>
      <c r="K2629" t="s">
        <v>18</v>
      </c>
    </row>
    <row r="2630" spans="1:11" x14ac:dyDescent="0.3">
      <c r="A2630">
        <v>921</v>
      </c>
      <c r="B2630">
        <v>2</v>
      </c>
      <c r="C2630">
        <v>75</v>
      </c>
      <c r="D2630">
        <v>2</v>
      </c>
      <c r="E2630" s="1">
        <v>599.99</v>
      </c>
      <c r="F2630" s="1">
        <v>7.0000000000000007E-2</v>
      </c>
      <c r="G2630">
        <v>1199.98</v>
      </c>
      <c r="H2630" s="22">
        <f>VLOOKUP(A2630,[1]Orders!$A$2:$B$1616,2,0)</f>
        <v>42886</v>
      </c>
      <c r="J2630" t="s">
        <v>95</v>
      </c>
      <c r="K2630" t="s">
        <v>18</v>
      </c>
    </row>
    <row r="2631" spans="1:11" x14ac:dyDescent="0.3">
      <c r="A2631">
        <v>921</v>
      </c>
      <c r="B2631">
        <v>3</v>
      </c>
      <c r="C2631">
        <v>48</v>
      </c>
      <c r="D2631">
        <v>1</v>
      </c>
      <c r="E2631" s="1">
        <v>1499.99</v>
      </c>
      <c r="F2631" s="1">
        <v>0.1</v>
      </c>
      <c r="G2631">
        <v>1499.99</v>
      </c>
      <c r="H2631" s="22">
        <f>VLOOKUP(A2631,[1]Orders!$A$2:$B$1616,2,0)</f>
        <v>42886</v>
      </c>
      <c r="J2631" t="s">
        <v>84</v>
      </c>
      <c r="K2631" t="s">
        <v>18</v>
      </c>
    </row>
    <row r="2632" spans="1:11" x14ac:dyDescent="0.3">
      <c r="A2632">
        <v>922</v>
      </c>
      <c r="B2632">
        <v>1</v>
      </c>
      <c r="C2632">
        <v>68</v>
      </c>
      <c r="D2632">
        <v>1</v>
      </c>
      <c r="E2632" s="1">
        <v>449.99</v>
      </c>
      <c r="F2632" s="1">
        <v>0.2</v>
      </c>
      <c r="G2632">
        <v>449.99</v>
      </c>
      <c r="H2632" s="22">
        <f>VLOOKUP(A2632,[1]Orders!$A$2:$B$1616,2,0)</f>
        <v>42886</v>
      </c>
      <c r="J2632" t="s">
        <v>39</v>
      </c>
      <c r="K2632" t="s">
        <v>18</v>
      </c>
    </row>
    <row r="2633" spans="1:11" x14ac:dyDescent="0.3">
      <c r="A2633">
        <v>922</v>
      </c>
      <c r="B2633">
        <v>2</v>
      </c>
      <c r="C2633">
        <v>73</v>
      </c>
      <c r="D2633">
        <v>1</v>
      </c>
      <c r="E2633" s="1">
        <v>749.99</v>
      </c>
      <c r="F2633" s="1">
        <v>0.2</v>
      </c>
      <c r="G2633">
        <v>749.99</v>
      </c>
      <c r="H2633" s="22">
        <f>VLOOKUP(A2633,[1]Orders!$A$2:$B$1616,2,0)</f>
        <v>42886</v>
      </c>
      <c r="J2633" t="s">
        <v>43</v>
      </c>
      <c r="K2633" t="s">
        <v>18</v>
      </c>
    </row>
    <row r="2634" spans="1:11" x14ac:dyDescent="0.3">
      <c r="A2634">
        <v>922</v>
      </c>
      <c r="B2634">
        <v>3</v>
      </c>
      <c r="C2634">
        <v>86</v>
      </c>
      <c r="D2634">
        <v>1</v>
      </c>
      <c r="E2634" s="1">
        <v>149.99</v>
      </c>
      <c r="F2634" s="1">
        <v>0.1</v>
      </c>
      <c r="G2634">
        <v>149.99</v>
      </c>
      <c r="H2634" s="22">
        <f>VLOOKUP(A2634,[1]Orders!$A$2:$B$1616,2,0)</f>
        <v>42886</v>
      </c>
      <c r="J2634" t="s">
        <v>115</v>
      </c>
      <c r="K2634" t="s">
        <v>18</v>
      </c>
    </row>
    <row r="2635" spans="1:11" x14ac:dyDescent="0.3">
      <c r="A2635">
        <v>923</v>
      </c>
      <c r="B2635">
        <v>1</v>
      </c>
      <c r="C2635">
        <v>74</v>
      </c>
      <c r="D2635">
        <v>2</v>
      </c>
      <c r="E2635" s="1">
        <v>439.99</v>
      </c>
      <c r="F2635" s="1">
        <v>0.05</v>
      </c>
      <c r="G2635">
        <v>879.98</v>
      </c>
      <c r="H2635" s="22">
        <f>VLOOKUP(A2635,[1]Orders!$A$2:$B$1616,2,0)</f>
        <v>42886</v>
      </c>
      <c r="J2635" t="s">
        <v>61</v>
      </c>
      <c r="K2635" t="s">
        <v>18</v>
      </c>
    </row>
    <row r="2636" spans="1:11" x14ac:dyDescent="0.3">
      <c r="A2636">
        <v>923</v>
      </c>
      <c r="B2636">
        <v>2</v>
      </c>
      <c r="C2636">
        <v>6</v>
      </c>
      <c r="D2636">
        <v>1</v>
      </c>
      <c r="E2636" s="1">
        <v>469.99</v>
      </c>
      <c r="F2636" s="1">
        <v>0.1</v>
      </c>
      <c r="G2636">
        <v>469.99</v>
      </c>
      <c r="H2636" s="22">
        <f>VLOOKUP(A2636,[1]Orders!$A$2:$B$1616,2,0)</f>
        <v>42886</v>
      </c>
      <c r="J2636" t="s">
        <v>32</v>
      </c>
      <c r="K2636" t="s">
        <v>18</v>
      </c>
    </row>
    <row r="2637" spans="1:11" x14ac:dyDescent="0.3">
      <c r="A2637">
        <v>924</v>
      </c>
      <c r="B2637">
        <v>1</v>
      </c>
      <c r="C2637">
        <v>97</v>
      </c>
      <c r="D2637">
        <v>2</v>
      </c>
      <c r="E2637" s="1">
        <v>349.99</v>
      </c>
      <c r="F2637" s="1">
        <v>0.2</v>
      </c>
      <c r="G2637">
        <v>699.98</v>
      </c>
      <c r="H2637" s="22">
        <f>VLOOKUP(A2637,[1]Orders!$A$2:$B$1616,2,0)</f>
        <v>42888</v>
      </c>
      <c r="J2637" t="s">
        <v>55</v>
      </c>
      <c r="K2637" t="s">
        <v>37</v>
      </c>
    </row>
    <row r="2638" spans="1:11" x14ac:dyDescent="0.3">
      <c r="A2638">
        <v>924</v>
      </c>
      <c r="B2638">
        <v>2</v>
      </c>
      <c r="C2638">
        <v>36</v>
      </c>
      <c r="D2638">
        <v>1</v>
      </c>
      <c r="E2638" s="1">
        <v>832.99</v>
      </c>
      <c r="F2638" s="1">
        <v>0.2</v>
      </c>
      <c r="G2638">
        <v>832.99</v>
      </c>
      <c r="H2638" s="22">
        <f>VLOOKUP(A2638,[1]Orders!$A$2:$B$1616,2,0)</f>
        <v>42888</v>
      </c>
      <c r="J2638" t="s">
        <v>116</v>
      </c>
      <c r="K2638" t="s">
        <v>37</v>
      </c>
    </row>
    <row r="2639" spans="1:11" x14ac:dyDescent="0.3">
      <c r="A2639">
        <v>925</v>
      </c>
      <c r="B2639">
        <v>1</v>
      </c>
      <c r="C2639">
        <v>97</v>
      </c>
      <c r="D2639">
        <v>1</v>
      </c>
      <c r="E2639" s="1">
        <v>349.99</v>
      </c>
      <c r="F2639" s="1">
        <v>7.0000000000000007E-2</v>
      </c>
      <c r="G2639">
        <v>349.99</v>
      </c>
      <c r="H2639" s="22">
        <f>VLOOKUP(A2639,[1]Orders!$A$2:$B$1616,2,0)</f>
        <v>42888</v>
      </c>
      <c r="J2639" t="s">
        <v>55</v>
      </c>
      <c r="K2639" t="s">
        <v>18</v>
      </c>
    </row>
    <row r="2640" spans="1:11" x14ac:dyDescent="0.3">
      <c r="A2640">
        <v>925</v>
      </c>
      <c r="B2640">
        <v>2</v>
      </c>
      <c r="C2640">
        <v>62</v>
      </c>
      <c r="D2640">
        <v>2</v>
      </c>
      <c r="E2640" s="1">
        <v>3499.99</v>
      </c>
      <c r="F2640" s="1">
        <v>0.2</v>
      </c>
      <c r="G2640">
        <v>6999.98</v>
      </c>
      <c r="H2640" s="22">
        <f>VLOOKUP(A2640,[1]Orders!$A$2:$B$1616,2,0)</f>
        <v>42888</v>
      </c>
      <c r="J2640" t="s">
        <v>50</v>
      </c>
      <c r="K2640" t="s">
        <v>18</v>
      </c>
    </row>
    <row r="2641" spans="1:11" x14ac:dyDescent="0.3">
      <c r="A2641">
        <v>926</v>
      </c>
      <c r="B2641">
        <v>1</v>
      </c>
      <c r="C2641">
        <v>37</v>
      </c>
      <c r="D2641">
        <v>2</v>
      </c>
      <c r="E2641" s="1">
        <v>379.99</v>
      </c>
      <c r="F2641" s="1">
        <v>0.2</v>
      </c>
      <c r="G2641">
        <v>759.98</v>
      </c>
      <c r="H2641" s="22">
        <f>VLOOKUP(A2641,[1]Orders!$A$2:$B$1616,2,0)</f>
        <v>42889</v>
      </c>
      <c r="J2641" t="s">
        <v>98</v>
      </c>
      <c r="K2641" t="s">
        <v>11</v>
      </c>
    </row>
    <row r="2642" spans="1:11" x14ac:dyDescent="0.3">
      <c r="A2642">
        <v>927</v>
      </c>
      <c r="B2642">
        <v>1</v>
      </c>
      <c r="C2642">
        <v>74</v>
      </c>
      <c r="D2642">
        <v>2</v>
      </c>
      <c r="E2642" s="1">
        <v>439.99</v>
      </c>
      <c r="F2642" s="1">
        <v>0.1</v>
      </c>
      <c r="G2642">
        <v>879.98</v>
      </c>
      <c r="H2642" s="22">
        <f>VLOOKUP(A2642,[1]Orders!$A$2:$B$1616,2,0)</f>
        <v>42889</v>
      </c>
      <c r="J2642" t="s">
        <v>61</v>
      </c>
      <c r="K2642" t="s">
        <v>11</v>
      </c>
    </row>
    <row r="2643" spans="1:11" x14ac:dyDescent="0.3">
      <c r="A2643">
        <v>927</v>
      </c>
      <c r="B2643">
        <v>2</v>
      </c>
      <c r="C2643">
        <v>16</v>
      </c>
      <c r="D2643">
        <v>2</v>
      </c>
      <c r="E2643" s="1">
        <v>599.99</v>
      </c>
      <c r="F2643" s="1">
        <v>0.2</v>
      </c>
      <c r="G2643">
        <v>1199.98</v>
      </c>
      <c r="H2643" s="22">
        <f>VLOOKUP(A2643,[1]Orders!$A$2:$B$1616,2,0)</f>
        <v>42889</v>
      </c>
      <c r="J2643" t="s">
        <v>14</v>
      </c>
      <c r="K2643" t="s">
        <v>11</v>
      </c>
    </row>
    <row r="2644" spans="1:11" x14ac:dyDescent="0.3">
      <c r="A2644">
        <v>927</v>
      </c>
      <c r="B2644">
        <v>3</v>
      </c>
      <c r="C2644">
        <v>50</v>
      </c>
      <c r="D2644">
        <v>1</v>
      </c>
      <c r="E2644" s="1">
        <v>5999.99</v>
      </c>
      <c r="F2644" s="1">
        <v>0.1</v>
      </c>
      <c r="G2644">
        <v>5999.99</v>
      </c>
      <c r="H2644" s="22">
        <f>VLOOKUP(A2644,[1]Orders!$A$2:$B$1616,2,0)</f>
        <v>42889</v>
      </c>
      <c r="J2644" t="s">
        <v>79</v>
      </c>
      <c r="K2644" t="s">
        <v>11</v>
      </c>
    </row>
    <row r="2645" spans="1:11" x14ac:dyDescent="0.3">
      <c r="A2645">
        <v>927</v>
      </c>
      <c r="B2645">
        <v>4</v>
      </c>
      <c r="C2645">
        <v>3</v>
      </c>
      <c r="D2645">
        <v>1</v>
      </c>
      <c r="E2645" s="1">
        <v>999.99</v>
      </c>
      <c r="F2645" s="1">
        <v>0.1</v>
      </c>
      <c r="G2645">
        <v>999.99</v>
      </c>
      <c r="H2645" s="22">
        <f>VLOOKUP(A2645,[1]Orders!$A$2:$B$1616,2,0)</f>
        <v>42889</v>
      </c>
      <c r="J2645" t="s">
        <v>20</v>
      </c>
      <c r="K2645" t="s">
        <v>11</v>
      </c>
    </row>
    <row r="2646" spans="1:11" x14ac:dyDescent="0.3">
      <c r="A2646">
        <v>927</v>
      </c>
      <c r="B2646">
        <v>5</v>
      </c>
      <c r="C2646">
        <v>43</v>
      </c>
      <c r="D2646">
        <v>1</v>
      </c>
      <c r="E2646" s="1">
        <v>5299.99</v>
      </c>
      <c r="F2646" s="1">
        <v>7.0000000000000007E-2</v>
      </c>
      <c r="G2646">
        <v>5299.99</v>
      </c>
      <c r="H2646" s="22">
        <f>VLOOKUP(A2646,[1]Orders!$A$2:$B$1616,2,0)</f>
        <v>42889</v>
      </c>
      <c r="J2646" t="s">
        <v>62</v>
      </c>
      <c r="K2646" t="s">
        <v>11</v>
      </c>
    </row>
    <row r="2647" spans="1:11" x14ac:dyDescent="0.3">
      <c r="A2647">
        <v>928</v>
      </c>
      <c r="B2647">
        <v>1</v>
      </c>
      <c r="C2647">
        <v>71</v>
      </c>
      <c r="D2647">
        <v>2</v>
      </c>
      <c r="E2647" s="1">
        <v>416.99</v>
      </c>
      <c r="F2647" s="1">
        <v>0.05</v>
      </c>
      <c r="G2647">
        <v>833.98</v>
      </c>
      <c r="H2647" s="22">
        <f>VLOOKUP(A2647,[1]Orders!$A$2:$B$1616,2,0)</f>
        <v>42891</v>
      </c>
      <c r="J2647" t="s">
        <v>78</v>
      </c>
      <c r="K2647" t="s">
        <v>11</v>
      </c>
    </row>
    <row r="2648" spans="1:11" x14ac:dyDescent="0.3">
      <c r="A2648">
        <v>928</v>
      </c>
      <c r="B2648">
        <v>2</v>
      </c>
      <c r="C2648">
        <v>83</v>
      </c>
      <c r="D2648">
        <v>1</v>
      </c>
      <c r="E2648" s="1">
        <v>149.99</v>
      </c>
      <c r="F2648" s="1">
        <v>0.2</v>
      </c>
      <c r="G2648">
        <v>149.99</v>
      </c>
      <c r="H2648" s="22">
        <f>VLOOKUP(A2648,[1]Orders!$A$2:$B$1616,2,0)</f>
        <v>42891</v>
      </c>
      <c r="J2648" t="s">
        <v>66</v>
      </c>
      <c r="K2648" t="s">
        <v>11</v>
      </c>
    </row>
    <row r="2649" spans="1:11" x14ac:dyDescent="0.3">
      <c r="A2649">
        <v>929</v>
      </c>
      <c r="B2649">
        <v>1</v>
      </c>
      <c r="C2649">
        <v>82</v>
      </c>
      <c r="D2649">
        <v>1</v>
      </c>
      <c r="E2649" s="1">
        <v>659.99</v>
      </c>
      <c r="F2649" s="1">
        <v>0.2</v>
      </c>
      <c r="G2649">
        <v>659.99</v>
      </c>
      <c r="H2649" s="22">
        <f>VLOOKUP(A2649,[1]Orders!$A$2:$B$1616,2,0)</f>
        <v>42891</v>
      </c>
      <c r="J2649" t="s">
        <v>100</v>
      </c>
      <c r="K2649" t="s">
        <v>18</v>
      </c>
    </row>
    <row r="2650" spans="1:11" x14ac:dyDescent="0.3">
      <c r="A2650">
        <v>929</v>
      </c>
      <c r="B2650">
        <v>2</v>
      </c>
      <c r="C2650">
        <v>63</v>
      </c>
      <c r="D2650">
        <v>2</v>
      </c>
      <c r="E2650" s="1">
        <v>3499.99</v>
      </c>
      <c r="F2650" s="1">
        <v>0.1</v>
      </c>
      <c r="G2650">
        <v>6999.98</v>
      </c>
      <c r="H2650" s="22">
        <f>VLOOKUP(A2650,[1]Orders!$A$2:$B$1616,2,0)</f>
        <v>42891</v>
      </c>
      <c r="J2650" t="s">
        <v>75</v>
      </c>
      <c r="K2650" t="s">
        <v>18</v>
      </c>
    </row>
    <row r="2651" spans="1:11" x14ac:dyDescent="0.3">
      <c r="A2651">
        <v>929</v>
      </c>
      <c r="B2651">
        <v>3</v>
      </c>
      <c r="C2651">
        <v>24</v>
      </c>
      <c r="D2651">
        <v>1</v>
      </c>
      <c r="E2651" s="1">
        <v>549.99</v>
      </c>
      <c r="F2651" s="1">
        <v>0.05</v>
      </c>
      <c r="G2651">
        <v>549.99</v>
      </c>
      <c r="H2651" s="22">
        <f>VLOOKUP(A2651,[1]Orders!$A$2:$B$1616,2,0)</f>
        <v>42891</v>
      </c>
      <c r="J2651" t="s">
        <v>25</v>
      </c>
      <c r="K2651" t="s">
        <v>18</v>
      </c>
    </row>
    <row r="2652" spans="1:11" x14ac:dyDescent="0.3">
      <c r="A2652">
        <v>930</v>
      </c>
      <c r="B2652">
        <v>1</v>
      </c>
      <c r="C2652">
        <v>56</v>
      </c>
      <c r="D2652">
        <v>2</v>
      </c>
      <c r="E2652" s="1">
        <v>5499.99</v>
      </c>
      <c r="F2652" s="1">
        <v>7.0000000000000007E-2</v>
      </c>
      <c r="G2652">
        <v>10999.98</v>
      </c>
      <c r="H2652" s="22">
        <f>VLOOKUP(A2652,[1]Orders!$A$2:$B$1616,2,0)</f>
        <v>42891</v>
      </c>
      <c r="J2652" t="s">
        <v>41</v>
      </c>
      <c r="K2652" t="s">
        <v>37</v>
      </c>
    </row>
    <row r="2653" spans="1:11" x14ac:dyDescent="0.3">
      <c r="A2653">
        <v>930</v>
      </c>
      <c r="B2653">
        <v>2</v>
      </c>
      <c r="C2653">
        <v>82</v>
      </c>
      <c r="D2653">
        <v>1</v>
      </c>
      <c r="E2653" s="1">
        <v>659.99</v>
      </c>
      <c r="F2653" s="1">
        <v>7.0000000000000007E-2</v>
      </c>
      <c r="G2653">
        <v>659.99</v>
      </c>
      <c r="H2653" s="22">
        <f>VLOOKUP(A2653,[1]Orders!$A$2:$B$1616,2,0)</f>
        <v>42891</v>
      </c>
      <c r="J2653" t="s">
        <v>100</v>
      </c>
      <c r="K2653" t="s">
        <v>37</v>
      </c>
    </row>
    <row r="2654" spans="1:11" x14ac:dyDescent="0.3">
      <c r="A2654">
        <v>930</v>
      </c>
      <c r="B2654">
        <v>3</v>
      </c>
      <c r="C2654">
        <v>60</v>
      </c>
      <c r="D2654">
        <v>1</v>
      </c>
      <c r="E2654" s="1">
        <v>1559.99</v>
      </c>
      <c r="F2654" s="1">
        <v>0.1</v>
      </c>
      <c r="G2654">
        <v>1559.99</v>
      </c>
      <c r="H2654" s="22">
        <f>VLOOKUP(A2654,[1]Orders!$A$2:$B$1616,2,0)</f>
        <v>42891</v>
      </c>
      <c r="J2654" t="s">
        <v>101</v>
      </c>
      <c r="K2654" t="s">
        <v>37</v>
      </c>
    </row>
    <row r="2655" spans="1:11" x14ac:dyDescent="0.3">
      <c r="A2655">
        <v>930</v>
      </c>
      <c r="B2655">
        <v>4</v>
      </c>
      <c r="C2655">
        <v>65</v>
      </c>
      <c r="D2655">
        <v>2</v>
      </c>
      <c r="E2655" s="1">
        <v>346.99</v>
      </c>
      <c r="F2655" s="1">
        <v>0.05</v>
      </c>
      <c r="G2655">
        <v>693.98</v>
      </c>
      <c r="H2655" s="22">
        <f>VLOOKUP(A2655,[1]Orders!$A$2:$B$1616,2,0)</f>
        <v>42891</v>
      </c>
      <c r="J2655" t="s">
        <v>114</v>
      </c>
      <c r="K2655" t="s">
        <v>37</v>
      </c>
    </row>
    <row r="2656" spans="1:11" x14ac:dyDescent="0.3">
      <c r="A2656">
        <v>930</v>
      </c>
      <c r="B2656">
        <v>5</v>
      </c>
      <c r="C2656">
        <v>51</v>
      </c>
      <c r="D2656">
        <v>2</v>
      </c>
      <c r="E2656" s="1">
        <v>6499.99</v>
      </c>
      <c r="F2656" s="1">
        <v>0.1</v>
      </c>
      <c r="G2656">
        <v>12999.98</v>
      </c>
      <c r="H2656" s="22">
        <f>VLOOKUP(A2656,[1]Orders!$A$2:$B$1616,2,0)</f>
        <v>42891</v>
      </c>
      <c r="J2656" t="s">
        <v>90</v>
      </c>
      <c r="K2656" t="s">
        <v>37</v>
      </c>
    </row>
    <row r="2657" spans="1:11" x14ac:dyDescent="0.3">
      <c r="A2657">
        <v>931</v>
      </c>
      <c r="B2657">
        <v>1</v>
      </c>
      <c r="C2657">
        <v>49</v>
      </c>
      <c r="D2657">
        <v>2</v>
      </c>
      <c r="E2657" s="1">
        <v>3499.99</v>
      </c>
      <c r="F2657" s="1">
        <v>7.0000000000000007E-2</v>
      </c>
      <c r="G2657">
        <v>6999.98</v>
      </c>
      <c r="H2657" s="22">
        <f>VLOOKUP(A2657,[1]Orders!$A$2:$B$1616,2,0)</f>
        <v>42893</v>
      </c>
      <c r="J2657" t="s">
        <v>70</v>
      </c>
      <c r="K2657" t="s">
        <v>18</v>
      </c>
    </row>
    <row r="2658" spans="1:11" x14ac:dyDescent="0.3">
      <c r="A2658">
        <v>931</v>
      </c>
      <c r="B2658">
        <v>2</v>
      </c>
      <c r="C2658">
        <v>76</v>
      </c>
      <c r="D2658">
        <v>1</v>
      </c>
      <c r="E2658" s="1">
        <v>299.99</v>
      </c>
      <c r="F2658" s="1">
        <v>0.2</v>
      </c>
      <c r="G2658">
        <v>299.99</v>
      </c>
      <c r="H2658" s="22">
        <f>VLOOKUP(A2658,[1]Orders!$A$2:$B$1616,2,0)</f>
        <v>42893</v>
      </c>
      <c r="J2658" t="s">
        <v>48</v>
      </c>
      <c r="K2658" t="s">
        <v>18</v>
      </c>
    </row>
    <row r="2659" spans="1:11" x14ac:dyDescent="0.3">
      <c r="A2659">
        <v>932</v>
      </c>
      <c r="B2659">
        <v>1</v>
      </c>
      <c r="C2659">
        <v>74</v>
      </c>
      <c r="D2659">
        <v>1</v>
      </c>
      <c r="E2659" s="1">
        <v>439.99</v>
      </c>
      <c r="F2659" s="1">
        <v>0.05</v>
      </c>
      <c r="G2659">
        <v>439.99</v>
      </c>
      <c r="H2659" s="22">
        <f>VLOOKUP(A2659,[1]Orders!$A$2:$B$1616,2,0)</f>
        <v>42893</v>
      </c>
      <c r="J2659" t="s">
        <v>61</v>
      </c>
      <c r="K2659" t="s">
        <v>18</v>
      </c>
    </row>
    <row r="2660" spans="1:11" x14ac:dyDescent="0.3">
      <c r="A2660">
        <v>933</v>
      </c>
      <c r="B2660">
        <v>1</v>
      </c>
      <c r="C2660">
        <v>77</v>
      </c>
      <c r="D2660">
        <v>1</v>
      </c>
      <c r="E2660" s="1">
        <v>799.99</v>
      </c>
      <c r="F2660" s="1">
        <v>7.0000000000000007E-2</v>
      </c>
      <c r="G2660">
        <v>799.99</v>
      </c>
      <c r="H2660" s="22">
        <f>VLOOKUP(A2660,[1]Orders!$A$2:$B$1616,2,0)</f>
        <v>42893</v>
      </c>
      <c r="J2660" t="s">
        <v>113</v>
      </c>
      <c r="K2660" t="s">
        <v>18</v>
      </c>
    </row>
    <row r="2661" spans="1:11" x14ac:dyDescent="0.3">
      <c r="A2661">
        <v>933</v>
      </c>
      <c r="B2661">
        <v>2</v>
      </c>
      <c r="C2661">
        <v>21</v>
      </c>
      <c r="D2661">
        <v>1</v>
      </c>
      <c r="E2661" s="1">
        <v>269.99</v>
      </c>
      <c r="F2661" s="1">
        <v>0.2</v>
      </c>
      <c r="G2661">
        <v>269.99</v>
      </c>
      <c r="H2661" s="22">
        <f>VLOOKUP(A2661,[1]Orders!$A$2:$B$1616,2,0)</f>
        <v>42893</v>
      </c>
      <c r="J2661" t="s">
        <v>31</v>
      </c>
      <c r="K2661" t="s">
        <v>18</v>
      </c>
    </row>
    <row r="2662" spans="1:11" x14ac:dyDescent="0.3">
      <c r="A2662">
        <v>933</v>
      </c>
      <c r="B2662">
        <v>3</v>
      </c>
      <c r="C2662">
        <v>75</v>
      </c>
      <c r="D2662">
        <v>2</v>
      </c>
      <c r="E2662" s="1">
        <v>599.99</v>
      </c>
      <c r="F2662" s="1">
        <v>0.05</v>
      </c>
      <c r="G2662">
        <v>1199.98</v>
      </c>
      <c r="H2662" s="22">
        <f>VLOOKUP(A2662,[1]Orders!$A$2:$B$1616,2,0)</f>
        <v>42893</v>
      </c>
      <c r="J2662" t="s">
        <v>95</v>
      </c>
      <c r="K2662" t="s">
        <v>18</v>
      </c>
    </row>
    <row r="2663" spans="1:11" x14ac:dyDescent="0.3">
      <c r="A2663">
        <v>934</v>
      </c>
      <c r="B2663">
        <v>1</v>
      </c>
      <c r="C2663">
        <v>35</v>
      </c>
      <c r="D2663">
        <v>2</v>
      </c>
      <c r="E2663" s="1">
        <v>832.99</v>
      </c>
      <c r="F2663" s="1">
        <v>0.05</v>
      </c>
      <c r="G2663">
        <v>1665.98</v>
      </c>
      <c r="H2663" s="22">
        <f>VLOOKUP(A2663,[1]Orders!$A$2:$B$1616,2,0)</f>
        <v>42895</v>
      </c>
      <c r="J2663" t="s">
        <v>109</v>
      </c>
      <c r="K2663" t="s">
        <v>18</v>
      </c>
    </row>
    <row r="2664" spans="1:11" x14ac:dyDescent="0.3">
      <c r="A2664">
        <v>934</v>
      </c>
      <c r="B2664">
        <v>2</v>
      </c>
      <c r="C2664">
        <v>48</v>
      </c>
      <c r="D2664">
        <v>1</v>
      </c>
      <c r="E2664" s="1">
        <v>1499.99</v>
      </c>
      <c r="F2664" s="1">
        <v>0.05</v>
      </c>
      <c r="G2664">
        <v>1499.99</v>
      </c>
      <c r="H2664" s="22">
        <f>VLOOKUP(A2664,[1]Orders!$A$2:$B$1616,2,0)</f>
        <v>42895</v>
      </c>
      <c r="J2664" t="s">
        <v>84</v>
      </c>
      <c r="K2664" t="s">
        <v>18</v>
      </c>
    </row>
    <row r="2665" spans="1:11" x14ac:dyDescent="0.3">
      <c r="A2665">
        <v>934</v>
      </c>
      <c r="B2665">
        <v>3</v>
      </c>
      <c r="C2665">
        <v>18</v>
      </c>
      <c r="D2665">
        <v>1</v>
      </c>
      <c r="E2665" s="1">
        <v>449</v>
      </c>
      <c r="F2665" s="1">
        <v>0.1</v>
      </c>
      <c r="G2665">
        <v>449</v>
      </c>
      <c r="H2665" s="22">
        <f>VLOOKUP(A2665,[1]Orders!$A$2:$B$1616,2,0)</f>
        <v>42895</v>
      </c>
      <c r="J2665" t="s">
        <v>24</v>
      </c>
      <c r="K2665" t="s">
        <v>18</v>
      </c>
    </row>
    <row r="2666" spans="1:11" x14ac:dyDescent="0.3">
      <c r="A2666">
        <v>934</v>
      </c>
      <c r="B2666">
        <v>4</v>
      </c>
      <c r="C2666">
        <v>61</v>
      </c>
      <c r="D2666">
        <v>1</v>
      </c>
      <c r="E2666" s="1">
        <v>4999.99</v>
      </c>
      <c r="F2666" s="1">
        <v>7.0000000000000007E-2</v>
      </c>
      <c r="G2666">
        <v>4999.99</v>
      </c>
      <c r="H2666" s="22">
        <f>VLOOKUP(A2666,[1]Orders!$A$2:$B$1616,2,0)</f>
        <v>42895</v>
      </c>
      <c r="J2666" t="s">
        <v>45</v>
      </c>
      <c r="K2666" t="s">
        <v>18</v>
      </c>
    </row>
    <row r="2667" spans="1:11" x14ac:dyDescent="0.3">
      <c r="A2667">
        <v>934</v>
      </c>
      <c r="B2667">
        <v>5</v>
      </c>
      <c r="C2667">
        <v>56</v>
      </c>
      <c r="D2667">
        <v>2</v>
      </c>
      <c r="E2667" s="1">
        <v>5499.99</v>
      </c>
      <c r="F2667" s="1">
        <v>0.2</v>
      </c>
      <c r="G2667">
        <v>10999.98</v>
      </c>
      <c r="H2667" s="22">
        <f>VLOOKUP(A2667,[1]Orders!$A$2:$B$1616,2,0)</f>
        <v>42895</v>
      </c>
      <c r="J2667" t="s">
        <v>41</v>
      </c>
      <c r="K2667" t="s">
        <v>18</v>
      </c>
    </row>
    <row r="2668" spans="1:11" x14ac:dyDescent="0.3">
      <c r="A2668">
        <v>935</v>
      </c>
      <c r="B2668">
        <v>1</v>
      </c>
      <c r="C2668">
        <v>65</v>
      </c>
      <c r="D2668">
        <v>2</v>
      </c>
      <c r="E2668" s="1">
        <v>346.99</v>
      </c>
      <c r="F2668" s="1">
        <v>0.2</v>
      </c>
      <c r="G2668">
        <v>693.98</v>
      </c>
      <c r="H2668" s="22">
        <f>VLOOKUP(A2668,[1]Orders!$A$2:$B$1616,2,0)</f>
        <v>42896</v>
      </c>
      <c r="J2668" t="s">
        <v>114</v>
      </c>
      <c r="K2668" t="s">
        <v>37</v>
      </c>
    </row>
    <row r="2669" spans="1:11" x14ac:dyDescent="0.3">
      <c r="A2669">
        <v>935</v>
      </c>
      <c r="B2669">
        <v>2</v>
      </c>
      <c r="C2669">
        <v>76</v>
      </c>
      <c r="D2669">
        <v>2</v>
      </c>
      <c r="E2669" s="1">
        <v>299.99</v>
      </c>
      <c r="F2669" s="1">
        <v>7.0000000000000007E-2</v>
      </c>
      <c r="G2669">
        <v>599.98</v>
      </c>
      <c r="H2669" s="22">
        <f>VLOOKUP(A2669,[1]Orders!$A$2:$B$1616,2,0)</f>
        <v>42896</v>
      </c>
      <c r="J2669" t="s">
        <v>48</v>
      </c>
      <c r="K2669" t="s">
        <v>37</v>
      </c>
    </row>
    <row r="2670" spans="1:11" x14ac:dyDescent="0.3">
      <c r="A2670">
        <v>935</v>
      </c>
      <c r="B2670">
        <v>3</v>
      </c>
      <c r="C2670">
        <v>6</v>
      </c>
      <c r="D2670">
        <v>1</v>
      </c>
      <c r="E2670" s="1">
        <v>469.99</v>
      </c>
      <c r="F2670" s="1">
        <v>7.0000000000000007E-2</v>
      </c>
      <c r="G2670">
        <v>469.99</v>
      </c>
      <c r="H2670" s="22">
        <f>VLOOKUP(A2670,[1]Orders!$A$2:$B$1616,2,0)</f>
        <v>42896</v>
      </c>
      <c r="J2670" t="s">
        <v>32</v>
      </c>
      <c r="K2670" t="s">
        <v>37</v>
      </c>
    </row>
    <row r="2671" spans="1:11" x14ac:dyDescent="0.3">
      <c r="A2671">
        <v>935</v>
      </c>
      <c r="B2671">
        <v>4</v>
      </c>
      <c r="C2671">
        <v>38</v>
      </c>
      <c r="D2671">
        <v>1</v>
      </c>
      <c r="E2671" s="1">
        <v>549.99</v>
      </c>
      <c r="F2671" s="1">
        <v>7.0000000000000007E-2</v>
      </c>
      <c r="G2671">
        <v>549.99</v>
      </c>
      <c r="H2671" s="22">
        <f>VLOOKUP(A2671,[1]Orders!$A$2:$B$1616,2,0)</f>
        <v>42896</v>
      </c>
      <c r="J2671" t="s">
        <v>93</v>
      </c>
      <c r="K2671" t="s">
        <v>37</v>
      </c>
    </row>
    <row r="2672" spans="1:11" x14ac:dyDescent="0.3">
      <c r="A2672">
        <v>936</v>
      </c>
      <c r="B2672">
        <v>1</v>
      </c>
      <c r="C2672">
        <v>70</v>
      </c>
      <c r="D2672">
        <v>1</v>
      </c>
      <c r="E2672" s="1">
        <v>659.99</v>
      </c>
      <c r="F2672" s="1">
        <v>0.1</v>
      </c>
      <c r="G2672">
        <v>659.99</v>
      </c>
      <c r="H2672" s="22">
        <f>VLOOKUP(A2672,[1]Orders!$A$2:$B$1616,2,0)</f>
        <v>42896</v>
      </c>
      <c r="J2672" t="s">
        <v>73</v>
      </c>
      <c r="K2672" t="s">
        <v>18</v>
      </c>
    </row>
    <row r="2673" spans="1:11" x14ac:dyDescent="0.3">
      <c r="A2673">
        <v>936</v>
      </c>
      <c r="B2673">
        <v>2</v>
      </c>
      <c r="C2673">
        <v>44</v>
      </c>
      <c r="D2673">
        <v>1</v>
      </c>
      <c r="E2673" s="1">
        <v>539.99</v>
      </c>
      <c r="F2673" s="1">
        <v>7.0000000000000007E-2</v>
      </c>
      <c r="G2673">
        <v>539.99</v>
      </c>
      <c r="H2673" s="22">
        <f>VLOOKUP(A2673,[1]Orders!$A$2:$B$1616,2,0)</f>
        <v>42896</v>
      </c>
      <c r="J2673" t="s">
        <v>108</v>
      </c>
      <c r="K2673" t="s">
        <v>18</v>
      </c>
    </row>
    <row r="2674" spans="1:11" x14ac:dyDescent="0.3">
      <c r="A2674">
        <v>937</v>
      </c>
      <c r="B2674">
        <v>1</v>
      </c>
      <c r="C2674">
        <v>108</v>
      </c>
      <c r="D2674">
        <v>2</v>
      </c>
      <c r="E2674" s="1">
        <v>449.99</v>
      </c>
      <c r="F2674" s="1">
        <v>0.1</v>
      </c>
      <c r="G2674">
        <v>899.98</v>
      </c>
      <c r="H2674" s="22">
        <f>VLOOKUP(A2674,[1]Orders!$A$2:$B$1616,2,0)</f>
        <v>42897</v>
      </c>
      <c r="J2674" t="s">
        <v>85</v>
      </c>
      <c r="K2674" t="s">
        <v>18</v>
      </c>
    </row>
    <row r="2675" spans="1:11" x14ac:dyDescent="0.3">
      <c r="A2675">
        <v>937</v>
      </c>
      <c r="B2675">
        <v>2</v>
      </c>
      <c r="C2675">
        <v>51</v>
      </c>
      <c r="D2675">
        <v>2</v>
      </c>
      <c r="E2675" s="1">
        <v>6499.99</v>
      </c>
      <c r="F2675" s="1">
        <v>7.0000000000000007E-2</v>
      </c>
      <c r="G2675">
        <v>12999.98</v>
      </c>
      <c r="H2675" s="22">
        <f>VLOOKUP(A2675,[1]Orders!$A$2:$B$1616,2,0)</f>
        <v>42897</v>
      </c>
      <c r="J2675" t="s">
        <v>90</v>
      </c>
      <c r="K2675" t="s">
        <v>18</v>
      </c>
    </row>
    <row r="2676" spans="1:11" x14ac:dyDescent="0.3">
      <c r="A2676">
        <v>937</v>
      </c>
      <c r="B2676">
        <v>3</v>
      </c>
      <c r="C2676">
        <v>58</v>
      </c>
      <c r="D2676">
        <v>2</v>
      </c>
      <c r="E2676" s="1">
        <v>4999.99</v>
      </c>
      <c r="F2676" s="1">
        <v>7.0000000000000007E-2</v>
      </c>
      <c r="G2676">
        <v>9999.98</v>
      </c>
      <c r="H2676" s="22">
        <f>VLOOKUP(A2676,[1]Orders!$A$2:$B$1616,2,0)</f>
        <v>42897</v>
      </c>
      <c r="J2676" t="s">
        <v>81</v>
      </c>
      <c r="K2676" t="s">
        <v>18</v>
      </c>
    </row>
    <row r="2677" spans="1:11" x14ac:dyDescent="0.3">
      <c r="A2677">
        <v>937</v>
      </c>
      <c r="B2677">
        <v>4</v>
      </c>
      <c r="C2677">
        <v>28</v>
      </c>
      <c r="D2677">
        <v>2</v>
      </c>
      <c r="E2677" s="1">
        <v>2499.9899999999998</v>
      </c>
      <c r="F2677" s="1">
        <v>7.0000000000000007E-2</v>
      </c>
      <c r="G2677">
        <v>4999.9799999999996</v>
      </c>
      <c r="H2677" s="22">
        <f>VLOOKUP(A2677,[1]Orders!$A$2:$B$1616,2,0)</f>
        <v>42897</v>
      </c>
      <c r="J2677" t="s">
        <v>86</v>
      </c>
      <c r="K2677" t="s">
        <v>18</v>
      </c>
    </row>
    <row r="2678" spans="1:11" x14ac:dyDescent="0.3">
      <c r="A2678">
        <v>937</v>
      </c>
      <c r="B2678">
        <v>5</v>
      </c>
      <c r="C2678">
        <v>66</v>
      </c>
      <c r="D2678">
        <v>1</v>
      </c>
      <c r="E2678" s="1">
        <v>250.99</v>
      </c>
      <c r="F2678" s="1">
        <v>0.2</v>
      </c>
      <c r="G2678">
        <v>250.99</v>
      </c>
      <c r="H2678" s="22">
        <f>VLOOKUP(A2678,[1]Orders!$A$2:$B$1616,2,0)</f>
        <v>42897</v>
      </c>
      <c r="J2678" t="s">
        <v>92</v>
      </c>
      <c r="K2678" t="s">
        <v>18</v>
      </c>
    </row>
    <row r="2679" spans="1:11" x14ac:dyDescent="0.3">
      <c r="A2679">
        <v>938</v>
      </c>
      <c r="B2679">
        <v>1</v>
      </c>
      <c r="C2679">
        <v>4</v>
      </c>
      <c r="D2679">
        <v>1</v>
      </c>
      <c r="E2679" s="1">
        <v>2899.99</v>
      </c>
      <c r="F2679" s="1">
        <v>0.05</v>
      </c>
      <c r="G2679">
        <v>2899.99</v>
      </c>
      <c r="H2679" s="22">
        <f>VLOOKUP(A2679,[1]Orders!$A$2:$B$1616,2,0)</f>
        <v>42897</v>
      </c>
      <c r="J2679" t="s">
        <v>16</v>
      </c>
      <c r="K2679" t="s">
        <v>18</v>
      </c>
    </row>
    <row r="2680" spans="1:11" x14ac:dyDescent="0.3">
      <c r="A2680">
        <v>938</v>
      </c>
      <c r="B2680">
        <v>2</v>
      </c>
      <c r="C2680">
        <v>13</v>
      </c>
      <c r="D2680">
        <v>1</v>
      </c>
      <c r="E2680" s="1">
        <v>269.99</v>
      </c>
      <c r="F2680" s="1">
        <v>0.05</v>
      </c>
      <c r="G2680">
        <v>269.99</v>
      </c>
      <c r="H2680" s="22">
        <f>VLOOKUP(A2680,[1]Orders!$A$2:$B$1616,2,0)</f>
        <v>42897</v>
      </c>
      <c r="J2680" t="s">
        <v>31</v>
      </c>
      <c r="K2680" t="s">
        <v>18</v>
      </c>
    </row>
    <row r="2681" spans="1:11" x14ac:dyDescent="0.3">
      <c r="A2681">
        <v>939</v>
      </c>
      <c r="B2681">
        <v>1</v>
      </c>
      <c r="C2681">
        <v>5</v>
      </c>
      <c r="D2681">
        <v>1</v>
      </c>
      <c r="E2681" s="1">
        <v>1320.99</v>
      </c>
      <c r="F2681" s="1">
        <v>0.1</v>
      </c>
      <c r="G2681">
        <v>1320.99</v>
      </c>
      <c r="H2681" s="22">
        <f>VLOOKUP(A2681,[1]Orders!$A$2:$B$1616,2,0)</f>
        <v>42897</v>
      </c>
      <c r="J2681" t="s">
        <v>34</v>
      </c>
      <c r="K2681" t="s">
        <v>18</v>
      </c>
    </row>
    <row r="2682" spans="1:11" x14ac:dyDescent="0.3">
      <c r="A2682">
        <v>939</v>
      </c>
      <c r="B2682">
        <v>2</v>
      </c>
      <c r="C2682">
        <v>107</v>
      </c>
      <c r="D2682">
        <v>2</v>
      </c>
      <c r="E2682" s="1">
        <v>416.99</v>
      </c>
      <c r="F2682" s="1">
        <v>0.2</v>
      </c>
      <c r="G2682">
        <v>833.98</v>
      </c>
      <c r="H2682" s="22">
        <f>VLOOKUP(A2682,[1]Orders!$A$2:$B$1616,2,0)</f>
        <v>42897</v>
      </c>
      <c r="J2682" t="s">
        <v>89</v>
      </c>
      <c r="K2682" t="s">
        <v>18</v>
      </c>
    </row>
    <row r="2683" spans="1:11" x14ac:dyDescent="0.3">
      <c r="A2683">
        <v>940</v>
      </c>
      <c r="B2683">
        <v>1</v>
      </c>
      <c r="C2683">
        <v>75</v>
      </c>
      <c r="D2683">
        <v>2</v>
      </c>
      <c r="E2683" s="1">
        <v>599.99</v>
      </c>
      <c r="F2683" s="1">
        <v>0.2</v>
      </c>
      <c r="G2683">
        <v>1199.98</v>
      </c>
      <c r="H2683" s="22">
        <f>VLOOKUP(A2683,[1]Orders!$A$2:$B$1616,2,0)</f>
        <v>42898</v>
      </c>
      <c r="J2683" t="s">
        <v>95</v>
      </c>
      <c r="K2683" t="s">
        <v>11</v>
      </c>
    </row>
    <row r="2684" spans="1:11" x14ac:dyDescent="0.3">
      <c r="A2684">
        <v>941</v>
      </c>
      <c r="B2684">
        <v>1</v>
      </c>
      <c r="C2684">
        <v>25</v>
      </c>
      <c r="D2684">
        <v>1</v>
      </c>
      <c r="E2684" s="1">
        <v>499.99</v>
      </c>
      <c r="F2684" s="1">
        <v>0.1</v>
      </c>
      <c r="G2684">
        <v>499.99</v>
      </c>
      <c r="H2684" s="22">
        <f>VLOOKUP(A2684,[1]Orders!$A$2:$B$1616,2,0)</f>
        <v>42898</v>
      </c>
      <c r="J2684" t="s">
        <v>35</v>
      </c>
      <c r="K2684" t="s">
        <v>11</v>
      </c>
    </row>
    <row r="2685" spans="1:11" x14ac:dyDescent="0.3">
      <c r="A2685">
        <v>941</v>
      </c>
      <c r="B2685">
        <v>2</v>
      </c>
      <c r="C2685">
        <v>102</v>
      </c>
      <c r="D2685">
        <v>2</v>
      </c>
      <c r="E2685" s="1">
        <v>489.99</v>
      </c>
      <c r="F2685" s="1">
        <v>0.05</v>
      </c>
      <c r="G2685">
        <v>979.98</v>
      </c>
      <c r="H2685" s="22">
        <f>VLOOKUP(A2685,[1]Orders!$A$2:$B$1616,2,0)</f>
        <v>42898</v>
      </c>
      <c r="J2685" t="s">
        <v>51</v>
      </c>
      <c r="K2685" t="s">
        <v>11</v>
      </c>
    </row>
    <row r="2686" spans="1:11" x14ac:dyDescent="0.3">
      <c r="A2686">
        <v>941</v>
      </c>
      <c r="B2686">
        <v>3</v>
      </c>
      <c r="C2686">
        <v>11</v>
      </c>
      <c r="D2686">
        <v>2</v>
      </c>
      <c r="E2686" s="1">
        <v>1680.99</v>
      </c>
      <c r="F2686" s="1">
        <v>7.0000000000000007E-2</v>
      </c>
      <c r="G2686">
        <v>3361.98</v>
      </c>
      <c r="H2686" s="22">
        <f>VLOOKUP(A2686,[1]Orders!$A$2:$B$1616,2,0)</f>
        <v>42898</v>
      </c>
      <c r="J2686" t="s">
        <v>30</v>
      </c>
      <c r="K2686" t="s">
        <v>11</v>
      </c>
    </row>
    <row r="2687" spans="1:11" x14ac:dyDescent="0.3">
      <c r="A2687">
        <v>942</v>
      </c>
      <c r="B2687">
        <v>1</v>
      </c>
      <c r="C2687">
        <v>98</v>
      </c>
      <c r="D2687">
        <v>2</v>
      </c>
      <c r="E2687" s="1">
        <v>489.99</v>
      </c>
      <c r="F2687" s="1">
        <v>0.05</v>
      </c>
      <c r="G2687">
        <v>979.98</v>
      </c>
      <c r="H2687" s="22">
        <f>VLOOKUP(A2687,[1]Orders!$A$2:$B$1616,2,0)</f>
        <v>42899</v>
      </c>
      <c r="J2687" t="s">
        <v>82</v>
      </c>
      <c r="K2687" t="s">
        <v>18</v>
      </c>
    </row>
    <row r="2688" spans="1:11" x14ac:dyDescent="0.3">
      <c r="A2688">
        <v>942</v>
      </c>
      <c r="B2688">
        <v>2</v>
      </c>
      <c r="C2688">
        <v>110</v>
      </c>
      <c r="D2688">
        <v>2</v>
      </c>
      <c r="E2688" s="1">
        <v>470.99</v>
      </c>
      <c r="F2688" s="1">
        <v>0.1</v>
      </c>
      <c r="G2688">
        <v>941.98</v>
      </c>
      <c r="H2688" s="22">
        <f>VLOOKUP(A2688,[1]Orders!$A$2:$B$1616,2,0)</f>
        <v>42899</v>
      </c>
      <c r="J2688" t="s">
        <v>65</v>
      </c>
      <c r="K2688" t="s">
        <v>18</v>
      </c>
    </row>
    <row r="2689" spans="1:11" x14ac:dyDescent="0.3">
      <c r="A2689">
        <v>942</v>
      </c>
      <c r="B2689">
        <v>3</v>
      </c>
      <c r="C2689">
        <v>35</v>
      </c>
      <c r="D2689">
        <v>2</v>
      </c>
      <c r="E2689" s="1">
        <v>832.99</v>
      </c>
      <c r="F2689" s="1">
        <v>7.0000000000000007E-2</v>
      </c>
      <c r="G2689">
        <v>1665.98</v>
      </c>
      <c r="H2689" s="22">
        <f>VLOOKUP(A2689,[1]Orders!$A$2:$B$1616,2,0)</f>
        <v>42899</v>
      </c>
      <c r="J2689" t="s">
        <v>109</v>
      </c>
      <c r="K2689" t="s">
        <v>18</v>
      </c>
    </row>
    <row r="2690" spans="1:11" x14ac:dyDescent="0.3">
      <c r="A2690">
        <v>942</v>
      </c>
      <c r="B2690">
        <v>4</v>
      </c>
      <c r="C2690">
        <v>103</v>
      </c>
      <c r="D2690">
        <v>1</v>
      </c>
      <c r="E2690" s="1">
        <v>551.99</v>
      </c>
      <c r="F2690" s="1">
        <v>0.05</v>
      </c>
      <c r="G2690">
        <v>551.99</v>
      </c>
      <c r="H2690" s="22">
        <f>VLOOKUP(A2690,[1]Orders!$A$2:$B$1616,2,0)</f>
        <v>42899</v>
      </c>
      <c r="J2690" t="s">
        <v>40</v>
      </c>
      <c r="K2690" t="s">
        <v>18</v>
      </c>
    </row>
    <row r="2691" spans="1:11" x14ac:dyDescent="0.3">
      <c r="A2691">
        <v>942</v>
      </c>
      <c r="B2691">
        <v>5</v>
      </c>
      <c r="C2691">
        <v>100</v>
      </c>
      <c r="D2691">
        <v>1</v>
      </c>
      <c r="E2691" s="1">
        <v>489.99</v>
      </c>
      <c r="F2691" s="1">
        <v>0.05</v>
      </c>
      <c r="G2691">
        <v>489.99</v>
      </c>
      <c r="H2691" s="22">
        <f>VLOOKUP(A2691,[1]Orders!$A$2:$B$1616,2,0)</f>
        <v>42899</v>
      </c>
      <c r="J2691" t="s">
        <v>105</v>
      </c>
      <c r="K2691" t="s">
        <v>18</v>
      </c>
    </row>
    <row r="2692" spans="1:11" x14ac:dyDescent="0.3">
      <c r="A2692">
        <v>943</v>
      </c>
      <c r="B2692">
        <v>1</v>
      </c>
      <c r="C2692">
        <v>25</v>
      </c>
      <c r="D2692">
        <v>1</v>
      </c>
      <c r="E2692" s="1">
        <v>499.99</v>
      </c>
      <c r="F2692" s="1">
        <v>0.2</v>
      </c>
      <c r="G2692">
        <v>499.99</v>
      </c>
      <c r="H2692" s="22">
        <f>VLOOKUP(A2692,[1]Orders!$A$2:$B$1616,2,0)</f>
        <v>42899</v>
      </c>
      <c r="J2692" t="s">
        <v>35</v>
      </c>
      <c r="K2692" t="s">
        <v>18</v>
      </c>
    </row>
    <row r="2693" spans="1:11" x14ac:dyDescent="0.3">
      <c r="A2693">
        <v>943</v>
      </c>
      <c r="B2693">
        <v>2</v>
      </c>
      <c r="C2693">
        <v>82</v>
      </c>
      <c r="D2693">
        <v>1</v>
      </c>
      <c r="E2693" s="1">
        <v>659.99</v>
      </c>
      <c r="F2693" s="1">
        <v>0.2</v>
      </c>
      <c r="G2693">
        <v>659.99</v>
      </c>
      <c r="H2693" s="22">
        <f>VLOOKUP(A2693,[1]Orders!$A$2:$B$1616,2,0)</f>
        <v>42899</v>
      </c>
      <c r="J2693" t="s">
        <v>100</v>
      </c>
      <c r="K2693" t="s">
        <v>18</v>
      </c>
    </row>
    <row r="2694" spans="1:11" x14ac:dyDescent="0.3">
      <c r="A2694">
        <v>944</v>
      </c>
      <c r="B2694">
        <v>1</v>
      </c>
      <c r="C2694">
        <v>29</v>
      </c>
      <c r="D2694">
        <v>2</v>
      </c>
      <c r="E2694" s="1">
        <v>999.99</v>
      </c>
      <c r="F2694" s="1">
        <v>7.0000000000000007E-2</v>
      </c>
      <c r="G2694">
        <v>1999.98</v>
      </c>
      <c r="H2694" s="22">
        <f>VLOOKUP(A2694,[1]Orders!$A$2:$B$1616,2,0)</f>
        <v>42900</v>
      </c>
      <c r="J2694" t="s">
        <v>71</v>
      </c>
      <c r="K2694" t="s">
        <v>11</v>
      </c>
    </row>
    <row r="2695" spans="1:11" x14ac:dyDescent="0.3">
      <c r="A2695">
        <v>944</v>
      </c>
      <c r="B2695">
        <v>2</v>
      </c>
      <c r="C2695">
        <v>16</v>
      </c>
      <c r="D2695">
        <v>2</v>
      </c>
      <c r="E2695" s="1">
        <v>599.99</v>
      </c>
      <c r="F2695" s="1">
        <v>0.1</v>
      </c>
      <c r="G2695">
        <v>1199.98</v>
      </c>
      <c r="H2695" s="22">
        <f>VLOOKUP(A2695,[1]Orders!$A$2:$B$1616,2,0)</f>
        <v>42900</v>
      </c>
      <c r="J2695" t="s">
        <v>14</v>
      </c>
      <c r="K2695" t="s">
        <v>11</v>
      </c>
    </row>
    <row r="2696" spans="1:11" x14ac:dyDescent="0.3">
      <c r="A2696">
        <v>944</v>
      </c>
      <c r="B2696">
        <v>3</v>
      </c>
      <c r="C2696">
        <v>70</v>
      </c>
      <c r="D2696">
        <v>2</v>
      </c>
      <c r="E2696" s="1">
        <v>659.99</v>
      </c>
      <c r="F2696" s="1">
        <v>0.2</v>
      </c>
      <c r="G2696">
        <v>1319.98</v>
      </c>
      <c r="H2696" s="22">
        <f>VLOOKUP(A2696,[1]Orders!$A$2:$B$1616,2,0)</f>
        <v>42900</v>
      </c>
      <c r="J2696" t="s">
        <v>73</v>
      </c>
      <c r="K2696" t="s">
        <v>11</v>
      </c>
    </row>
    <row r="2697" spans="1:11" x14ac:dyDescent="0.3">
      <c r="A2697">
        <v>944</v>
      </c>
      <c r="B2697">
        <v>4</v>
      </c>
      <c r="C2697">
        <v>85</v>
      </c>
      <c r="D2697">
        <v>2</v>
      </c>
      <c r="E2697" s="1">
        <v>329.99</v>
      </c>
      <c r="F2697" s="1">
        <v>0.2</v>
      </c>
      <c r="G2697">
        <v>659.98</v>
      </c>
      <c r="H2697" s="22">
        <f>VLOOKUP(A2697,[1]Orders!$A$2:$B$1616,2,0)</f>
        <v>42900</v>
      </c>
      <c r="J2697" t="s">
        <v>38</v>
      </c>
      <c r="K2697" t="s">
        <v>11</v>
      </c>
    </row>
    <row r="2698" spans="1:11" x14ac:dyDescent="0.3">
      <c r="A2698">
        <v>944</v>
      </c>
      <c r="B2698">
        <v>5</v>
      </c>
      <c r="C2698">
        <v>69</v>
      </c>
      <c r="D2698">
        <v>2</v>
      </c>
      <c r="E2698" s="1">
        <v>416.99</v>
      </c>
      <c r="F2698" s="1">
        <v>7.0000000000000007E-2</v>
      </c>
      <c r="G2698">
        <v>833.98</v>
      </c>
      <c r="H2698" s="22">
        <f>VLOOKUP(A2698,[1]Orders!$A$2:$B$1616,2,0)</f>
        <v>42900</v>
      </c>
      <c r="J2698" t="s">
        <v>89</v>
      </c>
      <c r="K2698" t="s">
        <v>11</v>
      </c>
    </row>
    <row r="2699" spans="1:11" x14ac:dyDescent="0.3">
      <c r="A2699">
        <v>945</v>
      </c>
      <c r="B2699">
        <v>1</v>
      </c>
      <c r="C2699">
        <v>105</v>
      </c>
      <c r="D2699">
        <v>1</v>
      </c>
      <c r="E2699" s="1">
        <v>533.99</v>
      </c>
      <c r="F2699" s="1">
        <v>0.05</v>
      </c>
      <c r="G2699">
        <v>533.99</v>
      </c>
      <c r="H2699" s="22">
        <f>VLOOKUP(A2699,[1]Orders!$A$2:$B$1616,2,0)</f>
        <v>42900</v>
      </c>
      <c r="J2699" t="s">
        <v>96</v>
      </c>
      <c r="K2699" t="s">
        <v>18</v>
      </c>
    </row>
    <row r="2700" spans="1:11" x14ac:dyDescent="0.3">
      <c r="A2700">
        <v>945</v>
      </c>
      <c r="B2700">
        <v>2</v>
      </c>
      <c r="C2700">
        <v>94</v>
      </c>
      <c r="D2700">
        <v>2</v>
      </c>
      <c r="E2700" s="1">
        <v>249.99</v>
      </c>
      <c r="F2700" s="1">
        <v>0.2</v>
      </c>
      <c r="G2700">
        <v>499.98</v>
      </c>
      <c r="H2700" s="22">
        <f>VLOOKUP(A2700,[1]Orders!$A$2:$B$1616,2,0)</f>
        <v>42900</v>
      </c>
      <c r="J2700" t="s">
        <v>59</v>
      </c>
      <c r="K2700" t="s">
        <v>18</v>
      </c>
    </row>
    <row r="2701" spans="1:11" x14ac:dyDescent="0.3">
      <c r="A2701">
        <v>945</v>
      </c>
      <c r="B2701">
        <v>3</v>
      </c>
      <c r="C2701">
        <v>34</v>
      </c>
      <c r="D2701">
        <v>2</v>
      </c>
      <c r="E2701" s="1">
        <v>469.99</v>
      </c>
      <c r="F2701" s="1">
        <v>0.05</v>
      </c>
      <c r="G2701">
        <v>939.98</v>
      </c>
      <c r="H2701" s="22">
        <f>VLOOKUP(A2701,[1]Orders!$A$2:$B$1616,2,0)</f>
        <v>42900</v>
      </c>
      <c r="J2701" t="s">
        <v>107</v>
      </c>
      <c r="K2701" t="s">
        <v>18</v>
      </c>
    </row>
    <row r="2702" spans="1:11" x14ac:dyDescent="0.3">
      <c r="A2702">
        <v>945</v>
      </c>
      <c r="B2702">
        <v>4</v>
      </c>
      <c r="C2702">
        <v>44</v>
      </c>
      <c r="D2702">
        <v>2</v>
      </c>
      <c r="E2702" s="1">
        <v>539.99</v>
      </c>
      <c r="F2702" s="1">
        <v>0.1</v>
      </c>
      <c r="G2702">
        <v>1079.98</v>
      </c>
      <c r="H2702" s="22">
        <f>VLOOKUP(A2702,[1]Orders!$A$2:$B$1616,2,0)</f>
        <v>42900</v>
      </c>
      <c r="J2702" t="s">
        <v>108</v>
      </c>
      <c r="K2702" t="s">
        <v>18</v>
      </c>
    </row>
    <row r="2703" spans="1:11" x14ac:dyDescent="0.3">
      <c r="A2703">
        <v>945</v>
      </c>
      <c r="B2703">
        <v>5</v>
      </c>
      <c r="C2703">
        <v>50</v>
      </c>
      <c r="D2703">
        <v>2</v>
      </c>
      <c r="E2703" s="1">
        <v>5999.99</v>
      </c>
      <c r="F2703" s="1">
        <v>0.05</v>
      </c>
      <c r="G2703">
        <v>11999.98</v>
      </c>
      <c r="H2703" s="22">
        <f>VLOOKUP(A2703,[1]Orders!$A$2:$B$1616,2,0)</f>
        <v>42900</v>
      </c>
      <c r="J2703" t="s">
        <v>79</v>
      </c>
      <c r="K2703" t="s">
        <v>18</v>
      </c>
    </row>
    <row r="2704" spans="1:11" x14ac:dyDescent="0.3">
      <c r="A2704">
        <v>946</v>
      </c>
      <c r="B2704">
        <v>1</v>
      </c>
      <c r="C2704">
        <v>7</v>
      </c>
      <c r="D2704">
        <v>1</v>
      </c>
      <c r="E2704" s="1">
        <v>3999.99</v>
      </c>
      <c r="F2704" s="1">
        <v>0.1</v>
      </c>
      <c r="G2704">
        <v>3999.99</v>
      </c>
      <c r="H2704" s="22">
        <f>VLOOKUP(A2704,[1]Orders!$A$2:$B$1616,2,0)</f>
        <v>42900</v>
      </c>
      <c r="J2704" t="s">
        <v>29</v>
      </c>
      <c r="K2704" t="s">
        <v>18</v>
      </c>
    </row>
    <row r="2705" spans="1:11" x14ac:dyDescent="0.3">
      <c r="A2705">
        <v>946</v>
      </c>
      <c r="B2705">
        <v>2</v>
      </c>
      <c r="C2705">
        <v>85</v>
      </c>
      <c r="D2705">
        <v>2</v>
      </c>
      <c r="E2705" s="1">
        <v>329.99</v>
      </c>
      <c r="F2705" s="1">
        <v>0.2</v>
      </c>
      <c r="G2705">
        <v>659.98</v>
      </c>
      <c r="H2705" s="22">
        <f>VLOOKUP(A2705,[1]Orders!$A$2:$B$1616,2,0)</f>
        <v>42900</v>
      </c>
      <c r="J2705" t="s">
        <v>38</v>
      </c>
      <c r="K2705" t="s">
        <v>18</v>
      </c>
    </row>
    <row r="2706" spans="1:11" x14ac:dyDescent="0.3">
      <c r="A2706">
        <v>946</v>
      </c>
      <c r="B2706">
        <v>3</v>
      </c>
      <c r="C2706">
        <v>62</v>
      </c>
      <c r="D2706">
        <v>1</v>
      </c>
      <c r="E2706" s="1">
        <v>3499.99</v>
      </c>
      <c r="F2706" s="1">
        <v>0.05</v>
      </c>
      <c r="G2706">
        <v>3499.99</v>
      </c>
      <c r="H2706" s="22">
        <f>VLOOKUP(A2706,[1]Orders!$A$2:$B$1616,2,0)</f>
        <v>42900</v>
      </c>
      <c r="J2706" t="s">
        <v>50</v>
      </c>
      <c r="K2706" t="s">
        <v>18</v>
      </c>
    </row>
    <row r="2707" spans="1:11" x14ac:dyDescent="0.3">
      <c r="A2707">
        <v>946</v>
      </c>
      <c r="B2707">
        <v>4</v>
      </c>
      <c r="C2707">
        <v>22</v>
      </c>
      <c r="D2707">
        <v>2</v>
      </c>
      <c r="E2707" s="1">
        <v>269.99</v>
      </c>
      <c r="F2707" s="1">
        <v>0.2</v>
      </c>
      <c r="G2707">
        <v>539.98</v>
      </c>
      <c r="H2707" s="22">
        <f>VLOOKUP(A2707,[1]Orders!$A$2:$B$1616,2,0)</f>
        <v>42900</v>
      </c>
      <c r="J2707" t="s">
        <v>28</v>
      </c>
      <c r="K2707" t="s">
        <v>18</v>
      </c>
    </row>
    <row r="2708" spans="1:11" x14ac:dyDescent="0.3">
      <c r="A2708">
        <v>946</v>
      </c>
      <c r="B2708">
        <v>5</v>
      </c>
      <c r="C2708">
        <v>56</v>
      </c>
      <c r="D2708">
        <v>2</v>
      </c>
      <c r="E2708" s="1">
        <v>5499.99</v>
      </c>
      <c r="F2708" s="1">
        <v>7.0000000000000007E-2</v>
      </c>
      <c r="G2708">
        <v>10999.98</v>
      </c>
      <c r="H2708" s="22">
        <f>VLOOKUP(A2708,[1]Orders!$A$2:$B$1616,2,0)</f>
        <v>42900</v>
      </c>
      <c r="J2708" t="s">
        <v>41</v>
      </c>
      <c r="K2708" t="s">
        <v>18</v>
      </c>
    </row>
    <row r="2709" spans="1:11" x14ac:dyDescent="0.3">
      <c r="A2709">
        <v>947</v>
      </c>
      <c r="B2709">
        <v>1</v>
      </c>
      <c r="C2709">
        <v>32</v>
      </c>
      <c r="D2709">
        <v>1</v>
      </c>
      <c r="E2709" s="1">
        <v>469.99</v>
      </c>
      <c r="F2709" s="1">
        <v>0.05</v>
      </c>
      <c r="G2709">
        <v>469.99</v>
      </c>
      <c r="H2709" s="22">
        <f>VLOOKUP(A2709,[1]Orders!$A$2:$B$1616,2,0)</f>
        <v>42901</v>
      </c>
      <c r="J2709" t="s">
        <v>46</v>
      </c>
      <c r="K2709" t="s">
        <v>11</v>
      </c>
    </row>
    <row r="2710" spans="1:11" x14ac:dyDescent="0.3">
      <c r="A2710">
        <v>947</v>
      </c>
      <c r="B2710">
        <v>2</v>
      </c>
      <c r="C2710">
        <v>42</v>
      </c>
      <c r="D2710">
        <v>2</v>
      </c>
      <c r="E2710" s="1">
        <v>2299.9899999999998</v>
      </c>
      <c r="F2710" s="1">
        <v>7.0000000000000007E-2</v>
      </c>
      <c r="G2710">
        <v>4599.9799999999996</v>
      </c>
      <c r="H2710" s="22">
        <f>VLOOKUP(A2710,[1]Orders!$A$2:$B$1616,2,0)</f>
        <v>42901</v>
      </c>
      <c r="J2710" t="s">
        <v>53</v>
      </c>
      <c r="K2710" t="s">
        <v>11</v>
      </c>
    </row>
    <row r="2711" spans="1:11" x14ac:dyDescent="0.3">
      <c r="A2711">
        <v>947</v>
      </c>
      <c r="B2711">
        <v>3</v>
      </c>
      <c r="C2711">
        <v>44</v>
      </c>
      <c r="D2711">
        <v>1</v>
      </c>
      <c r="E2711" s="1">
        <v>539.99</v>
      </c>
      <c r="F2711" s="1">
        <v>7.0000000000000007E-2</v>
      </c>
      <c r="G2711">
        <v>539.99</v>
      </c>
      <c r="H2711" s="22">
        <f>VLOOKUP(A2711,[1]Orders!$A$2:$B$1616,2,0)</f>
        <v>42901</v>
      </c>
      <c r="J2711" t="s">
        <v>108</v>
      </c>
      <c r="K2711" t="s">
        <v>11</v>
      </c>
    </row>
    <row r="2712" spans="1:11" x14ac:dyDescent="0.3">
      <c r="A2712">
        <v>948</v>
      </c>
      <c r="B2712">
        <v>1</v>
      </c>
      <c r="C2712">
        <v>23</v>
      </c>
      <c r="D2712">
        <v>2</v>
      </c>
      <c r="E2712" s="1">
        <v>299.99</v>
      </c>
      <c r="F2712" s="1">
        <v>0.2</v>
      </c>
      <c r="G2712">
        <v>599.98</v>
      </c>
      <c r="H2712" s="22">
        <f>VLOOKUP(A2712,[1]Orders!$A$2:$B$1616,2,0)</f>
        <v>42901</v>
      </c>
      <c r="J2712" t="s">
        <v>33</v>
      </c>
      <c r="K2712" t="s">
        <v>18</v>
      </c>
    </row>
    <row r="2713" spans="1:11" x14ac:dyDescent="0.3">
      <c r="A2713">
        <v>948</v>
      </c>
      <c r="B2713">
        <v>2</v>
      </c>
      <c r="C2713">
        <v>20</v>
      </c>
      <c r="D2713">
        <v>2</v>
      </c>
      <c r="E2713" s="1">
        <v>599.99</v>
      </c>
      <c r="F2713" s="1">
        <v>0.1</v>
      </c>
      <c r="G2713">
        <v>1199.98</v>
      </c>
      <c r="H2713" s="22">
        <f>VLOOKUP(A2713,[1]Orders!$A$2:$B$1616,2,0)</f>
        <v>42901</v>
      </c>
      <c r="J2713" t="s">
        <v>10</v>
      </c>
      <c r="K2713" t="s">
        <v>18</v>
      </c>
    </row>
    <row r="2714" spans="1:11" x14ac:dyDescent="0.3">
      <c r="A2714">
        <v>948</v>
      </c>
      <c r="B2714">
        <v>3</v>
      </c>
      <c r="C2714">
        <v>101</v>
      </c>
      <c r="D2714">
        <v>1</v>
      </c>
      <c r="E2714" s="1">
        <v>339.99</v>
      </c>
      <c r="F2714" s="1">
        <v>0.2</v>
      </c>
      <c r="G2714">
        <v>339.99</v>
      </c>
      <c r="H2714" s="22">
        <f>VLOOKUP(A2714,[1]Orders!$A$2:$B$1616,2,0)</f>
        <v>42901</v>
      </c>
      <c r="J2714" t="s">
        <v>80</v>
      </c>
      <c r="K2714" t="s">
        <v>18</v>
      </c>
    </row>
    <row r="2715" spans="1:11" x14ac:dyDescent="0.3">
      <c r="A2715">
        <v>948</v>
      </c>
      <c r="B2715">
        <v>4</v>
      </c>
      <c r="C2715">
        <v>92</v>
      </c>
      <c r="D2715">
        <v>2</v>
      </c>
      <c r="E2715" s="1">
        <v>209.99</v>
      </c>
      <c r="F2715" s="1">
        <v>0.2</v>
      </c>
      <c r="G2715">
        <v>419.98</v>
      </c>
      <c r="H2715" s="22">
        <f>VLOOKUP(A2715,[1]Orders!$A$2:$B$1616,2,0)</f>
        <v>42901</v>
      </c>
      <c r="J2715" t="s">
        <v>111</v>
      </c>
      <c r="K2715" t="s">
        <v>18</v>
      </c>
    </row>
    <row r="2716" spans="1:11" x14ac:dyDescent="0.3">
      <c r="A2716">
        <v>948</v>
      </c>
      <c r="B2716">
        <v>5</v>
      </c>
      <c r="C2716">
        <v>72</v>
      </c>
      <c r="D2716">
        <v>2</v>
      </c>
      <c r="E2716" s="1">
        <v>619.99</v>
      </c>
      <c r="F2716" s="1">
        <v>0.2</v>
      </c>
      <c r="G2716">
        <v>1239.98</v>
      </c>
      <c r="H2716" s="22">
        <f>VLOOKUP(A2716,[1]Orders!$A$2:$B$1616,2,0)</f>
        <v>42901</v>
      </c>
      <c r="J2716" t="s">
        <v>44</v>
      </c>
      <c r="K2716" t="s">
        <v>18</v>
      </c>
    </row>
    <row r="2717" spans="1:11" x14ac:dyDescent="0.3">
      <c r="A2717">
        <v>949</v>
      </c>
      <c r="B2717">
        <v>1</v>
      </c>
      <c r="C2717">
        <v>9</v>
      </c>
      <c r="D2717">
        <v>2</v>
      </c>
      <c r="E2717" s="1">
        <v>2999.99</v>
      </c>
      <c r="F2717" s="1">
        <v>0.1</v>
      </c>
      <c r="G2717">
        <v>5999.98</v>
      </c>
      <c r="H2717" s="22">
        <f>VLOOKUP(A2717,[1]Orders!$A$2:$B$1616,2,0)</f>
        <v>42902</v>
      </c>
      <c r="J2717" t="s">
        <v>26</v>
      </c>
      <c r="K2717" t="s">
        <v>11</v>
      </c>
    </row>
    <row r="2718" spans="1:11" x14ac:dyDescent="0.3">
      <c r="A2718">
        <v>949</v>
      </c>
      <c r="B2718">
        <v>2</v>
      </c>
      <c r="C2718">
        <v>55</v>
      </c>
      <c r="D2718">
        <v>2</v>
      </c>
      <c r="E2718" s="1">
        <v>2699.99</v>
      </c>
      <c r="F2718" s="1">
        <v>0.05</v>
      </c>
      <c r="G2718">
        <v>5399.98</v>
      </c>
      <c r="H2718" s="22">
        <f>VLOOKUP(A2718,[1]Orders!$A$2:$B$1616,2,0)</f>
        <v>42902</v>
      </c>
      <c r="J2718" t="s">
        <v>76</v>
      </c>
      <c r="K2718" t="s">
        <v>11</v>
      </c>
    </row>
    <row r="2719" spans="1:11" x14ac:dyDescent="0.3">
      <c r="A2719">
        <v>950</v>
      </c>
      <c r="B2719">
        <v>1</v>
      </c>
      <c r="C2719">
        <v>56</v>
      </c>
      <c r="D2719">
        <v>1</v>
      </c>
      <c r="E2719" s="1">
        <v>5499.99</v>
      </c>
      <c r="F2719" s="1">
        <v>0.05</v>
      </c>
      <c r="G2719">
        <v>5499.99</v>
      </c>
      <c r="H2719" s="22">
        <f>VLOOKUP(A2719,[1]Orders!$A$2:$B$1616,2,0)</f>
        <v>42902</v>
      </c>
      <c r="J2719" t="s">
        <v>41</v>
      </c>
      <c r="K2719" t="s">
        <v>18</v>
      </c>
    </row>
    <row r="2720" spans="1:11" x14ac:dyDescent="0.3">
      <c r="A2720">
        <v>951</v>
      </c>
      <c r="B2720">
        <v>1</v>
      </c>
      <c r="C2720">
        <v>59</v>
      </c>
      <c r="D2720">
        <v>1</v>
      </c>
      <c r="E2720" s="1">
        <v>2599.9899999999998</v>
      </c>
      <c r="F2720" s="1">
        <v>0.1</v>
      </c>
      <c r="G2720">
        <v>2599.9899999999998</v>
      </c>
      <c r="H2720" s="22">
        <f>VLOOKUP(A2720,[1]Orders!$A$2:$B$1616,2,0)</f>
        <v>42902</v>
      </c>
      <c r="J2720" t="s">
        <v>74</v>
      </c>
      <c r="K2720" t="s">
        <v>18</v>
      </c>
    </row>
    <row r="2721" spans="1:11" x14ac:dyDescent="0.3">
      <c r="A2721">
        <v>951</v>
      </c>
      <c r="B2721">
        <v>2</v>
      </c>
      <c r="C2721">
        <v>43</v>
      </c>
      <c r="D2721">
        <v>2</v>
      </c>
      <c r="E2721" s="1">
        <v>5299.99</v>
      </c>
      <c r="F2721" s="1">
        <v>0.1</v>
      </c>
      <c r="G2721">
        <v>10599.98</v>
      </c>
      <c r="H2721" s="22">
        <f>VLOOKUP(A2721,[1]Orders!$A$2:$B$1616,2,0)</f>
        <v>42902</v>
      </c>
      <c r="J2721" t="s">
        <v>62</v>
      </c>
      <c r="K2721" t="s">
        <v>18</v>
      </c>
    </row>
    <row r="2722" spans="1:11" x14ac:dyDescent="0.3">
      <c r="A2722">
        <v>951</v>
      </c>
      <c r="B2722">
        <v>3</v>
      </c>
      <c r="C2722">
        <v>62</v>
      </c>
      <c r="D2722">
        <v>2</v>
      </c>
      <c r="E2722" s="1">
        <v>3499.99</v>
      </c>
      <c r="F2722" s="1">
        <v>0.2</v>
      </c>
      <c r="G2722">
        <v>6999.98</v>
      </c>
      <c r="H2722" s="22">
        <f>VLOOKUP(A2722,[1]Orders!$A$2:$B$1616,2,0)</f>
        <v>42902</v>
      </c>
      <c r="J2722" t="s">
        <v>50</v>
      </c>
      <c r="K2722" t="s">
        <v>18</v>
      </c>
    </row>
    <row r="2723" spans="1:11" x14ac:dyDescent="0.3">
      <c r="A2723">
        <v>952</v>
      </c>
      <c r="B2723">
        <v>1</v>
      </c>
      <c r="C2723">
        <v>20</v>
      </c>
      <c r="D2723">
        <v>2</v>
      </c>
      <c r="E2723" s="1">
        <v>599.99</v>
      </c>
      <c r="F2723" s="1">
        <v>7.0000000000000007E-2</v>
      </c>
      <c r="G2723">
        <v>1199.98</v>
      </c>
      <c r="H2723" s="22">
        <f>VLOOKUP(A2723,[1]Orders!$A$2:$B$1616,2,0)</f>
        <v>42902</v>
      </c>
      <c r="J2723" t="s">
        <v>10</v>
      </c>
      <c r="K2723" t="s">
        <v>18</v>
      </c>
    </row>
    <row r="2724" spans="1:11" x14ac:dyDescent="0.3">
      <c r="A2724">
        <v>952</v>
      </c>
      <c r="B2724">
        <v>2</v>
      </c>
      <c r="C2724">
        <v>57</v>
      </c>
      <c r="D2724">
        <v>1</v>
      </c>
      <c r="E2724" s="1">
        <v>1999.99</v>
      </c>
      <c r="F2724" s="1">
        <v>0.05</v>
      </c>
      <c r="G2724">
        <v>1999.99</v>
      </c>
      <c r="H2724" s="22">
        <f>VLOOKUP(A2724,[1]Orders!$A$2:$B$1616,2,0)</f>
        <v>42902</v>
      </c>
      <c r="J2724" t="s">
        <v>103</v>
      </c>
      <c r="K2724" t="s">
        <v>18</v>
      </c>
    </row>
    <row r="2725" spans="1:11" x14ac:dyDescent="0.3">
      <c r="A2725">
        <v>953</v>
      </c>
      <c r="B2725">
        <v>1</v>
      </c>
      <c r="C2725">
        <v>23</v>
      </c>
      <c r="D2725">
        <v>2</v>
      </c>
      <c r="E2725" s="1">
        <v>299.99</v>
      </c>
      <c r="F2725" s="1">
        <v>7.0000000000000007E-2</v>
      </c>
      <c r="G2725">
        <v>599.98</v>
      </c>
      <c r="H2725" s="22">
        <f>VLOOKUP(A2725,[1]Orders!$A$2:$B$1616,2,0)</f>
        <v>42902</v>
      </c>
      <c r="J2725" t="s">
        <v>33</v>
      </c>
      <c r="K2725" t="s">
        <v>18</v>
      </c>
    </row>
    <row r="2726" spans="1:11" x14ac:dyDescent="0.3">
      <c r="A2726">
        <v>954</v>
      </c>
      <c r="B2726">
        <v>1</v>
      </c>
      <c r="C2726">
        <v>4</v>
      </c>
      <c r="D2726">
        <v>2</v>
      </c>
      <c r="E2726" s="1">
        <v>2899.99</v>
      </c>
      <c r="F2726" s="1">
        <v>0.1</v>
      </c>
      <c r="G2726">
        <v>5799.98</v>
      </c>
      <c r="H2726" s="22">
        <f>VLOOKUP(A2726,[1]Orders!$A$2:$B$1616,2,0)</f>
        <v>42903</v>
      </c>
      <c r="J2726" t="s">
        <v>16</v>
      </c>
      <c r="K2726" t="s">
        <v>18</v>
      </c>
    </row>
    <row r="2727" spans="1:11" x14ac:dyDescent="0.3">
      <c r="A2727">
        <v>955</v>
      </c>
      <c r="B2727">
        <v>1</v>
      </c>
      <c r="C2727">
        <v>43</v>
      </c>
      <c r="D2727">
        <v>1</v>
      </c>
      <c r="E2727" s="1">
        <v>5299.99</v>
      </c>
      <c r="F2727" s="1">
        <v>0.1</v>
      </c>
      <c r="G2727">
        <v>5299.99</v>
      </c>
      <c r="H2727" s="22">
        <f>VLOOKUP(A2727,[1]Orders!$A$2:$B$1616,2,0)</f>
        <v>42903</v>
      </c>
      <c r="J2727" t="s">
        <v>62</v>
      </c>
      <c r="K2727" t="s">
        <v>18</v>
      </c>
    </row>
    <row r="2728" spans="1:11" x14ac:dyDescent="0.3">
      <c r="A2728">
        <v>955</v>
      </c>
      <c r="B2728">
        <v>2</v>
      </c>
      <c r="C2728">
        <v>31</v>
      </c>
      <c r="D2728">
        <v>2</v>
      </c>
      <c r="E2728" s="1">
        <v>1632.99</v>
      </c>
      <c r="F2728" s="1">
        <v>7.0000000000000007E-2</v>
      </c>
      <c r="G2728">
        <v>3265.98</v>
      </c>
      <c r="H2728" s="22">
        <f>VLOOKUP(A2728,[1]Orders!$A$2:$B$1616,2,0)</f>
        <v>42903</v>
      </c>
      <c r="J2728" t="s">
        <v>102</v>
      </c>
      <c r="K2728" t="s">
        <v>18</v>
      </c>
    </row>
    <row r="2729" spans="1:11" x14ac:dyDescent="0.3">
      <c r="A2729">
        <v>955</v>
      </c>
      <c r="B2729">
        <v>3</v>
      </c>
      <c r="C2729">
        <v>96</v>
      </c>
      <c r="D2729">
        <v>1</v>
      </c>
      <c r="E2729" s="1">
        <v>349.99</v>
      </c>
      <c r="F2729" s="1">
        <v>0.05</v>
      </c>
      <c r="G2729">
        <v>349.99</v>
      </c>
      <c r="H2729" s="22">
        <f>VLOOKUP(A2729,[1]Orders!$A$2:$B$1616,2,0)</f>
        <v>42903</v>
      </c>
      <c r="J2729" t="s">
        <v>91</v>
      </c>
      <c r="K2729" t="s">
        <v>18</v>
      </c>
    </row>
    <row r="2730" spans="1:11" x14ac:dyDescent="0.3">
      <c r="A2730">
        <v>955</v>
      </c>
      <c r="B2730">
        <v>4</v>
      </c>
      <c r="C2730">
        <v>63</v>
      </c>
      <c r="D2730">
        <v>1</v>
      </c>
      <c r="E2730" s="1">
        <v>3499.99</v>
      </c>
      <c r="F2730" s="1">
        <v>0.2</v>
      </c>
      <c r="G2730">
        <v>3499.99</v>
      </c>
      <c r="H2730" s="22">
        <f>VLOOKUP(A2730,[1]Orders!$A$2:$B$1616,2,0)</f>
        <v>42903</v>
      </c>
      <c r="J2730" t="s">
        <v>75</v>
      </c>
      <c r="K2730" t="s">
        <v>18</v>
      </c>
    </row>
    <row r="2731" spans="1:11" x14ac:dyDescent="0.3">
      <c r="A2731">
        <v>955</v>
      </c>
      <c r="B2731">
        <v>5</v>
      </c>
      <c r="C2731">
        <v>88</v>
      </c>
      <c r="D2731">
        <v>1</v>
      </c>
      <c r="E2731" s="1">
        <v>189.99</v>
      </c>
      <c r="F2731" s="1">
        <v>0.05</v>
      </c>
      <c r="G2731">
        <v>189.99</v>
      </c>
      <c r="H2731" s="22">
        <f>VLOOKUP(A2731,[1]Orders!$A$2:$B$1616,2,0)</f>
        <v>42903</v>
      </c>
      <c r="J2731" t="s">
        <v>64</v>
      </c>
      <c r="K2731" t="s">
        <v>18</v>
      </c>
    </row>
    <row r="2732" spans="1:11" x14ac:dyDescent="0.3">
      <c r="A2732">
        <v>956</v>
      </c>
      <c r="B2732">
        <v>1</v>
      </c>
      <c r="C2732">
        <v>76</v>
      </c>
      <c r="D2732">
        <v>2</v>
      </c>
      <c r="E2732" s="1">
        <v>299.99</v>
      </c>
      <c r="F2732" s="1">
        <v>0.1</v>
      </c>
      <c r="G2732">
        <v>599.98</v>
      </c>
      <c r="H2732" s="22">
        <f>VLOOKUP(A2732,[1]Orders!$A$2:$B$1616,2,0)</f>
        <v>42903</v>
      </c>
      <c r="J2732" t="s">
        <v>48</v>
      </c>
      <c r="K2732" t="s">
        <v>18</v>
      </c>
    </row>
    <row r="2733" spans="1:11" x14ac:dyDescent="0.3">
      <c r="A2733">
        <v>956</v>
      </c>
      <c r="B2733">
        <v>2</v>
      </c>
      <c r="C2733">
        <v>23</v>
      </c>
      <c r="D2733">
        <v>1</v>
      </c>
      <c r="E2733" s="1">
        <v>299.99</v>
      </c>
      <c r="F2733" s="1">
        <v>0.2</v>
      </c>
      <c r="G2733">
        <v>299.99</v>
      </c>
      <c r="H2733" s="22">
        <f>VLOOKUP(A2733,[1]Orders!$A$2:$B$1616,2,0)</f>
        <v>42903</v>
      </c>
      <c r="J2733" t="s">
        <v>33</v>
      </c>
      <c r="K2733" t="s">
        <v>18</v>
      </c>
    </row>
    <row r="2734" spans="1:11" x14ac:dyDescent="0.3">
      <c r="A2734">
        <v>956</v>
      </c>
      <c r="B2734">
        <v>3</v>
      </c>
      <c r="C2734">
        <v>73</v>
      </c>
      <c r="D2734">
        <v>2</v>
      </c>
      <c r="E2734" s="1">
        <v>749.99</v>
      </c>
      <c r="F2734" s="1">
        <v>0.1</v>
      </c>
      <c r="G2734">
        <v>1499.98</v>
      </c>
      <c r="H2734" s="22">
        <f>VLOOKUP(A2734,[1]Orders!$A$2:$B$1616,2,0)</f>
        <v>42903</v>
      </c>
      <c r="J2734" t="s">
        <v>43</v>
      </c>
      <c r="K2734" t="s">
        <v>18</v>
      </c>
    </row>
    <row r="2735" spans="1:11" x14ac:dyDescent="0.3">
      <c r="A2735">
        <v>956</v>
      </c>
      <c r="B2735">
        <v>4</v>
      </c>
      <c r="C2735">
        <v>13</v>
      </c>
      <c r="D2735">
        <v>2</v>
      </c>
      <c r="E2735" s="1">
        <v>269.99</v>
      </c>
      <c r="F2735" s="1">
        <v>0.2</v>
      </c>
      <c r="G2735">
        <v>539.98</v>
      </c>
      <c r="H2735" s="22">
        <f>VLOOKUP(A2735,[1]Orders!$A$2:$B$1616,2,0)</f>
        <v>42903</v>
      </c>
      <c r="J2735" t="s">
        <v>31</v>
      </c>
      <c r="K2735" t="s">
        <v>18</v>
      </c>
    </row>
    <row r="2736" spans="1:11" x14ac:dyDescent="0.3">
      <c r="A2736">
        <v>956</v>
      </c>
      <c r="B2736">
        <v>5</v>
      </c>
      <c r="C2736">
        <v>79</v>
      </c>
      <c r="D2736">
        <v>2</v>
      </c>
      <c r="E2736" s="1">
        <v>402.99</v>
      </c>
      <c r="F2736" s="1">
        <v>0.1</v>
      </c>
      <c r="G2736">
        <v>805.98</v>
      </c>
      <c r="H2736" s="22">
        <f>VLOOKUP(A2736,[1]Orders!$A$2:$B$1616,2,0)</f>
        <v>42903</v>
      </c>
      <c r="J2736" t="s">
        <v>58</v>
      </c>
      <c r="K2736" t="s">
        <v>18</v>
      </c>
    </row>
    <row r="2737" spans="1:11" x14ac:dyDescent="0.3">
      <c r="A2737">
        <v>957</v>
      </c>
      <c r="B2737">
        <v>1</v>
      </c>
      <c r="C2737">
        <v>108</v>
      </c>
      <c r="D2737">
        <v>2</v>
      </c>
      <c r="E2737" s="1">
        <v>449.99</v>
      </c>
      <c r="F2737" s="1">
        <v>0.05</v>
      </c>
      <c r="G2737">
        <v>899.98</v>
      </c>
      <c r="H2737" s="22">
        <f>VLOOKUP(A2737,[1]Orders!$A$2:$B$1616,2,0)</f>
        <v>42903</v>
      </c>
      <c r="J2737" t="s">
        <v>85</v>
      </c>
      <c r="K2737" t="s">
        <v>37</v>
      </c>
    </row>
    <row r="2738" spans="1:11" x14ac:dyDescent="0.3">
      <c r="A2738">
        <v>957</v>
      </c>
      <c r="B2738">
        <v>2</v>
      </c>
      <c r="C2738">
        <v>14</v>
      </c>
      <c r="D2738">
        <v>2</v>
      </c>
      <c r="E2738" s="1">
        <v>269.99</v>
      </c>
      <c r="F2738" s="1">
        <v>7.0000000000000007E-2</v>
      </c>
      <c r="G2738">
        <v>539.98</v>
      </c>
      <c r="H2738" s="22">
        <f>VLOOKUP(A2738,[1]Orders!$A$2:$B$1616,2,0)</f>
        <v>42903</v>
      </c>
      <c r="J2738" t="s">
        <v>28</v>
      </c>
      <c r="K2738" t="s">
        <v>37</v>
      </c>
    </row>
    <row r="2739" spans="1:11" x14ac:dyDescent="0.3">
      <c r="A2739">
        <v>957</v>
      </c>
      <c r="B2739">
        <v>3</v>
      </c>
      <c r="C2739">
        <v>70</v>
      </c>
      <c r="D2739">
        <v>2</v>
      </c>
      <c r="E2739" s="1">
        <v>659.99</v>
      </c>
      <c r="F2739" s="1">
        <v>0.05</v>
      </c>
      <c r="G2739">
        <v>1319.98</v>
      </c>
      <c r="H2739" s="22">
        <f>VLOOKUP(A2739,[1]Orders!$A$2:$B$1616,2,0)</f>
        <v>42903</v>
      </c>
      <c r="J2739" t="s">
        <v>73</v>
      </c>
      <c r="K2739" t="s">
        <v>37</v>
      </c>
    </row>
    <row r="2740" spans="1:11" x14ac:dyDescent="0.3">
      <c r="A2740">
        <v>957</v>
      </c>
      <c r="B2740">
        <v>4</v>
      </c>
      <c r="C2740">
        <v>66</v>
      </c>
      <c r="D2740">
        <v>1</v>
      </c>
      <c r="E2740" s="1">
        <v>250.99</v>
      </c>
      <c r="F2740" s="1">
        <v>7.0000000000000007E-2</v>
      </c>
      <c r="G2740">
        <v>250.99</v>
      </c>
      <c r="H2740" s="22">
        <f>VLOOKUP(A2740,[1]Orders!$A$2:$B$1616,2,0)</f>
        <v>42903</v>
      </c>
      <c r="J2740" t="s">
        <v>92</v>
      </c>
      <c r="K2740" t="s">
        <v>37</v>
      </c>
    </row>
    <row r="2741" spans="1:11" x14ac:dyDescent="0.3">
      <c r="A2741">
        <v>957</v>
      </c>
      <c r="B2741">
        <v>5</v>
      </c>
      <c r="C2741">
        <v>111</v>
      </c>
      <c r="D2741">
        <v>1</v>
      </c>
      <c r="E2741" s="1">
        <v>470.99</v>
      </c>
      <c r="F2741" s="1">
        <v>0.05</v>
      </c>
      <c r="G2741">
        <v>470.99</v>
      </c>
      <c r="H2741" s="22">
        <f>VLOOKUP(A2741,[1]Orders!$A$2:$B$1616,2,0)</f>
        <v>42903</v>
      </c>
      <c r="J2741" t="s">
        <v>112</v>
      </c>
      <c r="K2741" t="s">
        <v>37</v>
      </c>
    </row>
    <row r="2742" spans="1:11" x14ac:dyDescent="0.3">
      <c r="A2742">
        <v>958</v>
      </c>
      <c r="B2742">
        <v>1</v>
      </c>
      <c r="C2742">
        <v>51</v>
      </c>
      <c r="D2742">
        <v>1</v>
      </c>
      <c r="E2742" s="1">
        <v>6499.99</v>
      </c>
      <c r="F2742" s="1">
        <v>0.1</v>
      </c>
      <c r="G2742">
        <v>6499.99</v>
      </c>
      <c r="H2742" s="22">
        <f>VLOOKUP(A2742,[1]Orders!$A$2:$B$1616,2,0)</f>
        <v>42904</v>
      </c>
      <c r="J2742" t="s">
        <v>90</v>
      </c>
      <c r="K2742" t="s">
        <v>11</v>
      </c>
    </row>
    <row r="2743" spans="1:11" x14ac:dyDescent="0.3">
      <c r="A2743">
        <v>958</v>
      </c>
      <c r="B2743">
        <v>2</v>
      </c>
      <c r="C2743">
        <v>76</v>
      </c>
      <c r="D2743">
        <v>1</v>
      </c>
      <c r="E2743" s="1">
        <v>299.99</v>
      </c>
      <c r="F2743" s="1">
        <v>0.2</v>
      </c>
      <c r="G2743">
        <v>299.99</v>
      </c>
      <c r="H2743" s="22">
        <f>VLOOKUP(A2743,[1]Orders!$A$2:$B$1616,2,0)</f>
        <v>42904</v>
      </c>
      <c r="J2743" t="s">
        <v>48</v>
      </c>
      <c r="K2743" t="s">
        <v>11</v>
      </c>
    </row>
    <row r="2744" spans="1:11" x14ac:dyDescent="0.3">
      <c r="A2744">
        <v>959</v>
      </c>
      <c r="B2744">
        <v>1</v>
      </c>
      <c r="C2744">
        <v>15</v>
      </c>
      <c r="D2744">
        <v>1</v>
      </c>
      <c r="E2744" s="1">
        <v>529.99</v>
      </c>
      <c r="F2744" s="1">
        <v>0.2</v>
      </c>
      <c r="G2744">
        <v>529.99</v>
      </c>
      <c r="H2744" s="22">
        <f>VLOOKUP(A2744,[1]Orders!$A$2:$B$1616,2,0)</f>
        <v>42904</v>
      </c>
      <c r="J2744" t="s">
        <v>27</v>
      </c>
      <c r="K2744" t="s">
        <v>18</v>
      </c>
    </row>
    <row r="2745" spans="1:11" x14ac:dyDescent="0.3">
      <c r="A2745">
        <v>959</v>
      </c>
      <c r="B2745">
        <v>2</v>
      </c>
      <c r="C2745">
        <v>72</v>
      </c>
      <c r="D2745">
        <v>1</v>
      </c>
      <c r="E2745" s="1">
        <v>619.99</v>
      </c>
      <c r="F2745" s="1">
        <v>0.1</v>
      </c>
      <c r="G2745">
        <v>619.99</v>
      </c>
      <c r="H2745" s="22">
        <f>VLOOKUP(A2745,[1]Orders!$A$2:$B$1616,2,0)</f>
        <v>42904</v>
      </c>
      <c r="J2745" t="s">
        <v>44</v>
      </c>
      <c r="K2745" t="s">
        <v>18</v>
      </c>
    </row>
    <row r="2746" spans="1:11" x14ac:dyDescent="0.3">
      <c r="A2746">
        <v>959</v>
      </c>
      <c r="B2746">
        <v>3</v>
      </c>
      <c r="C2746">
        <v>41</v>
      </c>
      <c r="D2746">
        <v>1</v>
      </c>
      <c r="E2746" s="1">
        <v>1469.99</v>
      </c>
      <c r="F2746" s="1">
        <v>0.05</v>
      </c>
      <c r="G2746">
        <v>1469.99</v>
      </c>
      <c r="H2746" s="22">
        <f>VLOOKUP(A2746,[1]Orders!$A$2:$B$1616,2,0)</f>
        <v>42904</v>
      </c>
      <c r="J2746" t="s">
        <v>77</v>
      </c>
      <c r="K2746" t="s">
        <v>18</v>
      </c>
    </row>
    <row r="2747" spans="1:11" x14ac:dyDescent="0.3">
      <c r="A2747">
        <v>959</v>
      </c>
      <c r="B2747">
        <v>4</v>
      </c>
      <c r="C2747">
        <v>65</v>
      </c>
      <c r="D2747">
        <v>1</v>
      </c>
      <c r="E2747" s="1">
        <v>346.99</v>
      </c>
      <c r="F2747" s="1">
        <v>7.0000000000000007E-2</v>
      </c>
      <c r="G2747">
        <v>346.99</v>
      </c>
      <c r="H2747" s="22">
        <f>VLOOKUP(A2747,[1]Orders!$A$2:$B$1616,2,0)</f>
        <v>42904</v>
      </c>
      <c r="J2747" t="s">
        <v>114</v>
      </c>
      <c r="K2747" t="s">
        <v>18</v>
      </c>
    </row>
    <row r="2748" spans="1:11" x14ac:dyDescent="0.3">
      <c r="A2748">
        <v>960</v>
      </c>
      <c r="B2748">
        <v>1</v>
      </c>
      <c r="C2748">
        <v>73</v>
      </c>
      <c r="D2748">
        <v>2</v>
      </c>
      <c r="E2748" s="1">
        <v>749.99</v>
      </c>
      <c r="F2748" s="1">
        <v>0.05</v>
      </c>
      <c r="G2748">
        <v>1499.98</v>
      </c>
      <c r="H2748" s="22">
        <f>VLOOKUP(A2748,[1]Orders!$A$2:$B$1616,2,0)</f>
        <v>42904</v>
      </c>
      <c r="J2748" t="s">
        <v>43</v>
      </c>
      <c r="K2748" t="s">
        <v>18</v>
      </c>
    </row>
    <row r="2749" spans="1:11" x14ac:dyDescent="0.3">
      <c r="A2749">
        <v>960</v>
      </c>
      <c r="B2749">
        <v>2</v>
      </c>
      <c r="C2749">
        <v>52</v>
      </c>
      <c r="D2749">
        <v>1</v>
      </c>
      <c r="E2749" s="1">
        <v>875.99</v>
      </c>
      <c r="F2749" s="1">
        <v>0.1</v>
      </c>
      <c r="G2749">
        <v>875.99</v>
      </c>
      <c r="H2749" s="22">
        <f>VLOOKUP(A2749,[1]Orders!$A$2:$B$1616,2,0)</f>
        <v>42904</v>
      </c>
      <c r="J2749" t="s">
        <v>68</v>
      </c>
      <c r="K2749" t="s">
        <v>18</v>
      </c>
    </row>
    <row r="2750" spans="1:11" x14ac:dyDescent="0.3">
      <c r="A2750">
        <v>960</v>
      </c>
      <c r="B2750">
        <v>3</v>
      </c>
      <c r="C2750">
        <v>48</v>
      </c>
      <c r="D2750">
        <v>2</v>
      </c>
      <c r="E2750" s="1">
        <v>1499.99</v>
      </c>
      <c r="F2750" s="1">
        <v>0.05</v>
      </c>
      <c r="G2750">
        <v>2999.98</v>
      </c>
      <c r="H2750" s="22">
        <f>VLOOKUP(A2750,[1]Orders!$A$2:$B$1616,2,0)</f>
        <v>42904</v>
      </c>
      <c r="J2750" t="s">
        <v>84</v>
      </c>
      <c r="K2750" t="s">
        <v>18</v>
      </c>
    </row>
    <row r="2751" spans="1:11" x14ac:dyDescent="0.3">
      <c r="A2751">
        <v>960</v>
      </c>
      <c r="B2751">
        <v>4</v>
      </c>
      <c r="C2751">
        <v>83</v>
      </c>
      <c r="D2751">
        <v>2</v>
      </c>
      <c r="E2751" s="1">
        <v>149.99</v>
      </c>
      <c r="F2751" s="1">
        <v>0.1</v>
      </c>
      <c r="G2751">
        <v>299.98</v>
      </c>
      <c r="H2751" s="22">
        <f>VLOOKUP(A2751,[1]Orders!$A$2:$B$1616,2,0)</f>
        <v>42904</v>
      </c>
      <c r="J2751" t="s">
        <v>66</v>
      </c>
      <c r="K2751" t="s">
        <v>18</v>
      </c>
    </row>
    <row r="2752" spans="1:11" x14ac:dyDescent="0.3">
      <c r="A2752">
        <v>961</v>
      </c>
      <c r="B2752">
        <v>1</v>
      </c>
      <c r="C2752">
        <v>105</v>
      </c>
      <c r="D2752">
        <v>1</v>
      </c>
      <c r="E2752" s="1">
        <v>533.99</v>
      </c>
      <c r="F2752" s="1">
        <v>0.1</v>
      </c>
      <c r="G2752">
        <v>533.99</v>
      </c>
      <c r="H2752" s="22">
        <f>VLOOKUP(A2752,[1]Orders!$A$2:$B$1616,2,0)</f>
        <v>42905</v>
      </c>
      <c r="J2752" t="s">
        <v>96</v>
      </c>
      <c r="K2752" t="s">
        <v>11</v>
      </c>
    </row>
    <row r="2753" spans="1:11" x14ac:dyDescent="0.3">
      <c r="A2753">
        <v>961</v>
      </c>
      <c r="B2753">
        <v>2</v>
      </c>
      <c r="C2753">
        <v>47</v>
      </c>
      <c r="D2753">
        <v>2</v>
      </c>
      <c r="E2753" s="1">
        <v>5299.99</v>
      </c>
      <c r="F2753" s="1">
        <v>0.2</v>
      </c>
      <c r="G2753">
        <v>10599.98</v>
      </c>
      <c r="H2753" s="22">
        <f>VLOOKUP(A2753,[1]Orders!$A$2:$B$1616,2,0)</f>
        <v>42905</v>
      </c>
      <c r="J2753" t="s">
        <v>54</v>
      </c>
      <c r="K2753" t="s">
        <v>11</v>
      </c>
    </row>
    <row r="2754" spans="1:11" x14ac:dyDescent="0.3">
      <c r="A2754">
        <v>961</v>
      </c>
      <c r="B2754">
        <v>3</v>
      </c>
      <c r="C2754">
        <v>65</v>
      </c>
      <c r="D2754">
        <v>2</v>
      </c>
      <c r="E2754" s="1">
        <v>346.99</v>
      </c>
      <c r="F2754" s="1">
        <v>7.0000000000000007E-2</v>
      </c>
      <c r="G2754">
        <v>693.98</v>
      </c>
      <c r="H2754" s="22">
        <f>VLOOKUP(A2754,[1]Orders!$A$2:$B$1616,2,0)</f>
        <v>42905</v>
      </c>
      <c r="J2754" t="s">
        <v>114</v>
      </c>
      <c r="K2754" t="s">
        <v>11</v>
      </c>
    </row>
    <row r="2755" spans="1:11" x14ac:dyDescent="0.3">
      <c r="A2755">
        <v>962</v>
      </c>
      <c r="B2755">
        <v>1</v>
      </c>
      <c r="C2755">
        <v>65</v>
      </c>
      <c r="D2755">
        <v>2</v>
      </c>
      <c r="E2755" s="1">
        <v>346.99</v>
      </c>
      <c r="F2755" s="1">
        <v>7.0000000000000007E-2</v>
      </c>
      <c r="G2755">
        <v>693.98</v>
      </c>
      <c r="H2755" s="22">
        <f>VLOOKUP(A2755,[1]Orders!$A$2:$B$1616,2,0)</f>
        <v>42905</v>
      </c>
      <c r="J2755" t="s">
        <v>114</v>
      </c>
      <c r="K2755" t="s">
        <v>18</v>
      </c>
    </row>
    <row r="2756" spans="1:11" x14ac:dyDescent="0.3">
      <c r="A2756">
        <v>962</v>
      </c>
      <c r="B2756">
        <v>2</v>
      </c>
      <c r="C2756">
        <v>64</v>
      </c>
      <c r="D2756">
        <v>2</v>
      </c>
      <c r="E2756" s="1">
        <v>489.99</v>
      </c>
      <c r="F2756" s="1">
        <v>7.0000000000000007E-2</v>
      </c>
      <c r="G2756">
        <v>979.98</v>
      </c>
      <c r="H2756" s="22">
        <f>VLOOKUP(A2756,[1]Orders!$A$2:$B$1616,2,0)</f>
        <v>42905</v>
      </c>
      <c r="J2756" t="s">
        <v>51</v>
      </c>
      <c r="K2756" t="s">
        <v>18</v>
      </c>
    </row>
    <row r="2757" spans="1:11" x14ac:dyDescent="0.3">
      <c r="A2757">
        <v>963</v>
      </c>
      <c r="B2757">
        <v>1</v>
      </c>
      <c r="C2757">
        <v>4</v>
      </c>
      <c r="D2757">
        <v>1</v>
      </c>
      <c r="E2757" s="1">
        <v>2899.99</v>
      </c>
      <c r="F2757" s="1">
        <v>7.0000000000000007E-2</v>
      </c>
      <c r="G2757">
        <v>2899.99</v>
      </c>
      <c r="H2757" s="22">
        <f>VLOOKUP(A2757,[1]Orders!$A$2:$B$1616,2,0)</f>
        <v>42905</v>
      </c>
      <c r="J2757" t="s">
        <v>16</v>
      </c>
      <c r="K2757" t="s">
        <v>18</v>
      </c>
    </row>
    <row r="2758" spans="1:11" x14ac:dyDescent="0.3">
      <c r="A2758">
        <v>964</v>
      </c>
      <c r="B2758">
        <v>1</v>
      </c>
      <c r="C2758">
        <v>90</v>
      </c>
      <c r="D2758">
        <v>1</v>
      </c>
      <c r="E2758" s="1">
        <v>209.99</v>
      </c>
      <c r="F2758" s="1">
        <v>0.2</v>
      </c>
      <c r="G2758">
        <v>209.99</v>
      </c>
      <c r="H2758" s="22">
        <f>VLOOKUP(A2758,[1]Orders!$A$2:$B$1616,2,0)</f>
        <v>42906</v>
      </c>
      <c r="J2758" t="s">
        <v>56</v>
      </c>
      <c r="K2758" t="s">
        <v>18</v>
      </c>
    </row>
    <row r="2759" spans="1:11" x14ac:dyDescent="0.3">
      <c r="A2759">
        <v>964</v>
      </c>
      <c r="B2759">
        <v>2</v>
      </c>
      <c r="C2759">
        <v>74</v>
      </c>
      <c r="D2759">
        <v>1</v>
      </c>
      <c r="E2759" s="1">
        <v>439.99</v>
      </c>
      <c r="F2759" s="1">
        <v>0.2</v>
      </c>
      <c r="G2759">
        <v>439.99</v>
      </c>
      <c r="H2759" s="22">
        <f>VLOOKUP(A2759,[1]Orders!$A$2:$B$1616,2,0)</f>
        <v>42906</v>
      </c>
      <c r="J2759" t="s">
        <v>61</v>
      </c>
      <c r="K2759" t="s">
        <v>18</v>
      </c>
    </row>
    <row r="2760" spans="1:11" x14ac:dyDescent="0.3">
      <c r="A2760">
        <v>965</v>
      </c>
      <c r="B2760">
        <v>1</v>
      </c>
      <c r="C2760">
        <v>90</v>
      </c>
      <c r="D2760">
        <v>2</v>
      </c>
      <c r="E2760" s="1">
        <v>209.99</v>
      </c>
      <c r="F2760" s="1">
        <v>0.1</v>
      </c>
      <c r="G2760">
        <v>419.98</v>
      </c>
      <c r="H2760" s="22">
        <f>VLOOKUP(A2760,[1]Orders!$A$2:$B$1616,2,0)</f>
        <v>42906</v>
      </c>
      <c r="J2760" t="s">
        <v>56</v>
      </c>
      <c r="K2760" t="s">
        <v>18</v>
      </c>
    </row>
    <row r="2761" spans="1:11" x14ac:dyDescent="0.3">
      <c r="A2761">
        <v>966</v>
      </c>
      <c r="B2761">
        <v>1</v>
      </c>
      <c r="C2761">
        <v>88</v>
      </c>
      <c r="D2761">
        <v>1</v>
      </c>
      <c r="E2761" s="1">
        <v>189.99</v>
      </c>
      <c r="F2761" s="1">
        <v>0.05</v>
      </c>
      <c r="G2761">
        <v>189.99</v>
      </c>
      <c r="H2761" s="22">
        <f>VLOOKUP(A2761,[1]Orders!$A$2:$B$1616,2,0)</f>
        <v>42906</v>
      </c>
      <c r="J2761" t="s">
        <v>64</v>
      </c>
      <c r="K2761" t="s">
        <v>37</v>
      </c>
    </row>
    <row r="2762" spans="1:11" x14ac:dyDescent="0.3">
      <c r="A2762">
        <v>966</v>
      </c>
      <c r="B2762">
        <v>2</v>
      </c>
      <c r="C2762">
        <v>73</v>
      </c>
      <c r="D2762">
        <v>1</v>
      </c>
      <c r="E2762" s="1">
        <v>749.99</v>
      </c>
      <c r="F2762" s="1">
        <v>7.0000000000000007E-2</v>
      </c>
      <c r="G2762">
        <v>749.99</v>
      </c>
      <c r="H2762" s="22">
        <f>VLOOKUP(A2762,[1]Orders!$A$2:$B$1616,2,0)</f>
        <v>42906</v>
      </c>
      <c r="J2762" t="s">
        <v>43</v>
      </c>
      <c r="K2762" t="s">
        <v>37</v>
      </c>
    </row>
    <row r="2763" spans="1:11" x14ac:dyDescent="0.3">
      <c r="A2763">
        <v>967</v>
      </c>
      <c r="B2763">
        <v>1</v>
      </c>
      <c r="C2763">
        <v>66</v>
      </c>
      <c r="D2763">
        <v>1</v>
      </c>
      <c r="E2763" s="1">
        <v>250.99</v>
      </c>
      <c r="F2763" s="1">
        <v>0.2</v>
      </c>
      <c r="G2763">
        <v>250.99</v>
      </c>
      <c r="H2763" s="22">
        <f>VLOOKUP(A2763,[1]Orders!$A$2:$B$1616,2,0)</f>
        <v>42907</v>
      </c>
      <c r="J2763" t="s">
        <v>92</v>
      </c>
      <c r="K2763" t="s">
        <v>18</v>
      </c>
    </row>
    <row r="2764" spans="1:11" x14ac:dyDescent="0.3">
      <c r="A2764">
        <v>967</v>
      </c>
      <c r="B2764">
        <v>2</v>
      </c>
      <c r="C2764">
        <v>77</v>
      </c>
      <c r="D2764">
        <v>2</v>
      </c>
      <c r="E2764" s="1">
        <v>799.99</v>
      </c>
      <c r="F2764" s="1">
        <v>0.05</v>
      </c>
      <c r="G2764">
        <v>1599.98</v>
      </c>
      <c r="H2764" s="22">
        <f>VLOOKUP(A2764,[1]Orders!$A$2:$B$1616,2,0)</f>
        <v>42907</v>
      </c>
      <c r="J2764" t="s">
        <v>113</v>
      </c>
      <c r="K2764" t="s">
        <v>18</v>
      </c>
    </row>
    <row r="2765" spans="1:11" x14ac:dyDescent="0.3">
      <c r="A2765">
        <v>967</v>
      </c>
      <c r="B2765">
        <v>3</v>
      </c>
      <c r="C2765">
        <v>87</v>
      </c>
      <c r="D2765">
        <v>1</v>
      </c>
      <c r="E2765" s="1">
        <v>189.99</v>
      </c>
      <c r="F2765" s="1">
        <v>0.1</v>
      </c>
      <c r="G2765">
        <v>189.99</v>
      </c>
      <c r="H2765" s="22">
        <f>VLOOKUP(A2765,[1]Orders!$A$2:$B$1616,2,0)</f>
        <v>42907</v>
      </c>
      <c r="J2765" t="s">
        <v>117</v>
      </c>
      <c r="K2765" t="s">
        <v>18</v>
      </c>
    </row>
    <row r="2766" spans="1:11" x14ac:dyDescent="0.3">
      <c r="A2766">
        <v>967</v>
      </c>
      <c r="B2766">
        <v>4</v>
      </c>
      <c r="C2766">
        <v>103</v>
      </c>
      <c r="D2766">
        <v>1</v>
      </c>
      <c r="E2766" s="1">
        <v>551.99</v>
      </c>
      <c r="F2766" s="1">
        <v>0.2</v>
      </c>
      <c r="G2766">
        <v>551.99</v>
      </c>
      <c r="H2766" s="22">
        <f>VLOOKUP(A2766,[1]Orders!$A$2:$B$1616,2,0)</f>
        <v>42907</v>
      </c>
      <c r="J2766" t="s">
        <v>40</v>
      </c>
      <c r="K2766" t="s">
        <v>18</v>
      </c>
    </row>
    <row r="2767" spans="1:11" x14ac:dyDescent="0.3">
      <c r="A2767">
        <v>968</v>
      </c>
      <c r="B2767">
        <v>1</v>
      </c>
      <c r="C2767">
        <v>87</v>
      </c>
      <c r="D2767">
        <v>1</v>
      </c>
      <c r="E2767" s="1">
        <v>189.99</v>
      </c>
      <c r="F2767" s="1">
        <v>0.2</v>
      </c>
      <c r="G2767">
        <v>189.99</v>
      </c>
      <c r="H2767" s="22">
        <f>VLOOKUP(A2767,[1]Orders!$A$2:$B$1616,2,0)</f>
        <v>42907</v>
      </c>
      <c r="J2767" t="s">
        <v>117</v>
      </c>
      <c r="K2767" t="s">
        <v>18</v>
      </c>
    </row>
    <row r="2768" spans="1:11" x14ac:dyDescent="0.3">
      <c r="A2768">
        <v>968</v>
      </c>
      <c r="B2768">
        <v>2</v>
      </c>
      <c r="C2768">
        <v>61</v>
      </c>
      <c r="D2768">
        <v>2</v>
      </c>
      <c r="E2768" s="1">
        <v>4999.99</v>
      </c>
      <c r="F2768" s="1">
        <v>0.05</v>
      </c>
      <c r="G2768">
        <v>9999.98</v>
      </c>
      <c r="H2768" s="22">
        <f>VLOOKUP(A2768,[1]Orders!$A$2:$B$1616,2,0)</f>
        <v>42907</v>
      </c>
      <c r="J2768" t="s">
        <v>45</v>
      </c>
      <c r="K2768" t="s">
        <v>18</v>
      </c>
    </row>
    <row r="2769" spans="1:11" x14ac:dyDescent="0.3">
      <c r="A2769">
        <v>968</v>
      </c>
      <c r="B2769">
        <v>3</v>
      </c>
      <c r="C2769">
        <v>10</v>
      </c>
      <c r="D2769">
        <v>2</v>
      </c>
      <c r="E2769" s="1">
        <v>1549</v>
      </c>
      <c r="F2769" s="1">
        <v>0.05</v>
      </c>
      <c r="G2769">
        <v>3098</v>
      </c>
      <c r="H2769" s="22">
        <f>VLOOKUP(A2769,[1]Orders!$A$2:$B$1616,2,0)</f>
        <v>42907</v>
      </c>
      <c r="J2769" t="s">
        <v>13</v>
      </c>
      <c r="K2769" t="s">
        <v>18</v>
      </c>
    </row>
    <row r="2770" spans="1:11" x14ac:dyDescent="0.3">
      <c r="A2770">
        <v>969</v>
      </c>
      <c r="B2770">
        <v>1</v>
      </c>
      <c r="C2770">
        <v>74</v>
      </c>
      <c r="D2770">
        <v>1</v>
      </c>
      <c r="E2770" s="1">
        <v>439.99</v>
      </c>
      <c r="F2770" s="1">
        <v>0.2</v>
      </c>
      <c r="G2770">
        <v>439.99</v>
      </c>
      <c r="H2770" s="22">
        <f>VLOOKUP(A2770,[1]Orders!$A$2:$B$1616,2,0)</f>
        <v>42907</v>
      </c>
      <c r="J2770" t="s">
        <v>61</v>
      </c>
      <c r="K2770" t="s">
        <v>37</v>
      </c>
    </row>
    <row r="2771" spans="1:11" x14ac:dyDescent="0.3">
      <c r="A2771">
        <v>969</v>
      </c>
      <c r="B2771">
        <v>2</v>
      </c>
      <c r="C2771">
        <v>36</v>
      </c>
      <c r="D2771">
        <v>1</v>
      </c>
      <c r="E2771" s="1">
        <v>832.99</v>
      </c>
      <c r="F2771" s="1">
        <v>0.1</v>
      </c>
      <c r="G2771">
        <v>832.99</v>
      </c>
      <c r="H2771" s="22">
        <f>VLOOKUP(A2771,[1]Orders!$A$2:$B$1616,2,0)</f>
        <v>42907</v>
      </c>
      <c r="J2771" t="s">
        <v>116</v>
      </c>
      <c r="K2771" t="s">
        <v>37</v>
      </c>
    </row>
    <row r="2772" spans="1:11" x14ac:dyDescent="0.3">
      <c r="A2772">
        <v>970</v>
      </c>
      <c r="B2772">
        <v>1</v>
      </c>
      <c r="C2772">
        <v>85</v>
      </c>
      <c r="D2772">
        <v>1</v>
      </c>
      <c r="E2772" s="1">
        <v>329.99</v>
      </c>
      <c r="F2772" s="1">
        <v>0.1</v>
      </c>
      <c r="G2772">
        <v>329.99</v>
      </c>
      <c r="H2772" s="22">
        <f>VLOOKUP(A2772,[1]Orders!$A$2:$B$1616,2,0)</f>
        <v>42908</v>
      </c>
      <c r="J2772" t="s">
        <v>38</v>
      </c>
      <c r="K2772" t="s">
        <v>18</v>
      </c>
    </row>
    <row r="2773" spans="1:11" x14ac:dyDescent="0.3">
      <c r="A2773">
        <v>970</v>
      </c>
      <c r="B2773">
        <v>2</v>
      </c>
      <c r="C2773">
        <v>48</v>
      </c>
      <c r="D2773">
        <v>2</v>
      </c>
      <c r="E2773" s="1">
        <v>1499.99</v>
      </c>
      <c r="F2773" s="1">
        <v>0.1</v>
      </c>
      <c r="G2773">
        <v>2999.98</v>
      </c>
      <c r="H2773" s="22">
        <f>VLOOKUP(A2773,[1]Orders!$A$2:$B$1616,2,0)</f>
        <v>42908</v>
      </c>
      <c r="J2773" t="s">
        <v>84</v>
      </c>
      <c r="K2773" t="s">
        <v>18</v>
      </c>
    </row>
    <row r="2774" spans="1:11" x14ac:dyDescent="0.3">
      <c r="A2774">
        <v>970</v>
      </c>
      <c r="B2774">
        <v>3</v>
      </c>
      <c r="C2774">
        <v>54</v>
      </c>
      <c r="D2774">
        <v>2</v>
      </c>
      <c r="E2774" s="1">
        <v>3199.99</v>
      </c>
      <c r="F2774" s="1">
        <v>0.1</v>
      </c>
      <c r="G2774">
        <v>6399.98</v>
      </c>
      <c r="H2774" s="22">
        <f>VLOOKUP(A2774,[1]Orders!$A$2:$B$1616,2,0)</f>
        <v>42908</v>
      </c>
      <c r="J2774" t="s">
        <v>69</v>
      </c>
      <c r="K2774" t="s">
        <v>18</v>
      </c>
    </row>
    <row r="2775" spans="1:11" x14ac:dyDescent="0.3">
      <c r="A2775">
        <v>970</v>
      </c>
      <c r="B2775">
        <v>4</v>
      </c>
      <c r="C2775">
        <v>68</v>
      </c>
      <c r="D2775">
        <v>1</v>
      </c>
      <c r="E2775" s="1">
        <v>449.99</v>
      </c>
      <c r="F2775" s="1">
        <v>0.1</v>
      </c>
      <c r="G2775">
        <v>449.99</v>
      </c>
      <c r="H2775" s="22">
        <f>VLOOKUP(A2775,[1]Orders!$A$2:$B$1616,2,0)</f>
        <v>42908</v>
      </c>
      <c r="J2775" t="s">
        <v>39</v>
      </c>
      <c r="K2775" t="s">
        <v>18</v>
      </c>
    </row>
    <row r="2776" spans="1:11" x14ac:dyDescent="0.3">
      <c r="A2776">
        <v>971</v>
      </c>
      <c r="B2776">
        <v>1</v>
      </c>
      <c r="C2776">
        <v>70</v>
      </c>
      <c r="D2776">
        <v>2</v>
      </c>
      <c r="E2776" s="1">
        <v>659.99</v>
      </c>
      <c r="F2776" s="1">
        <v>0.05</v>
      </c>
      <c r="G2776">
        <v>1319.98</v>
      </c>
      <c r="H2776" s="22">
        <f>VLOOKUP(A2776,[1]Orders!$A$2:$B$1616,2,0)</f>
        <v>42908</v>
      </c>
      <c r="J2776" t="s">
        <v>73</v>
      </c>
      <c r="K2776" t="s">
        <v>37</v>
      </c>
    </row>
    <row r="2777" spans="1:11" x14ac:dyDescent="0.3">
      <c r="A2777">
        <v>971</v>
      </c>
      <c r="B2777">
        <v>2</v>
      </c>
      <c r="C2777">
        <v>65</v>
      </c>
      <c r="D2777">
        <v>2</v>
      </c>
      <c r="E2777" s="1">
        <v>346.99</v>
      </c>
      <c r="F2777" s="1">
        <v>7.0000000000000007E-2</v>
      </c>
      <c r="G2777">
        <v>693.98</v>
      </c>
      <c r="H2777" s="22">
        <f>VLOOKUP(A2777,[1]Orders!$A$2:$B$1616,2,0)</f>
        <v>42908</v>
      </c>
      <c r="J2777" t="s">
        <v>114</v>
      </c>
      <c r="K2777" t="s">
        <v>37</v>
      </c>
    </row>
    <row r="2778" spans="1:11" x14ac:dyDescent="0.3">
      <c r="A2778">
        <v>971</v>
      </c>
      <c r="B2778">
        <v>3</v>
      </c>
      <c r="C2778">
        <v>8</v>
      </c>
      <c r="D2778">
        <v>2</v>
      </c>
      <c r="E2778" s="1">
        <v>1799.99</v>
      </c>
      <c r="F2778" s="1">
        <v>0.05</v>
      </c>
      <c r="G2778">
        <v>3599.98</v>
      </c>
      <c r="H2778" s="22">
        <f>VLOOKUP(A2778,[1]Orders!$A$2:$B$1616,2,0)</f>
        <v>42908</v>
      </c>
      <c r="J2778" t="s">
        <v>12</v>
      </c>
      <c r="K2778" t="s">
        <v>37</v>
      </c>
    </row>
    <row r="2779" spans="1:11" x14ac:dyDescent="0.3">
      <c r="A2779">
        <v>971</v>
      </c>
      <c r="B2779">
        <v>4</v>
      </c>
      <c r="C2779">
        <v>12</v>
      </c>
      <c r="D2779">
        <v>2</v>
      </c>
      <c r="E2779" s="1">
        <v>549.99</v>
      </c>
      <c r="F2779" s="1">
        <v>7.0000000000000007E-2</v>
      </c>
      <c r="G2779">
        <v>1099.98</v>
      </c>
      <c r="H2779" s="22">
        <f>VLOOKUP(A2779,[1]Orders!$A$2:$B$1616,2,0)</f>
        <v>42908</v>
      </c>
      <c r="J2779" t="s">
        <v>25</v>
      </c>
      <c r="K2779" t="s">
        <v>37</v>
      </c>
    </row>
    <row r="2780" spans="1:11" x14ac:dyDescent="0.3">
      <c r="A2780">
        <v>971</v>
      </c>
      <c r="B2780">
        <v>5</v>
      </c>
      <c r="C2780">
        <v>38</v>
      </c>
      <c r="D2780">
        <v>1</v>
      </c>
      <c r="E2780" s="1">
        <v>549.99</v>
      </c>
      <c r="F2780" s="1">
        <v>0.2</v>
      </c>
      <c r="G2780">
        <v>549.99</v>
      </c>
      <c r="H2780" s="22">
        <f>VLOOKUP(A2780,[1]Orders!$A$2:$B$1616,2,0)</f>
        <v>42908</v>
      </c>
      <c r="J2780" t="s">
        <v>93</v>
      </c>
      <c r="K2780" t="s">
        <v>37</v>
      </c>
    </row>
    <row r="2781" spans="1:11" x14ac:dyDescent="0.3">
      <c r="A2781">
        <v>972</v>
      </c>
      <c r="B2781">
        <v>1</v>
      </c>
      <c r="C2781">
        <v>100</v>
      </c>
      <c r="D2781">
        <v>1</v>
      </c>
      <c r="E2781" s="1">
        <v>489.99</v>
      </c>
      <c r="F2781" s="1">
        <v>0.2</v>
      </c>
      <c r="G2781">
        <v>489.99</v>
      </c>
      <c r="H2781" s="22">
        <f>VLOOKUP(A2781,[1]Orders!$A$2:$B$1616,2,0)</f>
        <v>42909</v>
      </c>
      <c r="J2781" t="s">
        <v>105</v>
      </c>
      <c r="K2781" t="s">
        <v>18</v>
      </c>
    </row>
    <row r="2782" spans="1:11" x14ac:dyDescent="0.3">
      <c r="A2782">
        <v>972</v>
      </c>
      <c r="B2782">
        <v>2</v>
      </c>
      <c r="C2782">
        <v>63</v>
      </c>
      <c r="D2782">
        <v>1</v>
      </c>
      <c r="E2782" s="1">
        <v>3499.99</v>
      </c>
      <c r="F2782" s="1">
        <v>7.0000000000000007E-2</v>
      </c>
      <c r="G2782">
        <v>3499.99</v>
      </c>
      <c r="H2782" s="22">
        <f>VLOOKUP(A2782,[1]Orders!$A$2:$B$1616,2,0)</f>
        <v>42909</v>
      </c>
      <c r="J2782" t="s">
        <v>75</v>
      </c>
      <c r="K2782" t="s">
        <v>18</v>
      </c>
    </row>
    <row r="2783" spans="1:11" x14ac:dyDescent="0.3">
      <c r="A2783">
        <v>973</v>
      </c>
      <c r="B2783">
        <v>1</v>
      </c>
      <c r="C2783">
        <v>4</v>
      </c>
      <c r="D2783">
        <v>2</v>
      </c>
      <c r="E2783" s="1">
        <v>2899.99</v>
      </c>
      <c r="F2783" s="1">
        <v>0.1</v>
      </c>
      <c r="G2783">
        <v>5799.98</v>
      </c>
      <c r="H2783" s="22">
        <f>VLOOKUP(A2783,[1]Orders!$A$2:$B$1616,2,0)</f>
        <v>42910</v>
      </c>
      <c r="J2783" t="s">
        <v>16</v>
      </c>
      <c r="K2783" t="s">
        <v>18</v>
      </c>
    </row>
    <row r="2784" spans="1:11" x14ac:dyDescent="0.3">
      <c r="A2784">
        <v>973</v>
      </c>
      <c r="B2784">
        <v>2</v>
      </c>
      <c r="C2784">
        <v>28</v>
      </c>
      <c r="D2784">
        <v>2</v>
      </c>
      <c r="E2784" s="1">
        <v>2499.9899999999998</v>
      </c>
      <c r="F2784" s="1">
        <v>0.1</v>
      </c>
      <c r="G2784">
        <v>4999.9799999999996</v>
      </c>
      <c r="H2784" s="22">
        <f>VLOOKUP(A2784,[1]Orders!$A$2:$B$1616,2,0)</f>
        <v>42910</v>
      </c>
      <c r="J2784" t="s">
        <v>86</v>
      </c>
      <c r="K2784" t="s">
        <v>18</v>
      </c>
    </row>
    <row r="2785" spans="1:11" x14ac:dyDescent="0.3">
      <c r="A2785">
        <v>973</v>
      </c>
      <c r="B2785">
        <v>3</v>
      </c>
      <c r="C2785">
        <v>47</v>
      </c>
      <c r="D2785">
        <v>2</v>
      </c>
      <c r="E2785" s="1">
        <v>5299.99</v>
      </c>
      <c r="F2785" s="1">
        <v>0.05</v>
      </c>
      <c r="G2785">
        <v>10599.98</v>
      </c>
      <c r="H2785" s="22">
        <f>VLOOKUP(A2785,[1]Orders!$A$2:$B$1616,2,0)</f>
        <v>42910</v>
      </c>
      <c r="J2785" t="s">
        <v>54</v>
      </c>
      <c r="K2785" t="s">
        <v>18</v>
      </c>
    </row>
    <row r="2786" spans="1:11" x14ac:dyDescent="0.3">
      <c r="A2786">
        <v>973</v>
      </c>
      <c r="B2786">
        <v>4</v>
      </c>
      <c r="C2786">
        <v>71</v>
      </c>
      <c r="D2786">
        <v>1</v>
      </c>
      <c r="E2786" s="1">
        <v>416.99</v>
      </c>
      <c r="F2786" s="1">
        <v>7.0000000000000007E-2</v>
      </c>
      <c r="G2786">
        <v>416.99</v>
      </c>
      <c r="H2786" s="22">
        <f>VLOOKUP(A2786,[1]Orders!$A$2:$B$1616,2,0)</f>
        <v>42910</v>
      </c>
      <c r="J2786" t="s">
        <v>78</v>
      </c>
      <c r="K2786" t="s">
        <v>18</v>
      </c>
    </row>
    <row r="2787" spans="1:11" x14ac:dyDescent="0.3">
      <c r="A2787">
        <v>974</v>
      </c>
      <c r="B2787">
        <v>1</v>
      </c>
      <c r="C2787">
        <v>33</v>
      </c>
      <c r="D2787">
        <v>2</v>
      </c>
      <c r="E2787" s="1">
        <v>469.99</v>
      </c>
      <c r="F2787" s="1">
        <v>0.1</v>
      </c>
      <c r="G2787">
        <v>939.98</v>
      </c>
      <c r="H2787" s="22">
        <f>VLOOKUP(A2787,[1]Orders!$A$2:$B$1616,2,0)</f>
        <v>42910</v>
      </c>
      <c r="J2787" t="s">
        <v>67</v>
      </c>
      <c r="K2787" t="s">
        <v>37</v>
      </c>
    </row>
    <row r="2788" spans="1:11" x14ac:dyDescent="0.3">
      <c r="A2788">
        <v>974</v>
      </c>
      <c r="B2788">
        <v>2</v>
      </c>
      <c r="C2788">
        <v>22</v>
      </c>
      <c r="D2788">
        <v>2</v>
      </c>
      <c r="E2788" s="1">
        <v>269.99</v>
      </c>
      <c r="F2788" s="1">
        <v>0.2</v>
      </c>
      <c r="G2788">
        <v>539.98</v>
      </c>
      <c r="H2788" s="22">
        <f>VLOOKUP(A2788,[1]Orders!$A$2:$B$1616,2,0)</f>
        <v>42910</v>
      </c>
      <c r="J2788" t="s">
        <v>28</v>
      </c>
      <c r="K2788" t="s">
        <v>37</v>
      </c>
    </row>
    <row r="2789" spans="1:11" x14ac:dyDescent="0.3">
      <c r="A2789">
        <v>975</v>
      </c>
      <c r="B2789">
        <v>1</v>
      </c>
      <c r="C2789">
        <v>110</v>
      </c>
      <c r="D2789">
        <v>2</v>
      </c>
      <c r="E2789" s="1">
        <v>470.99</v>
      </c>
      <c r="F2789" s="1">
        <v>0.2</v>
      </c>
      <c r="G2789">
        <v>941.98</v>
      </c>
      <c r="H2789" s="22">
        <f>VLOOKUP(A2789,[1]Orders!$A$2:$B$1616,2,0)</f>
        <v>42911</v>
      </c>
      <c r="J2789" t="s">
        <v>65</v>
      </c>
      <c r="K2789" t="s">
        <v>18</v>
      </c>
    </row>
    <row r="2790" spans="1:11" x14ac:dyDescent="0.3">
      <c r="A2790">
        <v>976</v>
      </c>
      <c r="B2790">
        <v>1</v>
      </c>
      <c r="C2790">
        <v>26</v>
      </c>
      <c r="D2790">
        <v>2</v>
      </c>
      <c r="E2790" s="1">
        <v>599.99</v>
      </c>
      <c r="F2790" s="1">
        <v>0.1</v>
      </c>
      <c r="G2790">
        <v>1199.98</v>
      </c>
      <c r="H2790" s="22">
        <f>VLOOKUP(A2790,[1]Orders!$A$2:$B$1616,2,0)</f>
        <v>42911</v>
      </c>
      <c r="J2790" t="s">
        <v>14</v>
      </c>
      <c r="K2790" t="s">
        <v>37</v>
      </c>
    </row>
    <row r="2791" spans="1:11" x14ac:dyDescent="0.3">
      <c r="A2791">
        <v>976</v>
      </c>
      <c r="B2791">
        <v>2</v>
      </c>
      <c r="C2791">
        <v>39</v>
      </c>
      <c r="D2791">
        <v>1</v>
      </c>
      <c r="E2791" s="1">
        <v>1499.99</v>
      </c>
      <c r="F2791" s="1">
        <v>7.0000000000000007E-2</v>
      </c>
      <c r="G2791">
        <v>1499.99</v>
      </c>
      <c r="H2791" s="22">
        <f>VLOOKUP(A2791,[1]Orders!$A$2:$B$1616,2,0)</f>
        <v>42911</v>
      </c>
      <c r="J2791" t="s">
        <v>72</v>
      </c>
      <c r="K2791" t="s">
        <v>37</v>
      </c>
    </row>
    <row r="2792" spans="1:11" x14ac:dyDescent="0.3">
      <c r="A2792">
        <v>977</v>
      </c>
      <c r="B2792">
        <v>1</v>
      </c>
      <c r="C2792">
        <v>52</v>
      </c>
      <c r="D2792">
        <v>2</v>
      </c>
      <c r="E2792" s="1">
        <v>875.99</v>
      </c>
      <c r="F2792" s="1">
        <v>0.1</v>
      </c>
      <c r="G2792">
        <v>1751.98</v>
      </c>
      <c r="H2792" s="22">
        <f>VLOOKUP(A2792,[1]Orders!$A$2:$B$1616,2,0)</f>
        <v>42912</v>
      </c>
      <c r="J2792" t="s">
        <v>68</v>
      </c>
      <c r="K2792" t="s">
        <v>18</v>
      </c>
    </row>
    <row r="2793" spans="1:11" x14ac:dyDescent="0.3">
      <c r="A2793">
        <v>977</v>
      </c>
      <c r="B2793">
        <v>2</v>
      </c>
      <c r="C2793">
        <v>69</v>
      </c>
      <c r="D2793">
        <v>2</v>
      </c>
      <c r="E2793" s="1">
        <v>416.99</v>
      </c>
      <c r="F2793" s="1">
        <v>0.05</v>
      </c>
      <c r="G2793">
        <v>833.98</v>
      </c>
      <c r="H2793" s="22">
        <f>VLOOKUP(A2793,[1]Orders!$A$2:$B$1616,2,0)</f>
        <v>42912</v>
      </c>
      <c r="J2793" t="s">
        <v>89</v>
      </c>
      <c r="K2793" t="s">
        <v>18</v>
      </c>
    </row>
    <row r="2794" spans="1:11" x14ac:dyDescent="0.3">
      <c r="A2794">
        <v>977</v>
      </c>
      <c r="B2794">
        <v>3</v>
      </c>
      <c r="C2794">
        <v>27</v>
      </c>
      <c r="D2794">
        <v>1</v>
      </c>
      <c r="E2794" s="1">
        <v>999.99</v>
      </c>
      <c r="F2794" s="1">
        <v>0.05</v>
      </c>
      <c r="G2794">
        <v>999.99</v>
      </c>
      <c r="H2794" s="22">
        <f>VLOOKUP(A2794,[1]Orders!$A$2:$B$1616,2,0)</f>
        <v>42912</v>
      </c>
      <c r="J2794" t="s">
        <v>106</v>
      </c>
      <c r="K2794" t="s">
        <v>18</v>
      </c>
    </row>
    <row r="2795" spans="1:11" x14ac:dyDescent="0.3">
      <c r="A2795">
        <v>977</v>
      </c>
      <c r="B2795">
        <v>4</v>
      </c>
      <c r="C2795">
        <v>80</v>
      </c>
      <c r="D2795">
        <v>2</v>
      </c>
      <c r="E2795" s="1">
        <v>761.99</v>
      </c>
      <c r="F2795" s="1">
        <v>0.05</v>
      </c>
      <c r="G2795">
        <v>1523.98</v>
      </c>
      <c r="H2795" s="22">
        <f>VLOOKUP(A2795,[1]Orders!$A$2:$B$1616,2,0)</f>
        <v>42912</v>
      </c>
      <c r="J2795" t="s">
        <v>63</v>
      </c>
      <c r="K2795" t="s">
        <v>18</v>
      </c>
    </row>
    <row r="2796" spans="1:11" x14ac:dyDescent="0.3">
      <c r="A2796">
        <v>978</v>
      </c>
      <c r="B2796">
        <v>1</v>
      </c>
      <c r="C2796">
        <v>106</v>
      </c>
      <c r="D2796">
        <v>2</v>
      </c>
      <c r="E2796" s="1">
        <v>449.99</v>
      </c>
      <c r="F2796" s="1">
        <v>0.05</v>
      </c>
      <c r="G2796">
        <v>899.98</v>
      </c>
      <c r="H2796" s="22">
        <f>VLOOKUP(A2796,[1]Orders!$A$2:$B$1616,2,0)</f>
        <v>42912</v>
      </c>
      <c r="J2796" t="s">
        <v>39</v>
      </c>
      <c r="K2796" t="s">
        <v>18</v>
      </c>
    </row>
    <row r="2797" spans="1:11" x14ac:dyDescent="0.3">
      <c r="A2797">
        <v>978</v>
      </c>
      <c r="B2797">
        <v>2</v>
      </c>
      <c r="C2797">
        <v>25</v>
      </c>
      <c r="D2797">
        <v>2</v>
      </c>
      <c r="E2797" s="1">
        <v>499.99</v>
      </c>
      <c r="F2797" s="1">
        <v>0.2</v>
      </c>
      <c r="G2797">
        <v>999.98</v>
      </c>
      <c r="H2797" s="22">
        <f>VLOOKUP(A2797,[1]Orders!$A$2:$B$1616,2,0)</f>
        <v>42912</v>
      </c>
      <c r="J2797" t="s">
        <v>35</v>
      </c>
      <c r="K2797" t="s">
        <v>18</v>
      </c>
    </row>
    <row r="2798" spans="1:11" x14ac:dyDescent="0.3">
      <c r="A2798">
        <v>978</v>
      </c>
      <c r="B2798">
        <v>3</v>
      </c>
      <c r="C2798">
        <v>108</v>
      </c>
      <c r="D2798">
        <v>2</v>
      </c>
      <c r="E2798" s="1">
        <v>449.99</v>
      </c>
      <c r="F2798" s="1">
        <v>0.05</v>
      </c>
      <c r="G2798">
        <v>899.98</v>
      </c>
      <c r="H2798" s="22">
        <f>VLOOKUP(A2798,[1]Orders!$A$2:$B$1616,2,0)</f>
        <v>42912</v>
      </c>
      <c r="J2798" t="s">
        <v>85</v>
      </c>
      <c r="K2798" t="s">
        <v>18</v>
      </c>
    </row>
    <row r="2799" spans="1:11" x14ac:dyDescent="0.3">
      <c r="A2799">
        <v>979</v>
      </c>
      <c r="B2799">
        <v>1</v>
      </c>
      <c r="C2799">
        <v>55</v>
      </c>
      <c r="D2799">
        <v>1</v>
      </c>
      <c r="E2799" s="1">
        <v>2699.99</v>
      </c>
      <c r="F2799" s="1">
        <v>0.05</v>
      </c>
      <c r="G2799">
        <v>2699.99</v>
      </c>
      <c r="H2799" s="22">
        <f>VLOOKUP(A2799,[1]Orders!$A$2:$B$1616,2,0)</f>
        <v>42912</v>
      </c>
      <c r="J2799" t="s">
        <v>76</v>
      </c>
      <c r="K2799" t="s">
        <v>18</v>
      </c>
    </row>
    <row r="2800" spans="1:11" x14ac:dyDescent="0.3">
      <c r="A2800">
        <v>979</v>
      </c>
      <c r="B2800">
        <v>2</v>
      </c>
      <c r="C2800">
        <v>71</v>
      </c>
      <c r="D2800">
        <v>2</v>
      </c>
      <c r="E2800" s="1">
        <v>416.99</v>
      </c>
      <c r="F2800" s="1">
        <v>0.2</v>
      </c>
      <c r="G2800">
        <v>833.98</v>
      </c>
      <c r="H2800" s="22">
        <f>VLOOKUP(A2800,[1]Orders!$A$2:$B$1616,2,0)</f>
        <v>42912</v>
      </c>
      <c r="J2800" t="s">
        <v>78</v>
      </c>
      <c r="K2800" t="s">
        <v>18</v>
      </c>
    </row>
    <row r="2801" spans="1:11" x14ac:dyDescent="0.3">
      <c r="A2801">
        <v>979</v>
      </c>
      <c r="B2801">
        <v>3</v>
      </c>
      <c r="C2801">
        <v>12</v>
      </c>
      <c r="D2801">
        <v>2</v>
      </c>
      <c r="E2801" s="1">
        <v>549.99</v>
      </c>
      <c r="F2801" s="1">
        <v>0.1</v>
      </c>
      <c r="G2801">
        <v>1099.98</v>
      </c>
      <c r="H2801" s="22">
        <f>VLOOKUP(A2801,[1]Orders!$A$2:$B$1616,2,0)</f>
        <v>42912</v>
      </c>
      <c r="J2801" t="s">
        <v>25</v>
      </c>
      <c r="K2801" t="s">
        <v>18</v>
      </c>
    </row>
    <row r="2802" spans="1:11" x14ac:dyDescent="0.3">
      <c r="A2802">
        <v>979</v>
      </c>
      <c r="B2802">
        <v>4</v>
      </c>
      <c r="C2802">
        <v>52</v>
      </c>
      <c r="D2802">
        <v>1</v>
      </c>
      <c r="E2802" s="1">
        <v>875.99</v>
      </c>
      <c r="F2802" s="1">
        <v>0.2</v>
      </c>
      <c r="G2802">
        <v>875.99</v>
      </c>
      <c r="H2802" s="22">
        <f>VLOOKUP(A2802,[1]Orders!$A$2:$B$1616,2,0)</f>
        <v>42912</v>
      </c>
      <c r="J2802" t="s">
        <v>68</v>
      </c>
      <c r="K2802" t="s">
        <v>18</v>
      </c>
    </row>
    <row r="2803" spans="1:11" x14ac:dyDescent="0.3">
      <c r="A2803">
        <v>980</v>
      </c>
      <c r="B2803">
        <v>1</v>
      </c>
      <c r="C2803">
        <v>49</v>
      </c>
      <c r="D2803">
        <v>2</v>
      </c>
      <c r="E2803" s="1">
        <v>3499.99</v>
      </c>
      <c r="F2803" s="1">
        <v>0.2</v>
      </c>
      <c r="G2803">
        <v>6999.98</v>
      </c>
      <c r="H2803" s="22">
        <f>VLOOKUP(A2803,[1]Orders!$A$2:$B$1616,2,0)</f>
        <v>42912</v>
      </c>
      <c r="J2803" t="s">
        <v>70</v>
      </c>
      <c r="K2803" t="s">
        <v>37</v>
      </c>
    </row>
    <row r="2804" spans="1:11" x14ac:dyDescent="0.3">
      <c r="A2804">
        <v>980</v>
      </c>
      <c r="B2804">
        <v>2</v>
      </c>
      <c r="C2804">
        <v>9</v>
      </c>
      <c r="D2804">
        <v>1</v>
      </c>
      <c r="E2804" s="1">
        <v>2999.99</v>
      </c>
      <c r="F2804" s="1">
        <v>0.1</v>
      </c>
      <c r="G2804">
        <v>2999.99</v>
      </c>
      <c r="H2804" s="22">
        <f>VLOOKUP(A2804,[1]Orders!$A$2:$B$1616,2,0)</f>
        <v>42912</v>
      </c>
      <c r="J2804" t="s">
        <v>26</v>
      </c>
      <c r="K2804" t="s">
        <v>37</v>
      </c>
    </row>
    <row r="2805" spans="1:11" x14ac:dyDescent="0.3">
      <c r="A2805">
        <v>980</v>
      </c>
      <c r="B2805">
        <v>3</v>
      </c>
      <c r="C2805">
        <v>64</v>
      </c>
      <c r="D2805">
        <v>1</v>
      </c>
      <c r="E2805" s="1">
        <v>489.99</v>
      </c>
      <c r="F2805" s="1">
        <v>0.1</v>
      </c>
      <c r="G2805">
        <v>489.99</v>
      </c>
      <c r="H2805" s="22">
        <f>VLOOKUP(A2805,[1]Orders!$A$2:$B$1616,2,0)</f>
        <v>42912</v>
      </c>
      <c r="J2805" t="s">
        <v>51</v>
      </c>
      <c r="K2805" t="s">
        <v>37</v>
      </c>
    </row>
    <row r="2806" spans="1:11" x14ac:dyDescent="0.3">
      <c r="A2806">
        <v>981</v>
      </c>
      <c r="B2806">
        <v>1</v>
      </c>
      <c r="C2806">
        <v>35</v>
      </c>
      <c r="D2806">
        <v>1</v>
      </c>
      <c r="E2806" s="1">
        <v>832.99</v>
      </c>
      <c r="F2806" s="1">
        <v>0.1</v>
      </c>
      <c r="G2806">
        <v>832.99</v>
      </c>
      <c r="H2806" s="22">
        <f>VLOOKUP(A2806,[1]Orders!$A$2:$B$1616,2,0)</f>
        <v>42912</v>
      </c>
      <c r="J2806" t="s">
        <v>109</v>
      </c>
      <c r="K2806" t="s">
        <v>37</v>
      </c>
    </row>
    <row r="2807" spans="1:11" x14ac:dyDescent="0.3">
      <c r="A2807">
        <v>981</v>
      </c>
      <c r="B2807">
        <v>2</v>
      </c>
      <c r="C2807">
        <v>95</v>
      </c>
      <c r="D2807">
        <v>2</v>
      </c>
      <c r="E2807" s="1">
        <v>299.99</v>
      </c>
      <c r="F2807" s="1">
        <v>0.05</v>
      </c>
      <c r="G2807">
        <v>599.98</v>
      </c>
      <c r="H2807" s="22">
        <f>VLOOKUP(A2807,[1]Orders!$A$2:$B$1616,2,0)</f>
        <v>42912</v>
      </c>
      <c r="J2807" t="s">
        <v>48</v>
      </c>
      <c r="K2807" t="s">
        <v>37</v>
      </c>
    </row>
    <row r="2808" spans="1:11" x14ac:dyDescent="0.3">
      <c r="A2808">
        <v>981</v>
      </c>
      <c r="B2808">
        <v>3</v>
      </c>
      <c r="C2808">
        <v>21</v>
      </c>
      <c r="D2808">
        <v>2</v>
      </c>
      <c r="E2808" s="1">
        <v>269.99</v>
      </c>
      <c r="F2808" s="1">
        <v>7.0000000000000007E-2</v>
      </c>
      <c r="G2808">
        <v>539.98</v>
      </c>
      <c r="H2808" s="22">
        <f>VLOOKUP(A2808,[1]Orders!$A$2:$B$1616,2,0)</f>
        <v>42912</v>
      </c>
      <c r="J2808" t="s">
        <v>31</v>
      </c>
      <c r="K2808" t="s">
        <v>37</v>
      </c>
    </row>
    <row r="2809" spans="1:11" x14ac:dyDescent="0.3">
      <c r="A2809">
        <v>981</v>
      </c>
      <c r="B2809">
        <v>4</v>
      </c>
      <c r="C2809">
        <v>36</v>
      </c>
      <c r="D2809">
        <v>2</v>
      </c>
      <c r="E2809" s="1">
        <v>832.99</v>
      </c>
      <c r="F2809" s="1">
        <v>0.1</v>
      </c>
      <c r="G2809">
        <v>1665.98</v>
      </c>
      <c r="H2809" s="22">
        <f>VLOOKUP(A2809,[1]Orders!$A$2:$B$1616,2,0)</f>
        <v>42912</v>
      </c>
      <c r="J2809" t="s">
        <v>116</v>
      </c>
      <c r="K2809" t="s">
        <v>37</v>
      </c>
    </row>
    <row r="2810" spans="1:11" x14ac:dyDescent="0.3">
      <c r="A2810">
        <v>981</v>
      </c>
      <c r="B2810">
        <v>5</v>
      </c>
      <c r="C2810">
        <v>61</v>
      </c>
      <c r="D2810">
        <v>1</v>
      </c>
      <c r="E2810" s="1">
        <v>4999.99</v>
      </c>
      <c r="F2810" s="1">
        <v>7.0000000000000007E-2</v>
      </c>
      <c r="G2810">
        <v>4999.99</v>
      </c>
      <c r="H2810" s="22">
        <f>VLOOKUP(A2810,[1]Orders!$A$2:$B$1616,2,0)</f>
        <v>42912</v>
      </c>
      <c r="J2810" t="s">
        <v>45</v>
      </c>
      <c r="K2810" t="s">
        <v>37</v>
      </c>
    </row>
    <row r="2811" spans="1:11" x14ac:dyDescent="0.3">
      <c r="A2811">
        <v>982</v>
      </c>
      <c r="B2811">
        <v>1</v>
      </c>
      <c r="C2811">
        <v>22</v>
      </c>
      <c r="D2811">
        <v>2</v>
      </c>
      <c r="E2811" s="1">
        <v>269.99</v>
      </c>
      <c r="F2811" s="1">
        <v>0.1</v>
      </c>
      <c r="G2811">
        <v>539.98</v>
      </c>
      <c r="H2811" s="22">
        <f>VLOOKUP(A2811,[1]Orders!$A$2:$B$1616,2,0)</f>
        <v>42912</v>
      </c>
      <c r="J2811" t="s">
        <v>28</v>
      </c>
      <c r="K2811" t="s">
        <v>37</v>
      </c>
    </row>
    <row r="2812" spans="1:11" x14ac:dyDescent="0.3">
      <c r="A2812">
        <v>982</v>
      </c>
      <c r="B2812">
        <v>2</v>
      </c>
      <c r="C2812">
        <v>110</v>
      </c>
      <c r="D2812">
        <v>1</v>
      </c>
      <c r="E2812" s="1">
        <v>470.99</v>
      </c>
      <c r="F2812" s="1">
        <v>7.0000000000000007E-2</v>
      </c>
      <c r="G2812">
        <v>470.99</v>
      </c>
      <c r="H2812" s="22">
        <f>VLOOKUP(A2812,[1]Orders!$A$2:$B$1616,2,0)</f>
        <v>42912</v>
      </c>
      <c r="J2812" t="s">
        <v>65</v>
      </c>
      <c r="K2812" t="s">
        <v>37</v>
      </c>
    </row>
    <row r="2813" spans="1:11" x14ac:dyDescent="0.3">
      <c r="A2813">
        <v>982</v>
      </c>
      <c r="B2813">
        <v>3</v>
      </c>
      <c r="C2813">
        <v>52</v>
      </c>
      <c r="D2813">
        <v>1</v>
      </c>
      <c r="E2813" s="1">
        <v>875.99</v>
      </c>
      <c r="F2813" s="1">
        <v>7.0000000000000007E-2</v>
      </c>
      <c r="G2813">
        <v>875.99</v>
      </c>
      <c r="H2813" s="22">
        <f>VLOOKUP(A2813,[1]Orders!$A$2:$B$1616,2,0)</f>
        <v>42912</v>
      </c>
      <c r="J2813" t="s">
        <v>68</v>
      </c>
      <c r="K2813" t="s">
        <v>37</v>
      </c>
    </row>
    <row r="2814" spans="1:11" x14ac:dyDescent="0.3">
      <c r="A2814">
        <v>982</v>
      </c>
      <c r="B2814">
        <v>4</v>
      </c>
      <c r="C2814">
        <v>40</v>
      </c>
      <c r="D2814">
        <v>2</v>
      </c>
      <c r="E2814" s="1">
        <v>4999.99</v>
      </c>
      <c r="F2814" s="1">
        <v>0.05</v>
      </c>
      <c r="G2814">
        <v>9999.98</v>
      </c>
      <c r="H2814" s="22">
        <f>VLOOKUP(A2814,[1]Orders!$A$2:$B$1616,2,0)</f>
        <v>42912</v>
      </c>
      <c r="J2814" t="s">
        <v>104</v>
      </c>
      <c r="K2814" t="s">
        <v>37</v>
      </c>
    </row>
    <row r="2815" spans="1:11" x14ac:dyDescent="0.3">
      <c r="A2815">
        <v>983</v>
      </c>
      <c r="B2815">
        <v>1</v>
      </c>
      <c r="C2815">
        <v>63</v>
      </c>
      <c r="D2815">
        <v>1</v>
      </c>
      <c r="E2815" s="1">
        <v>3499.99</v>
      </c>
      <c r="F2815" s="1">
        <v>0.1</v>
      </c>
      <c r="G2815">
        <v>3499.99</v>
      </c>
      <c r="H2815" s="22">
        <f>VLOOKUP(A2815,[1]Orders!$A$2:$B$1616,2,0)</f>
        <v>42913</v>
      </c>
      <c r="J2815" t="s">
        <v>75</v>
      </c>
      <c r="K2815" t="s">
        <v>18</v>
      </c>
    </row>
    <row r="2816" spans="1:11" x14ac:dyDescent="0.3">
      <c r="A2816">
        <v>983</v>
      </c>
      <c r="B2816">
        <v>2</v>
      </c>
      <c r="C2816">
        <v>20</v>
      </c>
      <c r="D2816">
        <v>2</v>
      </c>
      <c r="E2816" s="1">
        <v>599.99</v>
      </c>
      <c r="F2816" s="1">
        <v>0.2</v>
      </c>
      <c r="G2816">
        <v>1199.98</v>
      </c>
      <c r="H2816" s="22">
        <f>VLOOKUP(A2816,[1]Orders!$A$2:$B$1616,2,0)</f>
        <v>42913</v>
      </c>
      <c r="J2816" t="s">
        <v>10</v>
      </c>
      <c r="K2816" t="s">
        <v>18</v>
      </c>
    </row>
    <row r="2817" spans="1:11" x14ac:dyDescent="0.3">
      <c r="A2817">
        <v>983</v>
      </c>
      <c r="B2817">
        <v>3</v>
      </c>
      <c r="C2817">
        <v>68</v>
      </c>
      <c r="D2817">
        <v>1</v>
      </c>
      <c r="E2817" s="1">
        <v>449.99</v>
      </c>
      <c r="F2817" s="1">
        <v>7.0000000000000007E-2</v>
      </c>
      <c r="G2817">
        <v>449.99</v>
      </c>
      <c r="H2817" s="22">
        <f>VLOOKUP(A2817,[1]Orders!$A$2:$B$1616,2,0)</f>
        <v>42913</v>
      </c>
      <c r="J2817" t="s">
        <v>39</v>
      </c>
      <c r="K2817" t="s">
        <v>18</v>
      </c>
    </row>
    <row r="2818" spans="1:11" x14ac:dyDescent="0.3">
      <c r="A2818">
        <v>983</v>
      </c>
      <c r="B2818">
        <v>4</v>
      </c>
      <c r="C2818">
        <v>81</v>
      </c>
      <c r="D2818">
        <v>2</v>
      </c>
      <c r="E2818" s="1">
        <v>1099.99</v>
      </c>
      <c r="F2818" s="1">
        <v>7.0000000000000007E-2</v>
      </c>
      <c r="G2818">
        <v>2199.98</v>
      </c>
      <c r="H2818" s="22">
        <f>VLOOKUP(A2818,[1]Orders!$A$2:$B$1616,2,0)</f>
        <v>42913</v>
      </c>
      <c r="J2818" t="s">
        <v>99</v>
      </c>
      <c r="K2818" t="s">
        <v>18</v>
      </c>
    </row>
    <row r="2819" spans="1:11" x14ac:dyDescent="0.3">
      <c r="A2819">
        <v>983</v>
      </c>
      <c r="B2819">
        <v>5</v>
      </c>
      <c r="C2819">
        <v>88</v>
      </c>
      <c r="D2819">
        <v>1</v>
      </c>
      <c r="E2819" s="1">
        <v>189.99</v>
      </c>
      <c r="F2819" s="1">
        <v>0.05</v>
      </c>
      <c r="G2819">
        <v>189.99</v>
      </c>
      <c r="H2819" s="22">
        <f>VLOOKUP(A2819,[1]Orders!$A$2:$B$1616,2,0)</f>
        <v>42913</v>
      </c>
      <c r="J2819" t="s">
        <v>64</v>
      </c>
      <c r="K2819" t="s">
        <v>18</v>
      </c>
    </row>
    <row r="2820" spans="1:11" x14ac:dyDescent="0.3">
      <c r="A2820">
        <v>984</v>
      </c>
      <c r="B2820">
        <v>1</v>
      </c>
      <c r="C2820">
        <v>68</v>
      </c>
      <c r="D2820">
        <v>1</v>
      </c>
      <c r="E2820" s="1">
        <v>449.99</v>
      </c>
      <c r="F2820" s="1">
        <v>0.2</v>
      </c>
      <c r="G2820">
        <v>449.99</v>
      </c>
      <c r="H2820" s="22">
        <f>VLOOKUP(A2820,[1]Orders!$A$2:$B$1616,2,0)</f>
        <v>42913</v>
      </c>
      <c r="J2820" t="s">
        <v>39</v>
      </c>
      <c r="K2820" t="s">
        <v>18</v>
      </c>
    </row>
    <row r="2821" spans="1:11" x14ac:dyDescent="0.3">
      <c r="A2821">
        <v>984</v>
      </c>
      <c r="B2821">
        <v>2</v>
      </c>
      <c r="C2821">
        <v>81</v>
      </c>
      <c r="D2821">
        <v>2</v>
      </c>
      <c r="E2821" s="1">
        <v>1099.99</v>
      </c>
      <c r="F2821" s="1">
        <v>0.2</v>
      </c>
      <c r="G2821">
        <v>2199.98</v>
      </c>
      <c r="H2821" s="22">
        <f>VLOOKUP(A2821,[1]Orders!$A$2:$B$1616,2,0)</f>
        <v>42913</v>
      </c>
      <c r="J2821" t="s">
        <v>99</v>
      </c>
      <c r="K2821" t="s">
        <v>18</v>
      </c>
    </row>
    <row r="2822" spans="1:11" x14ac:dyDescent="0.3">
      <c r="A2822">
        <v>984</v>
      </c>
      <c r="B2822">
        <v>3</v>
      </c>
      <c r="C2822">
        <v>12</v>
      </c>
      <c r="D2822">
        <v>1</v>
      </c>
      <c r="E2822" s="1">
        <v>549.99</v>
      </c>
      <c r="F2822" s="1">
        <v>0.1</v>
      </c>
      <c r="G2822">
        <v>549.99</v>
      </c>
      <c r="H2822" s="22">
        <f>VLOOKUP(A2822,[1]Orders!$A$2:$B$1616,2,0)</f>
        <v>42913</v>
      </c>
      <c r="J2822" t="s">
        <v>25</v>
      </c>
      <c r="K2822" t="s">
        <v>18</v>
      </c>
    </row>
    <row r="2823" spans="1:11" x14ac:dyDescent="0.3">
      <c r="A2823">
        <v>984</v>
      </c>
      <c r="B2823">
        <v>4</v>
      </c>
      <c r="C2823">
        <v>111</v>
      </c>
      <c r="D2823">
        <v>1</v>
      </c>
      <c r="E2823" s="1">
        <v>470.99</v>
      </c>
      <c r="F2823" s="1">
        <v>0.2</v>
      </c>
      <c r="G2823">
        <v>470.99</v>
      </c>
      <c r="H2823" s="22">
        <f>VLOOKUP(A2823,[1]Orders!$A$2:$B$1616,2,0)</f>
        <v>42913</v>
      </c>
      <c r="J2823" t="s">
        <v>112</v>
      </c>
      <c r="K2823" t="s">
        <v>18</v>
      </c>
    </row>
    <row r="2824" spans="1:11" x14ac:dyDescent="0.3">
      <c r="A2824">
        <v>985</v>
      </c>
      <c r="B2824">
        <v>1</v>
      </c>
      <c r="C2824">
        <v>5</v>
      </c>
      <c r="D2824">
        <v>2</v>
      </c>
      <c r="E2824" s="1">
        <v>1320.99</v>
      </c>
      <c r="F2824" s="1">
        <v>7.0000000000000007E-2</v>
      </c>
      <c r="G2824">
        <v>2641.98</v>
      </c>
      <c r="H2824" s="22">
        <f>VLOOKUP(A2824,[1]Orders!$A$2:$B$1616,2,0)</f>
        <v>42916</v>
      </c>
      <c r="J2824" t="s">
        <v>34</v>
      </c>
      <c r="K2824" t="s">
        <v>18</v>
      </c>
    </row>
    <row r="2825" spans="1:11" x14ac:dyDescent="0.3">
      <c r="A2825">
        <v>985</v>
      </c>
      <c r="B2825">
        <v>2</v>
      </c>
      <c r="C2825">
        <v>59</v>
      </c>
      <c r="D2825">
        <v>1</v>
      </c>
      <c r="E2825" s="1">
        <v>2599.9899999999998</v>
      </c>
      <c r="F2825" s="1">
        <v>0.2</v>
      </c>
      <c r="G2825">
        <v>2599.9899999999998</v>
      </c>
      <c r="H2825" s="22">
        <f>VLOOKUP(A2825,[1]Orders!$A$2:$B$1616,2,0)</f>
        <v>42916</v>
      </c>
      <c r="J2825" t="s">
        <v>74</v>
      </c>
      <c r="K2825" t="s">
        <v>18</v>
      </c>
    </row>
    <row r="2826" spans="1:11" x14ac:dyDescent="0.3">
      <c r="A2826">
        <v>985</v>
      </c>
      <c r="B2826">
        <v>3</v>
      </c>
      <c r="C2826">
        <v>78</v>
      </c>
      <c r="D2826">
        <v>2</v>
      </c>
      <c r="E2826" s="1">
        <v>647.99</v>
      </c>
      <c r="F2826" s="1">
        <v>0.05</v>
      </c>
      <c r="G2826">
        <v>1295.98</v>
      </c>
      <c r="H2826" s="22">
        <f>VLOOKUP(A2826,[1]Orders!$A$2:$B$1616,2,0)</f>
        <v>42916</v>
      </c>
      <c r="J2826" t="s">
        <v>57</v>
      </c>
      <c r="K2826" t="s">
        <v>18</v>
      </c>
    </row>
    <row r="2827" spans="1:11" x14ac:dyDescent="0.3">
      <c r="A2827">
        <v>986</v>
      </c>
      <c r="B2827">
        <v>1</v>
      </c>
      <c r="C2827">
        <v>87</v>
      </c>
      <c r="D2827">
        <v>1</v>
      </c>
      <c r="E2827" s="1">
        <v>189.99</v>
      </c>
      <c r="F2827" s="1">
        <v>0.1</v>
      </c>
      <c r="G2827">
        <v>189.99</v>
      </c>
      <c r="H2827" s="22">
        <f>VLOOKUP(A2827,[1]Orders!$A$2:$B$1616,2,0)</f>
        <v>42916</v>
      </c>
      <c r="J2827" t="s">
        <v>117</v>
      </c>
      <c r="K2827" t="s">
        <v>18</v>
      </c>
    </row>
    <row r="2828" spans="1:11" x14ac:dyDescent="0.3">
      <c r="A2828">
        <v>986</v>
      </c>
      <c r="B2828">
        <v>2</v>
      </c>
      <c r="C2828">
        <v>78</v>
      </c>
      <c r="D2828">
        <v>1</v>
      </c>
      <c r="E2828" s="1">
        <v>647.99</v>
      </c>
      <c r="F2828" s="1">
        <v>0.05</v>
      </c>
      <c r="G2828">
        <v>647.99</v>
      </c>
      <c r="H2828" s="22">
        <f>VLOOKUP(A2828,[1]Orders!$A$2:$B$1616,2,0)</f>
        <v>42916</v>
      </c>
      <c r="J2828" t="s">
        <v>57</v>
      </c>
      <c r="K2828" t="s">
        <v>18</v>
      </c>
    </row>
    <row r="2829" spans="1:11" x14ac:dyDescent="0.3">
      <c r="A2829">
        <v>986</v>
      </c>
      <c r="B2829">
        <v>3</v>
      </c>
      <c r="C2829">
        <v>26</v>
      </c>
      <c r="D2829">
        <v>2</v>
      </c>
      <c r="E2829" s="1">
        <v>599.99</v>
      </c>
      <c r="F2829" s="1">
        <v>7.0000000000000007E-2</v>
      </c>
      <c r="G2829">
        <v>1199.98</v>
      </c>
      <c r="H2829" s="22">
        <f>VLOOKUP(A2829,[1]Orders!$A$2:$B$1616,2,0)</f>
        <v>42916</v>
      </c>
      <c r="J2829" t="s">
        <v>14</v>
      </c>
      <c r="K2829" t="s">
        <v>18</v>
      </c>
    </row>
    <row r="2830" spans="1:11" x14ac:dyDescent="0.3">
      <c r="A2830">
        <v>987</v>
      </c>
      <c r="B2830">
        <v>1</v>
      </c>
      <c r="C2830">
        <v>51</v>
      </c>
      <c r="D2830">
        <v>2</v>
      </c>
      <c r="E2830" s="1">
        <v>6499.99</v>
      </c>
      <c r="F2830" s="1">
        <v>0.1</v>
      </c>
      <c r="G2830">
        <v>12999.98</v>
      </c>
      <c r="H2830" s="22">
        <f>VLOOKUP(A2830,[1]Orders!$A$2:$B$1616,2,0)</f>
        <v>42918</v>
      </c>
      <c r="J2830" t="s">
        <v>90</v>
      </c>
      <c r="K2830" t="s">
        <v>11</v>
      </c>
    </row>
    <row r="2831" spans="1:11" x14ac:dyDescent="0.3">
      <c r="A2831">
        <v>987</v>
      </c>
      <c r="B2831">
        <v>2</v>
      </c>
      <c r="C2831">
        <v>60</v>
      </c>
      <c r="D2831">
        <v>2</v>
      </c>
      <c r="E2831" s="1">
        <v>1559.99</v>
      </c>
      <c r="F2831" s="1">
        <v>0.2</v>
      </c>
      <c r="G2831">
        <v>3119.98</v>
      </c>
      <c r="H2831" s="22">
        <f>VLOOKUP(A2831,[1]Orders!$A$2:$B$1616,2,0)</f>
        <v>42918</v>
      </c>
      <c r="J2831" t="s">
        <v>101</v>
      </c>
      <c r="K2831" t="s">
        <v>11</v>
      </c>
    </row>
    <row r="2832" spans="1:11" x14ac:dyDescent="0.3">
      <c r="A2832">
        <v>987</v>
      </c>
      <c r="B2832">
        <v>3</v>
      </c>
      <c r="C2832">
        <v>80</v>
      </c>
      <c r="D2832">
        <v>1</v>
      </c>
      <c r="E2832" s="1">
        <v>761.99</v>
      </c>
      <c r="F2832" s="1">
        <v>7.0000000000000007E-2</v>
      </c>
      <c r="G2832">
        <v>761.99</v>
      </c>
      <c r="H2832" s="22">
        <f>VLOOKUP(A2832,[1]Orders!$A$2:$B$1616,2,0)</f>
        <v>42918</v>
      </c>
      <c r="J2832" t="s">
        <v>63</v>
      </c>
      <c r="K2832" t="s">
        <v>11</v>
      </c>
    </row>
    <row r="2833" spans="1:11" x14ac:dyDescent="0.3">
      <c r="A2833">
        <v>988</v>
      </c>
      <c r="B2833">
        <v>1</v>
      </c>
      <c r="C2833">
        <v>35</v>
      </c>
      <c r="D2833">
        <v>1</v>
      </c>
      <c r="E2833" s="1">
        <v>832.99</v>
      </c>
      <c r="F2833" s="1">
        <v>0.2</v>
      </c>
      <c r="G2833">
        <v>832.99</v>
      </c>
      <c r="H2833" s="22">
        <f>VLOOKUP(A2833,[1]Orders!$A$2:$B$1616,2,0)</f>
        <v>42918</v>
      </c>
      <c r="J2833" t="s">
        <v>109</v>
      </c>
      <c r="K2833" t="s">
        <v>18</v>
      </c>
    </row>
    <row r="2834" spans="1:11" x14ac:dyDescent="0.3">
      <c r="A2834">
        <v>988</v>
      </c>
      <c r="B2834">
        <v>2</v>
      </c>
      <c r="C2834">
        <v>38</v>
      </c>
      <c r="D2834">
        <v>1</v>
      </c>
      <c r="E2834" s="1">
        <v>549.99</v>
      </c>
      <c r="F2834" s="1">
        <v>7.0000000000000007E-2</v>
      </c>
      <c r="G2834">
        <v>549.99</v>
      </c>
      <c r="H2834" s="22">
        <f>VLOOKUP(A2834,[1]Orders!$A$2:$B$1616,2,0)</f>
        <v>42918</v>
      </c>
      <c r="J2834" t="s">
        <v>93</v>
      </c>
      <c r="K2834" t="s">
        <v>18</v>
      </c>
    </row>
    <row r="2835" spans="1:11" x14ac:dyDescent="0.3">
      <c r="A2835">
        <v>988</v>
      </c>
      <c r="B2835">
        <v>3</v>
      </c>
      <c r="C2835">
        <v>12</v>
      </c>
      <c r="D2835">
        <v>2</v>
      </c>
      <c r="E2835" s="1">
        <v>549.99</v>
      </c>
      <c r="F2835" s="1">
        <v>7.0000000000000007E-2</v>
      </c>
      <c r="G2835">
        <v>1099.98</v>
      </c>
      <c r="H2835" s="22">
        <f>VLOOKUP(A2835,[1]Orders!$A$2:$B$1616,2,0)</f>
        <v>42918</v>
      </c>
      <c r="J2835" t="s">
        <v>25</v>
      </c>
      <c r="K2835" t="s">
        <v>18</v>
      </c>
    </row>
    <row r="2836" spans="1:11" x14ac:dyDescent="0.3">
      <c r="A2836">
        <v>989</v>
      </c>
      <c r="B2836">
        <v>1</v>
      </c>
      <c r="C2836">
        <v>99</v>
      </c>
      <c r="D2836">
        <v>1</v>
      </c>
      <c r="E2836" s="1">
        <v>299.99</v>
      </c>
      <c r="F2836" s="1">
        <v>0.05</v>
      </c>
      <c r="G2836">
        <v>299.99</v>
      </c>
      <c r="H2836" s="22">
        <f>VLOOKUP(A2836,[1]Orders!$A$2:$B$1616,2,0)</f>
        <v>42918</v>
      </c>
      <c r="J2836" t="s">
        <v>52</v>
      </c>
      <c r="K2836" t="s">
        <v>18</v>
      </c>
    </row>
    <row r="2837" spans="1:11" x14ac:dyDescent="0.3">
      <c r="A2837">
        <v>989</v>
      </c>
      <c r="B2837">
        <v>2</v>
      </c>
      <c r="C2837">
        <v>27</v>
      </c>
      <c r="D2837">
        <v>1</v>
      </c>
      <c r="E2837" s="1">
        <v>999.99</v>
      </c>
      <c r="F2837" s="1">
        <v>0.1</v>
      </c>
      <c r="G2837">
        <v>999.99</v>
      </c>
      <c r="H2837" s="22">
        <f>VLOOKUP(A2837,[1]Orders!$A$2:$B$1616,2,0)</f>
        <v>42918</v>
      </c>
      <c r="J2837" t="s">
        <v>106</v>
      </c>
      <c r="K2837" t="s">
        <v>18</v>
      </c>
    </row>
    <row r="2838" spans="1:11" x14ac:dyDescent="0.3">
      <c r="A2838">
        <v>989</v>
      </c>
      <c r="B2838">
        <v>3</v>
      </c>
      <c r="C2838">
        <v>70</v>
      </c>
      <c r="D2838">
        <v>1</v>
      </c>
      <c r="E2838" s="1">
        <v>659.99</v>
      </c>
      <c r="F2838" s="1">
        <v>0.1</v>
      </c>
      <c r="G2838">
        <v>659.99</v>
      </c>
      <c r="H2838" s="22">
        <f>VLOOKUP(A2838,[1]Orders!$A$2:$B$1616,2,0)</f>
        <v>42918</v>
      </c>
      <c r="J2838" t="s">
        <v>73</v>
      </c>
      <c r="K2838" t="s">
        <v>18</v>
      </c>
    </row>
    <row r="2839" spans="1:11" x14ac:dyDescent="0.3">
      <c r="A2839">
        <v>989</v>
      </c>
      <c r="B2839">
        <v>4</v>
      </c>
      <c r="C2839">
        <v>84</v>
      </c>
      <c r="D2839">
        <v>2</v>
      </c>
      <c r="E2839" s="1">
        <v>109.99</v>
      </c>
      <c r="F2839" s="1">
        <v>7.0000000000000007E-2</v>
      </c>
      <c r="G2839">
        <v>219.98</v>
      </c>
      <c r="H2839" s="22">
        <f>VLOOKUP(A2839,[1]Orders!$A$2:$B$1616,2,0)</f>
        <v>42918</v>
      </c>
      <c r="J2839" t="s">
        <v>83</v>
      </c>
      <c r="K2839" t="s">
        <v>18</v>
      </c>
    </row>
    <row r="2840" spans="1:11" x14ac:dyDescent="0.3">
      <c r="A2840">
        <v>989</v>
      </c>
      <c r="B2840">
        <v>5</v>
      </c>
      <c r="C2840">
        <v>5</v>
      </c>
      <c r="D2840">
        <v>1</v>
      </c>
      <c r="E2840" s="1">
        <v>1320.99</v>
      </c>
      <c r="F2840" s="1">
        <v>0.1</v>
      </c>
      <c r="G2840">
        <v>1320.99</v>
      </c>
      <c r="H2840" s="22">
        <f>VLOOKUP(A2840,[1]Orders!$A$2:$B$1616,2,0)</f>
        <v>42918</v>
      </c>
      <c r="J2840" t="s">
        <v>34</v>
      </c>
      <c r="K2840" t="s">
        <v>18</v>
      </c>
    </row>
    <row r="2841" spans="1:11" x14ac:dyDescent="0.3">
      <c r="A2841">
        <v>990</v>
      </c>
      <c r="B2841">
        <v>1</v>
      </c>
      <c r="C2841">
        <v>6</v>
      </c>
      <c r="D2841">
        <v>2</v>
      </c>
      <c r="E2841" s="1">
        <v>469.99</v>
      </c>
      <c r="F2841" s="1">
        <v>0.2</v>
      </c>
      <c r="G2841">
        <v>939.98</v>
      </c>
      <c r="H2841" s="22">
        <f>VLOOKUP(A2841,[1]Orders!$A$2:$B$1616,2,0)</f>
        <v>42920</v>
      </c>
      <c r="J2841" t="s">
        <v>32</v>
      </c>
      <c r="K2841" t="s">
        <v>18</v>
      </c>
    </row>
    <row r="2842" spans="1:11" x14ac:dyDescent="0.3">
      <c r="A2842">
        <v>990</v>
      </c>
      <c r="B2842">
        <v>2</v>
      </c>
      <c r="C2842">
        <v>29</v>
      </c>
      <c r="D2842">
        <v>1</v>
      </c>
      <c r="E2842" s="1">
        <v>999.99</v>
      </c>
      <c r="F2842" s="1">
        <v>0.1</v>
      </c>
      <c r="G2842">
        <v>999.99</v>
      </c>
      <c r="H2842" s="22">
        <f>VLOOKUP(A2842,[1]Orders!$A$2:$B$1616,2,0)</f>
        <v>42920</v>
      </c>
      <c r="J2842" t="s">
        <v>71</v>
      </c>
      <c r="K2842" t="s">
        <v>18</v>
      </c>
    </row>
    <row r="2843" spans="1:11" x14ac:dyDescent="0.3">
      <c r="A2843">
        <v>990</v>
      </c>
      <c r="B2843">
        <v>3</v>
      </c>
      <c r="C2843">
        <v>91</v>
      </c>
      <c r="D2843">
        <v>1</v>
      </c>
      <c r="E2843" s="1">
        <v>349.99</v>
      </c>
      <c r="F2843" s="1">
        <v>0.1</v>
      </c>
      <c r="G2843">
        <v>349.99</v>
      </c>
      <c r="H2843" s="22">
        <f>VLOOKUP(A2843,[1]Orders!$A$2:$B$1616,2,0)</f>
        <v>42920</v>
      </c>
      <c r="J2843" t="s">
        <v>97</v>
      </c>
      <c r="K2843" t="s">
        <v>18</v>
      </c>
    </row>
    <row r="2844" spans="1:11" x14ac:dyDescent="0.3">
      <c r="A2844">
        <v>990</v>
      </c>
      <c r="B2844">
        <v>4</v>
      </c>
      <c r="C2844">
        <v>14</v>
      </c>
      <c r="D2844">
        <v>2</v>
      </c>
      <c r="E2844" s="1">
        <v>269.99</v>
      </c>
      <c r="F2844" s="1">
        <v>0.1</v>
      </c>
      <c r="G2844">
        <v>539.98</v>
      </c>
      <c r="H2844" s="22">
        <f>VLOOKUP(A2844,[1]Orders!$A$2:$B$1616,2,0)</f>
        <v>42920</v>
      </c>
      <c r="J2844" t="s">
        <v>28</v>
      </c>
      <c r="K2844" t="s">
        <v>18</v>
      </c>
    </row>
    <row r="2845" spans="1:11" x14ac:dyDescent="0.3">
      <c r="A2845">
        <v>991</v>
      </c>
      <c r="B2845">
        <v>1</v>
      </c>
      <c r="C2845">
        <v>9</v>
      </c>
      <c r="D2845">
        <v>2</v>
      </c>
      <c r="E2845" s="1">
        <v>2999.99</v>
      </c>
      <c r="F2845" s="1">
        <v>0.2</v>
      </c>
      <c r="G2845">
        <v>5999.98</v>
      </c>
      <c r="H2845" s="22">
        <f>VLOOKUP(A2845,[1]Orders!$A$2:$B$1616,2,0)</f>
        <v>42922</v>
      </c>
      <c r="J2845" t="s">
        <v>26</v>
      </c>
      <c r="K2845" t="s">
        <v>11</v>
      </c>
    </row>
    <row r="2846" spans="1:11" x14ac:dyDescent="0.3">
      <c r="A2846">
        <v>991</v>
      </c>
      <c r="B2846">
        <v>2</v>
      </c>
      <c r="C2846">
        <v>79</v>
      </c>
      <c r="D2846">
        <v>1</v>
      </c>
      <c r="E2846" s="1">
        <v>402.99</v>
      </c>
      <c r="F2846" s="1">
        <v>0.2</v>
      </c>
      <c r="G2846">
        <v>402.99</v>
      </c>
      <c r="H2846" s="22">
        <f>VLOOKUP(A2846,[1]Orders!$A$2:$B$1616,2,0)</f>
        <v>42922</v>
      </c>
      <c r="J2846" t="s">
        <v>58</v>
      </c>
      <c r="K2846" t="s">
        <v>11</v>
      </c>
    </row>
    <row r="2847" spans="1:11" x14ac:dyDescent="0.3">
      <c r="A2847">
        <v>991</v>
      </c>
      <c r="B2847">
        <v>3</v>
      </c>
      <c r="C2847">
        <v>34</v>
      </c>
      <c r="D2847">
        <v>1</v>
      </c>
      <c r="E2847" s="1">
        <v>469.99</v>
      </c>
      <c r="F2847" s="1">
        <v>0.2</v>
      </c>
      <c r="G2847">
        <v>469.99</v>
      </c>
      <c r="H2847" s="22">
        <f>VLOOKUP(A2847,[1]Orders!$A$2:$B$1616,2,0)</f>
        <v>42922</v>
      </c>
      <c r="J2847" t="s">
        <v>107</v>
      </c>
      <c r="K2847" t="s">
        <v>11</v>
      </c>
    </row>
    <row r="2848" spans="1:11" x14ac:dyDescent="0.3">
      <c r="A2848">
        <v>992</v>
      </c>
      <c r="B2848">
        <v>1</v>
      </c>
      <c r="C2848">
        <v>45</v>
      </c>
      <c r="D2848">
        <v>1</v>
      </c>
      <c r="E2848" s="1">
        <v>869.99</v>
      </c>
      <c r="F2848" s="1">
        <v>7.0000000000000007E-2</v>
      </c>
      <c r="G2848">
        <v>869.99</v>
      </c>
      <c r="H2848" s="22">
        <f>VLOOKUP(A2848,[1]Orders!$A$2:$B$1616,2,0)</f>
        <v>42923</v>
      </c>
      <c r="J2848" t="s">
        <v>88</v>
      </c>
      <c r="K2848" t="s">
        <v>18</v>
      </c>
    </row>
    <row r="2849" spans="1:11" x14ac:dyDescent="0.3">
      <c r="A2849">
        <v>992</v>
      </c>
      <c r="B2849">
        <v>2</v>
      </c>
      <c r="C2849">
        <v>102</v>
      </c>
      <c r="D2849">
        <v>1</v>
      </c>
      <c r="E2849" s="1">
        <v>489.99</v>
      </c>
      <c r="F2849" s="1">
        <v>0.1</v>
      </c>
      <c r="G2849">
        <v>489.99</v>
      </c>
      <c r="H2849" s="22">
        <f>VLOOKUP(A2849,[1]Orders!$A$2:$B$1616,2,0)</f>
        <v>42923</v>
      </c>
      <c r="J2849" t="s">
        <v>51</v>
      </c>
      <c r="K2849" t="s">
        <v>18</v>
      </c>
    </row>
    <row r="2850" spans="1:11" x14ac:dyDescent="0.3">
      <c r="A2850">
        <v>992</v>
      </c>
      <c r="B2850">
        <v>3</v>
      </c>
      <c r="C2850">
        <v>20</v>
      </c>
      <c r="D2850">
        <v>1</v>
      </c>
      <c r="E2850" s="1">
        <v>599.99</v>
      </c>
      <c r="F2850" s="1">
        <v>0.2</v>
      </c>
      <c r="G2850">
        <v>599.99</v>
      </c>
      <c r="H2850" s="22">
        <f>VLOOKUP(A2850,[1]Orders!$A$2:$B$1616,2,0)</f>
        <v>42923</v>
      </c>
      <c r="J2850" t="s">
        <v>10</v>
      </c>
      <c r="K2850" t="s">
        <v>18</v>
      </c>
    </row>
    <row r="2851" spans="1:11" x14ac:dyDescent="0.3">
      <c r="A2851">
        <v>992</v>
      </c>
      <c r="B2851">
        <v>4</v>
      </c>
      <c r="C2851">
        <v>101</v>
      </c>
      <c r="D2851">
        <v>2</v>
      </c>
      <c r="E2851" s="1">
        <v>339.99</v>
      </c>
      <c r="F2851" s="1">
        <v>0.2</v>
      </c>
      <c r="G2851">
        <v>679.98</v>
      </c>
      <c r="H2851" s="22">
        <f>VLOOKUP(A2851,[1]Orders!$A$2:$B$1616,2,0)</f>
        <v>42923</v>
      </c>
      <c r="J2851" t="s">
        <v>80</v>
      </c>
      <c r="K2851" t="s">
        <v>18</v>
      </c>
    </row>
    <row r="2852" spans="1:11" x14ac:dyDescent="0.3">
      <c r="A2852">
        <v>992</v>
      </c>
      <c r="B2852">
        <v>5</v>
      </c>
      <c r="C2852">
        <v>7</v>
      </c>
      <c r="D2852">
        <v>1</v>
      </c>
      <c r="E2852" s="1">
        <v>3999.99</v>
      </c>
      <c r="F2852" s="1">
        <v>0.05</v>
      </c>
      <c r="G2852">
        <v>3999.99</v>
      </c>
      <c r="H2852" s="22">
        <f>VLOOKUP(A2852,[1]Orders!$A$2:$B$1616,2,0)</f>
        <v>42923</v>
      </c>
      <c r="J2852" t="s">
        <v>29</v>
      </c>
      <c r="K2852" t="s">
        <v>18</v>
      </c>
    </row>
    <row r="2853" spans="1:11" x14ac:dyDescent="0.3">
      <c r="A2853">
        <v>993</v>
      </c>
      <c r="B2853">
        <v>1</v>
      </c>
      <c r="C2853">
        <v>58</v>
      </c>
      <c r="D2853">
        <v>1</v>
      </c>
      <c r="E2853" s="1">
        <v>4999.99</v>
      </c>
      <c r="F2853" s="1">
        <v>0.2</v>
      </c>
      <c r="G2853">
        <v>4999.99</v>
      </c>
      <c r="H2853" s="22">
        <f>VLOOKUP(A2853,[1]Orders!$A$2:$B$1616,2,0)</f>
        <v>42925</v>
      </c>
      <c r="J2853" t="s">
        <v>81</v>
      </c>
      <c r="K2853" t="s">
        <v>11</v>
      </c>
    </row>
    <row r="2854" spans="1:11" x14ac:dyDescent="0.3">
      <c r="A2854">
        <v>993</v>
      </c>
      <c r="B2854">
        <v>2</v>
      </c>
      <c r="C2854">
        <v>36</v>
      </c>
      <c r="D2854">
        <v>2</v>
      </c>
      <c r="E2854" s="1">
        <v>832.99</v>
      </c>
      <c r="F2854" s="1">
        <v>0.1</v>
      </c>
      <c r="G2854">
        <v>1665.98</v>
      </c>
      <c r="H2854" s="22">
        <f>VLOOKUP(A2854,[1]Orders!$A$2:$B$1616,2,0)</f>
        <v>42925</v>
      </c>
      <c r="J2854" t="s">
        <v>116</v>
      </c>
      <c r="K2854" t="s">
        <v>11</v>
      </c>
    </row>
    <row r="2855" spans="1:11" x14ac:dyDescent="0.3">
      <c r="A2855">
        <v>993</v>
      </c>
      <c r="B2855">
        <v>3</v>
      </c>
      <c r="C2855">
        <v>10</v>
      </c>
      <c r="D2855">
        <v>2</v>
      </c>
      <c r="E2855" s="1">
        <v>1549</v>
      </c>
      <c r="F2855" s="1">
        <v>0.05</v>
      </c>
      <c r="G2855">
        <v>3098</v>
      </c>
      <c r="H2855" s="22">
        <f>VLOOKUP(A2855,[1]Orders!$A$2:$B$1616,2,0)</f>
        <v>42925</v>
      </c>
      <c r="J2855" t="s">
        <v>13</v>
      </c>
      <c r="K2855" t="s">
        <v>11</v>
      </c>
    </row>
    <row r="2856" spans="1:11" x14ac:dyDescent="0.3">
      <c r="A2856">
        <v>993</v>
      </c>
      <c r="B2856">
        <v>4</v>
      </c>
      <c r="C2856">
        <v>99</v>
      </c>
      <c r="D2856">
        <v>2</v>
      </c>
      <c r="E2856" s="1">
        <v>299.99</v>
      </c>
      <c r="F2856" s="1">
        <v>7.0000000000000007E-2</v>
      </c>
      <c r="G2856">
        <v>599.98</v>
      </c>
      <c r="H2856" s="22">
        <f>VLOOKUP(A2856,[1]Orders!$A$2:$B$1616,2,0)</f>
        <v>42925</v>
      </c>
      <c r="J2856" t="s">
        <v>52</v>
      </c>
      <c r="K2856" t="s">
        <v>11</v>
      </c>
    </row>
    <row r="2857" spans="1:11" x14ac:dyDescent="0.3">
      <c r="A2857">
        <v>993</v>
      </c>
      <c r="B2857">
        <v>5</v>
      </c>
      <c r="C2857">
        <v>79</v>
      </c>
      <c r="D2857">
        <v>2</v>
      </c>
      <c r="E2857" s="1">
        <v>402.99</v>
      </c>
      <c r="F2857" s="1">
        <v>0.1</v>
      </c>
      <c r="G2857">
        <v>805.98</v>
      </c>
      <c r="H2857" s="22">
        <f>VLOOKUP(A2857,[1]Orders!$A$2:$B$1616,2,0)</f>
        <v>42925</v>
      </c>
      <c r="J2857" t="s">
        <v>58</v>
      </c>
      <c r="K2857" t="s">
        <v>11</v>
      </c>
    </row>
    <row r="2858" spans="1:11" x14ac:dyDescent="0.3">
      <c r="A2858">
        <v>994</v>
      </c>
      <c r="B2858">
        <v>1</v>
      </c>
      <c r="C2858">
        <v>37</v>
      </c>
      <c r="D2858">
        <v>2</v>
      </c>
      <c r="E2858" s="1">
        <v>379.99</v>
      </c>
      <c r="F2858" s="1">
        <v>0.1</v>
      </c>
      <c r="G2858">
        <v>759.98</v>
      </c>
      <c r="H2858" s="22">
        <f>VLOOKUP(A2858,[1]Orders!$A$2:$B$1616,2,0)</f>
        <v>42925</v>
      </c>
      <c r="J2858" t="s">
        <v>98</v>
      </c>
      <c r="K2858" t="s">
        <v>18</v>
      </c>
    </row>
    <row r="2859" spans="1:11" x14ac:dyDescent="0.3">
      <c r="A2859">
        <v>994</v>
      </c>
      <c r="B2859">
        <v>2</v>
      </c>
      <c r="C2859">
        <v>45</v>
      </c>
      <c r="D2859">
        <v>1</v>
      </c>
      <c r="E2859" s="1">
        <v>869.99</v>
      </c>
      <c r="F2859" s="1">
        <v>0.2</v>
      </c>
      <c r="G2859">
        <v>869.99</v>
      </c>
      <c r="H2859" s="22">
        <f>VLOOKUP(A2859,[1]Orders!$A$2:$B$1616,2,0)</f>
        <v>42925</v>
      </c>
      <c r="J2859" t="s">
        <v>88</v>
      </c>
      <c r="K2859" t="s">
        <v>18</v>
      </c>
    </row>
    <row r="2860" spans="1:11" x14ac:dyDescent="0.3">
      <c r="A2860">
        <v>994</v>
      </c>
      <c r="B2860">
        <v>3</v>
      </c>
      <c r="C2860">
        <v>66</v>
      </c>
      <c r="D2860">
        <v>1</v>
      </c>
      <c r="E2860" s="1">
        <v>250.99</v>
      </c>
      <c r="F2860" s="1">
        <v>7.0000000000000007E-2</v>
      </c>
      <c r="G2860">
        <v>250.99</v>
      </c>
      <c r="H2860" s="22">
        <f>VLOOKUP(A2860,[1]Orders!$A$2:$B$1616,2,0)</f>
        <v>42925</v>
      </c>
      <c r="J2860" t="s">
        <v>92</v>
      </c>
      <c r="K2860" t="s">
        <v>18</v>
      </c>
    </row>
    <row r="2861" spans="1:11" x14ac:dyDescent="0.3">
      <c r="A2861">
        <v>995</v>
      </c>
      <c r="B2861">
        <v>1</v>
      </c>
      <c r="C2861">
        <v>16</v>
      </c>
      <c r="D2861">
        <v>2</v>
      </c>
      <c r="E2861" s="1">
        <v>599.99</v>
      </c>
      <c r="F2861" s="1">
        <v>0.1</v>
      </c>
      <c r="G2861">
        <v>1199.98</v>
      </c>
      <c r="H2861" s="22">
        <f>VLOOKUP(A2861,[1]Orders!$A$2:$B$1616,2,0)</f>
        <v>42927</v>
      </c>
      <c r="J2861" t="s">
        <v>14</v>
      </c>
      <c r="K2861" t="s">
        <v>11</v>
      </c>
    </row>
    <row r="2862" spans="1:11" x14ac:dyDescent="0.3">
      <c r="A2862">
        <v>995</v>
      </c>
      <c r="B2862">
        <v>2</v>
      </c>
      <c r="C2862">
        <v>90</v>
      </c>
      <c r="D2862">
        <v>1</v>
      </c>
      <c r="E2862" s="1">
        <v>209.99</v>
      </c>
      <c r="F2862" s="1">
        <v>0.2</v>
      </c>
      <c r="G2862">
        <v>209.99</v>
      </c>
      <c r="H2862" s="22">
        <f>VLOOKUP(A2862,[1]Orders!$A$2:$B$1616,2,0)</f>
        <v>42927</v>
      </c>
      <c r="J2862" t="s">
        <v>56</v>
      </c>
      <c r="K2862" t="s">
        <v>11</v>
      </c>
    </row>
    <row r="2863" spans="1:11" x14ac:dyDescent="0.3">
      <c r="A2863">
        <v>995</v>
      </c>
      <c r="B2863">
        <v>3</v>
      </c>
      <c r="C2863">
        <v>101</v>
      </c>
      <c r="D2863">
        <v>1</v>
      </c>
      <c r="E2863" s="1">
        <v>339.99</v>
      </c>
      <c r="F2863" s="1">
        <v>0.1</v>
      </c>
      <c r="G2863">
        <v>339.99</v>
      </c>
      <c r="H2863" s="22">
        <f>VLOOKUP(A2863,[1]Orders!$A$2:$B$1616,2,0)</f>
        <v>42927</v>
      </c>
      <c r="J2863" t="s">
        <v>80</v>
      </c>
      <c r="K2863" t="s">
        <v>11</v>
      </c>
    </row>
    <row r="2864" spans="1:11" x14ac:dyDescent="0.3">
      <c r="A2864">
        <v>996</v>
      </c>
      <c r="B2864">
        <v>1</v>
      </c>
      <c r="C2864">
        <v>68</v>
      </c>
      <c r="D2864">
        <v>2</v>
      </c>
      <c r="E2864" s="1">
        <v>449.99</v>
      </c>
      <c r="F2864" s="1">
        <v>0.05</v>
      </c>
      <c r="G2864">
        <v>899.98</v>
      </c>
      <c r="H2864" s="22">
        <f>VLOOKUP(A2864,[1]Orders!$A$2:$B$1616,2,0)</f>
        <v>42927</v>
      </c>
      <c r="J2864" t="s">
        <v>39</v>
      </c>
      <c r="K2864" t="s">
        <v>11</v>
      </c>
    </row>
    <row r="2865" spans="1:11" x14ac:dyDescent="0.3">
      <c r="A2865">
        <v>996</v>
      </c>
      <c r="B2865">
        <v>2</v>
      </c>
      <c r="C2865">
        <v>32</v>
      </c>
      <c r="D2865">
        <v>1</v>
      </c>
      <c r="E2865" s="1">
        <v>469.99</v>
      </c>
      <c r="F2865" s="1">
        <v>0.05</v>
      </c>
      <c r="G2865">
        <v>469.99</v>
      </c>
      <c r="H2865" s="22">
        <f>VLOOKUP(A2865,[1]Orders!$A$2:$B$1616,2,0)</f>
        <v>42927</v>
      </c>
      <c r="J2865" t="s">
        <v>46</v>
      </c>
      <c r="K2865" t="s">
        <v>11</v>
      </c>
    </row>
    <row r="2866" spans="1:11" x14ac:dyDescent="0.3">
      <c r="A2866">
        <v>997</v>
      </c>
      <c r="B2866">
        <v>1</v>
      </c>
      <c r="C2866">
        <v>86</v>
      </c>
      <c r="D2866">
        <v>2</v>
      </c>
      <c r="E2866" s="1">
        <v>149.99</v>
      </c>
      <c r="F2866" s="1">
        <v>7.0000000000000007E-2</v>
      </c>
      <c r="G2866">
        <v>299.98</v>
      </c>
      <c r="H2866" s="22">
        <f>VLOOKUP(A2866,[1]Orders!$A$2:$B$1616,2,0)</f>
        <v>42927</v>
      </c>
      <c r="J2866" t="s">
        <v>115</v>
      </c>
      <c r="K2866" t="s">
        <v>18</v>
      </c>
    </row>
    <row r="2867" spans="1:11" x14ac:dyDescent="0.3">
      <c r="A2867">
        <v>997</v>
      </c>
      <c r="B2867">
        <v>2</v>
      </c>
      <c r="C2867">
        <v>105</v>
      </c>
      <c r="D2867">
        <v>2</v>
      </c>
      <c r="E2867" s="1">
        <v>533.99</v>
      </c>
      <c r="F2867" s="1">
        <v>0.2</v>
      </c>
      <c r="G2867">
        <v>1067.98</v>
      </c>
      <c r="H2867" s="22">
        <f>VLOOKUP(A2867,[1]Orders!$A$2:$B$1616,2,0)</f>
        <v>42927</v>
      </c>
      <c r="J2867" t="s">
        <v>96</v>
      </c>
      <c r="K2867" t="s">
        <v>18</v>
      </c>
    </row>
    <row r="2868" spans="1:11" x14ac:dyDescent="0.3">
      <c r="A2868">
        <v>997</v>
      </c>
      <c r="B2868">
        <v>3</v>
      </c>
      <c r="C2868">
        <v>14</v>
      </c>
      <c r="D2868">
        <v>2</v>
      </c>
      <c r="E2868" s="1">
        <v>269.99</v>
      </c>
      <c r="F2868" s="1">
        <v>7.0000000000000007E-2</v>
      </c>
      <c r="G2868">
        <v>539.98</v>
      </c>
      <c r="H2868" s="22">
        <f>VLOOKUP(A2868,[1]Orders!$A$2:$B$1616,2,0)</f>
        <v>42927</v>
      </c>
      <c r="J2868" t="s">
        <v>28</v>
      </c>
      <c r="K2868" t="s">
        <v>18</v>
      </c>
    </row>
    <row r="2869" spans="1:11" x14ac:dyDescent="0.3">
      <c r="A2869">
        <v>998</v>
      </c>
      <c r="B2869">
        <v>1</v>
      </c>
      <c r="C2869">
        <v>26</v>
      </c>
      <c r="D2869">
        <v>2</v>
      </c>
      <c r="E2869" s="1">
        <v>599.99</v>
      </c>
      <c r="F2869" s="1">
        <v>0.05</v>
      </c>
      <c r="G2869">
        <v>1199.98</v>
      </c>
      <c r="H2869" s="22">
        <f>VLOOKUP(A2869,[1]Orders!$A$2:$B$1616,2,0)</f>
        <v>42928</v>
      </c>
      <c r="J2869" t="s">
        <v>14</v>
      </c>
      <c r="K2869" t="s">
        <v>18</v>
      </c>
    </row>
    <row r="2870" spans="1:11" x14ac:dyDescent="0.3">
      <c r="A2870">
        <v>998</v>
      </c>
      <c r="B2870">
        <v>2</v>
      </c>
      <c r="C2870">
        <v>105</v>
      </c>
      <c r="D2870">
        <v>1</v>
      </c>
      <c r="E2870" s="1">
        <v>533.99</v>
      </c>
      <c r="F2870" s="1">
        <v>0.2</v>
      </c>
      <c r="G2870">
        <v>533.99</v>
      </c>
      <c r="H2870" s="22">
        <f>VLOOKUP(A2870,[1]Orders!$A$2:$B$1616,2,0)</f>
        <v>42928</v>
      </c>
      <c r="J2870" t="s">
        <v>96</v>
      </c>
      <c r="K2870" t="s">
        <v>18</v>
      </c>
    </row>
    <row r="2871" spans="1:11" x14ac:dyDescent="0.3">
      <c r="A2871">
        <v>999</v>
      </c>
      <c r="B2871">
        <v>1</v>
      </c>
      <c r="C2871">
        <v>70</v>
      </c>
      <c r="D2871">
        <v>2</v>
      </c>
      <c r="E2871" s="1">
        <v>659.99</v>
      </c>
      <c r="F2871" s="1">
        <v>7.0000000000000007E-2</v>
      </c>
      <c r="G2871">
        <v>1319.98</v>
      </c>
      <c r="H2871" s="22">
        <f>VLOOKUP(A2871,[1]Orders!$A$2:$B$1616,2,0)</f>
        <v>42928</v>
      </c>
      <c r="J2871" t="s">
        <v>73</v>
      </c>
      <c r="K2871" t="s">
        <v>18</v>
      </c>
    </row>
    <row r="2872" spans="1:11" x14ac:dyDescent="0.3">
      <c r="A2872">
        <v>999</v>
      </c>
      <c r="B2872">
        <v>2</v>
      </c>
      <c r="C2872">
        <v>106</v>
      </c>
      <c r="D2872">
        <v>1</v>
      </c>
      <c r="E2872" s="1">
        <v>449.99</v>
      </c>
      <c r="F2872" s="1">
        <v>0.05</v>
      </c>
      <c r="G2872">
        <v>449.99</v>
      </c>
      <c r="H2872" s="22">
        <f>VLOOKUP(A2872,[1]Orders!$A$2:$B$1616,2,0)</f>
        <v>42928</v>
      </c>
      <c r="J2872" t="s">
        <v>39</v>
      </c>
      <c r="K2872" t="s">
        <v>18</v>
      </c>
    </row>
    <row r="2873" spans="1:11" x14ac:dyDescent="0.3">
      <c r="A2873">
        <v>1000</v>
      </c>
      <c r="B2873">
        <v>1</v>
      </c>
      <c r="C2873">
        <v>65</v>
      </c>
      <c r="D2873">
        <v>2</v>
      </c>
      <c r="E2873" s="1">
        <v>346.99</v>
      </c>
      <c r="F2873" s="1">
        <v>0.05</v>
      </c>
      <c r="G2873">
        <v>693.98</v>
      </c>
      <c r="H2873" s="22">
        <f>VLOOKUP(A2873,[1]Orders!$A$2:$B$1616,2,0)</f>
        <v>42928</v>
      </c>
      <c r="J2873" t="s">
        <v>114</v>
      </c>
      <c r="K2873" t="s">
        <v>18</v>
      </c>
    </row>
    <row r="2874" spans="1:11" x14ac:dyDescent="0.3">
      <c r="A2874">
        <v>1000</v>
      </c>
      <c r="B2874">
        <v>2</v>
      </c>
      <c r="C2874">
        <v>111</v>
      </c>
      <c r="D2874">
        <v>1</v>
      </c>
      <c r="E2874" s="1">
        <v>470.99</v>
      </c>
      <c r="F2874" s="1">
        <v>0.1</v>
      </c>
      <c r="G2874">
        <v>470.99</v>
      </c>
      <c r="H2874" s="22">
        <f>VLOOKUP(A2874,[1]Orders!$A$2:$B$1616,2,0)</f>
        <v>42928</v>
      </c>
      <c r="J2874" t="s">
        <v>112</v>
      </c>
      <c r="K2874" t="s">
        <v>18</v>
      </c>
    </row>
    <row r="2875" spans="1:11" x14ac:dyDescent="0.3">
      <c r="A2875">
        <v>1000</v>
      </c>
      <c r="B2875">
        <v>3</v>
      </c>
      <c r="C2875">
        <v>19</v>
      </c>
      <c r="D2875">
        <v>2</v>
      </c>
      <c r="E2875" s="1">
        <v>449</v>
      </c>
      <c r="F2875" s="1">
        <v>7.0000000000000007E-2</v>
      </c>
      <c r="G2875">
        <v>898</v>
      </c>
      <c r="H2875" s="22">
        <f>VLOOKUP(A2875,[1]Orders!$A$2:$B$1616,2,0)</f>
        <v>42928</v>
      </c>
      <c r="J2875" t="s">
        <v>36</v>
      </c>
      <c r="K2875" t="s">
        <v>18</v>
      </c>
    </row>
    <row r="2876" spans="1:11" x14ac:dyDescent="0.3">
      <c r="A2876">
        <v>1000</v>
      </c>
      <c r="B2876">
        <v>4</v>
      </c>
      <c r="C2876">
        <v>29</v>
      </c>
      <c r="D2876">
        <v>2</v>
      </c>
      <c r="E2876" s="1">
        <v>999.99</v>
      </c>
      <c r="F2876" s="1">
        <v>0.05</v>
      </c>
      <c r="G2876">
        <v>1999.98</v>
      </c>
      <c r="H2876" s="22">
        <f>VLOOKUP(A2876,[1]Orders!$A$2:$B$1616,2,0)</f>
        <v>42928</v>
      </c>
      <c r="J2876" t="s">
        <v>71</v>
      </c>
      <c r="K2876" t="s">
        <v>18</v>
      </c>
    </row>
    <row r="2877" spans="1:11" x14ac:dyDescent="0.3">
      <c r="A2877">
        <v>1001</v>
      </c>
      <c r="B2877">
        <v>1</v>
      </c>
      <c r="C2877">
        <v>72</v>
      </c>
      <c r="D2877">
        <v>1</v>
      </c>
      <c r="E2877" s="1">
        <v>619.99</v>
      </c>
      <c r="F2877" s="1">
        <v>0.05</v>
      </c>
      <c r="G2877">
        <v>619.99</v>
      </c>
      <c r="H2877" s="22">
        <f>VLOOKUP(A2877,[1]Orders!$A$2:$B$1616,2,0)</f>
        <v>42929</v>
      </c>
      <c r="J2877" t="s">
        <v>44</v>
      </c>
      <c r="K2877" t="s">
        <v>18</v>
      </c>
    </row>
    <row r="2878" spans="1:11" x14ac:dyDescent="0.3">
      <c r="A2878">
        <v>1001</v>
      </c>
      <c r="B2878">
        <v>2</v>
      </c>
      <c r="C2878">
        <v>45</v>
      </c>
      <c r="D2878">
        <v>2</v>
      </c>
      <c r="E2878" s="1">
        <v>869.99</v>
      </c>
      <c r="F2878" s="1">
        <v>0.05</v>
      </c>
      <c r="G2878">
        <v>1739.98</v>
      </c>
      <c r="H2878" s="22">
        <f>VLOOKUP(A2878,[1]Orders!$A$2:$B$1616,2,0)</f>
        <v>42929</v>
      </c>
      <c r="J2878" t="s">
        <v>88</v>
      </c>
      <c r="K2878" t="s">
        <v>18</v>
      </c>
    </row>
    <row r="2879" spans="1:11" x14ac:dyDescent="0.3">
      <c r="A2879">
        <v>1001</v>
      </c>
      <c r="B2879">
        <v>3</v>
      </c>
      <c r="C2879">
        <v>58</v>
      </c>
      <c r="D2879">
        <v>1</v>
      </c>
      <c r="E2879" s="1">
        <v>4999.99</v>
      </c>
      <c r="F2879" s="1">
        <v>0.1</v>
      </c>
      <c r="G2879">
        <v>4999.99</v>
      </c>
      <c r="H2879" s="22">
        <f>VLOOKUP(A2879,[1]Orders!$A$2:$B$1616,2,0)</f>
        <v>42929</v>
      </c>
      <c r="J2879" t="s">
        <v>81</v>
      </c>
      <c r="K2879" t="s">
        <v>18</v>
      </c>
    </row>
    <row r="2880" spans="1:11" x14ac:dyDescent="0.3">
      <c r="A2880">
        <v>1001</v>
      </c>
      <c r="B2880">
        <v>4</v>
      </c>
      <c r="C2880">
        <v>111</v>
      </c>
      <c r="D2880">
        <v>1</v>
      </c>
      <c r="E2880" s="1">
        <v>470.99</v>
      </c>
      <c r="F2880" s="1">
        <v>7.0000000000000007E-2</v>
      </c>
      <c r="G2880">
        <v>470.99</v>
      </c>
      <c r="H2880" s="22">
        <f>VLOOKUP(A2880,[1]Orders!$A$2:$B$1616,2,0)</f>
        <v>42929</v>
      </c>
      <c r="J2880" t="s">
        <v>112</v>
      </c>
      <c r="K2880" t="s">
        <v>18</v>
      </c>
    </row>
    <row r="2881" spans="1:11" x14ac:dyDescent="0.3">
      <c r="A2881">
        <v>1002</v>
      </c>
      <c r="B2881">
        <v>1</v>
      </c>
      <c r="C2881">
        <v>100</v>
      </c>
      <c r="D2881">
        <v>1</v>
      </c>
      <c r="E2881" s="1">
        <v>489.99</v>
      </c>
      <c r="F2881" s="1">
        <v>0.05</v>
      </c>
      <c r="G2881">
        <v>489.99</v>
      </c>
      <c r="H2881" s="22">
        <f>VLOOKUP(A2881,[1]Orders!$A$2:$B$1616,2,0)</f>
        <v>42930</v>
      </c>
      <c r="J2881" t="s">
        <v>105</v>
      </c>
      <c r="K2881" t="s">
        <v>11</v>
      </c>
    </row>
    <row r="2882" spans="1:11" x14ac:dyDescent="0.3">
      <c r="A2882">
        <v>1002</v>
      </c>
      <c r="B2882">
        <v>2</v>
      </c>
      <c r="C2882">
        <v>83</v>
      </c>
      <c r="D2882">
        <v>1</v>
      </c>
      <c r="E2882" s="1">
        <v>149.99</v>
      </c>
      <c r="F2882" s="1">
        <v>0.1</v>
      </c>
      <c r="G2882">
        <v>149.99</v>
      </c>
      <c r="H2882" s="22">
        <f>VLOOKUP(A2882,[1]Orders!$A$2:$B$1616,2,0)</f>
        <v>42930</v>
      </c>
      <c r="J2882" t="s">
        <v>66</v>
      </c>
      <c r="K2882" t="s">
        <v>11</v>
      </c>
    </row>
    <row r="2883" spans="1:11" x14ac:dyDescent="0.3">
      <c r="A2883">
        <v>1002</v>
      </c>
      <c r="B2883">
        <v>3</v>
      </c>
      <c r="C2883">
        <v>8</v>
      </c>
      <c r="D2883">
        <v>2</v>
      </c>
      <c r="E2883" s="1">
        <v>1799.99</v>
      </c>
      <c r="F2883" s="1">
        <v>0.1</v>
      </c>
      <c r="G2883">
        <v>3599.98</v>
      </c>
      <c r="H2883" s="22">
        <f>VLOOKUP(A2883,[1]Orders!$A$2:$B$1616,2,0)</f>
        <v>42930</v>
      </c>
      <c r="J2883" t="s">
        <v>12</v>
      </c>
      <c r="K2883" t="s">
        <v>11</v>
      </c>
    </row>
    <row r="2884" spans="1:11" x14ac:dyDescent="0.3">
      <c r="A2884">
        <v>1002</v>
      </c>
      <c r="B2884">
        <v>4</v>
      </c>
      <c r="C2884">
        <v>79</v>
      </c>
      <c r="D2884">
        <v>1</v>
      </c>
      <c r="E2884" s="1">
        <v>402.99</v>
      </c>
      <c r="F2884" s="1">
        <v>0.2</v>
      </c>
      <c r="G2884">
        <v>402.99</v>
      </c>
      <c r="H2884" s="22">
        <f>VLOOKUP(A2884,[1]Orders!$A$2:$B$1616,2,0)</f>
        <v>42930</v>
      </c>
      <c r="J2884" t="s">
        <v>58</v>
      </c>
      <c r="K2884" t="s">
        <v>11</v>
      </c>
    </row>
    <row r="2885" spans="1:11" x14ac:dyDescent="0.3">
      <c r="A2885">
        <v>1003</v>
      </c>
      <c r="B2885">
        <v>1</v>
      </c>
      <c r="C2885">
        <v>34</v>
      </c>
      <c r="D2885">
        <v>2</v>
      </c>
      <c r="E2885" s="1">
        <v>469.99</v>
      </c>
      <c r="F2885" s="1">
        <v>0.05</v>
      </c>
      <c r="G2885">
        <v>939.98</v>
      </c>
      <c r="H2885" s="22">
        <f>VLOOKUP(A2885,[1]Orders!$A$2:$B$1616,2,0)</f>
        <v>42930</v>
      </c>
      <c r="J2885" t="s">
        <v>107</v>
      </c>
      <c r="K2885" t="s">
        <v>18</v>
      </c>
    </row>
    <row r="2886" spans="1:11" x14ac:dyDescent="0.3">
      <c r="A2886">
        <v>1003</v>
      </c>
      <c r="B2886">
        <v>2</v>
      </c>
      <c r="C2886">
        <v>51</v>
      </c>
      <c r="D2886">
        <v>2</v>
      </c>
      <c r="E2886" s="1">
        <v>6499.99</v>
      </c>
      <c r="F2886" s="1">
        <v>0.05</v>
      </c>
      <c r="G2886">
        <v>12999.98</v>
      </c>
      <c r="H2886" s="22">
        <f>VLOOKUP(A2886,[1]Orders!$A$2:$B$1616,2,0)</f>
        <v>42930</v>
      </c>
      <c r="J2886" t="s">
        <v>90</v>
      </c>
      <c r="K2886" t="s">
        <v>18</v>
      </c>
    </row>
    <row r="2887" spans="1:11" x14ac:dyDescent="0.3">
      <c r="A2887">
        <v>1004</v>
      </c>
      <c r="B2887">
        <v>1</v>
      </c>
      <c r="C2887">
        <v>36</v>
      </c>
      <c r="D2887">
        <v>2</v>
      </c>
      <c r="E2887" s="1">
        <v>832.99</v>
      </c>
      <c r="F2887" s="1">
        <v>0.1</v>
      </c>
      <c r="G2887">
        <v>1665.98</v>
      </c>
      <c r="H2887" s="22">
        <f>VLOOKUP(A2887,[1]Orders!$A$2:$B$1616,2,0)</f>
        <v>42930</v>
      </c>
      <c r="J2887" t="s">
        <v>116</v>
      </c>
      <c r="K2887" t="s">
        <v>18</v>
      </c>
    </row>
    <row r="2888" spans="1:11" x14ac:dyDescent="0.3">
      <c r="A2888">
        <v>1005</v>
      </c>
      <c r="B2888">
        <v>1</v>
      </c>
      <c r="C2888">
        <v>14</v>
      </c>
      <c r="D2888">
        <v>2</v>
      </c>
      <c r="E2888" s="1">
        <v>269.99</v>
      </c>
      <c r="F2888" s="1">
        <v>0.2</v>
      </c>
      <c r="G2888">
        <v>539.98</v>
      </c>
      <c r="H2888" s="22">
        <f>VLOOKUP(A2888,[1]Orders!$A$2:$B$1616,2,0)</f>
        <v>42931</v>
      </c>
      <c r="J2888" t="s">
        <v>28</v>
      </c>
      <c r="K2888" t="s">
        <v>18</v>
      </c>
    </row>
    <row r="2889" spans="1:11" x14ac:dyDescent="0.3">
      <c r="A2889">
        <v>1005</v>
      </c>
      <c r="B2889">
        <v>2</v>
      </c>
      <c r="C2889">
        <v>81</v>
      </c>
      <c r="D2889">
        <v>2</v>
      </c>
      <c r="E2889" s="1">
        <v>1099.99</v>
      </c>
      <c r="F2889" s="1">
        <v>0.1</v>
      </c>
      <c r="G2889">
        <v>2199.98</v>
      </c>
      <c r="H2889" s="22">
        <f>VLOOKUP(A2889,[1]Orders!$A$2:$B$1616,2,0)</f>
        <v>42931</v>
      </c>
      <c r="J2889" t="s">
        <v>99</v>
      </c>
      <c r="K2889" t="s">
        <v>18</v>
      </c>
    </row>
    <row r="2890" spans="1:11" x14ac:dyDescent="0.3">
      <c r="A2890">
        <v>1005</v>
      </c>
      <c r="B2890">
        <v>3</v>
      </c>
      <c r="C2890">
        <v>99</v>
      </c>
      <c r="D2890">
        <v>1</v>
      </c>
      <c r="E2890" s="1">
        <v>299.99</v>
      </c>
      <c r="F2890" s="1">
        <v>0.1</v>
      </c>
      <c r="G2890">
        <v>299.99</v>
      </c>
      <c r="H2890" s="22">
        <f>VLOOKUP(A2890,[1]Orders!$A$2:$B$1616,2,0)</f>
        <v>42931</v>
      </c>
      <c r="J2890" t="s">
        <v>52</v>
      </c>
      <c r="K2890" t="s">
        <v>18</v>
      </c>
    </row>
    <row r="2891" spans="1:11" x14ac:dyDescent="0.3">
      <c r="A2891">
        <v>1006</v>
      </c>
      <c r="B2891">
        <v>1</v>
      </c>
      <c r="C2891">
        <v>20</v>
      </c>
      <c r="D2891">
        <v>1</v>
      </c>
      <c r="E2891" s="1">
        <v>599.99</v>
      </c>
      <c r="F2891" s="1">
        <v>7.0000000000000007E-2</v>
      </c>
      <c r="G2891">
        <v>599.99</v>
      </c>
      <c r="H2891" s="22">
        <f>VLOOKUP(A2891,[1]Orders!$A$2:$B$1616,2,0)</f>
        <v>42931</v>
      </c>
      <c r="J2891" t="s">
        <v>10</v>
      </c>
      <c r="K2891" t="s">
        <v>18</v>
      </c>
    </row>
    <row r="2892" spans="1:11" x14ac:dyDescent="0.3">
      <c r="A2892">
        <v>1006</v>
      </c>
      <c r="B2892">
        <v>2</v>
      </c>
      <c r="C2892">
        <v>68</v>
      </c>
      <c r="D2892">
        <v>1</v>
      </c>
      <c r="E2892" s="1">
        <v>449.99</v>
      </c>
      <c r="F2892" s="1">
        <v>0.1</v>
      </c>
      <c r="G2892">
        <v>449.99</v>
      </c>
      <c r="H2892" s="22">
        <f>VLOOKUP(A2892,[1]Orders!$A$2:$B$1616,2,0)</f>
        <v>42931</v>
      </c>
      <c r="J2892" t="s">
        <v>39</v>
      </c>
      <c r="K2892" t="s">
        <v>18</v>
      </c>
    </row>
    <row r="2893" spans="1:11" x14ac:dyDescent="0.3">
      <c r="A2893">
        <v>1006</v>
      </c>
      <c r="B2893">
        <v>3</v>
      </c>
      <c r="C2893">
        <v>56</v>
      </c>
      <c r="D2893">
        <v>2</v>
      </c>
      <c r="E2893" s="1">
        <v>5499.99</v>
      </c>
      <c r="F2893" s="1">
        <v>7.0000000000000007E-2</v>
      </c>
      <c r="G2893">
        <v>10999.98</v>
      </c>
      <c r="H2893" s="22">
        <f>VLOOKUP(A2893,[1]Orders!$A$2:$B$1616,2,0)</f>
        <v>42931</v>
      </c>
      <c r="J2893" t="s">
        <v>41</v>
      </c>
      <c r="K2893" t="s">
        <v>18</v>
      </c>
    </row>
    <row r="2894" spans="1:11" x14ac:dyDescent="0.3">
      <c r="A2894">
        <v>1006</v>
      </c>
      <c r="B2894">
        <v>4</v>
      </c>
      <c r="C2894">
        <v>65</v>
      </c>
      <c r="D2894">
        <v>1</v>
      </c>
      <c r="E2894" s="1">
        <v>346.99</v>
      </c>
      <c r="F2894" s="1">
        <v>0.1</v>
      </c>
      <c r="G2894">
        <v>346.99</v>
      </c>
      <c r="H2894" s="22">
        <f>VLOOKUP(A2894,[1]Orders!$A$2:$B$1616,2,0)</f>
        <v>42931</v>
      </c>
      <c r="J2894" t="s">
        <v>114</v>
      </c>
      <c r="K2894" t="s">
        <v>18</v>
      </c>
    </row>
    <row r="2895" spans="1:11" x14ac:dyDescent="0.3">
      <c r="A2895">
        <v>1006</v>
      </c>
      <c r="B2895">
        <v>5</v>
      </c>
      <c r="C2895">
        <v>46</v>
      </c>
      <c r="D2895">
        <v>1</v>
      </c>
      <c r="E2895" s="1">
        <v>1409.99</v>
      </c>
      <c r="F2895" s="1">
        <v>0.1</v>
      </c>
      <c r="G2895">
        <v>1409.99</v>
      </c>
      <c r="H2895" s="22">
        <f>VLOOKUP(A2895,[1]Orders!$A$2:$B$1616,2,0)</f>
        <v>42931</v>
      </c>
      <c r="J2895" t="s">
        <v>118</v>
      </c>
      <c r="K2895" t="s">
        <v>18</v>
      </c>
    </row>
    <row r="2896" spans="1:11" x14ac:dyDescent="0.3">
      <c r="A2896">
        <v>1007</v>
      </c>
      <c r="B2896">
        <v>1</v>
      </c>
      <c r="C2896">
        <v>26</v>
      </c>
      <c r="D2896">
        <v>1</v>
      </c>
      <c r="E2896" s="1">
        <v>599.99</v>
      </c>
      <c r="F2896" s="1">
        <v>0.2</v>
      </c>
      <c r="G2896">
        <v>599.99</v>
      </c>
      <c r="H2896" s="22">
        <f>VLOOKUP(A2896,[1]Orders!$A$2:$B$1616,2,0)</f>
        <v>42932</v>
      </c>
      <c r="J2896" t="s">
        <v>14</v>
      </c>
      <c r="K2896" t="s">
        <v>18</v>
      </c>
    </row>
    <row r="2897" spans="1:11" x14ac:dyDescent="0.3">
      <c r="A2897">
        <v>1007</v>
      </c>
      <c r="B2897">
        <v>2</v>
      </c>
      <c r="C2897">
        <v>11</v>
      </c>
      <c r="D2897">
        <v>1</v>
      </c>
      <c r="E2897" s="1">
        <v>1680.99</v>
      </c>
      <c r="F2897" s="1">
        <v>0.05</v>
      </c>
      <c r="G2897">
        <v>1680.99</v>
      </c>
      <c r="H2897" s="22">
        <f>VLOOKUP(A2897,[1]Orders!$A$2:$B$1616,2,0)</f>
        <v>42932</v>
      </c>
      <c r="J2897" t="s">
        <v>30</v>
      </c>
      <c r="K2897" t="s">
        <v>18</v>
      </c>
    </row>
    <row r="2898" spans="1:11" x14ac:dyDescent="0.3">
      <c r="A2898">
        <v>1007</v>
      </c>
      <c r="B2898">
        <v>3</v>
      </c>
      <c r="C2898">
        <v>85</v>
      </c>
      <c r="D2898">
        <v>2</v>
      </c>
      <c r="E2898" s="1">
        <v>329.99</v>
      </c>
      <c r="F2898" s="1">
        <v>0.1</v>
      </c>
      <c r="G2898">
        <v>659.98</v>
      </c>
      <c r="H2898" s="22">
        <f>VLOOKUP(A2898,[1]Orders!$A$2:$B$1616,2,0)</f>
        <v>42932</v>
      </c>
      <c r="J2898" t="s">
        <v>38</v>
      </c>
      <c r="K2898" t="s">
        <v>18</v>
      </c>
    </row>
    <row r="2899" spans="1:11" x14ac:dyDescent="0.3">
      <c r="A2899">
        <v>1007</v>
      </c>
      <c r="B2899">
        <v>4</v>
      </c>
      <c r="C2899">
        <v>76</v>
      </c>
      <c r="D2899">
        <v>1</v>
      </c>
      <c r="E2899" s="1">
        <v>299.99</v>
      </c>
      <c r="F2899" s="1">
        <v>0.2</v>
      </c>
      <c r="G2899">
        <v>299.99</v>
      </c>
      <c r="H2899" s="22">
        <f>VLOOKUP(A2899,[1]Orders!$A$2:$B$1616,2,0)</f>
        <v>42932</v>
      </c>
      <c r="J2899" t="s">
        <v>48</v>
      </c>
      <c r="K2899" t="s">
        <v>18</v>
      </c>
    </row>
    <row r="2900" spans="1:11" x14ac:dyDescent="0.3">
      <c r="A2900">
        <v>1007</v>
      </c>
      <c r="B2900">
        <v>5</v>
      </c>
      <c r="C2900">
        <v>106</v>
      </c>
      <c r="D2900">
        <v>2</v>
      </c>
      <c r="E2900" s="1">
        <v>449.99</v>
      </c>
      <c r="F2900" s="1">
        <v>0.1</v>
      </c>
      <c r="G2900">
        <v>899.98</v>
      </c>
      <c r="H2900" s="22">
        <f>VLOOKUP(A2900,[1]Orders!$A$2:$B$1616,2,0)</f>
        <v>42932</v>
      </c>
      <c r="J2900" t="s">
        <v>39</v>
      </c>
      <c r="K2900" t="s">
        <v>18</v>
      </c>
    </row>
    <row r="2901" spans="1:11" x14ac:dyDescent="0.3">
      <c r="A2901">
        <v>1008</v>
      </c>
      <c r="B2901">
        <v>1</v>
      </c>
      <c r="C2901">
        <v>71</v>
      </c>
      <c r="D2901">
        <v>1</v>
      </c>
      <c r="E2901" s="1">
        <v>416.99</v>
      </c>
      <c r="F2901" s="1">
        <v>0.2</v>
      </c>
      <c r="G2901">
        <v>416.99</v>
      </c>
      <c r="H2901" s="22">
        <f>VLOOKUP(A2901,[1]Orders!$A$2:$B$1616,2,0)</f>
        <v>42932</v>
      </c>
      <c r="J2901" t="s">
        <v>78</v>
      </c>
      <c r="K2901" t="s">
        <v>18</v>
      </c>
    </row>
    <row r="2902" spans="1:11" x14ac:dyDescent="0.3">
      <c r="A2902">
        <v>1008</v>
      </c>
      <c r="B2902">
        <v>2</v>
      </c>
      <c r="C2902">
        <v>2</v>
      </c>
      <c r="D2902">
        <v>1</v>
      </c>
      <c r="E2902" s="1">
        <v>749.99</v>
      </c>
      <c r="F2902" s="1">
        <v>0.1</v>
      </c>
      <c r="G2902">
        <v>749.99</v>
      </c>
      <c r="H2902" s="22">
        <f>VLOOKUP(A2902,[1]Orders!$A$2:$B$1616,2,0)</f>
        <v>42932</v>
      </c>
      <c r="J2902" t="s">
        <v>22</v>
      </c>
      <c r="K2902" t="s">
        <v>18</v>
      </c>
    </row>
    <row r="2903" spans="1:11" x14ac:dyDescent="0.3">
      <c r="A2903">
        <v>1008</v>
      </c>
      <c r="B2903">
        <v>3</v>
      </c>
      <c r="C2903">
        <v>95</v>
      </c>
      <c r="D2903">
        <v>1</v>
      </c>
      <c r="E2903" s="1">
        <v>299.99</v>
      </c>
      <c r="F2903" s="1">
        <v>7.0000000000000007E-2</v>
      </c>
      <c r="G2903">
        <v>299.99</v>
      </c>
      <c r="H2903" s="22">
        <f>VLOOKUP(A2903,[1]Orders!$A$2:$B$1616,2,0)</f>
        <v>42932</v>
      </c>
      <c r="J2903" t="s">
        <v>48</v>
      </c>
      <c r="K2903" t="s">
        <v>18</v>
      </c>
    </row>
    <row r="2904" spans="1:11" x14ac:dyDescent="0.3">
      <c r="A2904">
        <v>1009</v>
      </c>
      <c r="B2904">
        <v>1</v>
      </c>
      <c r="C2904">
        <v>95</v>
      </c>
      <c r="D2904">
        <v>2</v>
      </c>
      <c r="E2904" s="1">
        <v>299.99</v>
      </c>
      <c r="F2904" s="1">
        <v>7.0000000000000007E-2</v>
      </c>
      <c r="G2904">
        <v>599.98</v>
      </c>
      <c r="H2904" s="22">
        <f>VLOOKUP(A2904,[1]Orders!$A$2:$B$1616,2,0)</f>
        <v>42932</v>
      </c>
      <c r="J2904" t="s">
        <v>48</v>
      </c>
      <c r="K2904" t="s">
        <v>37</v>
      </c>
    </row>
    <row r="2905" spans="1:11" x14ac:dyDescent="0.3">
      <c r="A2905">
        <v>1009</v>
      </c>
      <c r="B2905">
        <v>2</v>
      </c>
      <c r="C2905">
        <v>44</v>
      </c>
      <c r="D2905">
        <v>1</v>
      </c>
      <c r="E2905" s="1">
        <v>539.99</v>
      </c>
      <c r="F2905" s="1">
        <v>7.0000000000000007E-2</v>
      </c>
      <c r="G2905">
        <v>539.99</v>
      </c>
      <c r="H2905" s="22">
        <f>VLOOKUP(A2905,[1]Orders!$A$2:$B$1616,2,0)</f>
        <v>42932</v>
      </c>
      <c r="J2905" t="s">
        <v>108</v>
      </c>
      <c r="K2905" t="s">
        <v>37</v>
      </c>
    </row>
    <row r="2906" spans="1:11" x14ac:dyDescent="0.3">
      <c r="A2906">
        <v>1010</v>
      </c>
      <c r="B2906">
        <v>1</v>
      </c>
      <c r="C2906">
        <v>109</v>
      </c>
      <c r="D2906">
        <v>2</v>
      </c>
      <c r="E2906" s="1">
        <v>416.99</v>
      </c>
      <c r="F2906" s="1">
        <v>0.1</v>
      </c>
      <c r="G2906">
        <v>833.98</v>
      </c>
      <c r="H2906" s="22">
        <f>VLOOKUP(A2906,[1]Orders!$A$2:$B$1616,2,0)</f>
        <v>42934</v>
      </c>
      <c r="J2906" t="s">
        <v>49</v>
      </c>
      <c r="K2906" t="s">
        <v>18</v>
      </c>
    </row>
    <row r="2907" spans="1:11" x14ac:dyDescent="0.3">
      <c r="A2907">
        <v>1011</v>
      </c>
      <c r="B2907">
        <v>1</v>
      </c>
      <c r="C2907">
        <v>88</v>
      </c>
      <c r="D2907">
        <v>1</v>
      </c>
      <c r="E2907" s="1">
        <v>189.99</v>
      </c>
      <c r="F2907" s="1">
        <v>0.2</v>
      </c>
      <c r="G2907">
        <v>189.99</v>
      </c>
      <c r="H2907" s="22">
        <f>VLOOKUP(A2907,[1]Orders!$A$2:$B$1616,2,0)</f>
        <v>42934</v>
      </c>
      <c r="J2907" t="s">
        <v>64</v>
      </c>
      <c r="K2907" t="s">
        <v>11</v>
      </c>
    </row>
    <row r="2908" spans="1:11" x14ac:dyDescent="0.3">
      <c r="A2908">
        <v>1011</v>
      </c>
      <c r="B2908">
        <v>2</v>
      </c>
      <c r="C2908">
        <v>99</v>
      </c>
      <c r="D2908">
        <v>2</v>
      </c>
      <c r="E2908" s="1">
        <v>299.99</v>
      </c>
      <c r="F2908" s="1">
        <v>0.2</v>
      </c>
      <c r="G2908">
        <v>599.98</v>
      </c>
      <c r="H2908" s="22">
        <f>VLOOKUP(A2908,[1]Orders!$A$2:$B$1616,2,0)</f>
        <v>42934</v>
      </c>
      <c r="J2908" t="s">
        <v>52</v>
      </c>
      <c r="K2908" t="s">
        <v>11</v>
      </c>
    </row>
    <row r="2909" spans="1:11" x14ac:dyDescent="0.3">
      <c r="A2909">
        <v>1011</v>
      </c>
      <c r="B2909">
        <v>3</v>
      </c>
      <c r="C2909">
        <v>16</v>
      </c>
      <c r="D2909">
        <v>2</v>
      </c>
      <c r="E2909" s="1">
        <v>599.99</v>
      </c>
      <c r="F2909" s="1">
        <v>0.2</v>
      </c>
      <c r="G2909">
        <v>1199.98</v>
      </c>
      <c r="H2909" s="22">
        <f>VLOOKUP(A2909,[1]Orders!$A$2:$B$1616,2,0)</f>
        <v>42934</v>
      </c>
      <c r="J2909" t="s">
        <v>14</v>
      </c>
      <c r="K2909" t="s">
        <v>11</v>
      </c>
    </row>
    <row r="2910" spans="1:11" x14ac:dyDescent="0.3">
      <c r="A2910">
        <v>1011</v>
      </c>
      <c r="B2910">
        <v>4</v>
      </c>
      <c r="C2910">
        <v>68</v>
      </c>
      <c r="D2910">
        <v>2</v>
      </c>
      <c r="E2910" s="1">
        <v>449.99</v>
      </c>
      <c r="F2910" s="1">
        <v>0.05</v>
      </c>
      <c r="G2910">
        <v>899.98</v>
      </c>
      <c r="H2910" s="22">
        <f>VLOOKUP(A2910,[1]Orders!$A$2:$B$1616,2,0)</f>
        <v>42934</v>
      </c>
      <c r="J2910" t="s">
        <v>39</v>
      </c>
      <c r="K2910" t="s">
        <v>11</v>
      </c>
    </row>
    <row r="2911" spans="1:11" x14ac:dyDescent="0.3">
      <c r="A2911">
        <v>1012</v>
      </c>
      <c r="B2911">
        <v>1</v>
      </c>
      <c r="C2911">
        <v>8</v>
      </c>
      <c r="D2911">
        <v>1</v>
      </c>
      <c r="E2911" s="1">
        <v>1799.99</v>
      </c>
      <c r="F2911" s="1">
        <v>7.0000000000000007E-2</v>
      </c>
      <c r="G2911">
        <v>1799.99</v>
      </c>
      <c r="H2911" s="22">
        <f>VLOOKUP(A2911,[1]Orders!$A$2:$B$1616,2,0)</f>
        <v>42934</v>
      </c>
      <c r="J2911" t="s">
        <v>12</v>
      </c>
      <c r="K2911" t="s">
        <v>18</v>
      </c>
    </row>
    <row r="2912" spans="1:11" x14ac:dyDescent="0.3">
      <c r="A2912">
        <v>1012</v>
      </c>
      <c r="B2912">
        <v>2</v>
      </c>
      <c r="C2912">
        <v>64</v>
      </c>
      <c r="D2912">
        <v>1</v>
      </c>
      <c r="E2912" s="1">
        <v>489.99</v>
      </c>
      <c r="F2912" s="1">
        <v>0.2</v>
      </c>
      <c r="G2912">
        <v>489.99</v>
      </c>
      <c r="H2912" s="22">
        <f>VLOOKUP(A2912,[1]Orders!$A$2:$B$1616,2,0)</f>
        <v>42934</v>
      </c>
      <c r="J2912" t="s">
        <v>51</v>
      </c>
      <c r="K2912" t="s">
        <v>18</v>
      </c>
    </row>
    <row r="2913" spans="1:11" x14ac:dyDescent="0.3">
      <c r="A2913">
        <v>1013</v>
      </c>
      <c r="B2913">
        <v>1</v>
      </c>
      <c r="C2913">
        <v>60</v>
      </c>
      <c r="D2913">
        <v>2</v>
      </c>
      <c r="E2913" s="1">
        <v>1559.99</v>
      </c>
      <c r="F2913" s="1">
        <v>0.05</v>
      </c>
      <c r="G2913">
        <v>3119.98</v>
      </c>
      <c r="H2913" s="22">
        <f>VLOOKUP(A2913,[1]Orders!$A$2:$B$1616,2,0)</f>
        <v>42935</v>
      </c>
      <c r="J2913" t="s">
        <v>101</v>
      </c>
      <c r="K2913" t="s">
        <v>18</v>
      </c>
    </row>
    <row r="2914" spans="1:11" x14ac:dyDescent="0.3">
      <c r="A2914">
        <v>1014</v>
      </c>
      <c r="B2914">
        <v>1</v>
      </c>
      <c r="C2914">
        <v>97</v>
      </c>
      <c r="D2914">
        <v>1</v>
      </c>
      <c r="E2914" s="1">
        <v>349.99</v>
      </c>
      <c r="F2914" s="1">
        <v>0.2</v>
      </c>
      <c r="G2914">
        <v>349.99</v>
      </c>
      <c r="H2914" s="22">
        <f>VLOOKUP(A2914,[1]Orders!$A$2:$B$1616,2,0)</f>
        <v>42935</v>
      </c>
      <c r="J2914" t="s">
        <v>55</v>
      </c>
      <c r="K2914" t="s">
        <v>18</v>
      </c>
    </row>
    <row r="2915" spans="1:11" x14ac:dyDescent="0.3">
      <c r="A2915">
        <v>1014</v>
      </c>
      <c r="B2915">
        <v>2</v>
      </c>
      <c r="C2915">
        <v>45</v>
      </c>
      <c r="D2915">
        <v>2</v>
      </c>
      <c r="E2915" s="1">
        <v>869.99</v>
      </c>
      <c r="F2915" s="1">
        <v>0.05</v>
      </c>
      <c r="G2915">
        <v>1739.98</v>
      </c>
      <c r="H2915" s="22">
        <f>VLOOKUP(A2915,[1]Orders!$A$2:$B$1616,2,0)</f>
        <v>42935</v>
      </c>
      <c r="J2915" t="s">
        <v>88</v>
      </c>
      <c r="K2915" t="s">
        <v>18</v>
      </c>
    </row>
    <row r="2916" spans="1:11" x14ac:dyDescent="0.3">
      <c r="A2916">
        <v>1014</v>
      </c>
      <c r="B2916">
        <v>3</v>
      </c>
      <c r="C2916">
        <v>81</v>
      </c>
      <c r="D2916">
        <v>2</v>
      </c>
      <c r="E2916" s="1">
        <v>1099.99</v>
      </c>
      <c r="F2916" s="1">
        <v>0.1</v>
      </c>
      <c r="G2916">
        <v>2199.98</v>
      </c>
      <c r="H2916" s="22">
        <f>VLOOKUP(A2916,[1]Orders!$A$2:$B$1616,2,0)</f>
        <v>42935</v>
      </c>
      <c r="J2916" t="s">
        <v>99</v>
      </c>
      <c r="K2916" t="s">
        <v>18</v>
      </c>
    </row>
    <row r="2917" spans="1:11" x14ac:dyDescent="0.3">
      <c r="A2917">
        <v>1014</v>
      </c>
      <c r="B2917">
        <v>4</v>
      </c>
      <c r="C2917">
        <v>59</v>
      </c>
      <c r="D2917">
        <v>1</v>
      </c>
      <c r="E2917" s="1">
        <v>2599.9899999999998</v>
      </c>
      <c r="F2917" s="1">
        <v>0.05</v>
      </c>
      <c r="G2917">
        <v>2599.9899999999998</v>
      </c>
      <c r="H2917" s="22">
        <f>VLOOKUP(A2917,[1]Orders!$A$2:$B$1616,2,0)</f>
        <v>42935</v>
      </c>
      <c r="J2917" t="s">
        <v>74</v>
      </c>
      <c r="K2917" t="s">
        <v>18</v>
      </c>
    </row>
    <row r="2918" spans="1:11" x14ac:dyDescent="0.3">
      <c r="A2918">
        <v>1015</v>
      </c>
      <c r="B2918">
        <v>1</v>
      </c>
      <c r="C2918">
        <v>6</v>
      </c>
      <c r="D2918">
        <v>2</v>
      </c>
      <c r="E2918" s="1">
        <v>469.99</v>
      </c>
      <c r="F2918" s="1">
        <v>0.1</v>
      </c>
      <c r="G2918">
        <v>939.98</v>
      </c>
      <c r="H2918" s="22">
        <f>VLOOKUP(A2918,[1]Orders!$A$2:$B$1616,2,0)</f>
        <v>42935</v>
      </c>
      <c r="J2918" t="s">
        <v>32</v>
      </c>
      <c r="K2918" t="s">
        <v>18</v>
      </c>
    </row>
    <row r="2919" spans="1:11" x14ac:dyDescent="0.3">
      <c r="A2919">
        <v>1015</v>
      </c>
      <c r="B2919">
        <v>2</v>
      </c>
      <c r="C2919">
        <v>73</v>
      </c>
      <c r="D2919">
        <v>2</v>
      </c>
      <c r="E2919" s="1">
        <v>749.99</v>
      </c>
      <c r="F2919" s="1">
        <v>0.2</v>
      </c>
      <c r="G2919">
        <v>1499.98</v>
      </c>
      <c r="H2919" s="22">
        <f>VLOOKUP(A2919,[1]Orders!$A$2:$B$1616,2,0)</f>
        <v>42935</v>
      </c>
      <c r="J2919" t="s">
        <v>43</v>
      </c>
      <c r="K2919" t="s">
        <v>18</v>
      </c>
    </row>
    <row r="2920" spans="1:11" x14ac:dyDescent="0.3">
      <c r="A2920">
        <v>1015</v>
      </c>
      <c r="B2920">
        <v>3</v>
      </c>
      <c r="C2920">
        <v>101</v>
      </c>
      <c r="D2920">
        <v>2</v>
      </c>
      <c r="E2920" s="1">
        <v>339.99</v>
      </c>
      <c r="F2920" s="1">
        <v>0.1</v>
      </c>
      <c r="G2920">
        <v>679.98</v>
      </c>
      <c r="H2920" s="22">
        <f>VLOOKUP(A2920,[1]Orders!$A$2:$B$1616,2,0)</f>
        <v>42935</v>
      </c>
      <c r="J2920" t="s">
        <v>80</v>
      </c>
      <c r="K2920" t="s">
        <v>18</v>
      </c>
    </row>
    <row r="2921" spans="1:11" x14ac:dyDescent="0.3">
      <c r="A2921">
        <v>1015</v>
      </c>
      <c r="B2921">
        <v>4</v>
      </c>
      <c r="C2921">
        <v>13</v>
      </c>
      <c r="D2921">
        <v>1</v>
      </c>
      <c r="E2921" s="1">
        <v>269.99</v>
      </c>
      <c r="F2921" s="1">
        <v>0.2</v>
      </c>
      <c r="G2921">
        <v>269.99</v>
      </c>
      <c r="H2921" s="22">
        <f>VLOOKUP(A2921,[1]Orders!$A$2:$B$1616,2,0)</f>
        <v>42935</v>
      </c>
      <c r="J2921" t="s">
        <v>31</v>
      </c>
      <c r="K2921" t="s">
        <v>18</v>
      </c>
    </row>
    <row r="2922" spans="1:11" x14ac:dyDescent="0.3">
      <c r="A2922">
        <v>1016</v>
      </c>
      <c r="B2922">
        <v>1</v>
      </c>
      <c r="C2922">
        <v>76</v>
      </c>
      <c r="D2922">
        <v>2</v>
      </c>
      <c r="E2922" s="1">
        <v>299.99</v>
      </c>
      <c r="F2922" s="1">
        <v>7.0000000000000007E-2</v>
      </c>
      <c r="G2922">
        <v>599.98</v>
      </c>
      <c r="H2922" s="22">
        <f>VLOOKUP(A2922,[1]Orders!$A$2:$B$1616,2,0)</f>
        <v>42935</v>
      </c>
      <c r="J2922" t="s">
        <v>48</v>
      </c>
      <c r="K2922" t="s">
        <v>37</v>
      </c>
    </row>
    <row r="2923" spans="1:11" x14ac:dyDescent="0.3">
      <c r="A2923">
        <v>1017</v>
      </c>
      <c r="B2923">
        <v>1</v>
      </c>
      <c r="C2923">
        <v>89</v>
      </c>
      <c r="D2923">
        <v>1</v>
      </c>
      <c r="E2923" s="1">
        <v>209.99</v>
      </c>
      <c r="F2923" s="1">
        <v>7.0000000000000007E-2</v>
      </c>
      <c r="G2923">
        <v>209.99</v>
      </c>
      <c r="H2923" s="22">
        <f>VLOOKUP(A2923,[1]Orders!$A$2:$B$1616,2,0)</f>
        <v>42936</v>
      </c>
      <c r="J2923" t="s">
        <v>94</v>
      </c>
      <c r="K2923" t="s">
        <v>18</v>
      </c>
    </row>
    <row r="2924" spans="1:11" x14ac:dyDescent="0.3">
      <c r="A2924">
        <v>1017</v>
      </c>
      <c r="B2924">
        <v>2</v>
      </c>
      <c r="C2924">
        <v>82</v>
      </c>
      <c r="D2924">
        <v>2</v>
      </c>
      <c r="E2924" s="1">
        <v>659.99</v>
      </c>
      <c r="F2924" s="1">
        <v>0.2</v>
      </c>
      <c r="G2924">
        <v>1319.98</v>
      </c>
      <c r="H2924" s="22">
        <f>VLOOKUP(A2924,[1]Orders!$A$2:$B$1616,2,0)</f>
        <v>42936</v>
      </c>
      <c r="J2924" t="s">
        <v>100</v>
      </c>
      <c r="K2924" t="s">
        <v>18</v>
      </c>
    </row>
    <row r="2925" spans="1:11" x14ac:dyDescent="0.3">
      <c r="A2925">
        <v>1017</v>
      </c>
      <c r="B2925">
        <v>3</v>
      </c>
      <c r="C2925">
        <v>100</v>
      </c>
      <c r="D2925">
        <v>1</v>
      </c>
      <c r="E2925" s="1">
        <v>489.99</v>
      </c>
      <c r="F2925" s="1">
        <v>0.2</v>
      </c>
      <c r="G2925">
        <v>489.99</v>
      </c>
      <c r="H2925" s="22">
        <f>VLOOKUP(A2925,[1]Orders!$A$2:$B$1616,2,0)</f>
        <v>42936</v>
      </c>
      <c r="J2925" t="s">
        <v>105</v>
      </c>
      <c r="K2925" t="s">
        <v>18</v>
      </c>
    </row>
    <row r="2926" spans="1:11" x14ac:dyDescent="0.3">
      <c r="A2926">
        <v>1017</v>
      </c>
      <c r="B2926">
        <v>4</v>
      </c>
      <c r="C2926">
        <v>18</v>
      </c>
      <c r="D2926">
        <v>2</v>
      </c>
      <c r="E2926" s="1">
        <v>449</v>
      </c>
      <c r="F2926" s="1">
        <v>0.2</v>
      </c>
      <c r="G2926">
        <v>898</v>
      </c>
      <c r="H2926" s="22">
        <f>VLOOKUP(A2926,[1]Orders!$A$2:$B$1616,2,0)</f>
        <v>42936</v>
      </c>
      <c r="J2926" t="s">
        <v>24</v>
      </c>
      <c r="K2926" t="s">
        <v>18</v>
      </c>
    </row>
    <row r="2927" spans="1:11" x14ac:dyDescent="0.3">
      <c r="A2927">
        <v>1017</v>
      </c>
      <c r="B2927">
        <v>5</v>
      </c>
      <c r="C2927">
        <v>77</v>
      </c>
      <c r="D2927">
        <v>2</v>
      </c>
      <c r="E2927" s="1">
        <v>799.99</v>
      </c>
      <c r="F2927" s="1">
        <v>0.1</v>
      </c>
      <c r="G2927">
        <v>1599.98</v>
      </c>
      <c r="H2927" s="22">
        <f>VLOOKUP(A2927,[1]Orders!$A$2:$B$1616,2,0)</f>
        <v>42936</v>
      </c>
      <c r="J2927" t="s">
        <v>113</v>
      </c>
      <c r="K2927" t="s">
        <v>18</v>
      </c>
    </row>
    <row r="2928" spans="1:11" x14ac:dyDescent="0.3">
      <c r="A2928">
        <v>1018</v>
      </c>
      <c r="B2928">
        <v>1</v>
      </c>
      <c r="C2928">
        <v>76</v>
      </c>
      <c r="D2928">
        <v>2</v>
      </c>
      <c r="E2928" s="1">
        <v>299.99</v>
      </c>
      <c r="F2928" s="1">
        <v>7.0000000000000007E-2</v>
      </c>
      <c r="G2928">
        <v>599.98</v>
      </c>
      <c r="H2928" s="22">
        <f>VLOOKUP(A2928,[1]Orders!$A$2:$B$1616,2,0)</f>
        <v>42938</v>
      </c>
      <c r="J2928" t="s">
        <v>48</v>
      </c>
      <c r="K2928" t="s">
        <v>18</v>
      </c>
    </row>
    <row r="2929" spans="1:11" x14ac:dyDescent="0.3">
      <c r="A2929">
        <v>1018</v>
      </c>
      <c r="B2929">
        <v>2</v>
      </c>
      <c r="C2929">
        <v>97</v>
      </c>
      <c r="D2929">
        <v>2</v>
      </c>
      <c r="E2929" s="1">
        <v>349.99</v>
      </c>
      <c r="F2929" s="1">
        <v>0.1</v>
      </c>
      <c r="G2929">
        <v>699.98</v>
      </c>
      <c r="H2929" s="22">
        <f>VLOOKUP(A2929,[1]Orders!$A$2:$B$1616,2,0)</f>
        <v>42938</v>
      </c>
      <c r="J2929" t="s">
        <v>55</v>
      </c>
      <c r="K2929" t="s">
        <v>18</v>
      </c>
    </row>
    <row r="2930" spans="1:11" x14ac:dyDescent="0.3">
      <c r="A2930">
        <v>1018</v>
      </c>
      <c r="B2930">
        <v>3</v>
      </c>
      <c r="C2930">
        <v>91</v>
      </c>
      <c r="D2930">
        <v>1</v>
      </c>
      <c r="E2930" s="1">
        <v>349.99</v>
      </c>
      <c r="F2930" s="1">
        <v>0.2</v>
      </c>
      <c r="G2930">
        <v>349.99</v>
      </c>
      <c r="H2930" s="22">
        <f>VLOOKUP(A2930,[1]Orders!$A$2:$B$1616,2,0)</f>
        <v>42938</v>
      </c>
      <c r="J2930" t="s">
        <v>97</v>
      </c>
      <c r="K2930" t="s">
        <v>18</v>
      </c>
    </row>
    <row r="2931" spans="1:11" x14ac:dyDescent="0.3">
      <c r="A2931">
        <v>1019</v>
      </c>
      <c r="B2931">
        <v>1</v>
      </c>
      <c r="C2931">
        <v>30</v>
      </c>
      <c r="D2931">
        <v>1</v>
      </c>
      <c r="E2931" s="1">
        <v>999.99</v>
      </c>
      <c r="F2931" s="1">
        <v>0.1</v>
      </c>
      <c r="G2931">
        <v>999.99</v>
      </c>
      <c r="H2931" s="22">
        <f>VLOOKUP(A2931,[1]Orders!$A$2:$B$1616,2,0)</f>
        <v>42938</v>
      </c>
      <c r="J2931" t="s">
        <v>47</v>
      </c>
      <c r="K2931" t="s">
        <v>18</v>
      </c>
    </row>
    <row r="2932" spans="1:11" x14ac:dyDescent="0.3">
      <c r="A2932">
        <v>1019</v>
      </c>
      <c r="B2932">
        <v>2</v>
      </c>
      <c r="C2932">
        <v>52</v>
      </c>
      <c r="D2932">
        <v>1</v>
      </c>
      <c r="E2932" s="1">
        <v>875.99</v>
      </c>
      <c r="F2932" s="1">
        <v>0.2</v>
      </c>
      <c r="G2932">
        <v>875.99</v>
      </c>
      <c r="H2932" s="22">
        <f>VLOOKUP(A2932,[1]Orders!$A$2:$B$1616,2,0)</f>
        <v>42938</v>
      </c>
      <c r="J2932" t="s">
        <v>68</v>
      </c>
      <c r="K2932" t="s">
        <v>18</v>
      </c>
    </row>
    <row r="2933" spans="1:11" x14ac:dyDescent="0.3">
      <c r="A2933">
        <v>1019</v>
      </c>
      <c r="B2933">
        <v>3</v>
      </c>
      <c r="C2933">
        <v>37</v>
      </c>
      <c r="D2933">
        <v>1</v>
      </c>
      <c r="E2933" s="1">
        <v>379.99</v>
      </c>
      <c r="F2933" s="1">
        <v>0.05</v>
      </c>
      <c r="G2933">
        <v>379.99</v>
      </c>
      <c r="H2933" s="22">
        <f>VLOOKUP(A2933,[1]Orders!$A$2:$B$1616,2,0)</f>
        <v>42938</v>
      </c>
      <c r="J2933" t="s">
        <v>98</v>
      </c>
      <c r="K2933" t="s">
        <v>18</v>
      </c>
    </row>
    <row r="2934" spans="1:11" x14ac:dyDescent="0.3">
      <c r="A2934">
        <v>1019</v>
      </c>
      <c r="B2934">
        <v>4</v>
      </c>
      <c r="C2934">
        <v>93</v>
      </c>
      <c r="D2934">
        <v>2</v>
      </c>
      <c r="E2934" s="1">
        <v>209.99</v>
      </c>
      <c r="F2934" s="1">
        <v>0.2</v>
      </c>
      <c r="G2934">
        <v>419.98</v>
      </c>
      <c r="H2934" s="22">
        <f>VLOOKUP(A2934,[1]Orders!$A$2:$B$1616,2,0)</f>
        <v>42938</v>
      </c>
      <c r="J2934" t="s">
        <v>110</v>
      </c>
      <c r="K2934" t="s">
        <v>18</v>
      </c>
    </row>
    <row r="2935" spans="1:11" x14ac:dyDescent="0.3">
      <c r="A2935">
        <v>1020</v>
      </c>
      <c r="B2935">
        <v>1</v>
      </c>
      <c r="C2935">
        <v>20</v>
      </c>
      <c r="D2935">
        <v>2</v>
      </c>
      <c r="E2935" s="1">
        <v>599.99</v>
      </c>
      <c r="F2935" s="1">
        <v>0.05</v>
      </c>
      <c r="G2935">
        <v>1199.98</v>
      </c>
      <c r="H2935" s="22">
        <f>VLOOKUP(A2935,[1]Orders!$A$2:$B$1616,2,0)</f>
        <v>42939</v>
      </c>
      <c r="J2935" t="s">
        <v>10</v>
      </c>
      <c r="K2935" t="s">
        <v>18</v>
      </c>
    </row>
    <row r="2936" spans="1:11" x14ac:dyDescent="0.3">
      <c r="A2936">
        <v>1020</v>
      </c>
      <c r="B2936">
        <v>2</v>
      </c>
      <c r="C2936">
        <v>69</v>
      </c>
      <c r="D2936">
        <v>2</v>
      </c>
      <c r="E2936" s="1">
        <v>416.99</v>
      </c>
      <c r="F2936" s="1">
        <v>0.05</v>
      </c>
      <c r="G2936">
        <v>833.98</v>
      </c>
      <c r="H2936" s="22">
        <f>VLOOKUP(A2936,[1]Orders!$A$2:$B$1616,2,0)</f>
        <v>42939</v>
      </c>
      <c r="J2936" t="s">
        <v>89</v>
      </c>
      <c r="K2936" t="s">
        <v>18</v>
      </c>
    </row>
    <row r="2937" spans="1:11" x14ac:dyDescent="0.3">
      <c r="A2937">
        <v>1020</v>
      </c>
      <c r="B2937">
        <v>3</v>
      </c>
      <c r="C2937">
        <v>15</v>
      </c>
      <c r="D2937">
        <v>1</v>
      </c>
      <c r="E2937" s="1">
        <v>529.99</v>
      </c>
      <c r="F2937" s="1">
        <v>7.0000000000000007E-2</v>
      </c>
      <c r="G2937">
        <v>529.99</v>
      </c>
      <c r="H2937" s="22">
        <f>VLOOKUP(A2937,[1]Orders!$A$2:$B$1616,2,0)</f>
        <v>42939</v>
      </c>
      <c r="J2937" t="s">
        <v>27</v>
      </c>
      <c r="K2937" t="s">
        <v>18</v>
      </c>
    </row>
    <row r="2938" spans="1:11" x14ac:dyDescent="0.3">
      <c r="A2938">
        <v>1020</v>
      </c>
      <c r="B2938">
        <v>4</v>
      </c>
      <c r="C2938">
        <v>57</v>
      </c>
      <c r="D2938">
        <v>2</v>
      </c>
      <c r="E2938" s="1">
        <v>1999.99</v>
      </c>
      <c r="F2938" s="1">
        <v>0.1</v>
      </c>
      <c r="G2938">
        <v>3999.98</v>
      </c>
      <c r="H2938" s="22">
        <f>VLOOKUP(A2938,[1]Orders!$A$2:$B$1616,2,0)</f>
        <v>42939</v>
      </c>
      <c r="J2938" t="s">
        <v>103</v>
      </c>
      <c r="K2938" t="s">
        <v>18</v>
      </c>
    </row>
    <row r="2939" spans="1:11" x14ac:dyDescent="0.3">
      <c r="A2939">
        <v>1020</v>
      </c>
      <c r="B2939">
        <v>5</v>
      </c>
      <c r="C2939">
        <v>40</v>
      </c>
      <c r="D2939">
        <v>2</v>
      </c>
      <c r="E2939" s="1">
        <v>4999.99</v>
      </c>
      <c r="F2939" s="1">
        <v>0.05</v>
      </c>
      <c r="G2939">
        <v>9999.98</v>
      </c>
      <c r="H2939" s="22">
        <f>VLOOKUP(A2939,[1]Orders!$A$2:$B$1616,2,0)</f>
        <v>42939</v>
      </c>
      <c r="J2939" t="s">
        <v>104</v>
      </c>
      <c r="K2939" t="s">
        <v>18</v>
      </c>
    </row>
    <row r="2940" spans="1:11" x14ac:dyDescent="0.3">
      <c r="A2940">
        <v>1021</v>
      </c>
      <c r="B2940">
        <v>1</v>
      </c>
      <c r="C2940">
        <v>49</v>
      </c>
      <c r="D2940">
        <v>2</v>
      </c>
      <c r="E2940" s="1">
        <v>3499.99</v>
      </c>
      <c r="F2940" s="1">
        <v>7.0000000000000007E-2</v>
      </c>
      <c r="G2940">
        <v>6999.98</v>
      </c>
      <c r="H2940" s="22">
        <f>VLOOKUP(A2940,[1]Orders!$A$2:$B$1616,2,0)</f>
        <v>42939</v>
      </c>
      <c r="J2940" t="s">
        <v>70</v>
      </c>
      <c r="K2940" t="s">
        <v>18</v>
      </c>
    </row>
    <row r="2941" spans="1:11" x14ac:dyDescent="0.3">
      <c r="A2941">
        <v>1021</v>
      </c>
      <c r="B2941">
        <v>2</v>
      </c>
      <c r="C2941">
        <v>23</v>
      </c>
      <c r="D2941">
        <v>2</v>
      </c>
      <c r="E2941" s="1">
        <v>299.99</v>
      </c>
      <c r="F2941" s="1">
        <v>7.0000000000000007E-2</v>
      </c>
      <c r="G2941">
        <v>599.98</v>
      </c>
      <c r="H2941" s="22">
        <f>VLOOKUP(A2941,[1]Orders!$A$2:$B$1616,2,0)</f>
        <v>42939</v>
      </c>
      <c r="J2941" t="s">
        <v>33</v>
      </c>
      <c r="K2941" t="s">
        <v>18</v>
      </c>
    </row>
    <row r="2942" spans="1:11" x14ac:dyDescent="0.3">
      <c r="A2942">
        <v>1022</v>
      </c>
      <c r="B2942">
        <v>1</v>
      </c>
      <c r="C2942">
        <v>33</v>
      </c>
      <c r="D2942">
        <v>1</v>
      </c>
      <c r="E2942" s="1">
        <v>469.99</v>
      </c>
      <c r="F2942" s="1">
        <v>0.2</v>
      </c>
      <c r="G2942">
        <v>469.99</v>
      </c>
      <c r="H2942" s="22">
        <f>VLOOKUP(A2942,[1]Orders!$A$2:$B$1616,2,0)</f>
        <v>42939</v>
      </c>
      <c r="J2942" t="s">
        <v>67</v>
      </c>
      <c r="K2942" t="s">
        <v>18</v>
      </c>
    </row>
    <row r="2943" spans="1:11" x14ac:dyDescent="0.3">
      <c r="A2943">
        <v>1022</v>
      </c>
      <c r="B2943">
        <v>2</v>
      </c>
      <c r="C2943">
        <v>46</v>
      </c>
      <c r="D2943">
        <v>1</v>
      </c>
      <c r="E2943" s="1">
        <v>1409.99</v>
      </c>
      <c r="F2943" s="1">
        <v>0.1</v>
      </c>
      <c r="G2943">
        <v>1409.99</v>
      </c>
      <c r="H2943" s="22">
        <f>VLOOKUP(A2943,[1]Orders!$A$2:$B$1616,2,0)</f>
        <v>42939</v>
      </c>
      <c r="J2943" t="s">
        <v>118</v>
      </c>
      <c r="K2943" t="s">
        <v>18</v>
      </c>
    </row>
    <row r="2944" spans="1:11" x14ac:dyDescent="0.3">
      <c r="A2944">
        <v>1022</v>
      </c>
      <c r="B2944">
        <v>3</v>
      </c>
      <c r="C2944">
        <v>65</v>
      </c>
      <c r="D2944">
        <v>1</v>
      </c>
      <c r="E2944" s="1">
        <v>346.99</v>
      </c>
      <c r="F2944" s="1">
        <v>7.0000000000000007E-2</v>
      </c>
      <c r="G2944">
        <v>346.99</v>
      </c>
      <c r="H2944" s="22">
        <f>VLOOKUP(A2944,[1]Orders!$A$2:$B$1616,2,0)</f>
        <v>42939</v>
      </c>
      <c r="J2944" t="s">
        <v>114</v>
      </c>
      <c r="K2944" t="s">
        <v>18</v>
      </c>
    </row>
    <row r="2945" spans="1:11" x14ac:dyDescent="0.3">
      <c r="A2945">
        <v>1022</v>
      </c>
      <c r="B2945">
        <v>4</v>
      </c>
      <c r="C2945">
        <v>5</v>
      </c>
      <c r="D2945">
        <v>1</v>
      </c>
      <c r="E2945" s="1">
        <v>1320.99</v>
      </c>
      <c r="F2945" s="1">
        <v>7.0000000000000007E-2</v>
      </c>
      <c r="G2945">
        <v>1320.99</v>
      </c>
      <c r="H2945" s="22">
        <f>VLOOKUP(A2945,[1]Orders!$A$2:$B$1616,2,0)</f>
        <v>42939</v>
      </c>
      <c r="J2945" t="s">
        <v>34</v>
      </c>
      <c r="K2945" t="s">
        <v>18</v>
      </c>
    </row>
    <row r="2946" spans="1:11" x14ac:dyDescent="0.3">
      <c r="A2946">
        <v>1023</v>
      </c>
      <c r="B2946">
        <v>1</v>
      </c>
      <c r="C2946">
        <v>91</v>
      </c>
      <c r="D2946">
        <v>1</v>
      </c>
      <c r="E2946" s="1">
        <v>349.99</v>
      </c>
      <c r="F2946" s="1">
        <v>7.0000000000000007E-2</v>
      </c>
      <c r="G2946">
        <v>349.99</v>
      </c>
      <c r="H2946" s="22">
        <f>VLOOKUP(A2946,[1]Orders!$A$2:$B$1616,2,0)</f>
        <v>42939</v>
      </c>
      <c r="J2946" t="s">
        <v>97</v>
      </c>
      <c r="K2946" t="s">
        <v>18</v>
      </c>
    </row>
    <row r="2947" spans="1:11" x14ac:dyDescent="0.3">
      <c r="A2947">
        <v>1023</v>
      </c>
      <c r="B2947">
        <v>2</v>
      </c>
      <c r="C2947">
        <v>43</v>
      </c>
      <c r="D2947">
        <v>2</v>
      </c>
      <c r="E2947" s="1">
        <v>5299.99</v>
      </c>
      <c r="F2947" s="1">
        <v>0.1</v>
      </c>
      <c r="G2947">
        <v>10599.98</v>
      </c>
      <c r="H2947" s="22">
        <f>VLOOKUP(A2947,[1]Orders!$A$2:$B$1616,2,0)</f>
        <v>42939</v>
      </c>
      <c r="J2947" t="s">
        <v>62</v>
      </c>
      <c r="K2947" t="s">
        <v>18</v>
      </c>
    </row>
    <row r="2948" spans="1:11" x14ac:dyDescent="0.3">
      <c r="A2948">
        <v>1024</v>
      </c>
      <c r="B2948">
        <v>1</v>
      </c>
      <c r="C2948">
        <v>104</v>
      </c>
      <c r="D2948">
        <v>1</v>
      </c>
      <c r="E2948" s="1">
        <v>481.99</v>
      </c>
      <c r="F2948" s="1">
        <v>0.2</v>
      </c>
      <c r="G2948">
        <v>481.99</v>
      </c>
      <c r="H2948" s="22">
        <f>VLOOKUP(A2948,[1]Orders!$A$2:$B$1616,2,0)</f>
        <v>42939</v>
      </c>
      <c r="J2948" t="s">
        <v>87</v>
      </c>
      <c r="K2948" t="s">
        <v>18</v>
      </c>
    </row>
    <row r="2949" spans="1:11" x14ac:dyDescent="0.3">
      <c r="A2949">
        <v>1024</v>
      </c>
      <c r="B2949">
        <v>2</v>
      </c>
      <c r="C2949">
        <v>28</v>
      </c>
      <c r="D2949">
        <v>2</v>
      </c>
      <c r="E2949" s="1">
        <v>2499.9899999999998</v>
      </c>
      <c r="F2949" s="1">
        <v>0.05</v>
      </c>
      <c r="G2949">
        <v>4999.9799999999996</v>
      </c>
      <c r="H2949" s="22">
        <f>VLOOKUP(A2949,[1]Orders!$A$2:$B$1616,2,0)</f>
        <v>42939</v>
      </c>
      <c r="J2949" t="s">
        <v>86</v>
      </c>
      <c r="K2949" t="s">
        <v>18</v>
      </c>
    </row>
    <row r="2950" spans="1:11" x14ac:dyDescent="0.3">
      <c r="A2950">
        <v>1024</v>
      </c>
      <c r="B2950">
        <v>3</v>
      </c>
      <c r="C2950">
        <v>98</v>
      </c>
      <c r="D2950">
        <v>2</v>
      </c>
      <c r="E2950" s="1">
        <v>489.99</v>
      </c>
      <c r="F2950" s="1">
        <v>0.2</v>
      </c>
      <c r="G2950">
        <v>979.98</v>
      </c>
      <c r="H2950" s="22">
        <f>VLOOKUP(A2950,[1]Orders!$A$2:$B$1616,2,0)</f>
        <v>42939</v>
      </c>
      <c r="J2950" t="s">
        <v>82</v>
      </c>
      <c r="K2950" t="s">
        <v>18</v>
      </c>
    </row>
    <row r="2951" spans="1:11" x14ac:dyDescent="0.3">
      <c r="A2951">
        <v>1024</v>
      </c>
      <c r="B2951">
        <v>4</v>
      </c>
      <c r="C2951">
        <v>96</v>
      </c>
      <c r="D2951">
        <v>2</v>
      </c>
      <c r="E2951" s="1">
        <v>349.99</v>
      </c>
      <c r="F2951" s="1">
        <v>0.1</v>
      </c>
      <c r="G2951">
        <v>699.98</v>
      </c>
      <c r="H2951" s="22">
        <f>VLOOKUP(A2951,[1]Orders!$A$2:$B$1616,2,0)</f>
        <v>42939</v>
      </c>
      <c r="J2951" t="s">
        <v>91</v>
      </c>
      <c r="K2951" t="s">
        <v>18</v>
      </c>
    </row>
    <row r="2952" spans="1:11" x14ac:dyDescent="0.3">
      <c r="A2952">
        <v>1024</v>
      </c>
      <c r="B2952">
        <v>5</v>
      </c>
      <c r="C2952">
        <v>91</v>
      </c>
      <c r="D2952">
        <v>1</v>
      </c>
      <c r="E2952" s="1">
        <v>349.99</v>
      </c>
      <c r="F2952" s="1">
        <v>0.2</v>
      </c>
      <c r="G2952">
        <v>349.99</v>
      </c>
      <c r="H2952" s="22">
        <f>VLOOKUP(A2952,[1]Orders!$A$2:$B$1616,2,0)</f>
        <v>42939</v>
      </c>
      <c r="J2952" t="s">
        <v>97</v>
      </c>
      <c r="K2952" t="s">
        <v>18</v>
      </c>
    </row>
    <row r="2953" spans="1:11" x14ac:dyDescent="0.3">
      <c r="A2953">
        <v>1025</v>
      </c>
      <c r="B2953">
        <v>1</v>
      </c>
      <c r="C2953">
        <v>89</v>
      </c>
      <c r="D2953">
        <v>1</v>
      </c>
      <c r="E2953" s="1">
        <v>209.99</v>
      </c>
      <c r="F2953" s="1">
        <v>7.0000000000000007E-2</v>
      </c>
      <c r="G2953">
        <v>209.99</v>
      </c>
      <c r="H2953" s="22">
        <f>VLOOKUP(A2953,[1]Orders!$A$2:$B$1616,2,0)</f>
        <v>42939</v>
      </c>
      <c r="J2953" t="s">
        <v>94</v>
      </c>
      <c r="K2953" t="s">
        <v>18</v>
      </c>
    </row>
    <row r="2954" spans="1:11" x14ac:dyDescent="0.3">
      <c r="A2954">
        <v>1025</v>
      </c>
      <c r="B2954">
        <v>2</v>
      </c>
      <c r="C2954">
        <v>102</v>
      </c>
      <c r="D2954">
        <v>1</v>
      </c>
      <c r="E2954" s="1">
        <v>489.99</v>
      </c>
      <c r="F2954" s="1">
        <v>0.1</v>
      </c>
      <c r="G2954">
        <v>489.99</v>
      </c>
      <c r="H2954" s="22">
        <f>VLOOKUP(A2954,[1]Orders!$A$2:$B$1616,2,0)</f>
        <v>42939</v>
      </c>
      <c r="J2954" t="s">
        <v>51</v>
      </c>
      <c r="K2954" t="s">
        <v>18</v>
      </c>
    </row>
    <row r="2955" spans="1:11" x14ac:dyDescent="0.3">
      <c r="A2955">
        <v>1025</v>
      </c>
      <c r="B2955">
        <v>3</v>
      </c>
      <c r="C2955">
        <v>39</v>
      </c>
      <c r="D2955">
        <v>1</v>
      </c>
      <c r="E2955" s="1">
        <v>1499.99</v>
      </c>
      <c r="F2955" s="1">
        <v>0.1</v>
      </c>
      <c r="G2955">
        <v>1499.99</v>
      </c>
      <c r="H2955" s="22">
        <f>VLOOKUP(A2955,[1]Orders!$A$2:$B$1616,2,0)</f>
        <v>42939</v>
      </c>
      <c r="J2955" t="s">
        <v>72</v>
      </c>
      <c r="K2955" t="s">
        <v>18</v>
      </c>
    </row>
    <row r="2956" spans="1:11" x14ac:dyDescent="0.3">
      <c r="A2956">
        <v>1025</v>
      </c>
      <c r="B2956">
        <v>4</v>
      </c>
      <c r="C2956">
        <v>15</v>
      </c>
      <c r="D2956">
        <v>1</v>
      </c>
      <c r="E2956" s="1">
        <v>529.99</v>
      </c>
      <c r="F2956" s="1">
        <v>0.05</v>
      </c>
      <c r="G2956">
        <v>529.99</v>
      </c>
      <c r="H2956" s="22">
        <f>VLOOKUP(A2956,[1]Orders!$A$2:$B$1616,2,0)</f>
        <v>42939</v>
      </c>
      <c r="J2956" t="s">
        <v>27</v>
      </c>
      <c r="K2956" t="s">
        <v>18</v>
      </c>
    </row>
    <row r="2957" spans="1:11" x14ac:dyDescent="0.3">
      <c r="A2957">
        <v>1025</v>
      </c>
      <c r="B2957">
        <v>5</v>
      </c>
      <c r="C2957">
        <v>66</v>
      </c>
      <c r="D2957">
        <v>2</v>
      </c>
      <c r="E2957" s="1">
        <v>250.99</v>
      </c>
      <c r="F2957" s="1">
        <v>0.05</v>
      </c>
      <c r="G2957">
        <v>501.98</v>
      </c>
      <c r="H2957" s="22">
        <f>VLOOKUP(A2957,[1]Orders!$A$2:$B$1616,2,0)</f>
        <v>42939</v>
      </c>
      <c r="J2957" t="s">
        <v>92</v>
      </c>
      <c r="K2957" t="s">
        <v>18</v>
      </c>
    </row>
    <row r="2958" spans="1:11" x14ac:dyDescent="0.3">
      <c r="A2958">
        <v>1026</v>
      </c>
      <c r="B2958">
        <v>1</v>
      </c>
      <c r="C2958">
        <v>7</v>
      </c>
      <c r="D2958">
        <v>2</v>
      </c>
      <c r="E2958" s="1">
        <v>3999.99</v>
      </c>
      <c r="F2958" s="1">
        <v>7.0000000000000007E-2</v>
      </c>
      <c r="G2958">
        <v>7999.98</v>
      </c>
      <c r="H2958" s="22">
        <f>VLOOKUP(A2958,[1]Orders!$A$2:$B$1616,2,0)</f>
        <v>42942</v>
      </c>
      <c r="J2958" t="s">
        <v>29</v>
      </c>
      <c r="K2958" t="s">
        <v>11</v>
      </c>
    </row>
    <row r="2959" spans="1:11" x14ac:dyDescent="0.3">
      <c r="A2959">
        <v>1027</v>
      </c>
      <c r="B2959">
        <v>1</v>
      </c>
      <c r="C2959">
        <v>95</v>
      </c>
      <c r="D2959">
        <v>2</v>
      </c>
      <c r="E2959" s="1">
        <v>299.99</v>
      </c>
      <c r="F2959" s="1">
        <v>0.1</v>
      </c>
      <c r="G2959">
        <v>599.98</v>
      </c>
      <c r="H2959" s="22">
        <f>VLOOKUP(A2959,[1]Orders!$A$2:$B$1616,2,0)</f>
        <v>42942</v>
      </c>
      <c r="J2959" t="s">
        <v>48</v>
      </c>
      <c r="K2959" t="s">
        <v>18</v>
      </c>
    </row>
    <row r="2960" spans="1:11" x14ac:dyDescent="0.3">
      <c r="A2960">
        <v>1027</v>
      </c>
      <c r="B2960">
        <v>2</v>
      </c>
      <c r="C2960">
        <v>14</v>
      </c>
      <c r="D2960">
        <v>2</v>
      </c>
      <c r="E2960" s="1">
        <v>269.99</v>
      </c>
      <c r="F2960" s="1">
        <v>0.05</v>
      </c>
      <c r="G2960">
        <v>539.98</v>
      </c>
      <c r="H2960" s="22">
        <f>VLOOKUP(A2960,[1]Orders!$A$2:$B$1616,2,0)</f>
        <v>42942</v>
      </c>
      <c r="J2960" t="s">
        <v>28</v>
      </c>
      <c r="K2960" t="s">
        <v>18</v>
      </c>
    </row>
    <row r="2961" spans="1:11" x14ac:dyDescent="0.3">
      <c r="A2961">
        <v>1028</v>
      </c>
      <c r="B2961">
        <v>1</v>
      </c>
      <c r="C2961">
        <v>111</v>
      </c>
      <c r="D2961">
        <v>2</v>
      </c>
      <c r="E2961" s="1">
        <v>470.99</v>
      </c>
      <c r="F2961" s="1">
        <v>0.1</v>
      </c>
      <c r="G2961">
        <v>941.98</v>
      </c>
      <c r="H2961" s="22">
        <f>VLOOKUP(A2961,[1]Orders!$A$2:$B$1616,2,0)</f>
        <v>42943</v>
      </c>
      <c r="J2961" t="s">
        <v>112</v>
      </c>
      <c r="K2961" t="s">
        <v>18</v>
      </c>
    </row>
    <row r="2962" spans="1:11" x14ac:dyDescent="0.3">
      <c r="A2962">
        <v>1028</v>
      </c>
      <c r="B2962">
        <v>2</v>
      </c>
      <c r="C2962">
        <v>10</v>
      </c>
      <c r="D2962">
        <v>1</v>
      </c>
      <c r="E2962" s="1">
        <v>1549</v>
      </c>
      <c r="F2962" s="1">
        <v>0.2</v>
      </c>
      <c r="G2962">
        <v>1549</v>
      </c>
      <c r="H2962" s="22">
        <f>VLOOKUP(A2962,[1]Orders!$A$2:$B$1616,2,0)</f>
        <v>42943</v>
      </c>
      <c r="J2962" t="s">
        <v>13</v>
      </c>
      <c r="K2962" t="s">
        <v>18</v>
      </c>
    </row>
    <row r="2963" spans="1:11" x14ac:dyDescent="0.3">
      <c r="A2963">
        <v>1028</v>
      </c>
      <c r="B2963">
        <v>3</v>
      </c>
      <c r="C2963">
        <v>41</v>
      </c>
      <c r="D2963">
        <v>1</v>
      </c>
      <c r="E2963" s="1">
        <v>1469.99</v>
      </c>
      <c r="F2963" s="1">
        <v>0.2</v>
      </c>
      <c r="G2963">
        <v>1469.99</v>
      </c>
      <c r="H2963" s="22">
        <f>VLOOKUP(A2963,[1]Orders!$A$2:$B$1616,2,0)</f>
        <v>42943</v>
      </c>
      <c r="J2963" t="s">
        <v>77</v>
      </c>
      <c r="K2963" t="s">
        <v>18</v>
      </c>
    </row>
    <row r="2964" spans="1:11" x14ac:dyDescent="0.3">
      <c r="A2964">
        <v>1028</v>
      </c>
      <c r="B2964">
        <v>4</v>
      </c>
      <c r="C2964">
        <v>35</v>
      </c>
      <c r="D2964">
        <v>2</v>
      </c>
      <c r="E2964" s="1">
        <v>832.99</v>
      </c>
      <c r="F2964" s="1">
        <v>0.1</v>
      </c>
      <c r="G2964">
        <v>1665.98</v>
      </c>
      <c r="H2964" s="22">
        <f>VLOOKUP(A2964,[1]Orders!$A$2:$B$1616,2,0)</f>
        <v>42943</v>
      </c>
      <c r="J2964" t="s">
        <v>109</v>
      </c>
      <c r="K2964" t="s">
        <v>18</v>
      </c>
    </row>
    <row r="2965" spans="1:11" x14ac:dyDescent="0.3">
      <c r="A2965">
        <v>1028</v>
      </c>
      <c r="B2965">
        <v>5</v>
      </c>
      <c r="C2965">
        <v>108</v>
      </c>
      <c r="D2965">
        <v>1</v>
      </c>
      <c r="E2965" s="1">
        <v>449.99</v>
      </c>
      <c r="F2965" s="1">
        <v>0.2</v>
      </c>
      <c r="G2965">
        <v>449.99</v>
      </c>
      <c r="H2965" s="22">
        <f>VLOOKUP(A2965,[1]Orders!$A$2:$B$1616,2,0)</f>
        <v>42943</v>
      </c>
      <c r="J2965" t="s">
        <v>85</v>
      </c>
      <c r="K2965" t="s">
        <v>18</v>
      </c>
    </row>
    <row r="2966" spans="1:11" x14ac:dyDescent="0.3">
      <c r="A2966">
        <v>1029</v>
      </c>
      <c r="B2966">
        <v>1</v>
      </c>
      <c r="C2966">
        <v>20</v>
      </c>
      <c r="D2966">
        <v>1</v>
      </c>
      <c r="E2966" s="1">
        <v>599.99</v>
      </c>
      <c r="F2966" s="1">
        <v>0.2</v>
      </c>
      <c r="G2966">
        <v>599.99</v>
      </c>
      <c r="H2966" s="22">
        <f>VLOOKUP(A2966,[1]Orders!$A$2:$B$1616,2,0)</f>
        <v>42945</v>
      </c>
      <c r="J2966" t="s">
        <v>10</v>
      </c>
      <c r="K2966" t="s">
        <v>11</v>
      </c>
    </row>
    <row r="2967" spans="1:11" x14ac:dyDescent="0.3">
      <c r="A2967">
        <v>1029</v>
      </c>
      <c r="B2967">
        <v>2</v>
      </c>
      <c r="C2967">
        <v>55</v>
      </c>
      <c r="D2967">
        <v>1</v>
      </c>
      <c r="E2967" s="1">
        <v>2699.99</v>
      </c>
      <c r="F2967" s="1">
        <v>0.1</v>
      </c>
      <c r="G2967">
        <v>2699.99</v>
      </c>
      <c r="H2967" s="22">
        <f>VLOOKUP(A2967,[1]Orders!$A$2:$B$1616,2,0)</f>
        <v>42945</v>
      </c>
      <c r="J2967" t="s">
        <v>76</v>
      </c>
      <c r="K2967" t="s">
        <v>11</v>
      </c>
    </row>
    <row r="2968" spans="1:11" x14ac:dyDescent="0.3">
      <c r="A2968">
        <v>1029</v>
      </c>
      <c r="B2968">
        <v>3</v>
      </c>
      <c r="C2968">
        <v>40</v>
      </c>
      <c r="D2968">
        <v>1</v>
      </c>
      <c r="E2968" s="1">
        <v>4999.99</v>
      </c>
      <c r="F2968" s="1">
        <v>0.2</v>
      </c>
      <c r="G2968">
        <v>4999.99</v>
      </c>
      <c r="H2968" s="22">
        <f>VLOOKUP(A2968,[1]Orders!$A$2:$B$1616,2,0)</f>
        <v>42945</v>
      </c>
      <c r="J2968" t="s">
        <v>104</v>
      </c>
      <c r="K2968" t="s">
        <v>11</v>
      </c>
    </row>
    <row r="2969" spans="1:11" x14ac:dyDescent="0.3">
      <c r="A2969">
        <v>1029</v>
      </c>
      <c r="B2969">
        <v>4</v>
      </c>
      <c r="C2969">
        <v>68</v>
      </c>
      <c r="D2969">
        <v>2</v>
      </c>
      <c r="E2969" s="1">
        <v>449.99</v>
      </c>
      <c r="F2969" s="1">
        <v>0.1</v>
      </c>
      <c r="G2969">
        <v>899.98</v>
      </c>
      <c r="H2969" s="22">
        <f>VLOOKUP(A2969,[1]Orders!$A$2:$B$1616,2,0)</f>
        <v>42945</v>
      </c>
      <c r="J2969" t="s">
        <v>39</v>
      </c>
      <c r="K2969" t="s">
        <v>11</v>
      </c>
    </row>
    <row r="2970" spans="1:11" x14ac:dyDescent="0.3">
      <c r="A2970">
        <v>1030</v>
      </c>
      <c r="B2970">
        <v>1</v>
      </c>
      <c r="C2970">
        <v>27</v>
      </c>
      <c r="D2970">
        <v>1</v>
      </c>
      <c r="E2970" s="1">
        <v>999.99</v>
      </c>
      <c r="F2970" s="1">
        <v>0.05</v>
      </c>
      <c r="G2970">
        <v>999.99</v>
      </c>
      <c r="H2970" s="22">
        <f>VLOOKUP(A2970,[1]Orders!$A$2:$B$1616,2,0)</f>
        <v>42945</v>
      </c>
      <c r="J2970" t="s">
        <v>106</v>
      </c>
      <c r="K2970" t="s">
        <v>18</v>
      </c>
    </row>
    <row r="2971" spans="1:11" x14ac:dyDescent="0.3">
      <c r="A2971">
        <v>1030</v>
      </c>
      <c r="B2971">
        <v>2</v>
      </c>
      <c r="C2971">
        <v>10</v>
      </c>
      <c r="D2971">
        <v>2</v>
      </c>
      <c r="E2971" s="1">
        <v>1549</v>
      </c>
      <c r="F2971" s="1">
        <v>0.1</v>
      </c>
      <c r="G2971">
        <v>3098</v>
      </c>
      <c r="H2971" s="22">
        <f>VLOOKUP(A2971,[1]Orders!$A$2:$B$1616,2,0)</f>
        <v>42945</v>
      </c>
      <c r="J2971" t="s">
        <v>13</v>
      </c>
      <c r="K2971" t="s">
        <v>18</v>
      </c>
    </row>
    <row r="2972" spans="1:11" x14ac:dyDescent="0.3">
      <c r="A2972">
        <v>1030</v>
      </c>
      <c r="B2972">
        <v>3</v>
      </c>
      <c r="C2972">
        <v>72</v>
      </c>
      <c r="D2972">
        <v>1</v>
      </c>
      <c r="E2972" s="1">
        <v>619.99</v>
      </c>
      <c r="F2972" s="1">
        <v>0.1</v>
      </c>
      <c r="G2972">
        <v>619.99</v>
      </c>
      <c r="H2972" s="22">
        <f>VLOOKUP(A2972,[1]Orders!$A$2:$B$1616,2,0)</f>
        <v>42945</v>
      </c>
      <c r="J2972" t="s">
        <v>44</v>
      </c>
      <c r="K2972" t="s">
        <v>18</v>
      </c>
    </row>
    <row r="2973" spans="1:11" x14ac:dyDescent="0.3">
      <c r="A2973">
        <v>1031</v>
      </c>
      <c r="B2973">
        <v>1</v>
      </c>
      <c r="C2973">
        <v>27</v>
      </c>
      <c r="D2973">
        <v>2</v>
      </c>
      <c r="E2973" s="1">
        <v>999.99</v>
      </c>
      <c r="F2973" s="1">
        <v>0.2</v>
      </c>
      <c r="G2973">
        <v>1999.98</v>
      </c>
      <c r="H2973" s="22">
        <f>VLOOKUP(A2973,[1]Orders!$A$2:$B$1616,2,0)</f>
        <v>42946</v>
      </c>
      <c r="J2973" t="s">
        <v>106</v>
      </c>
      <c r="K2973" t="s">
        <v>11</v>
      </c>
    </row>
    <row r="2974" spans="1:11" x14ac:dyDescent="0.3">
      <c r="A2974">
        <v>1031</v>
      </c>
      <c r="B2974">
        <v>2</v>
      </c>
      <c r="C2974">
        <v>108</v>
      </c>
      <c r="D2974">
        <v>2</v>
      </c>
      <c r="E2974" s="1">
        <v>449.99</v>
      </c>
      <c r="F2974" s="1">
        <v>0.2</v>
      </c>
      <c r="G2974">
        <v>899.98</v>
      </c>
      <c r="H2974" s="22">
        <f>VLOOKUP(A2974,[1]Orders!$A$2:$B$1616,2,0)</f>
        <v>42946</v>
      </c>
      <c r="J2974" t="s">
        <v>85</v>
      </c>
      <c r="K2974" t="s">
        <v>11</v>
      </c>
    </row>
    <row r="2975" spans="1:11" x14ac:dyDescent="0.3">
      <c r="A2975">
        <v>1032</v>
      </c>
      <c r="B2975">
        <v>1</v>
      </c>
      <c r="C2975">
        <v>60</v>
      </c>
      <c r="D2975">
        <v>2</v>
      </c>
      <c r="E2975" s="1">
        <v>1559.99</v>
      </c>
      <c r="F2975" s="1">
        <v>0.1</v>
      </c>
      <c r="G2975">
        <v>3119.98</v>
      </c>
      <c r="H2975" s="22">
        <f>VLOOKUP(A2975,[1]Orders!$A$2:$B$1616,2,0)</f>
        <v>42946</v>
      </c>
      <c r="J2975" t="s">
        <v>101</v>
      </c>
      <c r="K2975" t="s">
        <v>18</v>
      </c>
    </row>
    <row r="2976" spans="1:11" x14ac:dyDescent="0.3">
      <c r="A2976">
        <v>1032</v>
      </c>
      <c r="B2976">
        <v>2</v>
      </c>
      <c r="C2976">
        <v>17</v>
      </c>
      <c r="D2976">
        <v>1</v>
      </c>
      <c r="E2976" s="1">
        <v>429</v>
      </c>
      <c r="F2976" s="1">
        <v>0.1</v>
      </c>
      <c r="G2976">
        <v>429</v>
      </c>
      <c r="H2976" s="22">
        <f>VLOOKUP(A2976,[1]Orders!$A$2:$B$1616,2,0)</f>
        <v>42946</v>
      </c>
      <c r="J2976" t="s">
        <v>23</v>
      </c>
      <c r="K2976" t="s">
        <v>18</v>
      </c>
    </row>
    <row r="2977" spans="1:11" x14ac:dyDescent="0.3">
      <c r="A2977">
        <v>1033</v>
      </c>
      <c r="B2977">
        <v>1</v>
      </c>
      <c r="C2977">
        <v>26</v>
      </c>
      <c r="D2977">
        <v>1</v>
      </c>
      <c r="E2977" s="1">
        <v>599.99</v>
      </c>
      <c r="F2977" s="1">
        <v>7.0000000000000007E-2</v>
      </c>
      <c r="G2977">
        <v>599.99</v>
      </c>
      <c r="H2977" s="22">
        <f>VLOOKUP(A2977,[1]Orders!$A$2:$B$1616,2,0)</f>
        <v>42946</v>
      </c>
      <c r="J2977" t="s">
        <v>14</v>
      </c>
      <c r="K2977" t="s">
        <v>18</v>
      </c>
    </row>
    <row r="2978" spans="1:11" x14ac:dyDescent="0.3">
      <c r="A2978">
        <v>1033</v>
      </c>
      <c r="B2978">
        <v>2</v>
      </c>
      <c r="C2978">
        <v>109</v>
      </c>
      <c r="D2978">
        <v>2</v>
      </c>
      <c r="E2978" s="1">
        <v>416.99</v>
      </c>
      <c r="F2978" s="1">
        <v>0.1</v>
      </c>
      <c r="G2978">
        <v>833.98</v>
      </c>
      <c r="H2978" s="22">
        <f>VLOOKUP(A2978,[1]Orders!$A$2:$B$1616,2,0)</f>
        <v>42946</v>
      </c>
      <c r="J2978" t="s">
        <v>49</v>
      </c>
      <c r="K2978" t="s">
        <v>18</v>
      </c>
    </row>
    <row r="2979" spans="1:11" x14ac:dyDescent="0.3">
      <c r="A2979">
        <v>1033</v>
      </c>
      <c r="B2979">
        <v>3</v>
      </c>
      <c r="C2979">
        <v>27</v>
      </c>
      <c r="D2979">
        <v>2</v>
      </c>
      <c r="E2979" s="1">
        <v>999.99</v>
      </c>
      <c r="F2979" s="1">
        <v>7.0000000000000007E-2</v>
      </c>
      <c r="G2979">
        <v>1999.98</v>
      </c>
      <c r="H2979" s="22">
        <f>VLOOKUP(A2979,[1]Orders!$A$2:$B$1616,2,0)</f>
        <v>42946</v>
      </c>
      <c r="J2979" t="s">
        <v>106</v>
      </c>
      <c r="K2979" t="s">
        <v>18</v>
      </c>
    </row>
    <row r="2980" spans="1:11" x14ac:dyDescent="0.3">
      <c r="A2980">
        <v>1034</v>
      </c>
      <c r="B2980">
        <v>1</v>
      </c>
      <c r="C2980">
        <v>101</v>
      </c>
      <c r="D2980">
        <v>1</v>
      </c>
      <c r="E2980" s="1">
        <v>339.99</v>
      </c>
      <c r="F2980" s="1">
        <v>0.1</v>
      </c>
      <c r="G2980">
        <v>339.99</v>
      </c>
      <c r="H2980" s="22">
        <f>VLOOKUP(A2980,[1]Orders!$A$2:$B$1616,2,0)</f>
        <v>42946</v>
      </c>
      <c r="J2980" t="s">
        <v>80</v>
      </c>
      <c r="K2980" t="s">
        <v>18</v>
      </c>
    </row>
    <row r="2981" spans="1:11" x14ac:dyDescent="0.3">
      <c r="A2981">
        <v>1034</v>
      </c>
      <c r="B2981">
        <v>2</v>
      </c>
      <c r="C2981">
        <v>8</v>
      </c>
      <c r="D2981">
        <v>2</v>
      </c>
      <c r="E2981" s="1">
        <v>1799.99</v>
      </c>
      <c r="F2981" s="1">
        <v>0.1</v>
      </c>
      <c r="G2981">
        <v>3599.98</v>
      </c>
      <c r="H2981" s="22">
        <f>VLOOKUP(A2981,[1]Orders!$A$2:$B$1616,2,0)</f>
        <v>42946</v>
      </c>
      <c r="J2981" t="s">
        <v>12</v>
      </c>
      <c r="K2981" t="s">
        <v>18</v>
      </c>
    </row>
    <row r="2982" spans="1:11" x14ac:dyDescent="0.3">
      <c r="A2982">
        <v>1034</v>
      </c>
      <c r="B2982">
        <v>3</v>
      </c>
      <c r="C2982">
        <v>11</v>
      </c>
      <c r="D2982">
        <v>2</v>
      </c>
      <c r="E2982" s="1">
        <v>1680.99</v>
      </c>
      <c r="F2982" s="1">
        <v>7.0000000000000007E-2</v>
      </c>
      <c r="G2982">
        <v>3361.98</v>
      </c>
      <c r="H2982" s="22">
        <f>VLOOKUP(A2982,[1]Orders!$A$2:$B$1616,2,0)</f>
        <v>42946</v>
      </c>
      <c r="J2982" t="s">
        <v>30</v>
      </c>
      <c r="K2982" t="s">
        <v>18</v>
      </c>
    </row>
    <row r="2983" spans="1:11" x14ac:dyDescent="0.3">
      <c r="A2983">
        <v>1034</v>
      </c>
      <c r="B2983">
        <v>4</v>
      </c>
      <c r="C2983">
        <v>21</v>
      </c>
      <c r="D2983">
        <v>1</v>
      </c>
      <c r="E2983" s="1">
        <v>269.99</v>
      </c>
      <c r="F2983" s="1">
        <v>0.05</v>
      </c>
      <c r="G2983">
        <v>269.99</v>
      </c>
      <c r="H2983" s="22">
        <f>VLOOKUP(A2983,[1]Orders!$A$2:$B$1616,2,0)</f>
        <v>42946</v>
      </c>
      <c r="J2983" t="s">
        <v>31</v>
      </c>
      <c r="K2983" t="s">
        <v>18</v>
      </c>
    </row>
    <row r="2984" spans="1:11" x14ac:dyDescent="0.3">
      <c r="A2984">
        <v>1035</v>
      </c>
      <c r="B2984">
        <v>1</v>
      </c>
      <c r="C2984">
        <v>96</v>
      </c>
      <c r="D2984">
        <v>1</v>
      </c>
      <c r="E2984" s="1">
        <v>349.99</v>
      </c>
      <c r="F2984" s="1">
        <v>0.2</v>
      </c>
      <c r="G2984">
        <v>349.99</v>
      </c>
      <c r="H2984" s="22">
        <f>VLOOKUP(A2984,[1]Orders!$A$2:$B$1616,2,0)</f>
        <v>42946</v>
      </c>
      <c r="J2984" t="s">
        <v>91</v>
      </c>
      <c r="K2984" t="s">
        <v>18</v>
      </c>
    </row>
    <row r="2985" spans="1:11" x14ac:dyDescent="0.3">
      <c r="A2985">
        <v>1036</v>
      </c>
      <c r="B2985">
        <v>1</v>
      </c>
      <c r="C2985">
        <v>55</v>
      </c>
      <c r="D2985">
        <v>2</v>
      </c>
      <c r="E2985" s="1">
        <v>2699.99</v>
      </c>
      <c r="F2985" s="1">
        <v>0.1</v>
      </c>
      <c r="G2985">
        <v>5399.98</v>
      </c>
      <c r="H2985" s="22">
        <f>VLOOKUP(A2985,[1]Orders!$A$2:$B$1616,2,0)</f>
        <v>42946</v>
      </c>
      <c r="J2985" t="s">
        <v>76</v>
      </c>
      <c r="K2985" t="s">
        <v>18</v>
      </c>
    </row>
    <row r="2986" spans="1:11" x14ac:dyDescent="0.3">
      <c r="A2986">
        <v>1036</v>
      </c>
      <c r="B2986">
        <v>2</v>
      </c>
      <c r="C2986">
        <v>76</v>
      </c>
      <c r="D2986">
        <v>1</v>
      </c>
      <c r="E2986" s="1">
        <v>299.99</v>
      </c>
      <c r="F2986" s="1">
        <v>7.0000000000000007E-2</v>
      </c>
      <c r="G2986">
        <v>299.99</v>
      </c>
      <c r="H2986" s="22">
        <f>VLOOKUP(A2986,[1]Orders!$A$2:$B$1616,2,0)</f>
        <v>42946</v>
      </c>
      <c r="J2986" t="s">
        <v>48</v>
      </c>
      <c r="K2986" t="s">
        <v>18</v>
      </c>
    </row>
    <row r="2987" spans="1:11" x14ac:dyDescent="0.3">
      <c r="A2987">
        <v>1036</v>
      </c>
      <c r="B2987">
        <v>3</v>
      </c>
      <c r="C2987">
        <v>18</v>
      </c>
      <c r="D2987">
        <v>2</v>
      </c>
      <c r="E2987" s="1">
        <v>449</v>
      </c>
      <c r="F2987" s="1">
        <v>0.05</v>
      </c>
      <c r="G2987">
        <v>898</v>
      </c>
      <c r="H2987" s="22">
        <f>VLOOKUP(A2987,[1]Orders!$A$2:$B$1616,2,0)</f>
        <v>42946</v>
      </c>
      <c r="J2987" t="s">
        <v>24</v>
      </c>
      <c r="K2987" t="s">
        <v>18</v>
      </c>
    </row>
    <row r="2988" spans="1:11" x14ac:dyDescent="0.3">
      <c r="A2988">
        <v>1036</v>
      </c>
      <c r="B2988">
        <v>4</v>
      </c>
      <c r="C2988">
        <v>65</v>
      </c>
      <c r="D2988">
        <v>2</v>
      </c>
      <c r="E2988" s="1">
        <v>346.99</v>
      </c>
      <c r="F2988" s="1">
        <v>0.2</v>
      </c>
      <c r="G2988">
        <v>693.98</v>
      </c>
      <c r="H2988" s="22">
        <f>VLOOKUP(A2988,[1]Orders!$A$2:$B$1616,2,0)</f>
        <v>42946</v>
      </c>
      <c r="J2988" t="s">
        <v>114</v>
      </c>
      <c r="K2988" t="s">
        <v>18</v>
      </c>
    </row>
    <row r="2989" spans="1:11" x14ac:dyDescent="0.3">
      <c r="A2989">
        <v>1036</v>
      </c>
      <c r="B2989">
        <v>5</v>
      </c>
      <c r="C2989">
        <v>12</v>
      </c>
      <c r="D2989">
        <v>1</v>
      </c>
      <c r="E2989" s="1">
        <v>549.99</v>
      </c>
      <c r="F2989" s="1">
        <v>0.2</v>
      </c>
      <c r="G2989">
        <v>549.99</v>
      </c>
      <c r="H2989" s="22">
        <f>VLOOKUP(A2989,[1]Orders!$A$2:$B$1616,2,0)</f>
        <v>42946</v>
      </c>
      <c r="J2989" t="s">
        <v>25</v>
      </c>
      <c r="K2989" t="s">
        <v>18</v>
      </c>
    </row>
    <row r="2990" spans="1:11" x14ac:dyDescent="0.3">
      <c r="A2990">
        <v>1037</v>
      </c>
      <c r="B2990">
        <v>1</v>
      </c>
      <c r="C2990">
        <v>74</v>
      </c>
      <c r="D2990">
        <v>2</v>
      </c>
      <c r="E2990" s="1">
        <v>439.99</v>
      </c>
      <c r="F2990" s="1">
        <v>7.0000000000000007E-2</v>
      </c>
      <c r="G2990">
        <v>879.98</v>
      </c>
      <c r="H2990" s="22">
        <f>VLOOKUP(A2990,[1]Orders!$A$2:$B$1616,2,0)</f>
        <v>42947</v>
      </c>
      <c r="J2990" t="s">
        <v>61</v>
      </c>
      <c r="K2990" t="s">
        <v>18</v>
      </c>
    </row>
    <row r="2991" spans="1:11" x14ac:dyDescent="0.3">
      <c r="A2991">
        <v>1037</v>
      </c>
      <c r="B2991">
        <v>2</v>
      </c>
      <c r="C2991">
        <v>3</v>
      </c>
      <c r="D2991">
        <v>1</v>
      </c>
      <c r="E2991" s="1">
        <v>999.99</v>
      </c>
      <c r="F2991" s="1">
        <v>7.0000000000000007E-2</v>
      </c>
      <c r="G2991">
        <v>999.99</v>
      </c>
      <c r="H2991" s="22">
        <f>VLOOKUP(A2991,[1]Orders!$A$2:$B$1616,2,0)</f>
        <v>42947</v>
      </c>
      <c r="J2991" t="s">
        <v>20</v>
      </c>
      <c r="K2991" t="s">
        <v>18</v>
      </c>
    </row>
    <row r="2992" spans="1:11" x14ac:dyDescent="0.3">
      <c r="A2992">
        <v>1037</v>
      </c>
      <c r="B2992">
        <v>3</v>
      </c>
      <c r="C2992">
        <v>65</v>
      </c>
      <c r="D2992">
        <v>2</v>
      </c>
      <c r="E2992" s="1">
        <v>346.99</v>
      </c>
      <c r="F2992" s="1">
        <v>0.2</v>
      </c>
      <c r="G2992">
        <v>693.98</v>
      </c>
      <c r="H2992" s="22">
        <f>VLOOKUP(A2992,[1]Orders!$A$2:$B$1616,2,0)</f>
        <v>42947</v>
      </c>
      <c r="J2992" t="s">
        <v>114</v>
      </c>
      <c r="K2992" t="s">
        <v>18</v>
      </c>
    </row>
    <row r="2993" spans="1:11" x14ac:dyDescent="0.3">
      <c r="A2993">
        <v>1037</v>
      </c>
      <c r="B2993">
        <v>4</v>
      </c>
      <c r="C2993">
        <v>92</v>
      </c>
      <c r="D2993">
        <v>1</v>
      </c>
      <c r="E2993" s="1">
        <v>209.99</v>
      </c>
      <c r="F2993" s="1">
        <v>7.0000000000000007E-2</v>
      </c>
      <c r="G2993">
        <v>209.99</v>
      </c>
      <c r="H2993" s="22">
        <f>VLOOKUP(A2993,[1]Orders!$A$2:$B$1616,2,0)</f>
        <v>42947</v>
      </c>
      <c r="J2993" t="s">
        <v>111</v>
      </c>
      <c r="K2993" t="s">
        <v>18</v>
      </c>
    </row>
    <row r="2994" spans="1:11" x14ac:dyDescent="0.3">
      <c r="A2994">
        <v>1037</v>
      </c>
      <c r="B2994">
        <v>5</v>
      </c>
      <c r="C2994">
        <v>84</v>
      </c>
      <c r="D2994">
        <v>2</v>
      </c>
      <c r="E2994" s="1">
        <v>109.99</v>
      </c>
      <c r="F2994" s="1">
        <v>0.05</v>
      </c>
      <c r="G2994">
        <v>219.98</v>
      </c>
      <c r="H2994" s="22">
        <f>VLOOKUP(A2994,[1]Orders!$A$2:$B$1616,2,0)</f>
        <v>42947</v>
      </c>
      <c r="J2994" t="s">
        <v>83</v>
      </c>
      <c r="K2994" t="s">
        <v>18</v>
      </c>
    </row>
    <row r="2995" spans="1:11" x14ac:dyDescent="0.3">
      <c r="A2995">
        <v>1038</v>
      </c>
      <c r="B2995">
        <v>1</v>
      </c>
      <c r="C2995">
        <v>83</v>
      </c>
      <c r="D2995">
        <v>1</v>
      </c>
      <c r="E2995" s="1">
        <v>149.99</v>
      </c>
      <c r="F2995" s="1">
        <v>0.05</v>
      </c>
      <c r="G2995">
        <v>149.99</v>
      </c>
      <c r="H2995" s="22">
        <f>VLOOKUP(A2995,[1]Orders!$A$2:$B$1616,2,0)</f>
        <v>42947</v>
      </c>
      <c r="J2995" t="s">
        <v>66</v>
      </c>
      <c r="K2995" t="s">
        <v>18</v>
      </c>
    </row>
    <row r="2996" spans="1:11" x14ac:dyDescent="0.3">
      <c r="A2996">
        <v>1038</v>
      </c>
      <c r="B2996">
        <v>2</v>
      </c>
      <c r="C2996">
        <v>9</v>
      </c>
      <c r="D2996">
        <v>1</v>
      </c>
      <c r="E2996" s="1">
        <v>2999.99</v>
      </c>
      <c r="F2996" s="1">
        <v>7.0000000000000007E-2</v>
      </c>
      <c r="G2996">
        <v>2999.99</v>
      </c>
      <c r="H2996" s="22">
        <f>VLOOKUP(A2996,[1]Orders!$A$2:$B$1616,2,0)</f>
        <v>42947</v>
      </c>
      <c r="J2996" t="s">
        <v>26</v>
      </c>
      <c r="K2996" t="s">
        <v>18</v>
      </c>
    </row>
    <row r="2997" spans="1:11" x14ac:dyDescent="0.3">
      <c r="A2997">
        <v>1039</v>
      </c>
      <c r="B2997">
        <v>1</v>
      </c>
      <c r="C2997">
        <v>18</v>
      </c>
      <c r="D2997">
        <v>2</v>
      </c>
      <c r="E2997" s="1">
        <v>449</v>
      </c>
      <c r="F2997" s="1">
        <v>0.2</v>
      </c>
      <c r="G2997">
        <v>898</v>
      </c>
      <c r="H2997" s="22">
        <f>VLOOKUP(A2997,[1]Orders!$A$2:$B$1616,2,0)</f>
        <v>42949</v>
      </c>
      <c r="J2997" t="s">
        <v>24</v>
      </c>
      <c r="K2997" t="s">
        <v>18</v>
      </c>
    </row>
    <row r="2998" spans="1:11" x14ac:dyDescent="0.3">
      <c r="A2998">
        <v>1040</v>
      </c>
      <c r="B2998">
        <v>1</v>
      </c>
      <c r="C2998">
        <v>97</v>
      </c>
      <c r="D2998">
        <v>1</v>
      </c>
      <c r="E2998" s="1">
        <v>349.99</v>
      </c>
      <c r="F2998" s="1">
        <v>0.1</v>
      </c>
      <c r="G2998">
        <v>349.99</v>
      </c>
      <c r="H2998" s="22">
        <f>VLOOKUP(A2998,[1]Orders!$A$2:$B$1616,2,0)</f>
        <v>42951</v>
      </c>
      <c r="J2998" t="s">
        <v>55</v>
      </c>
      <c r="K2998" t="s">
        <v>11</v>
      </c>
    </row>
    <row r="2999" spans="1:11" x14ac:dyDescent="0.3">
      <c r="A2999">
        <v>1040</v>
      </c>
      <c r="B2999">
        <v>2</v>
      </c>
      <c r="C2999">
        <v>28</v>
      </c>
      <c r="D2999">
        <v>2</v>
      </c>
      <c r="E2999" s="1">
        <v>2499.9899999999998</v>
      </c>
      <c r="F2999" s="1">
        <v>0.2</v>
      </c>
      <c r="G2999">
        <v>4999.9799999999996</v>
      </c>
      <c r="H2999" s="22">
        <f>VLOOKUP(A2999,[1]Orders!$A$2:$B$1616,2,0)</f>
        <v>42951</v>
      </c>
      <c r="J2999" t="s">
        <v>86</v>
      </c>
      <c r="K2999" t="s">
        <v>11</v>
      </c>
    </row>
    <row r="3000" spans="1:11" x14ac:dyDescent="0.3">
      <c r="A3000">
        <v>1040</v>
      </c>
      <c r="B3000">
        <v>3</v>
      </c>
      <c r="C3000">
        <v>64</v>
      </c>
      <c r="D3000">
        <v>1</v>
      </c>
      <c r="E3000" s="1">
        <v>489.99</v>
      </c>
      <c r="F3000" s="1">
        <v>7.0000000000000007E-2</v>
      </c>
      <c r="G3000">
        <v>489.99</v>
      </c>
      <c r="H3000" s="22">
        <f>VLOOKUP(A3000,[1]Orders!$A$2:$B$1616,2,0)</f>
        <v>42951</v>
      </c>
      <c r="J3000" t="s">
        <v>51</v>
      </c>
      <c r="K3000" t="s">
        <v>11</v>
      </c>
    </row>
    <row r="3001" spans="1:11" x14ac:dyDescent="0.3">
      <c r="A3001">
        <v>1040</v>
      </c>
      <c r="B3001">
        <v>4</v>
      </c>
      <c r="C3001">
        <v>27</v>
      </c>
      <c r="D3001">
        <v>2</v>
      </c>
      <c r="E3001" s="1">
        <v>999.99</v>
      </c>
      <c r="F3001" s="1">
        <v>7.0000000000000007E-2</v>
      </c>
      <c r="G3001">
        <v>1999.98</v>
      </c>
      <c r="H3001" s="22">
        <f>VLOOKUP(A3001,[1]Orders!$A$2:$B$1616,2,0)</f>
        <v>42951</v>
      </c>
      <c r="J3001" t="s">
        <v>106</v>
      </c>
      <c r="K3001" t="s">
        <v>11</v>
      </c>
    </row>
    <row r="3002" spans="1:11" x14ac:dyDescent="0.3">
      <c r="A3002">
        <v>1040</v>
      </c>
      <c r="B3002">
        <v>5</v>
      </c>
      <c r="C3002">
        <v>8</v>
      </c>
      <c r="D3002">
        <v>2</v>
      </c>
      <c r="E3002" s="1">
        <v>1799.99</v>
      </c>
      <c r="F3002" s="1">
        <v>0.05</v>
      </c>
      <c r="G3002">
        <v>3599.98</v>
      </c>
      <c r="H3002" s="22">
        <f>VLOOKUP(A3002,[1]Orders!$A$2:$B$1616,2,0)</f>
        <v>42951</v>
      </c>
      <c r="J3002" t="s">
        <v>12</v>
      </c>
      <c r="K3002" t="s">
        <v>11</v>
      </c>
    </row>
    <row r="3003" spans="1:11" x14ac:dyDescent="0.3">
      <c r="A3003">
        <v>1041</v>
      </c>
      <c r="B3003">
        <v>1</v>
      </c>
      <c r="C3003">
        <v>89</v>
      </c>
      <c r="D3003">
        <v>1</v>
      </c>
      <c r="E3003" s="1">
        <v>209.99</v>
      </c>
      <c r="F3003" s="1">
        <v>0.1</v>
      </c>
      <c r="G3003">
        <v>209.99</v>
      </c>
      <c r="H3003" s="22">
        <f>VLOOKUP(A3003,[1]Orders!$A$2:$B$1616,2,0)</f>
        <v>42951</v>
      </c>
      <c r="J3003" t="s">
        <v>94</v>
      </c>
      <c r="K3003" t="s">
        <v>18</v>
      </c>
    </row>
    <row r="3004" spans="1:11" x14ac:dyDescent="0.3">
      <c r="A3004">
        <v>1041</v>
      </c>
      <c r="B3004">
        <v>2</v>
      </c>
      <c r="C3004">
        <v>61</v>
      </c>
      <c r="D3004">
        <v>2</v>
      </c>
      <c r="E3004" s="1">
        <v>4999.99</v>
      </c>
      <c r="F3004" s="1">
        <v>7.0000000000000007E-2</v>
      </c>
      <c r="G3004">
        <v>9999.98</v>
      </c>
      <c r="H3004" s="22">
        <f>VLOOKUP(A3004,[1]Orders!$A$2:$B$1616,2,0)</f>
        <v>42951</v>
      </c>
      <c r="J3004" t="s">
        <v>45</v>
      </c>
      <c r="K3004" t="s">
        <v>18</v>
      </c>
    </row>
    <row r="3005" spans="1:11" x14ac:dyDescent="0.3">
      <c r="A3005">
        <v>1041</v>
      </c>
      <c r="B3005">
        <v>3</v>
      </c>
      <c r="C3005">
        <v>94</v>
      </c>
      <c r="D3005">
        <v>2</v>
      </c>
      <c r="E3005" s="1">
        <v>249.99</v>
      </c>
      <c r="F3005" s="1">
        <v>0.1</v>
      </c>
      <c r="G3005">
        <v>499.98</v>
      </c>
      <c r="H3005" s="22">
        <f>VLOOKUP(A3005,[1]Orders!$A$2:$B$1616,2,0)</f>
        <v>42951</v>
      </c>
      <c r="J3005" t="s">
        <v>59</v>
      </c>
      <c r="K3005" t="s">
        <v>18</v>
      </c>
    </row>
    <row r="3006" spans="1:11" x14ac:dyDescent="0.3">
      <c r="A3006">
        <v>1042</v>
      </c>
      <c r="B3006">
        <v>1</v>
      </c>
      <c r="C3006">
        <v>23</v>
      </c>
      <c r="D3006">
        <v>1</v>
      </c>
      <c r="E3006" s="1">
        <v>299.99</v>
      </c>
      <c r="F3006" s="1">
        <v>0.1</v>
      </c>
      <c r="G3006">
        <v>299.99</v>
      </c>
      <c r="H3006" s="22">
        <f>VLOOKUP(A3006,[1]Orders!$A$2:$B$1616,2,0)</f>
        <v>42953</v>
      </c>
      <c r="J3006" t="s">
        <v>33</v>
      </c>
      <c r="K3006" t="s">
        <v>18</v>
      </c>
    </row>
    <row r="3007" spans="1:11" x14ac:dyDescent="0.3">
      <c r="A3007">
        <v>1043</v>
      </c>
      <c r="B3007">
        <v>1</v>
      </c>
      <c r="C3007">
        <v>55</v>
      </c>
      <c r="D3007">
        <v>2</v>
      </c>
      <c r="E3007" s="1">
        <v>2699.99</v>
      </c>
      <c r="F3007" s="1">
        <v>0.1</v>
      </c>
      <c r="G3007">
        <v>5399.98</v>
      </c>
      <c r="H3007" s="22">
        <f>VLOOKUP(A3007,[1]Orders!$A$2:$B$1616,2,0)</f>
        <v>42953</v>
      </c>
      <c r="J3007" t="s">
        <v>76</v>
      </c>
      <c r="K3007" t="s">
        <v>18</v>
      </c>
    </row>
    <row r="3008" spans="1:11" x14ac:dyDescent="0.3">
      <c r="A3008">
        <v>1043</v>
      </c>
      <c r="B3008">
        <v>2</v>
      </c>
      <c r="C3008">
        <v>20</v>
      </c>
      <c r="D3008">
        <v>1</v>
      </c>
      <c r="E3008" s="1">
        <v>599.99</v>
      </c>
      <c r="F3008" s="1">
        <v>7.0000000000000007E-2</v>
      </c>
      <c r="G3008">
        <v>599.99</v>
      </c>
      <c r="H3008" s="22">
        <f>VLOOKUP(A3008,[1]Orders!$A$2:$B$1616,2,0)</f>
        <v>42953</v>
      </c>
      <c r="J3008" t="s">
        <v>10</v>
      </c>
      <c r="K3008" t="s">
        <v>18</v>
      </c>
    </row>
    <row r="3009" spans="1:11" x14ac:dyDescent="0.3">
      <c r="A3009">
        <v>1044</v>
      </c>
      <c r="B3009">
        <v>1</v>
      </c>
      <c r="C3009">
        <v>97</v>
      </c>
      <c r="D3009">
        <v>2</v>
      </c>
      <c r="E3009" s="1">
        <v>349.99</v>
      </c>
      <c r="F3009" s="1">
        <v>0.1</v>
      </c>
      <c r="G3009">
        <v>699.98</v>
      </c>
      <c r="H3009" s="22">
        <f>VLOOKUP(A3009,[1]Orders!$A$2:$B$1616,2,0)</f>
        <v>42954</v>
      </c>
      <c r="J3009" t="s">
        <v>55</v>
      </c>
      <c r="K3009" t="s">
        <v>18</v>
      </c>
    </row>
    <row r="3010" spans="1:11" x14ac:dyDescent="0.3">
      <c r="A3010">
        <v>1045</v>
      </c>
      <c r="B3010">
        <v>1</v>
      </c>
      <c r="C3010">
        <v>28</v>
      </c>
      <c r="D3010">
        <v>1</v>
      </c>
      <c r="E3010" s="1">
        <v>2499.9899999999998</v>
      </c>
      <c r="F3010" s="1">
        <v>0.05</v>
      </c>
      <c r="G3010">
        <v>2499.9899999999998</v>
      </c>
      <c r="H3010" s="22">
        <f>VLOOKUP(A3010,[1]Orders!$A$2:$B$1616,2,0)</f>
        <v>42954</v>
      </c>
      <c r="J3010" t="s">
        <v>86</v>
      </c>
      <c r="K3010" t="s">
        <v>37</v>
      </c>
    </row>
    <row r="3011" spans="1:11" x14ac:dyDescent="0.3">
      <c r="A3011">
        <v>1045</v>
      </c>
      <c r="B3011">
        <v>2</v>
      </c>
      <c r="C3011">
        <v>104</v>
      </c>
      <c r="D3011">
        <v>2</v>
      </c>
      <c r="E3011" s="1">
        <v>481.99</v>
      </c>
      <c r="F3011" s="1">
        <v>0.05</v>
      </c>
      <c r="G3011">
        <v>963.98</v>
      </c>
      <c r="H3011" s="22">
        <f>VLOOKUP(A3011,[1]Orders!$A$2:$B$1616,2,0)</f>
        <v>42954</v>
      </c>
      <c r="J3011" t="s">
        <v>87</v>
      </c>
      <c r="K3011" t="s">
        <v>37</v>
      </c>
    </row>
    <row r="3012" spans="1:11" x14ac:dyDescent="0.3">
      <c r="A3012">
        <v>1046</v>
      </c>
      <c r="B3012">
        <v>1</v>
      </c>
      <c r="C3012">
        <v>60</v>
      </c>
      <c r="D3012">
        <v>1</v>
      </c>
      <c r="E3012" s="1">
        <v>1559.99</v>
      </c>
      <c r="F3012" s="1">
        <v>7.0000000000000007E-2</v>
      </c>
      <c r="G3012">
        <v>1559.99</v>
      </c>
      <c r="H3012" s="22">
        <f>VLOOKUP(A3012,[1]Orders!$A$2:$B$1616,2,0)</f>
        <v>42954</v>
      </c>
      <c r="J3012" t="s">
        <v>101</v>
      </c>
      <c r="K3012" t="s">
        <v>37</v>
      </c>
    </row>
    <row r="3013" spans="1:11" x14ac:dyDescent="0.3">
      <c r="A3013">
        <v>1046</v>
      </c>
      <c r="B3013">
        <v>2</v>
      </c>
      <c r="C3013">
        <v>79</v>
      </c>
      <c r="D3013">
        <v>1</v>
      </c>
      <c r="E3013" s="1">
        <v>402.99</v>
      </c>
      <c r="F3013" s="1">
        <v>7.0000000000000007E-2</v>
      </c>
      <c r="G3013">
        <v>402.99</v>
      </c>
      <c r="H3013" s="22">
        <f>VLOOKUP(A3013,[1]Orders!$A$2:$B$1616,2,0)</f>
        <v>42954</v>
      </c>
      <c r="J3013" t="s">
        <v>58</v>
      </c>
      <c r="K3013" t="s">
        <v>37</v>
      </c>
    </row>
    <row r="3014" spans="1:11" x14ac:dyDescent="0.3">
      <c r="A3014">
        <v>1046</v>
      </c>
      <c r="B3014">
        <v>3</v>
      </c>
      <c r="C3014">
        <v>32</v>
      </c>
      <c r="D3014">
        <v>1</v>
      </c>
      <c r="E3014" s="1">
        <v>469.99</v>
      </c>
      <c r="F3014" s="1">
        <v>7.0000000000000007E-2</v>
      </c>
      <c r="G3014">
        <v>469.99</v>
      </c>
      <c r="H3014" s="22">
        <f>VLOOKUP(A3014,[1]Orders!$A$2:$B$1616,2,0)</f>
        <v>42954</v>
      </c>
      <c r="J3014" t="s">
        <v>46</v>
      </c>
      <c r="K3014" t="s">
        <v>37</v>
      </c>
    </row>
    <row r="3015" spans="1:11" x14ac:dyDescent="0.3">
      <c r="A3015">
        <v>1046</v>
      </c>
      <c r="B3015">
        <v>4</v>
      </c>
      <c r="C3015">
        <v>41</v>
      </c>
      <c r="D3015">
        <v>2</v>
      </c>
      <c r="E3015" s="1">
        <v>1469.99</v>
      </c>
      <c r="F3015" s="1">
        <v>0.1</v>
      </c>
      <c r="G3015">
        <v>2939.98</v>
      </c>
      <c r="H3015" s="22">
        <f>VLOOKUP(A3015,[1]Orders!$A$2:$B$1616,2,0)</f>
        <v>42954</v>
      </c>
      <c r="J3015" t="s">
        <v>77</v>
      </c>
      <c r="K3015" t="s">
        <v>37</v>
      </c>
    </row>
    <row r="3016" spans="1:11" x14ac:dyDescent="0.3">
      <c r="A3016">
        <v>1046</v>
      </c>
      <c r="B3016">
        <v>5</v>
      </c>
      <c r="C3016">
        <v>17</v>
      </c>
      <c r="D3016">
        <v>2</v>
      </c>
      <c r="E3016" s="1">
        <v>429</v>
      </c>
      <c r="F3016" s="1">
        <v>0.05</v>
      </c>
      <c r="G3016">
        <v>858</v>
      </c>
      <c r="H3016" s="22">
        <f>VLOOKUP(A3016,[1]Orders!$A$2:$B$1616,2,0)</f>
        <v>42954</v>
      </c>
      <c r="J3016" t="s">
        <v>23</v>
      </c>
      <c r="K3016" t="s">
        <v>37</v>
      </c>
    </row>
    <row r="3017" spans="1:11" x14ac:dyDescent="0.3">
      <c r="A3017">
        <v>1047</v>
      </c>
      <c r="B3017">
        <v>1</v>
      </c>
      <c r="C3017">
        <v>28</v>
      </c>
      <c r="D3017">
        <v>2</v>
      </c>
      <c r="E3017" s="1">
        <v>2499.9899999999998</v>
      </c>
      <c r="F3017" s="1">
        <v>0.1</v>
      </c>
      <c r="G3017">
        <v>4999.9799999999996</v>
      </c>
      <c r="H3017" s="22">
        <f>VLOOKUP(A3017,[1]Orders!$A$2:$B$1616,2,0)</f>
        <v>42955</v>
      </c>
      <c r="J3017" t="s">
        <v>86</v>
      </c>
      <c r="K3017" t="s">
        <v>37</v>
      </c>
    </row>
    <row r="3018" spans="1:11" x14ac:dyDescent="0.3">
      <c r="A3018">
        <v>1047</v>
      </c>
      <c r="B3018">
        <v>2</v>
      </c>
      <c r="C3018">
        <v>78</v>
      </c>
      <c r="D3018">
        <v>1</v>
      </c>
      <c r="E3018" s="1">
        <v>647.99</v>
      </c>
      <c r="F3018" s="1">
        <v>0.2</v>
      </c>
      <c r="G3018">
        <v>647.99</v>
      </c>
      <c r="H3018" s="22">
        <f>VLOOKUP(A3018,[1]Orders!$A$2:$B$1616,2,0)</f>
        <v>42955</v>
      </c>
      <c r="J3018" t="s">
        <v>57</v>
      </c>
      <c r="K3018" t="s">
        <v>37</v>
      </c>
    </row>
    <row r="3019" spans="1:11" x14ac:dyDescent="0.3">
      <c r="A3019">
        <v>1047</v>
      </c>
      <c r="B3019">
        <v>3</v>
      </c>
      <c r="C3019">
        <v>35</v>
      </c>
      <c r="D3019">
        <v>1</v>
      </c>
      <c r="E3019" s="1">
        <v>832.99</v>
      </c>
      <c r="F3019" s="1">
        <v>0.05</v>
      </c>
      <c r="G3019">
        <v>832.99</v>
      </c>
      <c r="H3019" s="22">
        <f>VLOOKUP(A3019,[1]Orders!$A$2:$B$1616,2,0)</f>
        <v>42955</v>
      </c>
      <c r="J3019" t="s">
        <v>109</v>
      </c>
      <c r="K3019" t="s">
        <v>37</v>
      </c>
    </row>
    <row r="3020" spans="1:11" x14ac:dyDescent="0.3">
      <c r="A3020">
        <v>1047</v>
      </c>
      <c r="B3020">
        <v>4</v>
      </c>
      <c r="C3020">
        <v>49</v>
      </c>
      <c r="D3020">
        <v>1</v>
      </c>
      <c r="E3020" s="1">
        <v>3499.99</v>
      </c>
      <c r="F3020" s="1">
        <v>0.05</v>
      </c>
      <c r="G3020">
        <v>3499.99</v>
      </c>
      <c r="H3020" s="22">
        <f>VLOOKUP(A3020,[1]Orders!$A$2:$B$1616,2,0)</f>
        <v>42955</v>
      </c>
      <c r="J3020" t="s">
        <v>70</v>
      </c>
      <c r="K3020" t="s">
        <v>37</v>
      </c>
    </row>
    <row r="3021" spans="1:11" x14ac:dyDescent="0.3">
      <c r="A3021">
        <v>1048</v>
      </c>
      <c r="B3021">
        <v>1</v>
      </c>
      <c r="C3021">
        <v>3</v>
      </c>
      <c r="D3021">
        <v>2</v>
      </c>
      <c r="E3021" s="1">
        <v>999.99</v>
      </c>
      <c r="F3021" s="1">
        <v>0.1</v>
      </c>
      <c r="G3021">
        <v>1999.98</v>
      </c>
      <c r="H3021" s="22">
        <f>VLOOKUP(A3021,[1]Orders!$A$2:$B$1616,2,0)</f>
        <v>42955</v>
      </c>
      <c r="J3021" t="s">
        <v>20</v>
      </c>
      <c r="K3021" t="s">
        <v>18</v>
      </c>
    </row>
    <row r="3022" spans="1:11" x14ac:dyDescent="0.3">
      <c r="A3022">
        <v>1048</v>
      </c>
      <c r="B3022">
        <v>2</v>
      </c>
      <c r="C3022">
        <v>37</v>
      </c>
      <c r="D3022">
        <v>1</v>
      </c>
      <c r="E3022" s="1">
        <v>379.99</v>
      </c>
      <c r="F3022" s="1">
        <v>0.1</v>
      </c>
      <c r="G3022">
        <v>379.99</v>
      </c>
      <c r="H3022" s="22">
        <f>VLOOKUP(A3022,[1]Orders!$A$2:$B$1616,2,0)</f>
        <v>42955</v>
      </c>
      <c r="J3022" t="s">
        <v>98</v>
      </c>
      <c r="K3022" t="s">
        <v>18</v>
      </c>
    </row>
    <row r="3023" spans="1:11" x14ac:dyDescent="0.3">
      <c r="A3023">
        <v>1048</v>
      </c>
      <c r="B3023">
        <v>3</v>
      </c>
      <c r="C3023">
        <v>94</v>
      </c>
      <c r="D3023">
        <v>1</v>
      </c>
      <c r="E3023" s="1">
        <v>249.99</v>
      </c>
      <c r="F3023" s="1">
        <v>0.05</v>
      </c>
      <c r="G3023">
        <v>249.99</v>
      </c>
      <c r="H3023" s="22">
        <f>VLOOKUP(A3023,[1]Orders!$A$2:$B$1616,2,0)</f>
        <v>42955</v>
      </c>
      <c r="J3023" t="s">
        <v>59</v>
      </c>
      <c r="K3023" t="s">
        <v>18</v>
      </c>
    </row>
    <row r="3024" spans="1:11" x14ac:dyDescent="0.3">
      <c r="A3024">
        <v>1049</v>
      </c>
      <c r="B3024">
        <v>1</v>
      </c>
      <c r="C3024">
        <v>9</v>
      </c>
      <c r="D3024">
        <v>1</v>
      </c>
      <c r="E3024" s="1">
        <v>2999.99</v>
      </c>
      <c r="F3024" s="1">
        <v>0.1</v>
      </c>
      <c r="G3024">
        <v>2999.99</v>
      </c>
      <c r="H3024" s="22">
        <f>VLOOKUP(A3024,[1]Orders!$A$2:$B$1616,2,0)</f>
        <v>42956</v>
      </c>
      <c r="J3024" t="s">
        <v>26</v>
      </c>
      <c r="K3024" t="s">
        <v>11</v>
      </c>
    </row>
    <row r="3025" spans="1:11" x14ac:dyDescent="0.3">
      <c r="A3025">
        <v>1049</v>
      </c>
      <c r="B3025">
        <v>2</v>
      </c>
      <c r="C3025">
        <v>36</v>
      </c>
      <c r="D3025">
        <v>2</v>
      </c>
      <c r="E3025" s="1">
        <v>832.99</v>
      </c>
      <c r="F3025" s="1">
        <v>0.05</v>
      </c>
      <c r="G3025">
        <v>1665.98</v>
      </c>
      <c r="H3025" s="22">
        <f>VLOOKUP(A3025,[1]Orders!$A$2:$B$1616,2,0)</f>
        <v>42956</v>
      </c>
      <c r="J3025" t="s">
        <v>116</v>
      </c>
      <c r="K3025" t="s">
        <v>11</v>
      </c>
    </row>
    <row r="3026" spans="1:11" x14ac:dyDescent="0.3">
      <c r="A3026">
        <v>1049</v>
      </c>
      <c r="B3026">
        <v>3</v>
      </c>
      <c r="C3026">
        <v>3</v>
      </c>
      <c r="D3026">
        <v>1</v>
      </c>
      <c r="E3026" s="1">
        <v>999.99</v>
      </c>
      <c r="F3026" s="1">
        <v>0.1</v>
      </c>
      <c r="G3026">
        <v>999.99</v>
      </c>
      <c r="H3026" s="22">
        <f>VLOOKUP(A3026,[1]Orders!$A$2:$B$1616,2,0)</f>
        <v>42956</v>
      </c>
      <c r="J3026" t="s">
        <v>20</v>
      </c>
      <c r="K3026" t="s">
        <v>11</v>
      </c>
    </row>
    <row r="3027" spans="1:11" x14ac:dyDescent="0.3">
      <c r="A3027">
        <v>1049</v>
      </c>
      <c r="B3027">
        <v>4</v>
      </c>
      <c r="C3027">
        <v>26</v>
      </c>
      <c r="D3027">
        <v>1</v>
      </c>
      <c r="E3027" s="1">
        <v>599.99</v>
      </c>
      <c r="F3027" s="1">
        <v>7.0000000000000007E-2</v>
      </c>
      <c r="G3027">
        <v>599.99</v>
      </c>
      <c r="H3027" s="22">
        <f>VLOOKUP(A3027,[1]Orders!$A$2:$B$1616,2,0)</f>
        <v>42956</v>
      </c>
      <c r="J3027" t="s">
        <v>14</v>
      </c>
      <c r="K3027" t="s">
        <v>11</v>
      </c>
    </row>
    <row r="3028" spans="1:11" x14ac:dyDescent="0.3">
      <c r="A3028">
        <v>1049</v>
      </c>
      <c r="B3028">
        <v>5</v>
      </c>
      <c r="C3028">
        <v>10</v>
      </c>
      <c r="D3028">
        <v>2</v>
      </c>
      <c r="E3028" s="1">
        <v>1549</v>
      </c>
      <c r="F3028" s="1">
        <v>0.05</v>
      </c>
      <c r="G3028">
        <v>3098</v>
      </c>
      <c r="H3028" s="22">
        <f>VLOOKUP(A3028,[1]Orders!$A$2:$B$1616,2,0)</f>
        <v>42956</v>
      </c>
      <c r="J3028" t="s">
        <v>13</v>
      </c>
      <c r="K3028" t="s">
        <v>11</v>
      </c>
    </row>
    <row r="3029" spans="1:11" x14ac:dyDescent="0.3">
      <c r="A3029">
        <v>1050</v>
      </c>
      <c r="B3029">
        <v>1</v>
      </c>
      <c r="C3029">
        <v>96</v>
      </c>
      <c r="D3029">
        <v>2</v>
      </c>
      <c r="E3029" s="1">
        <v>349.99</v>
      </c>
      <c r="F3029" s="1">
        <v>7.0000000000000007E-2</v>
      </c>
      <c r="G3029">
        <v>699.98</v>
      </c>
      <c r="H3029" s="22">
        <f>VLOOKUP(A3029,[1]Orders!$A$2:$B$1616,2,0)</f>
        <v>42956</v>
      </c>
      <c r="J3029" t="s">
        <v>91</v>
      </c>
      <c r="K3029" t="s">
        <v>11</v>
      </c>
    </row>
    <row r="3030" spans="1:11" x14ac:dyDescent="0.3">
      <c r="A3030">
        <v>1050</v>
      </c>
      <c r="B3030">
        <v>2</v>
      </c>
      <c r="C3030">
        <v>99</v>
      </c>
      <c r="D3030">
        <v>2</v>
      </c>
      <c r="E3030" s="1">
        <v>299.99</v>
      </c>
      <c r="F3030" s="1">
        <v>0.1</v>
      </c>
      <c r="G3030">
        <v>599.98</v>
      </c>
      <c r="H3030" s="22">
        <f>VLOOKUP(A3030,[1]Orders!$A$2:$B$1616,2,0)</f>
        <v>42956</v>
      </c>
      <c r="J3030" t="s">
        <v>52</v>
      </c>
      <c r="K3030" t="s">
        <v>11</v>
      </c>
    </row>
    <row r="3031" spans="1:11" x14ac:dyDescent="0.3">
      <c r="A3031">
        <v>1050</v>
      </c>
      <c r="B3031">
        <v>3</v>
      </c>
      <c r="C3031">
        <v>45</v>
      </c>
      <c r="D3031">
        <v>2</v>
      </c>
      <c r="E3031" s="1">
        <v>869.99</v>
      </c>
      <c r="F3031" s="1">
        <v>0.2</v>
      </c>
      <c r="G3031">
        <v>1739.98</v>
      </c>
      <c r="H3031" s="22">
        <f>VLOOKUP(A3031,[1]Orders!$A$2:$B$1616,2,0)</f>
        <v>42956</v>
      </c>
      <c r="J3031" t="s">
        <v>88</v>
      </c>
      <c r="K3031" t="s">
        <v>11</v>
      </c>
    </row>
    <row r="3032" spans="1:11" x14ac:dyDescent="0.3">
      <c r="A3032">
        <v>1050</v>
      </c>
      <c r="B3032">
        <v>4</v>
      </c>
      <c r="C3032">
        <v>14</v>
      </c>
      <c r="D3032">
        <v>2</v>
      </c>
      <c r="E3032" s="1">
        <v>269.99</v>
      </c>
      <c r="F3032" s="1">
        <v>0.2</v>
      </c>
      <c r="G3032">
        <v>539.98</v>
      </c>
      <c r="H3032" s="22">
        <f>VLOOKUP(A3032,[1]Orders!$A$2:$B$1616,2,0)</f>
        <v>42956</v>
      </c>
      <c r="J3032" t="s">
        <v>28</v>
      </c>
      <c r="K3032" t="s">
        <v>11</v>
      </c>
    </row>
    <row r="3033" spans="1:11" x14ac:dyDescent="0.3">
      <c r="A3033">
        <v>1051</v>
      </c>
      <c r="B3033">
        <v>1</v>
      </c>
      <c r="C3033">
        <v>46</v>
      </c>
      <c r="D3033">
        <v>1</v>
      </c>
      <c r="E3033" s="1">
        <v>1409.99</v>
      </c>
      <c r="F3033" s="1">
        <v>0.2</v>
      </c>
      <c r="G3033">
        <v>1409.99</v>
      </c>
      <c r="H3033" s="22">
        <f>VLOOKUP(A3033,[1]Orders!$A$2:$B$1616,2,0)</f>
        <v>42957</v>
      </c>
      <c r="J3033" t="s">
        <v>118</v>
      </c>
      <c r="K3033" t="s">
        <v>18</v>
      </c>
    </row>
    <row r="3034" spans="1:11" x14ac:dyDescent="0.3">
      <c r="A3034">
        <v>1052</v>
      </c>
      <c r="B3034">
        <v>1</v>
      </c>
      <c r="C3034">
        <v>7</v>
      </c>
      <c r="D3034">
        <v>1</v>
      </c>
      <c r="E3034" s="1">
        <v>3999.99</v>
      </c>
      <c r="F3034" s="1">
        <v>0.05</v>
      </c>
      <c r="G3034">
        <v>3999.99</v>
      </c>
      <c r="H3034" s="22">
        <f>VLOOKUP(A3034,[1]Orders!$A$2:$B$1616,2,0)</f>
        <v>42957</v>
      </c>
      <c r="J3034" t="s">
        <v>29</v>
      </c>
      <c r="K3034" t="s">
        <v>18</v>
      </c>
    </row>
    <row r="3035" spans="1:11" x14ac:dyDescent="0.3">
      <c r="A3035">
        <v>1052</v>
      </c>
      <c r="B3035">
        <v>2</v>
      </c>
      <c r="C3035">
        <v>103</v>
      </c>
      <c r="D3035">
        <v>1</v>
      </c>
      <c r="E3035" s="1">
        <v>551.99</v>
      </c>
      <c r="F3035" s="1">
        <v>0.05</v>
      </c>
      <c r="G3035">
        <v>551.99</v>
      </c>
      <c r="H3035" s="22">
        <f>VLOOKUP(A3035,[1]Orders!$A$2:$B$1616,2,0)</f>
        <v>42957</v>
      </c>
      <c r="J3035" t="s">
        <v>40</v>
      </c>
      <c r="K3035" t="s">
        <v>18</v>
      </c>
    </row>
    <row r="3036" spans="1:11" x14ac:dyDescent="0.3">
      <c r="A3036">
        <v>1052</v>
      </c>
      <c r="B3036">
        <v>3</v>
      </c>
      <c r="C3036">
        <v>26</v>
      </c>
      <c r="D3036">
        <v>2</v>
      </c>
      <c r="E3036" s="1">
        <v>599.99</v>
      </c>
      <c r="F3036" s="1">
        <v>7.0000000000000007E-2</v>
      </c>
      <c r="G3036">
        <v>1199.98</v>
      </c>
      <c r="H3036" s="22">
        <f>VLOOKUP(A3036,[1]Orders!$A$2:$B$1616,2,0)</f>
        <v>42957</v>
      </c>
      <c r="J3036" t="s">
        <v>14</v>
      </c>
      <c r="K3036" t="s">
        <v>18</v>
      </c>
    </row>
    <row r="3037" spans="1:11" x14ac:dyDescent="0.3">
      <c r="A3037">
        <v>1053</v>
      </c>
      <c r="B3037">
        <v>1</v>
      </c>
      <c r="C3037">
        <v>49</v>
      </c>
      <c r="D3037">
        <v>2</v>
      </c>
      <c r="E3037" s="1">
        <v>3499.99</v>
      </c>
      <c r="F3037" s="1">
        <v>0.05</v>
      </c>
      <c r="G3037">
        <v>6999.98</v>
      </c>
      <c r="H3037" s="22">
        <f>VLOOKUP(A3037,[1]Orders!$A$2:$B$1616,2,0)</f>
        <v>42957</v>
      </c>
      <c r="J3037" t="s">
        <v>70</v>
      </c>
      <c r="K3037" t="s">
        <v>18</v>
      </c>
    </row>
    <row r="3038" spans="1:11" x14ac:dyDescent="0.3">
      <c r="A3038">
        <v>1053</v>
      </c>
      <c r="B3038">
        <v>2</v>
      </c>
      <c r="C3038">
        <v>26</v>
      </c>
      <c r="D3038">
        <v>2</v>
      </c>
      <c r="E3038" s="1">
        <v>599.99</v>
      </c>
      <c r="F3038" s="1">
        <v>0.2</v>
      </c>
      <c r="G3038">
        <v>1199.98</v>
      </c>
      <c r="H3038" s="22">
        <f>VLOOKUP(A3038,[1]Orders!$A$2:$B$1616,2,0)</f>
        <v>42957</v>
      </c>
      <c r="J3038" t="s">
        <v>14</v>
      </c>
      <c r="K3038" t="s">
        <v>18</v>
      </c>
    </row>
    <row r="3039" spans="1:11" x14ac:dyDescent="0.3">
      <c r="A3039">
        <v>1053</v>
      </c>
      <c r="B3039">
        <v>3</v>
      </c>
      <c r="C3039">
        <v>23</v>
      </c>
      <c r="D3039">
        <v>2</v>
      </c>
      <c r="E3039" s="1">
        <v>299.99</v>
      </c>
      <c r="F3039" s="1">
        <v>0.2</v>
      </c>
      <c r="G3039">
        <v>599.98</v>
      </c>
      <c r="H3039" s="22">
        <f>VLOOKUP(A3039,[1]Orders!$A$2:$B$1616,2,0)</f>
        <v>42957</v>
      </c>
      <c r="J3039" t="s">
        <v>33</v>
      </c>
      <c r="K3039" t="s">
        <v>18</v>
      </c>
    </row>
    <row r="3040" spans="1:11" x14ac:dyDescent="0.3">
      <c r="A3040">
        <v>1053</v>
      </c>
      <c r="B3040">
        <v>4</v>
      </c>
      <c r="C3040">
        <v>68</v>
      </c>
      <c r="D3040">
        <v>1</v>
      </c>
      <c r="E3040" s="1">
        <v>449.99</v>
      </c>
      <c r="F3040" s="1">
        <v>0.1</v>
      </c>
      <c r="G3040">
        <v>449.99</v>
      </c>
      <c r="H3040" s="22">
        <f>VLOOKUP(A3040,[1]Orders!$A$2:$B$1616,2,0)</f>
        <v>42957</v>
      </c>
      <c r="J3040" t="s">
        <v>39</v>
      </c>
      <c r="K3040" t="s">
        <v>18</v>
      </c>
    </row>
    <row r="3041" spans="1:11" x14ac:dyDescent="0.3">
      <c r="A3041">
        <v>1053</v>
      </c>
      <c r="B3041">
        <v>5</v>
      </c>
      <c r="C3041">
        <v>73</v>
      </c>
      <c r="D3041">
        <v>2</v>
      </c>
      <c r="E3041" s="1">
        <v>749.99</v>
      </c>
      <c r="F3041" s="1">
        <v>0.05</v>
      </c>
      <c r="G3041">
        <v>1499.98</v>
      </c>
      <c r="H3041" s="22">
        <f>VLOOKUP(A3041,[1]Orders!$A$2:$B$1616,2,0)</f>
        <v>42957</v>
      </c>
      <c r="J3041" t="s">
        <v>43</v>
      </c>
      <c r="K3041" t="s">
        <v>18</v>
      </c>
    </row>
    <row r="3042" spans="1:11" x14ac:dyDescent="0.3">
      <c r="A3042">
        <v>1054</v>
      </c>
      <c r="B3042">
        <v>1</v>
      </c>
      <c r="C3042">
        <v>36</v>
      </c>
      <c r="D3042">
        <v>2</v>
      </c>
      <c r="E3042" s="1">
        <v>832.99</v>
      </c>
      <c r="F3042" s="1">
        <v>0.1</v>
      </c>
      <c r="G3042">
        <v>1665.98</v>
      </c>
      <c r="H3042" s="22">
        <f>VLOOKUP(A3042,[1]Orders!$A$2:$B$1616,2,0)</f>
        <v>42958</v>
      </c>
      <c r="J3042" t="s">
        <v>116</v>
      </c>
      <c r="K3042" t="s">
        <v>18</v>
      </c>
    </row>
    <row r="3043" spans="1:11" x14ac:dyDescent="0.3">
      <c r="A3043">
        <v>1054</v>
      </c>
      <c r="B3043">
        <v>2</v>
      </c>
      <c r="C3043">
        <v>16</v>
      </c>
      <c r="D3043">
        <v>1</v>
      </c>
      <c r="E3043" s="1">
        <v>599.99</v>
      </c>
      <c r="F3043" s="1">
        <v>0.05</v>
      </c>
      <c r="G3043">
        <v>599.99</v>
      </c>
      <c r="H3043" s="22">
        <f>VLOOKUP(A3043,[1]Orders!$A$2:$B$1616,2,0)</f>
        <v>42958</v>
      </c>
      <c r="J3043" t="s">
        <v>14</v>
      </c>
      <c r="K3043" t="s">
        <v>18</v>
      </c>
    </row>
    <row r="3044" spans="1:11" x14ac:dyDescent="0.3">
      <c r="A3044">
        <v>1055</v>
      </c>
      <c r="B3044">
        <v>1</v>
      </c>
      <c r="C3044">
        <v>43</v>
      </c>
      <c r="D3044">
        <v>2</v>
      </c>
      <c r="E3044" s="1">
        <v>5299.99</v>
      </c>
      <c r="F3044" s="1">
        <v>7.0000000000000007E-2</v>
      </c>
      <c r="G3044">
        <v>10599.98</v>
      </c>
      <c r="H3044" s="22">
        <f>VLOOKUP(A3044,[1]Orders!$A$2:$B$1616,2,0)</f>
        <v>42959</v>
      </c>
      <c r="J3044" t="s">
        <v>62</v>
      </c>
      <c r="K3044" t="s">
        <v>18</v>
      </c>
    </row>
    <row r="3045" spans="1:11" x14ac:dyDescent="0.3">
      <c r="A3045">
        <v>1055</v>
      </c>
      <c r="B3045">
        <v>2</v>
      </c>
      <c r="C3045">
        <v>101</v>
      </c>
      <c r="D3045">
        <v>2</v>
      </c>
      <c r="E3045" s="1">
        <v>339.99</v>
      </c>
      <c r="F3045" s="1">
        <v>0.2</v>
      </c>
      <c r="G3045">
        <v>679.98</v>
      </c>
      <c r="H3045" s="22">
        <f>VLOOKUP(A3045,[1]Orders!$A$2:$B$1616,2,0)</f>
        <v>42959</v>
      </c>
      <c r="J3045" t="s">
        <v>80</v>
      </c>
      <c r="K3045" t="s">
        <v>18</v>
      </c>
    </row>
    <row r="3046" spans="1:11" x14ac:dyDescent="0.3">
      <c r="A3046">
        <v>1055</v>
      </c>
      <c r="B3046">
        <v>3</v>
      </c>
      <c r="C3046">
        <v>12</v>
      </c>
      <c r="D3046">
        <v>2</v>
      </c>
      <c r="E3046" s="1">
        <v>549.99</v>
      </c>
      <c r="F3046" s="1">
        <v>0.1</v>
      </c>
      <c r="G3046">
        <v>1099.98</v>
      </c>
      <c r="H3046" s="22">
        <f>VLOOKUP(A3046,[1]Orders!$A$2:$B$1616,2,0)</f>
        <v>42959</v>
      </c>
      <c r="J3046" t="s">
        <v>25</v>
      </c>
      <c r="K3046" t="s">
        <v>18</v>
      </c>
    </row>
    <row r="3047" spans="1:11" x14ac:dyDescent="0.3">
      <c r="A3047">
        <v>1055</v>
      </c>
      <c r="B3047">
        <v>4</v>
      </c>
      <c r="C3047">
        <v>83</v>
      </c>
      <c r="D3047">
        <v>2</v>
      </c>
      <c r="E3047" s="1">
        <v>149.99</v>
      </c>
      <c r="F3047" s="1">
        <v>0.1</v>
      </c>
      <c r="G3047">
        <v>299.98</v>
      </c>
      <c r="H3047" s="22">
        <f>VLOOKUP(A3047,[1]Orders!$A$2:$B$1616,2,0)</f>
        <v>42959</v>
      </c>
      <c r="J3047" t="s">
        <v>66</v>
      </c>
      <c r="K3047" t="s">
        <v>18</v>
      </c>
    </row>
    <row r="3048" spans="1:11" x14ac:dyDescent="0.3">
      <c r="A3048">
        <v>1055</v>
      </c>
      <c r="B3048">
        <v>5</v>
      </c>
      <c r="C3048">
        <v>60</v>
      </c>
      <c r="D3048">
        <v>1</v>
      </c>
      <c r="E3048" s="1">
        <v>1559.99</v>
      </c>
      <c r="F3048" s="1">
        <v>0.2</v>
      </c>
      <c r="G3048">
        <v>1559.99</v>
      </c>
      <c r="H3048" s="22">
        <f>VLOOKUP(A3048,[1]Orders!$A$2:$B$1616,2,0)</f>
        <v>42959</v>
      </c>
      <c r="J3048" t="s">
        <v>101</v>
      </c>
      <c r="K3048" t="s">
        <v>18</v>
      </c>
    </row>
    <row r="3049" spans="1:11" x14ac:dyDescent="0.3">
      <c r="A3049">
        <v>1056</v>
      </c>
      <c r="B3049">
        <v>1</v>
      </c>
      <c r="C3049">
        <v>3</v>
      </c>
      <c r="D3049">
        <v>1</v>
      </c>
      <c r="E3049" s="1">
        <v>999.99</v>
      </c>
      <c r="F3049" s="1">
        <v>0.05</v>
      </c>
      <c r="G3049">
        <v>999.99</v>
      </c>
      <c r="H3049" s="22">
        <f>VLOOKUP(A3049,[1]Orders!$A$2:$B$1616,2,0)</f>
        <v>42959</v>
      </c>
      <c r="J3049" t="s">
        <v>20</v>
      </c>
      <c r="K3049" t="s">
        <v>18</v>
      </c>
    </row>
    <row r="3050" spans="1:11" x14ac:dyDescent="0.3">
      <c r="A3050">
        <v>1057</v>
      </c>
      <c r="B3050">
        <v>1</v>
      </c>
      <c r="C3050">
        <v>105</v>
      </c>
      <c r="D3050">
        <v>1</v>
      </c>
      <c r="E3050" s="1">
        <v>533.99</v>
      </c>
      <c r="F3050" s="1">
        <v>0.2</v>
      </c>
      <c r="G3050">
        <v>533.99</v>
      </c>
      <c r="H3050" s="22">
        <f>VLOOKUP(A3050,[1]Orders!$A$2:$B$1616,2,0)</f>
        <v>42959</v>
      </c>
      <c r="J3050" t="s">
        <v>96</v>
      </c>
      <c r="K3050" t="s">
        <v>18</v>
      </c>
    </row>
    <row r="3051" spans="1:11" x14ac:dyDescent="0.3">
      <c r="A3051">
        <v>1057</v>
      </c>
      <c r="B3051">
        <v>2</v>
      </c>
      <c r="C3051">
        <v>97</v>
      </c>
      <c r="D3051">
        <v>1</v>
      </c>
      <c r="E3051" s="1">
        <v>349.99</v>
      </c>
      <c r="F3051" s="1">
        <v>0.05</v>
      </c>
      <c r="G3051">
        <v>349.99</v>
      </c>
      <c r="H3051" s="22">
        <f>VLOOKUP(A3051,[1]Orders!$A$2:$B$1616,2,0)</f>
        <v>42959</v>
      </c>
      <c r="J3051" t="s">
        <v>55</v>
      </c>
      <c r="K3051" t="s">
        <v>18</v>
      </c>
    </row>
    <row r="3052" spans="1:11" x14ac:dyDescent="0.3">
      <c r="A3052">
        <v>1057</v>
      </c>
      <c r="B3052">
        <v>3</v>
      </c>
      <c r="C3052">
        <v>98</v>
      </c>
      <c r="D3052">
        <v>2</v>
      </c>
      <c r="E3052" s="1">
        <v>489.99</v>
      </c>
      <c r="F3052" s="1">
        <v>0.05</v>
      </c>
      <c r="G3052">
        <v>979.98</v>
      </c>
      <c r="H3052" s="22">
        <f>VLOOKUP(A3052,[1]Orders!$A$2:$B$1616,2,0)</f>
        <v>42959</v>
      </c>
      <c r="J3052" t="s">
        <v>82</v>
      </c>
      <c r="K3052" t="s">
        <v>18</v>
      </c>
    </row>
    <row r="3053" spans="1:11" x14ac:dyDescent="0.3">
      <c r="A3053">
        <v>1058</v>
      </c>
      <c r="B3053">
        <v>1</v>
      </c>
      <c r="C3053">
        <v>43</v>
      </c>
      <c r="D3053">
        <v>1</v>
      </c>
      <c r="E3053" s="1">
        <v>5299.99</v>
      </c>
      <c r="F3053" s="1">
        <v>0.1</v>
      </c>
      <c r="G3053">
        <v>5299.99</v>
      </c>
      <c r="H3053" s="22">
        <f>VLOOKUP(A3053,[1]Orders!$A$2:$B$1616,2,0)</f>
        <v>42960</v>
      </c>
      <c r="J3053" t="s">
        <v>62</v>
      </c>
      <c r="K3053" t="s">
        <v>18</v>
      </c>
    </row>
    <row r="3054" spans="1:11" x14ac:dyDescent="0.3">
      <c r="A3054">
        <v>1058</v>
      </c>
      <c r="B3054">
        <v>2</v>
      </c>
      <c r="C3054">
        <v>29</v>
      </c>
      <c r="D3054">
        <v>2</v>
      </c>
      <c r="E3054" s="1">
        <v>999.99</v>
      </c>
      <c r="F3054" s="1">
        <v>0.05</v>
      </c>
      <c r="G3054">
        <v>1999.98</v>
      </c>
      <c r="H3054" s="22">
        <f>VLOOKUP(A3054,[1]Orders!$A$2:$B$1616,2,0)</f>
        <v>42960</v>
      </c>
      <c r="J3054" t="s">
        <v>71</v>
      </c>
      <c r="K3054" t="s">
        <v>18</v>
      </c>
    </row>
    <row r="3055" spans="1:11" x14ac:dyDescent="0.3">
      <c r="A3055">
        <v>1058</v>
      </c>
      <c r="B3055">
        <v>3</v>
      </c>
      <c r="C3055">
        <v>103</v>
      </c>
      <c r="D3055">
        <v>1</v>
      </c>
      <c r="E3055" s="1">
        <v>551.99</v>
      </c>
      <c r="F3055" s="1">
        <v>7.0000000000000007E-2</v>
      </c>
      <c r="G3055">
        <v>551.99</v>
      </c>
      <c r="H3055" s="22">
        <f>VLOOKUP(A3055,[1]Orders!$A$2:$B$1616,2,0)</f>
        <v>42960</v>
      </c>
      <c r="J3055" t="s">
        <v>40</v>
      </c>
      <c r="K3055" t="s">
        <v>18</v>
      </c>
    </row>
    <row r="3056" spans="1:11" x14ac:dyDescent="0.3">
      <c r="A3056">
        <v>1059</v>
      </c>
      <c r="B3056">
        <v>1</v>
      </c>
      <c r="C3056">
        <v>46</v>
      </c>
      <c r="D3056">
        <v>2</v>
      </c>
      <c r="E3056" s="1">
        <v>1409.99</v>
      </c>
      <c r="F3056" s="1">
        <v>0.05</v>
      </c>
      <c r="G3056">
        <v>2819.98</v>
      </c>
      <c r="H3056" s="22">
        <f>VLOOKUP(A3056,[1]Orders!$A$2:$B$1616,2,0)</f>
        <v>42961</v>
      </c>
      <c r="J3056" t="s">
        <v>118</v>
      </c>
      <c r="K3056" t="s">
        <v>18</v>
      </c>
    </row>
    <row r="3057" spans="1:11" x14ac:dyDescent="0.3">
      <c r="A3057">
        <v>1059</v>
      </c>
      <c r="B3057">
        <v>2</v>
      </c>
      <c r="C3057">
        <v>7</v>
      </c>
      <c r="D3057">
        <v>1</v>
      </c>
      <c r="E3057" s="1">
        <v>3999.99</v>
      </c>
      <c r="F3057" s="1">
        <v>0.1</v>
      </c>
      <c r="G3057">
        <v>3999.99</v>
      </c>
      <c r="H3057" s="22">
        <f>VLOOKUP(A3057,[1]Orders!$A$2:$B$1616,2,0)</f>
        <v>42961</v>
      </c>
      <c r="J3057" t="s">
        <v>29</v>
      </c>
      <c r="K3057" t="s">
        <v>18</v>
      </c>
    </row>
    <row r="3058" spans="1:11" x14ac:dyDescent="0.3">
      <c r="A3058">
        <v>1059</v>
      </c>
      <c r="B3058">
        <v>3</v>
      </c>
      <c r="C3058">
        <v>13</v>
      </c>
      <c r="D3058">
        <v>1</v>
      </c>
      <c r="E3058" s="1">
        <v>269.99</v>
      </c>
      <c r="F3058" s="1">
        <v>7.0000000000000007E-2</v>
      </c>
      <c r="G3058">
        <v>269.99</v>
      </c>
      <c r="H3058" s="22">
        <f>VLOOKUP(A3058,[1]Orders!$A$2:$B$1616,2,0)</f>
        <v>42961</v>
      </c>
      <c r="J3058" t="s">
        <v>31</v>
      </c>
      <c r="K3058" t="s">
        <v>18</v>
      </c>
    </row>
    <row r="3059" spans="1:11" x14ac:dyDescent="0.3">
      <c r="A3059">
        <v>1060</v>
      </c>
      <c r="B3059">
        <v>1</v>
      </c>
      <c r="C3059">
        <v>7</v>
      </c>
      <c r="D3059">
        <v>1</v>
      </c>
      <c r="E3059" s="1">
        <v>3999.99</v>
      </c>
      <c r="F3059" s="1">
        <v>7.0000000000000007E-2</v>
      </c>
      <c r="G3059">
        <v>3999.99</v>
      </c>
      <c r="H3059" s="22">
        <f>VLOOKUP(A3059,[1]Orders!$A$2:$B$1616,2,0)</f>
        <v>42962</v>
      </c>
      <c r="J3059" t="s">
        <v>29</v>
      </c>
      <c r="K3059" t="s">
        <v>18</v>
      </c>
    </row>
    <row r="3060" spans="1:11" x14ac:dyDescent="0.3">
      <c r="A3060">
        <v>1060</v>
      </c>
      <c r="B3060">
        <v>2</v>
      </c>
      <c r="C3060">
        <v>11</v>
      </c>
      <c r="D3060">
        <v>2</v>
      </c>
      <c r="E3060" s="1">
        <v>1680.99</v>
      </c>
      <c r="F3060" s="1">
        <v>7.0000000000000007E-2</v>
      </c>
      <c r="G3060">
        <v>3361.98</v>
      </c>
      <c r="H3060" s="22">
        <f>VLOOKUP(A3060,[1]Orders!$A$2:$B$1616,2,0)</f>
        <v>42962</v>
      </c>
      <c r="J3060" t="s">
        <v>30</v>
      </c>
      <c r="K3060" t="s">
        <v>18</v>
      </c>
    </row>
    <row r="3061" spans="1:11" x14ac:dyDescent="0.3">
      <c r="A3061">
        <v>1060</v>
      </c>
      <c r="B3061">
        <v>3</v>
      </c>
      <c r="C3061">
        <v>61</v>
      </c>
      <c r="D3061">
        <v>2</v>
      </c>
      <c r="E3061" s="1">
        <v>4999.99</v>
      </c>
      <c r="F3061" s="1">
        <v>0.1</v>
      </c>
      <c r="G3061">
        <v>9999.98</v>
      </c>
      <c r="H3061" s="22">
        <f>VLOOKUP(A3061,[1]Orders!$A$2:$B$1616,2,0)</f>
        <v>42962</v>
      </c>
      <c r="J3061" t="s">
        <v>45</v>
      </c>
      <c r="K3061" t="s">
        <v>18</v>
      </c>
    </row>
    <row r="3062" spans="1:11" x14ac:dyDescent="0.3">
      <c r="A3062">
        <v>1060</v>
      </c>
      <c r="B3062">
        <v>4</v>
      </c>
      <c r="C3062">
        <v>30</v>
      </c>
      <c r="D3062">
        <v>2</v>
      </c>
      <c r="E3062" s="1">
        <v>999.99</v>
      </c>
      <c r="F3062" s="1">
        <v>0.05</v>
      </c>
      <c r="G3062">
        <v>1999.98</v>
      </c>
      <c r="H3062" s="22">
        <f>VLOOKUP(A3062,[1]Orders!$A$2:$B$1616,2,0)</f>
        <v>42962</v>
      </c>
      <c r="J3062" t="s">
        <v>47</v>
      </c>
      <c r="K3062" t="s">
        <v>18</v>
      </c>
    </row>
    <row r="3063" spans="1:11" x14ac:dyDescent="0.3">
      <c r="A3063">
        <v>1061</v>
      </c>
      <c r="B3063">
        <v>1</v>
      </c>
      <c r="C3063">
        <v>14</v>
      </c>
      <c r="D3063">
        <v>1</v>
      </c>
      <c r="E3063" s="1">
        <v>269.99</v>
      </c>
      <c r="F3063" s="1">
        <v>7.0000000000000007E-2</v>
      </c>
      <c r="G3063">
        <v>269.99</v>
      </c>
      <c r="H3063" s="22">
        <f>VLOOKUP(A3063,[1]Orders!$A$2:$B$1616,2,0)</f>
        <v>42962</v>
      </c>
      <c r="J3063" t="s">
        <v>28</v>
      </c>
      <c r="K3063" t="s">
        <v>18</v>
      </c>
    </row>
    <row r="3064" spans="1:11" x14ac:dyDescent="0.3">
      <c r="A3064">
        <v>1061</v>
      </c>
      <c r="B3064">
        <v>2</v>
      </c>
      <c r="C3064">
        <v>19</v>
      </c>
      <c r="D3064">
        <v>1</v>
      </c>
      <c r="E3064" s="1">
        <v>449</v>
      </c>
      <c r="F3064" s="1">
        <v>0.1</v>
      </c>
      <c r="G3064">
        <v>449</v>
      </c>
      <c r="H3064" s="22">
        <f>VLOOKUP(A3064,[1]Orders!$A$2:$B$1616,2,0)</f>
        <v>42962</v>
      </c>
      <c r="J3064" t="s">
        <v>36</v>
      </c>
      <c r="K3064" t="s">
        <v>18</v>
      </c>
    </row>
    <row r="3065" spans="1:11" x14ac:dyDescent="0.3">
      <c r="A3065">
        <v>1062</v>
      </c>
      <c r="B3065">
        <v>1</v>
      </c>
      <c r="C3065">
        <v>13</v>
      </c>
      <c r="D3065">
        <v>1</v>
      </c>
      <c r="E3065" s="1">
        <v>269.99</v>
      </c>
      <c r="F3065" s="1">
        <v>0.05</v>
      </c>
      <c r="G3065">
        <v>269.99</v>
      </c>
      <c r="H3065" s="22">
        <f>VLOOKUP(A3065,[1]Orders!$A$2:$B$1616,2,0)</f>
        <v>42962</v>
      </c>
      <c r="J3065" t="s">
        <v>31</v>
      </c>
      <c r="K3065" t="s">
        <v>18</v>
      </c>
    </row>
    <row r="3066" spans="1:11" x14ac:dyDescent="0.3">
      <c r="A3066">
        <v>1062</v>
      </c>
      <c r="B3066">
        <v>2</v>
      </c>
      <c r="C3066">
        <v>111</v>
      </c>
      <c r="D3066">
        <v>2</v>
      </c>
      <c r="E3066" s="1">
        <v>470.99</v>
      </c>
      <c r="F3066" s="1">
        <v>0.2</v>
      </c>
      <c r="G3066">
        <v>941.98</v>
      </c>
      <c r="H3066" s="22">
        <f>VLOOKUP(A3066,[1]Orders!$A$2:$B$1616,2,0)</f>
        <v>42962</v>
      </c>
      <c r="J3066" t="s">
        <v>112</v>
      </c>
      <c r="K3066" t="s">
        <v>18</v>
      </c>
    </row>
    <row r="3067" spans="1:11" x14ac:dyDescent="0.3">
      <c r="A3067">
        <v>1062</v>
      </c>
      <c r="B3067">
        <v>3</v>
      </c>
      <c r="C3067">
        <v>5</v>
      </c>
      <c r="D3067">
        <v>1</v>
      </c>
      <c r="E3067" s="1">
        <v>1320.99</v>
      </c>
      <c r="F3067" s="1">
        <v>0.05</v>
      </c>
      <c r="G3067">
        <v>1320.99</v>
      </c>
      <c r="H3067" s="22">
        <f>VLOOKUP(A3067,[1]Orders!$A$2:$B$1616,2,0)</f>
        <v>42962</v>
      </c>
      <c r="J3067" t="s">
        <v>34</v>
      </c>
      <c r="K3067" t="s">
        <v>18</v>
      </c>
    </row>
    <row r="3068" spans="1:11" x14ac:dyDescent="0.3">
      <c r="A3068">
        <v>1062</v>
      </c>
      <c r="B3068">
        <v>4</v>
      </c>
      <c r="C3068">
        <v>12</v>
      </c>
      <c r="D3068">
        <v>1</v>
      </c>
      <c r="E3068" s="1">
        <v>549.99</v>
      </c>
      <c r="F3068" s="1">
        <v>0.2</v>
      </c>
      <c r="G3068">
        <v>549.99</v>
      </c>
      <c r="H3068" s="22">
        <f>VLOOKUP(A3068,[1]Orders!$A$2:$B$1616,2,0)</f>
        <v>42962</v>
      </c>
      <c r="J3068" t="s">
        <v>25</v>
      </c>
      <c r="K3068" t="s">
        <v>18</v>
      </c>
    </row>
    <row r="3069" spans="1:11" x14ac:dyDescent="0.3">
      <c r="A3069">
        <v>1063</v>
      </c>
      <c r="B3069">
        <v>1</v>
      </c>
      <c r="C3069">
        <v>33</v>
      </c>
      <c r="D3069">
        <v>2</v>
      </c>
      <c r="E3069" s="1">
        <v>469.99</v>
      </c>
      <c r="F3069" s="1">
        <v>0.1</v>
      </c>
      <c r="G3069">
        <v>939.98</v>
      </c>
      <c r="H3069" s="22">
        <f>VLOOKUP(A3069,[1]Orders!$A$2:$B$1616,2,0)</f>
        <v>42963</v>
      </c>
      <c r="J3069" t="s">
        <v>67</v>
      </c>
      <c r="K3069" t="s">
        <v>37</v>
      </c>
    </row>
    <row r="3070" spans="1:11" x14ac:dyDescent="0.3">
      <c r="A3070">
        <v>1063</v>
      </c>
      <c r="B3070">
        <v>2</v>
      </c>
      <c r="C3070">
        <v>100</v>
      </c>
      <c r="D3070">
        <v>2</v>
      </c>
      <c r="E3070" s="1">
        <v>489.99</v>
      </c>
      <c r="F3070" s="1">
        <v>7.0000000000000007E-2</v>
      </c>
      <c r="G3070">
        <v>979.98</v>
      </c>
      <c r="H3070" s="22">
        <f>VLOOKUP(A3070,[1]Orders!$A$2:$B$1616,2,0)</f>
        <v>42963</v>
      </c>
      <c r="J3070" t="s">
        <v>105</v>
      </c>
      <c r="K3070" t="s">
        <v>37</v>
      </c>
    </row>
    <row r="3071" spans="1:11" x14ac:dyDescent="0.3">
      <c r="A3071">
        <v>1063</v>
      </c>
      <c r="B3071">
        <v>3</v>
      </c>
      <c r="C3071">
        <v>72</v>
      </c>
      <c r="D3071">
        <v>2</v>
      </c>
      <c r="E3071" s="1">
        <v>619.99</v>
      </c>
      <c r="F3071" s="1">
        <v>0.2</v>
      </c>
      <c r="G3071">
        <v>1239.98</v>
      </c>
      <c r="H3071" s="22">
        <f>VLOOKUP(A3071,[1]Orders!$A$2:$B$1616,2,0)</f>
        <v>42963</v>
      </c>
      <c r="J3071" t="s">
        <v>44</v>
      </c>
      <c r="K3071" t="s">
        <v>37</v>
      </c>
    </row>
    <row r="3072" spans="1:11" x14ac:dyDescent="0.3">
      <c r="A3072">
        <v>1064</v>
      </c>
      <c r="B3072">
        <v>1</v>
      </c>
      <c r="C3072">
        <v>18</v>
      </c>
      <c r="D3072">
        <v>1</v>
      </c>
      <c r="E3072" s="1">
        <v>449</v>
      </c>
      <c r="F3072" s="1">
        <v>7.0000000000000007E-2</v>
      </c>
      <c r="G3072">
        <v>449</v>
      </c>
      <c r="H3072" s="22">
        <f>VLOOKUP(A3072,[1]Orders!$A$2:$B$1616,2,0)</f>
        <v>42963</v>
      </c>
      <c r="J3072" t="s">
        <v>24</v>
      </c>
      <c r="K3072" t="s">
        <v>37</v>
      </c>
    </row>
    <row r="3073" spans="1:11" x14ac:dyDescent="0.3">
      <c r="A3073">
        <v>1064</v>
      </c>
      <c r="B3073">
        <v>2</v>
      </c>
      <c r="C3073">
        <v>49</v>
      </c>
      <c r="D3073">
        <v>1</v>
      </c>
      <c r="E3073" s="1">
        <v>3499.99</v>
      </c>
      <c r="F3073" s="1">
        <v>0.1</v>
      </c>
      <c r="G3073">
        <v>3499.99</v>
      </c>
      <c r="H3073" s="22">
        <f>VLOOKUP(A3073,[1]Orders!$A$2:$B$1616,2,0)</f>
        <v>42963</v>
      </c>
      <c r="J3073" t="s">
        <v>70</v>
      </c>
      <c r="K3073" t="s">
        <v>37</v>
      </c>
    </row>
    <row r="3074" spans="1:11" x14ac:dyDescent="0.3">
      <c r="A3074">
        <v>1065</v>
      </c>
      <c r="B3074">
        <v>1</v>
      </c>
      <c r="C3074">
        <v>48</v>
      </c>
      <c r="D3074">
        <v>2</v>
      </c>
      <c r="E3074" s="1">
        <v>1499.99</v>
      </c>
      <c r="F3074" s="1">
        <v>7.0000000000000007E-2</v>
      </c>
      <c r="G3074">
        <v>2999.98</v>
      </c>
      <c r="H3074" s="22">
        <f>VLOOKUP(A3074,[1]Orders!$A$2:$B$1616,2,0)</f>
        <v>42964</v>
      </c>
      <c r="J3074" t="s">
        <v>84</v>
      </c>
      <c r="K3074" t="s">
        <v>18</v>
      </c>
    </row>
    <row r="3075" spans="1:11" x14ac:dyDescent="0.3">
      <c r="A3075">
        <v>1065</v>
      </c>
      <c r="B3075">
        <v>2</v>
      </c>
      <c r="C3075">
        <v>103</v>
      </c>
      <c r="D3075">
        <v>2</v>
      </c>
      <c r="E3075" s="1">
        <v>551.99</v>
      </c>
      <c r="F3075" s="1">
        <v>0.05</v>
      </c>
      <c r="G3075">
        <v>1103.98</v>
      </c>
      <c r="H3075" s="22">
        <f>VLOOKUP(A3075,[1]Orders!$A$2:$B$1616,2,0)</f>
        <v>42964</v>
      </c>
      <c r="J3075" t="s">
        <v>40</v>
      </c>
      <c r="K3075" t="s">
        <v>18</v>
      </c>
    </row>
    <row r="3076" spans="1:11" x14ac:dyDescent="0.3">
      <c r="A3076">
        <v>1065</v>
      </c>
      <c r="B3076">
        <v>3</v>
      </c>
      <c r="C3076">
        <v>63</v>
      </c>
      <c r="D3076">
        <v>1</v>
      </c>
      <c r="E3076" s="1">
        <v>3499.99</v>
      </c>
      <c r="F3076" s="1">
        <v>7.0000000000000007E-2</v>
      </c>
      <c r="G3076">
        <v>3499.99</v>
      </c>
      <c r="H3076" s="22">
        <f>VLOOKUP(A3076,[1]Orders!$A$2:$B$1616,2,0)</f>
        <v>42964</v>
      </c>
      <c r="J3076" t="s">
        <v>75</v>
      </c>
      <c r="K3076" t="s">
        <v>18</v>
      </c>
    </row>
    <row r="3077" spans="1:11" x14ac:dyDescent="0.3">
      <c r="A3077">
        <v>1066</v>
      </c>
      <c r="B3077">
        <v>1</v>
      </c>
      <c r="C3077">
        <v>15</v>
      </c>
      <c r="D3077">
        <v>2</v>
      </c>
      <c r="E3077" s="1">
        <v>529.99</v>
      </c>
      <c r="F3077" s="1">
        <v>0.05</v>
      </c>
      <c r="G3077">
        <v>1059.98</v>
      </c>
      <c r="H3077" s="22">
        <f>VLOOKUP(A3077,[1]Orders!$A$2:$B$1616,2,0)</f>
        <v>42964</v>
      </c>
      <c r="J3077" t="s">
        <v>27</v>
      </c>
      <c r="K3077" t="s">
        <v>18</v>
      </c>
    </row>
    <row r="3078" spans="1:11" x14ac:dyDescent="0.3">
      <c r="A3078">
        <v>1066</v>
      </c>
      <c r="B3078">
        <v>2</v>
      </c>
      <c r="C3078">
        <v>46</v>
      </c>
      <c r="D3078">
        <v>1</v>
      </c>
      <c r="E3078" s="1">
        <v>1409.99</v>
      </c>
      <c r="F3078" s="1">
        <v>0.1</v>
      </c>
      <c r="G3078">
        <v>1409.99</v>
      </c>
      <c r="H3078" s="22">
        <f>VLOOKUP(A3078,[1]Orders!$A$2:$B$1616,2,0)</f>
        <v>42964</v>
      </c>
      <c r="J3078" t="s">
        <v>118</v>
      </c>
      <c r="K3078" t="s">
        <v>18</v>
      </c>
    </row>
    <row r="3079" spans="1:11" x14ac:dyDescent="0.3">
      <c r="A3079">
        <v>1066</v>
      </c>
      <c r="B3079">
        <v>3</v>
      </c>
      <c r="C3079">
        <v>12</v>
      </c>
      <c r="D3079">
        <v>1</v>
      </c>
      <c r="E3079" s="1">
        <v>549.99</v>
      </c>
      <c r="F3079" s="1">
        <v>0.1</v>
      </c>
      <c r="G3079">
        <v>549.99</v>
      </c>
      <c r="H3079" s="22">
        <f>VLOOKUP(A3079,[1]Orders!$A$2:$B$1616,2,0)</f>
        <v>42964</v>
      </c>
      <c r="J3079" t="s">
        <v>25</v>
      </c>
      <c r="K3079" t="s">
        <v>18</v>
      </c>
    </row>
    <row r="3080" spans="1:11" x14ac:dyDescent="0.3">
      <c r="A3080">
        <v>1067</v>
      </c>
      <c r="B3080">
        <v>1</v>
      </c>
      <c r="C3080">
        <v>74</v>
      </c>
      <c r="D3080">
        <v>2</v>
      </c>
      <c r="E3080" s="1">
        <v>439.99</v>
      </c>
      <c r="F3080" s="1">
        <v>7.0000000000000007E-2</v>
      </c>
      <c r="G3080">
        <v>879.98</v>
      </c>
      <c r="H3080" s="22">
        <f>VLOOKUP(A3080,[1]Orders!$A$2:$B$1616,2,0)</f>
        <v>42964</v>
      </c>
      <c r="J3080" t="s">
        <v>61</v>
      </c>
      <c r="K3080" t="s">
        <v>18</v>
      </c>
    </row>
    <row r="3081" spans="1:11" x14ac:dyDescent="0.3">
      <c r="A3081">
        <v>1067</v>
      </c>
      <c r="B3081">
        <v>2</v>
      </c>
      <c r="C3081">
        <v>9</v>
      </c>
      <c r="D3081">
        <v>2</v>
      </c>
      <c r="E3081" s="1">
        <v>2999.99</v>
      </c>
      <c r="F3081" s="1">
        <v>0.2</v>
      </c>
      <c r="G3081">
        <v>5999.98</v>
      </c>
      <c r="H3081" s="22">
        <f>VLOOKUP(A3081,[1]Orders!$A$2:$B$1616,2,0)</f>
        <v>42964</v>
      </c>
      <c r="J3081" t="s">
        <v>26</v>
      </c>
      <c r="K3081" t="s">
        <v>18</v>
      </c>
    </row>
    <row r="3082" spans="1:11" x14ac:dyDescent="0.3">
      <c r="A3082">
        <v>1067</v>
      </c>
      <c r="B3082">
        <v>3</v>
      </c>
      <c r="C3082">
        <v>72</v>
      </c>
      <c r="D3082">
        <v>2</v>
      </c>
      <c r="E3082" s="1">
        <v>619.99</v>
      </c>
      <c r="F3082" s="1">
        <v>0.1</v>
      </c>
      <c r="G3082">
        <v>1239.98</v>
      </c>
      <c r="H3082" s="22">
        <f>VLOOKUP(A3082,[1]Orders!$A$2:$B$1616,2,0)</f>
        <v>42964</v>
      </c>
      <c r="J3082" t="s">
        <v>44</v>
      </c>
      <c r="K3082" t="s">
        <v>18</v>
      </c>
    </row>
    <row r="3083" spans="1:11" x14ac:dyDescent="0.3">
      <c r="A3083">
        <v>1067</v>
      </c>
      <c r="B3083">
        <v>4</v>
      </c>
      <c r="C3083">
        <v>6</v>
      </c>
      <c r="D3083">
        <v>2</v>
      </c>
      <c r="E3083" s="1">
        <v>469.99</v>
      </c>
      <c r="F3083" s="1">
        <v>0.2</v>
      </c>
      <c r="G3083">
        <v>939.98</v>
      </c>
      <c r="H3083" s="22">
        <f>VLOOKUP(A3083,[1]Orders!$A$2:$B$1616,2,0)</f>
        <v>42964</v>
      </c>
      <c r="J3083" t="s">
        <v>32</v>
      </c>
      <c r="K3083" t="s">
        <v>18</v>
      </c>
    </row>
    <row r="3084" spans="1:11" x14ac:dyDescent="0.3">
      <c r="A3084">
        <v>1068</v>
      </c>
      <c r="B3084">
        <v>1</v>
      </c>
      <c r="C3084">
        <v>87</v>
      </c>
      <c r="D3084">
        <v>2</v>
      </c>
      <c r="E3084" s="1">
        <v>189.99</v>
      </c>
      <c r="F3084" s="1">
        <v>0.2</v>
      </c>
      <c r="G3084">
        <v>379.98</v>
      </c>
      <c r="H3084" s="22">
        <f>VLOOKUP(A3084,[1]Orders!$A$2:$B$1616,2,0)</f>
        <v>42964</v>
      </c>
      <c r="J3084" t="s">
        <v>117</v>
      </c>
      <c r="K3084" t="s">
        <v>18</v>
      </c>
    </row>
    <row r="3085" spans="1:11" x14ac:dyDescent="0.3">
      <c r="A3085">
        <v>1068</v>
      </c>
      <c r="B3085">
        <v>2</v>
      </c>
      <c r="C3085">
        <v>82</v>
      </c>
      <c r="D3085">
        <v>1</v>
      </c>
      <c r="E3085" s="1">
        <v>659.99</v>
      </c>
      <c r="F3085" s="1">
        <v>0.2</v>
      </c>
      <c r="G3085">
        <v>659.99</v>
      </c>
      <c r="H3085" s="22">
        <f>VLOOKUP(A3085,[1]Orders!$A$2:$B$1616,2,0)</f>
        <v>42964</v>
      </c>
      <c r="J3085" t="s">
        <v>100</v>
      </c>
      <c r="K3085" t="s">
        <v>18</v>
      </c>
    </row>
    <row r="3086" spans="1:11" x14ac:dyDescent="0.3">
      <c r="A3086">
        <v>1068</v>
      </c>
      <c r="B3086">
        <v>3</v>
      </c>
      <c r="C3086">
        <v>49</v>
      </c>
      <c r="D3086">
        <v>2</v>
      </c>
      <c r="E3086" s="1">
        <v>3499.99</v>
      </c>
      <c r="F3086" s="1">
        <v>0.2</v>
      </c>
      <c r="G3086">
        <v>6999.98</v>
      </c>
      <c r="H3086" s="22">
        <f>VLOOKUP(A3086,[1]Orders!$A$2:$B$1616,2,0)</f>
        <v>42964</v>
      </c>
      <c r="J3086" t="s">
        <v>70</v>
      </c>
      <c r="K3086" t="s">
        <v>18</v>
      </c>
    </row>
    <row r="3087" spans="1:11" x14ac:dyDescent="0.3">
      <c r="A3087">
        <v>1068</v>
      </c>
      <c r="B3087">
        <v>4</v>
      </c>
      <c r="C3087">
        <v>45</v>
      </c>
      <c r="D3087">
        <v>2</v>
      </c>
      <c r="E3087" s="1">
        <v>869.99</v>
      </c>
      <c r="F3087" s="1">
        <v>0.2</v>
      </c>
      <c r="G3087">
        <v>1739.98</v>
      </c>
      <c r="H3087" s="22">
        <f>VLOOKUP(A3087,[1]Orders!$A$2:$B$1616,2,0)</f>
        <v>42964</v>
      </c>
      <c r="J3087" t="s">
        <v>88</v>
      </c>
      <c r="K3087" t="s">
        <v>18</v>
      </c>
    </row>
    <row r="3088" spans="1:11" x14ac:dyDescent="0.3">
      <c r="A3088">
        <v>1069</v>
      </c>
      <c r="B3088">
        <v>1</v>
      </c>
      <c r="C3088">
        <v>109</v>
      </c>
      <c r="D3088">
        <v>1</v>
      </c>
      <c r="E3088" s="1">
        <v>416.99</v>
      </c>
      <c r="F3088" s="1">
        <v>7.0000000000000007E-2</v>
      </c>
      <c r="G3088">
        <v>416.99</v>
      </c>
      <c r="H3088" s="22">
        <f>VLOOKUP(A3088,[1]Orders!$A$2:$B$1616,2,0)</f>
        <v>42964</v>
      </c>
      <c r="J3088" t="s">
        <v>49</v>
      </c>
      <c r="K3088" t="s">
        <v>18</v>
      </c>
    </row>
    <row r="3089" spans="1:11" x14ac:dyDescent="0.3">
      <c r="A3089">
        <v>1069</v>
      </c>
      <c r="B3089">
        <v>2</v>
      </c>
      <c r="C3089">
        <v>93</v>
      </c>
      <c r="D3089">
        <v>1</v>
      </c>
      <c r="E3089" s="1">
        <v>209.99</v>
      </c>
      <c r="F3089" s="1">
        <v>0.1</v>
      </c>
      <c r="G3089">
        <v>209.99</v>
      </c>
      <c r="H3089" s="22">
        <f>VLOOKUP(A3089,[1]Orders!$A$2:$B$1616,2,0)</f>
        <v>42964</v>
      </c>
      <c r="J3089" t="s">
        <v>110</v>
      </c>
      <c r="K3089" t="s">
        <v>18</v>
      </c>
    </row>
    <row r="3090" spans="1:11" x14ac:dyDescent="0.3">
      <c r="A3090">
        <v>1070</v>
      </c>
      <c r="B3090">
        <v>1</v>
      </c>
      <c r="C3090">
        <v>110</v>
      </c>
      <c r="D3090">
        <v>1</v>
      </c>
      <c r="E3090" s="1">
        <v>470.99</v>
      </c>
      <c r="F3090" s="1">
        <v>0.2</v>
      </c>
      <c r="G3090">
        <v>470.99</v>
      </c>
      <c r="H3090" s="22">
        <f>VLOOKUP(A3090,[1]Orders!$A$2:$B$1616,2,0)</f>
        <v>42964</v>
      </c>
      <c r="J3090" t="s">
        <v>65</v>
      </c>
      <c r="K3090" t="s">
        <v>18</v>
      </c>
    </row>
    <row r="3091" spans="1:11" x14ac:dyDescent="0.3">
      <c r="A3091">
        <v>1070</v>
      </c>
      <c r="B3091">
        <v>2</v>
      </c>
      <c r="C3091">
        <v>18</v>
      </c>
      <c r="D3091">
        <v>2</v>
      </c>
      <c r="E3091" s="1">
        <v>449</v>
      </c>
      <c r="F3091" s="1">
        <v>0.1</v>
      </c>
      <c r="G3091">
        <v>898</v>
      </c>
      <c r="H3091" s="22">
        <f>VLOOKUP(A3091,[1]Orders!$A$2:$B$1616,2,0)</f>
        <v>42964</v>
      </c>
      <c r="J3091" t="s">
        <v>24</v>
      </c>
      <c r="K3091" t="s">
        <v>18</v>
      </c>
    </row>
    <row r="3092" spans="1:11" x14ac:dyDescent="0.3">
      <c r="A3092">
        <v>1070</v>
      </c>
      <c r="B3092">
        <v>3</v>
      </c>
      <c r="C3092">
        <v>94</v>
      </c>
      <c r="D3092">
        <v>1</v>
      </c>
      <c r="E3092" s="1">
        <v>249.99</v>
      </c>
      <c r="F3092" s="1">
        <v>0.05</v>
      </c>
      <c r="G3092">
        <v>249.99</v>
      </c>
      <c r="H3092" s="22">
        <f>VLOOKUP(A3092,[1]Orders!$A$2:$B$1616,2,0)</f>
        <v>42964</v>
      </c>
      <c r="J3092" t="s">
        <v>59</v>
      </c>
      <c r="K3092" t="s">
        <v>18</v>
      </c>
    </row>
    <row r="3093" spans="1:11" x14ac:dyDescent="0.3">
      <c r="A3093">
        <v>1071</v>
      </c>
      <c r="B3093">
        <v>1</v>
      </c>
      <c r="C3093">
        <v>25</v>
      </c>
      <c r="D3093">
        <v>2</v>
      </c>
      <c r="E3093" s="1">
        <v>499.99</v>
      </c>
      <c r="F3093" s="1">
        <v>0.2</v>
      </c>
      <c r="G3093">
        <v>999.98</v>
      </c>
      <c r="H3093" s="22">
        <f>VLOOKUP(A3093,[1]Orders!$A$2:$B$1616,2,0)</f>
        <v>42964</v>
      </c>
      <c r="J3093" t="s">
        <v>35</v>
      </c>
      <c r="K3093" t="s">
        <v>37</v>
      </c>
    </row>
    <row r="3094" spans="1:11" x14ac:dyDescent="0.3">
      <c r="A3094">
        <v>1072</v>
      </c>
      <c r="B3094">
        <v>1</v>
      </c>
      <c r="C3094">
        <v>83</v>
      </c>
      <c r="D3094">
        <v>1</v>
      </c>
      <c r="E3094" s="1">
        <v>149.99</v>
      </c>
      <c r="F3094" s="1">
        <v>0.2</v>
      </c>
      <c r="G3094">
        <v>149.99</v>
      </c>
      <c r="H3094" s="22">
        <f>VLOOKUP(A3094,[1]Orders!$A$2:$B$1616,2,0)</f>
        <v>42965</v>
      </c>
      <c r="J3094" t="s">
        <v>66</v>
      </c>
      <c r="K3094" t="s">
        <v>11</v>
      </c>
    </row>
    <row r="3095" spans="1:11" x14ac:dyDescent="0.3">
      <c r="A3095">
        <v>1072</v>
      </c>
      <c r="B3095">
        <v>2</v>
      </c>
      <c r="C3095">
        <v>89</v>
      </c>
      <c r="D3095">
        <v>2</v>
      </c>
      <c r="E3095" s="1">
        <v>209.99</v>
      </c>
      <c r="F3095" s="1">
        <v>7.0000000000000007E-2</v>
      </c>
      <c r="G3095">
        <v>419.98</v>
      </c>
      <c r="H3095" s="22">
        <f>VLOOKUP(A3095,[1]Orders!$A$2:$B$1616,2,0)</f>
        <v>42965</v>
      </c>
      <c r="J3095" t="s">
        <v>94</v>
      </c>
      <c r="K3095" t="s">
        <v>11</v>
      </c>
    </row>
    <row r="3096" spans="1:11" x14ac:dyDescent="0.3">
      <c r="A3096">
        <v>1072</v>
      </c>
      <c r="B3096">
        <v>3</v>
      </c>
      <c r="C3096">
        <v>36</v>
      </c>
      <c r="D3096">
        <v>2</v>
      </c>
      <c r="E3096" s="1">
        <v>832.99</v>
      </c>
      <c r="F3096" s="1">
        <v>7.0000000000000007E-2</v>
      </c>
      <c r="G3096">
        <v>1665.98</v>
      </c>
      <c r="H3096" s="22">
        <f>VLOOKUP(A3096,[1]Orders!$A$2:$B$1616,2,0)</f>
        <v>42965</v>
      </c>
      <c r="J3096" t="s">
        <v>116</v>
      </c>
      <c r="K3096" t="s">
        <v>11</v>
      </c>
    </row>
    <row r="3097" spans="1:11" x14ac:dyDescent="0.3">
      <c r="A3097">
        <v>1073</v>
      </c>
      <c r="B3097">
        <v>1</v>
      </c>
      <c r="C3097">
        <v>81</v>
      </c>
      <c r="D3097">
        <v>1</v>
      </c>
      <c r="E3097" s="1">
        <v>1099.99</v>
      </c>
      <c r="F3097" s="1">
        <v>0.2</v>
      </c>
      <c r="G3097">
        <v>1099.99</v>
      </c>
      <c r="H3097" s="22">
        <f>VLOOKUP(A3097,[1]Orders!$A$2:$B$1616,2,0)</f>
        <v>42965</v>
      </c>
      <c r="J3097" t="s">
        <v>99</v>
      </c>
      <c r="K3097" t="s">
        <v>18</v>
      </c>
    </row>
    <row r="3098" spans="1:11" x14ac:dyDescent="0.3">
      <c r="A3098">
        <v>1073</v>
      </c>
      <c r="B3098">
        <v>2</v>
      </c>
      <c r="C3098">
        <v>13</v>
      </c>
      <c r="D3098">
        <v>1</v>
      </c>
      <c r="E3098" s="1">
        <v>269.99</v>
      </c>
      <c r="F3098" s="1">
        <v>7.0000000000000007E-2</v>
      </c>
      <c r="G3098">
        <v>269.99</v>
      </c>
      <c r="H3098" s="22">
        <f>VLOOKUP(A3098,[1]Orders!$A$2:$B$1616,2,0)</f>
        <v>42965</v>
      </c>
      <c r="J3098" t="s">
        <v>31</v>
      </c>
      <c r="K3098" t="s">
        <v>18</v>
      </c>
    </row>
    <row r="3099" spans="1:11" x14ac:dyDescent="0.3">
      <c r="A3099">
        <v>1073</v>
      </c>
      <c r="B3099">
        <v>3</v>
      </c>
      <c r="C3099">
        <v>20</v>
      </c>
      <c r="D3099">
        <v>1</v>
      </c>
      <c r="E3099" s="1">
        <v>599.99</v>
      </c>
      <c r="F3099" s="1">
        <v>0.2</v>
      </c>
      <c r="G3099">
        <v>599.99</v>
      </c>
      <c r="H3099" s="22">
        <f>VLOOKUP(A3099,[1]Orders!$A$2:$B$1616,2,0)</f>
        <v>42965</v>
      </c>
      <c r="J3099" t="s">
        <v>10</v>
      </c>
      <c r="K3099" t="s">
        <v>18</v>
      </c>
    </row>
    <row r="3100" spans="1:11" x14ac:dyDescent="0.3">
      <c r="A3100">
        <v>1074</v>
      </c>
      <c r="B3100">
        <v>1</v>
      </c>
      <c r="C3100">
        <v>59</v>
      </c>
      <c r="D3100">
        <v>1</v>
      </c>
      <c r="E3100" s="1">
        <v>2599.9899999999998</v>
      </c>
      <c r="F3100" s="1">
        <v>0.1</v>
      </c>
      <c r="G3100">
        <v>2599.9899999999998</v>
      </c>
      <c r="H3100" s="22">
        <f>VLOOKUP(A3100,[1]Orders!$A$2:$B$1616,2,0)</f>
        <v>42966</v>
      </c>
      <c r="J3100" t="s">
        <v>74</v>
      </c>
      <c r="K3100" t="s">
        <v>18</v>
      </c>
    </row>
    <row r="3101" spans="1:11" x14ac:dyDescent="0.3">
      <c r="A3101">
        <v>1074</v>
      </c>
      <c r="B3101">
        <v>2</v>
      </c>
      <c r="C3101">
        <v>87</v>
      </c>
      <c r="D3101">
        <v>1</v>
      </c>
      <c r="E3101" s="1">
        <v>189.99</v>
      </c>
      <c r="F3101" s="1">
        <v>7.0000000000000007E-2</v>
      </c>
      <c r="G3101">
        <v>189.99</v>
      </c>
      <c r="H3101" s="22">
        <f>VLOOKUP(A3101,[1]Orders!$A$2:$B$1616,2,0)</f>
        <v>42966</v>
      </c>
      <c r="J3101" t="s">
        <v>117</v>
      </c>
      <c r="K3101" t="s">
        <v>18</v>
      </c>
    </row>
    <row r="3102" spans="1:11" x14ac:dyDescent="0.3">
      <c r="A3102">
        <v>1074</v>
      </c>
      <c r="B3102">
        <v>3</v>
      </c>
      <c r="C3102">
        <v>89</v>
      </c>
      <c r="D3102">
        <v>2</v>
      </c>
      <c r="E3102" s="1">
        <v>209.99</v>
      </c>
      <c r="F3102" s="1">
        <v>0.1</v>
      </c>
      <c r="G3102">
        <v>419.98</v>
      </c>
      <c r="H3102" s="22">
        <f>VLOOKUP(A3102,[1]Orders!$A$2:$B$1616,2,0)</f>
        <v>42966</v>
      </c>
      <c r="J3102" t="s">
        <v>94</v>
      </c>
      <c r="K3102" t="s">
        <v>18</v>
      </c>
    </row>
    <row r="3103" spans="1:11" x14ac:dyDescent="0.3">
      <c r="A3103">
        <v>1075</v>
      </c>
      <c r="B3103">
        <v>1</v>
      </c>
      <c r="C3103">
        <v>48</v>
      </c>
      <c r="D3103">
        <v>2</v>
      </c>
      <c r="E3103" s="1">
        <v>1499.99</v>
      </c>
      <c r="F3103" s="1">
        <v>0.1</v>
      </c>
      <c r="G3103">
        <v>2999.98</v>
      </c>
      <c r="H3103" s="22">
        <f>VLOOKUP(A3103,[1]Orders!$A$2:$B$1616,2,0)</f>
        <v>42966</v>
      </c>
      <c r="J3103" t="s">
        <v>84</v>
      </c>
      <c r="K3103" t="s">
        <v>11</v>
      </c>
    </row>
    <row r="3104" spans="1:11" x14ac:dyDescent="0.3">
      <c r="A3104">
        <v>1075</v>
      </c>
      <c r="B3104">
        <v>2</v>
      </c>
      <c r="C3104">
        <v>111</v>
      </c>
      <c r="D3104">
        <v>2</v>
      </c>
      <c r="E3104" s="1">
        <v>470.99</v>
      </c>
      <c r="F3104" s="1">
        <v>0.05</v>
      </c>
      <c r="G3104">
        <v>941.98</v>
      </c>
      <c r="H3104" s="22">
        <f>VLOOKUP(A3104,[1]Orders!$A$2:$B$1616,2,0)</f>
        <v>42966</v>
      </c>
      <c r="J3104" t="s">
        <v>112</v>
      </c>
      <c r="K3104" t="s">
        <v>11</v>
      </c>
    </row>
    <row r="3105" spans="1:11" x14ac:dyDescent="0.3">
      <c r="A3105">
        <v>1076</v>
      </c>
      <c r="B3105">
        <v>1</v>
      </c>
      <c r="C3105">
        <v>95</v>
      </c>
      <c r="D3105">
        <v>1</v>
      </c>
      <c r="E3105" s="1">
        <v>299.99</v>
      </c>
      <c r="F3105" s="1">
        <v>0.1</v>
      </c>
      <c r="G3105">
        <v>299.99</v>
      </c>
      <c r="H3105" s="22">
        <f>VLOOKUP(A3105,[1]Orders!$A$2:$B$1616,2,0)</f>
        <v>42966</v>
      </c>
      <c r="J3105" t="s">
        <v>48</v>
      </c>
      <c r="K3105" t="s">
        <v>18</v>
      </c>
    </row>
    <row r="3106" spans="1:11" x14ac:dyDescent="0.3">
      <c r="A3106">
        <v>1076</v>
      </c>
      <c r="B3106">
        <v>2</v>
      </c>
      <c r="C3106">
        <v>102</v>
      </c>
      <c r="D3106">
        <v>1</v>
      </c>
      <c r="E3106" s="1">
        <v>489.99</v>
      </c>
      <c r="F3106" s="1">
        <v>7.0000000000000007E-2</v>
      </c>
      <c r="G3106">
        <v>489.99</v>
      </c>
      <c r="H3106" s="22">
        <f>VLOOKUP(A3106,[1]Orders!$A$2:$B$1616,2,0)</f>
        <v>42966</v>
      </c>
      <c r="J3106" t="s">
        <v>51</v>
      </c>
      <c r="K3106" t="s">
        <v>18</v>
      </c>
    </row>
    <row r="3107" spans="1:11" x14ac:dyDescent="0.3">
      <c r="A3107">
        <v>1076</v>
      </c>
      <c r="B3107">
        <v>3</v>
      </c>
      <c r="C3107">
        <v>73</v>
      </c>
      <c r="D3107">
        <v>2</v>
      </c>
      <c r="E3107" s="1">
        <v>749.99</v>
      </c>
      <c r="F3107" s="1">
        <v>7.0000000000000007E-2</v>
      </c>
      <c r="G3107">
        <v>1499.98</v>
      </c>
      <c r="H3107" s="22">
        <f>VLOOKUP(A3107,[1]Orders!$A$2:$B$1616,2,0)</f>
        <v>42966</v>
      </c>
      <c r="J3107" t="s">
        <v>43</v>
      </c>
      <c r="K3107" t="s">
        <v>18</v>
      </c>
    </row>
    <row r="3108" spans="1:11" x14ac:dyDescent="0.3">
      <c r="A3108">
        <v>1077</v>
      </c>
      <c r="B3108">
        <v>1</v>
      </c>
      <c r="C3108">
        <v>60</v>
      </c>
      <c r="D3108">
        <v>2</v>
      </c>
      <c r="E3108" s="1">
        <v>1559.99</v>
      </c>
      <c r="F3108" s="1">
        <v>0.05</v>
      </c>
      <c r="G3108">
        <v>3119.98</v>
      </c>
      <c r="H3108" s="22">
        <f>VLOOKUP(A3108,[1]Orders!$A$2:$B$1616,2,0)</f>
        <v>42966</v>
      </c>
      <c r="J3108" t="s">
        <v>101</v>
      </c>
      <c r="K3108" t="s">
        <v>18</v>
      </c>
    </row>
    <row r="3109" spans="1:11" x14ac:dyDescent="0.3">
      <c r="A3109">
        <v>1078</v>
      </c>
      <c r="B3109">
        <v>1</v>
      </c>
      <c r="C3109">
        <v>76</v>
      </c>
      <c r="D3109">
        <v>2</v>
      </c>
      <c r="E3109" s="1">
        <v>299.99</v>
      </c>
      <c r="F3109" s="1">
        <v>7.0000000000000007E-2</v>
      </c>
      <c r="G3109">
        <v>599.98</v>
      </c>
      <c r="H3109" s="22">
        <f>VLOOKUP(A3109,[1]Orders!$A$2:$B$1616,2,0)</f>
        <v>42966</v>
      </c>
      <c r="J3109" t="s">
        <v>48</v>
      </c>
      <c r="K3109" t="s">
        <v>18</v>
      </c>
    </row>
    <row r="3110" spans="1:11" x14ac:dyDescent="0.3">
      <c r="A3110">
        <v>1078</v>
      </c>
      <c r="B3110">
        <v>2</v>
      </c>
      <c r="C3110">
        <v>60</v>
      </c>
      <c r="D3110">
        <v>2</v>
      </c>
      <c r="E3110" s="1">
        <v>1559.99</v>
      </c>
      <c r="F3110" s="1">
        <v>0.2</v>
      </c>
      <c r="G3110">
        <v>3119.98</v>
      </c>
      <c r="H3110" s="22">
        <f>VLOOKUP(A3110,[1]Orders!$A$2:$B$1616,2,0)</f>
        <v>42966</v>
      </c>
      <c r="J3110" t="s">
        <v>101</v>
      </c>
      <c r="K3110" t="s">
        <v>18</v>
      </c>
    </row>
    <row r="3111" spans="1:11" x14ac:dyDescent="0.3">
      <c r="A3111">
        <v>1078</v>
      </c>
      <c r="B3111">
        <v>3</v>
      </c>
      <c r="C3111">
        <v>15</v>
      </c>
      <c r="D3111">
        <v>1</v>
      </c>
      <c r="E3111" s="1">
        <v>529.99</v>
      </c>
      <c r="F3111" s="1">
        <v>7.0000000000000007E-2</v>
      </c>
      <c r="G3111">
        <v>529.99</v>
      </c>
      <c r="H3111" s="22">
        <f>VLOOKUP(A3111,[1]Orders!$A$2:$B$1616,2,0)</f>
        <v>42966</v>
      </c>
      <c r="J3111" t="s">
        <v>27</v>
      </c>
      <c r="K3111" t="s">
        <v>18</v>
      </c>
    </row>
    <row r="3112" spans="1:11" x14ac:dyDescent="0.3">
      <c r="A3112">
        <v>1078</v>
      </c>
      <c r="B3112">
        <v>4</v>
      </c>
      <c r="C3112">
        <v>10</v>
      </c>
      <c r="D3112">
        <v>2</v>
      </c>
      <c r="E3112" s="1">
        <v>1549</v>
      </c>
      <c r="F3112" s="1">
        <v>0.1</v>
      </c>
      <c r="G3112">
        <v>3098</v>
      </c>
      <c r="H3112" s="22">
        <f>VLOOKUP(A3112,[1]Orders!$A$2:$B$1616,2,0)</f>
        <v>42966</v>
      </c>
      <c r="J3112" t="s">
        <v>13</v>
      </c>
      <c r="K3112" t="s">
        <v>18</v>
      </c>
    </row>
    <row r="3113" spans="1:11" x14ac:dyDescent="0.3">
      <c r="A3113">
        <v>1078</v>
      </c>
      <c r="B3113">
        <v>5</v>
      </c>
      <c r="C3113">
        <v>72</v>
      </c>
      <c r="D3113">
        <v>2</v>
      </c>
      <c r="E3113" s="1">
        <v>619.99</v>
      </c>
      <c r="F3113" s="1">
        <v>0.2</v>
      </c>
      <c r="G3113">
        <v>1239.98</v>
      </c>
      <c r="H3113" s="22">
        <f>VLOOKUP(A3113,[1]Orders!$A$2:$B$1616,2,0)</f>
        <v>42966</v>
      </c>
      <c r="J3113" t="s">
        <v>44</v>
      </c>
      <c r="K3113" t="s">
        <v>18</v>
      </c>
    </row>
    <row r="3114" spans="1:11" x14ac:dyDescent="0.3">
      <c r="A3114">
        <v>1079</v>
      </c>
      <c r="B3114">
        <v>1</v>
      </c>
      <c r="C3114">
        <v>70</v>
      </c>
      <c r="D3114">
        <v>2</v>
      </c>
      <c r="E3114" s="1">
        <v>659.99</v>
      </c>
      <c r="F3114" s="1">
        <v>7.0000000000000007E-2</v>
      </c>
      <c r="G3114">
        <v>1319.98</v>
      </c>
      <c r="H3114" s="22">
        <f>VLOOKUP(A3114,[1]Orders!$A$2:$B$1616,2,0)</f>
        <v>42966</v>
      </c>
      <c r="J3114" t="s">
        <v>73</v>
      </c>
      <c r="K3114" t="s">
        <v>18</v>
      </c>
    </row>
    <row r="3115" spans="1:11" x14ac:dyDescent="0.3">
      <c r="A3115">
        <v>1080</v>
      </c>
      <c r="B3115">
        <v>1</v>
      </c>
      <c r="C3115">
        <v>31</v>
      </c>
      <c r="D3115">
        <v>1</v>
      </c>
      <c r="E3115" s="1">
        <v>1632.99</v>
      </c>
      <c r="F3115" s="1">
        <v>0.2</v>
      </c>
      <c r="G3115">
        <v>1632.99</v>
      </c>
      <c r="H3115" s="22">
        <f>VLOOKUP(A3115,[1]Orders!$A$2:$B$1616,2,0)</f>
        <v>42966</v>
      </c>
      <c r="J3115" t="s">
        <v>102</v>
      </c>
      <c r="K3115" t="s">
        <v>18</v>
      </c>
    </row>
    <row r="3116" spans="1:11" x14ac:dyDescent="0.3">
      <c r="A3116">
        <v>1080</v>
      </c>
      <c r="B3116">
        <v>2</v>
      </c>
      <c r="C3116">
        <v>40</v>
      </c>
      <c r="D3116">
        <v>1</v>
      </c>
      <c r="E3116" s="1">
        <v>4999.99</v>
      </c>
      <c r="F3116" s="1">
        <v>0.1</v>
      </c>
      <c r="G3116">
        <v>4999.99</v>
      </c>
      <c r="H3116" s="22">
        <f>VLOOKUP(A3116,[1]Orders!$A$2:$B$1616,2,0)</f>
        <v>42966</v>
      </c>
      <c r="J3116" t="s">
        <v>104</v>
      </c>
      <c r="K3116" t="s">
        <v>18</v>
      </c>
    </row>
    <row r="3117" spans="1:11" x14ac:dyDescent="0.3">
      <c r="A3117">
        <v>1080</v>
      </c>
      <c r="B3117">
        <v>3</v>
      </c>
      <c r="C3117">
        <v>50</v>
      </c>
      <c r="D3117">
        <v>1</v>
      </c>
      <c r="E3117" s="1">
        <v>5999.99</v>
      </c>
      <c r="F3117" s="1">
        <v>0.05</v>
      </c>
      <c r="G3117">
        <v>5999.99</v>
      </c>
      <c r="H3117" s="22">
        <f>VLOOKUP(A3117,[1]Orders!$A$2:$B$1616,2,0)</f>
        <v>42966</v>
      </c>
      <c r="J3117" t="s">
        <v>79</v>
      </c>
      <c r="K3117" t="s">
        <v>18</v>
      </c>
    </row>
    <row r="3118" spans="1:11" x14ac:dyDescent="0.3">
      <c r="A3118">
        <v>1080</v>
      </c>
      <c r="B3118">
        <v>4</v>
      </c>
      <c r="C3118">
        <v>32</v>
      </c>
      <c r="D3118">
        <v>2</v>
      </c>
      <c r="E3118" s="1">
        <v>469.99</v>
      </c>
      <c r="F3118" s="1">
        <v>0.2</v>
      </c>
      <c r="G3118">
        <v>939.98</v>
      </c>
      <c r="H3118" s="22">
        <f>VLOOKUP(A3118,[1]Orders!$A$2:$B$1616,2,0)</f>
        <v>42966</v>
      </c>
      <c r="J3118" t="s">
        <v>46</v>
      </c>
      <c r="K3118" t="s">
        <v>18</v>
      </c>
    </row>
    <row r="3119" spans="1:11" x14ac:dyDescent="0.3">
      <c r="A3119">
        <v>1080</v>
      </c>
      <c r="B3119">
        <v>5</v>
      </c>
      <c r="C3119">
        <v>86</v>
      </c>
      <c r="D3119">
        <v>1</v>
      </c>
      <c r="E3119" s="1">
        <v>149.99</v>
      </c>
      <c r="F3119" s="1">
        <v>0.05</v>
      </c>
      <c r="G3119">
        <v>149.99</v>
      </c>
      <c r="H3119" s="22">
        <f>VLOOKUP(A3119,[1]Orders!$A$2:$B$1616,2,0)</f>
        <v>42966</v>
      </c>
      <c r="J3119" t="s">
        <v>115</v>
      </c>
      <c r="K3119" t="s">
        <v>18</v>
      </c>
    </row>
    <row r="3120" spans="1:11" x14ac:dyDescent="0.3">
      <c r="A3120">
        <v>1081</v>
      </c>
      <c r="B3120">
        <v>1</v>
      </c>
      <c r="C3120">
        <v>52</v>
      </c>
      <c r="D3120">
        <v>2</v>
      </c>
      <c r="E3120" s="1">
        <v>875.99</v>
      </c>
      <c r="F3120" s="1">
        <v>0.1</v>
      </c>
      <c r="G3120">
        <v>1751.98</v>
      </c>
      <c r="H3120" s="22">
        <f>VLOOKUP(A3120,[1]Orders!$A$2:$B$1616,2,0)</f>
        <v>42966</v>
      </c>
      <c r="J3120" t="s">
        <v>68</v>
      </c>
      <c r="K3120" t="s">
        <v>18</v>
      </c>
    </row>
    <row r="3121" spans="1:11" x14ac:dyDescent="0.3">
      <c r="A3121">
        <v>1082</v>
      </c>
      <c r="B3121">
        <v>1</v>
      </c>
      <c r="C3121">
        <v>29</v>
      </c>
      <c r="D3121">
        <v>2</v>
      </c>
      <c r="E3121" s="1">
        <v>999.99</v>
      </c>
      <c r="F3121" s="1">
        <v>0.2</v>
      </c>
      <c r="G3121">
        <v>1999.98</v>
      </c>
      <c r="H3121" s="22">
        <f>VLOOKUP(A3121,[1]Orders!$A$2:$B$1616,2,0)</f>
        <v>42967</v>
      </c>
      <c r="J3121" t="s">
        <v>71</v>
      </c>
      <c r="K3121" t="s">
        <v>18</v>
      </c>
    </row>
    <row r="3122" spans="1:11" x14ac:dyDescent="0.3">
      <c r="A3122">
        <v>1083</v>
      </c>
      <c r="B3122">
        <v>1</v>
      </c>
      <c r="C3122">
        <v>65</v>
      </c>
      <c r="D3122">
        <v>2</v>
      </c>
      <c r="E3122" s="1">
        <v>346.99</v>
      </c>
      <c r="F3122" s="1">
        <v>0.2</v>
      </c>
      <c r="G3122">
        <v>693.98</v>
      </c>
      <c r="H3122" s="22">
        <f>VLOOKUP(A3122,[1]Orders!$A$2:$B$1616,2,0)</f>
        <v>42967</v>
      </c>
      <c r="J3122" t="s">
        <v>114</v>
      </c>
      <c r="K3122" t="s">
        <v>18</v>
      </c>
    </row>
    <row r="3123" spans="1:11" x14ac:dyDescent="0.3">
      <c r="A3123">
        <v>1083</v>
      </c>
      <c r="B3123">
        <v>2</v>
      </c>
      <c r="C3123">
        <v>77</v>
      </c>
      <c r="D3123">
        <v>2</v>
      </c>
      <c r="E3123" s="1">
        <v>799.99</v>
      </c>
      <c r="F3123" s="1">
        <v>0.1</v>
      </c>
      <c r="G3123">
        <v>1599.98</v>
      </c>
      <c r="H3123" s="22">
        <f>VLOOKUP(A3123,[1]Orders!$A$2:$B$1616,2,0)</f>
        <v>42967</v>
      </c>
      <c r="J3123" t="s">
        <v>113</v>
      </c>
      <c r="K3123" t="s">
        <v>18</v>
      </c>
    </row>
    <row r="3124" spans="1:11" x14ac:dyDescent="0.3">
      <c r="A3124">
        <v>1083</v>
      </c>
      <c r="B3124">
        <v>3</v>
      </c>
      <c r="C3124">
        <v>61</v>
      </c>
      <c r="D3124">
        <v>1</v>
      </c>
      <c r="E3124" s="1">
        <v>4999.99</v>
      </c>
      <c r="F3124" s="1">
        <v>7.0000000000000007E-2</v>
      </c>
      <c r="G3124">
        <v>4999.99</v>
      </c>
      <c r="H3124" s="22">
        <f>VLOOKUP(A3124,[1]Orders!$A$2:$B$1616,2,0)</f>
        <v>42967</v>
      </c>
      <c r="J3124" t="s">
        <v>45</v>
      </c>
      <c r="K3124" t="s">
        <v>18</v>
      </c>
    </row>
    <row r="3125" spans="1:11" x14ac:dyDescent="0.3">
      <c r="A3125">
        <v>1083</v>
      </c>
      <c r="B3125">
        <v>4</v>
      </c>
      <c r="C3125">
        <v>33</v>
      </c>
      <c r="D3125">
        <v>1</v>
      </c>
      <c r="E3125" s="1">
        <v>469.99</v>
      </c>
      <c r="F3125" s="1">
        <v>0.2</v>
      </c>
      <c r="G3125">
        <v>469.99</v>
      </c>
      <c r="H3125" s="22">
        <f>VLOOKUP(A3125,[1]Orders!$A$2:$B$1616,2,0)</f>
        <v>42967</v>
      </c>
      <c r="J3125" t="s">
        <v>67</v>
      </c>
      <c r="K3125" t="s">
        <v>18</v>
      </c>
    </row>
    <row r="3126" spans="1:11" x14ac:dyDescent="0.3">
      <c r="A3126">
        <v>1084</v>
      </c>
      <c r="B3126">
        <v>1</v>
      </c>
      <c r="C3126">
        <v>30</v>
      </c>
      <c r="D3126">
        <v>1</v>
      </c>
      <c r="E3126" s="1">
        <v>999.99</v>
      </c>
      <c r="F3126" s="1">
        <v>0.05</v>
      </c>
      <c r="G3126">
        <v>999.99</v>
      </c>
      <c r="H3126" s="22">
        <f>VLOOKUP(A3126,[1]Orders!$A$2:$B$1616,2,0)</f>
        <v>42968</v>
      </c>
      <c r="J3126" t="s">
        <v>47</v>
      </c>
      <c r="K3126" t="s">
        <v>11</v>
      </c>
    </row>
    <row r="3127" spans="1:11" x14ac:dyDescent="0.3">
      <c r="A3127">
        <v>1084</v>
      </c>
      <c r="B3127">
        <v>2</v>
      </c>
      <c r="C3127">
        <v>70</v>
      </c>
      <c r="D3127">
        <v>1</v>
      </c>
      <c r="E3127" s="1">
        <v>659.99</v>
      </c>
      <c r="F3127" s="1">
        <v>0.05</v>
      </c>
      <c r="G3127">
        <v>659.99</v>
      </c>
      <c r="H3127" s="22">
        <f>VLOOKUP(A3127,[1]Orders!$A$2:$B$1616,2,0)</f>
        <v>42968</v>
      </c>
      <c r="J3127" t="s">
        <v>73</v>
      </c>
      <c r="K3127" t="s">
        <v>11</v>
      </c>
    </row>
    <row r="3128" spans="1:11" x14ac:dyDescent="0.3">
      <c r="A3128">
        <v>1084</v>
      </c>
      <c r="B3128">
        <v>3</v>
      </c>
      <c r="C3128">
        <v>98</v>
      </c>
      <c r="D3128">
        <v>2</v>
      </c>
      <c r="E3128" s="1">
        <v>489.99</v>
      </c>
      <c r="F3128" s="1">
        <v>0.2</v>
      </c>
      <c r="G3128">
        <v>979.98</v>
      </c>
      <c r="H3128" s="22">
        <f>VLOOKUP(A3128,[1]Orders!$A$2:$B$1616,2,0)</f>
        <v>42968</v>
      </c>
      <c r="J3128" t="s">
        <v>82</v>
      </c>
      <c r="K3128" t="s">
        <v>11</v>
      </c>
    </row>
    <row r="3129" spans="1:11" x14ac:dyDescent="0.3">
      <c r="A3129">
        <v>1084</v>
      </c>
      <c r="B3129">
        <v>4</v>
      </c>
      <c r="C3129">
        <v>65</v>
      </c>
      <c r="D3129">
        <v>2</v>
      </c>
      <c r="E3129" s="1">
        <v>346.99</v>
      </c>
      <c r="F3129" s="1">
        <v>7.0000000000000007E-2</v>
      </c>
      <c r="G3129">
        <v>693.98</v>
      </c>
      <c r="H3129" s="22">
        <f>VLOOKUP(A3129,[1]Orders!$A$2:$B$1616,2,0)</f>
        <v>42968</v>
      </c>
      <c r="J3129" t="s">
        <v>114</v>
      </c>
      <c r="K3129" t="s">
        <v>11</v>
      </c>
    </row>
    <row r="3130" spans="1:11" x14ac:dyDescent="0.3">
      <c r="A3130">
        <v>1084</v>
      </c>
      <c r="B3130">
        <v>5</v>
      </c>
      <c r="C3130">
        <v>60</v>
      </c>
      <c r="D3130">
        <v>1</v>
      </c>
      <c r="E3130" s="1">
        <v>1559.99</v>
      </c>
      <c r="F3130" s="1">
        <v>0.1</v>
      </c>
      <c r="G3130">
        <v>1559.99</v>
      </c>
      <c r="H3130" s="22">
        <f>VLOOKUP(A3130,[1]Orders!$A$2:$B$1616,2,0)</f>
        <v>42968</v>
      </c>
      <c r="J3130" t="s">
        <v>101</v>
      </c>
      <c r="K3130" t="s">
        <v>11</v>
      </c>
    </row>
    <row r="3131" spans="1:11" x14ac:dyDescent="0.3">
      <c r="A3131">
        <v>1085</v>
      </c>
      <c r="B3131">
        <v>1</v>
      </c>
      <c r="C3131">
        <v>66</v>
      </c>
      <c r="D3131">
        <v>2</v>
      </c>
      <c r="E3131" s="1">
        <v>250.99</v>
      </c>
      <c r="F3131" s="1">
        <v>0.2</v>
      </c>
      <c r="G3131">
        <v>501.98</v>
      </c>
      <c r="H3131" s="22">
        <f>VLOOKUP(A3131,[1]Orders!$A$2:$B$1616,2,0)</f>
        <v>42968</v>
      </c>
      <c r="J3131" t="s">
        <v>92</v>
      </c>
      <c r="K3131" t="s">
        <v>11</v>
      </c>
    </row>
    <row r="3132" spans="1:11" x14ac:dyDescent="0.3">
      <c r="A3132">
        <v>1085</v>
      </c>
      <c r="B3132">
        <v>2</v>
      </c>
      <c r="C3132">
        <v>64</v>
      </c>
      <c r="D3132">
        <v>1</v>
      </c>
      <c r="E3132" s="1">
        <v>489.99</v>
      </c>
      <c r="F3132" s="1">
        <v>0.1</v>
      </c>
      <c r="G3132">
        <v>489.99</v>
      </c>
      <c r="H3132" s="22">
        <f>VLOOKUP(A3132,[1]Orders!$A$2:$B$1616,2,0)</f>
        <v>42968</v>
      </c>
      <c r="J3132" t="s">
        <v>51</v>
      </c>
      <c r="K3132" t="s">
        <v>11</v>
      </c>
    </row>
    <row r="3133" spans="1:11" x14ac:dyDescent="0.3">
      <c r="A3133">
        <v>1085</v>
      </c>
      <c r="B3133">
        <v>3</v>
      </c>
      <c r="C3133">
        <v>74</v>
      </c>
      <c r="D3133">
        <v>1</v>
      </c>
      <c r="E3133" s="1">
        <v>439.99</v>
      </c>
      <c r="F3133" s="1">
        <v>0.1</v>
      </c>
      <c r="G3133">
        <v>439.99</v>
      </c>
      <c r="H3133" s="22">
        <f>VLOOKUP(A3133,[1]Orders!$A$2:$B$1616,2,0)</f>
        <v>42968</v>
      </c>
      <c r="J3133" t="s">
        <v>61</v>
      </c>
      <c r="K3133" t="s">
        <v>11</v>
      </c>
    </row>
    <row r="3134" spans="1:11" x14ac:dyDescent="0.3">
      <c r="A3134">
        <v>1086</v>
      </c>
      <c r="B3134">
        <v>1</v>
      </c>
      <c r="C3134">
        <v>108</v>
      </c>
      <c r="D3134">
        <v>1</v>
      </c>
      <c r="E3134" s="1">
        <v>449.99</v>
      </c>
      <c r="F3134" s="1">
        <v>7.0000000000000007E-2</v>
      </c>
      <c r="G3134">
        <v>449.99</v>
      </c>
      <c r="H3134" s="22">
        <f>VLOOKUP(A3134,[1]Orders!$A$2:$B$1616,2,0)</f>
        <v>42968</v>
      </c>
      <c r="J3134" t="s">
        <v>85</v>
      </c>
      <c r="K3134" t="s">
        <v>18</v>
      </c>
    </row>
    <row r="3135" spans="1:11" x14ac:dyDescent="0.3">
      <c r="A3135">
        <v>1086</v>
      </c>
      <c r="B3135">
        <v>2</v>
      </c>
      <c r="C3135">
        <v>67</v>
      </c>
      <c r="D3135">
        <v>1</v>
      </c>
      <c r="E3135" s="1">
        <v>250.99</v>
      </c>
      <c r="F3135" s="1">
        <v>0.1</v>
      </c>
      <c r="G3135">
        <v>250.99</v>
      </c>
      <c r="H3135" s="22">
        <f>VLOOKUP(A3135,[1]Orders!$A$2:$B$1616,2,0)</f>
        <v>42968</v>
      </c>
      <c r="J3135" t="s">
        <v>60</v>
      </c>
      <c r="K3135" t="s">
        <v>18</v>
      </c>
    </row>
    <row r="3136" spans="1:11" x14ac:dyDescent="0.3">
      <c r="A3136">
        <v>1086</v>
      </c>
      <c r="B3136">
        <v>3</v>
      </c>
      <c r="C3136">
        <v>81</v>
      </c>
      <c r="D3136">
        <v>2</v>
      </c>
      <c r="E3136" s="1">
        <v>1099.99</v>
      </c>
      <c r="F3136" s="1">
        <v>0.05</v>
      </c>
      <c r="G3136">
        <v>2199.98</v>
      </c>
      <c r="H3136" s="22">
        <f>VLOOKUP(A3136,[1]Orders!$A$2:$B$1616,2,0)</f>
        <v>42968</v>
      </c>
      <c r="J3136" t="s">
        <v>99</v>
      </c>
      <c r="K3136" t="s">
        <v>18</v>
      </c>
    </row>
    <row r="3137" spans="1:11" x14ac:dyDescent="0.3">
      <c r="A3137">
        <v>1086</v>
      </c>
      <c r="B3137">
        <v>4</v>
      </c>
      <c r="C3137">
        <v>10</v>
      </c>
      <c r="D3137">
        <v>2</v>
      </c>
      <c r="E3137" s="1">
        <v>1549</v>
      </c>
      <c r="F3137" s="1">
        <v>7.0000000000000007E-2</v>
      </c>
      <c r="G3137">
        <v>3098</v>
      </c>
      <c r="H3137" s="22">
        <f>VLOOKUP(A3137,[1]Orders!$A$2:$B$1616,2,0)</f>
        <v>42968</v>
      </c>
      <c r="J3137" t="s">
        <v>13</v>
      </c>
      <c r="K3137" t="s">
        <v>18</v>
      </c>
    </row>
    <row r="3138" spans="1:11" x14ac:dyDescent="0.3">
      <c r="A3138">
        <v>1086</v>
      </c>
      <c r="B3138">
        <v>5</v>
      </c>
      <c r="C3138">
        <v>5</v>
      </c>
      <c r="D3138">
        <v>1</v>
      </c>
      <c r="E3138" s="1">
        <v>1320.99</v>
      </c>
      <c r="F3138" s="1">
        <v>0.2</v>
      </c>
      <c r="G3138">
        <v>1320.99</v>
      </c>
      <c r="H3138" s="22">
        <f>VLOOKUP(A3138,[1]Orders!$A$2:$B$1616,2,0)</f>
        <v>42968</v>
      </c>
      <c r="J3138" t="s">
        <v>34</v>
      </c>
      <c r="K3138" t="s">
        <v>18</v>
      </c>
    </row>
    <row r="3139" spans="1:11" x14ac:dyDescent="0.3">
      <c r="A3139">
        <v>1087</v>
      </c>
      <c r="B3139">
        <v>1</v>
      </c>
      <c r="C3139">
        <v>15</v>
      </c>
      <c r="D3139">
        <v>1</v>
      </c>
      <c r="E3139" s="1">
        <v>529.99</v>
      </c>
      <c r="F3139" s="1">
        <v>7.0000000000000007E-2</v>
      </c>
      <c r="G3139">
        <v>529.99</v>
      </c>
      <c r="H3139" s="22">
        <f>VLOOKUP(A3139,[1]Orders!$A$2:$B$1616,2,0)</f>
        <v>42969</v>
      </c>
      <c r="J3139" t="s">
        <v>27</v>
      </c>
      <c r="K3139" t="s">
        <v>37</v>
      </c>
    </row>
    <row r="3140" spans="1:11" x14ac:dyDescent="0.3">
      <c r="A3140">
        <v>1087</v>
      </c>
      <c r="B3140">
        <v>2</v>
      </c>
      <c r="C3140">
        <v>102</v>
      </c>
      <c r="D3140">
        <v>2</v>
      </c>
      <c r="E3140" s="1">
        <v>489.99</v>
      </c>
      <c r="F3140" s="1">
        <v>7.0000000000000007E-2</v>
      </c>
      <c r="G3140">
        <v>979.98</v>
      </c>
      <c r="H3140" s="22">
        <f>VLOOKUP(A3140,[1]Orders!$A$2:$B$1616,2,0)</f>
        <v>42969</v>
      </c>
      <c r="J3140" t="s">
        <v>51</v>
      </c>
      <c r="K3140" t="s">
        <v>37</v>
      </c>
    </row>
    <row r="3141" spans="1:11" x14ac:dyDescent="0.3">
      <c r="A3141">
        <v>1087</v>
      </c>
      <c r="B3141">
        <v>3</v>
      </c>
      <c r="C3141">
        <v>59</v>
      </c>
      <c r="D3141">
        <v>2</v>
      </c>
      <c r="E3141" s="1">
        <v>2599.9899999999998</v>
      </c>
      <c r="F3141" s="1">
        <v>0.1</v>
      </c>
      <c r="G3141">
        <v>5199.9799999999996</v>
      </c>
      <c r="H3141" s="22">
        <f>VLOOKUP(A3141,[1]Orders!$A$2:$B$1616,2,0)</f>
        <v>42969</v>
      </c>
      <c r="J3141" t="s">
        <v>74</v>
      </c>
      <c r="K3141" t="s">
        <v>37</v>
      </c>
    </row>
    <row r="3142" spans="1:11" x14ac:dyDescent="0.3">
      <c r="A3142">
        <v>1087</v>
      </c>
      <c r="B3142">
        <v>4</v>
      </c>
      <c r="C3142">
        <v>13</v>
      </c>
      <c r="D3142">
        <v>2</v>
      </c>
      <c r="E3142" s="1">
        <v>269.99</v>
      </c>
      <c r="F3142" s="1">
        <v>7.0000000000000007E-2</v>
      </c>
      <c r="G3142">
        <v>539.98</v>
      </c>
      <c r="H3142" s="22">
        <f>VLOOKUP(A3142,[1]Orders!$A$2:$B$1616,2,0)</f>
        <v>42969</v>
      </c>
      <c r="J3142" t="s">
        <v>31</v>
      </c>
      <c r="K3142" t="s">
        <v>37</v>
      </c>
    </row>
    <row r="3143" spans="1:11" x14ac:dyDescent="0.3">
      <c r="A3143">
        <v>1087</v>
      </c>
      <c r="B3143">
        <v>5</v>
      </c>
      <c r="C3143">
        <v>109</v>
      </c>
      <c r="D3143">
        <v>2</v>
      </c>
      <c r="E3143" s="1">
        <v>416.99</v>
      </c>
      <c r="F3143" s="1">
        <v>0.2</v>
      </c>
      <c r="G3143">
        <v>833.98</v>
      </c>
      <c r="H3143" s="22">
        <f>VLOOKUP(A3143,[1]Orders!$A$2:$B$1616,2,0)</f>
        <v>42969</v>
      </c>
      <c r="J3143" t="s">
        <v>49</v>
      </c>
      <c r="K3143" t="s">
        <v>37</v>
      </c>
    </row>
    <row r="3144" spans="1:11" x14ac:dyDescent="0.3">
      <c r="A3144">
        <v>1088</v>
      </c>
      <c r="B3144">
        <v>1</v>
      </c>
      <c r="C3144">
        <v>64</v>
      </c>
      <c r="D3144">
        <v>1</v>
      </c>
      <c r="E3144" s="1">
        <v>489.99</v>
      </c>
      <c r="F3144" s="1">
        <v>0.1</v>
      </c>
      <c r="G3144">
        <v>489.99</v>
      </c>
      <c r="H3144" s="22">
        <f>VLOOKUP(A3144,[1]Orders!$A$2:$B$1616,2,0)</f>
        <v>42969</v>
      </c>
      <c r="J3144" t="s">
        <v>51</v>
      </c>
      <c r="K3144" t="s">
        <v>37</v>
      </c>
    </row>
    <row r="3145" spans="1:11" x14ac:dyDescent="0.3">
      <c r="A3145">
        <v>1088</v>
      </c>
      <c r="B3145">
        <v>2</v>
      </c>
      <c r="C3145">
        <v>30</v>
      </c>
      <c r="D3145">
        <v>1</v>
      </c>
      <c r="E3145" s="1">
        <v>999.99</v>
      </c>
      <c r="F3145" s="1">
        <v>0.1</v>
      </c>
      <c r="G3145">
        <v>999.99</v>
      </c>
      <c r="H3145" s="22">
        <f>VLOOKUP(A3145,[1]Orders!$A$2:$B$1616,2,0)</f>
        <v>42969</v>
      </c>
      <c r="J3145" t="s">
        <v>47</v>
      </c>
      <c r="K3145" t="s">
        <v>37</v>
      </c>
    </row>
    <row r="3146" spans="1:11" x14ac:dyDescent="0.3">
      <c r="A3146">
        <v>1088</v>
      </c>
      <c r="B3146">
        <v>3</v>
      </c>
      <c r="C3146">
        <v>33</v>
      </c>
      <c r="D3146">
        <v>1</v>
      </c>
      <c r="E3146" s="1">
        <v>469.99</v>
      </c>
      <c r="F3146" s="1">
        <v>7.0000000000000007E-2</v>
      </c>
      <c r="G3146">
        <v>469.99</v>
      </c>
      <c r="H3146" s="22">
        <f>VLOOKUP(A3146,[1]Orders!$A$2:$B$1616,2,0)</f>
        <v>42969</v>
      </c>
      <c r="J3146" t="s">
        <v>67</v>
      </c>
      <c r="K3146" t="s">
        <v>37</v>
      </c>
    </row>
    <row r="3147" spans="1:11" x14ac:dyDescent="0.3">
      <c r="A3147">
        <v>1088</v>
      </c>
      <c r="B3147">
        <v>4</v>
      </c>
      <c r="C3147">
        <v>36</v>
      </c>
      <c r="D3147">
        <v>2</v>
      </c>
      <c r="E3147" s="1">
        <v>832.99</v>
      </c>
      <c r="F3147" s="1">
        <v>0.2</v>
      </c>
      <c r="G3147">
        <v>1665.98</v>
      </c>
      <c r="H3147" s="22">
        <f>VLOOKUP(A3147,[1]Orders!$A$2:$B$1616,2,0)</f>
        <v>42969</v>
      </c>
      <c r="J3147" t="s">
        <v>116</v>
      </c>
      <c r="K3147" t="s">
        <v>37</v>
      </c>
    </row>
    <row r="3148" spans="1:11" x14ac:dyDescent="0.3">
      <c r="A3148">
        <v>1089</v>
      </c>
      <c r="B3148">
        <v>1</v>
      </c>
      <c r="C3148">
        <v>70</v>
      </c>
      <c r="D3148">
        <v>2</v>
      </c>
      <c r="E3148" s="1">
        <v>659.99</v>
      </c>
      <c r="F3148" s="1">
        <v>7.0000000000000007E-2</v>
      </c>
      <c r="G3148">
        <v>1319.98</v>
      </c>
      <c r="H3148" s="22">
        <f>VLOOKUP(A3148,[1]Orders!$A$2:$B$1616,2,0)</f>
        <v>42970</v>
      </c>
      <c r="J3148" t="s">
        <v>73</v>
      </c>
      <c r="K3148" t="s">
        <v>11</v>
      </c>
    </row>
    <row r="3149" spans="1:11" x14ac:dyDescent="0.3">
      <c r="A3149">
        <v>1089</v>
      </c>
      <c r="B3149">
        <v>2</v>
      </c>
      <c r="C3149">
        <v>30</v>
      </c>
      <c r="D3149">
        <v>2</v>
      </c>
      <c r="E3149" s="1">
        <v>999.99</v>
      </c>
      <c r="F3149" s="1">
        <v>0.05</v>
      </c>
      <c r="G3149">
        <v>1999.98</v>
      </c>
      <c r="H3149" s="22">
        <f>VLOOKUP(A3149,[1]Orders!$A$2:$B$1616,2,0)</f>
        <v>42970</v>
      </c>
      <c r="J3149" t="s">
        <v>47</v>
      </c>
      <c r="K3149" t="s">
        <v>11</v>
      </c>
    </row>
    <row r="3150" spans="1:11" x14ac:dyDescent="0.3">
      <c r="A3150">
        <v>1090</v>
      </c>
      <c r="B3150">
        <v>1</v>
      </c>
      <c r="C3150">
        <v>74</v>
      </c>
      <c r="D3150">
        <v>1</v>
      </c>
      <c r="E3150" s="1">
        <v>439.99</v>
      </c>
      <c r="F3150" s="1">
        <v>0.2</v>
      </c>
      <c r="G3150">
        <v>439.99</v>
      </c>
      <c r="H3150" s="22">
        <f>VLOOKUP(A3150,[1]Orders!$A$2:$B$1616,2,0)</f>
        <v>42971</v>
      </c>
      <c r="J3150" t="s">
        <v>61</v>
      </c>
      <c r="K3150" t="s">
        <v>11</v>
      </c>
    </row>
    <row r="3151" spans="1:11" x14ac:dyDescent="0.3">
      <c r="A3151">
        <v>1091</v>
      </c>
      <c r="B3151">
        <v>1</v>
      </c>
      <c r="C3151">
        <v>97</v>
      </c>
      <c r="D3151">
        <v>1</v>
      </c>
      <c r="E3151" s="1">
        <v>349.99</v>
      </c>
      <c r="F3151" s="1">
        <v>0.05</v>
      </c>
      <c r="G3151">
        <v>349.99</v>
      </c>
      <c r="H3151" s="22">
        <f>VLOOKUP(A3151,[1]Orders!$A$2:$B$1616,2,0)</f>
        <v>42971</v>
      </c>
      <c r="J3151" t="s">
        <v>55</v>
      </c>
      <c r="K3151" t="s">
        <v>18</v>
      </c>
    </row>
    <row r="3152" spans="1:11" x14ac:dyDescent="0.3">
      <c r="A3152">
        <v>1091</v>
      </c>
      <c r="B3152">
        <v>2</v>
      </c>
      <c r="C3152">
        <v>56</v>
      </c>
      <c r="D3152">
        <v>1</v>
      </c>
      <c r="E3152" s="1">
        <v>5499.99</v>
      </c>
      <c r="F3152" s="1">
        <v>0.1</v>
      </c>
      <c r="G3152">
        <v>5499.99</v>
      </c>
      <c r="H3152" s="22">
        <f>VLOOKUP(A3152,[1]Orders!$A$2:$B$1616,2,0)</f>
        <v>42971</v>
      </c>
      <c r="J3152" t="s">
        <v>41</v>
      </c>
      <c r="K3152" t="s">
        <v>18</v>
      </c>
    </row>
    <row r="3153" spans="1:11" x14ac:dyDescent="0.3">
      <c r="A3153">
        <v>1091</v>
      </c>
      <c r="B3153">
        <v>3</v>
      </c>
      <c r="C3153">
        <v>19</v>
      </c>
      <c r="D3153">
        <v>1</v>
      </c>
      <c r="E3153" s="1">
        <v>449</v>
      </c>
      <c r="F3153" s="1">
        <v>0.1</v>
      </c>
      <c r="G3153">
        <v>449</v>
      </c>
      <c r="H3153" s="22">
        <f>VLOOKUP(A3153,[1]Orders!$A$2:$B$1616,2,0)</f>
        <v>42971</v>
      </c>
      <c r="J3153" t="s">
        <v>36</v>
      </c>
      <c r="K3153" t="s">
        <v>18</v>
      </c>
    </row>
    <row r="3154" spans="1:11" x14ac:dyDescent="0.3">
      <c r="A3154">
        <v>1092</v>
      </c>
      <c r="B3154">
        <v>1</v>
      </c>
      <c r="C3154">
        <v>34</v>
      </c>
      <c r="D3154">
        <v>1</v>
      </c>
      <c r="E3154" s="1">
        <v>469.99</v>
      </c>
      <c r="F3154" s="1">
        <v>0.05</v>
      </c>
      <c r="G3154">
        <v>469.99</v>
      </c>
      <c r="H3154" s="22">
        <f>VLOOKUP(A3154,[1]Orders!$A$2:$B$1616,2,0)</f>
        <v>42972</v>
      </c>
      <c r="J3154" t="s">
        <v>107</v>
      </c>
      <c r="K3154" t="s">
        <v>11</v>
      </c>
    </row>
    <row r="3155" spans="1:11" x14ac:dyDescent="0.3">
      <c r="A3155">
        <v>1092</v>
      </c>
      <c r="B3155">
        <v>2</v>
      </c>
      <c r="C3155">
        <v>30</v>
      </c>
      <c r="D3155">
        <v>2</v>
      </c>
      <c r="E3155" s="1">
        <v>999.99</v>
      </c>
      <c r="F3155" s="1">
        <v>7.0000000000000007E-2</v>
      </c>
      <c r="G3155">
        <v>1999.98</v>
      </c>
      <c r="H3155" s="22">
        <f>VLOOKUP(A3155,[1]Orders!$A$2:$B$1616,2,0)</f>
        <v>42972</v>
      </c>
      <c r="J3155" t="s">
        <v>47</v>
      </c>
      <c r="K3155" t="s">
        <v>11</v>
      </c>
    </row>
    <row r="3156" spans="1:11" x14ac:dyDescent="0.3">
      <c r="A3156">
        <v>1092</v>
      </c>
      <c r="B3156">
        <v>3</v>
      </c>
      <c r="C3156">
        <v>2</v>
      </c>
      <c r="D3156">
        <v>2</v>
      </c>
      <c r="E3156" s="1">
        <v>749.99</v>
      </c>
      <c r="F3156" s="1">
        <v>0.1</v>
      </c>
      <c r="G3156">
        <v>1499.98</v>
      </c>
      <c r="H3156" s="22">
        <f>VLOOKUP(A3156,[1]Orders!$A$2:$B$1616,2,0)</f>
        <v>42972</v>
      </c>
      <c r="J3156" t="s">
        <v>22</v>
      </c>
      <c r="K3156" t="s">
        <v>11</v>
      </c>
    </row>
    <row r="3157" spans="1:11" x14ac:dyDescent="0.3">
      <c r="A3157">
        <v>1092</v>
      </c>
      <c r="B3157">
        <v>4</v>
      </c>
      <c r="C3157">
        <v>18</v>
      </c>
      <c r="D3157">
        <v>1</v>
      </c>
      <c r="E3157" s="1">
        <v>449</v>
      </c>
      <c r="F3157" s="1">
        <v>0.2</v>
      </c>
      <c r="G3157">
        <v>449</v>
      </c>
      <c r="H3157" s="22">
        <f>VLOOKUP(A3157,[1]Orders!$A$2:$B$1616,2,0)</f>
        <v>42972</v>
      </c>
      <c r="J3157" t="s">
        <v>24</v>
      </c>
      <c r="K3157" t="s">
        <v>11</v>
      </c>
    </row>
    <row r="3158" spans="1:11" x14ac:dyDescent="0.3">
      <c r="A3158">
        <v>1093</v>
      </c>
      <c r="B3158">
        <v>1</v>
      </c>
      <c r="C3158">
        <v>45</v>
      </c>
      <c r="D3158">
        <v>2</v>
      </c>
      <c r="E3158" s="1">
        <v>869.99</v>
      </c>
      <c r="F3158" s="1">
        <v>7.0000000000000007E-2</v>
      </c>
      <c r="G3158">
        <v>1739.98</v>
      </c>
      <c r="H3158" s="22">
        <f>VLOOKUP(A3158,[1]Orders!$A$2:$B$1616,2,0)</f>
        <v>42972</v>
      </c>
      <c r="J3158" t="s">
        <v>88</v>
      </c>
      <c r="K3158" t="s">
        <v>11</v>
      </c>
    </row>
    <row r="3159" spans="1:11" x14ac:dyDescent="0.3">
      <c r="A3159">
        <v>1093</v>
      </c>
      <c r="B3159">
        <v>2</v>
      </c>
      <c r="C3159">
        <v>17</v>
      </c>
      <c r="D3159">
        <v>2</v>
      </c>
      <c r="E3159" s="1">
        <v>429</v>
      </c>
      <c r="F3159" s="1">
        <v>0.1</v>
      </c>
      <c r="G3159">
        <v>858</v>
      </c>
      <c r="H3159" s="22">
        <f>VLOOKUP(A3159,[1]Orders!$A$2:$B$1616,2,0)</f>
        <v>42972</v>
      </c>
      <c r="J3159" t="s">
        <v>23</v>
      </c>
      <c r="K3159" t="s">
        <v>11</v>
      </c>
    </row>
    <row r="3160" spans="1:11" x14ac:dyDescent="0.3">
      <c r="A3160">
        <v>1093</v>
      </c>
      <c r="B3160">
        <v>3</v>
      </c>
      <c r="C3160">
        <v>90</v>
      </c>
      <c r="D3160">
        <v>2</v>
      </c>
      <c r="E3160" s="1">
        <v>209.99</v>
      </c>
      <c r="F3160" s="1">
        <v>0.1</v>
      </c>
      <c r="G3160">
        <v>419.98</v>
      </c>
      <c r="H3160" s="22">
        <f>VLOOKUP(A3160,[1]Orders!$A$2:$B$1616,2,0)</f>
        <v>42972</v>
      </c>
      <c r="J3160" t="s">
        <v>56</v>
      </c>
      <c r="K3160" t="s">
        <v>11</v>
      </c>
    </row>
    <row r="3161" spans="1:11" x14ac:dyDescent="0.3">
      <c r="A3161">
        <v>1094</v>
      </c>
      <c r="B3161">
        <v>1</v>
      </c>
      <c r="C3161">
        <v>71</v>
      </c>
      <c r="D3161">
        <v>1</v>
      </c>
      <c r="E3161" s="1">
        <v>416.99</v>
      </c>
      <c r="F3161" s="1">
        <v>0.1</v>
      </c>
      <c r="G3161">
        <v>416.99</v>
      </c>
      <c r="H3161" s="22">
        <f>VLOOKUP(A3161,[1]Orders!$A$2:$B$1616,2,0)</f>
        <v>42972</v>
      </c>
      <c r="J3161" t="s">
        <v>78</v>
      </c>
      <c r="K3161" t="s">
        <v>18</v>
      </c>
    </row>
    <row r="3162" spans="1:11" x14ac:dyDescent="0.3">
      <c r="A3162">
        <v>1094</v>
      </c>
      <c r="B3162">
        <v>2</v>
      </c>
      <c r="C3162">
        <v>11</v>
      </c>
      <c r="D3162">
        <v>1</v>
      </c>
      <c r="E3162" s="1">
        <v>1680.99</v>
      </c>
      <c r="F3162" s="1">
        <v>0.1</v>
      </c>
      <c r="G3162">
        <v>1680.99</v>
      </c>
      <c r="H3162" s="22">
        <f>VLOOKUP(A3162,[1]Orders!$A$2:$B$1616,2,0)</f>
        <v>42972</v>
      </c>
      <c r="J3162" t="s">
        <v>30</v>
      </c>
      <c r="K3162" t="s">
        <v>18</v>
      </c>
    </row>
    <row r="3163" spans="1:11" x14ac:dyDescent="0.3">
      <c r="A3163">
        <v>1094</v>
      </c>
      <c r="B3163">
        <v>3</v>
      </c>
      <c r="C3163">
        <v>24</v>
      </c>
      <c r="D3163">
        <v>1</v>
      </c>
      <c r="E3163" s="1">
        <v>549.99</v>
      </c>
      <c r="F3163" s="1">
        <v>0.1</v>
      </c>
      <c r="G3163">
        <v>549.99</v>
      </c>
      <c r="H3163" s="22">
        <f>VLOOKUP(A3163,[1]Orders!$A$2:$B$1616,2,0)</f>
        <v>42972</v>
      </c>
      <c r="J3163" t="s">
        <v>25</v>
      </c>
      <c r="K3163" t="s">
        <v>18</v>
      </c>
    </row>
    <row r="3164" spans="1:11" x14ac:dyDescent="0.3">
      <c r="A3164">
        <v>1094</v>
      </c>
      <c r="B3164">
        <v>4</v>
      </c>
      <c r="C3164">
        <v>107</v>
      </c>
      <c r="D3164">
        <v>1</v>
      </c>
      <c r="E3164" s="1">
        <v>416.99</v>
      </c>
      <c r="F3164" s="1">
        <v>0.2</v>
      </c>
      <c r="G3164">
        <v>416.99</v>
      </c>
      <c r="H3164" s="22">
        <f>VLOOKUP(A3164,[1]Orders!$A$2:$B$1616,2,0)</f>
        <v>42972</v>
      </c>
      <c r="J3164" t="s">
        <v>89</v>
      </c>
      <c r="K3164" t="s">
        <v>18</v>
      </c>
    </row>
    <row r="3165" spans="1:11" x14ac:dyDescent="0.3">
      <c r="A3165">
        <v>1095</v>
      </c>
      <c r="B3165">
        <v>1</v>
      </c>
      <c r="C3165">
        <v>78</v>
      </c>
      <c r="D3165">
        <v>2</v>
      </c>
      <c r="E3165" s="1">
        <v>647.99</v>
      </c>
      <c r="F3165" s="1">
        <v>0.05</v>
      </c>
      <c r="G3165">
        <v>1295.98</v>
      </c>
      <c r="H3165" s="22">
        <f>VLOOKUP(A3165,[1]Orders!$A$2:$B$1616,2,0)</f>
        <v>42973</v>
      </c>
      <c r="J3165" t="s">
        <v>57</v>
      </c>
      <c r="K3165" t="s">
        <v>37</v>
      </c>
    </row>
    <row r="3166" spans="1:11" x14ac:dyDescent="0.3">
      <c r="A3166">
        <v>1095</v>
      </c>
      <c r="B3166">
        <v>2</v>
      </c>
      <c r="C3166">
        <v>3</v>
      </c>
      <c r="D3166">
        <v>2</v>
      </c>
      <c r="E3166" s="1">
        <v>999.99</v>
      </c>
      <c r="F3166" s="1">
        <v>0.2</v>
      </c>
      <c r="G3166">
        <v>1999.98</v>
      </c>
      <c r="H3166" s="22">
        <f>VLOOKUP(A3166,[1]Orders!$A$2:$B$1616,2,0)</f>
        <v>42973</v>
      </c>
      <c r="J3166" t="s">
        <v>20</v>
      </c>
      <c r="K3166" t="s">
        <v>37</v>
      </c>
    </row>
    <row r="3167" spans="1:11" x14ac:dyDescent="0.3">
      <c r="A3167">
        <v>1095</v>
      </c>
      <c r="B3167">
        <v>3</v>
      </c>
      <c r="C3167">
        <v>15</v>
      </c>
      <c r="D3167">
        <v>2</v>
      </c>
      <c r="E3167" s="1">
        <v>529.99</v>
      </c>
      <c r="F3167" s="1">
        <v>0.1</v>
      </c>
      <c r="G3167">
        <v>1059.98</v>
      </c>
      <c r="H3167" s="22">
        <f>VLOOKUP(A3167,[1]Orders!$A$2:$B$1616,2,0)</f>
        <v>42973</v>
      </c>
      <c r="J3167" t="s">
        <v>27</v>
      </c>
      <c r="K3167" t="s">
        <v>37</v>
      </c>
    </row>
    <row r="3168" spans="1:11" x14ac:dyDescent="0.3">
      <c r="A3168">
        <v>1095</v>
      </c>
      <c r="B3168">
        <v>4</v>
      </c>
      <c r="C3168">
        <v>31</v>
      </c>
      <c r="D3168">
        <v>1</v>
      </c>
      <c r="E3168" s="1">
        <v>1632.99</v>
      </c>
      <c r="F3168" s="1">
        <v>0.2</v>
      </c>
      <c r="G3168">
        <v>1632.99</v>
      </c>
      <c r="H3168" s="22">
        <f>VLOOKUP(A3168,[1]Orders!$A$2:$B$1616,2,0)</f>
        <v>42973</v>
      </c>
      <c r="J3168" t="s">
        <v>102</v>
      </c>
      <c r="K3168" t="s">
        <v>37</v>
      </c>
    </row>
    <row r="3169" spans="1:11" x14ac:dyDescent="0.3">
      <c r="A3169">
        <v>1095</v>
      </c>
      <c r="B3169">
        <v>5</v>
      </c>
      <c r="C3169">
        <v>50</v>
      </c>
      <c r="D3169">
        <v>2</v>
      </c>
      <c r="E3169" s="1">
        <v>5999.99</v>
      </c>
      <c r="F3169" s="1">
        <v>0.05</v>
      </c>
      <c r="G3169">
        <v>11999.98</v>
      </c>
      <c r="H3169" s="22">
        <f>VLOOKUP(A3169,[1]Orders!$A$2:$B$1616,2,0)</f>
        <v>42973</v>
      </c>
      <c r="J3169" t="s">
        <v>79</v>
      </c>
      <c r="K3169" t="s">
        <v>37</v>
      </c>
    </row>
    <row r="3170" spans="1:11" x14ac:dyDescent="0.3">
      <c r="A3170">
        <v>1096</v>
      </c>
      <c r="B3170">
        <v>1</v>
      </c>
      <c r="C3170">
        <v>11</v>
      </c>
      <c r="D3170">
        <v>1</v>
      </c>
      <c r="E3170" s="1">
        <v>1680.99</v>
      </c>
      <c r="F3170" s="1">
        <v>0.1</v>
      </c>
      <c r="G3170">
        <v>1680.99</v>
      </c>
      <c r="H3170" s="22">
        <f>VLOOKUP(A3170,[1]Orders!$A$2:$B$1616,2,0)</f>
        <v>42974</v>
      </c>
      <c r="J3170" t="s">
        <v>30</v>
      </c>
      <c r="K3170" t="s">
        <v>11</v>
      </c>
    </row>
    <row r="3171" spans="1:11" x14ac:dyDescent="0.3">
      <c r="A3171">
        <v>1097</v>
      </c>
      <c r="B3171">
        <v>1</v>
      </c>
      <c r="C3171">
        <v>99</v>
      </c>
      <c r="D3171">
        <v>1</v>
      </c>
      <c r="E3171" s="1">
        <v>299.99</v>
      </c>
      <c r="F3171" s="1">
        <v>0.05</v>
      </c>
      <c r="G3171">
        <v>299.99</v>
      </c>
      <c r="H3171" s="22">
        <f>VLOOKUP(A3171,[1]Orders!$A$2:$B$1616,2,0)</f>
        <v>42974</v>
      </c>
      <c r="J3171" t="s">
        <v>52</v>
      </c>
      <c r="K3171" t="s">
        <v>18</v>
      </c>
    </row>
    <row r="3172" spans="1:11" x14ac:dyDescent="0.3">
      <c r="A3172">
        <v>1097</v>
      </c>
      <c r="B3172">
        <v>2</v>
      </c>
      <c r="C3172">
        <v>106</v>
      </c>
      <c r="D3172">
        <v>2</v>
      </c>
      <c r="E3172" s="1">
        <v>449.99</v>
      </c>
      <c r="F3172" s="1">
        <v>7.0000000000000007E-2</v>
      </c>
      <c r="G3172">
        <v>899.98</v>
      </c>
      <c r="H3172" s="22">
        <f>VLOOKUP(A3172,[1]Orders!$A$2:$B$1616,2,0)</f>
        <v>42974</v>
      </c>
      <c r="J3172" t="s">
        <v>39</v>
      </c>
      <c r="K3172" t="s">
        <v>18</v>
      </c>
    </row>
    <row r="3173" spans="1:11" x14ac:dyDescent="0.3">
      <c r="A3173">
        <v>1097</v>
      </c>
      <c r="B3173">
        <v>3</v>
      </c>
      <c r="C3173">
        <v>98</v>
      </c>
      <c r="D3173">
        <v>2</v>
      </c>
      <c r="E3173" s="1">
        <v>489.99</v>
      </c>
      <c r="F3173" s="1">
        <v>7.0000000000000007E-2</v>
      </c>
      <c r="G3173">
        <v>979.98</v>
      </c>
      <c r="H3173" s="22">
        <f>VLOOKUP(A3173,[1]Orders!$A$2:$B$1616,2,0)</f>
        <v>42974</v>
      </c>
      <c r="J3173" t="s">
        <v>82</v>
      </c>
      <c r="K3173" t="s">
        <v>18</v>
      </c>
    </row>
    <row r="3174" spans="1:11" x14ac:dyDescent="0.3">
      <c r="A3174">
        <v>1097</v>
      </c>
      <c r="B3174">
        <v>4</v>
      </c>
      <c r="C3174">
        <v>19</v>
      </c>
      <c r="D3174">
        <v>1</v>
      </c>
      <c r="E3174" s="1">
        <v>449</v>
      </c>
      <c r="F3174" s="1">
        <v>0.2</v>
      </c>
      <c r="G3174">
        <v>449</v>
      </c>
      <c r="H3174" s="22">
        <f>VLOOKUP(A3174,[1]Orders!$A$2:$B$1616,2,0)</f>
        <v>42974</v>
      </c>
      <c r="J3174" t="s">
        <v>36</v>
      </c>
      <c r="K3174" t="s">
        <v>18</v>
      </c>
    </row>
    <row r="3175" spans="1:11" x14ac:dyDescent="0.3">
      <c r="A3175">
        <v>1097</v>
      </c>
      <c r="B3175">
        <v>5</v>
      </c>
      <c r="C3175">
        <v>35</v>
      </c>
      <c r="D3175">
        <v>2</v>
      </c>
      <c r="E3175" s="1">
        <v>832.99</v>
      </c>
      <c r="F3175" s="1">
        <v>0.05</v>
      </c>
      <c r="G3175">
        <v>1665.98</v>
      </c>
      <c r="H3175" s="22">
        <f>VLOOKUP(A3175,[1]Orders!$A$2:$B$1616,2,0)</f>
        <v>42974</v>
      </c>
      <c r="J3175" t="s">
        <v>109</v>
      </c>
      <c r="K3175" t="s">
        <v>18</v>
      </c>
    </row>
    <row r="3176" spans="1:11" x14ac:dyDescent="0.3">
      <c r="A3176">
        <v>1098</v>
      </c>
      <c r="B3176">
        <v>1</v>
      </c>
      <c r="C3176">
        <v>88</v>
      </c>
      <c r="D3176">
        <v>1</v>
      </c>
      <c r="E3176" s="1">
        <v>189.99</v>
      </c>
      <c r="F3176" s="1">
        <v>0.1</v>
      </c>
      <c r="G3176">
        <v>189.99</v>
      </c>
      <c r="H3176" s="22">
        <f>VLOOKUP(A3176,[1]Orders!$A$2:$B$1616,2,0)</f>
        <v>42975</v>
      </c>
      <c r="J3176" t="s">
        <v>64</v>
      </c>
      <c r="K3176" t="s">
        <v>11</v>
      </c>
    </row>
    <row r="3177" spans="1:11" x14ac:dyDescent="0.3">
      <c r="A3177">
        <v>1099</v>
      </c>
      <c r="B3177">
        <v>1</v>
      </c>
      <c r="C3177">
        <v>64</v>
      </c>
      <c r="D3177">
        <v>1</v>
      </c>
      <c r="E3177" s="1">
        <v>489.99</v>
      </c>
      <c r="F3177" s="1">
        <v>0.1</v>
      </c>
      <c r="G3177">
        <v>489.99</v>
      </c>
      <c r="H3177" s="22">
        <f>VLOOKUP(A3177,[1]Orders!$A$2:$B$1616,2,0)</f>
        <v>42975</v>
      </c>
      <c r="J3177" t="s">
        <v>51</v>
      </c>
      <c r="K3177" t="s">
        <v>18</v>
      </c>
    </row>
    <row r="3178" spans="1:11" x14ac:dyDescent="0.3">
      <c r="A3178">
        <v>1099</v>
      </c>
      <c r="B3178">
        <v>2</v>
      </c>
      <c r="C3178">
        <v>13</v>
      </c>
      <c r="D3178">
        <v>2</v>
      </c>
      <c r="E3178" s="1">
        <v>269.99</v>
      </c>
      <c r="F3178" s="1">
        <v>0.05</v>
      </c>
      <c r="G3178">
        <v>539.98</v>
      </c>
      <c r="H3178" s="22">
        <f>VLOOKUP(A3178,[1]Orders!$A$2:$B$1616,2,0)</f>
        <v>42975</v>
      </c>
      <c r="J3178" t="s">
        <v>31</v>
      </c>
      <c r="K3178" t="s">
        <v>18</v>
      </c>
    </row>
    <row r="3179" spans="1:11" x14ac:dyDescent="0.3">
      <c r="A3179">
        <v>1099</v>
      </c>
      <c r="B3179">
        <v>3</v>
      </c>
      <c r="C3179">
        <v>46</v>
      </c>
      <c r="D3179">
        <v>1</v>
      </c>
      <c r="E3179" s="1">
        <v>1409.99</v>
      </c>
      <c r="F3179" s="1">
        <v>7.0000000000000007E-2</v>
      </c>
      <c r="G3179">
        <v>1409.99</v>
      </c>
      <c r="H3179" s="22">
        <f>VLOOKUP(A3179,[1]Orders!$A$2:$B$1616,2,0)</f>
        <v>42975</v>
      </c>
      <c r="J3179" t="s">
        <v>118</v>
      </c>
      <c r="K3179" t="s">
        <v>18</v>
      </c>
    </row>
    <row r="3180" spans="1:11" x14ac:dyDescent="0.3">
      <c r="A3180">
        <v>1099</v>
      </c>
      <c r="B3180">
        <v>4</v>
      </c>
      <c r="C3180">
        <v>89</v>
      </c>
      <c r="D3180">
        <v>2</v>
      </c>
      <c r="E3180" s="1">
        <v>209.99</v>
      </c>
      <c r="F3180" s="1">
        <v>0.1</v>
      </c>
      <c r="G3180">
        <v>419.98</v>
      </c>
      <c r="H3180" s="22">
        <f>VLOOKUP(A3180,[1]Orders!$A$2:$B$1616,2,0)</f>
        <v>42975</v>
      </c>
      <c r="J3180" t="s">
        <v>94</v>
      </c>
      <c r="K3180" t="s">
        <v>18</v>
      </c>
    </row>
    <row r="3181" spans="1:11" x14ac:dyDescent="0.3">
      <c r="A3181">
        <v>1100</v>
      </c>
      <c r="B3181">
        <v>1</v>
      </c>
      <c r="C3181">
        <v>12</v>
      </c>
      <c r="D3181">
        <v>1</v>
      </c>
      <c r="E3181" s="1">
        <v>549.99</v>
      </c>
      <c r="F3181" s="1">
        <v>0.05</v>
      </c>
      <c r="G3181">
        <v>549.99</v>
      </c>
      <c r="H3181" s="22">
        <f>VLOOKUP(A3181,[1]Orders!$A$2:$B$1616,2,0)</f>
        <v>42975</v>
      </c>
      <c r="J3181" t="s">
        <v>25</v>
      </c>
      <c r="K3181" t="s">
        <v>18</v>
      </c>
    </row>
    <row r="3182" spans="1:11" x14ac:dyDescent="0.3">
      <c r="A3182">
        <v>1100</v>
      </c>
      <c r="B3182">
        <v>2</v>
      </c>
      <c r="C3182">
        <v>9</v>
      </c>
      <c r="D3182">
        <v>2</v>
      </c>
      <c r="E3182" s="1">
        <v>2999.99</v>
      </c>
      <c r="F3182" s="1">
        <v>0.1</v>
      </c>
      <c r="G3182">
        <v>5999.98</v>
      </c>
      <c r="H3182" s="22">
        <f>VLOOKUP(A3182,[1]Orders!$A$2:$B$1616,2,0)</f>
        <v>42975</v>
      </c>
      <c r="J3182" t="s">
        <v>26</v>
      </c>
      <c r="K3182" t="s">
        <v>18</v>
      </c>
    </row>
    <row r="3183" spans="1:11" x14ac:dyDescent="0.3">
      <c r="A3183">
        <v>1101</v>
      </c>
      <c r="B3183">
        <v>1</v>
      </c>
      <c r="C3183">
        <v>105</v>
      </c>
      <c r="D3183">
        <v>1</v>
      </c>
      <c r="E3183" s="1">
        <v>533.99</v>
      </c>
      <c r="F3183" s="1">
        <v>7.0000000000000007E-2</v>
      </c>
      <c r="G3183">
        <v>533.99</v>
      </c>
      <c r="H3183" s="22">
        <f>VLOOKUP(A3183,[1]Orders!$A$2:$B$1616,2,0)</f>
        <v>42976</v>
      </c>
      <c r="J3183" t="s">
        <v>96</v>
      </c>
      <c r="K3183" t="s">
        <v>18</v>
      </c>
    </row>
    <row r="3184" spans="1:11" x14ac:dyDescent="0.3">
      <c r="A3184">
        <v>1101</v>
      </c>
      <c r="B3184">
        <v>2</v>
      </c>
      <c r="C3184">
        <v>51</v>
      </c>
      <c r="D3184">
        <v>1</v>
      </c>
      <c r="E3184" s="1">
        <v>6499.99</v>
      </c>
      <c r="F3184" s="1">
        <v>0.05</v>
      </c>
      <c r="G3184">
        <v>6499.99</v>
      </c>
      <c r="H3184" s="22">
        <f>VLOOKUP(A3184,[1]Orders!$A$2:$B$1616,2,0)</f>
        <v>42976</v>
      </c>
      <c r="J3184" t="s">
        <v>90</v>
      </c>
      <c r="K3184" t="s">
        <v>18</v>
      </c>
    </row>
    <row r="3185" spans="1:11" x14ac:dyDescent="0.3">
      <c r="A3185">
        <v>1102</v>
      </c>
      <c r="B3185">
        <v>1</v>
      </c>
      <c r="C3185">
        <v>91</v>
      </c>
      <c r="D3185">
        <v>1</v>
      </c>
      <c r="E3185" s="1">
        <v>349.99</v>
      </c>
      <c r="F3185" s="1">
        <v>7.0000000000000007E-2</v>
      </c>
      <c r="G3185">
        <v>349.99</v>
      </c>
      <c r="H3185" s="22">
        <f>VLOOKUP(A3185,[1]Orders!$A$2:$B$1616,2,0)</f>
        <v>42976</v>
      </c>
      <c r="J3185" t="s">
        <v>97</v>
      </c>
      <c r="K3185" t="s">
        <v>18</v>
      </c>
    </row>
    <row r="3186" spans="1:11" x14ac:dyDescent="0.3">
      <c r="A3186">
        <v>1103</v>
      </c>
      <c r="B3186">
        <v>1</v>
      </c>
      <c r="C3186">
        <v>106</v>
      </c>
      <c r="D3186">
        <v>1</v>
      </c>
      <c r="E3186" s="1">
        <v>449.99</v>
      </c>
      <c r="F3186" s="1">
        <v>0.2</v>
      </c>
      <c r="G3186">
        <v>449.99</v>
      </c>
      <c r="H3186" s="22">
        <f>VLOOKUP(A3186,[1]Orders!$A$2:$B$1616,2,0)</f>
        <v>42978</v>
      </c>
      <c r="J3186" t="s">
        <v>39</v>
      </c>
      <c r="K3186" t="s">
        <v>18</v>
      </c>
    </row>
    <row r="3187" spans="1:11" x14ac:dyDescent="0.3">
      <c r="A3187">
        <v>1103</v>
      </c>
      <c r="B3187">
        <v>2</v>
      </c>
      <c r="C3187">
        <v>46</v>
      </c>
      <c r="D3187">
        <v>2</v>
      </c>
      <c r="E3187" s="1">
        <v>1409.99</v>
      </c>
      <c r="F3187" s="1">
        <v>0.2</v>
      </c>
      <c r="G3187">
        <v>2819.98</v>
      </c>
      <c r="H3187" s="22">
        <f>VLOOKUP(A3187,[1]Orders!$A$2:$B$1616,2,0)</f>
        <v>42978</v>
      </c>
      <c r="J3187" t="s">
        <v>118</v>
      </c>
      <c r="K3187" t="s">
        <v>18</v>
      </c>
    </row>
    <row r="3188" spans="1:11" x14ac:dyDescent="0.3">
      <c r="A3188">
        <v>1104</v>
      </c>
      <c r="B3188">
        <v>1</v>
      </c>
      <c r="C3188">
        <v>17</v>
      </c>
      <c r="D3188">
        <v>1</v>
      </c>
      <c r="E3188" s="1">
        <v>429</v>
      </c>
      <c r="F3188" s="1">
        <v>0.1</v>
      </c>
      <c r="G3188">
        <v>429</v>
      </c>
      <c r="H3188" s="22">
        <f>VLOOKUP(A3188,[1]Orders!$A$2:$B$1616,2,0)</f>
        <v>42979</v>
      </c>
      <c r="J3188" t="s">
        <v>23</v>
      </c>
      <c r="K3188" t="s">
        <v>18</v>
      </c>
    </row>
    <row r="3189" spans="1:11" x14ac:dyDescent="0.3">
      <c r="A3189">
        <v>1104</v>
      </c>
      <c r="B3189">
        <v>2</v>
      </c>
      <c r="C3189">
        <v>70</v>
      </c>
      <c r="D3189">
        <v>2</v>
      </c>
      <c r="E3189" s="1">
        <v>659.99</v>
      </c>
      <c r="F3189" s="1">
        <v>0.1</v>
      </c>
      <c r="G3189">
        <v>1319.98</v>
      </c>
      <c r="H3189" s="22">
        <f>VLOOKUP(A3189,[1]Orders!$A$2:$B$1616,2,0)</f>
        <v>42979</v>
      </c>
      <c r="J3189" t="s">
        <v>73</v>
      </c>
      <c r="K3189" t="s">
        <v>18</v>
      </c>
    </row>
    <row r="3190" spans="1:11" x14ac:dyDescent="0.3">
      <c r="A3190">
        <v>1104</v>
      </c>
      <c r="B3190">
        <v>3</v>
      </c>
      <c r="C3190">
        <v>43</v>
      </c>
      <c r="D3190">
        <v>1</v>
      </c>
      <c r="E3190" s="1">
        <v>5299.99</v>
      </c>
      <c r="F3190" s="1">
        <v>7.0000000000000007E-2</v>
      </c>
      <c r="G3190">
        <v>5299.99</v>
      </c>
      <c r="H3190" s="22">
        <f>VLOOKUP(A3190,[1]Orders!$A$2:$B$1616,2,0)</f>
        <v>42979</v>
      </c>
      <c r="J3190" t="s">
        <v>62</v>
      </c>
      <c r="K3190" t="s">
        <v>18</v>
      </c>
    </row>
    <row r="3191" spans="1:11" x14ac:dyDescent="0.3">
      <c r="A3191">
        <v>1104</v>
      </c>
      <c r="B3191">
        <v>4</v>
      </c>
      <c r="C3191">
        <v>80</v>
      </c>
      <c r="D3191">
        <v>1</v>
      </c>
      <c r="E3191" s="1">
        <v>761.99</v>
      </c>
      <c r="F3191" s="1">
        <v>7.0000000000000007E-2</v>
      </c>
      <c r="G3191">
        <v>761.99</v>
      </c>
      <c r="H3191" s="22">
        <f>VLOOKUP(A3191,[1]Orders!$A$2:$B$1616,2,0)</f>
        <v>42979</v>
      </c>
      <c r="J3191" t="s">
        <v>63</v>
      </c>
      <c r="K3191" t="s">
        <v>18</v>
      </c>
    </row>
    <row r="3192" spans="1:11" x14ac:dyDescent="0.3">
      <c r="A3192">
        <v>1105</v>
      </c>
      <c r="B3192">
        <v>1</v>
      </c>
      <c r="C3192">
        <v>60</v>
      </c>
      <c r="D3192">
        <v>1</v>
      </c>
      <c r="E3192" s="1">
        <v>1559.99</v>
      </c>
      <c r="F3192" s="1">
        <v>0.05</v>
      </c>
      <c r="G3192">
        <v>1559.99</v>
      </c>
      <c r="H3192" s="22">
        <f>VLOOKUP(A3192,[1]Orders!$A$2:$B$1616,2,0)</f>
        <v>42979</v>
      </c>
      <c r="J3192" t="s">
        <v>101</v>
      </c>
      <c r="K3192" t="s">
        <v>37</v>
      </c>
    </row>
    <row r="3193" spans="1:11" x14ac:dyDescent="0.3">
      <c r="A3193">
        <v>1105</v>
      </c>
      <c r="B3193">
        <v>2</v>
      </c>
      <c r="C3193">
        <v>56</v>
      </c>
      <c r="D3193">
        <v>2</v>
      </c>
      <c r="E3193" s="1">
        <v>5499.99</v>
      </c>
      <c r="F3193" s="1">
        <v>0.2</v>
      </c>
      <c r="G3193">
        <v>10999.98</v>
      </c>
      <c r="H3193" s="22">
        <f>VLOOKUP(A3193,[1]Orders!$A$2:$B$1616,2,0)</f>
        <v>42979</v>
      </c>
      <c r="J3193" t="s">
        <v>41</v>
      </c>
      <c r="K3193" t="s">
        <v>37</v>
      </c>
    </row>
    <row r="3194" spans="1:11" x14ac:dyDescent="0.3">
      <c r="A3194">
        <v>1105</v>
      </c>
      <c r="B3194">
        <v>3</v>
      </c>
      <c r="C3194">
        <v>35</v>
      </c>
      <c r="D3194">
        <v>2</v>
      </c>
      <c r="E3194" s="1">
        <v>832.99</v>
      </c>
      <c r="F3194" s="1">
        <v>7.0000000000000007E-2</v>
      </c>
      <c r="G3194">
        <v>1665.98</v>
      </c>
      <c r="H3194" s="22">
        <f>VLOOKUP(A3194,[1]Orders!$A$2:$B$1616,2,0)</f>
        <v>42979</v>
      </c>
      <c r="J3194" t="s">
        <v>109</v>
      </c>
      <c r="K3194" t="s">
        <v>37</v>
      </c>
    </row>
    <row r="3195" spans="1:11" x14ac:dyDescent="0.3">
      <c r="A3195">
        <v>1106</v>
      </c>
      <c r="B3195">
        <v>1</v>
      </c>
      <c r="C3195">
        <v>96</v>
      </c>
      <c r="D3195">
        <v>1</v>
      </c>
      <c r="E3195" s="1">
        <v>349.99</v>
      </c>
      <c r="F3195" s="1">
        <v>0.1</v>
      </c>
      <c r="G3195">
        <v>349.99</v>
      </c>
      <c r="H3195" s="22">
        <f>VLOOKUP(A3195,[1]Orders!$A$2:$B$1616,2,0)</f>
        <v>42980</v>
      </c>
      <c r="J3195" t="s">
        <v>91</v>
      </c>
      <c r="K3195" t="s">
        <v>18</v>
      </c>
    </row>
    <row r="3196" spans="1:11" x14ac:dyDescent="0.3">
      <c r="A3196">
        <v>1107</v>
      </c>
      <c r="B3196">
        <v>1</v>
      </c>
      <c r="C3196">
        <v>43</v>
      </c>
      <c r="D3196">
        <v>1</v>
      </c>
      <c r="E3196" s="1">
        <v>5299.99</v>
      </c>
      <c r="F3196" s="1">
        <v>0.2</v>
      </c>
      <c r="G3196">
        <v>5299.99</v>
      </c>
      <c r="H3196" s="22">
        <f>VLOOKUP(A3196,[1]Orders!$A$2:$B$1616,2,0)</f>
        <v>42980</v>
      </c>
      <c r="J3196" t="s">
        <v>62</v>
      </c>
      <c r="K3196" t="s">
        <v>18</v>
      </c>
    </row>
    <row r="3197" spans="1:11" x14ac:dyDescent="0.3">
      <c r="A3197">
        <v>1107</v>
      </c>
      <c r="B3197">
        <v>2</v>
      </c>
      <c r="C3197">
        <v>41</v>
      </c>
      <c r="D3197">
        <v>2</v>
      </c>
      <c r="E3197" s="1">
        <v>1469.99</v>
      </c>
      <c r="F3197" s="1">
        <v>0.2</v>
      </c>
      <c r="G3197">
        <v>2939.98</v>
      </c>
      <c r="H3197" s="22">
        <f>VLOOKUP(A3197,[1]Orders!$A$2:$B$1616,2,0)</f>
        <v>42980</v>
      </c>
      <c r="J3197" t="s">
        <v>77</v>
      </c>
      <c r="K3197" t="s">
        <v>18</v>
      </c>
    </row>
    <row r="3198" spans="1:11" x14ac:dyDescent="0.3">
      <c r="A3198">
        <v>1108</v>
      </c>
      <c r="B3198">
        <v>1</v>
      </c>
      <c r="C3198">
        <v>45</v>
      </c>
      <c r="D3198">
        <v>2</v>
      </c>
      <c r="E3198" s="1">
        <v>869.99</v>
      </c>
      <c r="F3198" s="1">
        <v>0.05</v>
      </c>
      <c r="G3198">
        <v>1739.98</v>
      </c>
      <c r="H3198" s="22">
        <f>VLOOKUP(A3198,[1]Orders!$A$2:$B$1616,2,0)</f>
        <v>42981</v>
      </c>
      <c r="J3198" t="s">
        <v>88</v>
      </c>
      <c r="K3198" t="s">
        <v>11</v>
      </c>
    </row>
    <row r="3199" spans="1:11" x14ac:dyDescent="0.3">
      <c r="A3199">
        <v>1108</v>
      </c>
      <c r="B3199">
        <v>2</v>
      </c>
      <c r="C3199">
        <v>100</v>
      </c>
      <c r="D3199">
        <v>1</v>
      </c>
      <c r="E3199" s="1">
        <v>489.99</v>
      </c>
      <c r="F3199" s="1">
        <v>7.0000000000000007E-2</v>
      </c>
      <c r="G3199">
        <v>489.99</v>
      </c>
      <c r="H3199" s="22">
        <f>VLOOKUP(A3199,[1]Orders!$A$2:$B$1616,2,0)</f>
        <v>42981</v>
      </c>
      <c r="J3199" t="s">
        <v>105</v>
      </c>
      <c r="K3199" t="s">
        <v>11</v>
      </c>
    </row>
    <row r="3200" spans="1:11" x14ac:dyDescent="0.3">
      <c r="A3200">
        <v>1108</v>
      </c>
      <c r="B3200">
        <v>3</v>
      </c>
      <c r="C3200">
        <v>105</v>
      </c>
      <c r="D3200">
        <v>1</v>
      </c>
      <c r="E3200" s="1">
        <v>533.99</v>
      </c>
      <c r="F3200" s="1">
        <v>7.0000000000000007E-2</v>
      </c>
      <c r="G3200">
        <v>533.99</v>
      </c>
      <c r="H3200" s="22">
        <f>VLOOKUP(A3200,[1]Orders!$A$2:$B$1616,2,0)</f>
        <v>42981</v>
      </c>
      <c r="J3200" t="s">
        <v>96</v>
      </c>
      <c r="K3200" t="s">
        <v>11</v>
      </c>
    </row>
    <row r="3201" spans="1:11" x14ac:dyDescent="0.3">
      <c r="A3201">
        <v>1109</v>
      </c>
      <c r="B3201">
        <v>1</v>
      </c>
      <c r="C3201">
        <v>72</v>
      </c>
      <c r="D3201">
        <v>2</v>
      </c>
      <c r="E3201" s="1">
        <v>619.99</v>
      </c>
      <c r="F3201" s="1">
        <v>0.1</v>
      </c>
      <c r="G3201">
        <v>1239.98</v>
      </c>
      <c r="H3201" s="22">
        <f>VLOOKUP(A3201,[1]Orders!$A$2:$B$1616,2,0)</f>
        <v>42981</v>
      </c>
      <c r="J3201" t="s">
        <v>44</v>
      </c>
      <c r="K3201" t="s">
        <v>18</v>
      </c>
    </row>
    <row r="3202" spans="1:11" x14ac:dyDescent="0.3">
      <c r="A3202">
        <v>1110</v>
      </c>
      <c r="B3202">
        <v>1</v>
      </c>
      <c r="C3202">
        <v>56</v>
      </c>
      <c r="D3202">
        <v>1</v>
      </c>
      <c r="E3202" s="1">
        <v>5499.99</v>
      </c>
      <c r="F3202" s="1">
        <v>0.1</v>
      </c>
      <c r="G3202">
        <v>5499.99</v>
      </c>
      <c r="H3202" s="22">
        <f>VLOOKUP(A3202,[1]Orders!$A$2:$B$1616,2,0)</f>
        <v>42982</v>
      </c>
      <c r="J3202" t="s">
        <v>41</v>
      </c>
      <c r="K3202" t="s">
        <v>18</v>
      </c>
    </row>
    <row r="3203" spans="1:11" x14ac:dyDescent="0.3">
      <c r="A3203">
        <v>1111</v>
      </c>
      <c r="B3203">
        <v>1</v>
      </c>
      <c r="C3203">
        <v>95</v>
      </c>
      <c r="D3203">
        <v>1</v>
      </c>
      <c r="E3203" s="1">
        <v>299.99</v>
      </c>
      <c r="F3203" s="1">
        <v>0.05</v>
      </c>
      <c r="G3203">
        <v>299.99</v>
      </c>
      <c r="H3203" s="22">
        <f>VLOOKUP(A3203,[1]Orders!$A$2:$B$1616,2,0)</f>
        <v>42982</v>
      </c>
      <c r="J3203" t="s">
        <v>48</v>
      </c>
      <c r="K3203" t="s">
        <v>18</v>
      </c>
    </row>
    <row r="3204" spans="1:11" x14ac:dyDescent="0.3">
      <c r="A3204">
        <v>1111</v>
      </c>
      <c r="B3204">
        <v>2</v>
      </c>
      <c r="C3204">
        <v>66</v>
      </c>
      <c r="D3204">
        <v>2</v>
      </c>
      <c r="E3204" s="1">
        <v>250.99</v>
      </c>
      <c r="F3204" s="1">
        <v>0.1</v>
      </c>
      <c r="G3204">
        <v>501.98</v>
      </c>
      <c r="H3204" s="22">
        <f>VLOOKUP(A3204,[1]Orders!$A$2:$B$1616,2,0)</f>
        <v>42982</v>
      </c>
      <c r="J3204" t="s">
        <v>92</v>
      </c>
      <c r="K3204" t="s">
        <v>18</v>
      </c>
    </row>
    <row r="3205" spans="1:11" x14ac:dyDescent="0.3">
      <c r="A3205">
        <v>1111</v>
      </c>
      <c r="B3205">
        <v>3</v>
      </c>
      <c r="C3205">
        <v>14</v>
      </c>
      <c r="D3205">
        <v>1</v>
      </c>
      <c r="E3205" s="1">
        <v>269.99</v>
      </c>
      <c r="F3205" s="1">
        <v>0.2</v>
      </c>
      <c r="G3205">
        <v>269.99</v>
      </c>
      <c r="H3205" s="22">
        <f>VLOOKUP(A3205,[1]Orders!$A$2:$B$1616,2,0)</f>
        <v>42982</v>
      </c>
      <c r="J3205" t="s">
        <v>28</v>
      </c>
      <c r="K3205" t="s">
        <v>18</v>
      </c>
    </row>
    <row r="3206" spans="1:11" x14ac:dyDescent="0.3">
      <c r="A3206">
        <v>1111</v>
      </c>
      <c r="B3206">
        <v>4</v>
      </c>
      <c r="C3206">
        <v>24</v>
      </c>
      <c r="D3206">
        <v>1</v>
      </c>
      <c r="E3206" s="1">
        <v>549.99</v>
      </c>
      <c r="F3206" s="1">
        <v>7.0000000000000007E-2</v>
      </c>
      <c r="G3206">
        <v>549.99</v>
      </c>
      <c r="H3206" s="22">
        <f>VLOOKUP(A3206,[1]Orders!$A$2:$B$1616,2,0)</f>
        <v>42982</v>
      </c>
      <c r="J3206" t="s">
        <v>25</v>
      </c>
      <c r="K3206" t="s">
        <v>18</v>
      </c>
    </row>
    <row r="3207" spans="1:11" x14ac:dyDescent="0.3">
      <c r="A3207">
        <v>1112</v>
      </c>
      <c r="B3207">
        <v>1</v>
      </c>
      <c r="C3207">
        <v>71</v>
      </c>
      <c r="D3207">
        <v>2</v>
      </c>
      <c r="E3207" s="1">
        <v>416.99</v>
      </c>
      <c r="F3207" s="1">
        <v>0.05</v>
      </c>
      <c r="G3207">
        <v>833.98</v>
      </c>
      <c r="H3207" s="22">
        <f>VLOOKUP(A3207,[1]Orders!$A$2:$B$1616,2,0)</f>
        <v>42983</v>
      </c>
      <c r="J3207" t="s">
        <v>78</v>
      </c>
      <c r="K3207" t="s">
        <v>18</v>
      </c>
    </row>
    <row r="3208" spans="1:11" x14ac:dyDescent="0.3">
      <c r="A3208">
        <v>1112</v>
      </c>
      <c r="B3208">
        <v>2</v>
      </c>
      <c r="C3208">
        <v>42</v>
      </c>
      <c r="D3208">
        <v>1</v>
      </c>
      <c r="E3208" s="1">
        <v>2299.9899999999998</v>
      </c>
      <c r="F3208" s="1">
        <v>7.0000000000000007E-2</v>
      </c>
      <c r="G3208">
        <v>2299.9899999999998</v>
      </c>
      <c r="H3208" s="22">
        <f>VLOOKUP(A3208,[1]Orders!$A$2:$B$1616,2,0)</f>
        <v>42983</v>
      </c>
      <c r="J3208" t="s">
        <v>53</v>
      </c>
      <c r="K3208" t="s">
        <v>18</v>
      </c>
    </row>
    <row r="3209" spans="1:11" x14ac:dyDescent="0.3">
      <c r="A3209">
        <v>1112</v>
      </c>
      <c r="B3209">
        <v>3</v>
      </c>
      <c r="C3209">
        <v>5</v>
      </c>
      <c r="D3209">
        <v>2</v>
      </c>
      <c r="E3209" s="1">
        <v>1320.99</v>
      </c>
      <c r="F3209" s="1">
        <v>0.1</v>
      </c>
      <c r="G3209">
        <v>2641.98</v>
      </c>
      <c r="H3209" s="22">
        <f>VLOOKUP(A3209,[1]Orders!$A$2:$B$1616,2,0)</f>
        <v>42983</v>
      </c>
      <c r="J3209" t="s">
        <v>34</v>
      </c>
      <c r="K3209" t="s">
        <v>18</v>
      </c>
    </row>
    <row r="3210" spans="1:11" x14ac:dyDescent="0.3">
      <c r="A3210">
        <v>1112</v>
      </c>
      <c r="B3210">
        <v>4</v>
      </c>
      <c r="C3210">
        <v>87</v>
      </c>
      <c r="D3210">
        <v>2</v>
      </c>
      <c r="E3210" s="1">
        <v>189.99</v>
      </c>
      <c r="F3210" s="1">
        <v>7.0000000000000007E-2</v>
      </c>
      <c r="G3210">
        <v>379.98</v>
      </c>
      <c r="H3210" s="22">
        <f>VLOOKUP(A3210,[1]Orders!$A$2:$B$1616,2,0)</f>
        <v>42983</v>
      </c>
      <c r="J3210" t="s">
        <v>117</v>
      </c>
      <c r="K3210" t="s">
        <v>18</v>
      </c>
    </row>
    <row r="3211" spans="1:11" x14ac:dyDescent="0.3">
      <c r="A3211">
        <v>1112</v>
      </c>
      <c r="B3211">
        <v>5</v>
      </c>
      <c r="C3211">
        <v>9</v>
      </c>
      <c r="D3211">
        <v>2</v>
      </c>
      <c r="E3211" s="1">
        <v>2999.99</v>
      </c>
      <c r="F3211" s="1">
        <v>0.1</v>
      </c>
      <c r="G3211">
        <v>5999.98</v>
      </c>
      <c r="H3211" s="22">
        <f>VLOOKUP(A3211,[1]Orders!$A$2:$B$1616,2,0)</f>
        <v>42983</v>
      </c>
      <c r="J3211" t="s">
        <v>26</v>
      </c>
      <c r="K3211" t="s">
        <v>18</v>
      </c>
    </row>
    <row r="3212" spans="1:11" x14ac:dyDescent="0.3">
      <c r="A3212">
        <v>1113</v>
      </c>
      <c r="B3212">
        <v>1</v>
      </c>
      <c r="C3212">
        <v>106</v>
      </c>
      <c r="D3212">
        <v>1</v>
      </c>
      <c r="E3212" s="1">
        <v>449.99</v>
      </c>
      <c r="F3212" s="1">
        <v>7.0000000000000007E-2</v>
      </c>
      <c r="G3212">
        <v>449.99</v>
      </c>
      <c r="H3212" s="22">
        <f>VLOOKUP(A3212,[1]Orders!$A$2:$B$1616,2,0)</f>
        <v>42984</v>
      </c>
      <c r="J3212" t="s">
        <v>39</v>
      </c>
      <c r="K3212" t="s">
        <v>18</v>
      </c>
    </row>
    <row r="3213" spans="1:11" x14ac:dyDescent="0.3">
      <c r="A3213">
        <v>1114</v>
      </c>
      <c r="B3213">
        <v>1</v>
      </c>
      <c r="C3213">
        <v>52</v>
      </c>
      <c r="D3213">
        <v>1</v>
      </c>
      <c r="E3213" s="1">
        <v>875.99</v>
      </c>
      <c r="F3213" s="1">
        <v>0.2</v>
      </c>
      <c r="G3213">
        <v>875.99</v>
      </c>
      <c r="H3213" s="22">
        <f>VLOOKUP(A3213,[1]Orders!$A$2:$B$1616,2,0)</f>
        <v>42984</v>
      </c>
      <c r="J3213" t="s">
        <v>68</v>
      </c>
      <c r="K3213" t="s">
        <v>18</v>
      </c>
    </row>
    <row r="3214" spans="1:11" x14ac:dyDescent="0.3">
      <c r="A3214">
        <v>1115</v>
      </c>
      <c r="B3214">
        <v>1</v>
      </c>
      <c r="C3214">
        <v>97</v>
      </c>
      <c r="D3214">
        <v>2</v>
      </c>
      <c r="E3214" s="1">
        <v>349.99</v>
      </c>
      <c r="F3214" s="1">
        <v>0.2</v>
      </c>
      <c r="G3214">
        <v>699.98</v>
      </c>
      <c r="H3214" s="22">
        <f>VLOOKUP(A3214,[1]Orders!$A$2:$B$1616,2,0)</f>
        <v>42985</v>
      </c>
      <c r="J3214" t="s">
        <v>55</v>
      </c>
      <c r="K3214" t="s">
        <v>18</v>
      </c>
    </row>
    <row r="3215" spans="1:11" x14ac:dyDescent="0.3">
      <c r="A3215">
        <v>1115</v>
      </c>
      <c r="B3215">
        <v>2</v>
      </c>
      <c r="C3215">
        <v>50</v>
      </c>
      <c r="D3215">
        <v>2</v>
      </c>
      <c r="E3215" s="1">
        <v>5999.99</v>
      </c>
      <c r="F3215" s="1">
        <v>7.0000000000000007E-2</v>
      </c>
      <c r="G3215">
        <v>11999.98</v>
      </c>
      <c r="H3215" s="22">
        <f>VLOOKUP(A3215,[1]Orders!$A$2:$B$1616,2,0)</f>
        <v>42985</v>
      </c>
      <c r="J3215" t="s">
        <v>79</v>
      </c>
      <c r="K3215" t="s">
        <v>18</v>
      </c>
    </row>
    <row r="3216" spans="1:11" x14ac:dyDescent="0.3">
      <c r="A3216">
        <v>1115</v>
      </c>
      <c r="B3216">
        <v>3</v>
      </c>
      <c r="C3216">
        <v>91</v>
      </c>
      <c r="D3216">
        <v>2</v>
      </c>
      <c r="E3216" s="1">
        <v>349.99</v>
      </c>
      <c r="F3216" s="1">
        <v>7.0000000000000007E-2</v>
      </c>
      <c r="G3216">
        <v>699.98</v>
      </c>
      <c r="H3216" s="22">
        <f>VLOOKUP(A3216,[1]Orders!$A$2:$B$1616,2,0)</f>
        <v>42985</v>
      </c>
      <c r="J3216" t="s">
        <v>97</v>
      </c>
      <c r="K3216" t="s">
        <v>18</v>
      </c>
    </row>
    <row r="3217" spans="1:11" x14ac:dyDescent="0.3">
      <c r="A3217">
        <v>1115</v>
      </c>
      <c r="B3217">
        <v>4</v>
      </c>
      <c r="C3217">
        <v>49</v>
      </c>
      <c r="D3217">
        <v>2</v>
      </c>
      <c r="E3217" s="1">
        <v>3499.99</v>
      </c>
      <c r="F3217" s="1">
        <v>0.1</v>
      </c>
      <c r="G3217">
        <v>6999.98</v>
      </c>
      <c r="H3217" s="22">
        <f>VLOOKUP(A3217,[1]Orders!$A$2:$B$1616,2,0)</f>
        <v>42985</v>
      </c>
      <c r="J3217" t="s">
        <v>70</v>
      </c>
      <c r="K3217" t="s">
        <v>18</v>
      </c>
    </row>
    <row r="3218" spans="1:11" x14ac:dyDescent="0.3">
      <c r="A3218">
        <v>1116</v>
      </c>
      <c r="B3218">
        <v>1</v>
      </c>
      <c r="C3218">
        <v>11</v>
      </c>
      <c r="D3218">
        <v>2</v>
      </c>
      <c r="E3218" s="1">
        <v>1680.99</v>
      </c>
      <c r="F3218" s="1">
        <v>7.0000000000000007E-2</v>
      </c>
      <c r="G3218">
        <v>3361.98</v>
      </c>
      <c r="H3218" s="22">
        <f>VLOOKUP(A3218,[1]Orders!$A$2:$B$1616,2,0)</f>
        <v>42986</v>
      </c>
      <c r="J3218" t="s">
        <v>30</v>
      </c>
      <c r="K3218" t="s">
        <v>18</v>
      </c>
    </row>
    <row r="3219" spans="1:11" x14ac:dyDescent="0.3">
      <c r="A3219">
        <v>1117</v>
      </c>
      <c r="B3219">
        <v>1</v>
      </c>
      <c r="C3219">
        <v>37</v>
      </c>
      <c r="D3219">
        <v>2</v>
      </c>
      <c r="E3219" s="1">
        <v>379.99</v>
      </c>
      <c r="F3219" s="1">
        <v>0.1</v>
      </c>
      <c r="G3219">
        <v>759.98</v>
      </c>
      <c r="H3219" s="22">
        <f>VLOOKUP(A3219,[1]Orders!$A$2:$B$1616,2,0)</f>
        <v>42986</v>
      </c>
      <c r="J3219" t="s">
        <v>98</v>
      </c>
      <c r="K3219" t="s">
        <v>18</v>
      </c>
    </row>
    <row r="3220" spans="1:11" x14ac:dyDescent="0.3">
      <c r="A3220">
        <v>1117</v>
      </c>
      <c r="B3220">
        <v>2</v>
      </c>
      <c r="C3220">
        <v>91</v>
      </c>
      <c r="D3220">
        <v>1</v>
      </c>
      <c r="E3220" s="1">
        <v>349.99</v>
      </c>
      <c r="F3220" s="1">
        <v>0.2</v>
      </c>
      <c r="G3220">
        <v>349.99</v>
      </c>
      <c r="H3220" s="22">
        <f>VLOOKUP(A3220,[1]Orders!$A$2:$B$1616,2,0)</f>
        <v>42986</v>
      </c>
      <c r="J3220" t="s">
        <v>97</v>
      </c>
      <c r="K3220" t="s">
        <v>18</v>
      </c>
    </row>
    <row r="3221" spans="1:11" x14ac:dyDescent="0.3">
      <c r="A3221">
        <v>1117</v>
      </c>
      <c r="B3221">
        <v>3</v>
      </c>
      <c r="C3221">
        <v>51</v>
      </c>
      <c r="D3221">
        <v>2</v>
      </c>
      <c r="E3221" s="1">
        <v>6499.99</v>
      </c>
      <c r="F3221" s="1">
        <v>0.1</v>
      </c>
      <c r="G3221">
        <v>12999.98</v>
      </c>
      <c r="H3221" s="22">
        <f>VLOOKUP(A3221,[1]Orders!$A$2:$B$1616,2,0)</f>
        <v>42986</v>
      </c>
      <c r="J3221" t="s">
        <v>90</v>
      </c>
      <c r="K3221" t="s">
        <v>18</v>
      </c>
    </row>
    <row r="3222" spans="1:11" x14ac:dyDescent="0.3">
      <c r="A3222">
        <v>1118</v>
      </c>
      <c r="B3222">
        <v>1</v>
      </c>
      <c r="C3222">
        <v>55</v>
      </c>
      <c r="D3222">
        <v>2</v>
      </c>
      <c r="E3222" s="1">
        <v>2699.99</v>
      </c>
      <c r="F3222" s="1">
        <v>0.2</v>
      </c>
      <c r="G3222">
        <v>5399.98</v>
      </c>
      <c r="H3222" s="22">
        <f>VLOOKUP(A3222,[1]Orders!$A$2:$B$1616,2,0)</f>
        <v>42986</v>
      </c>
      <c r="J3222" t="s">
        <v>76</v>
      </c>
      <c r="K3222" t="s">
        <v>18</v>
      </c>
    </row>
    <row r="3223" spans="1:11" x14ac:dyDescent="0.3">
      <c r="A3223">
        <v>1118</v>
      </c>
      <c r="B3223">
        <v>2</v>
      </c>
      <c r="C3223">
        <v>50</v>
      </c>
      <c r="D3223">
        <v>1</v>
      </c>
      <c r="E3223" s="1">
        <v>5999.99</v>
      </c>
      <c r="F3223" s="1">
        <v>7.0000000000000007E-2</v>
      </c>
      <c r="G3223">
        <v>5999.99</v>
      </c>
      <c r="H3223" s="22">
        <f>VLOOKUP(A3223,[1]Orders!$A$2:$B$1616,2,0)</f>
        <v>42986</v>
      </c>
      <c r="J3223" t="s">
        <v>79</v>
      </c>
      <c r="K3223" t="s">
        <v>18</v>
      </c>
    </row>
    <row r="3224" spans="1:11" x14ac:dyDescent="0.3">
      <c r="A3224">
        <v>1118</v>
      </c>
      <c r="B3224">
        <v>3</v>
      </c>
      <c r="C3224">
        <v>29</v>
      </c>
      <c r="D3224">
        <v>1</v>
      </c>
      <c r="E3224" s="1">
        <v>999.99</v>
      </c>
      <c r="F3224" s="1">
        <v>0.05</v>
      </c>
      <c r="G3224">
        <v>999.99</v>
      </c>
      <c r="H3224" s="22">
        <f>VLOOKUP(A3224,[1]Orders!$A$2:$B$1616,2,0)</f>
        <v>42986</v>
      </c>
      <c r="J3224" t="s">
        <v>71</v>
      </c>
      <c r="K3224" t="s">
        <v>18</v>
      </c>
    </row>
    <row r="3225" spans="1:11" x14ac:dyDescent="0.3">
      <c r="A3225">
        <v>1118</v>
      </c>
      <c r="B3225">
        <v>4</v>
      </c>
      <c r="C3225">
        <v>47</v>
      </c>
      <c r="D3225">
        <v>2</v>
      </c>
      <c r="E3225" s="1">
        <v>5299.99</v>
      </c>
      <c r="F3225" s="1">
        <v>0.2</v>
      </c>
      <c r="G3225">
        <v>10599.98</v>
      </c>
      <c r="H3225" s="22">
        <f>VLOOKUP(A3225,[1]Orders!$A$2:$B$1616,2,0)</f>
        <v>42986</v>
      </c>
      <c r="J3225" t="s">
        <v>54</v>
      </c>
      <c r="K3225" t="s">
        <v>18</v>
      </c>
    </row>
    <row r="3226" spans="1:11" x14ac:dyDescent="0.3">
      <c r="A3226">
        <v>1119</v>
      </c>
      <c r="B3226">
        <v>1</v>
      </c>
      <c r="C3226">
        <v>93</v>
      </c>
      <c r="D3226">
        <v>2</v>
      </c>
      <c r="E3226" s="1">
        <v>209.99</v>
      </c>
      <c r="F3226" s="1">
        <v>0.1</v>
      </c>
      <c r="G3226">
        <v>419.98</v>
      </c>
      <c r="H3226" s="22">
        <f>VLOOKUP(A3226,[1]Orders!$A$2:$B$1616,2,0)</f>
        <v>42988</v>
      </c>
      <c r="J3226" t="s">
        <v>110</v>
      </c>
      <c r="K3226" t="s">
        <v>11</v>
      </c>
    </row>
    <row r="3227" spans="1:11" x14ac:dyDescent="0.3">
      <c r="A3227">
        <v>1119</v>
      </c>
      <c r="B3227">
        <v>2</v>
      </c>
      <c r="C3227">
        <v>55</v>
      </c>
      <c r="D3227">
        <v>2</v>
      </c>
      <c r="E3227" s="1">
        <v>2699.99</v>
      </c>
      <c r="F3227" s="1">
        <v>0.05</v>
      </c>
      <c r="G3227">
        <v>5399.98</v>
      </c>
      <c r="H3227" s="22">
        <f>VLOOKUP(A3227,[1]Orders!$A$2:$B$1616,2,0)</f>
        <v>42988</v>
      </c>
      <c r="J3227" t="s">
        <v>76</v>
      </c>
      <c r="K3227" t="s">
        <v>11</v>
      </c>
    </row>
    <row r="3228" spans="1:11" x14ac:dyDescent="0.3">
      <c r="A3228">
        <v>1119</v>
      </c>
      <c r="B3228">
        <v>3</v>
      </c>
      <c r="C3228">
        <v>104</v>
      </c>
      <c r="D3228">
        <v>1</v>
      </c>
      <c r="E3228" s="1">
        <v>481.99</v>
      </c>
      <c r="F3228" s="1">
        <v>0.2</v>
      </c>
      <c r="G3228">
        <v>481.99</v>
      </c>
      <c r="H3228" s="22">
        <f>VLOOKUP(A3228,[1]Orders!$A$2:$B$1616,2,0)</f>
        <v>42988</v>
      </c>
      <c r="J3228" t="s">
        <v>87</v>
      </c>
      <c r="K3228" t="s">
        <v>11</v>
      </c>
    </row>
    <row r="3229" spans="1:11" x14ac:dyDescent="0.3">
      <c r="A3229">
        <v>1120</v>
      </c>
      <c r="B3229">
        <v>1</v>
      </c>
      <c r="C3229">
        <v>92</v>
      </c>
      <c r="D3229">
        <v>2</v>
      </c>
      <c r="E3229" s="1">
        <v>209.99</v>
      </c>
      <c r="F3229" s="1">
        <v>7.0000000000000007E-2</v>
      </c>
      <c r="G3229">
        <v>419.98</v>
      </c>
      <c r="H3229" s="22">
        <f>VLOOKUP(A3229,[1]Orders!$A$2:$B$1616,2,0)</f>
        <v>42988</v>
      </c>
      <c r="J3229" t="s">
        <v>111</v>
      </c>
      <c r="K3229" t="s">
        <v>18</v>
      </c>
    </row>
    <row r="3230" spans="1:11" x14ac:dyDescent="0.3">
      <c r="A3230">
        <v>1120</v>
      </c>
      <c r="B3230">
        <v>2</v>
      </c>
      <c r="C3230">
        <v>31</v>
      </c>
      <c r="D3230">
        <v>1</v>
      </c>
      <c r="E3230" s="1">
        <v>1632.99</v>
      </c>
      <c r="F3230" s="1">
        <v>7.0000000000000007E-2</v>
      </c>
      <c r="G3230">
        <v>1632.99</v>
      </c>
      <c r="H3230" s="22">
        <f>VLOOKUP(A3230,[1]Orders!$A$2:$B$1616,2,0)</f>
        <v>42988</v>
      </c>
      <c r="J3230" t="s">
        <v>102</v>
      </c>
      <c r="K3230" t="s">
        <v>18</v>
      </c>
    </row>
    <row r="3231" spans="1:11" x14ac:dyDescent="0.3">
      <c r="A3231">
        <v>1120</v>
      </c>
      <c r="B3231">
        <v>3</v>
      </c>
      <c r="C3231">
        <v>30</v>
      </c>
      <c r="D3231">
        <v>2</v>
      </c>
      <c r="E3231" s="1">
        <v>999.99</v>
      </c>
      <c r="F3231" s="1">
        <v>0.05</v>
      </c>
      <c r="G3231">
        <v>1999.98</v>
      </c>
      <c r="H3231" s="22">
        <f>VLOOKUP(A3231,[1]Orders!$A$2:$B$1616,2,0)</f>
        <v>42988</v>
      </c>
      <c r="J3231" t="s">
        <v>47</v>
      </c>
      <c r="K3231" t="s">
        <v>18</v>
      </c>
    </row>
    <row r="3232" spans="1:11" x14ac:dyDescent="0.3">
      <c r="A3232">
        <v>1120</v>
      </c>
      <c r="B3232">
        <v>4</v>
      </c>
      <c r="C3232">
        <v>93</v>
      </c>
      <c r="D3232">
        <v>1</v>
      </c>
      <c r="E3232" s="1">
        <v>209.99</v>
      </c>
      <c r="F3232" s="1">
        <v>7.0000000000000007E-2</v>
      </c>
      <c r="G3232">
        <v>209.99</v>
      </c>
      <c r="H3232" s="22">
        <f>VLOOKUP(A3232,[1]Orders!$A$2:$B$1616,2,0)</f>
        <v>42988</v>
      </c>
      <c r="J3232" t="s">
        <v>110</v>
      </c>
      <c r="K3232" t="s">
        <v>18</v>
      </c>
    </row>
    <row r="3233" spans="1:11" x14ac:dyDescent="0.3">
      <c r="A3233">
        <v>1120</v>
      </c>
      <c r="B3233">
        <v>5</v>
      </c>
      <c r="C3233">
        <v>94</v>
      </c>
      <c r="D3233">
        <v>1</v>
      </c>
      <c r="E3233" s="1">
        <v>249.99</v>
      </c>
      <c r="F3233" s="1">
        <v>0.2</v>
      </c>
      <c r="G3233">
        <v>249.99</v>
      </c>
      <c r="H3233" s="22">
        <f>VLOOKUP(A3233,[1]Orders!$A$2:$B$1616,2,0)</f>
        <v>42988</v>
      </c>
      <c r="J3233" t="s">
        <v>59</v>
      </c>
      <c r="K3233" t="s">
        <v>18</v>
      </c>
    </row>
    <row r="3234" spans="1:11" x14ac:dyDescent="0.3">
      <c r="A3234">
        <v>1121</v>
      </c>
      <c r="B3234">
        <v>1</v>
      </c>
      <c r="C3234">
        <v>11</v>
      </c>
      <c r="D3234">
        <v>2</v>
      </c>
      <c r="E3234" s="1">
        <v>1680.99</v>
      </c>
      <c r="F3234" s="1">
        <v>0.1</v>
      </c>
      <c r="G3234">
        <v>3361.98</v>
      </c>
      <c r="H3234" s="22">
        <f>VLOOKUP(A3234,[1]Orders!$A$2:$B$1616,2,0)</f>
        <v>42989</v>
      </c>
      <c r="J3234" t="s">
        <v>30</v>
      </c>
      <c r="K3234" t="s">
        <v>18</v>
      </c>
    </row>
    <row r="3235" spans="1:11" x14ac:dyDescent="0.3">
      <c r="A3235">
        <v>1121</v>
      </c>
      <c r="B3235">
        <v>2</v>
      </c>
      <c r="C3235">
        <v>110</v>
      </c>
      <c r="D3235">
        <v>2</v>
      </c>
      <c r="E3235" s="1">
        <v>470.99</v>
      </c>
      <c r="F3235" s="1">
        <v>0.05</v>
      </c>
      <c r="G3235">
        <v>941.98</v>
      </c>
      <c r="H3235" s="22">
        <f>VLOOKUP(A3235,[1]Orders!$A$2:$B$1616,2,0)</f>
        <v>42989</v>
      </c>
      <c r="J3235" t="s">
        <v>65</v>
      </c>
      <c r="K3235" t="s">
        <v>18</v>
      </c>
    </row>
    <row r="3236" spans="1:11" x14ac:dyDescent="0.3">
      <c r="A3236">
        <v>1122</v>
      </c>
      <c r="B3236">
        <v>1</v>
      </c>
      <c r="C3236">
        <v>9</v>
      </c>
      <c r="D3236">
        <v>2</v>
      </c>
      <c r="E3236" s="1">
        <v>2999.99</v>
      </c>
      <c r="F3236" s="1">
        <v>7.0000000000000007E-2</v>
      </c>
      <c r="G3236">
        <v>5999.98</v>
      </c>
      <c r="H3236" s="22">
        <f>VLOOKUP(A3236,[1]Orders!$A$2:$B$1616,2,0)</f>
        <v>42990</v>
      </c>
      <c r="J3236" t="s">
        <v>26</v>
      </c>
      <c r="K3236" t="s">
        <v>18</v>
      </c>
    </row>
    <row r="3237" spans="1:11" x14ac:dyDescent="0.3">
      <c r="A3237">
        <v>1122</v>
      </c>
      <c r="B3237">
        <v>2</v>
      </c>
      <c r="C3237">
        <v>53</v>
      </c>
      <c r="D3237">
        <v>1</v>
      </c>
      <c r="E3237" s="1">
        <v>749.99</v>
      </c>
      <c r="F3237" s="1">
        <v>0.1</v>
      </c>
      <c r="G3237">
        <v>749.99</v>
      </c>
      <c r="H3237" s="22">
        <f>VLOOKUP(A3237,[1]Orders!$A$2:$B$1616,2,0)</f>
        <v>42990</v>
      </c>
      <c r="J3237" t="s">
        <v>42</v>
      </c>
      <c r="K3237" t="s">
        <v>18</v>
      </c>
    </row>
    <row r="3238" spans="1:11" x14ac:dyDescent="0.3">
      <c r="A3238">
        <v>1122</v>
      </c>
      <c r="B3238">
        <v>3</v>
      </c>
      <c r="C3238">
        <v>49</v>
      </c>
      <c r="D3238">
        <v>2</v>
      </c>
      <c r="E3238" s="1">
        <v>3499.99</v>
      </c>
      <c r="F3238" s="1">
        <v>0.2</v>
      </c>
      <c r="G3238">
        <v>6999.98</v>
      </c>
      <c r="H3238" s="22">
        <f>VLOOKUP(A3238,[1]Orders!$A$2:$B$1616,2,0)</f>
        <v>42990</v>
      </c>
      <c r="J3238" t="s">
        <v>70</v>
      </c>
      <c r="K3238" t="s">
        <v>18</v>
      </c>
    </row>
    <row r="3239" spans="1:11" x14ac:dyDescent="0.3">
      <c r="A3239">
        <v>1122</v>
      </c>
      <c r="B3239">
        <v>4</v>
      </c>
      <c r="C3239">
        <v>41</v>
      </c>
      <c r="D3239">
        <v>2</v>
      </c>
      <c r="E3239" s="1">
        <v>1469.99</v>
      </c>
      <c r="F3239" s="1">
        <v>0.05</v>
      </c>
      <c r="G3239">
        <v>2939.98</v>
      </c>
      <c r="H3239" s="22">
        <f>VLOOKUP(A3239,[1]Orders!$A$2:$B$1616,2,0)</f>
        <v>42990</v>
      </c>
      <c r="J3239" t="s">
        <v>77</v>
      </c>
      <c r="K3239" t="s">
        <v>18</v>
      </c>
    </row>
    <row r="3240" spans="1:11" x14ac:dyDescent="0.3">
      <c r="A3240">
        <v>1122</v>
      </c>
      <c r="B3240">
        <v>5</v>
      </c>
      <c r="C3240">
        <v>72</v>
      </c>
      <c r="D3240">
        <v>1</v>
      </c>
      <c r="E3240" s="1">
        <v>619.99</v>
      </c>
      <c r="F3240" s="1">
        <v>0.1</v>
      </c>
      <c r="G3240">
        <v>619.99</v>
      </c>
      <c r="H3240" s="22">
        <f>VLOOKUP(A3240,[1]Orders!$A$2:$B$1616,2,0)</f>
        <v>42990</v>
      </c>
      <c r="J3240" t="s">
        <v>44</v>
      </c>
      <c r="K3240" t="s">
        <v>18</v>
      </c>
    </row>
    <row r="3241" spans="1:11" x14ac:dyDescent="0.3">
      <c r="A3241">
        <v>1123</v>
      </c>
      <c r="B3241">
        <v>1</v>
      </c>
      <c r="C3241">
        <v>65</v>
      </c>
      <c r="D3241">
        <v>2</v>
      </c>
      <c r="E3241" s="1">
        <v>346.99</v>
      </c>
      <c r="F3241" s="1">
        <v>7.0000000000000007E-2</v>
      </c>
      <c r="G3241">
        <v>693.98</v>
      </c>
      <c r="H3241" s="22">
        <f>VLOOKUP(A3241,[1]Orders!$A$2:$B$1616,2,0)</f>
        <v>42991</v>
      </c>
      <c r="J3241" t="s">
        <v>114</v>
      </c>
      <c r="K3241" t="s">
        <v>18</v>
      </c>
    </row>
    <row r="3242" spans="1:11" x14ac:dyDescent="0.3">
      <c r="A3242">
        <v>1123</v>
      </c>
      <c r="B3242">
        <v>2</v>
      </c>
      <c r="C3242">
        <v>61</v>
      </c>
      <c r="D3242">
        <v>2</v>
      </c>
      <c r="E3242" s="1">
        <v>4999.99</v>
      </c>
      <c r="F3242" s="1">
        <v>0.1</v>
      </c>
      <c r="G3242">
        <v>9999.98</v>
      </c>
      <c r="H3242" s="22">
        <f>VLOOKUP(A3242,[1]Orders!$A$2:$B$1616,2,0)</f>
        <v>42991</v>
      </c>
      <c r="J3242" t="s">
        <v>45</v>
      </c>
      <c r="K3242" t="s">
        <v>18</v>
      </c>
    </row>
    <row r="3243" spans="1:11" x14ac:dyDescent="0.3">
      <c r="A3243">
        <v>1124</v>
      </c>
      <c r="B3243">
        <v>1</v>
      </c>
      <c r="C3243">
        <v>7</v>
      </c>
      <c r="D3243">
        <v>2</v>
      </c>
      <c r="E3243" s="1">
        <v>3999.99</v>
      </c>
      <c r="F3243" s="1">
        <v>0.1</v>
      </c>
      <c r="G3243">
        <v>7999.98</v>
      </c>
      <c r="H3243" s="22">
        <f>VLOOKUP(A3243,[1]Orders!$A$2:$B$1616,2,0)</f>
        <v>42991</v>
      </c>
      <c r="J3243" t="s">
        <v>29</v>
      </c>
      <c r="K3243" t="s">
        <v>37</v>
      </c>
    </row>
    <row r="3244" spans="1:11" x14ac:dyDescent="0.3">
      <c r="A3244">
        <v>1124</v>
      </c>
      <c r="B3244">
        <v>2</v>
      </c>
      <c r="C3244">
        <v>6</v>
      </c>
      <c r="D3244">
        <v>1</v>
      </c>
      <c r="E3244" s="1">
        <v>469.99</v>
      </c>
      <c r="F3244" s="1">
        <v>0.1</v>
      </c>
      <c r="G3244">
        <v>469.99</v>
      </c>
      <c r="H3244" s="22">
        <f>VLOOKUP(A3244,[1]Orders!$A$2:$B$1616,2,0)</f>
        <v>42991</v>
      </c>
      <c r="J3244" t="s">
        <v>32</v>
      </c>
      <c r="K3244" t="s">
        <v>37</v>
      </c>
    </row>
    <row r="3245" spans="1:11" x14ac:dyDescent="0.3">
      <c r="A3245">
        <v>1124</v>
      </c>
      <c r="B3245">
        <v>3</v>
      </c>
      <c r="C3245">
        <v>109</v>
      </c>
      <c r="D3245">
        <v>2</v>
      </c>
      <c r="E3245" s="1">
        <v>416.99</v>
      </c>
      <c r="F3245" s="1">
        <v>7.0000000000000007E-2</v>
      </c>
      <c r="G3245">
        <v>833.98</v>
      </c>
      <c r="H3245" s="22">
        <f>VLOOKUP(A3245,[1]Orders!$A$2:$B$1616,2,0)</f>
        <v>42991</v>
      </c>
      <c r="J3245" t="s">
        <v>49</v>
      </c>
      <c r="K3245" t="s">
        <v>37</v>
      </c>
    </row>
    <row r="3246" spans="1:11" x14ac:dyDescent="0.3">
      <c r="A3246">
        <v>1124</v>
      </c>
      <c r="B3246">
        <v>4</v>
      </c>
      <c r="C3246">
        <v>45</v>
      </c>
      <c r="D3246">
        <v>2</v>
      </c>
      <c r="E3246" s="1">
        <v>869.99</v>
      </c>
      <c r="F3246" s="1">
        <v>0.05</v>
      </c>
      <c r="G3246">
        <v>1739.98</v>
      </c>
      <c r="H3246" s="22">
        <f>VLOOKUP(A3246,[1]Orders!$A$2:$B$1616,2,0)</f>
        <v>42991</v>
      </c>
      <c r="J3246" t="s">
        <v>88</v>
      </c>
      <c r="K3246" t="s">
        <v>37</v>
      </c>
    </row>
    <row r="3247" spans="1:11" x14ac:dyDescent="0.3">
      <c r="A3247">
        <v>1124</v>
      </c>
      <c r="B3247">
        <v>5</v>
      </c>
      <c r="C3247">
        <v>2</v>
      </c>
      <c r="D3247">
        <v>2</v>
      </c>
      <c r="E3247" s="1">
        <v>749.99</v>
      </c>
      <c r="F3247" s="1">
        <v>0.05</v>
      </c>
      <c r="G3247">
        <v>1499.98</v>
      </c>
      <c r="H3247" s="22">
        <f>VLOOKUP(A3247,[1]Orders!$A$2:$B$1616,2,0)</f>
        <v>42991</v>
      </c>
      <c r="J3247" t="s">
        <v>22</v>
      </c>
      <c r="K3247" t="s">
        <v>37</v>
      </c>
    </row>
    <row r="3248" spans="1:11" x14ac:dyDescent="0.3">
      <c r="A3248">
        <v>1125</v>
      </c>
      <c r="B3248">
        <v>1</v>
      </c>
      <c r="C3248">
        <v>16</v>
      </c>
      <c r="D3248">
        <v>2</v>
      </c>
      <c r="E3248" s="1">
        <v>599.99</v>
      </c>
      <c r="F3248" s="1">
        <v>0.05</v>
      </c>
      <c r="G3248">
        <v>1199.98</v>
      </c>
      <c r="H3248" s="22">
        <f>VLOOKUP(A3248,[1]Orders!$A$2:$B$1616,2,0)</f>
        <v>42992</v>
      </c>
      <c r="J3248" t="s">
        <v>14</v>
      </c>
      <c r="K3248" t="s">
        <v>18</v>
      </c>
    </row>
    <row r="3249" spans="1:11" x14ac:dyDescent="0.3">
      <c r="A3249">
        <v>1125</v>
      </c>
      <c r="B3249">
        <v>2</v>
      </c>
      <c r="C3249">
        <v>21</v>
      </c>
      <c r="D3249">
        <v>1</v>
      </c>
      <c r="E3249" s="1">
        <v>269.99</v>
      </c>
      <c r="F3249" s="1">
        <v>0.1</v>
      </c>
      <c r="G3249">
        <v>269.99</v>
      </c>
      <c r="H3249" s="22">
        <f>VLOOKUP(A3249,[1]Orders!$A$2:$B$1616,2,0)</f>
        <v>42992</v>
      </c>
      <c r="J3249" t="s">
        <v>31</v>
      </c>
      <c r="K3249" t="s">
        <v>18</v>
      </c>
    </row>
    <row r="3250" spans="1:11" x14ac:dyDescent="0.3">
      <c r="A3250">
        <v>1125</v>
      </c>
      <c r="B3250">
        <v>3</v>
      </c>
      <c r="C3250">
        <v>81</v>
      </c>
      <c r="D3250">
        <v>2</v>
      </c>
      <c r="E3250" s="1">
        <v>1099.99</v>
      </c>
      <c r="F3250" s="1">
        <v>7.0000000000000007E-2</v>
      </c>
      <c r="G3250">
        <v>2199.98</v>
      </c>
      <c r="H3250" s="22">
        <f>VLOOKUP(A3250,[1]Orders!$A$2:$B$1616,2,0)</f>
        <v>42992</v>
      </c>
      <c r="J3250" t="s">
        <v>99</v>
      </c>
      <c r="K3250" t="s">
        <v>18</v>
      </c>
    </row>
    <row r="3251" spans="1:11" x14ac:dyDescent="0.3">
      <c r="A3251">
        <v>1125</v>
      </c>
      <c r="B3251">
        <v>4</v>
      </c>
      <c r="C3251">
        <v>24</v>
      </c>
      <c r="D3251">
        <v>1</v>
      </c>
      <c r="E3251" s="1">
        <v>549.99</v>
      </c>
      <c r="F3251" s="1">
        <v>7.0000000000000007E-2</v>
      </c>
      <c r="G3251">
        <v>549.99</v>
      </c>
      <c r="H3251" s="22">
        <f>VLOOKUP(A3251,[1]Orders!$A$2:$B$1616,2,0)</f>
        <v>42992</v>
      </c>
      <c r="J3251" t="s">
        <v>25</v>
      </c>
      <c r="K3251" t="s">
        <v>18</v>
      </c>
    </row>
    <row r="3252" spans="1:11" x14ac:dyDescent="0.3">
      <c r="A3252">
        <v>1125</v>
      </c>
      <c r="B3252">
        <v>5</v>
      </c>
      <c r="C3252">
        <v>32</v>
      </c>
      <c r="D3252">
        <v>2</v>
      </c>
      <c r="E3252" s="1">
        <v>469.99</v>
      </c>
      <c r="F3252" s="1">
        <v>7.0000000000000007E-2</v>
      </c>
      <c r="G3252">
        <v>939.98</v>
      </c>
      <c r="H3252" s="22">
        <f>VLOOKUP(A3252,[1]Orders!$A$2:$B$1616,2,0)</f>
        <v>42992</v>
      </c>
      <c r="J3252" t="s">
        <v>46</v>
      </c>
      <c r="K3252" t="s">
        <v>18</v>
      </c>
    </row>
    <row r="3253" spans="1:11" x14ac:dyDescent="0.3">
      <c r="A3253">
        <v>1126</v>
      </c>
      <c r="B3253">
        <v>1</v>
      </c>
      <c r="C3253">
        <v>33</v>
      </c>
      <c r="D3253">
        <v>2</v>
      </c>
      <c r="E3253" s="1">
        <v>469.99</v>
      </c>
      <c r="F3253" s="1">
        <v>0.1</v>
      </c>
      <c r="G3253">
        <v>939.98</v>
      </c>
      <c r="H3253" s="22">
        <f>VLOOKUP(A3253,[1]Orders!$A$2:$B$1616,2,0)</f>
        <v>42992</v>
      </c>
      <c r="J3253" t="s">
        <v>67</v>
      </c>
      <c r="K3253" t="s">
        <v>37</v>
      </c>
    </row>
    <row r="3254" spans="1:11" x14ac:dyDescent="0.3">
      <c r="A3254">
        <v>1126</v>
      </c>
      <c r="B3254">
        <v>2</v>
      </c>
      <c r="C3254">
        <v>58</v>
      </c>
      <c r="D3254">
        <v>1</v>
      </c>
      <c r="E3254" s="1">
        <v>4999.99</v>
      </c>
      <c r="F3254" s="1">
        <v>0.2</v>
      </c>
      <c r="G3254">
        <v>4999.99</v>
      </c>
      <c r="H3254" s="22">
        <f>VLOOKUP(A3254,[1]Orders!$A$2:$B$1616,2,0)</f>
        <v>42992</v>
      </c>
      <c r="J3254" t="s">
        <v>81</v>
      </c>
      <c r="K3254" t="s">
        <v>37</v>
      </c>
    </row>
    <row r="3255" spans="1:11" x14ac:dyDescent="0.3">
      <c r="A3255">
        <v>1126</v>
      </c>
      <c r="B3255">
        <v>3</v>
      </c>
      <c r="C3255">
        <v>89</v>
      </c>
      <c r="D3255">
        <v>2</v>
      </c>
      <c r="E3255" s="1">
        <v>209.99</v>
      </c>
      <c r="F3255" s="1">
        <v>0.05</v>
      </c>
      <c r="G3255">
        <v>419.98</v>
      </c>
      <c r="H3255" s="22">
        <f>VLOOKUP(A3255,[1]Orders!$A$2:$B$1616,2,0)</f>
        <v>42992</v>
      </c>
      <c r="J3255" t="s">
        <v>94</v>
      </c>
      <c r="K3255" t="s">
        <v>37</v>
      </c>
    </row>
    <row r="3256" spans="1:11" x14ac:dyDescent="0.3">
      <c r="A3256">
        <v>1127</v>
      </c>
      <c r="B3256">
        <v>1</v>
      </c>
      <c r="C3256">
        <v>23</v>
      </c>
      <c r="D3256">
        <v>2</v>
      </c>
      <c r="E3256" s="1">
        <v>299.99</v>
      </c>
      <c r="F3256" s="1">
        <v>0.1</v>
      </c>
      <c r="G3256">
        <v>599.98</v>
      </c>
      <c r="H3256" s="22">
        <f>VLOOKUP(A3256,[1]Orders!$A$2:$B$1616,2,0)</f>
        <v>42993</v>
      </c>
      <c r="J3256" t="s">
        <v>33</v>
      </c>
      <c r="K3256" t="s">
        <v>18</v>
      </c>
    </row>
    <row r="3257" spans="1:11" x14ac:dyDescent="0.3">
      <c r="A3257">
        <v>1127</v>
      </c>
      <c r="B3257">
        <v>2</v>
      </c>
      <c r="C3257">
        <v>96</v>
      </c>
      <c r="D3257">
        <v>2</v>
      </c>
      <c r="E3257" s="1">
        <v>349.99</v>
      </c>
      <c r="F3257" s="1">
        <v>7.0000000000000007E-2</v>
      </c>
      <c r="G3257">
        <v>699.98</v>
      </c>
      <c r="H3257" s="22">
        <f>VLOOKUP(A3257,[1]Orders!$A$2:$B$1616,2,0)</f>
        <v>42993</v>
      </c>
      <c r="J3257" t="s">
        <v>91</v>
      </c>
      <c r="K3257" t="s">
        <v>18</v>
      </c>
    </row>
    <row r="3258" spans="1:11" x14ac:dyDescent="0.3">
      <c r="A3258">
        <v>1127</v>
      </c>
      <c r="B3258">
        <v>3</v>
      </c>
      <c r="C3258">
        <v>37</v>
      </c>
      <c r="D3258">
        <v>1</v>
      </c>
      <c r="E3258" s="1">
        <v>379.99</v>
      </c>
      <c r="F3258" s="1">
        <v>0.2</v>
      </c>
      <c r="G3258">
        <v>379.99</v>
      </c>
      <c r="H3258" s="22">
        <f>VLOOKUP(A3258,[1]Orders!$A$2:$B$1616,2,0)</f>
        <v>42993</v>
      </c>
      <c r="J3258" t="s">
        <v>98</v>
      </c>
      <c r="K3258" t="s">
        <v>18</v>
      </c>
    </row>
    <row r="3259" spans="1:11" x14ac:dyDescent="0.3">
      <c r="A3259">
        <v>1128</v>
      </c>
      <c r="B3259">
        <v>1</v>
      </c>
      <c r="C3259">
        <v>44</v>
      </c>
      <c r="D3259">
        <v>1</v>
      </c>
      <c r="E3259" s="1">
        <v>539.99</v>
      </c>
      <c r="F3259" s="1">
        <v>0.05</v>
      </c>
      <c r="G3259">
        <v>539.99</v>
      </c>
      <c r="H3259" s="22">
        <f>VLOOKUP(A3259,[1]Orders!$A$2:$B$1616,2,0)</f>
        <v>42993</v>
      </c>
      <c r="J3259" t="s">
        <v>108</v>
      </c>
      <c r="K3259" t="s">
        <v>18</v>
      </c>
    </row>
    <row r="3260" spans="1:11" x14ac:dyDescent="0.3">
      <c r="A3260">
        <v>1128</v>
      </c>
      <c r="B3260">
        <v>2</v>
      </c>
      <c r="C3260">
        <v>10</v>
      </c>
      <c r="D3260">
        <v>1</v>
      </c>
      <c r="E3260" s="1">
        <v>1549</v>
      </c>
      <c r="F3260" s="1">
        <v>0.2</v>
      </c>
      <c r="G3260">
        <v>1549</v>
      </c>
      <c r="H3260" s="22">
        <f>VLOOKUP(A3260,[1]Orders!$A$2:$B$1616,2,0)</f>
        <v>42993</v>
      </c>
      <c r="J3260" t="s">
        <v>13</v>
      </c>
      <c r="K3260" t="s">
        <v>18</v>
      </c>
    </row>
    <row r="3261" spans="1:11" x14ac:dyDescent="0.3">
      <c r="A3261">
        <v>1128</v>
      </c>
      <c r="B3261">
        <v>3</v>
      </c>
      <c r="C3261">
        <v>65</v>
      </c>
      <c r="D3261">
        <v>2</v>
      </c>
      <c r="E3261" s="1">
        <v>346.99</v>
      </c>
      <c r="F3261" s="1">
        <v>0.05</v>
      </c>
      <c r="G3261">
        <v>693.98</v>
      </c>
      <c r="H3261" s="22">
        <f>VLOOKUP(A3261,[1]Orders!$A$2:$B$1616,2,0)</f>
        <v>42993</v>
      </c>
      <c r="J3261" t="s">
        <v>114</v>
      </c>
      <c r="K3261" t="s">
        <v>18</v>
      </c>
    </row>
    <row r="3262" spans="1:11" x14ac:dyDescent="0.3">
      <c r="A3262">
        <v>1129</v>
      </c>
      <c r="B3262">
        <v>1</v>
      </c>
      <c r="C3262">
        <v>71</v>
      </c>
      <c r="D3262">
        <v>2</v>
      </c>
      <c r="E3262" s="1">
        <v>416.99</v>
      </c>
      <c r="F3262" s="1">
        <v>0.2</v>
      </c>
      <c r="G3262">
        <v>833.98</v>
      </c>
      <c r="H3262" s="22">
        <f>VLOOKUP(A3262,[1]Orders!$A$2:$B$1616,2,0)</f>
        <v>42995</v>
      </c>
      <c r="J3262" t="s">
        <v>78</v>
      </c>
      <c r="K3262" t="s">
        <v>18</v>
      </c>
    </row>
    <row r="3263" spans="1:11" x14ac:dyDescent="0.3">
      <c r="A3263">
        <v>1129</v>
      </c>
      <c r="B3263">
        <v>2</v>
      </c>
      <c r="C3263">
        <v>56</v>
      </c>
      <c r="D3263">
        <v>1</v>
      </c>
      <c r="E3263" s="1">
        <v>5499.99</v>
      </c>
      <c r="F3263" s="1">
        <v>0.2</v>
      </c>
      <c r="G3263">
        <v>5499.99</v>
      </c>
      <c r="H3263" s="22">
        <f>VLOOKUP(A3263,[1]Orders!$A$2:$B$1616,2,0)</f>
        <v>42995</v>
      </c>
      <c r="J3263" t="s">
        <v>41</v>
      </c>
      <c r="K3263" t="s">
        <v>18</v>
      </c>
    </row>
    <row r="3264" spans="1:11" x14ac:dyDescent="0.3">
      <c r="A3264">
        <v>1129</v>
      </c>
      <c r="B3264">
        <v>3</v>
      </c>
      <c r="C3264">
        <v>61</v>
      </c>
      <c r="D3264">
        <v>2</v>
      </c>
      <c r="E3264" s="1">
        <v>4999.99</v>
      </c>
      <c r="F3264" s="1">
        <v>0.05</v>
      </c>
      <c r="G3264">
        <v>9999.98</v>
      </c>
      <c r="H3264" s="22">
        <f>VLOOKUP(A3264,[1]Orders!$A$2:$B$1616,2,0)</f>
        <v>42995</v>
      </c>
      <c r="J3264" t="s">
        <v>45</v>
      </c>
      <c r="K3264" t="s">
        <v>18</v>
      </c>
    </row>
    <row r="3265" spans="1:11" x14ac:dyDescent="0.3">
      <c r="A3265">
        <v>1130</v>
      </c>
      <c r="B3265">
        <v>1</v>
      </c>
      <c r="C3265">
        <v>54</v>
      </c>
      <c r="D3265">
        <v>2</v>
      </c>
      <c r="E3265" s="1">
        <v>3199.99</v>
      </c>
      <c r="F3265" s="1">
        <v>0.2</v>
      </c>
      <c r="G3265">
        <v>6399.98</v>
      </c>
      <c r="H3265" s="22">
        <f>VLOOKUP(A3265,[1]Orders!$A$2:$B$1616,2,0)</f>
        <v>42996</v>
      </c>
      <c r="J3265" t="s">
        <v>69</v>
      </c>
      <c r="K3265" t="s">
        <v>11</v>
      </c>
    </row>
    <row r="3266" spans="1:11" x14ac:dyDescent="0.3">
      <c r="A3266">
        <v>1131</v>
      </c>
      <c r="B3266">
        <v>1</v>
      </c>
      <c r="C3266">
        <v>60</v>
      </c>
      <c r="D3266">
        <v>2</v>
      </c>
      <c r="E3266" s="1">
        <v>1559.99</v>
      </c>
      <c r="F3266" s="1">
        <v>7.0000000000000007E-2</v>
      </c>
      <c r="G3266">
        <v>3119.98</v>
      </c>
      <c r="H3266" s="22">
        <f>VLOOKUP(A3266,[1]Orders!$A$2:$B$1616,2,0)</f>
        <v>42996</v>
      </c>
      <c r="J3266" t="s">
        <v>101</v>
      </c>
      <c r="K3266" t="s">
        <v>11</v>
      </c>
    </row>
    <row r="3267" spans="1:11" x14ac:dyDescent="0.3">
      <c r="A3267">
        <v>1131</v>
      </c>
      <c r="B3267">
        <v>2</v>
      </c>
      <c r="C3267">
        <v>103</v>
      </c>
      <c r="D3267">
        <v>2</v>
      </c>
      <c r="E3267" s="1">
        <v>551.99</v>
      </c>
      <c r="F3267" s="1">
        <v>0.05</v>
      </c>
      <c r="G3267">
        <v>1103.98</v>
      </c>
      <c r="H3267" s="22">
        <f>VLOOKUP(A3267,[1]Orders!$A$2:$B$1616,2,0)</f>
        <v>42996</v>
      </c>
      <c r="J3267" t="s">
        <v>40</v>
      </c>
      <c r="K3267" t="s">
        <v>11</v>
      </c>
    </row>
    <row r="3268" spans="1:11" x14ac:dyDescent="0.3">
      <c r="A3268">
        <v>1132</v>
      </c>
      <c r="B3268">
        <v>1</v>
      </c>
      <c r="C3268">
        <v>43</v>
      </c>
      <c r="D3268">
        <v>1</v>
      </c>
      <c r="E3268" s="1">
        <v>5299.99</v>
      </c>
      <c r="F3268" s="1">
        <v>0.05</v>
      </c>
      <c r="G3268">
        <v>5299.99</v>
      </c>
      <c r="H3268" s="22">
        <f>VLOOKUP(A3268,[1]Orders!$A$2:$B$1616,2,0)</f>
        <v>42997</v>
      </c>
      <c r="J3268" t="s">
        <v>62</v>
      </c>
      <c r="K3268" t="s">
        <v>18</v>
      </c>
    </row>
    <row r="3269" spans="1:11" x14ac:dyDescent="0.3">
      <c r="A3269">
        <v>1132</v>
      </c>
      <c r="B3269">
        <v>2</v>
      </c>
      <c r="C3269">
        <v>10</v>
      </c>
      <c r="D3269">
        <v>1</v>
      </c>
      <c r="E3269" s="1">
        <v>1549</v>
      </c>
      <c r="F3269" s="1">
        <v>0.1</v>
      </c>
      <c r="G3269">
        <v>1549</v>
      </c>
      <c r="H3269" s="22">
        <f>VLOOKUP(A3269,[1]Orders!$A$2:$B$1616,2,0)</f>
        <v>42997</v>
      </c>
      <c r="J3269" t="s">
        <v>13</v>
      </c>
      <c r="K3269" t="s">
        <v>18</v>
      </c>
    </row>
    <row r="3270" spans="1:11" x14ac:dyDescent="0.3">
      <c r="A3270">
        <v>1132</v>
      </c>
      <c r="B3270">
        <v>3</v>
      </c>
      <c r="C3270">
        <v>36</v>
      </c>
      <c r="D3270">
        <v>2</v>
      </c>
      <c r="E3270" s="1">
        <v>832.99</v>
      </c>
      <c r="F3270" s="1">
        <v>0.1</v>
      </c>
      <c r="G3270">
        <v>1665.98</v>
      </c>
      <c r="H3270" s="22">
        <f>VLOOKUP(A3270,[1]Orders!$A$2:$B$1616,2,0)</f>
        <v>42997</v>
      </c>
      <c r="J3270" t="s">
        <v>116</v>
      </c>
      <c r="K3270" t="s">
        <v>18</v>
      </c>
    </row>
    <row r="3271" spans="1:11" x14ac:dyDescent="0.3">
      <c r="A3271">
        <v>1132</v>
      </c>
      <c r="B3271">
        <v>4</v>
      </c>
      <c r="C3271">
        <v>16</v>
      </c>
      <c r="D3271">
        <v>1</v>
      </c>
      <c r="E3271" s="1">
        <v>599.99</v>
      </c>
      <c r="F3271" s="1">
        <v>0.05</v>
      </c>
      <c r="G3271">
        <v>599.99</v>
      </c>
      <c r="H3271" s="22">
        <f>VLOOKUP(A3271,[1]Orders!$A$2:$B$1616,2,0)</f>
        <v>42997</v>
      </c>
      <c r="J3271" t="s">
        <v>14</v>
      </c>
      <c r="K3271" t="s">
        <v>18</v>
      </c>
    </row>
    <row r="3272" spans="1:11" x14ac:dyDescent="0.3">
      <c r="A3272">
        <v>1133</v>
      </c>
      <c r="B3272">
        <v>1</v>
      </c>
      <c r="C3272">
        <v>4</v>
      </c>
      <c r="D3272">
        <v>2</v>
      </c>
      <c r="E3272" s="1">
        <v>2899.99</v>
      </c>
      <c r="F3272" s="1">
        <v>0.05</v>
      </c>
      <c r="G3272">
        <v>5799.98</v>
      </c>
      <c r="H3272" s="22">
        <f>VLOOKUP(A3272,[1]Orders!$A$2:$B$1616,2,0)</f>
        <v>42997</v>
      </c>
      <c r="J3272" t="s">
        <v>16</v>
      </c>
      <c r="K3272" t="s">
        <v>18</v>
      </c>
    </row>
    <row r="3273" spans="1:11" x14ac:dyDescent="0.3">
      <c r="A3273">
        <v>1133</v>
      </c>
      <c r="B3273">
        <v>2</v>
      </c>
      <c r="C3273">
        <v>17</v>
      </c>
      <c r="D3273">
        <v>1</v>
      </c>
      <c r="E3273" s="1">
        <v>429</v>
      </c>
      <c r="F3273" s="1">
        <v>7.0000000000000007E-2</v>
      </c>
      <c r="G3273">
        <v>429</v>
      </c>
      <c r="H3273" s="22">
        <f>VLOOKUP(A3273,[1]Orders!$A$2:$B$1616,2,0)</f>
        <v>42997</v>
      </c>
      <c r="J3273" t="s">
        <v>23</v>
      </c>
      <c r="K3273" t="s">
        <v>18</v>
      </c>
    </row>
    <row r="3274" spans="1:11" x14ac:dyDescent="0.3">
      <c r="A3274">
        <v>1133</v>
      </c>
      <c r="B3274">
        <v>3</v>
      </c>
      <c r="C3274">
        <v>90</v>
      </c>
      <c r="D3274">
        <v>2</v>
      </c>
      <c r="E3274" s="1">
        <v>209.99</v>
      </c>
      <c r="F3274" s="1">
        <v>0.2</v>
      </c>
      <c r="G3274">
        <v>419.98</v>
      </c>
      <c r="H3274" s="22">
        <f>VLOOKUP(A3274,[1]Orders!$A$2:$B$1616,2,0)</f>
        <v>42997</v>
      </c>
      <c r="J3274" t="s">
        <v>56</v>
      </c>
      <c r="K3274" t="s">
        <v>18</v>
      </c>
    </row>
    <row r="3275" spans="1:11" x14ac:dyDescent="0.3">
      <c r="A3275">
        <v>1133</v>
      </c>
      <c r="B3275">
        <v>4</v>
      </c>
      <c r="C3275">
        <v>62</v>
      </c>
      <c r="D3275">
        <v>1</v>
      </c>
      <c r="E3275" s="1">
        <v>3499.99</v>
      </c>
      <c r="F3275" s="1">
        <v>0.2</v>
      </c>
      <c r="G3275">
        <v>3499.99</v>
      </c>
      <c r="H3275" s="22">
        <f>VLOOKUP(A3275,[1]Orders!$A$2:$B$1616,2,0)</f>
        <v>42997</v>
      </c>
      <c r="J3275" t="s">
        <v>50</v>
      </c>
      <c r="K3275" t="s">
        <v>18</v>
      </c>
    </row>
    <row r="3276" spans="1:11" x14ac:dyDescent="0.3">
      <c r="A3276">
        <v>1134</v>
      </c>
      <c r="B3276">
        <v>1</v>
      </c>
      <c r="C3276">
        <v>97</v>
      </c>
      <c r="D3276">
        <v>1</v>
      </c>
      <c r="E3276" s="1">
        <v>349.99</v>
      </c>
      <c r="F3276" s="1">
        <v>0.1</v>
      </c>
      <c r="G3276">
        <v>349.99</v>
      </c>
      <c r="H3276" s="22">
        <f>VLOOKUP(A3276,[1]Orders!$A$2:$B$1616,2,0)</f>
        <v>42997</v>
      </c>
      <c r="J3276" t="s">
        <v>55</v>
      </c>
      <c r="K3276" t="s">
        <v>18</v>
      </c>
    </row>
    <row r="3277" spans="1:11" x14ac:dyDescent="0.3">
      <c r="A3277">
        <v>1134</v>
      </c>
      <c r="B3277">
        <v>2</v>
      </c>
      <c r="C3277">
        <v>36</v>
      </c>
      <c r="D3277">
        <v>1</v>
      </c>
      <c r="E3277" s="1">
        <v>832.99</v>
      </c>
      <c r="F3277" s="1">
        <v>0.1</v>
      </c>
      <c r="G3277">
        <v>832.99</v>
      </c>
      <c r="H3277" s="22">
        <f>VLOOKUP(A3277,[1]Orders!$A$2:$B$1616,2,0)</f>
        <v>42997</v>
      </c>
      <c r="J3277" t="s">
        <v>116</v>
      </c>
      <c r="K3277" t="s">
        <v>18</v>
      </c>
    </row>
    <row r="3278" spans="1:11" x14ac:dyDescent="0.3">
      <c r="A3278">
        <v>1135</v>
      </c>
      <c r="B3278">
        <v>1</v>
      </c>
      <c r="C3278">
        <v>101</v>
      </c>
      <c r="D3278">
        <v>2</v>
      </c>
      <c r="E3278" s="1">
        <v>339.99</v>
      </c>
      <c r="F3278" s="1">
        <v>0.05</v>
      </c>
      <c r="G3278">
        <v>679.98</v>
      </c>
      <c r="H3278" s="22">
        <f>VLOOKUP(A3278,[1]Orders!$A$2:$B$1616,2,0)</f>
        <v>42997</v>
      </c>
      <c r="J3278" t="s">
        <v>80</v>
      </c>
      <c r="K3278" t="s">
        <v>18</v>
      </c>
    </row>
    <row r="3279" spans="1:11" x14ac:dyDescent="0.3">
      <c r="A3279">
        <v>1135</v>
      </c>
      <c r="B3279">
        <v>2</v>
      </c>
      <c r="C3279">
        <v>51</v>
      </c>
      <c r="D3279">
        <v>1</v>
      </c>
      <c r="E3279" s="1">
        <v>6499.99</v>
      </c>
      <c r="F3279" s="1">
        <v>0.1</v>
      </c>
      <c r="G3279">
        <v>6499.99</v>
      </c>
      <c r="H3279" s="22">
        <f>VLOOKUP(A3279,[1]Orders!$A$2:$B$1616,2,0)</f>
        <v>42997</v>
      </c>
      <c r="J3279" t="s">
        <v>90</v>
      </c>
      <c r="K3279" t="s">
        <v>18</v>
      </c>
    </row>
    <row r="3280" spans="1:11" x14ac:dyDescent="0.3">
      <c r="A3280">
        <v>1136</v>
      </c>
      <c r="B3280">
        <v>1</v>
      </c>
      <c r="C3280">
        <v>105</v>
      </c>
      <c r="D3280">
        <v>1</v>
      </c>
      <c r="E3280" s="1">
        <v>533.99</v>
      </c>
      <c r="F3280" s="1">
        <v>0.1</v>
      </c>
      <c r="G3280">
        <v>533.99</v>
      </c>
      <c r="H3280" s="22">
        <f>VLOOKUP(A3280,[1]Orders!$A$2:$B$1616,2,0)</f>
        <v>42998</v>
      </c>
      <c r="J3280" t="s">
        <v>96</v>
      </c>
      <c r="K3280" t="s">
        <v>18</v>
      </c>
    </row>
    <row r="3281" spans="1:11" x14ac:dyDescent="0.3">
      <c r="A3281">
        <v>1137</v>
      </c>
      <c r="B3281">
        <v>1</v>
      </c>
      <c r="C3281">
        <v>28</v>
      </c>
      <c r="D3281">
        <v>1</v>
      </c>
      <c r="E3281" s="1">
        <v>2499.9899999999998</v>
      </c>
      <c r="F3281" s="1">
        <v>0.2</v>
      </c>
      <c r="G3281">
        <v>2499.9899999999998</v>
      </c>
      <c r="H3281" s="22">
        <f>VLOOKUP(A3281,[1]Orders!$A$2:$B$1616,2,0)</f>
        <v>42998</v>
      </c>
      <c r="J3281" t="s">
        <v>86</v>
      </c>
      <c r="K3281" t="s">
        <v>37</v>
      </c>
    </row>
    <row r="3282" spans="1:11" x14ac:dyDescent="0.3">
      <c r="A3282">
        <v>1137</v>
      </c>
      <c r="B3282">
        <v>2</v>
      </c>
      <c r="C3282">
        <v>58</v>
      </c>
      <c r="D3282">
        <v>2</v>
      </c>
      <c r="E3282" s="1">
        <v>4999.99</v>
      </c>
      <c r="F3282" s="1">
        <v>0.2</v>
      </c>
      <c r="G3282">
        <v>9999.98</v>
      </c>
      <c r="H3282" s="22">
        <f>VLOOKUP(A3282,[1]Orders!$A$2:$B$1616,2,0)</f>
        <v>42998</v>
      </c>
      <c r="J3282" t="s">
        <v>81</v>
      </c>
      <c r="K3282" t="s">
        <v>37</v>
      </c>
    </row>
    <row r="3283" spans="1:11" x14ac:dyDescent="0.3">
      <c r="A3283">
        <v>1137</v>
      </c>
      <c r="B3283">
        <v>3</v>
      </c>
      <c r="C3283">
        <v>84</v>
      </c>
      <c r="D3283">
        <v>2</v>
      </c>
      <c r="E3283" s="1">
        <v>109.99</v>
      </c>
      <c r="F3283" s="1">
        <v>0.2</v>
      </c>
      <c r="G3283">
        <v>219.98</v>
      </c>
      <c r="H3283" s="22">
        <f>VLOOKUP(A3283,[1]Orders!$A$2:$B$1616,2,0)</f>
        <v>42998</v>
      </c>
      <c r="J3283" t="s">
        <v>83</v>
      </c>
      <c r="K3283" t="s">
        <v>37</v>
      </c>
    </row>
    <row r="3284" spans="1:11" x14ac:dyDescent="0.3">
      <c r="A3284">
        <v>1137</v>
      </c>
      <c r="B3284">
        <v>4</v>
      </c>
      <c r="C3284">
        <v>69</v>
      </c>
      <c r="D3284">
        <v>2</v>
      </c>
      <c r="E3284" s="1">
        <v>416.99</v>
      </c>
      <c r="F3284" s="1">
        <v>7.0000000000000007E-2</v>
      </c>
      <c r="G3284">
        <v>833.98</v>
      </c>
      <c r="H3284" s="22">
        <f>VLOOKUP(A3284,[1]Orders!$A$2:$B$1616,2,0)</f>
        <v>42998</v>
      </c>
      <c r="J3284" t="s">
        <v>89</v>
      </c>
      <c r="K3284" t="s">
        <v>37</v>
      </c>
    </row>
    <row r="3285" spans="1:11" x14ac:dyDescent="0.3">
      <c r="A3285">
        <v>1138</v>
      </c>
      <c r="B3285">
        <v>1</v>
      </c>
      <c r="C3285">
        <v>13</v>
      </c>
      <c r="D3285">
        <v>2</v>
      </c>
      <c r="E3285" s="1">
        <v>269.99</v>
      </c>
      <c r="F3285" s="1">
        <v>0.05</v>
      </c>
      <c r="G3285">
        <v>539.98</v>
      </c>
      <c r="H3285" s="22">
        <f>VLOOKUP(A3285,[1]Orders!$A$2:$B$1616,2,0)</f>
        <v>42999</v>
      </c>
      <c r="J3285" t="s">
        <v>31</v>
      </c>
      <c r="K3285" t="s">
        <v>11</v>
      </c>
    </row>
    <row r="3286" spans="1:11" x14ac:dyDescent="0.3">
      <c r="A3286">
        <v>1138</v>
      </c>
      <c r="B3286">
        <v>2</v>
      </c>
      <c r="C3286">
        <v>105</v>
      </c>
      <c r="D3286">
        <v>2</v>
      </c>
      <c r="E3286" s="1">
        <v>533.99</v>
      </c>
      <c r="F3286" s="1">
        <v>0.05</v>
      </c>
      <c r="G3286">
        <v>1067.98</v>
      </c>
      <c r="H3286" s="22">
        <f>VLOOKUP(A3286,[1]Orders!$A$2:$B$1616,2,0)</f>
        <v>42999</v>
      </c>
      <c r="J3286" t="s">
        <v>96</v>
      </c>
      <c r="K3286" t="s">
        <v>11</v>
      </c>
    </row>
    <row r="3287" spans="1:11" x14ac:dyDescent="0.3">
      <c r="A3287">
        <v>1138</v>
      </c>
      <c r="B3287">
        <v>3</v>
      </c>
      <c r="C3287">
        <v>93</v>
      </c>
      <c r="D3287">
        <v>1</v>
      </c>
      <c r="E3287" s="1">
        <v>209.99</v>
      </c>
      <c r="F3287" s="1">
        <v>0.1</v>
      </c>
      <c r="G3287">
        <v>209.99</v>
      </c>
      <c r="H3287" s="22">
        <f>VLOOKUP(A3287,[1]Orders!$A$2:$B$1616,2,0)</f>
        <v>42999</v>
      </c>
      <c r="J3287" t="s">
        <v>110</v>
      </c>
      <c r="K3287" t="s">
        <v>11</v>
      </c>
    </row>
    <row r="3288" spans="1:11" x14ac:dyDescent="0.3">
      <c r="A3288">
        <v>1139</v>
      </c>
      <c r="B3288">
        <v>1</v>
      </c>
      <c r="C3288">
        <v>106</v>
      </c>
      <c r="D3288">
        <v>2</v>
      </c>
      <c r="E3288" s="1">
        <v>449.99</v>
      </c>
      <c r="F3288" s="1">
        <v>0.05</v>
      </c>
      <c r="G3288">
        <v>899.98</v>
      </c>
      <c r="H3288" s="22">
        <f>VLOOKUP(A3288,[1]Orders!$A$2:$B$1616,2,0)</f>
        <v>42999</v>
      </c>
      <c r="J3288" t="s">
        <v>39</v>
      </c>
      <c r="K3288" t="s">
        <v>11</v>
      </c>
    </row>
    <row r="3289" spans="1:11" x14ac:dyDescent="0.3">
      <c r="A3289">
        <v>1139</v>
      </c>
      <c r="B3289">
        <v>2</v>
      </c>
      <c r="C3289">
        <v>44</v>
      </c>
      <c r="D3289">
        <v>2</v>
      </c>
      <c r="E3289" s="1">
        <v>539.99</v>
      </c>
      <c r="F3289" s="1">
        <v>0.1</v>
      </c>
      <c r="G3289">
        <v>1079.98</v>
      </c>
      <c r="H3289" s="22">
        <f>VLOOKUP(A3289,[1]Orders!$A$2:$B$1616,2,0)</f>
        <v>42999</v>
      </c>
      <c r="J3289" t="s">
        <v>108</v>
      </c>
      <c r="K3289" t="s">
        <v>11</v>
      </c>
    </row>
    <row r="3290" spans="1:11" x14ac:dyDescent="0.3">
      <c r="A3290">
        <v>1139</v>
      </c>
      <c r="B3290">
        <v>3</v>
      </c>
      <c r="C3290">
        <v>69</v>
      </c>
      <c r="D3290">
        <v>1</v>
      </c>
      <c r="E3290" s="1">
        <v>416.99</v>
      </c>
      <c r="F3290" s="1">
        <v>0.05</v>
      </c>
      <c r="G3290">
        <v>416.99</v>
      </c>
      <c r="H3290" s="22">
        <f>VLOOKUP(A3290,[1]Orders!$A$2:$B$1616,2,0)</f>
        <v>42999</v>
      </c>
      <c r="J3290" t="s">
        <v>89</v>
      </c>
      <c r="K3290" t="s">
        <v>11</v>
      </c>
    </row>
    <row r="3291" spans="1:11" x14ac:dyDescent="0.3">
      <c r="A3291">
        <v>1139</v>
      </c>
      <c r="B3291">
        <v>4</v>
      </c>
      <c r="C3291">
        <v>25</v>
      </c>
      <c r="D3291">
        <v>2</v>
      </c>
      <c r="E3291" s="1">
        <v>499.99</v>
      </c>
      <c r="F3291" s="1">
        <v>0.1</v>
      </c>
      <c r="G3291">
        <v>999.98</v>
      </c>
      <c r="H3291" s="22">
        <f>VLOOKUP(A3291,[1]Orders!$A$2:$B$1616,2,0)</f>
        <v>42999</v>
      </c>
      <c r="J3291" t="s">
        <v>35</v>
      </c>
      <c r="K3291" t="s">
        <v>11</v>
      </c>
    </row>
    <row r="3292" spans="1:11" x14ac:dyDescent="0.3">
      <c r="A3292">
        <v>1139</v>
      </c>
      <c r="B3292">
        <v>5</v>
      </c>
      <c r="C3292">
        <v>7</v>
      </c>
      <c r="D3292">
        <v>1</v>
      </c>
      <c r="E3292" s="1">
        <v>3999.99</v>
      </c>
      <c r="F3292" s="1">
        <v>0.1</v>
      </c>
      <c r="G3292">
        <v>3999.99</v>
      </c>
      <c r="H3292" s="22">
        <f>VLOOKUP(A3292,[1]Orders!$A$2:$B$1616,2,0)</f>
        <v>42999</v>
      </c>
      <c r="J3292" t="s">
        <v>29</v>
      </c>
      <c r="K3292" t="s">
        <v>11</v>
      </c>
    </row>
    <row r="3293" spans="1:11" x14ac:dyDescent="0.3">
      <c r="A3293">
        <v>1140</v>
      </c>
      <c r="B3293">
        <v>1</v>
      </c>
      <c r="C3293">
        <v>39</v>
      </c>
      <c r="D3293">
        <v>2</v>
      </c>
      <c r="E3293" s="1">
        <v>1499.99</v>
      </c>
      <c r="F3293" s="1">
        <v>0.1</v>
      </c>
      <c r="G3293">
        <v>2999.98</v>
      </c>
      <c r="H3293" s="22">
        <f>VLOOKUP(A3293,[1]Orders!$A$2:$B$1616,2,0)</f>
        <v>42999</v>
      </c>
      <c r="J3293" t="s">
        <v>72</v>
      </c>
      <c r="K3293" t="s">
        <v>37</v>
      </c>
    </row>
    <row r="3294" spans="1:11" x14ac:dyDescent="0.3">
      <c r="A3294">
        <v>1140</v>
      </c>
      <c r="B3294">
        <v>2</v>
      </c>
      <c r="C3294">
        <v>71</v>
      </c>
      <c r="D3294">
        <v>2</v>
      </c>
      <c r="E3294" s="1">
        <v>416.99</v>
      </c>
      <c r="F3294" s="1">
        <v>7.0000000000000007E-2</v>
      </c>
      <c r="G3294">
        <v>833.98</v>
      </c>
      <c r="H3294" s="22">
        <f>VLOOKUP(A3294,[1]Orders!$A$2:$B$1616,2,0)</f>
        <v>42999</v>
      </c>
      <c r="J3294" t="s">
        <v>78</v>
      </c>
      <c r="K3294" t="s">
        <v>37</v>
      </c>
    </row>
    <row r="3295" spans="1:11" x14ac:dyDescent="0.3">
      <c r="A3295">
        <v>1140</v>
      </c>
      <c r="B3295">
        <v>3</v>
      </c>
      <c r="C3295">
        <v>38</v>
      </c>
      <c r="D3295">
        <v>2</v>
      </c>
      <c r="E3295" s="1">
        <v>549.99</v>
      </c>
      <c r="F3295" s="1">
        <v>0.1</v>
      </c>
      <c r="G3295">
        <v>1099.98</v>
      </c>
      <c r="H3295" s="22">
        <f>VLOOKUP(A3295,[1]Orders!$A$2:$B$1616,2,0)</f>
        <v>42999</v>
      </c>
      <c r="J3295" t="s">
        <v>93</v>
      </c>
      <c r="K3295" t="s">
        <v>37</v>
      </c>
    </row>
    <row r="3296" spans="1:11" x14ac:dyDescent="0.3">
      <c r="A3296">
        <v>1140</v>
      </c>
      <c r="B3296">
        <v>4</v>
      </c>
      <c r="C3296">
        <v>40</v>
      </c>
      <c r="D3296">
        <v>2</v>
      </c>
      <c r="E3296" s="1">
        <v>4999.99</v>
      </c>
      <c r="F3296" s="1">
        <v>7.0000000000000007E-2</v>
      </c>
      <c r="G3296">
        <v>9999.98</v>
      </c>
      <c r="H3296" s="22">
        <f>VLOOKUP(A3296,[1]Orders!$A$2:$B$1616,2,0)</f>
        <v>42999</v>
      </c>
      <c r="J3296" t="s">
        <v>104</v>
      </c>
      <c r="K3296" t="s">
        <v>37</v>
      </c>
    </row>
    <row r="3297" spans="1:11" x14ac:dyDescent="0.3">
      <c r="A3297">
        <v>1141</v>
      </c>
      <c r="B3297">
        <v>1</v>
      </c>
      <c r="C3297">
        <v>8</v>
      </c>
      <c r="D3297">
        <v>1</v>
      </c>
      <c r="E3297" s="1">
        <v>1799.99</v>
      </c>
      <c r="F3297" s="1">
        <v>0.1</v>
      </c>
      <c r="G3297">
        <v>1799.99</v>
      </c>
      <c r="H3297" s="22">
        <f>VLOOKUP(A3297,[1]Orders!$A$2:$B$1616,2,0)</f>
        <v>43000</v>
      </c>
      <c r="J3297" t="s">
        <v>12</v>
      </c>
      <c r="K3297" t="s">
        <v>11</v>
      </c>
    </row>
    <row r="3298" spans="1:11" x14ac:dyDescent="0.3">
      <c r="A3298">
        <v>1142</v>
      </c>
      <c r="B3298">
        <v>1</v>
      </c>
      <c r="C3298">
        <v>20</v>
      </c>
      <c r="D3298">
        <v>2</v>
      </c>
      <c r="E3298" s="1">
        <v>599.99</v>
      </c>
      <c r="F3298" s="1">
        <v>7.0000000000000007E-2</v>
      </c>
      <c r="G3298">
        <v>1199.98</v>
      </c>
      <c r="H3298" s="22">
        <f>VLOOKUP(A3298,[1]Orders!$A$2:$B$1616,2,0)</f>
        <v>43001</v>
      </c>
      <c r="J3298" t="s">
        <v>10</v>
      </c>
      <c r="K3298" t="s">
        <v>11</v>
      </c>
    </row>
    <row r="3299" spans="1:11" x14ac:dyDescent="0.3">
      <c r="A3299">
        <v>1142</v>
      </c>
      <c r="B3299">
        <v>2</v>
      </c>
      <c r="C3299">
        <v>30</v>
      </c>
      <c r="D3299">
        <v>1</v>
      </c>
      <c r="E3299" s="1">
        <v>999.99</v>
      </c>
      <c r="F3299" s="1">
        <v>0.1</v>
      </c>
      <c r="G3299">
        <v>999.99</v>
      </c>
      <c r="H3299" s="22">
        <f>VLOOKUP(A3299,[1]Orders!$A$2:$B$1616,2,0)</f>
        <v>43001</v>
      </c>
      <c r="J3299" t="s">
        <v>47</v>
      </c>
      <c r="K3299" t="s">
        <v>11</v>
      </c>
    </row>
    <row r="3300" spans="1:11" x14ac:dyDescent="0.3">
      <c r="A3300">
        <v>1142</v>
      </c>
      <c r="B3300">
        <v>3</v>
      </c>
      <c r="C3300">
        <v>109</v>
      </c>
      <c r="D3300">
        <v>2</v>
      </c>
      <c r="E3300" s="1">
        <v>416.99</v>
      </c>
      <c r="F3300" s="1">
        <v>0.05</v>
      </c>
      <c r="G3300">
        <v>833.98</v>
      </c>
      <c r="H3300" s="22">
        <f>VLOOKUP(A3300,[1]Orders!$A$2:$B$1616,2,0)</f>
        <v>43001</v>
      </c>
      <c r="J3300" t="s">
        <v>49</v>
      </c>
      <c r="K3300" t="s">
        <v>11</v>
      </c>
    </row>
    <row r="3301" spans="1:11" x14ac:dyDescent="0.3">
      <c r="A3301">
        <v>1142</v>
      </c>
      <c r="B3301">
        <v>4</v>
      </c>
      <c r="C3301">
        <v>108</v>
      </c>
      <c r="D3301">
        <v>2</v>
      </c>
      <c r="E3301" s="1">
        <v>449.99</v>
      </c>
      <c r="F3301" s="1">
        <v>0.2</v>
      </c>
      <c r="G3301">
        <v>899.98</v>
      </c>
      <c r="H3301" s="22">
        <f>VLOOKUP(A3301,[1]Orders!$A$2:$B$1616,2,0)</f>
        <v>43001</v>
      </c>
      <c r="J3301" t="s">
        <v>85</v>
      </c>
      <c r="K3301" t="s">
        <v>11</v>
      </c>
    </row>
    <row r="3302" spans="1:11" x14ac:dyDescent="0.3">
      <c r="A3302">
        <v>1142</v>
      </c>
      <c r="B3302">
        <v>5</v>
      </c>
      <c r="C3302">
        <v>100</v>
      </c>
      <c r="D3302">
        <v>2</v>
      </c>
      <c r="E3302" s="1">
        <v>489.99</v>
      </c>
      <c r="F3302" s="1">
        <v>0.05</v>
      </c>
      <c r="G3302">
        <v>979.98</v>
      </c>
      <c r="H3302" s="22">
        <f>VLOOKUP(A3302,[1]Orders!$A$2:$B$1616,2,0)</f>
        <v>43001</v>
      </c>
      <c r="J3302" t="s">
        <v>105</v>
      </c>
      <c r="K3302" t="s">
        <v>11</v>
      </c>
    </row>
    <row r="3303" spans="1:11" x14ac:dyDescent="0.3">
      <c r="A3303">
        <v>1143</v>
      </c>
      <c r="B3303">
        <v>1</v>
      </c>
      <c r="C3303">
        <v>99</v>
      </c>
      <c r="D3303">
        <v>1</v>
      </c>
      <c r="E3303" s="1">
        <v>299.99</v>
      </c>
      <c r="F3303" s="1">
        <v>0.2</v>
      </c>
      <c r="G3303">
        <v>299.99</v>
      </c>
      <c r="H3303" s="22">
        <f>VLOOKUP(A3303,[1]Orders!$A$2:$B$1616,2,0)</f>
        <v>43002</v>
      </c>
      <c r="J3303" t="s">
        <v>52</v>
      </c>
      <c r="K3303" t="s">
        <v>11</v>
      </c>
    </row>
    <row r="3304" spans="1:11" x14ac:dyDescent="0.3">
      <c r="A3304">
        <v>1143</v>
      </c>
      <c r="B3304">
        <v>2</v>
      </c>
      <c r="C3304">
        <v>48</v>
      </c>
      <c r="D3304">
        <v>1</v>
      </c>
      <c r="E3304" s="1">
        <v>1499.99</v>
      </c>
      <c r="F3304" s="1">
        <v>0.2</v>
      </c>
      <c r="G3304">
        <v>1499.99</v>
      </c>
      <c r="H3304" s="22">
        <f>VLOOKUP(A3304,[1]Orders!$A$2:$B$1616,2,0)</f>
        <v>43002</v>
      </c>
      <c r="J3304" t="s">
        <v>84</v>
      </c>
      <c r="K3304" t="s">
        <v>11</v>
      </c>
    </row>
    <row r="3305" spans="1:11" x14ac:dyDescent="0.3">
      <c r="A3305">
        <v>1143</v>
      </c>
      <c r="B3305">
        <v>3</v>
      </c>
      <c r="C3305">
        <v>69</v>
      </c>
      <c r="D3305">
        <v>2</v>
      </c>
      <c r="E3305" s="1">
        <v>416.99</v>
      </c>
      <c r="F3305" s="1">
        <v>0.1</v>
      </c>
      <c r="G3305">
        <v>833.98</v>
      </c>
      <c r="H3305" s="22">
        <f>VLOOKUP(A3305,[1]Orders!$A$2:$B$1616,2,0)</f>
        <v>43002</v>
      </c>
      <c r="J3305" t="s">
        <v>89</v>
      </c>
      <c r="K3305" t="s">
        <v>11</v>
      </c>
    </row>
    <row r="3306" spans="1:11" x14ac:dyDescent="0.3">
      <c r="A3306">
        <v>1144</v>
      </c>
      <c r="B3306">
        <v>1</v>
      </c>
      <c r="C3306">
        <v>88</v>
      </c>
      <c r="D3306">
        <v>1</v>
      </c>
      <c r="E3306" s="1">
        <v>189.99</v>
      </c>
      <c r="F3306" s="1">
        <v>7.0000000000000007E-2</v>
      </c>
      <c r="G3306">
        <v>189.99</v>
      </c>
      <c r="H3306" s="22">
        <f>VLOOKUP(A3306,[1]Orders!$A$2:$B$1616,2,0)</f>
        <v>43002</v>
      </c>
      <c r="J3306" t="s">
        <v>64</v>
      </c>
      <c r="K3306" t="s">
        <v>18</v>
      </c>
    </row>
    <row r="3307" spans="1:11" x14ac:dyDescent="0.3">
      <c r="A3307">
        <v>1145</v>
      </c>
      <c r="B3307">
        <v>1</v>
      </c>
      <c r="C3307">
        <v>105</v>
      </c>
      <c r="D3307">
        <v>2</v>
      </c>
      <c r="E3307" s="1">
        <v>533.99</v>
      </c>
      <c r="F3307" s="1">
        <v>7.0000000000000007E-2</v>
      </c>
      <c r="G3307">
        <v>1067.98</v>
      </c>
      <c r="H3307" s="22">
        <f>VLOOKUP(A3307,[1]Orders!$A$2:$B$1616,2,0)</f>
        <v>43003</v>
      </c>
      <c r="J3307" t="s">
        <v>96</v>
      </c>
      <c r="K3307" t="s">
        <v>18</v>
      </c>
    </row>
    <row r="3308" spans="1:11" x14ac:dyDescent="0.3">
      <c r="A3308">
        <v>1146</v>
      </c>
      <c r="B3308">
        <v>1</v>
      </c>
      <c r="C3308">
        <v>36</v>
      </c>
      <c r="D3308">
        <v>1</v>
      </c>
      <c r="E3308" s="1">
        <v>832.99</v>
      </c>
      <c r="F3308" s="1">
        <v>7.0000000000000007E-2</v>
      </c>
      <c r="G3308">
        <v>832.99</v>
      </c>
      <c r="H3308" s="22">
        <f>VLOOKUP(A3308,[1]Orders!$A$2:$B$1616,2,0)</f>
        <v>43003</v>
      </c>
      <c r="J3308" t="s">
        <v>116</v>
      </c>
      <c r="K3308" t="s">
        <v>18</v>
      </c>
    </row>
    <row r="3309" spans="1:11" x14ac:dyDescent="0.3">
      <c r="A3309">
        <v>1146</v>
      </c>
      <c r="B3309">
        <v>2</v>
      </c>
      <c r="C3309">
        <v>64</v>
      </c>
      <c r="D3309">
        <v>1</v>
      </c>
      <c r="E3309" s="1">
        <v>489.99</v>
      </c>
      <c r="F3309" s="1">
        <v>0.2</v>
      </c>
      <c r="G3309">
        <v>489.99</v>
      </c>
      <c r="H3309" s="22">
        <f>VLOOKUP(A3309,[1]Orders!$A$2:$B$1616,2,0)</f>
        <v>43003</v>
      </c>
      <c r="J3309" t="s">
        <v>51</v>
      </c>
      <c r="K3309" t="s">
        <v>18</v>
      </c>
    </row>
    <row r="3310" spans="1:11" x14ac:dyDescent="0.3">
      <c r="A3310">
        <v>1146</v>
      </c>
      <c r="B3310">
        <v>3</v>
      </c>
      <c r="C3310">
        <v>11</v>
      </c>
      <c r="D3310">
        <v>1</v>
      </c>
      <c r="E3310" s="1">
        <v>1680.99</v>
      </c>
      <c r="F3310" s="1">
        <v>0.2</v>
      </c>
      <c r="G3310">
        <v>1680.99</v>
      </c>
      <c r="H3310" s="22">
        <f>VLOOKUP(A3310,[1]Orders!$A$2:$B$1616,2,0)</f>
        <v>43003</v>
      </c>
      <c r="J3310" t="s">
        <v>30</v>
      </c>
      <c r="K3310" t="s">
        <v>18</v>
      </c>
    </row>
    <row r="3311" spans="1:11" x14ac:dyDescent="0.3">
      <c r="A3311">
        <v>1147</v>
      </c>
      <c r="B3311">
        <v>1</v>
      </c>
      <c r="C3311">
        <v>82</v>
      </c>
      <c r="D3311">
        <v>1</v>
      </c>
      <c r="E3311" s="1">
        <v>659.99</v>
      </c>
      <c r="F3311" s="1">
        <v>0.2</v>
      </c>
      <c r="G3311">
        <v>659.99</v>
      </c>
      <c r="H3311" s="22">
        <f>VLOOKUP(A3311,[1]Orders!$A$2:$B$1616,2,0)</f>
        <v>43003</v>
      </c>
      <c r="J3311" t="s">
        <v>100</v>
      </c>
      <c r="K3311" t="s">
        <v>18</v>
      </c>
    </row>
    <row r="3312" spans="1:11" x14ac:dyDescent="0.3">
      <c r="A3312">
        <v>1147</v>
      </c>
      <c r="B3312">
        <v>2</v>
      </c>
      <c r="C3312">
        <v>39</v>
      </c>
      <c r="D3312">
        <v>2</v>
      </c>
      <c r="E3312" s="1">
        <v>1499.99</v>
      </c>
      <c r="F3312" s="1">
        <v>0.05</v>
      </c>
      <c r="G3312">
        <v>2999.98</v>
      </c>
      <c r="H3312" s="22">
        <f>VLOOKUP(A3312,[1]Orders!$A$2:$B$1616,2,0)</f>
        <v>43003</v>
      </c>
      <c r="J3312" t="s">
        <v>72</v>
      </c>
      <c r="K3312" t="s">
        <v>18</v>
      </c>
    </row>
    <row r="3313" spans="1:11" x14ac:dyDescent="0.3">
      <c r="A3313">
        <v>1148</v>
      </c>
      <c r="B3313">
        <v>1</v>
      </c>
      <c r="C3313">
        <v>82</v>
      </c>
      <c r="D3313">
        <v>1</v>
      </c>
      <c r="E3313" s="1">
        <v>659.99</v>
      </c>
      <c r="F3313" s="1">
        <v>7.0000000000000007E-2</v>
      </c>
      <c r="G3313">
        <v>659.99</v>
      </c>
      <c r="H3313" s="22">
        <f>VLOOKUP(A3313,[1]Orders!$A$2:$B$1616,2,0)</f>
        <v>43003</v>
      </c>
      <c r="J3313" t="s">
        <v>100</v>
      </c>
      <c r="K3313" t="s">
        <v>18</v>
      </c>
    </row>
    <row r="3314" spans="1:11" x14ac:dyDescent="0.3">
      <c r="A3314">
        <v>1148</v>
      </c>
      <c r="B3314">
        <v>2</v>
      </c>
      <c r="C3314">
        <v>22</v>
      </c>
      <c r="D3314">
        <v>1</v>
      </c>
      <c r="E3314" s="1">
        <v>269.99</v>
      </c>
      <c r="F3314" s="1">
        <v>7.0000000000000007E-2</v>
      </c>
      <c r="G3314">
        <v>269.99</v>
      </c>
      <c r="H3314" s="22">
        <f>VLOOKUP(A3314,[1]Orders!$A$2:$B$1616,2,0)</f>
        <v>43003</v>
      </c>
      <c r="J3314" t="s">
        <v>28</v>
      </c>
      <c r="K3314" t="s">
        <v>18</v>
      </c>
    </row>
    <row r="3315" spans="1:11" x14ac:dyDescent="0.3">
      <c r="A3315">
        <v>1148</v>
      </c>
      <c r="B3315">
        <v>3</v>
      </c>
      <c r="C3315">
        <v>77</v>
      </c>
      <c r="D3315">
        <v>2</v>
      </c>
      <c r="E3315" s="1">
        <v>799.99</v>
      </c>
      <c r="F3315" s="1">
        <v>0.05</v>
      </c>
      <c r="G3315">
        <v>1599.98</v>
      </c>
      <c r="H3315" s="22">
        <f>VLOOKUP(A3315,[1]Orders!$A$2:$B$1616,2,0)</f>
        <v>43003</v>
      </c>
      <c r="J3315" t="s">
        <v>113</v>
      </c>
      <c r="K3315" t="s">
        <v>18</v>
      </c>
    </row>
    <row r="3316" spans="1:11" x14ac:dyDescent="0.3">
      <c r="A3316">
        <v>1148</v>
      </c>
      <c r="B3316">
        <v>4</v>
      </c>
      <c r="C3316">
        <v>94</v>
      </c>
      <c r="D3316">
        <v>2</v>
      </c>
      <c r="E3316" s="1">
        <v>249.99</v>
      </c>
      <c r="F3316" s="1">
        <v>0.1</v>
      </c>
      <c r="G3316">
        <v>499.98</v>
      </c>
      <c r="H3316" s="22">
        <f>VLOOKUP(A3316,[1]Orders!$A$2:$B$1616,2,0)</f>
        <v>43003</v>
      </c>
      <c r="J3316" t="s">
        <v>59</v>
      </c>
      <c r="K3316" t="s">
        <v>18</v>
      </c>
    </row>
    <row r="3317" spans="1:11" x14ac:dyDescent="0.3">
      <c r="A3317">
        <v>1149</v>
      </c>
      <c r="B3317">
        <v>1</v>
      </c>
      <c r="C3317">
        <v>98</v>
      </c>
      <c r="D3317">
        <v>2</v>
      </c>
      <c r="E3317" s="1">
        <v>489.99</v>
      </c>
      <c r="F3317" s="1">
        <v>7.0000000000000007E-2</v>
      </c>
      <c r="G3317">
        <v>979.98</v>
      </c>
      <c r="H3317" s="22">
        <f>VLOOKUP(A3317,[1]Orders!$A$2:$B$1616,2,0)</f>
        <v>43005</v>
      </c>
      <c r="J3317" t="s">
        <v>82</v>
      </c>
      <c r="K3317" t="s">
        <v>18</v>
      </c>
    </row>
    <row r="3318" spans="1:11" x14ac:dyDescent="0.3">
      <c r="A3318">
        <v>1149</v>
      </c>
      <c r="B3318">
        <v>2</v>
      </c>
      <c r="C3318">
        <v>48</v>
      </c>
      <c r="D3318">
        <v>1</v>
      </c>
      <c r="E3318" s="1">
        <v>1499.99</v>
      </c>
      <c r="F3318" s="1">
        <v>0.05</v>
      </c>
      <c r="G3318">
        <v>1499.99</v>
      </c>
      <c r="H3318" s="22">
        <f>VLOOKUP(A3318,[1]Orders!$A$2:$B$1616,2,0)</f>
        <v>43005</v>
      </c>
      <c r="J3318" t="s">
        <v>84</v>
      </c>
      <c r="K3318" t="s">
        <v>18</v>
      </c>
    </row>
    <row r="3319" spans="1:11" x14ac:dyDescent="0.3">
      <c r="A3319">
        <v>1149</v>
      </c>
      <c r="B3319">
        <v>3</v>
      </c>
      <c r="C3319">
        <v>58</v>
      </c>
      <c r="D3319">
        <v>1</v>
      </c>
      <c r="E3319" s="1">
        <v>4999.99</v>
      </c>
      <c r="F3319" s="1">
        <v>0.05</v>
      </c>
      <c r="G3319">
        <v>4999.99</v>
      </c>
      <c r="H3319" s="22">
        <f>VLOOKUP(A3319,[1]Orders!$A$2:$B$1616,2,0)</f>
        <v>43005</v>
      </c>
      <c r="J3319" t="s">
        <v>81</v>
      </c>
      <c r="K3319" t="s">
        <v>18</v>
      </c>
    </row>
    <row r="3320" spans="1:11" x14ac:dyDescent="0.3">
      <c r="A3320">
        <v>1149</v>
      </c>
      <c r="B3320">
        <v>4</v>
      </c>
      <c r="C3320">
        <v>85</v>
      </c>
      <c r="D3320">
        <v>1</v>
      </c>
      <c r="E3320" s="1">
        <v>329.99</v>
      </c>
      <c r="F3320" s="1">
        <v>0.2</v>
      </c>
      <c r="G3320">
        <v>329.99</v>
      </c>
      <c r="H3320" s="22">
        <f>VLOOKUP(A3320,[1]Orders!$A$2:$B$1616,2,0)</f>
        <v>43005</v>
      </c>
      <c r="J3320" t="s">
        <v>38</v>
      </c>
      <c r="K3320" t="s">
        <v>18</v>
      </c>
    </row>
    <row r="3321" spans="1:11" x14ac:dyDescent="0.3">
      <c r="A3321">
        <v>1149</v>
      </c>
      <c r="B3321">
        <v>5</v>
      </c>
      <c r="C3321">
        <v>94</v>
      </c>
      <c r="D3321">
        <v>1</v>
      </c>
      <c r="E3321" s="1">
        <v>249.99</v>
      </c>
      <c r="F3321" s="1">
        <v>0.1</v>
      </c>
      <c r="G3321">
        <v>249.99</v>
      </c>
      <c r="H3321" s="22">
        <f>VLOOKUP(A3321,[1]Orders!$A$2:$B$1616,2,0)</f>
        <v>43005</v>
      </c>
      <c r="J3321" t="s">
        <v>59</v>
      </c>
      <c r="K3321" t="s">
        <v>18</v>
      </c>
    </row>
    <row r="3322" spans="1:11" x14ac:dyDescent="0.3">
      <c r="A3322">
        <v>1150</v>
      </c>
      <c r="B3322">
        <v>1</v>
      </c>
      <c r="C3322">
        <v>29</v>
      </c>
      <c r="D3322">
        <v>1</v>
      </c>
      <c r="E3322" s="1">
        <v>999.99</v>
      </c>
      <c r="F3322" s="1">
        <v>0.05</v>
      </c>
      <c r="G3322">
        <v>999.99</v>
      </c>
      <c r="H3322" s="22">
        <f>VLOOKUP(A3322,[1]Orders!$A$2:$B$1616,2,0)</f>
        <v>43006</v>
      </c>
      <c r="J3322" t="s">
        <v>71</v>
      </c>
      <c r="K3322" t="s">
        <v>18</v>
      </c>
    </row>
    <row r="3323" spans="1:11" x14ac:dyDescent="0.3">
      <c r="A3323">
        <v>1150</v>
      </c>
      <c r="B3323">
        <v>2</v>
      </c>
      <c r="C3323">
        <v>91</v>
      </c>
      <c r="D3323">
        <v>1</v>
      </c>
      <c r="E3323" s="1">
        <v>349.99</v>
      </c>
      <c r="F3323" s="1">
        <v>0.05</v>
      </c>
      <c r="G3323">
        <v>349.99</v>
      </c>
      <c r="H3323" s="22">
        <f>VLOOKUP(A3323,[1]Orders!$A$2:$B$1616,2,0)</f>
        <v>43006</v>
      </c>
      <c r="J3323" t="s">
        <v>97</v>
      </c>
      <c r="K3323" t="s">
        <v>18</v>
      </c>
    </row>
    <row r="3324" spans="1:11" x14ac:dyDescent="0.3">
      <c r="A3324">
        <v>1150</v>
      </c>
      <c r="B3324">
        <v>3</v>
      </c>
      <c r="C3324">
        <v>104</v>
      </c>
      <c r="D3324">
        <v>2</v>
      </c>
      <c r="E3324" s="1">
        <v>481.99</v>
      </c>
      <c r="F3324" s="1">
        <v>7.0000000000000007E-2</v>
      </c>
      <c r="G3324">
        <v>963.98</v>
      </c>
      <c r="H3324" s="22">
        <f>VLOOKUP(A3324,[1]Orders!$A$2:$B$1616,2,0)</f>
        <v>43006</v>
      </c>
      <c r="J3324" t="s">
        <v>87</v>
      </c>
      <c r="K3324" t="s">
        <v>18</v>
      </c>
    </row>
    <row r="3325" spans="1:11" x14ac:dyDescent="0.3">
      <c r="A3325">
        <v>1150</v>
      </c>
      <c r="B3325">
        <v>4</v>
      </c>
      <c r="C3325">
        <v>21</v>
      </c>
      <c r="D3325">
        <v>2</v>
      </c>
      <c r="E3325" s="1">
        <v>269.99</v>
      </c>
      <c r="F3325" s="1">
        <v>0.1</v>
      </c>
      <c r="G3325">
        <v>539.98</v>
      </c>
      <c r="H3325" s="22">
        <f>VLOOKUP(A3325,[1]Orders!$A$2:$B$1616,2,0)</f>
        <v>43006</v>
      </c>
      <c r="J3325" t="s">
        <v>31</v>
      </c>
      <c r="K3325" t="s">
        <v>18</v>
      </c>
    </row>
    <row r="3326" spans="1:11" x14ac:dyDescent="0.3">
      <c r="A3326">
        <v>1151</v>
      </c>
      <c r="B3326">
        <v>1</v>
      </c>
      <c r="C3326">
        <v>30</v>
      </c>
      <c r="D3326">
        <v>2</v>
      </c>
      <c r="E3326" s="1">
        <v>999.99</v>
      </c>
      <c r="F3326" s="1">
        <v>0.05</v>
      </c>
      <c r="G3326">
        <v>1999.98</v>
      </c>
      <c r="H3326" s="22">
        <f>VLOOKUP(A3326,[1]Orders!$A$2:$B$1616,2,0)</f>
        <v>43007</v>
      </c>
      <c r="J3326" t="s">
        <v>47</v>
      </c>
      <c r="K3326" t="s">
        <v>11</v>
      </c>
    </row>
    <row r="3327" spans="1:11" x14ac:dyDescent="0.3">
      <c r="A3327">
        <v>1152</v>
      </c>
      <c r="B3327">
        <v>1</v>
      </c>
      <c r="C3327">
        <v>58</v>
      </c>
      <c r="D3327">
        <v>1</v>
      </c>
      <c r="E3327" s="1">
        <v>4999.99</v>
      </c>
      <c r="F3327" s="1">
        <v>7.0000000000000007E-2</v>
      </c>
      <c r="G3327">
        <v>4999.99</v>
      </c>
      <c r="H3327" s="22">
        <f>VLOOKUP(A3327,[1]Orders!$A$2:$B$1616,2,0)</f>
        <v>43007</v>
      </c>
      <c r="J3327" t="s">
        <v>81</v>
      </c>
      <c r="K3327" t="s">
        <v>18</v>
      </c>
    </row>
    <row r="3328" spans="1:11" x14ac:dyDescent="0.3">
      <c r="A3328">
        <v>1152</v>
      </c>
      <c r="B3328">
        <v>2</v>
      </c>
      <c r="C3328">
        <v>91</v>
      </c>
      <c r="D3328">
        <v>2</v>
      </c>
      <c r="E3328" s="1">
        <v>349.99</v>
      </c>
      <c r="F3328" s="1">
        <v>0.2</v>
      </c>
      <c r="G3328">
        <v>699.98</v>
      </c>
      <c r="H3328" s="22">
        <f>VLOOKUP(A3328,[1]Orders!$A$2:$B$1616,2,0)</f>
        <v>43007</v>
      </c>
      <c r="J3328" t="s">
        <v>97</v>
      </c>
      <c r="K3328" t="s">
        <v>18</v>
      </c>
    </row>
    <row r="3329" spans="1:11" x14ac:dyDescent="0.3">
      <c r="A3329">
        <v>1152</v>
      </c>
      <c r="B3329">
        <v>3</v>
      </c>
      <c r="C3329">
        <v>24</v>
      </c>
      <c r="D3329">
        <v>1</v>
      </c>
      <c r="E3329" s="1">
        <v>549.99</v>
      </c>
      <c r="F3329" s="1">
        <v>0.05</v>
      </c>
      <c r="G3329">
        <v>549.99</v>
      </c>
      <c r="H3329" s="22">
        <f>VLOOKUP(A3329,[1]Orders!$A$2:$B$1616,2,0)</f>
        <v>43007</v>
      </c>
      <c r="J3329" t="s">
        <v>25</v>
      </c>
      <c r="K3329" t="s">
        <v>18</v>
      </c>
    </row>
    <row r="3330" spans="1:11" x14ac:dyDescent="0.3">
      <c r="A3330">
        <v>1153</v>
      </c>
      <c r="B3330">
        <v>1</v>
      </c>
      <c r="C3330">
        <v>103</v>
      </c>
      <c r="D3330">
        <v>1</v>
      </c>
      <c r="E3330" s="1">
        <v>551.99</v>
      </c>
      <c r="F3330" s="1">
        <v>0.1</v>
      </c>
      <c r="G3330">
        <v>551.99</v>
      </c>
      <c r="H3330" s="22">
        <f>VLOOKUP(A3330,[1]Orders!$A$2:$B$1616,2,0)</f>
        <v>43008</v>
      </c>
      <c r="J3330" t="s">
        <v>40</v>
      </c>
      <c r="K3330" t="s">
        <v>18</v>
      </c>
    </row>
    <row r="3331" spans="1:11" x14ac:dyDescent="0.3">
      <c r="A3331">
        <v>1153</v>
      </c>
      <c r="B3331">
        <v>2</v>
      </c>
      <c r="C3331">
        <v>6</v>
      </c>
      <c r="D3331">
        <v>2</v>
      </c>
      <c r="E3331" s="1">
        <v>469.99</v>
      </c>
      <c r="F3331" s="1">
        <v>0.05</v>
      </c>
      <c r="G3331">
        <v>939.98</v>
      </c>
      <c r="H3331" s="22">
        <f>VLOOKUP(A3331,[1]Orders!$A$2:$B$1616,2,0)</f>
        <v>43008</v>
      </c>
      <c r="J3331" t="s">
        <v>32</v>
      </c>
      <c r="K3331" t="s">
        <v>18</v>
      </c>
    </row>
    <row r="3332" spans="1:11" x14ac:dyDescent="0.3">
      <c r="A3332">
        <v>1154</v>
      </c>
      <c r="B3332">
        <v>1</v>
      </c>
      <c r="C3332">
        <v>17</v>
      </c>
      <c r="D3332">
        <v>1</v>
      </c>
      <c r="E3332" s="1">
        <v>429</v>
      </c>
      <c r="F3332" s="1">
        <v>0.2</v>
      </c>
      <c r="G3332">
        <v>429</v>
      </c>
      <c r="H3332" s="22">
        <f>VLOOKUP(A3332,[1]Orders!$A$2:$B$1616,2,0)</f>
        <v>43008</v>
      </c>
      <c r="J3332" t="s">
        <v>23</v>
      </c>
      <c r="K3332" t="s">
        <v>18</v>
      </c>
    </row>
    <row r="3333" spans="1:11" x14ac:dyDescent="0.3">
      <c r="A3333">
        <v>1154</v>
      </c>
      <c r="B3333">
        <v>2</v>
      </c>
      <c r="C3333">
        <v>60</v>
      </c>
      <c r="D3333">
        <v>1</v>
      </c>
      <c r="E3333" s="1">
        <v>1559.99</v>
      </c>
      <c r="F3333" s="1">
        <v>7.0000000000000007E-2</v>
      </c>
      <c r="G3333">
        <v>1559.99</v>
      </c>
      <c r="H3333" s="22">
        <f>VLOOKUP(A3333,[1]Orders!$A$2:$B$1616,2,0)</f>
        <v>43008</v>
      </c>
      <c r="J3333" t="s">
        <v>101</v>
      </c>
      <c r="K3333" t="s">
        <v>18</v>
      </c>
    </row>
    <row r="3334" spans="1:11" x14ac:dyDescent="0.3">
      <c r="A3334">
        <v>1154</v>
      </c>
      <c r="B3334">
        <v>3</v>
      </c>
      <c r="C3334">
        <v>67</v>
      </c>
      <c r="D3334">
        <v>2</v>
      </c>
      <c r="E3334" s="1">
        <v>250.99</v>
      </c>
      <c r="F3334" s="1">
        <v>0.2</v>
      </c>
      <c r="G3334">
        <v>501.98</v>
      </c>
      <c r="H3334" s="22">
        <f>VLOOKUP(A3334,[1]Orders!$A$2:$B$1616,2,0)</f>
        <v>43008</v>
      </c>
      <c r="J3334" t="s">
        <v>60</v>
      </c>
      <c r="K3334" t="s">
        <v>18</v>
      </c>
    </row>
    <row r="3335" spans="1:11" x14ac:dyDescent="0.3">
      <c r="A3335">
        <v>1155</v>
      </c>
      <c r="B3335">
        <v>1</v>
      </c>
      <c r="C3335">
        <v>68</v>
      </c>
      <c r="D3335">
        <v>2</v>
      </c>
      <c r="E3335" s="1">
        <v>449.99</v>
      </c>
      <c r="F3335" s="1">
        <v>0.05</v>
      </c>
      <c r="G3335">
        <v>899.98</v>
      </c>
      <c r="H3335" s="22">
        <f>VLOOKUP(A3335,[1]Orders!$A$2:$B$1616,2,0)</f>
        <v>43008</v>
      </c>
      <c r="J3335" t="s">
        <v>39</v>
      </c>
      <c r="K3335" t="s">
        <v>18</v>
      </c>
    </row>
    <row r="3336" spans="1:11" x14ac:dyDescent="0.3">
      <c r="A3336">
        <v>1155</v>
      </c>
      <c r="B3336">
        <v>2</v>
      </c>
      <c r="C3336">
        <v>6</v>
      </c>
      <c r="D3336">
        <v>2</v>
      </c>
      <c r="E3336" s="1">
        <v>469.99</v>
      </c>
      <c r="F3336" s="1">
        <v>0.1</v>
      </c>
      <c r="G3336">
        <v>939.98</v>
      </c>
      <c r="H3336" s="22">
        <f>VLOOKUP(A3336,[1]Orders!$A$2:$B$1616,2,0)</f>
        <v>43008</v>
      </c>
      <c r="J3336" t="s">
        <v>32</v>
      </c>
      <c r="K3336" t="s">
        <v>18</v>
      </c>
    </row>
    <row r="3337" spans="1:11" x14ac:dyDescent="0.3">
      <c r="A3337">
        <v>1155</v>
      </c>
      <c r="B3337">
        <v>3</v>
      </c>
      <c r="C3337">
        <v>35</v>
      </c>
      <c r="D3337">
        <v>1</v>
      </c>
      <c r="E3337" s="1">
        <v>832.99</v>
      </c>
      <c r="F3337" s="1">
        <v>7.0000000000000007E-2</v>
      </c>
      <c r="G3337">
        <v>832.99</v>
      </c>
      <c r="H3337" s="22">
        <f>VLOOKUP(A3337,[1]Orders!$A$2:$B$1616,2,0)</f>
        <v>43008</v>
      </c>
      <c r="J3337" t="s">
        <v>109</v>
      </c>
      <c r="K3337" t="s">
        <v>18</v>
      </c>
    </row>
    <row r="3338" spans="1:11" x14ac:dyDescent="0.3">
      <c r="A3338">
        <v>1155</v>
      </c>
      <c r="B3338">
        <v>4</v>
      </c>
      <c r="C3338">
        <v>77</v>
      </c>
      <c r="D3338">
        <v>2</v>
      </c>
      <c r="E3338" s="1">
        <v>799.99</v>
      </c>
      <c r="F3338" s="1">
        <v>0.05</v>
      </c>
      <c r="G3338">
        <v>1599.98</v>
      </c>
      <c r="H3338" s="22">
        <f>VLOOKUP(A3338,[1]Orders!$A$2:$B$1616,2,0)</f>
        <v>43008</v>
      </c>
      <c r="J3338" t="s">
        <v>113</v>
      </c>
      <c r="K3338" t="s">
        <v>18</v>
      </c>
    </row>
    <row r="3339" spans="1:11" x14ac:dyDescent="0.3">
      <c r="A3339">
        <v>1156</v>
      </c>
      <c r="B3339">
        <v>1</v>
      </c>
      <c r="C3339">
        <v>111</v>
      </c>
      <c r="D3339">
        <v>2</v>
      </c>
      <c r="E3339" s="1">
        <v>470.99</v>
      </c>
      <c r="F3339" s="1">
        <v>0.05</v>
      </c>
      <c r="G3339">
        <v>941.98</v>
      </c>
      <c r="H3339" s="22">
        <f>VLOOKUP(A3339,[1]Orders!$A$2:$B$1616,2,0)</f>
        <v>43008</v>
      </c>
      <c r="J3339" t="s">
        <v>112</v>
      </c>
      <c r="K3339" t="s">
        <v>18</v>
      </c>
    </row>
    <row r="3340" spans="1:11" x14ac:dyDescent="0.3">
      <c r="A3340">
        <v>1156</v>
      </c>
      <c r="B3340">
        <v>2</v>
      </c>
      <c r="C3340">
        <v>86</v>
      </c>
      <c r="D3340">
        <v>1</v>
      </c>
      <c r="E3340" s="1">
        <v>149.99</v>
      </c>
      <c r="F3340" s="1">
        <v>0.05</v>
      </c>
      <c r="G3340">
        <v>149.99</v>
      </c>
      <c r="H3340" s="22">
        <f>VLOOKUP(A3340,[1]Orders!$A$2:$B$1616,2,0)</f>
        <v>43008</v>
      </c>
      <c r="J3340" t="s">
        <v>115</v>
      </c>
      <c r="K3340" t="s">
        <v>18</v>
      </c>
    </row>
    <row r="3341" spans="1:11" x14ac:dyDescent="0.3">
      <c r="A3341">
        <v>1157</v>
      </c>
      <c r="B3341">
        <v>1</v>
      </c>
      <c r="C3341">
        <v>20</v>
      </c>
      <c r="D3341">
        <v>1</v>
      </c>
      <c r="E3341" s="1">
        <v>599.99</v>
      </c>
      <c r="F3341" s="1">
        <v>0.1</v>
      </c>
      <c r="G3341">
        <v>599.99</v>
      </c>
      <c r="H3341" s="22">
        <f>VLOOKUP(A3341,[1]Orders!$A$2:$B$1616,2,0)</f>
        <v>43009</v>
      </c>
      <c r="J3341" t="s">
        <v>10</v>
      </c>
      <c r="K3341" t="s">
        <v>11</v>
      </c>
    </row>
    <row r="3342" spans="1:11" x14ac:dyDescent="0.3">
      <c r="A3342">
        <v>1157</v>
      </c>
      <c r="B3342">
        <v>2</v>
      </c>
      <c r="C3342">
        <v>31</v>
      </c>
      <c r="D3342">
        <v>2</v>
      </c>
      <c r="E3342" s="1">
        <v>1632.99</v>
      </c>
      <c r="F3342" s="1">
        <v>0.1</v>
      </c>
      <c r="G3342">
        <v>3265.98</v>
      </c>
      <c r="H3342" s="22">
        <f>VLOOKUP(A3342,[1]Orders!$A$2:$B$1616,2,0)</f>
        <v>43009</v>
      </c>
      <c r="J3342" t="s">
        <v>102</v>
      </c>
      <c r="K3342" t="s">
        <v>11</v>
      </c>
    </row>
    <row r="3343" spans="1:11" x14ac:dyDescent="0.3">
      <c r="A3343">
        <v>1157</v>
      </c>
      <c r="B3343">
        <v>3</v>
      </c>
      <c r="C3343">
        <v>37</v>
      </c>
      <c r="D3343">
        <v>2</v>
      </c>
      <c r="E3343" s="1">
        <v>379.99</v>
      </c>
      <c r="F3343" s="1">
        <v>0.2</v>
      </c>
      <c r="G3343">
        <v>759.98</v>
      </c>
      <c r="H3343" s="22">
        <f>VLOOKUP(A3343,[1]Orders!$A$2:$B$1616,2,0)</f>
        <v>43009</v>
      </c>
      <c r="J3343" t="s">
        <v>98</v>
      </c>
      <c r="K3343" t="s">
        <v>11</v>
      </c>
    </row>
    <row r="3344" spans="1:11" x14ac:dyDescent="0.3">
      <c r="A3344">
        <v>1157</v>
      </c>
      <c r="B3344">
        <v>4</v>
      </c>
      <c r="C3344">
        <v>41</v>
      </c>
      <c r="D3344">
        <v>1</v>
      </c>
      <c r="E3344" s="1">
        <v>1469.99</v>
      </c>
      <c r="F3344" s="1">
        <v>7.0000000000000007E-2</v>
      </c>
      <c r="G3344">
        <v>1469.99</v>
      </c>
      <c r="H3344" s="22">
        <f>VLOOKUP(A3344,[1]Orders!$A$2:$B$1616,2,0)</f>
        <v>43009</v>
      </c>
      <c r="J3344" t="s">
        <v>77</v>
      </c>
      <c r="K3344" t="s">
        <v>11</v>
      </c>
    </row>
    <row r="3345" spans="1:11" x14ac:dyDescent="0.3">
      <c r="A3345">
        <v>1158</v>
      </c>
      <c r="B3345">
        <v>1</v>
      </c>
      <c r="C3345">
        <v>95</v>
      </c>
      <c r="D3345">
        <v>2</v>
      </c>
      <c r="E3345" s="1">
        <v>299.99</v>
      </c>
      <c r="F3345" s="1">
        <v>0.1</v>
      </c>
      <c r="G3345">
        <v>599.98</v>
      </c>
      <c r="H3345" s="22">
        <f>VLOOKUP(A3345,[1]Orders!$A$2:$B$1616,2,0)</f>
        <v>43009</v>
      </c>
      <c r="J3345" t="s">
        <v>48</v>
      </c>
      <c r="K3345" t="s">
        <v>11</v>
      </c>
    </row>
    <row r="3346" spans="1:11" x14ac:dyDescent="0.3">
      <c r="A3346">
        <v>1158</v>
      </c>
      <c r="B3346">
        <v>2</v>
      </c>
      <c r="C3346">
        <v>74</v>
      </c>
      <c r="D3346">
        <v>1</v>
      </c>
      <c r="E3346" s="1">
        <v>439.99</v>
      </c>
      <c r="F3346" s="1">
        <v>7.0000000000000007E-2</v>
      </c>
      <c r="G3346">
        <v>439.99</v>
      </c>
      <c r="H3346" s="22">
        <f>VLOOKUP(A3346,[1]Orders!$A$2:$B$1616,2,0)</f>
        <v>43009</v>
      </c>
      <c r="J3346" t="s">
        <v>61</v>
      </c>
      <c r="K3346" t="s">
        <v>11</v>
      </c>
    </row>
    <row r="3347" spans="1:11" x14ac:dyDescent="0.3">
      <c r="A3347">
        <v>1159</v>
      </c>
      <c r="B3347">
        <v>1</v>
      </c>
      <c r="C3347">
        <v>12</v>
      </c>
      <c r="D3347">
        <v>2</v>
      </c>
      <c r="E3347" s="1">
        <v>549.99</v>
      </c>
      <c r="F3347" s="1">
        <v>0.1</v>
      </c>
      <c r="G3347">
        <v>1099.98</v>
      </c>
      <c r="H3347" s="22">
        <f>VLOOKUP(A3347,[1]Orders!$A$2:$B$1616,2,0)</f>
        <v>43009</v>
      </c>
      <c r="J3347" t="s">
        <v>25</v>
      </c>
      <c r="K3347" t="s">
        <v>11</v>
      </c>
    </row>
    <row r="3348" spans="1:11" x14ac:dyDescent="0.3">
      <c r="A3348">
        <v>1160</v>
      </c>
      <c r="B3348">
        <v>1</v>
      </c>
      <c r="C3348">
        <v>41</v>
      </c>
      <c r="D3348">
        <v>1</v>
      </c>
      <c r="E3348" s="1">
        <v>1469.99</v>
      </c>
      <c r="F3348" s="1">
        <v>0.1</v>
      </c>
      <c r="G3348">
        <v>1469.99</v>
      </c>
      <c r="H3348" s="22">
        <f>VLOOKUP(A3348,[1]Orders!$A$2:$B$1616,2,0)</f>
        <v>43009</v>
      </c>
      <c r="J3348" t="s">
        <v>77</v>
      </c>
      <c r="K3348" t="s">
        <v>11</v>
      </c>
    </row>
    <row r="3349" spans="1:11" x14ac:dyDescent="0.3">
      <c r="A3349">
        <v>1160</v>
      </c>
      <c r="B3349">
        <v>2</v>
      </c>
      <c r="C3349">
        <v>9</v>
      </c>
      <c r="D3349">
        <v>1</v>
      </c>
      <c r="E3349" s="1">
        <v>2999.99</v>
      </c>
      <c r="F3349" s="1">
        <v>0.2</v>
      </c>
      <c r="G3349">
        <v>2999.99</v>
      </c>
      <c r="H3349" s="22">
        <f>VLOOKUP(A3349,[1]Orders!$A$2:$B$1616,2,0)</f>
        <v>43009</v>
      </c>
      <c r="J3349" t="s">
        <v>26</v>
      </c>
      <c r="K3349" t="s">
        <v>11</v>
      </c>
    </row>
    <row r="3350" spans="1:11" x14ac:dyDescent="0.3">
      <c r="A3350">
        <v>1161</v>
      </c>
      <c r="B3350">
        <v>1</v>
      </c>
      <c r="C3350">
        <v>71</v>
      </c>
      <c r="D3350">
        <v>2</v>
      </c>
      <c r="E3350" s="1">
        <v>416.99</v>
      </c>
      <c r="F3350" s="1">
        <v>0.1</v>
      </c>
      <c r="G3350">
        <v>833.98</v>
      </c>
      <c r="H3350" s="22">
        <f>VLOOKUP(A3350,[1]Orders!$A$2:$B$1616,2,0)</f>
        <v>43009</v>
      </c>
      <c r="J3350" t="s">
        <v>78</v>
      </c>
      <c r="K3350" t="s">
        <v>18</v>
      </c>
    </row>
    <row r="3351" spans="1:11" x14ac:dyDescent="0.3">
      <c r="A3351">
        <v>1161</v>
      </c>
      <c r="B3351">
        <v>2</v>
      </c>
      <c r="C3351">
        <v>38</v>
      </c>
      <c r="D3351">
        <v>1</v>
      </c>
      <c r="E3351" s="1">
        <v>549.99</v>
      </c>
      <c r="F3351" s="1">
        <v>7.0000000000000007E-2</v>
      </c>
      <c r="G3351">
        <v>549.99</v>
      </c>
      <c r="H3351" s="22">
        <f>VLOOKUP(A3351,[1]Orders!$A$2:$B$1616,2,0)</f>
        <v>43009</v>
      </c>
      <c r="J3351" t="s">
        <v>93</v>
      </c>
      <c r="K3351" t="s">
        <v>18</v>
      </c>
    </row>
    <row r="3352" spans="1:11" x14ac:dyDescent="0.3">
      <c r="A3352">
        <v>1161</v>
      </c>
      <c r="B3352">
        <v>3</v>
      </c>
      <c r="C3352">
        <v>22</v>
      </c>
      <c r="D3352">
        <v>1</v>
      </c>
      <c r="E3352" s="1">
        <v>269.99</v>
      </c>
      <c r="F3352" s="1">
        <v>0.2</v>
      </c>
      <c r="G3352">
        <v>269.99</v>
      </c>
      <c r="H3352" s="22">
        <f>VLOOKUP(A3352,[1]Orders!$A$2:$B$1616,2,0)</f>
        <v>43009</v>
      </c>
      <c r="J3352" t="s">
        <v>28</v>
      </c>
      <c r="K3352" t="s">
        <v>18</v>
      </c>
    </row>
    <row r="3353" spans="1:11" x14ac:dyDescent="0.3">
      <c r="A3353">
        <v>1161</v>
      </c>
      <c r="B3353">
        <v>4</v>
      </c>
      <c r="C3353">
        <v>29</v>
      </c>
      <c r="D3353">
        <v>2</v>
      </c>
      <c r="E3353" s="1">
        <v>999.99</v>
      </c>
      <c r="F3353" s="1">
        <v>0.1</v>
      </c>
      <c r="G3353">
        <v>1999.98</v>
      </c>
      <c r="H3353" s="22">
        <f>VLOOKUP(A3353,[1]Orders!$A$2:$B$1616,2,0)</f>
        <v>43009</v>
      </c>
      <c r="J3353" t="s">
        <v>71</v>
      </c>
      <c r="K3353" t="s">
        <v>18</v>
      </c>
    </row>
    <row r="3354" spans="1:11" x14ac:dyDescent="0.3">
      <c r="A3354">
        <v>1162</v>
      </c>
      <c r="B3354">
        <v>1</v>
      </c>
      <c r="C3354">
        <v>88</v>
      </c>
      <c r="D3354">
        <v>1</v>
      </c>
      <c r="E3354" s="1">
        <v>189.99</v>
      </c>
      <c r="F3354" s="1">
        <v>0.2</v>
      </c>
      <c r="G3354">
        <v>189.99</v>
      </c>
      <c r="H3354" s="22">
        <f>VLOOKUP(A3354,[1]Orders!$A$2:$B$1616,2,0)</f>
        <v>43009</v>
      </c>
      <c r="J3354" t="s">
        <v>64</v>
      </c>
      <c r="K3354" t="s">
        <v>18</v>
      </c>
    </row>
    <row r="3355" spans="1:11" x14ac:dyDescent="0.3">
      <c r="A3355">
        <v>1162</v>
      </c>
      <c r="B3355">
        <v>2</v>
      </c>
      <c r="C3355">
        <v>40</v>
      </c>
      <c r="D3355">
        <v>2</v>
      </c>
      <c r="E3355" s="1">
        <v>4999.99</v>
      </c>
      <c r="F3355" s="1">
        <v>0.2</v>
      </c>
      <c r="G3355">
        <v>9999.98</v>
      </c>
      <c r="H3355" s="22">
        <f>VLOOKUP(A3355,[1]Orders!$A$2:$B$1616,2,0)</f>
        <v>43009</v>
      </c>
      <c r="J3355" t="s">
        <v>104</v>
      </c>
      <c r="K3355" t="s">
        <v>18</v>
      </c>
    </row>
    <row r="3356" spans="1:11" x14ac:dyDescent="0.3">
      <c r="A3356">
        <v>1162</v>
      </c>
      <c r="B3356">
        <v>3</v>
      </c>
      <c r="C3356">
        <v>86</v>
      </c>
      <c r="D3356">
        <v>1</v>
      </c>
      <c r="E3356" s="1">
        <v>149.99</v>
      </c>
      <c r="F3356" s="1">
        <v>0.1</v>
      </c>
      <c r="G3356">
        <v>149.99</v>
      </c>
      <c r="H3356" s="22">
        <f>VLOOKUP(A3356,[1]Orders!$A$2:$B$1616,2,0)</f>
        <v>43009</v>
      </c>
      <c r="J3356" t="s">
        <v>115</v>
      </c>
      <c r="K3356" t="s">
        <v>18</v>
      </c>
    </row>
    <row r="3357" spans="1:11" x14ac:dyDescent="0.3">
      <c r="A3357">
        <v>1162</v>
      </c>
      <c r="B3357">
        <v>4</v>
      </c>
      <c r="C3357">
        <v>41</v>
      </c>
      <c r="D3357">
        <v>1</v>
      </c>
      <c r="E3357" s="1">
        <v>1469.99</v>
      </c>
      <c r="F3357" s="1">
        <v>0.05</v>
      </c>
      <c r="G3357">
        <v>1469.99</v>
      </c>
      <c r="H3357" s="22">
        <f>VLOOKUP(A3357,[1]Orders!$A$2:$B$1616,2,0)</f>
        <v>43009</v>
      </c>
      <c r="J3357" t="s">
        <v>77</v>
      </c>
      <c r="K3357" t="s">
        <v>18</v>
      </c>
    </row>
    <row r="3358" spans="1:11" x14ac:dyDescent="0.3">
      <c r="A3358">
        <v>1162</v>
      </c>
      <c r="B3358">
        <v>5</v>
      </c>
      <c r="C3358">
        <v>12</v>
      </c>
      <c r="D3358">
        <v>2</v>
      </c>
      <c r="E3358" s="1">
        <v>549.99</v>
      </c>
      <c r="F3358" s="1">
        <v>0.05</v>
      </c>
      <c r="G3358">
        <v>1099.98</v>
      </c>
      <c r="H3358" s="22">
        <f>VLOOKUP(A3358,[1]Orders!$A$2:$B$1616,2,0)</f>
        <v>43009</v>
      </c>
      <c r="J3358" t="s">
        <v>25</v>
      </c>
      <c r="K3358" t="s">
        <v>18</v>
      </c>
    </row>
    <row r="3359" spans="1:11" x14ac:dyDescent="0.3">
      <c r="A3359">
        <v>1163</v>
      </c>
      <c r="B3359">
        <v>1</v>
      </c>
      <c r="C3359">
        <v>63</v>
      </c>
      <c r="D3359">
        <v>2</v>
      </c>
      <c r="E3359" s="1">
        <v>3499.99</v>
      </c>
      <c r="F3359" s="1">
        <v>0.05</v>
      </c>
      <c r="G3359">
        <v>6999.98</v>
      </c>
      <c r="H3359" s="22">
        <f>VLOOKUP(A3359,[1]Orders!$A$2:$B$1616,2,0)</f>
        <v>43009</v>
      </c>
      <c r="J3359" t="s">
        <v>75</v>
      </c>
      <c r="K3359" t="s">
        <v>18</v>
      </c>
    </row>
    <row r="3360" spans="1:11" x14ac:dyDescent="0.3">
      <c r="A3360">
        <v>1163</v>
      </c>
      <c r="B3360">
        <v>2</v>
      </c>
      <c r="C3360">
        <v>53</v>
      </c>
      <c r="D3360">
        <v>2</v>
      </c>
      <c r="E3360" s="1">
        <v>749.99</v>
      </c>
      <c r="F3360" s="1">
        <v>0.1</v>
      </c>
      <c r="G3360">
        <v>1499.98</v>
      </c>
      <c r="H3360" s="22">
        <f>VLOOKUP(A3360,[1]Orders!$A$2:$B$1616,2,0)</f>
        <v>43009</v>
      </c>
      <c r="J3360" t="s">
        <v>42</v>
      </c>
      <c r="K3360" t="s">
        <v>18</v>
      </c>
    </row>
    <row r="3361" spans="1:11" x14ac:dyDescent="0.3">
      <c r="A3361">
        <v>1164</v>
      </c>
      <c r="B3361">
        <v>1</v>
      </c>
      <c r="C3361">
        <v>8</v>
      </c>
      <c r="D3361">
        <v>1</v>
      </c>
      <c r="E3361" s="1">
        <v>1799.99</v>
      </c>
      <c r="F3361" s="1">
        <v>0.2</v>
      </c>
      <c r="G3361">
        <v>1799.99</v>
      </c>
      <c r="H3361" s="22">
        <f>VLOOKUP(A3361,[1]Orders!$A$2:$B$1616,2,0)</f>
        <v>43009</v>
      </c>
      <c r="J3361" t="s">
        <v>12</v>
      </c>
      <c r="K3361" t="s">
        <v>18</v>
      </c>
    </row>
    <row r="3362" spans="1:11" x14ac:dyDescent="0.3">
      <c r="A3362">
        <v>1164</v>
      </c>
      <c r="B3362">
        <v>2</v>
      </c>
      <c r="C3362">
        <v>78</v>
      </c>
      <c r="D3362">
        <v>1</v>
      </c>
      <c r="E3362" s="1">
        <v>647.99</v>
      </c>
      <c r="F3362" s="1">
        <v>0.05</v>
      </c>
      <c r="G3362">
        <v>647.99</v>
      </c>
      <c r="H3362" s="22">
        <f>VLOOKUP(A3362,[1]Orders!$A$2:$B$1616,2,0)</f>
        <v>43009</v>
      </c>
      <c r="J3362" t="s">
        <v>57</v>
      </c>
      <c r="K3362" t="s">
        <v>18</v>
      </c>
    </row>
    <row r="3363" spans="1:11" x14ac:dyDescent="0.3">
      <c r="A3363">
        <v>1164</v>
      </c>
      <c r="B3363">
        <v>3</v>
      </c>
      <c r="C3363">
        <v>103</v>
      </c>
      <c r="D3363">
        <v>2</v>
      </c>
      <c r="E3363" s="1">
        <v>551.99</v>
      </c>
      <c r="F3363" s="1">
        <v>0.05</v>
      </c>
      <c r="G3363">
        <v>1103.98</v>
      </c>
      <c r="H3363" s="22">
        <f>VLOOKUP(A3363,[1]Orders!$A$2:$B$1616,2,0)</f>
        <v>43009</v>
      </c>
      <c r="J3363" t="s">
        <v>40</v>
      </c>
      <c r="K3363" t="s">
        <v>18</v>
      </c>
    </row>
    <row r="3364" spans="1:11" x14ac:dyDescent="0.3">
      <c r="A3364">
        <v>1164</v>
      </c>
      <c r="B3364">
        <v>4</v>
      </c>
      <c r="C3364">
        <v>44</v>
      </c>
      <c r="D3364">
        <v>2</v>
      </c>
      <c r="E3364" s="1">
        <v>539.99</v>
      </c>
      <c r="F3364" s="1">
        <v>0.05</v>
      </c>
      <c r="G3364">
        <v>1079.98</v>
      </c>
      <c r="H3364" s="22">
        <f>VLOOKUP(A3364,[1]Orders!$A$2:$B$1616,2,0)</f>
        <v>43009</v>
      </c>
      <c r="J3364" t="s">
        <v>108</v>
      </c>
      <c r="K3364" t="s">
        <v>18</v>
      </c>
    </row>
    <row r="3365" spans="1:11" x14ac:dyDescent="0.3">
      <c r="A3365">
        <v>1165</v>
      </c>
      <c r="B3365">
        <v>1</v>
      </c>
      <c r="C3365">
        <v>65</v>
      </c>
      <c r="D3365">
        <v>2</v>
      </c>
      <c r="E3365" s="1">
        <v>346.99</v>
      </c>
      <c r="F3365" s="1">
        <v>7.0000000000000007E-2</v>
      </c>
      <c r="G3365">
        <v>693.98</v>
      </c>
      <c r="H3365" s="22">
        <f>VLOOKUP(A3365,[1]Orders!$A$2:$B$1616,2,0)</f>
        <v>43010</v>
      </c>
      <c r="J3365" t="s">
        <v>114</v>
      </c>
      <c r="K3365" t="s">
        <v>18</v>
      </c>
    </row>
    <row r="3366" spans="1:11" x14ac:dyDescent="0.3">
      <c r="A3366">
        <v>1165</v>
      </c>
      <c r="B3366">
        <v>2</v>
      </c>
      <c r="C3366">
        <v>68</v>
      </c>
      <c r="D3366">
        <v>1</v>
      </c>
      <c r="E3366" s="1">
        <v>449.99</v>
      </c>
      <c r="F3366" s="1">
        <v>7.0000000000000007E-2</v>
      </c>
      <c r="G3366">
        <v>449.99</v>
      </c>
      <c r="H3366" s="22">
        <f>VLOOKUP(A3366,[1]Orders!$A$2:$B$1616,2,0)</f>
        <v>43010</v>
      </c>
      <c r="J3366" t="s">
        <v>39</v>
      </c>
      <c r="K3366" t="s">
        <v>18</v>
      </c>
    </row>
    <row r="3367" spans="1:11" x14ac:dyDescent="0.3">
      <c r="A3367">
        <v>1166</v>
      </c>
      <c r="B3367">
        <v>1</v>
      </c>
      <c r="C3367">
        <v>103</v>
      </c>
      <c r="D3367">
        <v>2</v>
      </c>
      <c r="E3367" s="1">
        <v>551.99</v>
      </c>
      <c r="F3367" s="1">
        <v>7.0000000000000007E-2</v>
      </c>
      <c r="G3367">
        <v>1103.98</v>
      </c>
      <c r="H3367" s="22">
        <f>VLOOKUP(A3367,[1]Orders!$A$2:$B$1616,2,0)</f>
        <v>43011</v>
      </c>
      <c r="J3367" t="s">
        <v>40</v>
      </c>
      <c r="K3367" t="s">
        <v>18</v>
      </c>
    </row>
    <row r="3368" spans="1:11" x14ac:dyDescent="0.3">
      <c r="A3368">
        <v>1167</v>
      </c>
      <c r="B3368">
        <v>1</v>
      </c>
      <c r="C3368">
        <v>29</v>
      </c>
      <c r="D3368">
        <v>2</v>
      </c>
      <c r="E3368" s="1">
        <v>999.99</v>
      </c>
      <c r="F3368" s="1">
        <v>0.05</v>
      </c>
      <c r="G3368">
        <v>1999.98</v>
      </c>
      <c r="H3368" s="22">
        <f>VLOOKUP(A3368,[1]Orders!$A$2:$B$1616,2,0)</f>
        <v>43012</v>
      </c>
      <c r="J3368" t="s">
        <v>71</v>
      </c>
      <c r="K3368" t="s">
        <v>11</v>
      </c>
    </row>
    <row r="3369" spans="1:11" x14ac:dyDescent="0.3">
      <c r="A3369">
        <v>1167</v>
      </c>
      <c r="B3369">
        <v>2</v>
      </c>
      <c r="C3369">
        <v>81</v>
      </c>
      <c r="D3369">
        <v>2</v>
      </c>
      <c r="E3369" s="1">
        <v>1099.99</v>
      </c>
      <c r="F3369" s="1">
        <v>0.1</v>
      </c>
      <c r="G3369">
        <v>2199.98</v>
      </c>
      <c r="H3369" s="22">
        <f>VLOOKUP(A3369,[1]Orders!$A$2:$B$1616,2,0)</f>
        <v>43012</v>
      </c>
      <c r="J3369" t="s">
        <v>99</v>
      </c>
      <c r="K3369" t="s">
        <v>11</v>
      </c>
    </row>
    <row r="3370" spans="1:11" x14ac:dyDescent="0.3">
      <c r="A3370">
        <v>1167</v>
      </c>
      <c r="B3370">
        <v>3</v>
      </c>
      <c r="C3370">
        <v>68</v>
      </c>
      <c r="D3370">
        <v>1</v>
      </c>
      <c r="E3370" s="1">
        <v>449.99</v>
      </c>
      <c r="F3370" s="1">
        <v>7.0000000000000007E-2</v>
      </c>
      <c r="G3370">
        <v>449.99</v>
      </c>
      <c r="H3370" s="22">
        <f>VLOOKUP(A3370,[1]Orders!$A$2:$B$1616,2,0)</f>
        <v>43012</v>
      </c>
      <c r="J3370" t="s">
        <v>39</v>
      </c>
      <c r="K3370" t="s">
        <v>11</v>
      </c>
    </row>
    <row r="3371" spans="1:11" x14ac:dyDescent="0.3">
      <c r="A3371">
        <v>1168</v>
      </c>
      <c r="B3371">
        <v>1</v>
      </c>
      <c r="C3371">
        <v>23</v>
      </c>
      <c r="D3371">
        <v>2</v>
      </c>
      <c r="E3371" s="1">
        <v>299.99</v>
      </c>
      <c r="F3371" s="1">
        <v>0.1</v>
      </c>
      <c r="G3371">
        <v>599.98</v>
      </c>
      <c r="H3371" s="22">
        <f>VLOOKUP(A3371,[1]Orders!$A$2:$B$1616,2,0)</f>
        <v>43012</v>
      </c>
      <c r="J3371" t="s">
        <v>33</v>
      </c>
      <c r="K3371" t="s">
        <v>18</v>
      </c>
    </row>
    <row r="3372" spans="1:11" x14ac:dyDescent="0.3">
      <c r="A3372">
        <v>1168</v>
      </c>
      <c r="B3372">
        <v>2</v>
      </c>
      <c r="C3372">
        <v>82</v>
      </c>
      <c r="D3372">
        <v>1</v>
      </c>
      <c r="E3372" s="1">
        <v>659.99</v>
      </c>
      <c r="F3372" s="1">
        <v>0.2</v>
      </c>
      <c r="G3372">
        <v>659.99</v>
      </c>
      <c r="H3372" s="22">
        <f>VLOOKUP(A3372,[1]Orders!$A$2:$B$1616,2,0)</f>
        <v>43012</v>
      </c>
      <c r="J3372" t="s">
        <v>100</v>
      </c>
      <c r="K3372" t="s">
        <v>18</v>
      </c>
    </row>
    <row r="3373" spans="1:11" x14ac:dyDescent="0.3">
      <c r="A3373">
        <v>1168</v>
      </c>
      <c r="B3373">
        <v>3</v>
      </c>
      <c r="C3373">
        <v>51</v>
      </c>
      <c r="D3373">
        <v>1</v>
      </c>
      <c r="E3373" s="1">
        <v>6499.99</v>
      </c>
      <c r="F3373" s="1">
        <v>7.0000000000000007E-2</v>
      </c>
      <c r="G3373">
        <v>6499.99</v>
      </c>
      <c r="H3373" s="22">
        <f>VLOOKUP(A3373,[1]Orders!$A$2:$B$1616,2,0)</f>
        <v>43012</v>
      </c>
      <c r="J3373" t="s">
        <v>90</v>
      </c>
      <c r="K3373" t="s">
        <v>18</v>
      </c>
    </row>
    <row r="3374" spans="1:11" x14ac:dyDescent="0.3">
      <c r="A3374">
        <v>1168</v>
      </c>
      <c r="B3374">
        <v>4</v>
      </c>
      <c r="C3374">
        <v>107</v>
      </c>
      <c r="D3374">
        <v>2</v>
      </c>
      <c r="E3374" s="1">
        <v>416.99</v>
      </c>
      <c r="F3374" s="1">
        <v>0.2</v>
      </c>
      <c r="G3374">
        <v>833.98</v>
      </c>
      <c r="H3374" s="22">
        <f>VLOOKUP(A3374,[1]Orders!$A$2:$B$1616,2,0)</f>
        <v>43012</v>
      </c>
      <c r="J3374" t="s">
        <v>89</v>
      </c>
      <c r="K3374" t="s">
        <v>18</v>
      </c>
    </row>
    <row r="3375" spans="1:11" x14ac:dyDescent="0.3">
      <c r="A3375">
        <v>1168</v>
      </c>
      <c r="B3375">
        <v>5</v>
      </c>
      <c r="C3375">
        <v>15</v>
      </c>
      <c r="D3375">
        <v>2</v>
      </c>
      <c r="E3375" s="1">
        <v>529.99</v>
      </c>
      <c r="F3375" s="1">
        <v>0.05</v>
      </c>
      <c r="G3375">
        <v>1059.98</v>
      </c>
      <c r="H3375" s="22">
        <f>VLOOKUP(A3375,[1]Orders!$A$2:$B$1616,2,0)</f>
        <v>43012</v>
      </c>
      <c r="J3375" t="s">
        <v>27</v>
      </c>
      <c r="K3375" t="s">
        <v>18</v>
      </c>
    </row>
    <row r="3376" spans="1:11" x14ac:dyDescent="0.3">
      <c r="A3376">
        <v>1169</v>
      </c>
      <c r="B3376">
        <v>1</v>
      </c>
      <c r="C3376">
        <v>91</v>
      </c>
      <c r="D3376">
        <v>2</v>
      </c>
      <c r="E3376" s="1">
        <v>349.99</v>
      </c>
      <c r="F3376" s="1">
        <v>0.2</v>
      </c>
      <c r="G3376">
        <v>699.98</v>
      </c>
      <c r="H3376" s="22">
        <f>VLOOKUP(A3376,[1]Orders!$A$2:$B$1616,2,0)</f>
        <v>43012</v>
      </c>
      <c r="J3376" t="s">
        <v>97</v>
      </c>
      <c r="K3376" t="s">
        <v>18</v>
      </c>
    </row>
    <row r="3377" spans="1:11" x14ac:dyDescent="0.3">
      <c r="A3377">
        <v>1169</v>
      </c>
      <c r="B3377">
        <v>2</v>
      </c>
      <c r="C3377">
        <v>51</v>
      </c>
      <c r="D3377">
        <v>1</v>
      </c>
      <c r="E3377" s="1">
        <v>6499.99</v>
      </c>
      <c r="F3377" s="1">
        <v>0.05</v>
      </c>
      <c r="G3377">
        <v>6499.99</v>
      </c>
      <c r="H3377" s="22">
        <f>VLOOKUP(A3377,[1]Orders!$A$2:$B$1616,2,0)</f>
        <v>43012</v>
      </c>
      <c r="J3377" t="s">
        <v>90</v>
      </c>
      <c r="K3377" t="s">
        <v>18</v>
      </c>
    </row>
    <row r="3378" spans="1:11" x14ac:dyDescent="0.3">
      <c r="A3378">
        <v>1169</v>
      </c>
      <c r="B3378">
        <v>3</v>
      </c>
      <c r="C3378">
        <v>58</v>
      </c>
      <c r="D3378">
        <v>2</v>
      </c>
      <c r="E3378" s="1">
        <v>4999.99</v>
      </c>
      <c r="F3378" s="1">
        <v>0.1</v>
      </c>
      <c r="G3378">
        <v>9999.98</v>
      </c>
      <c r="H3378" s="22">
        <f>VLOOKUP(A3378,[1]Orders!$A$2:$B$1616,2,0)</f>
        <v>43012</v>
      </c>
      <c r="J3378" t="s">
        <v>81</v>
      </c>
      <c r="K3378" t="s">
        <v>18</v>
      </c>
    </row>
    <row r="3379" spans="1:11" x14ac:dyDescent="0.3">
      <c r="A3379">
        <v>1169</v>
      </c>
      <c r="B3379">
        <v>4</v>
      </c>
      <c r="C3379">
        <v>81</v>
      </c>
      <c r="D3379">
        <v>2</v>
      </c>
      <c r="E3379" s="1">
        <v>1099.99</v>
      </c>
      <c r="F3379" s="1">
        <v>0.2</v>
      </c>
      <c r="G3379">
        <v>2199.98</v>
      </c>
      <c r="H3379" s="22">
        <f>VLOOKUP(A3379,[1]Orders!$A$2:$B$1616,2,0)</f>
        <v>43012</v>
      </c>
      <c r="J3379" t="s">
        <v>99</v>
      </c>
      <c r="K3379" t="s">
        <v>18</v>
      </c>
    </row>
    <row r="3380" spans="1:11" x14ac:dyDescent="0.3">
      <c r="A3380">
        <v>1170</v>
      </c>
      <c r="B3380">
        <v>1</v>
      </c>
      <c r="C3380">
        <v>15</v>
      </c>
      <c r="D3380">
        <v>1</v>
      </c>
      <c r="E3380" s="1">
        <v>529.99</v>
      </c>
      <c r="F3380" s="1">
        <v>0.1</v>
      </c>
      <c r="G3380">
        <v>529.99</v>
      </c>
      <c r="H3380" s="22">
        <f>VLOOKUP(A3380,[1]Orders!$A$2:$B$1616,2,0)</f>
        <v>43013</v>
      </c>
      <c r="J3380" t="s">
        <v>27</v>
      </c>
      <c r="K3380" t="s">
        <v>18</v>
      </c>
    </row>
    <row r="3381" spans="1:11" x14ac:dyDescent="0.3">
      <c r="A3381">
        <v>1170</v>
      </c>
      <c r="B3381">
        <v>2</v>
      </c>
      <c r="C3381">
        <v>47</v>
      </c>
      <c r="D3381">
        <v>2</v>
      </c>
      <c r="E3381" s="1">
        <v>5299.99</v>
      </c>
      <c r="F3381" s="1">
        <v>0.05</v>
      </c>
      <c r="G3381">
        <v>10599.98</v>
      </c>
      <c r="H3381" s="22">
        <f>VLOOKUP(A3381,[1]Orders!$A$2:$B$1616,2,0)</f>
        <v>43013</v>
      </c>
      <c r="J3381" t="s">
        <v>54</v>
      </c>
      <c r="K3381" t="s">
        <v>18</v>
      </c>
    </row>
    <row r="3382" spans="1:11" x14ac:dyDescent="0.3">
      <c r="A3382">
        <v>1170</v>
      </c>
      <c r="B3382">
        <v>3</v>
      </c>
      <c r="C3382">
        <v>62</v>
      </c>
      <c r="D3382">
        <v>2</v>
      </c>
      <c r="E3382" s="1">
        <v>3499.99</v>
      </c>
      <c r="F3382" s="1">
        <v>0.1</v>
      </c>
      <c r="G3382">
        <v>6999.98</v>
      </c>
      <c r="H3382" s="22">
        <f>VLOOKUP(A3382,[1]Orders!$A$2:$B$1616,2,0)</f>
        <v>43013</v>
      </c>
      <c r="J3382" t="s">
        <v>50</v>
      </c>
      <c r="K3382" t="s">
        <v>18</v>
      </c>
    </row>
    <row r="3383" spans="1:11" x14ac:dyDescent="0.3">
      <c r="A3383">
        <v>1171</v>
      </c>
      <c r="B3383">
        <v>1</v>
      </c>
      <c r="C3383">
        <v>94</v>
      </c>
      <c r="D3383">
        <v>2</v>
      </c>
      <c r="E3383" s="1">
        <v>249.99</v>
      </c>
      <c r="F3383" s="1">
        <v>0.2</v>
      </c>
      <c r="G3383">
        <v>499.98</v>
      </c>
      <c r="H3383" s="22">
        <f>VLOOKUP(A3383,[1]Orders!$A$2:$B$1616,2,0)</f>
        <v>43013</v>
      </c>
      <c r="J3383" t="s">
        <v>59</v>
      </c>
      <c r="K3383" t="s">
        <v>18</v>
      </c>
    </row>
    <row r="3384" spans="1:11" x14ac:dyDescent="0.3">
      <c r="A3384">
        <v>1171</v>
      </c>
      <c r="B3384">
        <v>2</v>
      </c>
      <c r="C3384">
        <v>92</v>
      </c>
      <c r="D3384">
        <v>2</v>
      </c>
      <c r="E3384" s="1">
        <v>209.99</v>
      </c>
      <c r="F3384" s="1">
        <v>7.0000000000000007E-2</v>
      </c>
      <c r="G3384">
        <v>419.98</v>
      </c>
      <c r="H3384" s="22">
        <f>VLOOKUP(A3384,[1]Orders!$A$2:$B$1616,2,0)</f>
        <v>43013</v>
      </c>
      <c r="J3384" t="s">
        <v>111</v>
      </c>
      <c r="K3384" t="s">
        <v>18</v>
      </c>
    </row>
    <row r="3385" spans="1:11" x14ac:dyDescent="0.3">
      <c r="A3385">
        <v>1171</v>
      </c>
      <c r="B3385">
        <v>3</v>
      </c>
      <c r="C3385">
        <v>10</v>
      </c>
      <c r="D3385">
        <v>2</v>
      </c>
      <c r="E3385" s="1">
        <v>1549</v>
      </c>
      <c r="F3385" s="1">
        <v>7.0000000000000007E-2</v>
      </c>
      <c r="G3385">
        <v>3098</v>
      </c>
      <c r="H3385" s="22">
        <f>VLOOKUP(A3385,[1]Orders!$A$2:$B$1616,2,0)</f>
        <v>43013</v>
      </c>
      <c r="J3385" t="s">
        <v>13</v>
      </c>
      <c r="K3385" t="s">
        <v>18</v>
      </c>
    </row>
    <row r="3386" spans="1:11" x14ac:dyDescent="0.3">
      <c r="A3386">
        <v>1172</v>
      </c>
      <c r="B3386">
        <v>1</v>
      </c>
      <c r="C3386">
        <v>78</v>
      </c>
      <c r="D3386">
        <v>2</v>
      </c>
      <c r="E3386" s="1">
        <v>647.99</v>
      </c>
      <c r="F3386" s="1">
        <v>7.0000000000000007E-2</v>
      </c>
      <c r="G3386">
        <v>1295.98</v>
      </c>
      <c r="H3386" s="22">
        <f>VLOOKUP(A3386,[1]Orders!$A$2:$B$1616,2,0)</f>
        <v>43015</v>
      </c>
      <c r="J3386" t="s">
        <v>57</v>
      </c>
      <c r="K3386" t="s">
        <v>18</v>
      </c>
    </row>
    <row r="3387" spans="1:11" x14ac:dyDescent="0.3">
      <c r="A3387">
        <v>1172</v>
      </c>
      <c r="B3387">
        <v>2</v>
      </c>
      <c r="C3387">
        <v>104</v>
      </c>
      <c r="D3387">
        <v>1</v>
      </c>
      <c r="E3387" s="1">
        <v>481.99</v>
      </c>
      <c r="F3387" s="1">
        <v>0.2</v>
      </c>
      <c r="G3387">
        <v>481.99</v>
      </c>
      <c r="H3387" s="22">
        <f>VLOOKUP(A3387,[1]Orders!$A$2:$B$1616,2,0)</f>
        <v>43015</v>
      </c>
      <c r="J3387" t="s">
        <v>87</v>
      </c>
      <c r="K3387" t="s">
        <v>18</v>
      </c>
    </row>
    <row r="3388" spans="1:11" x14ac:dyDescent="0.3">
      <c r="A3388">
        <v>1173</v>
      </c>
      <c r="B3388">
        <v>1</v>
      </c>
      <c r="C3388">
        <v>95</v>
      </c>
      <c r="D3388">
        <v>1</v>
      </c>
      <c r="E3388" s="1">
        <v>299.99</v>
      </c>
      <c r="F3388" s="1">
        <v>0.2</v>
      </c>
      <c r="G3388">
        <v>299.99</v>
      </c>
      <c r="H3388" s="22">
        <f>VLOOKUP(A3388,[1]Orders!$A$2:$B$1616,2,0)</f>
        <v>43016</v>
      </c>
      <c r="J3388" t="s">
        <v>48</v>
      </c>
      <c r="K3388" t="s">
        <v>18</v>
      </c>
    </row>
    <row r="3389" spans="1:11" x14ac:dyDescent="0.3">
      <c r="A3389">
        <v>1173</v>
      </c>
      <c r="B3389">
        <v>2</v>
      </c>
      <c r="C3389">
        <v>17</v>
      </c>
      <c r="D3389">
        <v>1</v>
      </c>
      <c r="E3389" s="1">
        <v>429</v>
      </c>
      <c r="F3389" s="1">
        <v>7.0000000000000007E-2</v>
      </c>
      <c r="G3389">
        <v>429</v>
      </c>
      <c r="H3389" s="22">
        <f>VLOOKUP(A3389,[1]Orders!$A$2:$B$1616,2,0)</f>
        <v>43016</v>
      </c>
      <c r="J3389" t="s">
        <v>23</v>
      </c>
      <c r="K3389" t="s">
        <v>18</v>
      </c>
    </row>
    <row r="3390" spans="1:11" x14ac:dyDescent="0.3">
      <c r="A3390">
        <v>1173</v>
      </c>
      <c r="B3390">
        <v>3</v>
      </c>
      <c r="C3390">
        <v>68</v>
      </c>
      <c r="D3390">
        <v>1</v>
      </c>
      <c r="E3390" s="1">
        <v>449.99</v>
      </c>
      <c r="F3390" s="1">
        <v>0.05</v>
      </c>
      <c r="G3390">
        <v>449.99</v>
      </c>
      <c r="H3390" s="22">
        <f>VLOOKUP(A3390,[1]Orders!$A$2:$B$1616,2,0)</f>
        <v>43016</v>
      </c>
      <c r="J3390" t="s">
        <v>39</v>
      </c>
      <c r="K3390" t="s">
        <v>18</v>
      </c>
    </row>
    <row r="3391" spans="1:11" x14ac:dyDescent="0.3">
      <c r="A3391">
        <v>1173</v>
      </c>
      <c r="B3391">
        <v>4</v>
      </c>
      <c r="C3391">
        <v>103</v>
      </c>
      <c r="D3391">
        <v>2</v>
      </c>
      <c r="E3391" s="1">
        <v>551.99</v>
      </c>
      <c r="F3391" s="1">
        <v>0.2</v>
      </c>
      <c r="G3391">
        <v>1103.98</v>
      </c>
      <c r="H3391" s="22">
        <f>VLOOKUP(A3391,[1]Orders!$A$2:$B$1616,2,0)</f>
        <v>43016</v>
      </c>
      <c r="J3391" t="s">
        <v>40</v>
      </c>
      <c r="K3391" t="s">
        <v>18</v>
      </c>
    </row>
    <row r="3392" spans="1:11" x14ac:dyDescent="0.3">
      <c r="A3392">
        <v>1174</v>
      </c>
      <c r="B3392">
        <v>1</v>
      </c>
      <c r="C3392">
        <v>110</v>
      </c>
      <c r="D3392">
        <v>2</v>
      </c>
      <c r="E3392" s="1">
        <v>470.99</v>
      </c>
      <c r="F3392" s="1">
        <v>0.2</v>
      </c>
      <c r="G3392">
        <v>941.98</v>
      </c>
      <c r="H3392" s="22">
        <f>VLOOKUP(A3392,[1]Orders!$A$2:$B$1616,2,0)</f>
        <v>43016</v>
      </c>
      <c r="J3392" t="s">
        <v>65</v>
      </c>
      <c r="K3392" t="s">
        <v>18</v>
      </c>
    </row>
    <row r="3393" spans="1:11" x14ac:dyDescent="0.3">
      <c r="A3393">
        <v>1174</v>
      </c>
      <c r="B3393">
        <v>2</v>
      </c>
      <c r="C3393">
        <v>6</v>
      </c>
      <c r="D3393">
        <v>1</v>
      </c>
      <c r="E3393" s="1">
        <v>469.99</v>
      </c>
      <c r="F3393" s="1">
        <v>7.0000000000000007E-2</v>
      </c>
      <c r="G3393">
        <v>469.99</v>
      </c>
      <c r="H3393" s="22">
        <f>VLOOKUP(A3393,[1]Orders!$A$2:$B$1616,2,0)</f>
        <v>43016</v>
      </c>
      <c r="J3393" t="s">
        <v>32</v>
      </c>
      <c r="K3393" t="s">
        <v>18</v>
      </c>
    </row>
    <row r="3394" spans="1:11" x14ac:dyDescent="0.3">
      <c r="A3394">
        <v>1174</v>
      </c>
      <c r="B3394">
        <v>3</v>
      </c>
      <c r="C3394">
        <v>106</v>
      </c>
      <c r="D3394">
        <v>1</v>
      </c>
      <c r="E3394" s="1">
        <v>449.99</v>
      </c>
      <c r="F3394" s="1">
        <v>0.1</v>
      </c>
      <c r="G3394">
        <v>449.99</v>
      </c>
      <c r="H3394" s="22">
        <f>VLOOKUP(A3394,[1]Orders!$A$2:$B$1616,2,0)</f>
        <v>43016</v>
      </c>
      <c r="J3394" t="s">
        <v>39</v>
      </c>
      <c r="K3394" t="s">
        <v>18</v>
      </c>
    </row>
    <row r="3395" spans="1:11" x14ac:dyDescent="0.3">
      <c r="A3395">
        <v>1175</v>
      </c>
      <c r="B3395">
        <v>1</v>
      </c>
      <c r="C3395">
        <v>58</v>
      </c>
      <c r="D3395">
        <v>2</v>
      </c>
      <c r="E3395" s="1">
        <v>4999.99</v>
      </c>
      <c r="F3395" s="1">
        <v>7.0000000000000007E-2</v>
      </c>
      <c r="G3395">
        <v>9999.98</v>
      </c>
      <c r="H3395" s="22">
        <f>VLOOKUP(A3395,[1]Orders!$A$2:$B$1616,2,0)</f>
        <v>43017</v>
      </c>
      <c r="J3395" t="s">
        <v>81</v>
      </c>
      <c r="K3395" t="s">
        <v>18</v>
      </c>
    </row>
    <row r="3396" spans="1:11" x14ac:dyDescent="0.3">
      <c r="A3396">
        <v>1175</v>
      </c>
      <c r="B3396">
        <v>2</v>
      </c>
      <c r="C3396">
        <v>65</v>
      </c>
      <c r="D3396">
        <v>1</v>
      </c>
      <c r="E3396" s="1">
        <v>346.99</v>
      </c>
      <c r="F3396" s="1">
        <v>0.2</v>
      </c>
      <c r="G3396">
        <v>346.99</v>
      </c>
      <c r="H3396" s="22">
        <f>VLOOKUP(A3396,[1]Orders!$A$2:$B$1616,2,0)</f>
        <v>43017</v>
      </c>
      <c r="J3396" t="s">
        <v>114</v>
      </c>
      <c r="K3396" t="s">
        <v>18</v>
      </c>
    </row>
    <row r="3397" spans="1:11" x14ac:dyDescent="0.3">
      <c r="A3397">
        <v>1175</v>
      </c>
      <c r="B3397">
        <v>3</v>
      </c>
      <c r="C3397">
        <v>20</v>
      </c>
      <c r="D3397">
        <v>1</v>
      </c>
      <c r="E3397" s="1">
        <v>599.99</v>
      </c>
      <c r="F3397" s="1">
        <v>0.05</v>
      </c>
      <c r="G3397">
        <v>599.99</v>
      </c>
      <c r="H3397" s="22">
        <f>VLOOKUP(A3397,[1]Orders!$A$2:$B$1616,2,0)</f>
        <v>43017</v>
      </c>
      <c r="J3397" t="s">
        <v>10</v>
      </c>
      <c r="K3397" t="s">
        <v>18</v>
      </c>
    </row>
    <row r="3398" spans="1:11" x14ac:dyDescent="0.3">
      <c r="A3398">
        <v>1175</v>
      </c>
      <c r="B3398">
        <v>4</v>
      </c>
      <c r="C3398">
        <v>3</v>
      </c>
      <c r="D3398">
        <v>1</v>
      </c>
      <c r="E3398" s="1">
        <v>999.99</v>
      </c>
      <c r="F3398" s="1">
        <v>0.05</v>
      </c>
      <c r="G3398">
        <v>999.99</v>
      </c>
      <c r="H3398" s="22">
        <f>VLOOKUP(A3398,[1]Orders!$A$2:$B$1616,2,0)</f>
        <v>43017</v>
      </c>
      <c r="J3398" t="s">
        <v>20</v>
      </c>
      <c r="K3398" t="s">
        <v>18</v>
      </c>
    </row>
    <row r="3399" spans="1:11" x14ac:dyDescent="0.3">
      <c r="A3399">
        <v>1175</v>
      </c>
      <c r="B3399">
        <v>5</v>
      </c>
      <c r="C3399">
        <v>9</v>
      </c>
      <c r="D3399">
        <v>1</v>
      </c>
      <c r="E3399" s="1">
        <v>2999.99</v>
      </c>
      <c r="F3399" s="1">
        <v>0.05</v>
      </c>
      <c r="G3399">
        <v>2999.99</v>
      </c>
      <c r="H3399" s="22">
        <f>VLOOKUP(A3399,[1]Orders!$A$2:$B$1616,2,0)</f>
        <v>43017</v>
      </c>
      <c r="J3399" t="s">
        <v>26</v>
      </c>
      <c r="K3399" t="s">
        <v>18</v>
      </c>
    </row>
    <row r="3400" spans="1:11" x14ac:dyDescent="0.3">
      <c r="A3400">
        <v>1176</v>
      </c>
      <c r="B3400">
        <v>1</v>
      </c>
      <c r="C3400">
        <v>87</v>
      </c>
      <c r="D3400">
        <v>1</v>
      </c>
      <c r="E3400" s="1">
        <v>189.99</v>
      </c>
      <c r="F3400" s="1">
        <v>0.1</v>
      </c>
      <c r="G3400">
        <v>189.99</v>
      </c>
      <c r="H3400" s="22">
        <f>VLOOKUP(A3400,[1]Orders!$A$2:$B$1616,2,0)</f>
        <v>43018</v>
      </c>
      <c r="J3400" t="s">
        <v>117</v>
      </c>
      <c r="K3400" t="s">
        <v>37</v>
      </c>
    </row>
    <row r="3401" spans="1:11" x14ac:dyDescent="0.3">
      <c r="A3401">
        <v>1177</v>
      </c>
      <c r="B3401">
        <v>1</v>
      </c>
      <c r="C3401">
        <v>62</v>
      </c>
      <c r="D3401">
        <v>2</v>
      </c>
      <c r="E3401" s="1">
        <v>3499.99</v>
      </c>
      <c r="F3401" s="1">
        <v>7.0000000000000007E-2</v>
      </c>
      <c r="G3401">
        <v>6999.98</v>
      </c>
      <c r="H3401" s="22">
        <f>VLOOKUP(A3401,[1]Orders!$A$2:$B$1616,2,0)</f>
        <v>43020</v>
      </c>
      <c r="J3401" t="s">
        <v>50</v>
      </c>
      <c r="K3401" t="s">
        <v>37</v>
      </c>
    </row>
    <row r="3402" spans="1:11" x14ac:dyDescent="0.3">
      <c r="A3402">
        <v>1177</v>
      </c>
      <c r="B3402">
        <v>2</v>
      </c>
      <c r="C3402">
        <v>74</v>
      </c>
      <c r="D3402">
        <v>1</v>
      </c>
      <c r="E3402" s="1">
        <v>439.99</v>
      </c>
      <c r="F3402" s="1">
        <v>0.1</v>
      </c>
      <c r="G3402">
        <v>439.99</v>
      </c>
      <c r="H3402" s="22">
        <f>VLOOKUP(A3402,[1]Orders!$A$2:$B$1616,2,0)</f>
        <v>43020</v>
      </c>
      <c r="J3402" t="s">
        <v>61</v>
      </c>
      <c r="K3402" t="s">
        <v>37</v>
      </c>
    </row>
    <row r="3403" spans="1:11" x14ac:dyDescent="0.3">
      <c r="A3403">
        <v>1178</v>
      </c>
      <c r="B3403">
        <v>1</v>
      </c>
      <c r="C3403">
        <v>46</v>
      </c>
      <c r="D3403">
        <v>1</v>
      </c>
      <c r="E3403" s="1">
        <v>1409.99</v>
      </c>
      <c r="F3403" s="1">
        <v>7.0000000000000007E-2</v>
      </c>
      <c r="G3403">
        <v>1409.99</v>
      </c>
      <c r="H3403" s="22">
        <f>VLOOKUP(A3403,[1]Orders!$A$2:$B$1616,2,0)</f>
        <v>43020</v>
      </c>
      <c r="J3403" t="s">
        <v>118</v>
      </c>
      <c r="K3403" t="s">
        <v>18</v>
      </c>
    </row>
    <row r="3404" spans="1:11" x14ac:dyDescent="0.3">
      <c r="A3404">
        <v>1178</v>
      </c>
      <c r="B3404">
        <v>2</v>
      </c>
      <c r="C3404">
        <v>77</v>
      </c>
      <c r="D3404">
        <v>1</v>
      </c>
      <c r="E3404" s="1">
        <v>799.99</v>
      </c>
      <c r="F3404" s="1">
        <v>0.2</v>
      </c>
      <c r="G3404">
        <v>799.99</v>
      </c>
      <c r="H3404" s="22">
        <f>VLOOKUP(A3404,[1]Orders!$A$2:$B$1616,2,0)</f>
        <v>43020</v>
      </c>
      <c r="J3404" t="s">
        <v>113</v>
      </c>
      <c r="K3404" t="s">
        <v>18</v>
      </c>
    </row>
    <row r="3405" spans="1:11" x14ac:dyDescent="0.3">
      <c r="A3405">
        <v>1178</v>
      </c>
      <c r="B3405">
        <v>3</v>
      </c>
      <c r="C3405">
        <v>108</v>
      </c>
      <c r="D3405">
        <v>1</v>
      </c>
      <c r="E3405" s="1">
        <v>449.99</v>
      </c>
      <c r="F3405" s="1">
        <v>0.05</v>
      </c>
      <c r="G3405">
        <v>449.99</v>
      </c>
      <c r="H3405" s="22">
        <f>VLOOKUP(A3405,[1]Orders!$A$2:$B$1616,2,0)</f>
        <v>43020</v>
      </c>
      <c r="J3405" t="s">
        <v>85</v>
      </c>
      <c r="K3405" t="s">
        <v>18</v>
      </c>
    </row>
    <row r="3406" spans="1:11" x14ac:dyDescent="0.3">
      <c r="A3406">
        <v>1178</v>
      </c>
      <c r="B3406">
        <v>4</v>
      </c>
      <c r="C3406">
        <v>13</v>
      </c>
      <c r="D3406">
        <v>2</v>
      </c>
      <c r="E3406" s="1">
        <v>269.99</v>
      </c>
      <c r="F3406" s="1">
        <v>0.05</v>
      </c>
      <c r="G3406">
        <v>539.98</v>
      </c>
      <c r="H3406" s="22">
        <f>VLOOKUP(A3406,[1]Orders!$A$2:$B$1616,2,0)</f>
        <v>43020</v>
      </c>
      <c r="J3406" t="s">
        <v>31</v>
      </c>
      <c r="K3406" t="s">
        <v>18</v>
      </c>
    </row>
    <row r="3407" spans="1:11" x14ac:dyDescent="0.3">
      <c r="A3407">
        <v>1179</v>
      </c>
      <c r="B3407">
        <v>1</v>
      </c>
      <c r="C3407">
        <v>93</v>
      </c>
      <c r="D3407">
        <v>2</v>
      </c>
      <c r="E3407" s="1">
        <v>209.99</v>
      </c>
      <c r="F3407" s="1">
        <v>0.05</v>
      </c>
      <c r="G3407">
        <v>419.98</v>
      </c>
      <c r="H3407" s="22">
        <f>VLOOKUP(A3407,[1]Orders!$A$2:$B$1616,2,0)</f>
        <v>43020</v>
      </c>
      <c r="J3407" t="s">
        <v>110</v>
      </c>
      <c r="K3407" t="s">
        <v>37</v>
      </c>
    </row>
    <row r="3408" spans="1:11" x14ac:dyDescent="0.3">
      <c r="A3408">
        <v>1179</v>
      </c>
      <c r="B3408">
        <v>2</v>
      </c>
      <c r="C3408">
        <v>88</v>
      </c>
      <c r="D3408">
        <v>2</v>
      </c>
      <c r="E3408" s="1">
        <v>189.99</v>
      </c>
      <c r="F3408" s="1">
        <v>0.05</v>
      </c>
      <c r="G3408">
        <v>379.98</v>
      </c>
      <c r="H3408" s="22">
        <f>VLOOKUP(A3408,[1]Orders!$A$2:$B$1616,2,0)</f>
        <v>43020</v>
      </c>
      <c r="J3408" t="s">
        <v>64</v>
      </c>
      <c r="K3408" t="s">
        <v>37</v>
      </c>
    </row>
    <row r="3409" spans="1:11" x14ac:dyDescent="0.3">
      <c r="A3409">
        <v>1179</v>
      </c>
      <c r="B3409">
        <v>3</v>
      </c>
      <c r="C3409">
        <v>33</v>
      </c>
      <c r="D3409">
        <v>2</v>
      </c>
      <c r="E3409" s="1">
        <v>469.99</v>
      </c>
      <c r="F3409" s="1">
        <v>0.2</v>
      </c>
      <c r="G3409">
        <v>939.98</v>
      </c>
      <c r="H3409" s="22">
        <f>VLOOKUP(A3409,[1]Orders!$A$2:$B$1616,2,0)</f>
        <v>43020</v>
      </c>
      <c r="J3409" t="s">
        <v>67</v>
      </c>
      <c r="K3409" t="s">
        <v>37</v>
      </c>
    </row>
    <row r="3410" spans="1:11" x14ac:dyDescent="0.3">
      <c r="A3410">
        <v>1179</v>
      </c>
      <c r="B3410">
        <v>4</v>
      </c>
      <c r="C3410">
        <v>50</v>
      </c>
      <c r="D3410">
        <v>1</v>
      </c>
      <c r="E3410" s="1">
        <v>5999.99</v>
      </c>
      <c r="F3410" s="1">
        <v>7.0000000000000007E-2</v>
      </c>
      <c r="G3410">
        <v>5999.99</v>
      </c>
      <c r="H3410" s="22">
        <f>VLOOKUP(A3410,[1]Orders!$A$2:$B$1616,2,0)</f>
        <v>43020</v>
      </c>
      <c r="J3410" t="s">
        <v>79</v>
      </c>
      <c r="K3410" t="s">
        <v>37</v>
      </c>
    </row>
    <row r="3411" spans="1:11" x14ac:dyDescent="0.3">
      <c r="A3411">
        <v>1180</v>
      </c>
      <c r="B3411">
        <v>1</v>
      </c>
      <c r="C3411">
        <v>66</v>
      </c>
      <c r="D3411">
        <v>2</v>
      </c>
      <c r="E3411" s="1">
        <v>250.99</v>
      </c>
      <c r="F3411" s="1">
        <v>7.0000000000000007E-2</v>
      </c>
      <c r="G3411">
        <v>501.98</v>
      </c>
      <c r="H3411" s="22">
        <f>VLOOKUP(A3411,[1]Orders!$A$2:$B$1616,2,0)</f>
        <v>43021</v>
      </c>
      <c r="J3411" t="s">
        <v>92</v>
      </c>
      <c r="K3411" t="s">
        <v>11</v>
      </c>
    </row>
    <row r="3412" spans="1:11" x14ac:dyDescent="0.3">
      <c r="A3412">
        <v>1181</v>
      </c>
      <c r="B3412">
        <v>1</v>
      </c>
      <c r="C3412">
        <v>98</v>
      </c>
      <c r="D3412">
        <v>1</v>
      </c>
      <c r="E3412" s="1">
        <v>489.99</v>
      </c>
      <c r="F3412" s="1">
        <v>0.1</v>
      </c>
      <c r="G3412">
        <v>489.99</v>
      </c>
      <c r="H3412" s="22">
        <f>VLOOKUP(A3412,[1]Orders!$A$2:$B$1616,2,0)</f>
        <v>43021</v>
      </c>
      <c r="J3412" t="s">
        <v>82</v>
      </c>
      <c r="K3412" t="s">
        <v>18</v>
      </c>
    </row>
    <row r="3413" spans="1:11" x14ac:dyDescent="0.3">
      <c r="A3413">
        <v>1182</v>
      </c>
      <c r="B3413">
        <v>1</v>
      </c>
      <c r="C3413">
        <v>35</v>
      </c>
      <c r="D3413">
        <v>1</v>
      </c>
      <c r="E3413" s="1">
        <v>832.99</v>
      </c>
      <c r="F3413" s="1">
        <v>0.1</v>
      </c>
      <c r="G3413">
        <v>832.99</v>
      </c>
      <c r="H3413" s="22">
        <f>VLOOKUP(A3413,[1]Orders!$A$2:$B$1616,2,0)</f>
        <v>43021</v>
      </c>
      <c r="J3413" t="s">
        <v>109</v>
      </c>
      <c r="K3413" t="s">
        <v>18</v>
      </c>
    </row>
    <row r="3414" spans="1:11" x14ac:dyDescent="0.3">
      <c r="A3414">
        <v>1182</v>
      </c>
      <c r="B3414">
        <v>2</v>
      </c>
      <c r="C3414">
        <v>49</v>
      </c>
      <c r="D3414">
        <v>2</v>
      </c>
      <c r="E3414" s="1">
        <v>3499.99</v>
      </c>
      <c r="F3414" s="1">
        <v>0.1</v>
      </c>
      <c r="G3414">
        <v>6999.98</v>
      </c>
      <c r="H3414" s="22">
        <f>VLOOKUP(A3414,[1]Orders!$A$2:$B$1616,2,0)</f>
        <v>43021</v>
      </c>
      <c r="J3414" t="s">
        <v>70</v>
      </c>
      <c r="K3414" t="s">
        <v>18</v>
      </c>
    </row>
    <row r="3415" spans="1:11" x14ac:dyDescent="0.3">
      <c r="A3415">
        <v>1183</v>
      </c>
      <c r="B3415">
        <v>1</v>
      </c>
      <c r="C3415">
        <v>63</v>
      </c>
      <c r="D3415">
        <v>1</v>
      </c>
      <c r="E3415" s="1">
        <v>3499.99</v>
      </c>
      <c r="F3415" s="1">
        <v>0.2</v>
      </c>
      <c r="G3415">
        <v>3499.99</v>
      </c>
      <c r="H3415" s="22">
        <f>VLOOKUP(A3415,[1]Orders!$A$2:$B$1616,2,0)</f>
        <v>43022</v>
      </c>
      <c r="J3415" t="s">
        <v>75</v>
      </c>
      <c r="K3415" t="s">
        <v>18</v>
      </c>
    </row>
    <row r="3416" spans="1:11" x14ac:dyDescent="0.3">
      <c r="A3416">
        <v>1183</v>
      </c>
      <c r="B3416">
        <v>2</v>
      </c>
      <c r="C3416">
        <v>80</v>
      </c>
      <c r="D3416">
        <v>2</v>
      </c>
      <c r="E3416" s="1">
        <v>761.99</v>
      </c>
      <c r="F3416" s="1">
        <v>0.2</v>
      </c>
      <c r="G3416">
        <v>1523.98</v>
      </c>
      <c r="H3416" s="22">
        <f>VLOOKUP(A3416,[1]Orders!$A$2:$B$1616,2,0)</f>
        <v>43022</v>
      </c>
      <c r="J3416" t="s">
        <v>63</v>
      </c>
      <c r="K3416" t="s">
        <v>18</v>
      </c>
    </row>
    <row r="3417" spans="1:11" x14ac:dyDescent="0.3">
      <c r="A3417">
        <v>1183</v>
      </c>
      <c r="B3417">
        <v>3</v>
      </c>
      <c r="C3417">
        <v>6</v>
      </c>
      <c r="D3417">
        <v>2</v>
      </c>
      <c r="E3417" s="1">
        <v>469.99</v>
      </c>
      <c r="F3417" s="1">
        <v>0.05</v>
      </c>
      <c r="G3417">
        <v>939.98</v>
      </c>
      <c r="H3417" s="22">
        <f>VLOOKUP(A3417,[1]Orders!$A$2:$B$1616,2,0)</f>
        <v>43022</v>
      </c>
      <c r="J3417" t="s">
        <v>32</v>
      </c>
      <c r="K3417" t="s">
        <v>18</v>
      </c>
    </row>
    <row r="3418" spans="1:11" x14ac:dyDescent="0.3">
      <c r="A3418">
        <v>1184</v>
      </c>
      <c r="B3418">
        <v>1</v>
      </c>
      <c r="C3418">
        <v>16</v>
      </c>
      <c r="D3418">
        <v>2</v>
      </c>
      <c r="E3418" s="1">
        <v>599.99</v>
      </c>
      <c r="F3418" s="1">
        <v>0.05</v>
      </c>
      <c r="G3418">
        <v>1199.98</v>
      </c>
      <c r="H3418" s="22">
        <f>VLOOKUP(A3418,[1]Orders!$A$2:$B$1616,2,0)</f>
        <v>43022</v>
      </c>
      <c r="J3418" t="s">
        <v>14</v>
      </c>
      <c r="K3418" t="s">
        <v>18</v>
      </c>
    </row>
    <row r="3419" spans="1:11" x14ac:dyDescent="0.3">
      <c r="A3419">
        <v>1184</v>
      </c>
      <c r="B3419">
        <v>2</v>
      </c>
      <c r="C3419">
        <v>71</v>
      </c>
      <c r="D3419">
        <v>1</v>
      </c>
      <c r="E3419" s="1">
        <v>416.99</v>
      </c>
      <c r="F3419" s="1">
        <v>0.05</v>
      </c>
      <c r="G3419">
        <v>416.99</v>
      </c>
      <c r="H3419" s="22">
        <f>VLOOKUP(A3419,[1]Orders!$A$2:$B$1616,2,0)</f>
        <v>43022</v>
      </c>
      <c r="J3419" t="s">
        <v>78</v>
      </c>
      <c r="K3419" t="s">
        <v>18</v>
      </c>
    </row>
    <row r="3420" spans="1:11" x14ac:dyDescent="0.3">
      <c r="A3420">
        <v>1185</v>
      </c>
      <c r="B3420">
        <v>1</v>
      </c>
      <c r="C3420">
        <v>19</v>
      </c>
      <c r="D3420">
        <v>2</v>
      </c>
      <c r="E3420" s="1">
        <v>449</v>
      </c>
      <c r="F3420" s="1">
        <v>7.0000000000000007E-2</v>
      </c>
      <c r="G3420">
        <v>898</v>
      </c>
      <c r="H3420" s="22">
        <f>VLOOKUP(A3420,[1]Orders!$A$2:$B$1616,2,0)</f>
        <v>43022</v>
      </c>
      <c r="J3420" t="s">
        <v>36</v>
      </c>
      <c r="K3420" t="s">
        <v>18</v>
      </c>
    </row>
    <row r="3421" spans="1:11" x14ac:dyDescent="0.3">
      <c r="A3421">
        <v>1185</v>
      </c>
      <c r="B3421">
        <v>2</v>
      </c>
      <c r="C3421">
        <v>21</v>
      </c>
      <c r="D3421">
        <v>1</v>
      </c>
      <c r="E3421" s="1">
        <v>269.99</v>
      </c>
      <c r="F3421" s="1">
        <v>7.0000000000000007E-2</v>
      </c>
      <c r="G3421">
        <v>269.99</v>
      </c>
      <c r="H3421" s="22">
        <f>VLOOKUP(A3421,[1]Orders!$A$2:$B$1616,2,0)</f>
        <v>43022</v>
      </c>
      <c r="J3421" t="s">
        <v>31</v>
      </c>
      <c r="K3421" t="s">
        <v>18</v>
      </c>
    </row>
    <row r="3422" spans="1:11" x14ac:dyDescent="0.3">
      <c r="A3422">
        <v>1185</v>
      </c>
      <c r="B3422">
        <v>3</v>
      </c>
      <c r="C3422">
        <v>63</v>
      </c>
      <c r="D3422">
        <v>2</v>
      </c>
      <c r="E3422" s="1">
        <v>3499.99</v>
      </c>
      <c r="F3422" s="1">
        <v>0.1</v>
      </c>
      <c r="G3422">
        <v>6999.98</v>
      </c>
      <c r="H3422" s="22">
        <f>VLOOKUP(A3422,[1]Orders!$A$2:$B$1616,2,0)</f>
        <v>43022</v>
      </c>
      <c r="J3422" t="s">
        <v>75</v>
      </c>
      <c r="K3422" t="s">
        <v>18</v>
      </c>
    </row>
    <row r="3423" spans="1:11" x14ac:dyDescent="0.3">
      <c r="A3423">
        <v>1185</v>
      </c>
      <c r="B3423">
        <v>4</v>
      </c>
      <c r="C3423">
        <v>80</v>
      </c>
      <c r="D3423">
        <v>1</v>
      </c>
      <c r="E3423" s="1">
        <v>761.99</v>
      </c>
      <c r="F3423" s="1">
        <v>0.2</v>
      </c>
      <c r="G3423">
        <v>761.99</v>
      </c>
      <c r="H3423" s="22">
        <f>VLOOKUP(A3423,[1]Orders!$A$2:$B$1616,2,0)</f>
        <v>43022</v>
      </c>
      <c r="J3423" t="s">
        <v>63</v>
      </c>
      <c r="K3423" t="s">
        <v>18</v>
      </c>
    </row>
    <row r="3424" spans="1:11" x14ac:dyDescent="0.3">
      <c r="A3424">
        <v>1186</v>
      </c>
      <c r="B3424">
        <v>1</v>
      </c>
      <c r="C3424">
        <v>48</v>
      </c>
      <c r="D3424">
        <v>2</v>
      </c>
      <c r="E3424" s="1">
        <v>1499.99</v>
      </c>
      <c r="F3424" s="1">
        <v>0.1</v>
      </c>
      <c r="G3424">
        <v>2999.98</v>
      </c>
      <c r="H3424" s="22">
        <f>VLOOKUP(A3424,[1]Orders!$A$2:$B$1616,2,0)</f>
        <v>43022</v>
      </c>
      <c r="J3424" t="s">
        <v>84</v>
      </c>
      <c r="K3424" t="s">
        <v>18</v>
      </c>
    </row>
    <row r="3425" spans="1:11" x14ac:dyDescent="0.3">
      <c r="A3425">
        <v>1186</v>
      </c>
      <c r="B3425">
        <v>2</v>
      </c>
      <c r="C3425">
        <v>49</v>
      </c>
      <c r="D3425">
        <v>1</v>
      </c>
      <c r="E3425" s="1">
        <v>3499.99</v>
      </c>
      <c r="F3425" s="1">
        <v>7.0000000000000007E-2</v>
      </c>
      <c r="G3425">
        <v>3499.99</v>
      </c>
      <c r="H3425" s="22">
        <f>VLOOKUP(A3425,[1]Orders!$A$2:$B$1616,2,0)</f>
        <v>43022</v>
      </c>
      <c r="J3425" t="s">
        <v>70</v>
      </c>
      <c r="K3425" t="s">
        <v>18</v>
      </c>
    </row>
    <row r="3426" spans="1:11" x14ac:dyDescent="0.3">
      <c r="A3426">
        <v>1186</v>
      </c>
      <c r="B3426">
        <v>3</v>
      </c>
      <c r="C3426">
        <v>106</v>
      </c>
      <c r="D3426">
        <v>1</v>
      </c>
      <c r="E3426" s="1">
        <v>449.99</v>
      </c>
      <c r="F3426" s="1">
        <v>0.1</v>
      </c>
      <c r="G3426">
        <v>449.99</v>
      </c>
      <c r="H3426" s="22">
        <f>VLOOKUP(A3426,[1]Orders!$A$2:$B$1616,2,0)</f>
        <v>43022</v>
      </c>
      <c r="J3426" t="s">
        <v>39</v>
      </c>
      <c r="K3426" t="s">
        <v>18</v>
      </c>
    </row>
    <row r="3427" spans="1:11" x14ac:dyDescent="0.3">
      <c r="A3427">
        <v>1186</v>
      </c>
      <c r="B3427">
        <v>4</v>
      </c>
      <c r="C3427">
        <v>27</v>
      </c>
      <c r="D3427">
        <v>1</v>
      </c>
      <c r="E3427" s="1">
        <v>999.99</v>
      </c>
      <c r="F3427" s="1">
        <v>0.2</v>
      </c>
      <c r="G3427">
        <v>999.99</v>
      </c>
      <c r="H3427" s="22">
        <f>VLOOKUP(A3427,[1]Orders!$A$2:$B$1616,2,0)</f>
        <v>43022</v>
      </c>
      <c r="J3427" t="s">
        <v>106</v>
      </c>
      <c r="K3427" t="s">
        <v>18</v>
      </c>
    </row>
    <row r="3428" spans="1:11" x14ac:dyDescent="0.3">
      <c r="A3428">
        <v>1187</v>
      </c>
      <c r="B3428">
        <v>1</v>
      </c>
      <c r="C3428">
        <v>36</v>
      </c>
      <c r="D3428">
        <v>2</v>
      </c>
      <c r="E3428" s="1">
        <v>832.99</v>
      </c>
      <c r="F3428" s="1">
        <v>0.1</v>
      </c>
      <c r="G3428">
        <v>1665.98</v>
      </c>
      <c r="H3428" s="22">
        <f>VLOOKUP(A3428,[1]Orders!$A$2:$B$1616,2,0)</f>
        <v>43023</v>
      </c>
      <c r="J3428" t="s">
        <v>116</v>
      </c>
      <c r="K3428" t="s">
        <v>18</v>
      </c>
    </row>
    <row r="3429" spans="1:11" x14ac:dyDescent="0.3">
      <c r="A3429">
        <v>1187</v>
      </c>
      <c r="B3429">
        <v>2</v>
      </c>
      <c r="C3429">
        <v>79</v>
      </c>
      <c r="D3429">
        <v>1</v>
      </c>
      <c r="E3429" s="1">
        <v>402.99</v>
      </c>
      <c r="F3429" s="1">
        <v>7.0000000000000007E-2</v>
      </c>
      <c r="G3429">
        <v>402.99</v>
      </c>
      <c r="H3429" s="22">
        <f>VLOOKUP(A3429,[1]Orders!$A$2:$B$1616,2,0)</f>
        <v>43023</v>
      </c>
      <c r="J3429" t="s">
        <v>58</v>
      </c>
      <c r="K3429" t="s">
        <v>18</v>
      </c>
    </row>
    <row r="3430" spans="1:11" x14ac:dyDescent="0.3">
      <c r="A3430">
        <v>1187</v>
      </c>
      <c r="B3430">
        <v>3</v>
      </c>
      <c r="C3430">
        <v>4</v>
      </c>
      <c r="D3430">
        <v>1</v>
      </c>
      <c r="E3430" s="1">
        <v>2899.99</v>
      </c>
      <c r="F3430" s="1">
        <v>0.1</v>
      </c>
      <c r="G3430">
        <v>2899.99</v>
      </c>
      <c r="H3430" s="22">
        <f>VLOOKUP(A3430,[1]Orders!$A$2:$B$1616,2,0)</f>
        <v>43023</v>
      </c>
      <c r="J3430" t="s">
        <v>16</v>
      </c>
      <c r="K3430" t="s">
        <v>18</v>
      </c>
    </row>
    <row r="3431" spans="1:11" x14ac:dyDescent="0.3">
      <c r="A3431">
        <v>1187</v>
      </c>
      <c r="B3431">
        <v>4</v>
      </c>
      <c r="C3431">
        <v>53</v>
      </c>
      <c r="D3431">
        <v>2</v>
      </c>
      <c r="E3431" s="1">
        <v>749.99</v>
      </c>
      <c r="F3431" s="1">
        <v>0.1</v>
      </c>
      <c r="G3431">
        <v>1499.98</v>
      </c>
      <c r="H3431" s="22">
        <f>VLOOKUP(A3431,[1]Orders!$A$2:$B$1616,2,0)</f>
        <v>43023</v>
      </c>
      <c r="J3431" t="s">
        <v>42</v>
      </c>
      <c r="K3431" t="s">
        <v>18</v>
      </c>
    </row>
    <row r="3432" spans="1:11" x14ac:dyDescent="0.3">
      <c r="A3432">
        <v>1188</v>
      </c>
      <c r="B3432">
        <v>1</v>
      </c>
      <c r="C3432">
        <v>66</v>
      </c>
      <c r="D3432">
        <v>2</v>
      </c>
      <c r="E3432" s="1">
        <v>250.99</v>
      </c>
      <c r="F3432" s="1">
        <v>0.1</v>
      </c>
      <c r="G3432">
        <v>501.98</v>
      </c>
      <c r="H3432" s="22">
        <f>VLOOKUP(A3432,[1]Orders!$A$2:$B$1616,2,0)</f>
        <v>43023</v>
      </c>
      <c r="J3432" t="s">
        <v>92</v>
      </c>
      <c r="K3432" t="s">
        <v>18</v>
      </c>
    </row>
    <row r="3433" spans="1:11" x14ac:dyDescent="0.3">
      <c r="A3433">
        <v>1188</v>
      </c>
      <c r="B3433">
        <v>2</v>
      </c>
      <c r="C3433">
        <v>91</v>
      </c>
      <c r="D3433">
        <v>2</v>
      </c>
      <c r="E3433" s="1">
        <v>349.99</v>
      </c>
      <c r="F3433" s="1">
        <v>0.2</v>
      </c>
      <c r="G3433">
        <v>699.98</v>
      </c>
      <c r="H3433" s="22">
        <f>VLOOKUP(A3433,[1]Orders!$A$2:$B$1616,2,0)</f>
        <v>43023</v>
      </c>
      <c r="J3433" t="s">
        <v>97</v>
      </c>
      <c r="K3433" t="s">
        <v>18</v>
      </c>
    </row>
    <row r="3434" spans="1:11" x14ac:dyDescent="0.3">
      <c r="A3434">
        <v>1188</v>
      </c>
      <c r="B3434">
        <v>3</v>
      </c>
      <c r="C3434">
        <v>87</v>
      </c>
      <c r="D3434">
        <v>2</v>
      </c>
      <c r="E3434" s="1">
        <v>189.99</v>
      </c>
      <c r="F3434" s="1">
        <v>0.1</v>
      </c>
      <c r="G3434">
        <v>379.98</v>
      </c>
      <c r="H3434" s="22">
        <f>VLOOKUP(A3434,[1]Orders!$A$2:$B$1616,2,0)</f>
        <v>43023</v>
      </c>
      <c r="J3434" t="s">
        <v>117</v>
      </c>
      <c r="K3434" t="s">
        <v>18</v>
      </c>
    </row>
    <row r="3435" spans="1:11" x14ac:dyDescent="0.3">
      <c r="A3435">
        <v>1189</v>
      </c>
      <c r="B3435">
        <v>1</v>
      </c>
      <c r="C3435">
        <v>55</v>
      </c>
      <c r="D3435">
        <v>1</v>
      </c>
      <c r="E3435" s="1">
        <v>2699.99</v>
      </c>
      <c r="F3435" s="1">
        <v>7.0000000000000007E-2</v>
      </c>
      <c r="G3435">
        <v>2699.99</v>
      </c>
      <c r="H3435" s="22">
        <f>VLOOKUP(A3435,[1]Orders!$A$2:$B$1616,2,0)</f>
        <v>43023</v>
      </c>
      <c r="J3435" t="s">
        <v>76</v>
      </c>
      <c r="K3435" t="s">
        <v>18</v>
      </c>
    </row>
    <row r="3436" spans="1:11" x14ac:dyDescent="0.3">
      <c r="A3436">
        <v>1189</v>
      </c>
      <c r="B3436">
        <v>2</v>
      </c>
      <c r="C3436">
        <v>102</v>
      </c>
      <c r="D3436">
        <v>2</v>
      </c>
      <c r="E3436" s="1">
        <v>489.99</v>
      </c>
      <c r="F3436" s="1">
        <v>0.1</v>
      </c>
      <c r="G3436">
        <v>979.98</v>
      </c>
      <c r="H3436" s="22">
        <f>VLOOKUP(A3436,[1]Orders!$A$2:$B$1616,2,0)</f>
        <v>43023</v>
      </c>
      <c r="J3436" t="s">
        <v>51</v>
      </c>
      <c r="K3436" t="s">
        <v>18</v>
      </c>
    </row>
    <row r="3437" spans="1:11" x14ac:dyDescent="0.3">
      <c r="A3437">
        <v>1189</v>
      </c>
      <c r="B3437">
        <v>3</v>
      </c>
      <c r="C3437">
        <v>40</v>
      </c>
      <c r="D3437">
        <v>2</v>
      </c>
      <c r="E3437" s="1">
        <v>4999.99</v>
      </c>
      <c r="F3437" s="1">
        <v>0.1</v>
      </c>
      <c r="G3437">
        <v>9999.98</v>
      </c>
      <c r="H3437" s="22">
        <f>VLOOKUP(A3437,[1]Orders!$A$2:$B$1616,2,0)</f>
        <v>43023</v>
      </c>
      <c r="J3437" t="s">
        <v>104</v>
      </c>
      <c r="K3437" t="s">
        <v>18</v>
      </c>
    </row>
    <row r="3438" spans="1:11" x14ac:dyDescent="0.3">
      <c r="A3438">
        <v>1190</v>
      </c>
      <c r="B3438">
        <v>1</v>
      </c>
      <c r="C3438">
        <v>71</v>
      </c>
      <c r="D3438">
        <v>1</v>
      </c>
      <c r="E3438" s="1">
        <v>416.99</v>
      </c>
      <c r="F3438" s="1">
        <v>7.0000000000000007E-2</v>
      </c>
      <c r="G3438">
        <v>416.99</v>
      </c>
      <c r="H3438" s="22">
        <f>VLOOKUP(A3438,[1]Orders!$A$2:$B$1616,2,0)</f>
        <v>43024</v>
      </c>
      <c r="J3438" t="s">
        <v>78</v>
      </c>
      <c r="K3438" t="s">
        <v>18</v>
      </c>
    </row>
    <row r="3439" spans="1:11" x14ac:dyDescent="0.3">
      <c r="A3439">
        <v>1191</v>
      </c>
      <c r="B3439">
        <v>1</v>
      </c>
      <c r="C3439">
        <v>40</v>
      </c>
      <c r="D3439">
        <v>2</v>
      </c>
      <c r="E3439" s="1">
        <v>4999.99</v>
      </c>
      <c r="F3439" s="1">
        <v>0.1</v>
      </c>
      <c r="G3439">
        <v>9999.98</v>
      </c>
      <c r="H3439" s="22">
        <f>VLOOKUP(A3439,[1]Orders!$A$2:$B$1616,2,0)</f>
        <v>43025</v>
      </c>
      <c r="J3439" t="s">
        <v>104</v>
      </c>
      <c r="K3439" t="s">
        <v>18</v>
      </c>
    </row>
    <row r="3440" spans="1:11" x14ac:dyDescent="0.3">
      <c r="A3440">
        <v>1191</v>
      </c>
      <c r="B3440">
        <v>2</v>
      </c>
      <c r="C3440">
        <v>89</v>
      </c>
      <c r="D3440">
        <v>2</v>
      </c>
      <c r="E3440" s="1">
        <v>209.99</v>
      </c>
      <c r="F3440" s="1">
        <v>0.1</v>
      </c>
      <c r="G3440">
        <v>419.98</v>
      </c>
      <c r="H3440" s="22">
        <f>VLOOKUP(A3440,[1]Orders!$A$2:$B$1616,2,0)</f>
        <v>43025</v>
      </c>
      <c r="J3440" t="s">
        <v>94</v>
      </c>
      <c r="K3440" t="s">
        <v>18</v>
      </c>
    </row>
    <row r="3441" spans="1:11" x14ac:dyDescent="0.3">
      <c r="A3441">
        <v>1191</v>
      </c>
      <c r="B3441">
        <v>3</v>
      </c>
      <c r="C3441">
        <v>100</v>
      </c>
      <c r="D3441">
        <v>1</v>
      </c>
      <c r="E3441" s="1">
        <v>489.99</v>
      </c>
      <c r="F3441" s="1">
        <v>7.0000000000000007E-2</v>
      </c>
      <c r="G3441">
        <v>489.99</v>
      </c>
      <c r="H3441" s="22">
        <f>VLOOKUP(A3441,[1]Orders!$A$2:$B$1616,2,0)</f>
        <v>43025</v>
      </c>
      <c r="J3441" t="s">
        <v>105</v>
      </c>
      <c r="K3441" t="s">
        <v>18</v>
      </c>
    </row>
    <row r="3442" spans="1:11" x14ac:dyDescent="0.3">
      <c r="A3442">
        <v>1192</v>
      </c>
      <c r="B3442">
        <v>1</v>
      </c>
      <c r="C3442">
        <v>24</v>
      </c>
      <c r="D3442">
        <v>2</v>
      </c>
      <c r="E3442" s="1">
        <v>549.99</v>
      </c>
      <c r="F3442" s="1">
        <v>0.1</v>
      </c>
      <c r="G3442">
        <v>1099.98</v>
      </c>
      <c r="H3442" s="22">
        <f>VLOOKUP(A3442,[1]Orders!$A$2:$B$1616,2,0)</f>
        <v>43025</v>
      </c>
      <c r="J3442" t="s">
        <v>25</v>
      </c>
      <c r="K3442" t="s">
        <v>18</v>
      </c>
    </row>
    <row r="3443" spans="1:11" x14ac:dyDescent="0.3">
      <c r="A3443">
        <v>1192</v>
      </c>
      <c r="B3443">
        <v>2</v>
      </c>
      <c r="C3443">
        <v>88</v>
      </c>
      <c r="D3443">
        <v>2</v>
      </c>
      <c r="E3443" s="1">
        <v>189.99</v>
      </c>
      <c r="F3443" s="1">
        <v>7.0000000000000007E-2</v>
      </c>
      <c r="G3443">
        <v>379.98</v>
      </c>
      <c r="H3443" s="22">
        <f>VLOOKUP(A3443,[1]Orders!$A$2:$B$1616,2,0)</f>
        <v>43025</v>
      </c>
      <c r="J3443" t="s">
        <v>64</v>
      </c>
      <c r="K3443" t="s">
        <v>18</v>
      </c>
    </row>
    <row r="3444" spans="1:11" x14ac:dyDescent="0.3">
      <c r="A3444">
        <v>1192</v>
      </c>
      <c r="B3444">
        <v>3</v>
      </c>
      <c r="C3444">
        <v>37</v>
      </c>
      <c r="D3444">
        <v>2</v>
      </c>
      <c r="E3444" s="1">
        <v>379.99</v>
      </c>
      <c r="F3444" s="1">
        <v>0.2</v>
      </c>
      <c r="G3444">
        <v>759.98</v>
      </c>
      <c r="H3444" s="22">
        <f>VLOOKUP(A3444,[1]Orders!$A$2:$B$1616,2,0)</f>
        <v>43025</v>
      </c>
      <c r="J3444" t="s">
        <v>98</v>
      </c>
      <c r="K3444" t="s">
        <v>18</v>
      </c>
    </row>
    <row r="3445" spans="1:11" x14ac:dyDescent="0.3">
      <c r="A3445">
        <v>1193</v>
      </c>
      <c r="B3445">
        <v>1</v>
      </c>
      <c r="C3445">
        <v>83</v>
      </c>
      <c r="D3445">
        <v>2</v>
      </c>
      <c r="E3445" s="1">
        <v>149.99</v>
      </c>
      <c r="F3445" s="1">
        <v>0.05</v>
      </c>
      <c r="G3445">
        <v>299.98</v>
      </c>
      <c r="H3445" s="22">
        <f>VLOOKUP(A3445,[1]Orders!$A$2:$B$1616,2,0)</f>
        <v>43025</v>
      </c>
      <c r="J3445" t="s">
        <v>66</v>
      </c>
      <c r="K3445" t="s">
        <v>18</v>
      </c>
    </row>
    <row r="3446" spans="1:11" x14ac:dyDescent="0.3">
      <c r="A3446">
        <v>1193</v>
      </c>
      <c r="B3446">
        <v>2</v>
      </c>
      <c r="C3446">
        <v>27</v>
      </c>
      <c r="D3446">
        <v>1</v>
      </c>
      <c r="E3446" s="1">
        <v>999.99</v>
      </c>
      <c r="F3446" s="1">
        <v>0.05</v>
      </c>
      <c r="G3446">
        <v>999.99</v>
      </c>
      <c r="H3446" s="22">
        <f>VLOOKUP(A3446,[1]Orders!$A$2:$B$1616,2,0)</f>
        <v>43025</v>
      </c>
      <c r="J3446" t="s">
        <v>106</v>
      </c>
      <c r="K3446" t="s">
        <v>18</v>
      </c>
    </row>
    <row r="3447" spans="1:11" x14ac:dyDescent="0.3">
      <c r="A3447">
        <v>1194</v>
      </c>
      <c r="B3447">
        <v>1</v>
      </c>
      <c r="C3447">
        <v>71</v>
      </c>
      <c r="D3447">
        <v>1</v>
      </c>
      <c r="E3447" s="1">
        <v>416.99</v>
      </c>
      <c r="F3447" s="1">
        <v>0.05</v>
      </c>
      <c r="G3447">
        <v>416.99</v>
      </c>
      <c r="H3447" s="22">
        <f>VLOOKUP(A3447,[1]Orders!$A$2:$B$1616,2,0)</f>
        <v>43027</v>
      </c>
      <c r="J3447" t="s">
        <v>78</v>
      </c>
      <c r="K3447" t="s">
        <v>11</v>
      </c>
    </row>
    <row r="3448" spans="1:11" x14ac:dyDescent="0.3">
      <c r="A3448">
        <v>1194</v>
      </c>
      <c r="B3448">
        <v>2</v>
      </c>
      <c r="C3448">
        <v>7</v>
      </c>
      <c r="D3448">
        <v>2</v>
      </c>
      <c r="E3448" s="1">
        <v>3999.99</v>
      </c>
      <c r="F3448" s="1">
        <v>7.0000000000000007E-2</v>
      </c>
      <c r="G3448">
        <v>7999.98</v>
      </c>
      <c r="H3448" s="22">
        <f>VLOOKUP(A3448,[1]Orders!$A$2:$B$1616,2,0)</f>
        <v>43027</v>
      </c>
      <c r="J3448" t="s">
        <v>29</v>
      </c>
      <c r="K3448" t="s">
        <v>11</v>
      </c>
    </row>
    <row r="3449" spans="1:11" x14ac:dyDescent="0.3">
      <c r="A3449">
        <v>1194</v>
      </c>
      <c r="B3449">
        <v>3</v>
      </c>
      <c r="C3449">
        <v>105</v>
      </c>
      <c r="D3449">
        <v>2</v>
      </c>
      <c r="E3449" s="1">
        <v>533.99</v>
      </c>
      <c r="F3449" s="1">
        <v>0.1</v>
      </c>
      <c r="G3449">
        <v>1067.98</v>
      </c>
      <c r="H3449" s="22">
        <f>VLOOKUP(A3449,[1]Orders!$A$2:$B$1616,2,0)</f>
        <v>43027</v>
      </c>
      <c r="J3449" t="s">
        <v>96</v>
      </c>
      <c r="K3449" t="s">
        <v>11</v>
      </c>
    </row>
    <row r="3450" spans="1:11" x14ac:dyDescent="0.3">
      <c r="A3450">
        <v>1194</v>
      </c>
      <c r="B3450">
        <v>4</v>
      </c>
      <c r="C3450">
        <v>84</v>
      </c>
      <c r="D3450">
        <v>1</v>
      </c>
      <c r="E3450" s="1">
        <v>109.99</v>
      </c>
      <c r="F3450" s="1">
        <v>0.05</v>
      </c>
      <c r="G3450">
        <v>109.99</v>
      </c>
      <c r="H3450" s="22">
        <f>VLOOKUP(A3450,[1]Orders!$A$2:$B$1616,2,0)</f>
        <v>43027</v>
      </c>
      <c r="J3450" t="s">
        <v>83</v>
      </c>
      <c r="K3450" t="s">
        <v>11</v>
      </c>
    </row>
    <row r="3451" spans="1:11" x14ac:dyDescent="0.3">
      <c r="A3451">
        <v>1195</v>
      </c>
      <c r="B3451">
        <v>1</v>
      </c>
      <c r="C3451">
        <v>52</v>
      </c>
      <c r="D3451">
        <v>1</v>
      </c>
      <c r="E3451" s="1">
        <v>875.99</v>
      </c>
      <c r="F3451" s="1">
        <v>7.0000000000000007E-2</v>
      </c>
      <c r="G3451">
        <v>875.99</v>
      </c>
      <c r="H3451" s="22">
        <f>VLOOKUP(A3451,[1]Orders!$A$2:$B$1616,2,0)</f>
        <v>43027</v>
      </c>
      <c r="J3451" t="s">
        <v>68</v>
      </c>
      <c r="K3451" t="s">
        <v>18</v>
      </c>
    </row>
    <row r="3452" spans="1:11" x14ac:dyDescent="0.3">
      <c r="A3452">
        <v>1196</v>
      </c>
      <c r="B3452">
        <v>1</v>
      </c>
      <c r="C3452">
        <v>53</v>
      </c>
      <c r="D3452">
        <v>1</v>
      </c>
      <c r="E3452" s="1">
        <v>749.99</v>
      </c>
      <c r="F3452" s="1">
        <v>7.0000000000000007E-2</v>
      </c>
      <c r="G3452">
        <v>749.99</v>
      </c>
      <c r="H3452" s="22">
        <f>VLOOKUP(A3452,[1]Orders!$A$2:$B$1616,2,0)</f>
        <v>43027</v>
      </c>
      <c r="J3452" t="s">
        <v>42</v>
      </c>
      <c r="K3452" t="s">
        <v>18</v>
      </c>
    </row>
    <row r="3453" spans="1:11" x14ac:dyDescent="0.3">
      <c r="A3453">
        <v>1197</v>
      </c>
      <c r="B3453">
        <v>1</v>
      </c>
      <c r="C3453">
        <v>13</v>
      </c>
      <c r="D3453">
        <v>1</v>
      </c>
      <c r="E3453" s="1">
        <v>269.99</v>
      </c>
      <c r="F3453" s="1">
        <v>7.0000000000000007E-2</v>
      </c>
      <c r="G3453">
        <v>269.99</v>
      </c>
      <c r="H3453" s="22">
        <f>VLOOKUP(A3453,[1]Orders!$A$2:$B$1616,2,0)</f>
        <v>43029</v>
      </c>
      <c r="J3453" t="s">
        <v>31</v>
      </c>
      <c r="K3453" t="s">
        <v>18</v>
      </c>
    </row>
    <row r="3454" spans="1:11" x14ac:dyDescent="0.3">
      <c r="A3454">
        <v>1197</v>
      </c>
      <c r="B3454">
        <v>2</v>
      </c>
      <c r="C3454">
        <v>108</v>
      </c>
      <c r="D3454">
        <v>2</v>
      </c>
      <c r="E3454" s="1">
        <v>449.99</v>
      </c>
      <c r="F3454" s="1">
        <v>0.05</v>
      </c>
      <c r="G3454">
        <v>899.98</v>
      </c>
      <c r="H3454" s="22">
        <f>VLOOKUP(A3454,[1]Orders!$A$2:$B$1616,2,0)</f>
        <v>43029</v>
      </c>
      <c r="J3454" t="s">
        <v>85</v>
      </c>
      <c r="K3454" t="s">
        <v>18</v>
      </c>
    </row>
    <row r="3455" spans="1:11" x14ac:dyDescent="0.3">
      <c r="A3455">
        <v>1197</v>
      </c>
      <c r="B3455">
        <v>3</v>
      </c>
      <c r="C3455">
        <v>9</v>
      </c>
      <c r="D3455">
        <v>2</v>
      </c>
      <c r="E3455" s="1">
        <v>2999.99</v>
      </c>
      <c r="F3455" s="1">
        <v>0.05</v>
      </c>
      <c r="G3455">
        <v>5999.98</v>
      </c>
      <c r="H3455" s="22">
        <f>VLOOKUP(A3455,[1]Orders!$A$2:$B$1616,2,0)</f>
        <v>43029</v>
      </c>
      <c r="J3455" t="s">
        <v>26</v>
      </c>
      <c r="K3455" t="s">
        <v>18</v>
      </c>
    </row>
    <row r="3456" spans="1:11" x14ac:dyDescent="0.3">
      <c r="A3456">
        <v>1197</v>
      </c>
      <c r="B3456">
        <v>4</v>
      </c>
      <c r="C3456">
        <v>106</v>
      </c>
      <c r="D3456">
        <v>2</v>
      </c>
      <c r="E3456" s="1">
        <v>449.99</v>
      </c>
      <c r="F3456" s="1">
        <v>0.2</v>
      </c>
      <c r="G3456">
        <v>899.98</v>
      </c>
      <c r="H3456" s="22">
        <f>VLOOKUP(A3456,[1]Orders!$A$2:$B$1616,2,0)</f>
        <v>43029</v>
      </c>
      <c r="J3456" t="s">
        <v>39</v>
      </c>
      <c r="K3456" t="s">
        <v>18</v>
      </c>
    </row>
    <row r="3457" spans="1:11" x14ac:dyDescent="0.3">
      <c r="A3457">
        <v>1198</v>
      </c>
      <c r="B3457">
        <v>1</v>
      </c>
      <c r="C3457">
        <v>105</v>
      </c>
      <c r="D3457">
        <v>1</v>
      </c>
      <c r="E3457" s="1">
        <v>533.99</v>
      </c>
      <c r="F3457" s="1">
        <v>0.05</v>
      </c>
      <c r="G3457">
        <v>533.99</v>
      </c>
      <c r="H3457" s="22">
        <f>VLOOKUP(A3457,[1]Orders!$A$2:$B$1616,2,0)</f>
        <v>43030</v>
      </c>
      <c r="J3457" t="s">
        <v>96</v>
      </c>
      <c r="K3457" t="s">
        <v>18</v>
      </c>
    </row>
    <row r="3458" spans="1:11" x14ac:dyDescent="0.3">
      <c r="A3458">
        <v>1199</v>
      </c>
      <c r="B3458">
        <v>1</v>
      </c>
      <c r="C3458">
        <v>32</v>
      </c>
      <c r="D3458">
        <v>1</v>
      </c>
      <c r="E3458" s="1">
        <v>469.99</v>
      </c>
      <c r="F3458" s="1">
        <v>0.05</v>
      </c>
      <c r="G3458">
        <v>469.99</v>
      </c>
      <c r="H3458" s="22">
        <f>VLOOKUP(A3458,[1]Orders!$A$2:$B$1616,2,0)</f>
        <v>43031</v>
      </c>
      <c r="J3458" t="s">
        <v>46</v>
      </c>
      <c r="K3458" t="s">
        <v>11</v>
      </c>
    </row>
    <row r="3459" spans="1:11" x14ac:dyDescent="0.3">
      <c r="A3459">
        <v>1199</v>
      </c>
      <c r="B3459">
        <v>2</v>
      </c>
      <c r="C3459">
        <v>94</v>
      </c>
      <c r="D3459">
        <v>2</v>
      </c>
      <c r="E3459" s="1">
        <v>249.99</v>
      </c>
      <c r="F3459" s="1">
        <v>7.0000000000000007E-2</v>
      </c>
      <c r="G3459">
        <v>499.98</v>
      </c>
      <c r="H3459" s="22">
        <f>VLOOKUP(A3459,[1]Orders!$A$2:$B$1616,2,0)</f>
        <v>43031</v>
      </c>
      <c r="J3459" t="s">
        <v>59</v>
      </c>
      <c r="K3459" t="s">
        <v>11</v>
      </c>
    </row>
    <row r="3460" spans="1:11" x14ac:dyDescent="0.3">
      <c r="A3460">
        <v>1199</v>
      </c>
      <c r="B3460">
        <v>3</v>
      </c>
      <c r="C3460">
        <v>109</v>
      </c>
      <c r="D3460">
        <v>2</v>
      </c>
      <c r="E3460" s="1">
        <v>416.99</v>
      </c>
      <c r="F3460" s="1">
        <v>0.1</v>
      </c>
      <c r="G3460">
        <v>833.98</v>
      </c>
      <c r="H3460" s="22">
        <f>VLOOKUP(A3460,[1]Orders!$A$2:$B$1616,2,0)</f>
        <v>43031</v>
      </c>
      <c r="J3460" t="s">
        <v>49</v>
      </c>
      <c r="K3460" t="s">
        <v>11</v>
      </c>
    </row>
    <row r="3461" spans="1:11" x14ac:dyDescent="0.3">
      <c r="A3461">
        <v>1200</v>
      </c>
      <c r="B3461">
        <v>1</v>
      </c>
      <c r="C3461">
        <v>42</v>
      </c>
      <c r="D3461">
        <v>2</v>
      </c>
      <c r="E3461" s="1">
        <v>2299.9899999999998</v>
      </c>
      <c r="F3461" s="1">
        <v>0.2</v>
      </c>
      <c r="G3461">
        <v>4599.9799999999996</v>
      </c>
      <c r="H3461" s="22">
        <f>VLOOKUP(A3461,[1]Orders!$A$2:$B$1616,2,0)</f>
        <v>43031</v>
      </c>
      <c r="J3461" t="s">
        <v>53</v>
      </c>
      <c r="K3461" t="s">
        <v>18</v>
      </c>
    </row>
    <row r="3462" spans="1:11" x14ac:dyDescent="0.3">
      <c r="A3462">
        <v>1201</v>
      </c>
      <c r="B3462">
        <v>1</v>
      </c>
      <c r="C3462">
        <v>95</v>
      </c>
      <c r="D3462">
        <v>1</v>
      </c>
      <c r="E3462" s="1">
        <v>299.99</v>
      </c>
      <c r="F3462" s="1">
        <v>7.0000000000000007E-2</v>
      </c>
      <c r="G3462">
        <v>299.99</v>
      </c>
      <c r="H3462" s="22">
        <f>VLOOKUP(A3462,[1]Orders!$A$2:$B$1616,2,0)</f>
        <v>43031</v>
      </c>
      <c r="J3462" t="s">
        <v>48</v>
      </c>
      <c r="K3462" t="s">
        <v>18</v>
      </c>
    </row>
    <row r="3463" spans="1:11" x14ac:dyDescent="0.3">
      <c r="A3463">
        <v>1201</v>
      </c>
      <c r="B3463">
        <v>2</v>
      </c>
      <c r="C3463">
        <v>13</v>
      </c>
      <c r="D3463">
        <v>1</v>
      </c>
      <c r="E3463" s="1">
        <v>269.99</v>
      </c>
      <c r="F3463" s="1">
        <v>0.05</v>
      </c>
      <c r="G3463">
        <v>269.99</v>
      </c>
      <c r="H3463" s="22">
        <f>VLOOKUP(A3463,[1]Orders!$A$2:$B$1616,2,0)</f>
        <v>43031</v>
      </c>
      <c r="J3463" t="s">
        <v>31</v>
      </c>
      <c r="K3463" t="s">
        <v>18</v>
      </c>
    </row>
    <row r="3464" spans="1:11" x14ac:dyDescent="0.3">
      <c r="A3464">
        <v>1201</v>
      </c>
      <c r="B3464">
        <v>3</v>
      </c>
      <c r="C3464">
        <v>26</v>
      </c>
      <c r="D3464">
        <v>1</v>
      </c>
      <c r="E3464" s="1">
        <v>599.99</v>
      </c>
      <c r="F3464" s="1">
        <v>0.2</v>
      </c>
      <c r="G3464">
        <v>599.99</v>
      </c>
      <c r="H3464" s="22">
        <f>VLOOKUP(A3464,[1]Orders!$A$2:$B$1616,2,0)</f>
        <v>43031</v>
      </c>
      <c r="J3464" t="s">
        <v>14</v>
      </c>
      <c r="K3464" t="s">
        <v>18</v>
      </c>
    </row>
    <row r="3465" spans="1:11" x14ac:dyDescent="0.3">
      <c r="A3465">
        <v>1201</v>
      </c>
      <c r="B3465">
        <v>4</v>
      </c>
      <c r="C3465">
        <v>17</v>
      </c>
      <c r="D3465">
        <v>2</v>
      </c>
      <c r="E3465" s="1">
        <v>429</v>
      </c>
      <c r="F3465" s="1">
        <v>0.05</v>
      </c>
      <c r="G3465">
        <v>858</v>
      </c>
      <c r="H3465" s="22">
        <f>VLOOKUP(A3465,[1]Orders!$A$2:$B$1616,2,0)</f>
        <v>43031</v>
      </c>
      <c r="J3465" t="s">
        <v>23</v>
      </c>
      <c r="K3465" t="s">
        <v>18</v>
      </c>
    </row>
    <row r="3466" spans="1:11" x14ac:dyDescent="0.3">
      <c r="A3466">
        <v>1201</v>
      </c>
      <c r="B3466">
        <v>5</v>
      </c>
      <c r="C3466">
        <v>19</v>
      </c>
      <c r="D3466">
        <v>2</v>
      </c>
      <c r="E3466" s="1">
        <v>449</v>
      </c>
      <c r="F3466" s="1">
        <v>0.2</v>
      </c>
      <c r="G3466">
        <v>898</v>
      </c>
      <c r="H3466" s="22">
        <f>VLOOKUP(A3466,[1]Orders!$A$2:$B$1616,2,0)</f>
        <v>43031</v>
      </c>
      <c r="J3466" t="s">
        <v>36</v>
      </c>
      <c r="K3466" t="s">
        <v>18</v>
      </c>
    </row>
    <row r="3467" spans="1:11" x14ac:dyDescent="0.3">
      <c r="A3467">
        <v>1202</v>
      </c>
      <c r="B3467">
        <v>1</v>
      </c>
      <c r="C3467">
        <v>84</v>
      </c>
      <c r="D3467">
        <v>2</v>
      </c>
      <c r="E3467" s="1">
        <v>109.99</v>
      </c>
      <c r="F3467" s="1">
        <v>0.05</v>
      </c>
      <c r="G3467">
        <v>219.98</v>
      </c>
      <c r="H3467" s="22">
        <f>VLOOKUP(A3467,[1]Orders!$A$2:$B$1616,2,0)</f>
        <v>43032</v>
      </c>
      <c r="J3467" t="s">
        <v>83</v>
      </c>
      <c r="K3467" t="s">
        <v>18</v>
      </c>
    </row>
    <row r="3468" spans="1:11" x14ac:dyDescent="0.3">
      <c r="A3468">
        <v>1203</v>
      </c>
      <c r="B3468">
        <v>1</v>
      </c>
      <c r="C3468">
        <v>6</v>
      </c>
      <c r="D3468">
        <v>2</v>
      </c>
      <c r="E3468" s="1">
        <v>469.99</v>
      </c>
      <c r="F3468" s="1">
        <v>7.0000000000000007E-2</v>
      </c>
      <c r="G3468">
        <v>939.98</v>
      </c>
      <c r="H3468" s="22">
        <f>VLOOKUP(A3468,[1]Orders!$A$2:$B$1616,2,0)</f>
        <v>43033</v>
      </c>
      <c r="J3468" t="s">
        <v>32</v>
      </c>
      <c r="K3468" t="s">
        <v>18</v>
      </c>
    </row>
    <row r="3469" spans="1:11" x14ac:dyDescent="0.3">
      <c r="A3469">
        <v>1203</v>
      </c>
      <c r="B3469">
        <v>2</v>
      </c>
      <c r="C3469">
        <v>55</v>
      </c>
      <c r="D3469">
        <v>1</v>
      </c>
      <c r="E3469" s="1">
        <v>2699.99</v>
      </c>
      <c r="F3469" s="1">
        <v>0.05</v>
      </c>
      <c r="G3469">
        <v>2699.99</v>
      </c>
      <c r="H3469" s="22">
        <f>VLOOKUP(A3469,[1]Orders!$A$2:$B$1616,2,0)</f>
        <v>43033</v>
      </c>
      <c r="J3469" t="s">
        <v>76</v>
      </c>
      <c r="K3469" t="s">
        <v>18</v>
      </c>
    </row>
    <row r="3470" spans="1:11" x14ac:dyDescent="0.3">
      <c r="A3470">
        <v>1204</v>
      </c>
      <c r="B3470">
        <v>1</v>
      </c>
      <c r="C3470">
        <v>37</v>
      </c>
      <c r="D3470">
        <v>2</v>
      </c>
      <c r="E3470" s="1">
        <v>379.99</v>
      </c>
      <c r="F3470" s="1">
        <v>7.0000000000000007E-2</v>
      </c>
      <c r="G3470">
        <v>759.98</v>
      </c>
      <c r="H3470" s="22">
        <f>VLOOKUP(A3470,[1]Orders!$A$2:$B$1616,2,0)</f>
        <v>43033</v>
      </c>
      <c r="J3470" t="s">
        <v>98</v>
      </c>
      <c r="K3470" t="s">
        <v>18</v>
      </c>
    </row>
    <row r="3471" spans="1:11" x14ac:dyDescent="0.3">
      <c r="A3471">
        <v>1205</v>
      </c>
      <c r="B3471">
        <v>1</v>
      </c>
      <c r="C3471">
        <v>105</v>
      </c>
      <c r="D3471">
        <v>2</v>
      </c>
      <c r="E3471" s="1">
        <v>533.99</v>
      </c>
      <c r="F3471" s="1">
        <v>0.2</v>
      </c>
      <c r="G3471">
        <v>1067.98</v>
      </c>
      <c r="H3471" s="22">
        <f>VLOOKUP(A3471,[1]Orders!$A$2:$B$1616,2,0)</f>
        <v>43034</v>
      </c>
      <c r="J3471" t="s">
        <v>96</v>
      </c>
      <c r="K3471" t="s">
        <v>11</v>
      </c>
    </row>
    <row r="3472" spans="1:11" x14ac:dyDescent="0.3">
      <c r="A3472">
        <v>1205</v>
      </c>
      <c r="B3472">
        <v>2</v>
      </c>
      <c r="C3472">
        <v>46</v>
      </c>
      <c r="D3472">
        <v>2</v>
      </c>
      <c r="E3472" s="1">
        <v>1409.99</v>
      </c>
      <c r="F3472" s="1">
        <v>0.2</v>
      </c>
      <c r="G3472">
        <v>2819.98</v>
      </c>
      <c r="H3472" s="22">
        <f>VLOOKUP(A3472,[1]Orders!$A$2:$B$1616,2,0)</f>
        <v>43034</v>
      </c>
      <c r="J3472" t="s">
        <v>118</v>
      </c>
      <c r="K3472" t="s">
        <v>11</v>
      </c>
    </row>
    <row r="3473" spans="1:11" x14ac:dyDescent="0.3">
      <c r="A3473">
        <v>1205</v>
      </c>
      <c r="B3473">
        <v>3</v>
      </c>
      <c r="C3473">
        <v>71</v>
      </c>
      <c r="D3473">
        <v>1</v>
      </c>
      <c r="E3473" s="1">
        <v>416.99</v>
      </c>
      <c r="F3473" s="1">
        <v>0.05</v>
      </c>
      <c r="G3473">
        <v>416.99</v>
      </c>
      <c r="H3473" s="22">
        <f>VLOOKUP(A3473,[1]Orders!$A$2:$B$1616,2,0)</f>
        <v>43034</v>
      </c>
      <c r="J3473" t="s">
        <v>78</v>
      </c>
      <c r="K3473" t="s">
        <v>11</v>
      </c>
    </row>
    <row r="3474" spans="1:11" x14ac:dyDescent="0.3">
      <c r="A3474">
        <v>1205</v>
      </c>
      <c r="B3474">
        <v>4</v>
      </c>
      <c r="C3474">
        <v>79</v>
      </c>
      <c r="D3474">
        <v>2</v>
      </c>
      <c r="E3474" s="1">
        <v>402.99</v>
      </c>
      <c r="F3474" s="1">
        <v>7.0000000000000007E-2</v>
      </c>
      <c r="G3474">
        <v>805.98</v>
      </c>
      <c r="H3474" s="22">
        <f>VLOOKUP(A3474,[1]Orders!$A$2:$B$1616,2,0)</f>
        <v>43034</v>
      </c>
      <c r="J3474" t="s">
        <v>58</v>
      </c>
      <c r="K3474" t="s">
        <v>11</v>
      </c>
    </row>
    <row r="3475" spans="1:11" x14ac:dyDescent="0.3">
      <c r="A3475">
        <v>1205</v>
      </c>
      <c r="B3475">
        <v>5</v>
      </c>
      <c r="C3475">
        <v>92</v>
      </c>
      <c r="D3475">
        <v>1</v>
      </c>
      <c r="E3475" s="1">
        <v>209.99</v>
      </c>
      <c r="F3475" s="1">
        <v>0.1</v>
      </c>
      <c r="G3475">
        <v>209.99</v>
      </c>
      <c r="H3475" s="22">
        <f>VLOOKUP(A3475,[1]Orders!$A$2:$B$1616,2,0)</f>
        <v>43034</v>
      </c>
      <c r="J3475" t="s">
        <v>111</v>
      </c>
      <c r="K3475" t="s">
        <v>11</v>
      </c>
    </row>
    <row r="3476" spans="1:11" x14ac:dyDescent="0.3">
      <c r="A3476">
        <v>1206</v>
      </c>
      <c r="B3476">
        <v>1</v>
      </c>
      <c r="C3476">
        <v>73</v>
      </c>
      <c r="D3476">
        <v>1</v>
      </c>
      <c r="E3476" s="1">
        <v>749.99</v>
      </c>
      <c r="F3476" s="1">
        <v>7.0000000000000007E-2</v>
      </c>
      <c r="G3476">
        <v>749.99</v>
      </c>
      <c r="H3476" s="22">
        <f>VLOOKUP(A3476,[1]Orders!$A$2:$B$1616,2,0)</f>
        <v>43034</v>
      </c>
      <c r="J3476" t="s">
        <v>43</v>
      </c>
      <c r="K3476" t="s">
        <v>18</v>
      </c>
    </row>
    <row r="3477" spans="1:11" x14ac:dyDescent="0.3">
      <c r="A3477">
        <v>1206</v>
      </c>
      <c r="B3477">
        <v>2</v>
      </c>
      <c r="C3477">
        <v>29</v>
      </c>
      <c r="D3477">
        <v>1</v>
      </c>
      <c r="E3477" s="1">
        <v>999.99</v>
      </c>
      <c r="F3477" s="1">
        <v>0.2</v>
      </c>
      <c r="G3477">
        <v>999.99</v>
      </c>
      <c r="H3477" s="22">
        <f>VLOOKUP(A3477,[1]Orders!$A$2:$B$1616,2,0)</f>
        <v>43034</v>
      </c>
      <c r="J3477" t="s">
        <v>71</v>
      </c>
      <c r="K3477" t="s">
        <v>18</v>
      </c>
    </row>
    <row r="3478" spans="1:11" x14ac:dyDescent="0.3">
      <c r="A3478">
        <v>1207</v>
      </c>
      <c r="B3478">
        <v>1</v>
      </c>
      <c r="C3478">
        <v>104</v>
      </c>
      <c r="D3478">
        <v>1</v>
      </c>
      <c r="E3478" s="1">
        <v>481.99</v>
      </c>
      <c r="F3478" s="1">
        <v>0.05</v>
      </c>
      <c r="G3478">
        <v>481.99</v>
      </c>
      <c r="H3478" s="22">
        <f>VLOOKUP(A3478,[1]Orders!$A$2:$B$1616,2,0)</f>
        <v>43034</v>
      </c>
      <c r="J3478" t="s">
        <v>87</v>
      </c>
      <c r="K3478" t="s">
        <v>18</v>
      </c>
    </row>
    <row r="3479" spans="1:11" x14ac:dyDescent="0.3">
      <c r="A3479">
        <v>1207</v>
      </c>
      <c r="B3479">
        <v>2</v>
      </c>
      <c r="C3479">
        <v>103</v>
      </c>
      <c r="D3479">
        <v>1</v>
      </c>
      <c r="E3479" s="1">
        <v>551.99</v>
      </c>
      <c r="F3479" s="1">
        <v>0.1</v>
      </c>
      <c r="G3479">
        <v>551.99</v>
      </c>
      <c r="H3479" s="22">
        <f>VLOOKUP(A3479,[1]Orders!$A$2:$B$1616,2,0)</f>
        <v>43034</v>
      </c>
      <c r="J3479" t="s">
        <v>40</v>
      </c>
      <c r="K3479" t="s">
        <v>18</v>
      </c>
    </row>
    <row r="3480" spans="1:11" x14ac:dyDescent="0.3">
      <c r="A3480">
        <v>1207</v>
      </c>
      <c r="B3480">
        <v>3</v>
      </c>
      <c r="C3480">
        <v>23</v>
      </c>
      <c r="D3480">
        <v>1</v>
      </c>
      <c r="E3480" s="1">
        <v>299.99</v>
      </c>
      <c r="F3480" s="1">
        <v>7.0000000000000007E-2</v>
      </c>
      <c r="G3480">
        <v>299.99</v>
      </c>
      <c r="H3480" s="22">
        <f>VLOOKUP(A3480,[1]Orders!$A$2:$B$1616,2,0)</f>
        <v>43034</v>
      </c>
      <c r="J3480" t="s">
        <v>33</v>
      </c>
      <c r="K3480" t="s">
        <v>18</v>
      </c>
    </row>
    <row r="3481" spans="1:11" x14ac:dyDescent="0.3">
      <c r="A3481">
        <v>1208</v>
      </c>
      <c r="B3481">
        <v>1</v>
      </c>
      <c r="C3481">
        <v>12</v>
      </c>
      <c r="D3481">
        <v>1</v>
      </c>
      <c r="E3481" s="1">
        <v>549.99</v>
      </c>
      <c r="F3481" s="1">
        <v>0.2</v>
      </c>
      <c r="G3481">
        <v>549.99</v>
      </c>
      <c r="H3481" s="22">
        <f>VLOOKUP(A3481,[1]Orders!$A$2:$B$1616,2,0)</f>
        <v>43034</v>
      </c>
      <c r="J3481" t="s">
        <v>25</v>
      </c>
      <c r="K3481" t="s">
        <v>18</v>
      </c>
    </row>
    <row r="3482" spans="1:11" x14ac:dyDescent="0.3">
      <c r="A3482">
        <v>1208</v>
      </c>
      <c r="B3482">
        <v>2</v>
      </c>
      <c r="C3482">
        <v>65</v>
      </c>
      <c r="D3482">
        <v>2</v>
      </c>
      <c r="E3482" s="1">
        <v>346.99</v>
      </c>
      <c r="F3482" s="1">
        <v>7.0000000000000007E-2</v>
      </c>
      <c r="G3482">
        <v>693.98</v>
      </c>
      <c r="H3482" s="22">
        <f>VLOOKUP(A3482,[1]Orders!$A$2:$B$1616,2,0)</f>
        <v>43034</v>
      </c>
      <c r="J3482" t="s">
        <v>114</v>
      </c>
      <c r="K3482" t="s">
        <v>18</v>
      </c>
    </row>
    <row r="3483" spans="1:11" x14ac:dyDescent="0.3">
      <c r="A3483">
        <v>1208</v>
      </c>
      <c r="B3483">
        <v>3</v>
      </c>
      <c r="C3483">
        <v>86</v>
      </c>
      <c r="D3483">
        <v>2</v>
      </c>
      <c r="E3483" s="1">
        <v>149.99</v>
      </c>
      <c r="F3483" s="1">
        <v>0.2</v>
      </c>
      <c r="G3483">
        <v>299.98</v>
      </c>
      <c r="H3483" s="22">
        <f>VLOOKUP(A3483,[1]Orders!$A$2:$B$1616,2,0)</f>
        <v>43034</v>
      </c>
      <c r="J3483" t="s">
        <v>115</v>
      </c>
      <c r="K3483" t="s">
        <v>18</v>
      </c>
    </row>
    <row r="3484" spans="1:11" x14ac:dyDescent="0.3">
      <c r="A3484">
        <v>1208</v>
      </c>
      <c r="B3484">
        <v>4</v>
      </c>
      <c r="C3484">
        <v>13</v>
      </c>
      <c r="D3484">
        <v>2</v>
      </c>
      <c r="E3484" s="1">
        <v>269.99</v>
      </c>
      <c r="F3484" s="1">
        <v>0.1</v>
      </c>
      <c r="G3484">
        <v>539.98</v>
      </c>
      <c r="H3484" s="22">
        <f>VLOOKUP(A3484,[1]Orders!$A$2:$B$1616,2,0)</f>
        <v>43034</v>
      </c>
      <c r="J3484" t="s">
        <v>31</v>
      </c>
      <c r="K3484" t="s">
        <v>18</v>
      </c>
    </row>
    <row r="3485" spans="1:11" x14ac:dyDescent="0.3">
      <c r="A3485">
        <v>1208</v>
      </c>
      <c r="B3485">
        <v>5</v>
      </c>
      <c r="C3485">
        <v>87</v>
      </c>
      <c r="D3485">
        <v>1</v>
      </c>
      <c r="E3485" s="1">
        <v>189.99</v>
      </c>
      <c r="F3485" s="1">
        <v>7.0000000000000007E-2</v>
      </c>
      <c r="G3485">
        <v>189.99</v>
      </c>
      <c r="H3485" s="22">
        <f>VLOOKUP(A3485,[1]Orders!$A$2:$B$1616,2,0)</f>
        <v>43034</v>
      </c>
      <c r="J3485" t="s">
        <v>117</v>
      </c>
      <c r="K3485" t="s">
        <v>18</v>
      </c>
    </row>
    <row r="3486" spans="1:11" x14ac:dyDescent="0.3">
      <c r="A3486">
        <v>1209</v>
      </c>
      <c r="B3486">
        <v>1</v>
      </c>
      <c r="C3486">
        <v>89</v>
      </c>
      <c r="D3486">
        <v>1</v>
      </c>
      <c r="E3486" s="1">
        <v>209.99</v>
      </c>
      <c r="F3486" s="1">
        <v>7.0000000000000007E-2</v>
      </c>
      <c r="G3486">
        <v>209.99</v>
      </c>
      <c r="H3486" s="22">
        <f>VLOOKUP(A3486,[1]Orders!$A$2:$B$1616,2,0)</f>
        <v>43034</v>
      </c>
      <c r="J3486" t="s">
        <v>94</v>
      </c>
      <c r="K3486" t="s">
        <v>18</v>
      </c>
    </row>
    <row r="3487" spans="1:11" x14ac:dyDescent="0.3">
      <c r="A3487">
        <v>1209</v>
      </c>
      <c r="B3487">
        <v>2</v>
      </c>
      <c r="C3487">
        <v>97</v>
      </c>
      <c r="D3487">
        <v>1</v>
      </c>
      <c r="E3487" s="1">
        <v>349.99</v>
      </c>
      <c r="F3487" s="1">
        <v>0.05</v>
      </c>
      <c r="G3487">
        <v>349.99</v>
      </c>
      <c r="H3487" s="22">
        <f>VLOOKUP(A3487,[1]Orders!$A$2:$B$1616,2,0)</f>
        <v>43034</v>
      </c>
      <c r="J3487" t="s">
        <v>55</v>
      </c>
      <c r="K3487" t="s">
        <v>18</v>
      </c>
    </row>
    <row r="3488" spans="1:11" x14ac:dyDescent="0.3">
      <c r="A3488">
        <v>1210</v>
      </c>
      <c r="B3488">
        <v>1</v>
      </c>
      <c r="C3488">
        <v>26</v>
      </c>
      <c r="D3488">
        <v>1</v>
      </c>
      <c r="E3488" s="1">
        <v>599.99</v>
      </c>
      <c r="F3488" s="1">
        <v>0.1</v>
      </c>
      <c r="G3488">
        <v>599.99</v>
      </c>
      <c r="H3488" s="22">
        <f>VLOOKUP(A3488,[1]Orders!$A$2:$B$1616,2,0)</f>
        <v>43034</v>
      </c>
      <c r="J3488" t="s">
        <v>14</v>
      </c>
      <c r="K3488" t="s">
        <v>37</v>
      </c>
    </row>
    <row r="3489" spans="1:11" x14ac:dyDescent="0.3">
      <c r="A3489">
        <v>1210</v>
      </c>
      <c r="B3489">
        <v>2</v>
      </c>
      <c r="C3489">
        <v>6</v>
      </c>
      <c r="D3489">
        <v>2</v>
      </c>
      <c r="E3489" s="1">
        <v>469.99</v>
      </c>
      <c r="F3489" s="1">
        <v>7.0000000000000007E-2</v>
      </c>
      <c r="G3489">
        <v>939.98</v>
      </c>
      <c r="H3489" s="22">
        <f>VLOOKUP(A3489,[1]Orders!$A$2:$B$1616,2,0)</f>
        <v>43034</v>
      </c>
      <c r="J3489" t="s">
        <v>32</v>
      </c>
      <c r="K3489" t="s">
        <v>37</v>
      </c>
    </row>
    <row r="3490" spans="1:11" x14ac:dyDescent="0.3">
      <c r="A3490">
        <v>1210</v>
      </c>
      <c r="B3490">
        <v>3</v>
      </c>
      <c r="C3490">
        <v>78</v>
      </c>
      <c r="D3490">
        <v>2</v>
      </c>
      <c r="E3490" s="1">
        <v>647.99</v>
      </c>
      <c r="F3490" s="1">
        <v>0.05</v>
      </c>
      <c r="G3490">
        <v>1295.98</v>
      </c>
      <c r="H3490" s="22">
        <f>VLOOKUP(A3490,[1]Orders!$A$2:$B$1616,2,0)</f>
        <v>43034</v>
      </c>
      <c r="J3490" t="s">
        <v>57</v>
      </c>
      <c r="K3490" t="s">
        <v>37</v>
      </c>
    </row>
    <row r="3491" spans="1:11" x14ac:dyDescent="0.3">
      <c r="A3491">
        <v>1210</v>
      </c>
      <c r="B3491">
        <v>4</v>
      </c>
      <c r="C3491">
        <v>84</v>
      </c>
      <c r="D3491">
        <v>1</v>
      </c>
      <c r="E3491" s="1">
        <v>109.99</v>
      </c>
      <c r="F3491" s="1">
        <v>0.1</v>
      </c>
      <c r="G3491">
        <v>109.99</v>
      </c>
      <c r="H3491" s="22">
        <f>VLOOKUP(A3491,[1]Orders!$A$2:$B$1616,2,0)</f>
        <v>43034</v>
      </c>
      <c r="J3491" t="s">
        <v>83</v>
      </c>
      <c r="K3491" t="s">
        <v>37</v>
      </c>
    </row>
    <row r="3492" spans="1:11" x14ac:dyDescent="0.3">
      <c r="A3492">
        <v>1210</v>
      </c>
      <c r="B3492">
        <v>5</v>
      </c>
      <c r="C3492">
        <v>35</v>
      </c>
      <c r="D3492">
        <v>2</v>
      </c>
      <c r="E3492" s="1">
        <v>832.99</v>
      </c>
      <c r="F3492" s="1">
        <v>0.05</v>
      </c>
      <c r="G3492">
        <v>1665.98</v>
      </c>
      <c r="H3492" s="22">
        <f>VLOOKUP(A3492,[1]Orders!$A$2:$B$1616,2,0)</f>
        <v>43034</v>
      </c>
      <c r="J3492" t="s">
        <v>109</v>
      </c>
      <c r="K3492" t="s">
        <v>37</v>
      </c>
    </row>
    <row r="3493" spans="1:11" x14ac:dyDescent="0.3">
      <c r="A3493">
        <v>1211</v>
      </c>
      <c r="B3493">
        <v>1</v>
      </c>
      <c r="C3493">
        <v>15</v>
      </c>
      <c r="D3493">
        <v>2</v>
      </c>
      <c r="E3493" s="1">
        <v>529.99</v>
      </c>
      <c r="F3493" s="1">
        <v>0.2</v>
      </c>
      <c r="G3493">
        <v>1059.98</v>
      </c>
      <c r="H3493" s="22">
        <f>VLOOKUP(A3493,[1]Orders!$A$2:$B$1616,2,0)</f>
        <v>43035</v>
      </c>
      <c r="J3493" t="s">
        <v>27</v>
      </c>
      <c r="K3493" t="s">
        <v>18</v>
      </c>
    </row>
    <row r="3494" spans="1:11" x14ac:dyDescent="0.3">
      <c r="A3494">
        <v>1211</v>
      </c>
      <c r="B3494">
        <v>2</v>
      </c>
      <c r="C3494">
        <v>59</v>
      </c>
      <c r="D3494">
        <v>1</v>
      </c>
      <c r="E3494" s="1">
        <v>2599.9899999999998</v>
      </c>
      <c r="F3494" s="1">
        <v>0.05</v>
      </c>
      <c r="G3494">
        <v>2599.9899999999998</v>
      </c>
      <c r="H3494" s="22">
        <f>VLOOKUP(A3494,[1]Orders!$A$2:$B$1616,2,0)</f>
        <v>43035</v>
      </c>
      <c r="J3494" t="s">
        <v>74</v>
      </c>
      <c r="K3494" t="s">
        <v>18</v>
      </c>
    </row>
    <row r="3495" spans="1:11" x14ac:dyDescent="0.3">
      <c r="A3495">
        <v>1211</v>
      </c>
      <c r="B3495">
        <v>3</v>
      </c>
      <c r="C3495">
        <v>92</v>
      </c>
      <c r="D3495">
        <v>1</v>
      </c>
      <c r="E3495" s="1">
        <v>209.99</v>
      </c>
      <c r="F3495" s="1">
        <v>0.2</v>
      </c>
      <c r="G3495">
        <v>209.99</v>
      </c>
      <c r="H3495" s="22">
        <f>VLOOKUP(A3495,[1]Orders!$A$2:$B$1616,2,0)</f>
        <v>43035</v>
      </c>
      <c r="J3495" t="s">
        <v>111</v>
      </c>
      <c r="K3495" t="s">
        <v>18</v>
      </c>
    </row>
    <row r="3496" spans="1:11" x14ac:dyDescent="0.3">
      <c r="A3496">
        <v>1211</v>
      </c>
      <c r="B3496">
        <v>4</v>
      </c>
      <c r="C3496">
        <v>93</v>
      </c>
      <c r="D3496">
        <v>1</v>
      </c>
      <c r="E3496" s="1">
        <v>209.99</v>
      </c>
      <c r="F3496" s="1">
        <v>0.1</v>
      </c>
      <c r="G3496">
        <v>209.99</v>
      </c>
      <c r="H3496" s="22">
        <f>VLOOKUP(A3496,[1]Orders!$A$2:$B$1616,2,0)</f>
        <v>43035</v>
      </c>
      <c r="J3496" t="s">
        <v>110</v>
      </c>
      <c r="K3496" t="s">
        <v>18</v>
      </c>
    </row>
    <row r="3497" spans="1:11" x14ac:dyDescent="0.3">
      <c r="A3497">
        <v>1211</v>
      </c>
      <c r="B3497">
        <v>5</v>
      </c>
      <c r="C3497">
        <v>108</v>
      </c>
      <c r="D3497">
        <v>2</v>
      </c>
      <c r="E3497" s="1">
        <v>449.99</v>
      </c>
      <c r="F3497" s="1">
        <v>0.2</v>
      </c>
      <c r="G3497">
        <v>899.98</v>
      </c>
      <c r="H3497" s="22">
        <f>VLOOKUP(A3497,[1]Orders!$A$2:$B$1616,2,0)</f>
        <v>43035</v>
      </c>
      <c r="J3497" t="s">
        <v>85</v>
      </c>
      <c r="K3497" t="s">
        <v>18</v>
      </c>
    </row>
    <row r="3498" spans="1:11" x14ac:dyDescent="0.3">
      <c r="A3498">
        <v>1212</v>
      </c>
      <c r="B3498">
        <v>1</v>
      </c>
      <c r="C3498">
        <v>74</v>
      </c>
      <c r="D3498">
        <v>1</v>
      </c>
      <c r="E3498" s="1">
        <v>439.99</v>
      </c>
      <c r="F3498" s="1">
        <v>0.1</v>
      </c>
      <c r="G3498">
        <v>439.99</v>
      </c>
      <c r="H3498" s="22">
        <f>VLOOKUP(A3498,[1]Orders!$A$2:$B$1616,2,0)</f>
        <v>43035</v>
      </c>
      <c r="J3498" t="s">
        <v>61</v>
      </c>
      <c r="K3498" t="s">
        <v>18</v>
      </c>
    </row>
    <row r="3499" spans="1:11" x14ac:dyDescent="0.3">
      <c r="A3499">
        <v>1212</v>
      </c>
      <c r="B3499">
        <v>2</v>
      </c>
      <c r="C3499">
        <v>37</v>
      </c>
      <c r="D3499">
        <v>2</v>
      </c>
      <c r="E3499" s="1">
        <v>379.99</v>
      </c>
      <c r="F3499" s="1">
        <v>7.0000000000000007E-2</v>
      </c>
      <c r="G3499">
        <v>759.98</v>
      </c>
      <c r="H3499" s="22">
        <f>VLOOKUP(A3499,[1]Orders!$A$2:$B$1616,2,0)</f>
        <v>43035</v>
      </c>
      <c r="J3499" t="s">
        <v>98</v>
      </c>
      <c r="K3499" t="s">
        <v>18</v>
      </c>
    </row>
    <row r="3500" spans="1:11" x14ac:dyDescent="0.3">
      <c r="A3500">
        <v>1212</v>
      </c>
      <c r="B3500">
        <v>3</v>
      </c>
      <c r="C3500">
        <v>39</v>
      </c>
      <c r="D3500">
        <v>2</v>
      </c>
      <c r="E3500" s="1">
        <v>1499.99</v>
      </c>
      <c r="F3500" s="1">
        <v>0.05</v>
      </c>
      <c r="G3500">
        <v>2999.98</v>
      </c>
      <c r="H3500" s="22">
        <f>VLOOKUP(A3500,[1]Orders!$A$2:$B$1616,2,0)</f>
        <v>43035</v>
      </c>
      <c r="J3500" t="s">
        <v>72</v>
      </c>
      <c r="K3500" t="s">
        <v>18</v>
      </c>
    </row>
    <row r="3501" spans="1:11" x14ac:dyDescent="0.3">
      <c r="A3501">
        <v>1212</v>
      </c>
      <c r="B3501">
        <v>4</v>
      </c>
      <c r="C3501">
        <v>68</v>
      </c>
      <c r="D3501">
        <v>2</v>
      </c>
      <c r="E3501" s="1">
        <v>449.99</v>
      </c>
      <c r="F3501" s="1">
        <v>7.0000000000000007E-2</v>
      </c>
      <c r="G3501">
        <v>899.98</v>
      </c>
      <c r="H3501" s="22">
        <f>VLOOKUP(A3501,[1]Orders!$A$2:$B$1616,2,0)</f>
        <v>43035</v>
      </c>
      <c r="J3501" t="s">
        <v>39</v>
      </c>
      <c r="K3501" t="s">
        <v>18</v>
      </c>
    </row>
    <row r="3502" spans="1:11" x14ac:dyDescent="0.3">
      <c r="A3502">
        <v>1213</v>
      </c>
      <c r="B3502">
        <v>1</v>
      </c>
      <c r="C3502">
        <v>64</v>
      </c>
      <c r="D3502">
        <v>2</v>
      </c>
      <c r="E3502" s="1">
        <v>489.99</v>
      </c>
      <c r="F3502" s="1">
        <v>7.0000000000000007E-2</v>
      </c>
      <c r="G3502">
        <v>979.98</v>
      </c>
      <c r="H3502" s="22">
        <f>VLOOKUP(A3502,[1]Orders!$A$2:$B$1616,2,0)</f>
        <v>43035</v>
      </c>
      <c r="J3502" t="s">
        <v>51</v>
      </c>
      <c r="K3502" t="s">
        <v>37</v>
      </c>
    </row>
    <row r="3503" spans="1:11" x14ac:dyDescent="0.3">
      <c r="A3503">
        <v>1213</v>
      </c>
      <c r="B3503">
        <v>2</v>
      </c>
      <c r="C3503">
        <v>78</v>
      </c>
      <c r="D3503">
        <v>1</v>
      </c>
      <c r="E3503" s="1">
        <v>647.99</v>
      </c>
      <c r="F3503" s="1">
        <v>7.0000000000000007E-2</v>
      </c>
      <c r="G3503">
        <v>647.99</v>
      </c>
      <c r="H3503" s="22">
        <f>VLOOKUP(A3503,[1]Orders!$A$2:$B$1616,2,0)</f>
        <v>43035</v>
      </c>
      <c r="J3503" t="s">
        <v>57</v>
      </c>
      <c r="K3503" t="s">
        <v>37</v>
      </c>
    </row>
    <row r="3504" spans="1:11" x14ac:dyDescent="0.3">
      <c r="A3504">
        <v>1213</v>
      </c>
      <c r="B3504">
        <v>3</v>
      </c>
      <c r="C3504">
        <v>102</v>
      </c>
      <c r="D3504">
        <v>2</v>
      </c>
      <c r="E3504" s="1">
        <v>489.99</v>
      </c>
      <c r="F3504" s="1">
        <v>0.1</v>
      </c>
      <c r="G3504">
        <v>979.98</v>
      </c>
      <c r="H3504" s="22">
        <f>VLOOKUP(A3504,[1]Orders!$A$2:$B$1616,2,0)</f>
        <v>43035</v>
      </c>
      <c r="J3504" t="s">
        <v>51</v>
      </c>
      <c r="K3504" t="s">
        <v>37</v>
      </c>
    </row>
    <row r="3505" spans="1:11" x14ac:dyDescent="0.3">
      <c r="A3505">
        <v>1213</v>
      </c>
      <c r="B3505">
        <v>4</v>
      </c>
      <c r="C3505">
        <v>15</v>
      </c>
      <c r="D3505">
        <v>1</v>
      </c>
      <c r="E3505" s="1">
        <v>529.99</v>
      </c>
      <c r="F3505" s="1">
        <v>0.05</v>
      </c>
      <c r="G3505">
        <v>529.99</v>
      </c>
      <c r="H3505" s="22">
        <f>VLOOKUP(A3505,[1]Orders!$A$2:$B$1616,2,0)</f>
        <v>43035</v>
      </c>
      <c r="J3505" t="s">
        <v>27</v>
      </c>
      <c r="K3505" t="s">
        <v>37</v>
      </c>
    </row>
    <row r="3506" spans="1:11" x14ac:dyDescent="0.3">
      <c r="A3506">
        <v>1214</v>
      </c>
      <c r="B3506">
        <v>1</v>
      </c>
      <c r="C3506">
        <v>9</v>
      </c>
      <c r="D3506">
        <v>2</v>
      </c>
      <c r="E3506" s="1">
        <v>2999.99</v>
      </c>
      <c r="F3506" s="1">
        <v>0.05</v>
      </c>
      <c r="G3506">
        <v>5999.98</v>
      </c>
      <c r="H3506" s="22">
        <f>VLOOKUP(A3506,[1]Orders!$A$2:$B$1616,2,0)</f>
        <v>43036</v>
      </c>
      <c r="J3506" t="s">
        <v>26</v>
      </c>
      <c r="K3506" t="s">
        <v>18</v>
      </c>
    </row>
    <row r="3507" spans="1:11" x14ac:dyDescent="0.3">
      <c r="A3507">
        <v>1214</v>
      </c>
      <c r="B3507">
        <v>2</v>
      </c>
      <c r="C3507">
        <v>7</v>
      </c>
      <c r="D3507">
        <v>1</v>
      </c>
      <c r="E3507" s="1">
        <v>3999.99</v>
      </c>
      <c r="F3507" s="1">
        <v>0.2</v>
      </c>
      <c r="G3507">
        <v>3999.99</v>
      </c>
      <c r="H3507" s="22">
        <f>VLOOKUP(A3507,[1]Orders!$A$2:$B$1616,2,0)</f>
        <v>43036</v>
      </c>
      <c r="J3507" t="s">
        <v>29</v>
      </c>
      <c r="K3507" t="s">
        <v>18</v>
      </c>
    </row>
    <row r="3508" spans="1:11" x14ac:dyDescent="0.3">
      <c r="A3508">
        <v>1214</v>
      </c>
      <c r="B3508">
        <v>3</v>
      </c>
      <c r="C3508">
        <v>22</v>
      </c>
      <c r="D3508">
        <v>1</v>
      </c>
      <c r="E3508" s="1">
        <v>269.99</v>
      </c>
      <c r="F3508" s="1">
        <v>0.05</v>
      </c>
      <c r="G3508">
        <v>269.99</v>
      </c>
      <c r="H3508" s="22">
        <f>VLOOKUP(A3508,[1]Orders!$A$2:$B$1616,2,0)</f>
        <v>43036</v>
      </c>
      <c r="J3508" t="s">
        <v>28</v>
      </c>
      <c r="K3508" t="s">
        <v>18</v>
      </c>
    </row>
    <row r="3509" spans="1:11" x14ac:dyDescent="0.3">
      <c r="A3509">
        <v>1214</v>
      </c>
      <c r="B3509">
        <v>4</v>
      </c>
      <c r="C3509">
        <v>77</v>
      </c>
      <c r="D3509">
        <v>2</v>
      </c>
      <c r="E3509" s="1">
        <v>799.99</v>
      </c>
      <c r="F3509" s="1">
        <v>0.1</v>
      </c>
      <c r="G3509">
        <v>1599.98</v>
      </c>
      <c r="H3509" s="22">
        <f>VLOOKUP(A3509,[1]Orders!$A$2:$B$1616,2,0)</f>
        <v>43036</v>
      </c>
      <c r="J3509" t="s">
        <v>113</v>
      </c>
      <c r="K3509" t="s">
        <v>18</v>
      </c>
    </row>
    <row r="3510" spans="1:11" x14ac:dyDescent="0.3">
      <c r="A3510">
        <v>1214</v>
      </c>
      <c r="B3510">
        <v>5</v>
      </c>
      <c r="C3510">
        <v>67</v>
      </c>
      <c r="D3510">
        <v>2</v>
      </c>
      <c r="E3510" s="1">
        <v>250.99</v>
      </c>
      <c r="F3510" s="1">
        <v>0.2</v>
      </c>
      <c r="G3510">
        <v>501.98</v>
      </c>
      <c r="H3510" s="22">
        <f>VLOOKUP(A3510,[1]Orders!$A$2:$B$1616,2,0)</f>
        <v>43036</v>
      </c>
      <c r="J3510" t="s">
        <v>60</v>
      </c>
      <c r="K3510" t="s">
        <v>18</v>
      </c>
    </row>
    <row r="3511" spans="1:11" x14ac:dyDescent="0.3">
      <c r="A3511">
        <v>1215</v>
      </c>
      <c r="B3511">
        <v>1</v>
      </c>
      <c r="C3511">
        <v>73</v>
      </c>
      <c r="D3511">
        <v>2</v>
      </c>
      <c r="E3511" s="1">
        <v>749.99</v>
      </c>
      <c r="F3511" s="1">
        <v>0.1</v>
      </c>
      <c r="G3511">
        <v>1499.98</v>
      </c>
      <c r="H3511" s="22">
        <f>VLOOKUP(A3511,[1]Orders!$A$2:$B$1616,2,0)</f>
        <v>43036</v>
      </c>
      <c r="J3511" t="s">
        <v>43</v>
      </c>
      <c r="K3511" t="s">
        <v>18</v>
      </c>
    </row>
    <row r="3512" spans="1:11" x14ac:dyDescent="0.3">
      <c r="A3512">
        <v>1215</v>
      </c>
      <c r="B3512">
        <v>2</v>
      </c>
      <c r="C3512">
        <v>10</v>
      </c>
      <c r="D3512">
        <v>2</v>
      </c>
      <c r="E3512" s="1">
        <v>1549</v>
      </c>
      <c r="F3512" s="1">
        <v>7.0000000000000007E-2</v>
      </c>
      <c r="G3512">
        <v>3098</v>
      </c>
      <c r="H3512" s="22">
        <f>VLOOKUP(A3512,[1]Orders!$A$2:$B$1616,2,0)</f>
        <v>43036</v>
      </c>
      <c r="J3512" t="s">
        <v>13</v>
      </c>
      <c r="K3512" t="s">
        <v>18</v>
      </c>
    </row>
    <row r="3513" spans="1:11" x14ac:dyDescent="0.3">
      <c r="A3513">
        <v>1216</v>
      </c>
      <c r="B3513">
        <v>1</v>
      </c>
      <c r="C3513">
        <v>64</v>
      </c>
      <c r="D3513">
        <v>2</v>
      </c>
      <c r="E3513" s="1">
        <v>489.99</v>
      </c>
      <c r="F3513" s="1">
        <v>0.1</v>
      </c>
      <c r="G3513">
        <v>979.98</v>
      </c>
      <c r="H3513" s="22">
        <f>VLOOKUP(A3513,[1]Orders!$A$2:$B$1616,2,0)</f>
        <v>43036</v>
      </c>
      <c r="J3513" t="s">
        <v>51</v>
      </c>
      <c r="K3513" t="s">
        <v>18</v>
      </c>
    </row>
    <row r="3514" spans="1:11" x14ac:dyDescent="0.3">
      <c r="A3514">
        <v>1216</v>
      </c>
      <c r="B3514">
        <v>2</v>
      </c>
      <c r="C3514">
        <v>54</v>
      </c>
      <c r="D3514">
        <v>1</v>
      </c>
      <c r="E3514" s="1">
        <v>3199.99</v>
      </c>
      <c r="F3514" s="1">
        <v>0.05</v>
      </c>
      <c r="G3514">
        <v>3199.99</v>
      </c>
      <c r="H3514" s="22">
        <f>VLOOKUP(A3514,[1]Orders!$A$2:$B$1616,2,0)</f>
        <v>43036</v>
      </c>
      <c r="J3514" t="s">
        <v>69</v>
      </c>
      <c r="K3514" t="s">
        <v>18</v>
      </c>
    </row>
    <row r="3515" spans="1:11" x14ac:dyDescent="0.3">
      <c r="A3515">
        <v>1216</v>
      </c>
      <c r="B3515">
        <v>3</v>
      </c>
      <c r="C3515">
        <v>19</v>
      </c>
      <c r="D3515">
        <v>1</v>
      </c>
      <c r="E3515" s="1">
        <v>449</v>
      </c>
      <c r="F3515" s="1">
        <v>0.2</v>
      </c>
      <c r="G3515">
        <v>449</v>
      </c>
      <c r="H3515" s="22">
        <f>VLOOKUP(A3515,[1]Orders!$A$2:$B$1616,2,0)</f>
        <v>43036</v>
      </c>
      <c r="J3515" t="s">
        <v>36</v>
      </c>
      <c r="K3515" t="s">
        <v>18</v>
      </c>
    </row>
    <row r="3516" spans="1:11" x14ac:dyDescent="0.3">
      <c r="A3516">
        <v>1216</v>
      </c>
      <c r="B3516">
        <v>4</v>
      </c>
      <c r="C3516">
        <v>110</v>
      </c>
      <c r="D3516">
        <v>2</v>
      </c>
      <c r="E3516" s="1">
        <v>470.99</v>
      </c>
      <c r="F3516" s="1">
        <v>7.0000000000000007E-2</v>
      </c>
      <c r="G3516">
        <v>941.98</v>
      </c>
      <c r="H3516" s="22">
        <f>VLOOKUP(A3516,[1]Orders!$A$2:$B$1616,2,0)</f>
        <v>43036</v>
      </c>
      <c r="J3516" t="s">
        <v>65</v>
      </c>
      <c r="K3516" t="s">
        <v>18</v>
      </c>
    </row>
    <row r="3517" spans="1:11" x14ac:dyDescent="0.3">
      <c r="A3517">
        <v>1216</v>
      </c>
      <c r="B3517">
        <v>5</v>
      </c>
      <c r="C3517">
        <v>43</v>
      </c>
      <c r="D3517">
        <v>1</v>
      </c>
      <c r="E3517" s="1">
        <v>5299.99</v>
      </c>
      <c r="F3517" s="1">
        <v>0.1</v>
      </c>
      <c r="G3517">
        <v>5299.99</v>
      </c>
      <c r="H3517" s="22">
        <f>VLOOKUP(A3517,[1]Orders!$A$2:$B$1616,2,0)</f>
        <v>43036</v>
      </c>
      <c r="J3517" t="s">
        <v>62</v>
      </c>
      <c r="K3517" t="s">
        <v>18</v>
      </c>
    </row>
    <row r="3518" spans="1:11" x14ac:dyDescent="0.3">
      <c r="A3518">
        <v>1217</v>
      </c>
      <c r="B3518">
        <v>1</v>
      </c>
      <c r="C3518">
        <v>73</v>
      </c>
      <c r="D3518">
        <v>1</v>
      </c>
      <c r="E3518" s="1">
        <v>749.99</v>
      </c>
      <c r="F3518" s="1">
        <v>0.05</v>
      </c>
      <c r="G3518">
        <v>749.99</v>
      </c>
      <c r="H3518" s="22">
        <f>VLOOKUP(A3518,[1]Orders!$A$2:$B$1616,2,0)</f>
        <v>43036</v>
      </c>
      <c r="J3518" t="s">
        <v>43</v>
      </c>
      <c r="K3518" t="s">
        <v>18</v>
      </c>
    </row>
    <row r="3519" spans="1:11" x14ac:dyDescent="0.3">
      <c r="A3519">
        <v>1217</v>
      </c>
      <c r="B3519">
        <v>2</v>
      </c>
      <c r="C3519">
        <v>106</v>
      </c>
      <c r="D3519">
        <v>2</v>
      </c>
      <c r="E3519" s="1">
        <v>449.99</v>
      </c>
      <c r="F3519" s="1">
        <v>0.05</v>
      </c>
      <c r="G3519">
        <v>899.98</v>
      </c>
      <c r="H3519" s="22">
        <f>VLOOKUP(A3519,[1]Orders!$A$2:$B$1616,2,0)</f>
        <v>43036</v>
      </c>
      <c r="J3519" t="s">
        <v>39</v>
      </c>
      <c r="K3519" t="s">
        <v>18</v>
      </c>
    </row>
    <row r="3520" spans="1:11" x14ac:dyDescent="0.3">
      <c r="A3520">
        <v>1218</v>
      </c>
      <c r="B3520">
        <v>1</v>
      </c>
      <c r="C3520">
        <v>32</v>
      </c>
      <c r="D3520">
        <v>1</v>
      </c>
      <c r="E3520" s="1">
        <v>469.99</v>
      </c>
      <c r="F3520" s="1">
        <v>7.0000000000000007E-2</v>
      </c>
      <c r="G3520">
        <v>469.99</v>
      </c>
      <c r="H3520" s="22">
        <f>VLOOKUP(A3520,[1]Orders!$A$2:$B$1616,2,0)</f>
        <v>43038</v>
      </c>
      <c r="J3520" t="s">
        <v>46</v>
      </c>
      <c r="K3520" t="s">
        <v>11</v>
      </c>
    </row>
    <row r="3521" spans="1:11" x14ac:dyDescent="0.3">
      <c r="A3521">
        <v>1218</v>
      </c>
      <c r="B3521">
        <v>2</v>
      </c>
      <c r="C3521">
        <v>102</v>
      </c>
      <c r="D3521">
        <v>2</v>
      </c>
      <c r="E3521" s="1">
        <v>489.99</v>
      </c>
      <c r="F3521" s="1">
        <v>0.05</v>
      </c>
      <c r="G3521">
        <v>979.98</v>
      </c>
      <c r="H3521" s="22">
        <f>VLOOKUP(A3521,[1]Orders!$A$2:$B$1616,2,0)</f>
        <v>43038</v>
      </c>
      <c r="J3521" t="s">
        <v>51</v>
      </c>
      <c r="K3521" t="s">
        <v>11</v>
      </c>
    </row>
    <row r="3522" spans="1:11" x14ac:dyDescent="0.3">
      <c r="A3522">
        <v>1219</v>
      </c>
      <c r="B3522">
        <v>1</v>
      </c>
      <c r="C3522">
        <v>17</v>
      </c>
      <c r="D3522">
        <v>2</v>
      </c>
      <c r="E3522" s="1">
        <v>429</v>
      </c>
      <c r="F3522" s="1">
        <v>7.0000000000000007E-2</v>
      </c>
      <c r="G3522">
        <v>858</v>
      </c>
      <c r="H3522" s="22">
        <f>VLOOKUP(A3522,[1]Orders!$A$2:$B$1616,2,0)</f>
        <v>43038</v>
      </c>
      <c r="J3522" t="s">
        <v>23</v>
      </c>
      <c r="K3522" t="s">
        <v>18</v>
      </c>
    </row>
    <row r="3523" spans="1:11" x14ac:dyDescent="0.3">
      <c r="A3523">
        <v>1219</v>
      </c>
      <c r="B3523">
        <v>2</v>
      </c>
      <c r="C3523">
        <v>62</v>
      </c>
      <c r="D3523">
        <v>2</v>
      </c>
      <c r="E3523" s="1">
        <v>3499.99</v>
      </c>
      <c r="F3523" s="1">
        <v>0.1</v>
      </c>
      <c r="G3523">
        <v>6999.98</v>
      </c>
      <c r="H3523" s="22">
        <f>VLOOKUP(A3523,[1]Orders!$A$2:$B$1616,2,0)</f>
        <v>43038</v>
      </c>
      <c r="J3523" t="s">
        <v>50</v>
      </c>
      <c r="K3523" t="s">
        <v>18</v>
      </c>
    </row>
    <row r="3524" spans="1:11" x14ac:dyDescent="0.3">
      <c r="A3524">
        <v>1219</v>
      </c>
      <c r="B3524">
        <v>3</v>
      </c>
      <c r="C3524">
        <v>40</v>
      </c>
      <c r="D3524">
        <v>2</v>
      </c>
      <c r="E3524" s="1">
        <v>4999.99</v>
      </c>
      <c r="F3524" s="1">
        <v>0.2</v>
      </c>
      <c r="G3524">
        <v>9999.98</v>
      </c>
      <c r="H3524" s="22">
        <f>VLOOKUP(A3524,[1]Orders!$A$2:$B$1616,2,0)</f>
        <v>43038</v>
      </c>
      <c r="J3524" t="s">
        <v>104</v>
      </c>
      <c r="K3524" t="s">
        <v>18</v>
      </c>
    </row>
    <row r="3525" spans="1:11" x14ac:dyDescent="0.3">
      <c r="A3525">
        <v>1220</v>
      </c>
      <c r="B3525">
        <v>1</v>
      </c>
      <c r="C3525">
        <v>47</v>
      </c>
      <c r="D3525">
        <v>2</v>
      </c>
      <c r="E3525" s="1">
        <v>5299.99</v>
      </c>
      <c r="F3525" s="1">
        <v>0.1</v>
      </c>
      <c r="G3525">
        <v>10599.98</v>
      </c>
      <c r="H3525" s="22">
        <f>VLOOKUP(A3525,[1]Orders!$A$2:$B$1616,2,0)</f>
        <v>43039</v>
      </c>
      <c r="J3525" t="s">
        <v>54</v>
      </c>
      <c r="K3525" t="s">
        <v>18</v>
      </c>
    </row>
    <row r="3526" spans="1:11" x14ac:dyDescent="0.3">
      <c r="A3526">
        <v>1220</v>
      </c>
      <c r="B3526">
        <v>2</v>
      </c>
      <c r="C3526">
        <v>49</v>
      </c>
      <c r="D3526">
        <v>1</v>
      </c>
      <c r="E3526" s="1">
        <v>3499.99</v>
      </c>
      <c r="F3526" s="1">
        <v>0.2</v>
      </c>
      <c r="G3526">
        <v>3499.99</v>
      </c>
      <c r="H3526" s="22">
        <f>VLOOKUP(A3526,[1]Orders!$A$2:$B$1616,2,0)</f>
        <v>43039</v>
      </c>
      <c r="J3526" t="s">
        <v>70</v>
      </c>
      <c r="K3526" t="s">
        <v>18</v>
      </c>
    </row>
    <row r="3527" spans="1:11" x14ac:dyDescent="0.3">
      <c r="A3527">
        <v>1220</v>
      </c>
      <c r="B3527">
        <v>3</v>
      </c>
      <c r="C3527">
        <v>85</v>
      </c>
      <c r="D3527">
        <v>2</v>
      </c>
      <c r="E3527" s="1">
        <v>329.99</v>
      </c>
      <c r="F3527" s="1">
        <v>0.2</v>
      </c>
      <c r="G3527">
        <v>659.98</v>
      </c>
      <c r="H3527" s="22">
        <f>VLOOKUP(A3527,[1]Orders!$A$2:$B$1616,2,0)</f>
        <v>43039</v>
      </c>
      <c r="J3527" t="s">
        <v>38</v>
      </c>
      <c r="K3527" t="s">
        <v>18</v>
      </c>
    </row>
    <row r="3528" spans="1:11" x14ac:dyDescent="0.3">
      <c r="A3528">
        <v>1221</v>
      </c>
      <c r="B3528">
        <v>1</v>
      </c>
      <c r="C3528">
        <v>100</v>
      </c>
      <c r="D3528">
        <v>1</v>
      </c>
      <c r="E3528" s="1">
        <v>489.99</v>
      </c>
      <c r="F3528" s="1">
        <v>0.05</v>
      </c>
      <c r="G3528">
        <v>489.99</v>
      </c>
      <c r="H3528" s="22">
        <f>VLOOKUP(A3528,[1]Orders!$A$2:$B$1616,2,0)</f>
        <v>43039</v>
      </c>
      <c r="J3528" t="s">
        <v>105</v>
      </c>
      <c r="K3528" t="s">
        <v>18</v>
      </c>
    </row>
    <row r="3529" spans="1:11" x14ac:dyDescent="0.3">
      <c r="A3529">
        <v>1221</v>
      </c>
      <c r="B3529">
        <v>2</v>
      </c>
      <c r="C3529">
        <v>81</v>
      </c>
      <c r="D3529">
        <v>2</v>
      </c>
      <c r="E3529" s="1">
        <v>1099.99</v>
      </c>
      <c r="F3529" s="1">
        <v>0.05</v>
      </c>
      <c r="G3529">
        <v>2199.98</v>
      </c>
      <c r="H3529" s="22">
        <f>VLOOKUP(A3529,[1]Orders!$A$2:$B$1616,2,0)</f>
        <v>43039</v>
      </c>
      <c r="J3529" t="s">
        <v>99</v>
      </c>
      <c r="K3529" t="s">
        <v>18</v>
      </c>
    </row>
    <row r="3530" spans="1:11" x14ac:dyDescent="0.3">
      <c r="A3530">
        <v>1221</v>
      </c>
      <c r="B3530">
        <v>3</v>
      </c>
      <c r="C3530">
        <v>42</v>
      </c>
      <c r="D3530">
        <v>2</v>
      </c>
      <c r="E3530" s="1">
        <v>2299.9899999999998</v>
      </c>
      <c r="F3530" s="1">
        <v>0.1</v>
      </c>
      <c r="G3530">
        <v>4599.9799999999996</v>
      </c>
      <c r="H3530" s="22">
        <f>VLOOKUP(A3530,[1]Orders!$A$2:$B$1616,2,0)</f>
        <v>43039</v>
      </c>
      <c r="J3530" t="s">
        <v>53</v>
      </c>
      <c r="K3530" t="s">
        <v>18</v>
      </c>
    </row>
    <row r="3531" spans="1:11" x14ac:dyDescent="0.3">
      <c r="A3531">
        <v>1221</v>
      </c>
      <c r="B3531">
        <v>4</v>
      </c>
      <c r="C3531">
        <v>38</v>
      </c>
      <c r="D3531">
        <v>2</v>
      </c>
      <c r="E3531" s="1">
        <v>549.99</v>
      </c>
      <c r="F3531" s="1">
        <v>0.1</v>
      </c>
      <c r="G3531">
        <v>1099.98</v>
      </c>
      <c r="H3531" s="22">
        <f>VLOOKUP(A3531,[1]Orders!$A$2:$B$1616,2,0)</f>
        <v>43039</v>
      </c>
      <c r="J3531" t="s">
        <v>93</v>
      </c>
      <c r="K3531" t="s">
        <v>18</v>
      </c>
    </row>
    <row r="3532" spans="1:11" x14ac:dyDescent="0.3">
      <c r="A3532">
        <v>1221</v>
      </c>
      <c r="B3532">
        <v>5</v>
      </c>
      <c r="C3532">
        <v>97</v>
      </c>
      <c r="D3532">
        <v>2</v>
      </c>
      <c r="E3532" s="1">
        <v>349.99</v>
      </c>
      <c r="F3532" s="1">
        <v>7.0000000000000007E-2</v>
      </c>
      <c r="G3532">
        <v>699.98</v>
      </c>
      <c r="H3532" s="22">
        <f>VLOOKUP(A3532,[1]Orders!$A$2:$B$1616,2,0)</f>
        <v>43039</v>
      </c>
      <c r="J3532" t="s">
        <v>55</v>
      </c>
      <c r="K3532" t="s">
        <v>18</v>
      </c>
    </row>
    <row r="3533" spans="1:11" x14ac:dyDescent="0.3">
      <c r="A3533">
        <v>1222</v>
      </c>
      <c r="B3533">
        <v>1</v>
      </c>
      <c r="C3533">
        <v>97</v>
      </c>
      <c r="D3533">
        <v>1</v>
      </c>
      <c r="E3533" s="1">
        <v>349.99</v>
      </c>
      <c r="F3533" s="1">
        <v>0.2</v>
      </c>
      <c r="G3533">
        <v>349.99</v>
      </c>
      <c r="H3533" s="22">
        <f>VLOOKUP(A3533,[1]Orders!$A$2:$B$1616,2,0)</f>
        <v>43040</v>
      </c>
      <c r="J3533" t="s">
        <v>55</v>
      </c>
      <c r="K3533" t="s">
        <v>37</v>
      </c>
    </row>
    <row r="3534" spans="1:11" x14ac:dyDescent="0.3">
      <c r="A3534">
        <v>1223</v>
      </c>
      <c r="B3534">
        <v>1</v>
      </c>
      <c r="C3534">
        <v>103</v>
      </c>
      <c r="D3534">
        <v>1</v>
      </c>
      <c r="E3534" s="1">
        <v>551.99</v>
      </c>
      <c r="F3534" s="1">
        <v>0.05</v>
      </c>
      <c r="G3534">
        <v>551.99</v>
      </c>
      <c r="H3534" s="22">
        <f>VLOOKUP(A3534,[1]Orders!$A$2:$B$1616,2,0)</f>
        <v>43041</v>
      </c>
      <c r="J3534" t="s">
        <v>40</v>
      </c>
      <c r="K3534" t="s">
        <v>18</v>
      </c>
    </row>
    <row r="3535" spans="1:11" x14ac:dyDescent="0.3">
      <c r="A3535">
        <v>1224</v>
      </c>
      <c r="B3535">
        <v>1</v>
      </c>
      <c r="C3535">
        <v>62</v>
      </c>
      <c r="D3535">
        <v>1</v>
      </c>
      <c r="E3535" s="1">
        <v>3499.99</v>
      </c>
      <c r="F3535" s="1">
        <v>7.0000000000000007E-2</v>
      </c>
      <c r="G3535">
        <v>3499.99</v>
      </c>
      <c r="H3535" s="22">
        <f>VLOOKUP(A3535,[1]Orders!$A$2:$B$1616,2,0)</f>
        <v>43042</v>
      </c>
      <c r="J3535" t="s">
        <v>50</v>
      </c>
      <c r="K3535" t="s">
        <v>18</v>
      </c>
    </row>
    <row r="3536" spans="1:11" x14ac:dyDescent="0.3">
      <c r="A3536">
        <v>1224</v>
      </c>
      <c r="B3536">
        <v>2</v>
      </c>
      <c r="C3536">
        <v>51</v>
      </c>
      <c r="D3536">
        <v>1</v>
      </c>
      <c r="E3536" s="1">
        <v>6499.99</v>
      </c>
      <c r="F3536" s="1">
        <v>0.1</v>
      </c>
      <c r="G3536">
        <v>6499.99</v>
      </c>
      <c r="H3536" s="22">
        <f>VLOOKUP(A3536,[1]Orders!$A$2:$B$1616,2,0)</f>
        <v>43042</v>
      </c>
      <c r="J3536" t="s">
        <v>90</v>
      </c>
      <c r="K3536" t="s">
        <v>18</v>
      </c>
    </row>
    <row r="3537" spans="1:11" x14ac:dyDescent="0.3">
      <c r="A3537">
        <v>1224</v>
      </c>
      <c r="B3537">
        <v>3</v>
      </c>
      <c r="C3537">
        <v>108</v>
      </c>
      <c r="D3537">
        <v>1</v>
      </c>
      <c r="E3537" s="1">
        <v>449.99</v>
      </c>
      <c r="F3537" s="1">
        <v>0.05</v>
      </c>
      <c r="G3537">
        <v>449.99</v>
      </c>
      <c r="H3537" s="22">
        <f>VLOOKUP(A3537,[1]Orders!$A$2:$B$1616,2,0)</f>
        <v>43042</v>
      </c>
      <c r="J3537" t="s">
        <v>85</v>
      </c>
      <c r="K3537" t="s">
        <v>18</v>
      </c>
    </row>
    <row r="3538" spans="1:11" x14ac:dyDescent="0.3">
      <c r="A3538">
        <v>1224</v>
      </c>
      <c r="B3538">
        <v>4</v>
      </c>
      <c r="C3538">
        <v>32</v>
      </c>
      <c r="D3538">
        <v>1</v>
      </c>
      <c r="E3538" s="1">
        <v>469.99</v>
      </c>
      <c r="F3538" s="1">
        <v>0.2</v>
      </c>
      <c r="G3538">
        <v>469.99</v>
      </c>
      <c r="H3538" s="22">
        <f>VLOOKUP(A3538,[1]Orders!$A$2:$B$1616,2,0)</f>
        <v>43042</v>
      </c>
      <c r="J3538" t="s">
        <v>46</v>
      </c>
      <c r="K3538" t="s">
        <v>18</v>
      </c>
    </row>
    <row r="3539" spans="1:11" x14ac:dyDescent="0.3">
      <c r="A3539">
        <v>1225</v>
      </c>
      <c r="B3539">
        <v>1</v>
      </c>
      <c r="C3539">
        <v>81</v>
      </c>
      <c r="D3539">
        <v>1</v>
      </c>
      <c r="E3539" s="1">
        <v>1099.99</v>
      </c>
      <c r="F3539" s="1">
        <v>0.1</v>
      </c>
      <c r="G3539">
        <v>1099.99</v>
      </c>
      <c r="H3539" s="22">
        <f>VLOOKUP(A3539,[1]Orders!$A$2:$B$1616,2,0)</f>
        <v>43043</v>
      </c>
      <c r="J3539" t="s">
        <v>99</v>
      </c>
      <c r="K3539" t="s">
        <v>11</v>
      </c>
    </row>
    <row r="3540" spans="1:11" x14ac:dyDescent="0.3">
      <c r="A3540">
        <v>1225</v>
      </c>
      <c r="B3540">
        <v>2</v>
      </c>
      <c r="C3540">
        <v>59</v>
      </c>
      <c r="D3540">
        <v>2</v>
      </c>
      <c r="E3540" s="1">
        <v>2599.9899999999998</v>
      </c>
      <c r="F3540" s="1">
        <v>0.1</v>
      </c>
      <c r="G3540">
        <v>5199.9799999999996</v>
      </c>
      <c r="H3540" s="22">
        <f>VLOOKUP(A3540,[1]Orders!$A$2:$B$1616,2,0)</f>
        <v>43043</v>
      </c>
      <c r="J3540" t="s">
        <v>74</v>
      </c>
      <c r="K3540" t="s">
        <v>11</v>
      </c>
    </row>
    <row r="3541" spans="1:11" x14ac:dyDescent="0.3">
      <c r="A3541">
        <v>1225</v>
      </c>
      <c r="B3541">
        <v>3</v>
      </c>
      <c r="C3541">
        <v>6</v>
      </c>
      <c r="D3541">
        <v>2</v>
      </c>
      <c r="E3541" s="1">
        <v>469.99</v>
      </c>
      <c r="F3541" s="1">
        <v>0.1</v>
      </c>
      <c r="G3541">
        <v>939.98</v>
      </c>
      <c r="H3541" s="22">
        <f>VLOOKUP(A3541,[1]Orders!$A$2:$B$1616,2,0)</f>
        <v>43043</v>
      </c>
      <c r="J3541" t="s">
        <v>32</v>
      </c>
      <c r="K3541" t="s">
        <v>11</v>
      </c>
    </row>
    <row r="3542" spans="1:11" x14ac:dyDescent="0.3">
      <c r="A3542">
        <v>1226</v>
      </c>
      <c r="B3542">
        <v>1</v>
      </c>
      <c r="C3542">
        <v>77</v>
      </c>
      <c r="D3542">
        <v>2</v>
      </c>
      <c r="E3542" s="1">
        <v>799.99</v>
      </c>
      <c r="F3542" s="1">
        <v>0.05</v>
      </c>
      <c r="G3542">
        <v>1599.98</v>
      </c>
      <c r="H3542" s="22">
        <f>VLOOKUP(A3542,[1]Orders!$A$2:$B$1616,2,0)</f>
        <v>43043</v>
      </c>
      <c r="J3542" t="s">
        <v>113</v>
      </c>
      <c r="K3542" t="s">
        <v>18</v>
      </c>
    </row>
    <row r="3543" spans="1:11" x14ac:dyDescent="0.3">
      <c r="A3543">
        <v>1226</v>
      </c>
      <c r="B3543">
        <v>2</v>
      </c>
      <c r="C3543">
        <v>101</v>
      </c>
      <c r="D3543">
        <v>1</v>
      </c>
      <c r="E3543" s="1">
        <v>339.99</v>
      </c>
      <c r="F3543" s="1">
        <v>0.2</v>
      </c>
      <c r="G3543">
        <v>339.99</v>
      </c>
      <c r="H3543" s="22">
        <f>VLOOKUP(A3543,[1]Orders!$A$2:$B$1616,2,0)</f>
        <v>43043</v>
      </c>
      <c r="J3543" t="s">
        <v>80</v>
      </c>
      <c r="K3543" t="s">
        <v>18</v>
      </c>
    </row>
    <row r="3544" spans="1:11" x14ac:dyDescent="0.3">
      <c r="A3544">
        <v>1226</v>
      </c>
      <c r="B3544">
        <v>3</v>
      </c>
      <c r="C3544">
        <v>11</v>
      </c>
      <c r="D3544">
        <v>2</v>
      </c>
      <c r="E3544" s="1">
        <v>1680.99</v>
      </c>
      <c r="F3544" s="1">
        <v>7.0000000000000007E-2</v>
      </c>
      <c r="G3544">
        <v>3361.98</v>
      </c>
      <c r="H3544" s="22">
        <f>VLOOKUP(A3544,[1]Orders!$A$2:$B$1616,2,0)</f>
        <v>43043</v>
      </c>
      <c r="J3544" t="s">
        <v>30</v>
      </c>
      <c r="K3544" t="s">
        <v>18</v>
      </c>
    </row>
    <row r="3545" spans="1:11" x14ac:dyDescent="0.3">
      <c r="A3545">
        <v>1226</v>
      </c>
      <c r="B3545">
        <v>4</v>
      </c>
      <c r="C3545">
        <v>51</v>
      </c>
      <c r="D3545">
        <v>1</v>
      </c>
      <c r="E3545" s="1">
        <v>6499.99</v>
      </c>
      <c r="F3545" s="1">
        <v>7.0000000000000007E-2</v>
      </c>
      <c r="G3545">
        <v>6499.99</v>
      </c>
      <c r="H3545" s="22">
        <f>VLOOKUP(A3545,[1]Orders!$A$2:$B$1616,2,0)</f>
        <v>43043</v>
      </c>
      <c r="J3545" t="s">
        <v>90</v>
      </c>
      <c r="K3545" t="s">
        <v>18</v>
      </c>
    </row>
    <row r="3546" spans="1:11" x14ac:dyDescent="0.3">
      <c r="A3546">
        <v>1226</v>
      </c>
      <c r="B3546">
        <v>5</v>
      </c>
      <c r="C3546">
        <v>42</v>
      </c>
      <c r="D3546">
        <v>1</v>
      </c>
      <c r="E3546" s="1">
        <v>2299.9899999999998</v>
      </c>
      <c r="F3546" s="1">
        <v>0.1</v>
      </c>
      <c r="G3546">
        <v>2299.9899999999998</v>
      </c>
      <c r="H3546" s="22">
        <f>VLOOKUP(A3546,[1]Orders!$A$2:$B$1616,2,0)</f>
        <v>43043</v>
      </c>
      <c r="J3546" t="s">
        <v>53</v>
      </c>
      <c r="K3546" t="s">
        <v>18</v>
      </c>
    </row>
    <row r="3547" spans="1:11" x14ac:dyDescent="0.3">
      <c r="A3547">
        <v>1227</v>
      </c>
      <c r="B3547">
        <v>1</v>
      </c>
      <c r="C3547">
        <v>90</v>
      </c>
      <c r="D3547">
        <v>2</v>
      </c>
      <c r="E3547" s="1">
        <v>209.99</v>
      </c>
      <c r="F3547" s="1">
        <v>0.2</v>
      </c>
      <c r="G3547">
        <v>419.98</v>
      </c>
      <c r="H3547" s="22">
        <f>VLOOKUP(A3547,[1]Orders!$A$2:$B$1616,2,0)</f>
        <v>43043</v>
      </c>
      <c r="J3547" t="s">
        <v>56</v>
      </c>
      <c r="K3547" t="s">
        <v>18</v>
      </c>
    </row>
    <row r="3548" spans="1:11" x14ac:dyDescent="0.3">
      <c r="A3548">
        <v>1227</v>
      </c>
      <c r="B3548">
        <v>2</v>
      </c>
      <c r="C3548">
        <v>44</v>
      </c>
      <c r="D3548">
        <v>1</v>
      </c>
      <c r="E3548" s="1">
        <v>539.99</v>
      </c>
      <c r="F3548" s="1">
        <v>7.0000000000000007E-2</v>
      </c>
      <c r="G3548">
        <v>539.99</v>
      </c>
      <c r="H3548" s="22">
        <f>VLOOKUP(A3548,[1]Orders!$A$2:$B$1616,2,0)</f>
        <v>43043</v>
      </c>
      <c r="J3548" t="s">
        <v>108</v>
      </c>
      <c r="K3548" t="s">
        <v>18</v>
      </c>
    </row>
    <row r="3549" spans="1:11" x14ac:dyDescent="0.3">
      <c r="A3549">
        <v>1227</v>
      </c>
      <c r="B3549">
        <v>3</v>
      </c>
      <c r="C3549">
        <v>26</v>
      </c>
      <c r="D3549">
        <v>1</v>
      </c>
      <c r="E3549" s="1">
        <v>599.99</v>
      </c>
      <c r="F3549" s="1">
        <v>0.05</v>
      </c>
      <c r="G3549">
        <v>599.99</v>
      </c>
      <c r="H3549" s="22">
        <f>VLOOKUP(A3549,[1]Orders!$A$2:$B$1616,2,0)</f>
        <v>43043</v>
      </c>
      <c r="J3549" t="s">
        <v>14</v>
      </c>
      <c r="K3549" t="s">
        <v>18</v>
      </c>
    </row>
    <row r="3550" spans="1:11" x14ac:dyDescent="0.3">
      <c r="A3550">
        <v>1227</v>
      </c>
      <c r="B3550">
        <v>4</v>
      </c>
      <c r="C3550">
        <v>8</v>
      </c>
      <c r="D3550">
        <v>1</v>
      </c>
      <c r="E3550" s="1">
        <v>1799.99</v>
      </c>
      <c r="F3550" s="1">
        <v>7.0000000000000007E-2</v>
      </c>
      <c r="G3550">
        <v>1799.99</v>
      </c>
      <c r="H3550" s="22">
        <f>VLOOKUP(A3550,[1]Orders!$A$2:$B$1616,2,0)</f>
        <v>43043</v>
      </c>
      <c r="J3550" t="s">
        <v>12</v>
      </c>
      <c r="K3550" t="s">
        <v>18</v>
      </c>
    </row>
    <row r="3551" spans="1:11" x14ac:dyDescent="0.3">
      <c r="A3551">
        <v>1227</v>
      </c>
      <c r="B3551">
        <v>5</v>
      </c>
      <c r="C3551">
        <v>42</v>
      </c>
      <c r="D3551">
        <v>2</v>
      </c>
      <c r="E3551" s="1">
        <v>2299.9899999999998</v>
      </c>
      <c r="F3551" s="1">
        <v>0.2</v>
      </c>
      <c r="G3551">
        <v>4599.9799999999996</v>
      </c>
      <c r="H3551" s="22">
        <f>VLOOKUP(A3551,[1]Orders!$A$2:$B$1616,2,0)</f>
        <v>43043</v>
      </c>
      <c r="J3551" t="s">
        <v>53</v>
      </c>
      <c r="K3551" t="s">
        <v>18</v>
      </c>
    </row>
    <row r="3552" spans="1:11" x14ac:dyDescent="0.3">
      <c r="A3552">
        <v>1228</v>
      </c>
      <c r="B3552">
        <v>1</v>
      </c>
      <c r="C3552">
        <v>92</v>
      </c>
      <c r="D3552">
        <v>1</v>
      </c>
      <c r="E3552" s="1">
        <v>209.99</v>
      </c>
      <c r="F3552" s="1">
        <v>0.2</v>
      </c>
      <c r="G3552">
        <v>209.99</v>
      </c>
      <c r="H3552" s="22">
        <f>VLOOKUP(A3552,[1]Orders!$A$2:$B$1616,2,0)</f>
        <v>43043</v>
      </c>
      <c r="J3552" t="s">
        <v>111</v>
      </c>
      <c r="K3552" t="s">
        <v>18</v>
      </c>
    </row>
    <row r="3553" spans="1:11" x14ac:dyDescent="0.3">
      <c r="A3553">
        <v>1228</v>
      </c>
      <c r="B3553">
        <v>2</v>
      </c>
      <c r="C3553">
        <v>55</v>
      </c>
      <c r="D3553">
        <v>2</v>
      </c>
      <c r="E3553" s="1">
        <v>2699.99</v>
      </c>
      <c r="F3553" s="1">
        <v>0.2</v>
      </c>
      <c r="G3553">
        <v>5399.98</v>
      </c>
      <c r="H3553" s="22">
        <f>VLOOKUP(A3553,[1]Orders!$A$2:$B$1616,2,0)</f>
        <v>43043</v>
      </c>
      <c r="J3553" t="s">
        <v>76</v>
      </c>
      <c r="K3553" t="s">
        <v>18</v>
      </c>
    </row>
    <row r="3554" spans="1:11" x14ac:dyDescent="0.3">
      <c r="A3554">
        <v>1228</v>
      </c>
      <c r="B3554">
        <v>3</v>
      </c>
      <c r="C3554">
        <v>20</v>
      </c>
      <c r="D3554">
        <v>2</v>
      </c>
      <c r="E3554" s="1">
        <v>599.99</v>
      </c>
      <c r="F3554" s="1">
        <v>0.05</v>
      </c>
      <c r="G3554">
        <v>1199.98</v>
      </c>
      <c r="H3554" s="22">
        <f>VLOOKUP(A3554,[1]Orders!$A$2:$B$1616,2,0)</f>
        <v>43043</v>
      </c>
      <c r="J3554" t="s">
        <v>10</v>
      </c>
      <c r="K3554" t="s">
        <v>18</v>
      </c>
    </row>
    <row r="3555" spans="1:11" x14ac:dyDescent="0.3">
      <c r="A3555">
        <v>1229</v>
      </c>
      <c r="B3555">
        <v>1</v>
      </c>
      <c r="C3555">
        <v>36</v>
      </c>
      <c r="D3555">
        <v>2</v>
      </c>
      <c r="E3555" s="1">
        <v>832.99</v>
      </c>
      <c r="F3555" s="1">
        <v>7.0000000000000007E-2</v>
      </c>
      <c r="G3555">
        <v>1665.98</v>
      </c>
      <c r="H3555" s="22">
        <f>VLOOKUP(A3555,[1]Orders!$A$2:$B$1616,2,0)</f>
        <v>43044</v>
      </c>
      <c r="J3555" t="s">
        <v>116</v>
      </c>
      <c r="K3555" t="s">
        <v>11</v>
      </c>
    </row>
    <row r="3556" spans="1:11" x14ac:dyDescent="0.3">
      <c r="A3556">
        <v>1229</v>
      </c>
      <c r="B3556">
        <v>2</v>
      </c>
      <c r="C3556">
        <v>61</v>
      </c>
      <c r="D3556">
        <v>2</v>
      </c>
      <c r="E3556" s="1">
        <v>4999.99</v>
      </c>
      <c r="F3556" s="1">
        <v>0.1</v>
      </c>
      <c r="G3556">
        <v>9999.98</v>
      </c>
      <c r="H3556" s="22">
        <f>VLOOKUP(A3556,[1]Orders!$A$2:$B$1616,2,0)</f>
        <v>43044</v>
      </c>
      <c r="J3556" t="s">
        <v>45</v>
      </c>
      <c r="K3556" t="s">
        <v>11</v>
      </c>
    </row>
    <row r="3557" spans="1:11" x14ac:dyDescent="0.3">
      <c r="A3557">
        <v>1230</v>
      </c>
      <c r="B3557">
        <v>1</v>
      </c>
      <c r="C3557">
        <v>32</v>
      </c>
      <c r="D3557">
        <v>2</v>
      </c>
      <c r="E3557" s="1">
        <v>469.99</v>
      </c>
      <c r="F3557" s="1">
        <v>0.1</v>
      </c>
      <c r="G3557">
        <v>939.98</v>
      </c>
      <c r="H3557" s="22">
        <f>VLOOKUP(A3557,[1]Orders!$A$2:$B$1616,2,0)</f>
        <v>43044</v>
      </c>
      <c r="J3557" t="s">
        <v>46</v>
      </c>
      <c r="K3557" t="s">
        <v>18</v>
      </c>
    </row>
    <row r="3558" spans="1:11" x14ac:dyDescent="0.3">
      <c r="A3558">
        <v>1230</v>
      </c>
      <c r="B3558">
        <v>2</v>
      </c>
      <c r="C3558">
        <v>38</v>
      </c>
      <c r="D3558">
        <v>2</v>
      </c>
      <c r="E3558" s="1">
        <v>549.99</v>
      </c>
      <c r="F3558" s="1">
        <v>7.0000000000000007E-2</v>
      </c>
      <c r="G3558">
        <v>1099.98</v>
      </c>
      <c r="H3558" s="22">
        <f>VLOOKUP(A3558,[1]Orders!$A$2:$B$1616,2,0)</f>
        <v>43044</v>
      </c>
      <c r="J3558" t="s">
        <v>93</v>
      </c>
      <c r="K3558" t="s">
        <v>18</v>
      </c>
    </row>
    <row r="3559" spans="1:11" x14ac:dyDescent="0.3">
      <c r="A3559">
        <v>1231</v>
      </c>
      <c r="B3559">
        <v>1</v>
      </c>
      <c r="C3559">
        <v>75</v>
      </c>
      <c r="D3559">
        <v>2</v>
      </c>
      <c r="E3559" s="1">
        <v>599.99</v>
      </c>
      <c r="F3559" s="1">
        <v>0.05</v>
      </c>
      <c r="G3559">
        <v>1199.98</v>
      </c>
      <c r="H3559" s="22">
        <f>VLOOKUP(A3559,[1]Orders!$A$2:$B$1616,2,0)</f>
        <v>43044</v>
      </c>
      <c r="J3559" t="s">
        <v>95</v>
      </c>
      <c r="K3559" t="s">
        <v>18</v>
      </c>
    </row>
    <row r="3560" spans="1:11" x14ac:dyDescent="0.3">
      <c r="A3560">
        <v>1231</v>
      </c>
      <c r="B3560">
        <v>2</v>
      </c>
      <c r="C3560">
        <v>70</v>
      </c>
      <c r="D3560">
        <v>1</v>
      </c>
      <c r="E3560" s="1">
        <v>659.99</v>
      </c>
      <c r="F3560" s="1">
        <v>7.0000000000000007E-2</v>
      </c>
      <c r="G3560">
        <v>659.99</v>
      </c>
      <c r="H3560" s="22">
        <f>VLOOKUP(A3560,[1]Orders!$A$2:$B$1616,2,0)</f>
        <v>43044</v>
      </c>
      <c r="J3560" t="s">
        <v>73</v>
      </c>
      <c r="K3560" t="s">
        <v>18</v>
      </c>
    </row>
    <row r="3561" spans="1:11" x14ac:dyDescent="0.3">
      <c r="A3561">
        <v>1232</v>
      </c>
      <c r="B3561">
        <v>1</v>
      </c>
      <c r="C3561">
        <v>4</v>
      </c>
      <c r="D3561">
        <v>2</v>
      </c>
      <c r="E3561" s="1">
        <v>2899.99</v>
      </c>
      <c r="F3561" s="1">
        <v>7.0000000000000007E-2</v>
      </c>
      <c r="G3561">
        <v>5799.98</v>
      </c>
      <c r="H3561" s="22">
        <f>VLOOKUP(A3561,[1]Orders!$A$2:$B$1616,2,0)</f>
        <v>43045</v>
      </c>
      <c r="J3561" t="s">
        <v>16</v>
      </c>
      <c r="K3561" t="s">
        <v>11</v>
      </c>
    </row>
    <row r="3562" spans="1:11" x14ac:dyDescent="0.3">
      <c r="A3562">
        <v>1232</v>
      </c>
      <c r="B3562">
        <v>2</v>
      </c>
      <c r="C3562">
        <v>110</v>
      </c>
      <c r="D3562">
        <v>2</v>
      </c>
      <c r="E3562" s="1">
        <v>470.99</v>
      </c>
      <c r="F3562" s="1">
        <v>0.05</v>
      </c>
      <c r="G3562">
        <v>941.98</v>
      </c>
      <c r="H3562" s="22">
        <f>VLOOKUP(A3562,[1]Orders!$A$2:$B$1616,2,0)</f>
        <v>43045</v>
      </c>
      <c r="J3562" t="s">
        <v>65</v>
      </c>
      <c r="K3562" t="s">
        <v>11</v>
      </c>
    </row>
    <row r="3563" spans="1:11" x14ac:dyDescent="0.3">
      <c r="A3563">
        <v>1232</v>
      </c>
      <c r="B3563">
        <v>3</v>
      </c>
      <c r="C3563">
        <v>6</v>
      </c>
      <c r="D3563">
        <v>2</v>
      </c>
      <c r="E3563" s="1">
        <v>469.99</v>
      </c>
      <c r="F3563" s="1">
        <v>0.2</v>
      </c>
      <c r="G3563">
        <v>939.98</v>
      </c>
      <c r="H3563" s="22">
        <f>VLOOKUP(A3563,[1]Orders!$A$2:$B$1616,2,0)</f>
        <v>43045</v>
      </c>
      <c r="J3563" t="s">
        <v>32</v>
      </c>
      <c r="K3563" t="s">
        <v>11</v>
      </c>
    </row>
    <row r="3564" spans="1:11" x14ac:dyDescent="0.3">
      <c r="A3564">
        <v>1233</v>
      </c>
      <c r="B3564">
        <v>1</v>
      </c>
      <c r="C3564">
        <v>87</v>
      </c>
      <c r="D3564">
        <v>2</v>
      </c>
      <c r="E3564" s="1">
        <v>189.99</v>
      </c>
      <c r="F3564" s="1">
        <v>0.2</v>
      </c>
      <c r="G3564">
        <v>379.98</v>
      </c>
      <c r="H3564" s="22">
        <f>VLOOKUP(A3564,[1]Orders!$A$2:$B$1616,2,0)</f>
        <v>43045</v>
      </c>
      <c r="J3564" t="s">
        <v>117</v>
      </c>
      <c r="K3564" t="s">
        <v>18</v>
      </c>
    </row>
    <row r="3565" spans="1:11" x14ac:dyDescent="0.3">
      <c r="A3565">
        <v>1233</v>
      </c>
      <c r="B3565">
        <v>2</v>
      </c>
      <c r="C3565">
        <v>61</v>
      </c>
      <c r="D3565">
        <v>2</v>
      </c>
      <c r="E3565" s="1">
        <v>4999.99</v>
      </c>
      <c r="F3565" s="1">
        <v>0.1</v>
      </c>
      <c r="G3565">
        <v>9999.98</v>
      </c>
      <c r="H3565" s="22">
        <f>VLOOKUP(A3565,[1]Orders!$A$2:$B$1616,2,0)</f>
        <v>43045</v>
      </c>
      <c r="J3565" t="s">
        <v>45</v>
      </c>
      <c r="K3565" t="s">
        <v>18</v>
      </c>
    </row>
    <row r="3566" spans="1:11" x14ac:dyDescent="0.3">
      <c r="A3566">
        <v>1233</v>
      </c>
      <c r="B3566">
        <v>3</v>
      </c>
      <c r="C3566">
        <v>55</v>
      </c>
      <c r="D3566">
        <v>1</v>
      </c>
      <c r="E3566" s="1">
        <v>2699.99</v>
      </c>
      <c r="F3566" s="1">
        <v>0.2</v>
      </c>
      <c r="G3566">
        <v>2699.99</v>
      </c>
      <c r="H3566" s="22">
        <f>VLOOKUP(A3566,[1]Orders!$A$2:$B$1616,2,0)</f>
        <v>43045</v>
      </c>
      <c r="J3566" t="s">
        <v>76</v>
      </c>
      <c r="K3566" t="s">
        <v>18</v>
      </c>
    </row>
    <row r="3567" spans="1:11" x14ac:dyDescent="0.3">
      <c r="A3567">
        <v>1234</v>
      </c>
      <c r="B3567">
        <v>1</v>
      </c>
      <c r="C3567">
        <v>56</v>
      </c>
      <c r="D3567">
        <v>2</v>
      </c>
      <c r="E3567" s="1">
        <v>5499.99</v>
      </c>
      <c r="F3567" s="1">
        <v>7.0000000000000007E-2</v>
      </c>
      <c r="G3567">
        <v>10999.98</v>
      </c>
      <c r="H3567" s="22">
        <f>VLOOKUP(A3567,[1]Orders!$A$2:$B$1616,2,0)</f>
        <v>43046</v>
      </c>
      <c r="J3567" t="s">
        <v>41</v>
      </c>
      <c r="K3567" t="s">
        <v>18</v>
      </c>
    </row>
    <row r="3568" spans="1:11" x14ac:dyDescent="0.3">
      <c r="A3568">
        <v>1234</v>
      </c>
      <c r="B3568">
        <v>2</v>
      </c>
      <c r="C3568">
        <v>71</v>
      </c>
      <c r="D3568">
        <v>2</v>
      </c>
      <c r="E3568" s="1">
        <v>416.99</v>
      </c>
      <c r="F3568" s="1">
        <v>7.0000000000000007E-2</v>
      </c>
      <c r="G3568">
        <v>833.98</v>
      </c>
      <c r="H3568" s="22">
        <f>VLOOKUP(A3568,[1]Orders!$A$2:$B$1616,2,0)</f>
        <v>43046</v>
      </c>
      <c r="J3568" t="s">
        <v>78</v>
      </c>
      <c r="K3568" t="s">
        <v>18</v>
      </c>
    </row>
    <row r="3569" spans="1:11" x14ac:dyDescent="0.3">
      <c r="A3569">
        <v>1235</v>
      </c>
      <c r="B3569">
        <v>1</v>
      </c>
      <c r="C3569">
        <v>7</v>
      </c>
      <c r="D3569">
        <v>1</v>
      </c>
      <c r="E3569" s="1">
        <v>3999.99</v>
      </c>
      <c r="F3569" s="1">
        <v>0.1</v>
      </c>
      <c r="G3569">
        <v>3999.99</v>
      </c>
      <c r="H3569" s="22">
        <f>VLOOKUP(A3569,[1]Orders!$A$2:$B$1616,2,0)</f>
        <v>43046</v>
      </c>
      <c r="J3569" t="s">
        <v>29</v>
      </c>
      <c r="K3569" t="s">
        <v>18</v>
      </c>
    </row>
    <row r="3570" spans="1:11" x14ac:dyDescent="0.3">
      <c r="A3570">
        <v>1236</v>
      </c>
      <c r="B3570">
        <v>1</v>
      </c>
      <c r="C3570">
        <v>60</v>
      </c>
      <c r="D3570">
        <v>1</v>
      </c>
      <c r="E3570" s="1">
        <v>1559.99</v>
      </c>
      <c r="F3570" s="1">
        <v>7.0000000000000007E-2</v>
      </c>
      <c r="G3570">
        <v>1559.99</v>
      </c>
      <c r="H3570" s="22">
        <f>VLOOKUP(A3570,[1]Orders!$A$2:$B$1616,2,0)</f>
        <v>43047</v>
      </c>
      <c r="J3570" t="s">
        <v>101</v>
      </c>
      <c r="K3570" t="s">
        <v>18</v>
      </c>
    </row>
    <row r="3571" spans="1:11" x14ac:dyDescent="0.3">
      <c r="A3571">
        <v>1236</v>
      </c>
      <c r="B3571">
        <v>2</v>
      </c>
      <c r="C3571">
        <v>32</v>
      </c>
      <c r="D3571">
        <v>2</v>
      </c>
      <c r="E3571" s="1">
        <v>469.99</v>
      </c>
      <c r="F3571" s="1">
        <v>0.05</v>
      </c>
      <c r="G3571">
        <v>939.98</v>
      </c>
      <c r="H3571" s="22">
        <f>VLOOKUP(A3571,[1]Orders!$A$2:$B$1616,2,0)</f>
        <v>43047</v>
      </c>
      <c r="J3571" t="s">
        <v>46</v>
      </c>
      <c r="K3571" t="s">
        <v>18</v>
      </c>
    </row>
    <row r="3572" spans="1:11" x14ac:dyDescent="0.3">
      <c r="A3572">
        <v>1236</v>
      </c>
      <c r="B3572">
        <v>3</v>
      </c>
      <c r="C3572">
        <v>91</v>
      </c>
      <c r="D3572">
        <v>1</v>
      </c>
      <c r="E3572" s="1">
        <v>349.99</v>
      </c>
      <c r="F3572" s="1">
        <v>0.1</v>
      </c>
      <c r="G3572">
        <v>349.99</v>
      </c>
      <c r="H3572" s="22">
        <f>VLOOKUP(A3572,[1]Orders!$A$2:$B$1616,2,0)</f>
        <v>43047</v>
      </c>
      <c r="J3572" t="s">
        <v>97</v>
      </c>
      <c r="K3572" t="s">
        <v>18</v>
      </c>
    </row>
    <row r="3573" spans="1:11" x14ac:dyDescent="0.3">
      <c r="A3573">
        <v>1237</v>
      </c>
      <c r="B3573">
        <v>1</v>
      </c>
      <c r="C3573">
        <v>23</v>
      </c>
      <c r="D3573">
        <v>1</v>
      </c>
      <c r="E3573" s="1">
        <v>299.99</v>
      </c>
      <c r="F3573" s="1">
        <v>0.1</v>
      </c>
      <c r="G3573">
        <v>299.99</v>
      </c>
      <c r="H3573" s="22">
        <f>VLOOKUP(A3573,[1]Orders!$A$2:$B$1616,2,0)</f>
        <v>43048</v>
      </c>
      <c r="J3573" t="s">
        <v>33</v>
      </c>
      <c r="K3573" t="s">
        <v>11</v>
      </c>
    </row>
    <row r="3574" spans="1:11" x14ac:dyDescent="0.3">
      <c r="A3574">
        <v>1237</v>
      </c>
      <c r="B3574">
        <v>2</v>
      </c>
      <c r="C3574">
        <v>87</v>
      </c>
      <c r="D3574">
        <v>2</v>
      </c>
      <c r="E3574" s="1">
        <v>189.99</v>
      </c>
      <c r="F3574" s="1">
        <v>0.1</v>
      </c>
      <c r="G3574">
        <v>379.98</v>
      </c>
      <c r="H3574" s="22">
        <f>VLOOKUP(A3574,[1]Orders!$A$2:$B$1616,2,0)</f>
        <v>43048</v>
      </c>
      <c r="J3574" t="s">
        <v>117</v>
      </c>
      <c r="K3574" t="s">
        <v>11</v>
      </c>
    </row>
    <row r="3575" spans="1:11" x14ac:dyDescent="0.3">
      <c r="A3575">
        <v>1237</v>
      </c>
      <c r="B3575">
        <v>3</v>
      </c>
      <c r="C3575">
        <v>95</v>
      </c>
      <c r="D3575">
        <v>2</v>
      </c>
      <c r="E3575" s="1">
        <v>299.99</v>
      </c>
      <c r="F3575" s="1">
        <v>0.2</v>
      </c>
      <c r="G3575">
        <v>599.98</v>
      </c>
      <c r="H3575" s="22">
        <f>VLOOKUP(A3575,[1]Orders!$A$2:$B$1616,2,0)</f>
        <v>43048</v>
      </c>
      <c r="J3575" t="s">
        <v>48</v>
      </c>
      <c r="K3575" t="s">
        <v>11</v>
      </c>
    </row>
    <row r="3576" spans="1:11" x14ac:dyDescent="0.3">
      <c r="A3576">
        <v>1237</v>
      </c>
      <c r="B3576">
        <v>4</v>
      </c>
      <c r="C3576">
        <v>55</v>
      </c>
      <c r="D3576">
        <v>2</v>
      </c>
      <c r="E3576" s="1">
        <v>2699.99</v>
      </c>
      <c r="F3576" s="1">
        <v>7.0000000000000007E-2</v>
      </c>
      <c r="G3576">
        <v>5399.98</v>
      </c>
      <c r="H3576" s="22">
        <f>VLOOKUP(A3576,[1]Orders!$A$2:$B$1616,2,0)</f>
        <v>43048</v>
      </c>
      <c r="J3576" t="s">
        <v>76</v>
      </c>
      <c r="K3576" t="s">
        <v>11</v>
      </c>
    </row>
    <row r="3577" spans="1:11" x14ac:dyDescent="0.3">
      <c r="A3577">
        <v>1237</v>
      </c>
      <c r="B3577">
        <v>5</v>
      </c>
      <c r="C3577">
        <v>25</v>
      </c>
      <c r="D3577">
        <v>1</v>
      </c>
      <c r="E3577" s="1">
        <v>499.99</v>
      </c>
      <c r="F3577" s="1">
        <v>7.0000000000000007E-2</v>
      </c>
      <c r="G3577">
        <v>499.99</v>
      </c>
      <c r="H3577" s="22">
        <f>VLOOKUP(A3577,[1]Orders!$A$2:$B$1616,2,0)</f>
        <v>43048</v>
      </c>
      <c r="J3577" t="s">
        <v>35</v>
      </c>
      <c r="K3577" t="s">
        <v>11</v>
      </c>
    </row>
    <row r="3578" spans="1:11" x14ac:dyDescent="0.3">
      <c r="A3578">
        <v>1238</v>
      </c>
      <c r="B3578">
        <v>1</v>
      </c>
      <c r="C3578">
        <v>40</v>
      </c>
      <c r="D3578">
        <v>1</v>
      </c>
      <c r="E3578" s="1">
        <v>4999.99</v>
      </c>
      <c r="F3578" s="1">
        <v>0.1</v>
      </c>
      <c r="G3578">
        <v>4999.99</v>
      </c>
      <c r="H3578" s="22">
        <f>VLOOKUP(A3578,[1]Orders!$A$2:$B$1616,2,0)</f>
        <v>43048</v>
      </c>
      <c r="J3578" t="s">
        <v>104</v>
      </c>
      <c r="K3578" t="s">
        <v>18</v>
      </c>
    </row>
    <row r="3579" spans="1:11" x14ac:dyDescent="0.3">
      <c r="A3579">
        <v>1238</v>
      </c>
      <c r="B3579">
        <v>2</v>
      </c>
      <c r="C3579">
        <v>14</v>
      </c>
      <c r="D3579">
        <v>1</v>
      </c>
      <c r="E3579" s="1">
        <v>269.99</v>
      </c>
      <c r="F3579" s="1">
        <v>0.1</v>
      </c>
      <c r="G3579">
        <v>269.99</v>
      </c>
      <c r="H3579" s="22">
        <f>VLOOKUP(A3579,[1]Orders!$A$2:$B$1616,2,0)</f>
        <v>43048</v>
      </c>
      <c r="J3579" t="s">
        <v>28</v>
      </c>
      <c r="K3579" t="s">
        <v>18</v>
      </c>
    </row>
    <row r="3580" spans="1:11" x14ac:dyDescent="0.3">
      <c r="A3580">
        <v>1238</v>
      </c>
      <c r="B3580">
        <v>3</v>
      </c>
      <c r="C3580">
        <v>99</v>
      </c>
      <c r="D3580">
        <v>2</v>
      </c>
      <c r="E3580" s="1">
        <v>299.99</v>
      </c>
      <c r="F3580" s="1">
        <v>0.2</v>
      </c>
      <c r="G3580">
        <v>599.98</v>
      </c>
      <c r="H3580" s="22">
        <f>VLOOKUP(A3580,[1]Orders!$A$2:$B$1616,2,0)</f>
        <v>43048</v>
      </c>
      <c r="J3580" t="s">
        <v>52</v>
      </c>
      <c r="K3580" t="s">
        <v>18</v>
      </c>
    </row>
    <row r="3581" spans="1:11" x14ac:dyDescent="0.3">
      <c r="A3581">
        <v>1238</v>
      </c>
      <c r="B3581">
        <v>4</v>
      </c>
      <c r="C3581">
        <v>101</v>
      </c>
      <c r="D3581">
        <v>1</v>
      </c>
      <c r="E3581" s="1">
        <v>339.99</v>
      </c>
      <c r="F3581" s="1">
        <v>0.1</v>
      </c>
      <c r="G3581">
        <v>339.99</v>
      </c>
      <c r="H3581" s="22">
        <f>VLOOKUP(A3581,[1]Orders!$A$2:$B$1616,2,0)</f>
        <v>43048</v>
      </c>
      <c r="J3581" t="s">
        <v>80</v>
      </c>
      <c r="K3581" t="s">
        <v>18</v>
      </c>
    </row>
    <row r="3582" spans="1:11" x14ac:dyDescent="0.3">
      <c r="A3582">
        <v>1239</v>
      </c>
      <c r="B3582">
        <v>1</v>
      </c>
      <c r="C3582">
        <v>15</v>
      </c>
      <c r="D3582">
        <v>2</v>
      </c>
      <c r="E3582" s="1">
        <v>529.99</v>
      </c>
      <c r="F3582" s="1">
        <v>0.2</v>
      </c>
      <c r="G3582">
        <v>1059.98</v>
      </c>
      <c r="H3582" s="22">
        <f>VLOOKUP(A3582,[1]Orders!$A$2:$B$1616,2,0)</f>
        <v>43048</v>
      </c>
      <c r="J3582" t="s">
        <v>27</v>
      </c>
      <c r="K3582" t="s">
        <v>18</v>
      </c>
    </row>
    <row r="3583" spans="1:11" x14ac:dyDescent="0.3">
      <c r="A3583">
        <v>1239</v>
      </c>
      <c r="B3583">
        <v>2</v>
      </c>
      <c r="C3583">
        <v>91</v>
      </c>
      <c r="D3583">
        <v>1</v>
      </c>
      <c r="E3583" s="1">
        <v>349.99</v>
      </c>
      <c r="F3583" s="1">
        <v>0.1</v>
      </c>
      <c r="G3583">
        <v>349.99</v>
      </c>
      <c r="H3583" s="22">
        <f>VLOOKUP(A3583,[1]Orders!$A$2:$B$1616,2,0)</f>
        <v>43048</v>
      </c>
      <c r="J3583" t="s">
        <v>97</v>
      </c>
      <c r="K3583" t="s">
        <v>18</v>
      </c>
    </row>
    <row r="3584" spans="1:11" x14ac:dyDescent="0.3">
      <c r="A3584">
        <v>1239</v>
      </c>
      <c r="B3584">
        <v>3</v>
      </c>
      <c r="C3584">
        <v>34</v>
      </c>
      <c r="D3584">
        <v>2</v>
      </c>
      <c r="E3584" s="1">
        <v>469.99</v>
      </c>
      <c r="F3584" s="1">
        <v>0.1</v>
      </c>
      <c r="G3584">
        <v>939.98</v>
      </c>
      <c r="H3584" s="22">
        <f>VLOOKUP(A3584,[1]Orders!$A$2:$B$1616,2,0)</f>
        <v>43048</v>
      </c>
      <c r="J3584" t="s">
        <v>107</v>
      </c>
      <c r="K3584" t="s">
        <v>18</v>
      </c>
    </row>
    <row r="3585" spans="1:11" x14ac:dyDescent="0.3">
      <c r="A3585">
        <v>1239</v>
      </c>
      <c r="B3585">
        <v>4</v>
      </c>
      <c r="C3585">
        <v>36</v>
      </c>
      <c r="D3585">
        <v>1</v>
      </c>
      <c r="E3585" s="1">
        <v>832.99</v>
      </c>
      <c r="F3585" s="1">
        <v>0.05</v>
      </c>
      <c r="G3585">
        <v>832.99</v>
      </c>
      <c r="H3585" s="22">
        <f>VLOOKUP(A3585,[1]Orders!$A$2:$B$1616,2,0)</f>
        <v>43048</v>
      </c>
      <c r="J3585" t="s">
        <v>116</v>
      </c>
      <c r="K3585" t="s">
        <v>18</v>
      </c>
    </row>
    <row r="3586" spans="1:11" x14ac:dyDescent="0.3">
      <c r="A3586">
        <v>1240</v>
      </c>
      <c r="B3586">
        <v>1</v>
      </c>
      <c r="C3586">
        <v>107</v>
      </c>
      <c r="D3586">
        <v>2</v>
      </c>
      <c r="E3586" s="1">
        <v>416.99</v>
      </c>
      <c r="F3586" s="1">
        <v>0.1</v>
      </c>
      <c r="G3586">
        <v>833.98</v>
      </c>
      <c r="H3586" s="22">
        <f>VLOOKUP(A3586,[1]Orders!$A$2:$B$1616,2,0)</f>
        <v>43049</v>
      </c>
      <c r="J3586" t="s">
        <v>89</v>
      </c>
      <c r="K3586" t="s">
        <v>18</v>
      </c>
    </row>
    <row r="3587" spans="1:11" x14ac:dyDescent="0.3">
      <c r="A3587">
        <v>1240</v>
      </c>
      <c r="B3587">
        <v>2</v>
      </c>
      <c r="C3587">
        <v>23</v>
      </c>
      <c r="D3587">
        <v>2</v>
      </c>
      <c r="E3587" s="1">
        <v>299.99</v>
      </c>
      <c r="F3587" s="1">
        <v>0.05</v>
      </c>
      <c r="G3587">
        <v>599.98</v>
      </c>
      <c r="H3587" s="22">
        <f>VLOOKUP(A3587,[1]Orders!$A$2:$B$1616,2,0)</f>
        <v>43049</v>
      </c>
      <c r="J3587" t="s">
        <v>33</v>
      </c>
      <c r="K3587" t="s">
        <v>18</v>
      </c>
    </row>
    <row r="3588" spans="1:11" x14ac:dyDescent="0.3">
      <c r="A3588">
        <v>1240</v>
      </c>
      <c r="B3588">
        <v>3</v>
      </c>
      <c r="C3588">
        <v>15</v>
      </c>
      <c r="D3588">
        <v>2</v>
      </c>
      <c r="E3588" s="1">
        <v>529.99</v>
      </c>
      <c r="F3588" s="1">
        <v>0.2</v>
      </c>
      <c r="G3588">
        <v>1059.98</v>
      </c>
      <c r="H3588" s="22">
        <f>VLOOKUP(A3588,[1]Orders!$A$2:$B$1616,2,0)</f>
        <v>43049</v>
      </c>
      <c r="J3588" t="s">
        <v>27</v>
      </c>
      <c r="K3588" t="s">
        <v>18</v>
      </c>
    </row>
    <row r="3589" spans="1:11" x14ac:dyDescent="0.3">
      <c r="A3589">
        <v>1240</v>
      </c>
      <c r="B3589">
        <v>4</v>
      </c>
      <c r="C3589">
        <v>77</v>
      </c>
      <c r="D3589">
        <v>2</v>
      </c>
      <c r="E3589" s="1">
        <v>799.99</v>
      </c>
      <c r="F3589" s="1">
        <v>0.05</v>
      </c>
      <c r="G3589">
        <v>1599.98</v>
      </c>
      <c r="H3589" s="22">
        <f>VLOOKUP(A3589,[1]Orders!$A$2:$B$1616,2,0)</f>
        <v>43049</v>
      </c>
      <c r="J3589" t="s">
        <v>113</v>
      </c>
      <c r="K3589" t="s">
        <v>18</v>
      </c>
    </row>
    <row r="3590" spans="1:11" x14ac:dyDescent="0.3">
      <c r="A3590">
        <v>1240</v>
      </c>
      <c r="B3590">
        <v>5</v>
      </c>
      <c r="C3590">
        <v>57</v>
      </c>
      <c r="D3590">
        <v>1</v>
      </c>
      <c r="E3590" s="1">
        <v>1999.99</v>
      </c>
      <c r="F3590" s="1">
        <v>0.05</v>
      </c>
      <c r="G3590">
        <v>1999.99</v>
      </c>
      <c r="H3590" s="22">
        <f>VLOOKUP(A3590,[1]Orders!$A$2:$B$1616,2,0)</f>
        <v>43049</v>
      </c>
      <c r="J3590" t="s">
        <v>103</v>
      </c>
      <c r="K3590" t="s">
        <v>18</v>
      </c>
    </row>
    <row r="3591" spans="1:11" x14ac:dyDescent="0.3">
      <c r="A3591">
        <v>1241</v>
      </c>
      <c r="B3591">
        <v>1</v>
      </c>
      <c r="C3591">
        <v>74</v>
      </c>
      <c r="D3591">
        <v>1</v>
      </c>
      <c r="E3591" s="1">
        <v>439.99</v>
      </c>
      <c r="F3591" s="1">
        <v>0.05</v>
      </c>
      <c r="G3591">
        <v>439.99</v>
      </c>
      <c r="H3591" s="22">
        <f>VLOOKUP(A3591,[1]Orders!$A$2:$B$1616,2,0)</f>
        <v>43049</v>
      </c>
      <c r="J3591" t="s">
        <v>61</v>
      </c>
      <c r="K3591" t="s">
        <v>18</v>
      </c>
    </row>
    <row r="3592" spans="1:11" x14ac:dyDescent="0.3">
      <c r="A3592">
        <v>1241</v>
      </c>
      <c r="B3592">
        <v>2</v>
      </c>
      <c r="C3592">
        <v>71</v>
      </c>
      <c r="D3592">
        <v>2</v>
      </c>
      <c r="E3592" s="1">
        <v>416.99</v>
      </c>
      <c r="F3592" s="1">
        <v>0.05</v>
      </c>
      <c r="G3592">
        <v>833.98</v>
      </c>
      <c r="H3592" s="22">
        <f>VLOOKUP(A3592,[1]Orders!$A$2:$B$1616,2,0)</f>
        <v>43049</v>
      </c>
      <c r="J3592" t="s">
        <v>78</v>
      </c>
      <c r="K3592" t="s">
        <v>18</v>
      </c>
    </row>
    <row r="3593" spans="1:11" x14ac:dyDescent="0.3">
      <c r="A3593">
        <v>1242</v>
      </c>
      <c r="B3593">
        <v>1</v>
      </c>
      <c r="C3593">
        <v>94</v>
      </c>
      <c r="D3593">
        <v>1</v>
      </c>
      <c r="E3593" s="1">
        <v>249.99</v>
      </c>
      <c r="F3593" s="1">
        <v>0.05</v>
      </c>
      <c r="G3593">
        <v>249.99</v>
      </c>
      <c r="H3593" s="22">
        <f>VLOOKUP(A3593,[1]Orders!$A$2:$B$1616,2,0)</f>
        <v>43050</v>
      </c>
      <c r="J3593" t="s">
        <v>59</v>
      </c>
      <c r="K3593" t="s">
        <v>18</v>
      </c>
    </row>
    <row r="3594" spans="1:11" x14ac:dyDescent="0.3">
      <c r="A3594">
        <v>1242</v>
      </c>
      <c r="B3594">
        <v>2</v>
      </c>
      <c r="C3594">
        <v>27</v>
      </c>
      <c r="D3594">
        <v>1</v>
      </c>
      <c r="E3594" s="1">
        <v>999.99</v>
      </c>
      <c r="F3594" s="1">
        <v>7.0000000000000007E-2</v>
      </c>
      <c r="G3594">
        <v>999.99</v>
      </c>
      <c r="H3594" s="22">
        <f>VLOOKUP(A3594,[1]Orders!$A$2:$B$1616,2,0)</f>
        <v>43050</v>
      </c>
      <c r="J3594" t="s">
        <v>106</v>
      </c>
      <c r="K3594" t="s">
        <v>18</v>
      </c>
    </row>
    <row r="3595" spans="1:11" x14ac:dyDescent="0.3">
      <c r="A3595">
        <v>1242</v>
      </c>
      <c r="B3595">
        <v>3</v>
      </c>
      <c r="C3595">
        <v>10</v>
      </c>
      <c r="D3595">
        <v>1</v>
      </c>
      <c r="E3595" s="1">
        <v>1549</v>
      </c>
      <c r="F3595" s="1">
        <v>7.0000000000000007E-2</v>
      </c>
      <c r="G3595">
        <v>1549</v>
      </c>
      <c r="H3595" s="22">
        <f>VLOOKUP(A3595,[1]Orders!$A$2:$B$1616,2,0)</f>
        <v>43050</v>
      </c>
      <c r="J3595" t="s">
        <v>13</v>
      </c>
      <c r="K3595" t="s">
        <v>18</v>
      </c>
    </row>
    <row r="3596" spans="1:11" x14ac:dyDescent="0.3">
      <c r="A3596">
        <v>1242</v>
      </c>
      <c r="B3596">
        <v>4</v>
      </c>
      <c r="C3596">
        <v>70</v>
      </c>
      <c r="D3596">
        <v>1</v>
      </c>
      <c r="E3596" s="1">
        <v>659.99</v>
      </c>
      <c r="F3596" s="1">
        <v>0.2</v>
      </c>
      <c r="G3596">
        <v>659.99</v>
      </c>
      <c r="H3596" s="22">
        <f>VLOOKUP(A3596,[1]Orders!$A$2:$B$1616,2,0)</f>
        <v>43050</v>
      </c>
      <c r="J3596" t="s">
        <v>73</v>
      </c>
      <c r="K3596" t="s">
        <v>18</v>
      </c>
    </row>
    <row r="3597" spans="1:11" x14ac:dyDescent="0.3">
      <c r="A3597">
        <v>1243</v>
      </c>
      <c r="B3597">
        <v>1</v>
      </c>
      <c r="C3597">
        <v>44</v>
      </c>
      <c r="D3597">
        <v>1</v>
      </c>
      <c r="E3597" s="1">
        <v>539.99</v>
      </c>
      <c r="F3597" s="1">
        <v>7.0000000000000007E-2</v>
      </c>
      <c r="G3597">
        <v>539.99</v>
      </c>
      <c r="H3597" s="22">
        <f>VLOOKUP(A3597,[1]Orders!$A$2:$B$1616,2,0)</f>
        <v>43050</v>
      </c>
      <c r="J3597" t="s">
        <v>108</v>
      </c>
      <c r="K3597" t="s">
        <v>18</v>
      </c>
    </row>
    <row r="3598" spans="1:11" x14ac:dyDescent="0.3">
      <c r="A3598">
        <v>1244</v>
      </c>
      <c r="B3598">
        <v>1</v>
      </c>
      <c r="C3598">
        <v>45</v>
      </c>
      <c r="D3598">
        <v>1</v>
      </c>
      <c r="E3598" s="1">
        <v>869.99</v>
      </c>
      <c r="F3598" s="1">
        <v>0.2</v>
      </c>
      <c r="G3598">
        <v>869.99</v>
      </c>
      <c r="H3598" s="22">
        <f>VLOOKUP(A3598,[1]Orders!$A$2:$B$1616,2,0)</f>
        <v>43051</v>
      </c>
      <c r="J3598" t="s">
        <v>88</v>
      </c>
      <c r="K3598" t="s">
        <v>18</v>
      </c>
    </row>
    <row r="3599" spans="1:11" x14ac:dyDescent="0.3">
      <c r="A3599">
        <v>1244</v>
      </c>
      <c r="B3599">
        <v>2</v>
      </c>
      <c r="C3599">
        <v>38</v>
      </c>
      <c r="D3599">
        <v>2</v>
      </c>
      <c r="E3599" s="1">
        <v>549.99</v>
      </c>
      <c r="F3599" s="1">
        <v>7.0000000000000007E-2</v>
      </c>
      <c r="G3599">
        <v>1099.98</v>
      </c>
      <c r="H3599" s="22">
        <f>VLOOKUP(A3599,[1]Orders!$A$2:$B$1616,2,0)</f>
        <v>43051</v>
      </c>
      <c r="J3599" t="s">
        <v>93</v>
      </c>
      <c r="K3599" t="s">
        <v>18</v>
      </c>
    </row>
    <row r="3600" spans="1:11" x14ac:dyDescent="0.3">
      <c r="A3600">
        <v>1244</v>
      </c>
      <c r="B3600">
        <v>3</v>
      </c>
      <c r="C3600">
        <v>33</v>
      </c>
      <c r="D3600">
        <v>1</v>
      </c>
      <c r="E3600" s="1">
        <v>469.99</v>
      </c>
      <c r="F3600" s="1">
        <v>7.0000000000000007E-2</v>
      </c>
      <c r="G3600">
        <v>469.99</v>
      </c>
      <c r="H3600" s="22">
        <f>VLOOKUP(A3600,[1]Orders!$A$2:$B$1616,2,0)</f>
        <v>43051</v>
      </c>
      <c r="J3600" t="s">
        <v>67</v>
      </c>
      <c r="K3600" t="s">
        <v>18</v>
      </c>
    </row>
    <row r="3601" spans="1:11" x14ac:dyDescent="0.3">
      <c r="A3601">
        <v>1244</v>
      </c>
      <c r="B3601">
        <v>4</v>
      </c>
      <c r="C3601">
        <v>37</v>
      </c>
      <c r="D3601">
        <v>2</v>
      </c>
      <c r="E3601" s="1">
        <v>379.99</v>
      </c>
      <c r="F3601" s="1">
        <v>0.1</v>
      </c>
      <c r="G3601">
        <v>759.98</v>
      </c>
      <c r="H3601" s="22">
        <f>VLOOKUP(A3601,[1]Orders!$A$2:$B$1616,2,0)</f>
        <v>43051</v>
      </c>
      <c r="J3601" t="s">
        <v>98</v>
      </c>
      <c r="K3601" t="s">
        <v>18</v>
      </c>
    </row>
    <row r="3602" spans="1:11" x14ac:dyDescent="0.3">
      <c r="A3602">
        <v>1245</v>
      </c>
      <c r="B3602">
        <v>1</v>
      </c>
      <c r="C3602">
        <v>13</v>
      </c>
      <c r="D3602">
        <v>1</v>
      </c>
      <c r="E3602" s="1">
        <v>269.99</v>
      </c>
      <c r="F3602" s="1">
        <v>0.1</v>
      </c>
      <c r="G3602">
        <v>269.99</v>
      </c>
      <c r="H3602" s="22">
        <f>VLOOKUP(A3602,[1]Orders!$A$2:$B$1616,2,0)</f>
        <v>43052</v>
      </c>
      <c r="J3602" t="s">
        <v>31</v>
      </c>
      <c r="K3602" t="s">
        <v>18</v>
      </c>
    </row>
    <row r="3603" spans="1:11" x14ac:dyDescent="0.3">
      <c r="A3603">
        <v>1246</v>
      </c>
      <c r="B3603">
        <v>1</v>
      </c>
      <c r="C3603">
        <v>78</v>
      </c>
      <c r="D3603">
        <v>2</v>
      </c>
      <c r="E3603" s="1">
        <v>647.99</v>
      </c>
      <c r="F3603" s="1">
        <v>0.2</v>
      </c>
      <c r="G3603">
        <v>1295.98</v>
      </c>
      <c r="H3603" s="22">
        <f>VLOOKUP(A3603,[1]Orders!$A$2:$B$1616,2,0)</f>
        <v>43052</v>
      </c>
      <c r="J3603" t="s">
        <v>57</v>
      </c>
      <c r="K3603" t="s">
        <v>18</v>
      </c>
    </row>
    <row r="3604" spans="1:11" x14ac:dyDescent="0.3">
      <c r="A3604">
        <v>1246</v>
      </c>
      <c r="B3604">
        <v>2</v>
      </c>
      <c r="C3604">
        <v>46</v>
      </c>
      <c r="D3604">
        <v>1</v>
      </c>
      <c r="E3604" s="1">
        <v>1409.99</v>
      </c>
      <c r="F3604" s="1">
        <v>0.05</v>
      </c>
      <c r="G3604">
        <v>1409.99</v>
      </c>
      <c r="H3604" s="22">
        <f>VLOOKUP(A3604,[1]Orders!$A$2:$B$1616,2,0)</f>
        <v>43052</v>
      </c>
      <c r="J3604" t="s">
        <v>118</v>
      </c>
      <c r="K3604" t="s">
        <v>18</v>
      </c>
    </row>
    <row r="3605" spans="1:11" x14ac:dyDescent="0.3">
      <c r="A3605">
        <v>1246</v>
      </c>
      <c r="B3605">
        <v>3</v>
      </c>
      <c r="C3605">
        <v>45</v>
      </c>
      <c r="D3605">
        <v>2</v>
      </c>
      <c r="E3605" s="1">
        <v>869.99</v>
      </c>
      <c r="F3605" s="1">
        <v>7.0000000000000007E-2</v>
      </c>
      <c r="G3605">
        <v>1739.98</v>
      </c>
      <c r="H3605" s="22">
        <f>VLOOKUP(A3605,[1]Orders!$A$2:$B$1616,2,0)</f>
        <v>43052</v>
      </c>
      <c r="J3605" t="s">
        <v>88</v>
      </c>
      <c r="K3605" t="s">
        <v>18</v>
      </c>
    </row>
    <row r="3606" spans="1:11" x14ac:dyDescent="0.3">
      <c r="A3606">
        <v>1247</v>
      </c>
      <c r="B3606">
        <v>1</v>
      </c>
      <c r="C3606">
        <v>15</v>
      </c>
      <c r="D3606">
        <v>2</v>
      </c>
      <c r="E3606" s="1">
        <v>529.99</v>
      </c>
      <c r="F3606" s="1">
        <v>0.1</v>
      </c>
      <c r="G3606">
        <v>1059.98</v>
      </c>
      <c r="H3606" s="22">
        <f>VLOOKUP(A3606,[1]Orders!$A$2:$B$1616,2,0)</f>
        <v>43055</v>
      </c>
      <c r="J3606" t="s">
        <v>27</v>
      </c>
      <c r="K3606" t="s">
        <v>11</v>
      </c>
    </row>
    <row r="3607" spans="1:11" x14ac:dyDescent="0.3">
      <c r="A3607">
        <v>1247</v>
      </c>
      <c r="B3607">
        <v>2</v>
      </c>
      <c r="C3607">
        <v>28</v>
      </c>
      <c r="D3607">
        <v>2</v>
      </c>
      <c r="E3607" s="1">
        <v>2499.9899999999998</v>
      </c>
      <c r="F3607" s="1">
        <v>0.1</v>
      </c>
      <c r="G3607">
        <v>4999.9799999999996</v>
      </c>
      <c r="H3607" s="22">
        <f>VLOOKUP(A3607,[1]Orders!$A$2:$B$1616,2,0)</f>
        <v>43055</v>
      </c>
      <c r="J3607" t="s">
        <v>86</v>
      </c>
      <c r="K3607" t="s">
        <v>11</v>
      </c>
    </row>
    <row r="3608" spans="1:11" x14ac:dyDescent="0.3">
      <c r="A3608">
        <v>1247</v>
      </c>
      <c r="B3608">
        <v>3</v>
      </c>
      <c r="C3608">
        <v>26</v>
      </c>
      <c r="D3608">
        <v>1</v>
      </c>
      <c r="E3608" s="1">
        <v>599.99</v>
      </c>
      <c r="F3608" s="1">
        <v>0.05</v>
      </c>
      <c r="G3608">
        <v>599.99</v>
      </c>
      <c r="H3608" s="22">
        <f>VLOOKUP(A3608,[1]Orders!$A$2:$B$1616,2,0)</f>
        <v>43055</v>
      </c>
      <c r="J3608" t="s">
        <v>14</v>
      </c>
      <c r="K3608" t="s">
        <v>11</v>
      </c>
    </row>
    <row r="3609" spans="1:11" x14ac:dyDescent="0.3">
      <c r="A3609">
        <v>1248</v>
      </c>
      <c r="B3609">
        <v>1</v>
      </c>
      <c r="C3609">
        <v>94</v>
      </c>
      <c r="D3609">
        <v>2</v>
      </c>
      <c r="E3609" s="1">
        <v>249.99</v>
      </c>
      <c r="F3609" s="1">
        <v>0.05</v>
      </c>
      <c r="G3609">
        <v>499.98</v>
      </c>
      <c r="H3609" s="22">
        <f>VLOOKUP(A3609,[1]Orders!$A$2:$B$1616,2,0)</f>
        <v>43055</v>
      </c>
      <c r="J3609" t="s">
        <v>59</v>
      </c>
      <c r="K3609" t="s">
        <v>11</v>
      </c>
    </row>
    <row r="3610" spans="1:11" x14ac:dyDescent="0.3">
      <c r="A3610">
        <v>1248</v>
      </c>
      <c r="B3610">
        <v>2</v>
      </c>
      <c r="C3610">
        <v>33</v>
      </c>
      <c r="D3610">
        <v>2</v>
      </c>
      <c r="E3610" s="1">
        <v>469.99</v>
      </c>
      <c r="F3610" s="1">
        <v>0.1</v>
      </c>
      <c r="G3610">
        <v>939.98</v>
      </c>
      <c r="H3610" s="22">
        <f>VLOOKUP(A3610,[1]Orders!$A$2:$B$1616,2,0)</f>
        <v>43055</v>
      </c>
      <c r="J3610" t="s">
        <v>67</v>
      </c>
      <c r="K3610" t="s">
        <v>11</v>
      </c>
    </row>
    <row r="3611" spans="1:11" x14ac:dyDescent="0.3">
      <c r="A3611">
        <v>1248</v>
      </c>
      <c r="B3611">
        <v>3</v>
      </c>
      <c r="C3611">
        <v>92</v>
      </c>
      <c r="D3611">
        <v>1</v>
      </c>
      <c r="E3611" s="1">
        <v>209.99</v>
      </c>
      <c r="F3611" s="1">
        <v>0.1</v>
      </c>
      <c r="G3611">
        <v>209.99</v>
      </c>
      <c r="H3611" s="22">
        <f>VLOOKUP(A3611,[1]Orders!$A$2:$B$1616,2,0)</f>
        <v>43055</v>
      </c>
      <c r="J3611" t="s">
        <v>111</v>
      </c>
      <c r="K3611" t="s">
        <v>11</v>
      </c>
    </row>
    <row r="3612" spans="1:11" x14ac:dyDescent="0.3">
      <c r="A3612">
        <v>1248</v>
      </c>
      <c r="B3612">
        <v>4</v>
      </c>
      <c r="C3612">
        <v>12</v>
      </c>
      <c r="D3612">
        <v>1</v>
      </c>
      <c r="E3612" s="1">
        <v>549.99</v>
      </c>
      <c r="F3612" s="1">
        <v>0.05</v>
      </c>
      <c r="G3612">
        <v>549.99</v>
      </c>
      <c r="H3612" s="22">
        <f>VLOOKUP(A3612,[1]Orders!$A$2:$B$1616,2,0)</f>
        <v>43055</v>
      </c>
      <c r="J3612" t="s">
        <v>25</v>
      </c>
      <c r="K3612" t="s">
        <v>11</v>
      </c>
    </row>
    <row r="3613" spans="1:11" x14ac:dyDescent="0.3">
      <c r="A3613">
        <v>1249</v>
      </c>
      <c r="B3613">
        <v>1</v>
      </c>
      <c r="C3613">
        <v>62</v>
      </c>
      <c r="D3613">
        <v>1</v>
      </c>
      <c r="E3613" s="1">
        <v>3499.99</v>
      </c>
      <c r="F3613" s="1">
        <v>0.05</v>
      </c>
      <c r="G3613">
        <v>3499.99</v>
      </c>
      <c r="H3613" s="22">
        <f>VLOOKUP(A3613,[1]Orders!$A$2:$B$1616,2,0)</f>
        <v>43056</v>
      </c>
      <c r="J3613" t="s">
        <v>50</v>
      </c>
      <c r="K3613" t="s">
        <v>18</v>
      </c>
    </row>
    <row r="3614" spans="1:11" x14ac:dyDescent="0.3">
      <c r="A3614">
        <v>1249</v>
      </c>
      <c r="B3614">
        <v>2</v>
      </c>
      <c r="C3614">
        <v>104</v>
      </c>
      <c r="D3614">
        <v>1</v>
      </c>
      <c r="E3614" s="1">
        <v>481.99</v>
      </c>
      <c r="F3614" s="1">
        <v>0.05</v>
      </c>
      <c r="G3614">
        <v>481.99</v>
      </c>
      <c r="H3614" s="22">
        <f>VLOOKUP(A3614,[1]Orders!$A$2:$B$1616,2,0)</f>
        <v>43056</v>
      </c>
      <c r="J3614" t="s">
        <v>87</v>
      </c>
      <c r="K3614" t="s">
        <v>18</v>
      </c>
    </row>
    <row r="3615" spans="1:11" x14ac:dyDescent="0.3">
      <c r="A3615">
        <v>1249</v>
      </c>
      <c r="B3615">
        <v>3</v>
      </c>
      <c r="C3615">
        <v>61</v>
      </c>
      <c r="D3615">
        <v>1</v>
      </c>
      <c r="E3615" s="1">
        <v>4999.99</v>
      </c>
      <c r="F3615" s="1">
        <v>0.2</v>
      </c>
      <c r="G3615">
        <v>4999.99</v>
      </c>
      <c r="H3615" s="22">
        <f>VLOOKUP(A3615,[1]Orders!$A$2:$B$1616,2,0)</f>
        <v>43056</v>
      </c>
      <c r="J3615" t="s">
        <v>45</v>
      </c>
      <c r="K3615" t="s">
        <v>18</v>
      </c>
    </row>
    <row r="3616" spans="1:11" x14ac:dyDescent="0.3">
      <c r="A3616">
        <v>1250</v>
      </c>
      <c r="B3616">
        <v>1</v>
      </c>
      <c r="C3616">
        <v>78</v>
      </c>
      <c r="D3616">
        <v>2</v>
      </c>
      <c r="E3616" s="1">
        <v>647.99</v>
      </c>
      <c r="F3616" s="1">
        <v>0.05</v>
      </c>
      <c r="G3616">
        <v>1295.98</v>
      </c>
      <c r="H3616" s="22">
        <f>VLOOKUP(A3616,[1]Orders!$A$2:$B$1616,2,0)</f>
        <v>43056</v>
      </c>
      <c r="J3616" t="s">
        <v>57</v>
      </c>
      <c r="K3616" t="s">
        <v>18</v>
      </c>
    </row>
    <row r="3617" spans="1:11" x14ac:dyDescent="0.3">
      <c r="A3617">
        <v>1250</v>
      </c>
      <c r="B3617">
        <v>2</v>
      </c>
      <c r="C3617">
        <v>66</v>
      </c>
      <c r="D3617">
        <v>2</v>
      </c>
      <c r="E3617" s="1">
        <v>250.99</v>
      </c>
      <c r="F3617" s="1">
        <v>0.1</v>
      </c>
      <c r="G3617">
        <v>501.98</v>
      </c>
      <c r="H3617" s="22">
        <f>VLOOKUP(A3617,[1]Orders!$A$2:$B$1616,2,0)</f>
        <v>43056</v>
      </c>
      <c r="J3617" t="s">
        <v>92</v>
      </c>
      <c r="K3617" t="s">
        <v>18</v>
      </c>
    </row>
    <row r="3618" spans="1:11" x14ac:dyDescent="0.3">
      <c r="A3618">
        <v>1250</v>
      </c>
      <c r="B3618">
        <v>3</v>
      </c>
      <c r="C3618">
        <v>20</v>
      </c>
      <c r="D3618">
        <v>2</v>
      </c>
      <c r="E3618" s="1">
        <v>599.99</v>
      </c>
      <c r="F3618" s="1">
        <v>0.05</v>
      </c>
      <c r="G3618">
        <v>1199.98</v>
      </c>
      <c r="H3618" s="22">
        <f>VLOOKUP(A3618,[1]Orders!$A$2:$B$1616,2,0)</f>
        <v>43056</v>
      </c>
      <c r="J3618" t="s">
        <v>10</v>
      </c>
      <c r="K3618" t="s">
        <v>18</v>
      </c>
    </row>
    <row r="3619" spans="1:11" x14ac:dyDescent="0.3">
      <c r="A3619">
        <v>1250</v>
      </c>
      <c r="B3619">
        <v>4</v>
      </c>
      <c r="C3619">
        <v>6</v>
      </c>
      <c r="D3619">
        <v>2</v>
      </c>
      <c r="E3619" s="1">
        <v>469.99</v>
      </c>
      <c r="F3619" s="1">
        <v>0.1</v>
      </c>
      <c r="G3619">
        <v>939.98</v>
      </c>
      <c r="H3619" s="22">
        <f>VLOOKUP(A3619,[1]Orders!$A$2:$B$1616,2,0)</f>
        <v>43056</v>
      </c>
      <c r="J3619" t="s">
        <v>32</v>
      </c>
      <c r="K3619" t="s">
        <v>18</v>
      </c>
    </row>
    <row r="3620" spans="1:11" x14ac:dyDescent="0.3">
      <c r="A3620">
        <v>1251</v>
      </c>
      <c r="B3620">
        <v>1</v>
      </c>
      <c r="C3620">
        <v>40</v>
      </c>
      <c r="D3620">
        <v>2</v>
      </c>
      <c r="E3620" s="1">
        <v>4999.99</v>
      </c>
      <c r="F3620" s="1">
        <v>0.1</v>
      </c>
      <c r="G3620">
        <v>9999.98</v>
      </c>
      <c r="H3620" s="22">
        <f>VLOOKUP(A3620,[1]Orders!$A$2:$B$1616,2,0)</f>
        <v>43056</v>
      </c>
      <c r="J3620" t="s">
        <v>104</v>
      </c>
      <c r="K3620" t="s">
        <v>37</v>
      </c>
    </row>
    <row r="3621" spans="1:11" x14ac:dyDescent="0.3">
      <c r="A3621">
        <v>1251</v>
      </c>
      <c r="B3621">
        <v>2</v>
      </c>
      <c r="C3621">
        <v>56</v>
      </c>
      <c r="D3621">
        <v>1</v>
      </c>
      <c r="E3621" s="1">
        <v>5499.99</v>
      </c>
      <c r="F3621" s="1">
        <v>7.0000000000000007E-2</v>
      </c>
      <c r="G3621">
        <v>5499.99</v>
      </c>
      <c r="H3621" s="22">
        <f>VLOOKUP(A3621,[1]Orders!$A$2:$B$1616,2,0)</f>
        <v>43056</v>
      </c>
      <c r="J3621" t="s">
        <v>41</v>
      </c>
      <c r="K3621" t="s">
        <v>37</v>
      </c>
    </row>
    <row r="3622" spans="1:11" x14ac:dyDescent="0.3">
      <c r="A3622">
        <v>1251</v>
      </c>
      <c r="B3622">
        <v>3</v>
      </c>
      <c r="C3622">
        <v>7</v>
      </c>
      <c r="D3622">
        <v>1</v>
      </c>
      <c r="E3622" s="1">
        <v>3999.99</v>
      </c>
      <c r="F3622" s="1">
        <v>7.0000000000000007E-2</v>
      </c>
      <c r="G3622">
        <v>3999.99</v>
      </c>
      <c r="H3622" s="22">
        <f>VLOOKUP(A3622,[1]Orders!$A$2:$B$1616,2,0)</f>
        <v>43056</v>
      </c>
      <c r="J3622" t="s">
        <v>29</v>
      </c>
      <c r="K3622" t="s">
        <v>37</v>
      </c>
    </row>
    <row r="3623" spans="1:11" x14ac:dyDescent="0.3">
      <c r="A3623">
        <v>1252</v>
      </c>
      <c r="B3623">
        <v>1</v>
      </c>
      <c r="C3623">
        <v>79</v>
      </c>
      <c r="D3623">
        <v>1</v>
      </c>
      <c r="E3623" s="1">
        <v>402.99</v>
      </c>
      <c r="F3623" s="1">
        <v>0.2</v>
      </c>
      <c r="G3623">
        <v>402.99</v>
      </c>
      <c r="H3623" s="22">
        <f>VLOOKUP(A3623,[1]Orders!$A$2:$B$1616,2,0)</f>
        <v>43057</v>
      </c>
      <c r="J3623" t="s">
        <v>58</v>
      </c>
      <c r="K3623" t="s">
        <v>11</v>
      </c>
    </row>
    <row r="3624" spans="1:11" x14ac:dyDescent="0.3">
      <c r="A3624">
        <v>1252</v>
      </c>
      <c r="B3624">
        <v>2</v>
      </c>
      <c r="C3624">
        <v>84</v>
      </c>
      <c r="D3624">
        <v>1</v>
      </c>
      <c r="E3624" s="1">
        <v>109.99</v>
      </c>
      <c r="F3624" s="1">
        <v>0.2</v>
      </c>
      <c r="G3624">
        <v>109.99</v>
      </c>
      <c r="H3624" s="22">
        <f>VLOOKUP(A3624,[1]Orders!$A$2:$B$1616,2,0)</f>
        <v>43057</v>
      </c>
      <c r="J3624" t="s">
        <v>83</v>
      </c>
      <c r="K3624" t="s">
        <v>11</v>
      </c>
    </row>
    <row r="3625" spans="1:11" x14ac:dyDescent="0.3">
      <c r="A3625">
        <v>1252</v>
      </c>
      <c r="B3625">
        <v>3</v>
      </c>
      <c r="C3625">
        <v>57</v>
      </c>
      <c r="D3625">
        <v>2</v>
      </c>
      <c r="E3625" s="1">
        <v>1999.99</v>
      </c>
      <c r="F3625" s="1">
        <v>0.05</v>
      </c>
      <c r="G3625">
        <v>3999.98</v>
      </c>
      <c r="H3625" s="22">
        <f>VLOOKUP(A3625,[1]Orders!$A$2:$B$1616,2,0)</f>
        <v>43057</v>
      </c>
      <c r="J3625" t="s">
        <v>103</v>
      </c>
      <c r="K3625" t="s">
        <v>11</v>
      </c>
    </row>
    <row r="3626" spans="1:11" x14ac:dyDescent="0.3">
      <c r="A3626">
        <v>1253</v>
      </c>
      <c r="B3626">
        <v>1</v>
      </c>
      <c r="C3626">
        <v>25</v>
      </c>
      <c r="D3626">
        <v>2</v>
      </c>
      <c r="E3626" s="1">
        <v>499.99</v>
      </c>
      <c r="F3626" s="1">
        <v>0.1</v>
      </c>
      <c r="G3626">
        <v>999.98</v>
      </c>
      <c r="H3626" s="22">
        <f>VLOOKUP(A3626,[1]Orders!$A$2:$B$1616,2,0)</f>
        <v>43057</v>
      </c>
      <c r="J3626" t="s">
        <v>35</v>
      </c>
      <c r="K3626" t="s">
        <v>18</v>
      </c>
    </row>
    <row r="3627" spans="1:11" x14ac:dyDescent="0.3">
      <c r="A3627">
        <v>1253</v>
      </c>
      <c r="B3627">
        <v>2</v>
      </c>
      <c r="C3627">
        <v>21</v>
      </c>
      <c r="D3627">
        <v>1</v>
      </c>
      <c r="E3627" s="1">
        <v>269.99</v>
      </c>
      <c r="F3627" s="1">
        <v>7.0000000000000007E-2</v>
      </c>
      <c r="G3627">
        <v>269.99</v>
      </c>
      <c r="H3627" s="22">
        <f>VLOOKUP(A3627,[1]Orders!$A$2:$B$1616,2,0)</f>
        <v>43057</v>
      </c>
      <c r="J3627" t="s">
        <v>31</v>
      </c>
      <c r="K3627" t="s">
        <v>18</v>
      </c>
    </row>
    <row r="3628" spans="1:11" x14ac:dyDescent="0.3">
      <c r="A3628">
        <v>1253</v>
      </c>
      <c r="B3628">
        <v>3</v>
      </c>
      <c r="C3628">
        <v>88</v>
      </c>
      <c r="D3628">
        <v>1</v>
      </c>
      <c r="E3628" s="1">
        <v>189.99</v>
      </c>
      <c r="F3628" s="1">
        <v>0.2</v>
      </c>
      <c r="G3628">
        <v>189.99</v>
      </c>
      <c r="H3628" s="22">
        <f>VLOOKUP(A3628,[1]Orders!$A$2:$B$1616,2,0)</f>
        <v>43057</v>
      </c>
      <c r="J3628" t="s">
        <v>64</v>
      </c>
      <c r="K3628" t="s">
        <v>18</v>
      </c>
    </row>
    <row r="3629" spans="1:11" x14ac:dyDescent="0.3">
      <c r="A3629">
        <v>1254</v>
      </c>
      <c r="B3629">
        <v>1</v>
      </c>
      <c r="C3629">
        <v>80</v>
      </c>
      <c r="D3629">
        <v>1</v>
      </c>
      <c r="E3629" s="1">
        <v>761.99</v>
      </c>
      <c r="F3629" s="1">
        <v>0.2</v>
      </c>
      <c r="G3629">
        <v>761.99</v>
      </c>
      <c r="H3629" s="22">
        <f>VLOOKUP(A3629,[1]Orders!$A$2:$B$1616,2,0)</f>
        <v>43057</v>
      </c>
      <c r="J3629" t="s">
        <v>63</v>
      </c>
      <c r="K3629" t="s">
        <v>18</v>
      </c>
    </row>
    <row r="3630" spans="1:11" x14ac:dyDescent="0.3">
      <c r="A3630">
        <v>1254</v>
      </c>
      <c r="B3630">
        <v>2</v>
      </c>
      <c r="C3630">
        <v>91</v>
      </c>
      <c r="D3630">
        <v>1</v>
      </c>
      <c r="E3630" s="1">
        <v>349.99</v>
      </c>
      <c r="F3630" s="1">
        <v>0.2</v>
      </c>
      <c r="G3630">
        <v>349.99</v>
      </c>
      <c r="H3630" s="22">
        <f>VLOOKUP(A3630,[1]Orders!$A$2:$B$1616,2,0)</f>
        <v>43057</v>
      </c>
      <c r="J3630" t="s">
        <v>97</v>
      </c>
      <c r="K3630" t="s">
        <v>18</v>
      </c>
    </row>
    <row r="3631" spans="1:11" x14ac:dyDescent="0.3">
      <c r="A3631">
        <v>1255</v>
      </c>
      <c r="B3631">
        <v>1</v>
      </c>
      <c r="C3631">
        <v>43</v>
      </c>
      <c r="D3631">
        <v>2</v>
      </c>
      <c r="E3631" s="1">
        <v>5299.99</v>
      </c>
      <c r="F3631" s="1">
        <v>0.2</v>
      </c>
      <c r="G3631">
        <v>10599.98</v>
      </c>
      <c r="H3631" s="22">
        <f>VLOOKUP(A3631,[1]Orders!$A$2:$B$1616,2,0)</f>
        <v>43058</v>
      </c>
      <c r="J3631" t="s">
        <v>62</v>
      </c>
      <c r="K3631" t="s">
        <v>18</v>
      </c>
    </row>
    <row r="3632" spans="1:11" x14ac:dyDescent="0.3">
      <c r="A3632">
        <v>1255</v>
      </c>
      <c r="B3632">
        <v>2</v>
      </c>
      <c r="C3632">
        <v>53</v>
      </c>
      <c r="D3632">
        <v>1</v>
      </c>
      <c r="E3632" s="1">
        <v>749.99</v>
      </c>
      <c r="F3632" s="1">
        <v>0.05</v>
      </c>
      <c r="G3632">
        <v>749.99</v>
      </c>
      <c r="H3632" s="22">
        <f>VLOOKUP(A3632,[1]Orders!$A$2:$B$1616,2,0)</f>
        <v>43058</v>
      </c>
      <c r="J3632" t="s">
        <v>42</v>
      </c>
      <c r="K3632" t="s">
        <v>18</v>
      </c>
    </row>
    <row r="3633" spans="1:11" x14ac:dyDescent="0.3">
      <c r="A3633">
        <v>1255</v>
      </c>
      <c r="B3633">
        <v>3</v>
      </c>
      <c r="C3633">
        <v>14</v>
      </c>
      <c r="D3633">
        <v>2</v>
      </c>
      <c r="E3633" s="1">
        <v>269.99</v>
      </c>
      <c r="F3633" s="1">
        <v>0.2</v>
      </c>
      <c r="G3633">
        <v>539.98</v>
      </c>
      <c r="H3633" s="22">
        <f>VLOOKUP(A3633,[1]Orders!$A$2:$B$1616,2,0)</f>
        <v>43058</v>
      </c>
      <c r="J3633" t="s">
        <v>28</v>
      </c>
      <c r="K3633" t="s">
        <v>18</v>
      </c>
    </row>
    <row r="3634" spans="1:11" x14ac:dyDescent="0.3">
      <c r="A3634">
        <v>1255</v>
      </c>
      <c r="B3634">
        <v>4</v>
      </c>
      <c r="C3634">
        <v>26</v>
      </c>
      <c r="D3634">
        <v>2</v>
      </c>
      <c r="E3634" s="1">
        <v>599.99</v>
      </c>
      <c r="F3634" s="1">
        <v>0.05</v>
      </c>
      <c r="G3634">
        <v>1199.98</v>
      </c>
      <c r="H3634" s="22">
        <f>VLOOKUP(A3634,[1]Orders!$A$2:$B$1616,2,0)</f>
        <v>43058</v>
      </c>
      <c r="J3634" t="s">
        <v>14</v>
      </c>
      <c r="K3634" t="s">
        <v>18</v>
      </c>
    </row>
    <row r="3635" spans="1:11" x14ac:dyDescent="0.3">
      <c r="A3635">
        <v>1255</v>
      </c>
      <c r="B3635">
        <v>5</v>
      </c>
      <c r="C3635">
        <v>82</v>
      </c>
      <c r="D3635">
        <v>1</v>
      </c>
      <c r="E3635" s="1">
        <v>659.99</v>
      </c>
      <c r="F3635" s="1">
        <v>0.05</v>
      </c>
      <c r="G3635">
        <v>659.99</v>
      </c>
      <c r="H3635" s="22">
        <f>VLOOKUP(A3635,[1]Orders!$A$2:$B$1616,2,0)</f>
        <v>43058</v>
      </c>
      <c r="J3635" t="s">
        <v>100</v>
      </c>
      <c r="K3635" t="s">
        <v>18</v>
      </c>
    </row>
    <row r="3636" spans="1:11" x14ac:dyDescent="0.3">
      <c r="A3636">
        <v>1256</v>
      </c>
      <c r="B3636">
        <v>1</v>
      </c>
      <c r="C3636">
        <v>44</v>
      </c>
      <c r="D3636">
        <v>2</v>
      </c>
      <c r="E3636" s="1">
        <v>539.99</v>
      </c>
      <c r="F3636" s="1">
        <v>0.2</v>
      </c>
      <c r="G3636">
        <v>1079.98</v>
      </c>
      <c r="H3636" s="22">
        <f>VLOOKUP(A3636,[1]Orders!$A$2:$B$1616,2,0)</f>
        <v>43058</v>
      </c>
      <c r="J3636" t="s">
        <v>108</v>
      </c>
      <c r="K3636" t="s">
        <v>18</v>
      </c>
    </row>
    <row r="3637" spans="1:11" x14ac:dyDescent="0.3">
      <c r="A3637">
        <v>1256</v>
      </c>
      <c r="B3637">
        <v>2</v>
      </c>
      <c r="C3637">
        <v>100</v>
      </c>
      <c r="D3637">
        <v>1</v>
      </c>
      <c r="E3637" s="1">
        <v>489.99</v>
      </c>
      <c r="F3637" s="1">
        <v>0.1</v>
      </c>
      <c r="G3637">
        <v>489.99</v>
      </c>
      <c r="H3637" s="22">
        <f>VLOOKUP(A3637,[1]Orders!$A$2:$B$1616,2,0)</f>
        <v>43058</v>
      </c>
      <c r="J3637" t="s">
        <v>105</v>
      </c>
      <c r="K3637" t="s">
        <v>18</v>
      </c>
    </row>
    <row r="3638" spans="1:11" x14ac:dyDescent="0.3">
      <c r="A3638">
        <v>1257</v>
      </c>
      <c r="B3638">
        <v>1</v>
      </c>
      <c r="C3638">
        <v>30</v>
      </c>
      <c r="D3638">
        <v>2</v>
      </c>
      <c r="E3638" s="1">
        <v>999.99</v>
      </c>
      <c r="F3638" s="1">
        <v>0.05</v>
      </c>
      <c r="G3638">
        <v>1999.98</v>
      </c>
      <c r="H3638" s="22">
        <f>VLOOKUP(A3638,[1]Orders!$A$2:$B$1616,2,0)</f>
        <v>43058</v>
      </c>
      <c r="J3638" t="s">
        <v>47</v>
      </c>
      <c r="K3638" t="s">
        <v>18</v>
      </c>
    </row>
    <row r="3639" spans="1:11" x14ac:dyDescent="0.3">
      <c r="A3639">
        <v>1257</v>
      </c>
      <c r="B3639">
        <v>2</v>
      </c>
      <c r="C3639">
        <v>61</v>
      </c>
      <c r="D3639">
        <v>1</v>
      </c>
      <c r="E3639" s="1">
        <v>4999.99</v>
      </c>
      <c r="F3639" s="1">
        <v>0.05</v>
      </c>
      <c r="G3639">
        <v>4999.99</v>
      </c>
      <c r="H3639" s="22">
        <f>VLOOKUP(A3639,[1]Orders!$A$2:$B$1616,2,0)</f>
        <v>43058</v>
      </c>
      <c r="J3639" t="s">
        <v>45</v>
      </c>
      <c r="K3639" t="s">
        <v>18</v>
      </c>
    </row>
    <row r="3640" spans="1:11" x14ac:dyDescent="0.3">
      <c r="A3640">
        <v>1257</v>
      </c>
      <c r="B3640">
        <v>3</v>
      </c>
      <c r="C3640">
        <v>17</v>
      </c>
      <c r="D3640">
        <v>2</v>
      </c>
      <c r="E3640" s="1">
        <v>429</v>
      </c>
      <c r="F3640" s="1">
        <v>0.1</v>
      </c>
      <c r="G3640">
        <v>858</v>
      </c>
      <c r="H3640" s="22">
        <f>VLOOKUP(A3640,[1]Orders!$A$2:$B$1616,2,0)</f>
        <v>43058</v>
      </c>
      <c r="J3640" t="s">
        <v>23</v>
      </c>
      <c r="K3640" t="s">
        <v>18</v>
      </c>
    </row>
    <row r="3641" spans="1:11" x14ac:dyDescent="0.3">
      <c r="A3641">
        <v>1257</v>
      </c>
      <c r="B3641">
        <v>4</v>
      </c>
      <c r="C3641">
        <v>41</v>
      </c>
      <c r="D3641">
        <v>1</v>
      </c>
      <c r="E3641" s="1">
        <v>1469.99</v>
      </c>
      <c r="F3641" s="1">
        <v>0.05</v>
      </c>
      <c r="G3641">
        <v>1469.99</v>
      </c>
      <c r="H3641" s="22">
        <f>VLOOKUP(A3641,[1]Orders!$A$2:$B$1616,2,0)</f>
        <v>43058</v>
      </c>
      <c r="J3641" t="s">
        <v>77</v>
      </c>
      <c r="K3641" t="s">
        <v>18</v>
      </c>
    </row>
    <row r="3642" spans="1:11" x14ac:dyDescent="0.3">
      <c r="A3642">
        <v>1257</v>
      </c>
      <c r="B3642">
        <v>5</v>
      </c>
      <c r="C3642">
        <v>4</v>
      </c>
      <c r="D3642">
        <v>1</v>
      </c>
      <c r="E3642" s="1">
        <v>2899.99</v>
      </c>
      <c r="F3642" s="1">
        <v>0.1</v>
      </c>
      <c r="G3642">
        <v>2899.99</v>
      </c>
      <c r="H3642" s="22">
        <f>VLOOKUP(A3642,[1]Orders!$A$2:$B$1616,2,0)</f>
        <v>43058</v>
      </c>
      <c r="J3642" t="s">
        <v>16</v>
      </c>
      <c r="K3642" t="s">
        <v>18</v>
      </c>
    </row>
    <row r="3643" spans="1:11" x14ac:dyDescent="0.3">
      <c r="A3643">
        <v>1258</v>
      </c>
      <c r="B3643">
        <v>1</v>
      </c>
      <c r="C3643">
        <v>94</v>
      </c>
      <c r="D3643">
        <v>2</v>
      </c>
      <c r="E3643" s="1">
        <v>249.99</v>
      </c>
      <c r="F3643" s="1">
        <v>0.1</v>
      </c>
      <c r="G3643">
        <v>499.98</v>
      </c>
      <c r="H3643" s="22">
        <f>VLOOKUP(A3643,[1]Orders!$A$2:$B$1616,2,0)</f>
        <v>43059</v>
      </c>
      <c r="J3643" t="s">
        <v>59</v>
      </c>
      <c r="K3643" t="s">
        <v>18</v>
      </c>
    </row>
    <row r="3644" spans="1:11" x14ac:dyDescent="0.3">
      <c r="A3644">
        <v>1258</v>
      </c>
      <c r="B3644">
        <v>2</v>
      </c>
      <c r="C3644">
        <v>99</v>
      </c>
      <c r="D3644">
        <v>2</v>
      </c>
      <c r="E3644" s="1">
        <v>299.99</v>
      </c>
      <c r="F3644" s="1">
        <v>0.05</v>
      </c>
      <c r="G3644">
        <v>599.98</v>
      </c>
      <c r="H3644" s="22">
        <f>VLOOKUP(A3644,[1]Orders!$A$2:$B$1616,2,0)</f>
        <v>43059</v>
      </c>
      <c r="J3644" t="s">
        <v>52</v>
      </c>
      <c r="K3644" t="s">
        <v>18</v>
      </c>
    </row>
    <row r="3645" spans="1:11" x14ac:dyDescent="0.3">
      <c r="A3645">
        <v>1259</v>
      </c>
      <c r="B3645">
        <v>1</v>
      </c>
      <c r="C3645">
        <v>60</v>
      </c>
      <c r="D3645">
        <v>1</v>
      </c>
      <c r="E3645" s="1">
        <v>1559.99</v>
      </c>
      <c r="F3645" s="1">
        <v>0.1</v>
      </c>
      <c r="G3645">
        <v>1559.99</v>
      </c>
      <c r="H3645" s="22">
        <f>VLOOKUP(A3645,[1]Orders!$A$2:$B$1616,2,0)</f>
        <v>43060</v>
      </c>
      <c r="J3645" t="s">
        <v>101</v>
      </c>
      <c r="K3645" t="s">
        <v>18</v>
      </c>
    </row>
    <row r="3646" spans="1:11" x14ac:dyDescent="0.3">
      <c r="A3646">
        <v>1259</v>
      </c>
      <c r="B3646">
        <v>2</v>
      </c>
      <c r="C3646">
        <v>19</v>
      </c>
      <c r="D3646">
        <v>1</v>
      </c>
      <c r="E3646" s="1">
        <v>449</v>
      </c>
      <c r="F3646" s="1">
        <v>0.2</v>
      </c>
      <c r="G3646">
        <v>449</v>
      </c>
      <c r="H3646" s="22">
        <f>VLOOKUP(A3646,[1]Orders!$A$2:$B$1616,2,0)</f>
        <v>43060</v>
      </c>
      <c r="J3646" t="s">
        <v>36</v>
      </c>
      <c r="K3646" t="s">
        <v>18</v>
      </c>
    </row>
    <row r="3647" spans="1:11" x14ac:dyDescent="0.3">
      <c r="A3647">
        <v>1260</v>
      </c>
      <c r="B3647">
        <v>1</v>
      </c>
      <c r="C3647">
        <v>8</v>
      </c>
      <c r="D3647">
        <v>1</v>
      </c>
      <c r="E3647" s="1">
        <v>1799.99</v>
      </c>
      <c r="F3647" s="1">
        <v>0.1</v>
      </c>
      <c r="G3647">
        <v>1799.99</v>
      </c>
      <c r="H3647" s="22">
        <f>VLOOKUP(A3647,[1]Orders!$A$2:$B$1616,2,0)</f>
        <v>43061</v>
      </c>
      <c r="J3647" t="s">
        <v>12</v>
      </c>
      <c r="K3647" t="s">
        <v>18</v>
      </c>
    </row>
    <row r="3648" spans="1:11" x14ac:dyDescent="0.3">
      <c r="A3648">
        <v>1260</v>
      </c>
      <c r="B3648">
        <v>2</v>
      </c>
      <c r="C3648">
        <v>66</v>
      </c>
      <c r="D3648">
        <v>1</v>
      </c>
      <c r="E3648" s="1">
        <v>250.99</v>
      </c>
      <c r="F3648" s="1">
        <v>0.1</v>
      </c>
      <c r="G3648">
        <v>250.99</v>
      </c>
      <c r="H3648" s="22">
        <f>VLOOKUP(A3648,[1]Orders!$A$2:$B$1616,2,0)</f>
        <v>43061</v>
      </c>
      <c r="J3648" t="s">
        <v>92</v>
      </c>
      <c r="K3648" t="s">
        <v>18</v>
      </c>
    </row>
    <row r="3649" spans="1:11" x14ac:dyDescent="0.3">
      <c r="A3649">
        <v>1261</v>
      </c>
      <c r="B3649">
        <v>1</v>
      </c>
      <c r="C3649">
        <v>73</v>
      </c>
      <c r="D3649">
        <v>1</v>
      </c>
      <c r="E3649" s="1">
        <v>749.99</v>
      </c>
      <c r="F3649" s="1">
        <v>0.2</v>
      </c>
      <c r="G3649">
        <v>749.99</v>
      </c>
      <c r="H3649" s="22">
        <f>VLOOKUP(A3649,[1]Orders!$A$2:$B$1616,2,0)</f>
        <v>43062</v>
      </c>
      <c r="J3649" t="s">
        <v>43</v>
      </c>
      <c r="K3649" t="s">
        <v>18</v>
      </c>
    </row>
    <row r="3650" spans="1:11" x14ac:dyDescent="0.3">
      <c r="A3650">
        <v>1261</v>
      </c>
      <c r="B3650">
        <v>2</v>
      </c>
      <c r="C3650">
        <v>88</v>
      </c>
      <c r="D3650">
        <v>2</v>
      </c>
      <c r="E3650" s="1">
        <v>189.99</v>
      </c>
      <c r="F3650" s="1">
        <v>0.2</v>
      </c>
      <c r="G3650">
        <v>379.98</v>
      </c>
      <c r="H3650" s="22">
        <f>VLOOKUP(A3650,[1]Orders!$A$2:$B$1616,2,0)</f>
        <v>43062</v>
      </c>
      <c r="J3650" t="s">
        <v>64</v>
      </c>
      <c r="K3650" t="s">
        <v>18</v>
      </c>
    </row>
    <row r="3651" spans="1:11" x14ac:dyDescent="0.3">
      <c r="A3651">
        <v>1261</v>
      </c>
      <c r="B3651">
        <v>3</v>
      </c>
      <c r="C3651">
        <v>100</v>
      </c>
      <c r="D3651">
        <v>1</v>
      </c>
      <c r="E3651" s="1">
        <v>489.99</v>
      </c>
      <c r="F3651" s="1">
        <v>0.05</v>
      </c>
      <c r="G3651">
        <v>489.99</v>
      </c>
      <c r="H3651" s="22">
        <f>VLOOKUP(A3651,[1]Orders!$A$2:$B$1616,2,0)</f>
        <v>43062</v>
      </c>
      <c r="J3651" t="s">
        <v>105</v>
      </c>
      <c r="K3651" t="s">
        <v>18</v>
      </c>
    </row>
    <row r="3652" spans="1:11" x14ac:dyDescent="0.3">
      <c r="A3652">
        <v>1261</v>
      </c>
      <c r="B3652">
        <v>4</v>
      </c>
      <c r="C3652">
        <v>42</v>
      </c>
      <c r="D3652">
        <v>1</v>
      </c>
      <c r="E3652" s="1">
        <v>2299.9899999999998</v>
      </c>
      <c r="F3652" s="1">
        <v>0.1</v>
      </c>
      <c r="G3652">
        <v>2299.9899999999998</v>
      </c>
      <c r="H3652" s="22">
        <f>VLOOKUP(A3652,[1]Orders!$A$2:$B$1616,2,0)</f>
        <v>43062</v>
      </c>
      <c r="J3652" t="s">
        <v>53</v>
      </c>
      <c r="K3652" t="s">
        <v>18</v>
      </c>
    </row>
    <row r="3653" spans="1:11" x14ac:dyDescent="0.3">
      <c r="A3653">
        <v>1262</v>
      </c>
      <c r="B3653">
        <v>1</v>
      </c>
      <c r="C3653">
        <v>37</v>
      </c>
      <c r="D3653">
        <v>1</v>
      </c>
      <c r="E3653" s="1">
        <v>379.99</v>
      </c>
      <c r="F3653" s="1">
        <v>7.0000000000000007E-2</v>
      </c>
      <c r="G3653">
        <v>379.99</v>
      </c>
      <c r="H3653" s="22">
        <f>VLOOKUP(A3653,[1]Orders!$A$2:$B$1616,2,0)</f>
        <v>43062</v>
      </c>
      <c r="J3653" t="s">
        <v>98</v>
      </c>
      <c r="K3653" t="s">
        <v>18</v>
      </c>
    </row>
    <row r="3654" spans="1:11" x14ac:dyDescent="0.3">
      <c r="A3654">
        <v>1262</v>
      </c>
      <c r="B3654">
        <v>2</v>
      </c>
      <c r="C3654">
        <v>52</v>
      </c>
      <c r="D3654">
        <v>1</v>
      </c>
      <c r="E3654" s="1">
        <v>875.99</v>
      </c>
      <c r="F3654" s="1">
        <v>0.05</v>
      </c>
      <c r="G3654">
        <v>875.99</v>
      </c>
      <c r="H3654" s="22">
        <f>VLOOKUP(A3654,[1]Orders!$A$2:$B$1616,2,0)</f>
        <v>43062</v>
      </c>
      <c r="J3654" t="s">
        <v>68</v>
      </c>
      <c r="K3654" t="s">
        <v>18</v>
      </c>
    </row>
    <row r="3655" spans="1:11" x14ac:dyDescent="0.3">
      <c r="A3655">
        <v>1262</v>
      </c>
      <c r="B3655">
        <v>3</v>
      </c>
      <c r="C3655">
        <v>43</v>
      </c>
      <c r="D3655">
        <v>2</v>
      </c>
      <c r="E3655" s="1">
        <v>5299.99</v>
      </c>
      <c r="F3655" s="1">
        <v>7.0000000000000007E-2</v>
      </c>
      <c r="G3655">
        <v>10599.98</v>
      </c>
      <c r="H3655" s="22">
        <f>VLOOKUP(A3655,[1]Orders!$A$2:$B$1616,2,0)</f>
        <v>43062</v>
      </c>
      <c r="J3655" t="s">
        <v>62</v>
      </c>
      <c r="K3655" t="s">
        <v>18</v>
      </c>
    </row>
    <row r="3656" spans="1:11" x14ac:dyDescent="0.3">
      <c r="A3656">
        <v>1262</v>
      </c>
      <c r="B3656">
        <v>4</v>
      </c>
      <c r="C3656">
        <v>77</v>
      </c>
      <c r="D3656">
        <v>1</v>
      </c>
      <c r="E3656" s="1">
        <v>799.99</v>
      </c>
      <c r="F3656" s="1">
        <v>7.0000000000000007E-2</v>
      </c>
      <c r="G3656">
        <v>799.99</v>
      </c>
      <c r="H3656" s="22">
        <f>VLOOKUP(A3656,[1]Orders!$A$2:$B$1616,2,0)</f>
        <v>43062</v>
      </c>
      <c r="J3656" t="s">
        <v>113</v>
      </c>
      <c r="K3656" t="s">
        <v>18</v>
      </c>
    </row>
    <row r="3657" spans="1:11" x14ac:dyDescent="0.3">
      <c r="A3657">
        <v>1263</v>
      </c>
      <c r="B3657">
        <v>1</v>
      </c>
      <c r="C3657">
        <v>45</v>
      </c>
      <c r="D3657">
        <v>1</v>
      </c>
      <c r="E3657" s="1">
        <v>869.99</v>
      </c>
      <c r="F3657" s="1">
        <v>0.2</v>
      </c>
      <c r="G3657">
        <v>869.99</v>
      </c>
      <c r="H3657" s="22">
        <f>VLOOKUP(A3657,[1]Orders!$A$2:$B$1616,2,0)</f>
        <v>43062</v>
      </c>
      <c r="J3657" t="s">
        <v>88</v>
      </c>
      <c r="K3657" t="s">
        <v>18</v>
      </c>
    </row>
    <row r="3658" spans="1:11" x14ac:dyDescent="0.3">
      <c r="A3658">
        <v>1263</v>
      </c>
      <c r="B3658">
        <v>2</v>
      </c>
      <c r="C3658">
        <v>62</v>
      </c>
      <c r="D3658">
        <v>1</v>
      </c>
      <c r="E3658" s="1">
        <v>3499.99</v>
      </c>
      <c r="F3658" s="1">
        <v>0.05</v>
      </c>
      <c r="G3658">
        <v>3499.99</v>
      </c>
      <c r="H3658" s="22">
        <f>VLOOKUP(A3658,[1]Orders!$A$2:$B$1616,2,0)</f>
        <v>43062</v>
      </c>
      <c r="J3658" t="s">
        <v>50</v>
      </c>
      <c r="K3658" t="s">
        <v>18</v>
      </c>
    </row>
    <row r="3659" spans="1:11" x14ac:dyDescent="0.3">
      <c r="A3659">
        <v>1263</v>
      </c>
      <c r="B3659">
        <v>3</v>
      </c>
      <c r="C3659">
        <v>19</v>
      </c>
      <c r="D3659">
        <v>2</v>
      </c>
      <c r="E3659" s="1">
        <v>449</v>
      </c>
      <c r="F3659" s="1">
        <v>0.1</v>
      </c>
      <c r="G3659">
        <v>898</v>
      </c>
      <c r="H3659" s="22">
        <f>VLOOKUP(A3659,[1]Orders!$A$2:$B$1616,2,0)</f>
        <v>43062</v>
      </c>
      <c r="J3659" t="s">
        <v>36</v>
      </c>
      <c r="K3659" t="s">
        <v>18</v>
      </c>
    </row>
    <row r="3660" spans="1:11" x14ac:dyDescent="0.3">
      <c r="A3660">
        <v>1264</v>
      </c>
      <c r="B3660">
        <v>1</v>
      </c>
      <c r="C3660">
        <v>101</v>
      </c>
      <c r="D3660">
        <v>1</v>
      </c>
      <c r="E3660" s="1">
        <v>339.99</v>
      </c>
      <c r="F3660" s="1">
        <v>7.0000000000000007E-2</v>
      </c>
      <c r="G3660">
        <v>339.99</v>
      </c>
      <c r="H3660" s="22">
        <f>VLOOKUP(A3660,[1]Orders!$A$2:$B$1616,2,0)</f>
        <v>43063</v>
      </c>
      <c r="J3660" t="s">
        <v>80</v>
      </c>
      <c r="K3660" t="s">
        <v>18</v>
      </c>
    </row>
    <row r="3661" spans="1:11" x14ac:dyDescent="0.3">
      <c r="A3661">
        <v>1264</v>
      </c>
      <c r="B3661">
        <v>2</v>
      </c>
      <c r="C3661">
        <v>77</v>
      </c>
      <c r="D3661">
        <v>2</v>
      </c>
      <c r="E3661" s="1">
        <v>799.99</v>
      </c>
      <c r="F3661" s="1">
        <v>7.0000000000000007E-2</v>
      </c>
      <c r="G3661">
        <v>1599.98</v>
      </c>
      <c r="H3661" s="22">
        <f>VLOOKUP(A3661,[1]Orders!$A$2:$B$1616,2,0)</f>
        <v>43063</v>
      </c>
      <c r="J3661" t="s">
        <v>113</v>
      </c>
      <c r="K3661" t="s">
        <v>18</v>
      </c>
    </row>
    <row r="3662" spans="1:11" x14ac:dyDescent="0.3">
      <c r="A3662">
        <v>1264</v>
      </c>
      <c r="B3662">
        <v>3</v>
      </c>
      <c r="C3662">
        <v>29</v>
      </c>
      <c r="D3662">
        <v>2</v>
      </c>
      <c r="E3662" s="1">
        <v>999.99</v>
      </c>
      <c r="F3662" s="1">
        <v>0.2</v>
      </c>
      <c r="G3662">
        <v>1999.98</v>
      </c>
      <c r="H3662" s="22">
        <f>VLOOKUP(A3662,[1]Orders!$A$2:$B$1616,2,0)</f>
        <v>43063</v>
      </c>
      <c r="J3662" t="s">
        <v>71</v>
      </c>
      <c r="K3662" t="s">
        <v>18</v>
      </c>
    </row>
    <row r="3663" spans="1:11" x14ac:dyDescent="0.3">
      <c r="A3663">
        <v>1264</v>
      </c>
      <c r="B3663">
        <v>4</v>
      </c>
      <c r="C3663">
        <v>52</v>
      </c>
      <c r="D3663">
        <v>1</v>
      </c>
      <c r="E3663" s="1">
        <v>875.99</v>
      </c>
      <c r="F3663" s="1">
        <v>0.05</v>
      </c>
      <c r="G3663">
        <v>875.99</v>
      </c>
      <c r="H3663" s="22">
        <f>VLOOKUP(A3663,[1]Orders!$A$2:$B$1616,2,0)</f>
        <v>43063</v>
      </c>
      <c r="J3663" t="s">
        <v>68</v>
      </c>
      <c r="K3663" t="s">
        <v>18</v>
      </c>
    </row>
    <row r="3664" spans="1:11" x14ac:dyDescent="0.3">
      <c r="A3664">
        <v>1265</v>
      </c>
      <c r="B3664">
        <v>1</v>
      </c>
      <c r="C3664">
        <v>41</v>
      </c>
      <c r="D3664">
        <v>2</v>
      </c>
      <c r="E3664" s="1">
        <v>1469.99</v>
      </c>
      <c r="F3664" s="1">
        <v>0.1</v>
      </c>
      <c r="G3664">
        <v>2939.98</v>
      </c>
      <c r="H3664" s="22">
        <f>VLOOKUP(A3664,[1]Orders!$A$2:$B$1616,2,0)</f>
        <v>43063</v>
      </c>
      <c r="J3664" t="s">
        <v>77</v>
      </c>
      <c r="K3664" t="s">
        <v>18</v>
      </c>
    </row>
    <row r="3665" spans="1:11" x14ac:dyDescent="0.3">
      <c r="A3665">
        <v>1265</v>
      </c>
      <c r="B3665">
        <v>2</v>
      </c>
      <c r="C3665">
        <v>72</v>
      </c>
      <c r="D3665">
        <v>2</v>
      </c>
      <c r="E3665" s="1">
        <v>619.99</v>
      </c>
      <c r="F3665" s="1">
        <v>7.0000000000000007E-2</v>
      </c>
      <c r="G3665">
        <v>1239.98</v>
      </c>
      <c r="H3665" s="22">
        <f>VLOOKUP(A3665,[1]Orders!$A$2:$B$1616,2,0)</f>
        <v>43063</v>
      </c>
      <c r="J3665" t="s">
        <v>44</v>
      </c>
      <c r="K3665" t="s">
        <v>18</v>
      </c>
    </row>
    <row r="3666" spans="1:11" x14ac:dyDescent="0.3">
      <c r="A3666">
        <v>1266</v>
      </c>
      <c r="B3666">
        <v>1</v>
      </c>
      <c r="C3666">
        <v>90</v>
      </c>
      <c r="D3666">
        <v>1</v>
      </c>
      <c r="E3666" s="1">
        <v>209.99</v>
      </c>
      <c r="F3666" s="1">
        <v>0.2</v>
      </c>
      <c r="G3666">
        <v>209.99</v>
      </c>
      <c r="H3666" s="22">
        <f>VLOOKUP(A3666,[1]Orders!$A$2:$B$1616,2,0)</f>
        <v>43064</v>
      </c>
      <c r="J3666" t="s">
        <v>56</v>
      </c>
      <c r="K3666" t="s">
        <v>18</v>
      </c>
    </row>
    <row r="3667" spans="1:11" x14ac:dyDescent="0.3">
      <c r="A3667">
        <v>1266</v>
      </c>
      <c r="B3667">
        <v>2</v>
      </c>
      <c r="C3667">
        <v>48</v>
      </c>
      <c r="D3667">
        <v>1</v>
      </c>
      <c r="E3667" s="1">
        <v>1499.99</v>
      </c>
      <c r="F3667" s="1">
        <v>0.2</v>
      </c>
      <c r="G3667">
        <v>1499.99</v>
      </c>
      <c r="H3667" s="22">
        <f>VLOOKUP(A3667,[1]Orders!$A$2:$B$1616,2,0)</f>
        <v>43064</v>
      </c>
      <c r="J3667" t="s">
        <v>84</v>
      </c>
      <c r="K3667" t="s">
        <v>18</v>
      </c>
    </row>
    <row r="3668" spans="1:11" x14ac:dyDescent="0.3">
      <c r="A3668">
        <v>1267</v>
      </c>
      <c r="B3668">
        <v>1</v>
      </c>
      <c r="C3668">
        <v>45</v>
      </c>
      <c r="D3668">
        <v>1</v>
      </c>
      <c r="E3668" s="1">
        <v>869.99</v>
      </c>
      <c r="F3668" s="1">
        <v>0.1</v>
      </c>
      <c r="G3668">
        <v>869.99</v>
      </c>
      <c r="H3668" s="22">
        <f>VLOOKUP(A3668,[1]Orders!$A$2:$B$1616,2,0)</f>
        <v>43064</v>
      </c>
      <c r="J3668" t="s">
        <v>88</v>
      </c>
      <c r="K3668" t="s">
        <v>18</v>
      </c>
    </row>
    <row r="3669" spans="1:11" x14ac:dyDescent="0.3">
      <c r="A3669">
        <v>1267</v>
      </c>
      <c r="B3669">
        <v>2</v>
      </c>
      <c r="C3669">
        <v>27</v>
      </c>
      <c r="D3669">
        <v>1</v>
      </c>
      <c r="E3669" s="1">
        <v>999.99</v>
      </c>
      <c r="F3669" s="1">
        <v>7.0000000000000007E-2</v>
      </c>
      <c r="G3669">
        <v>999.99</v>
      </c>
      <c r="H3669" s="22">
        <f>VLOOKUP(A3669,[1]Orders!$A$2:$B$1616,2,0)</f>
        <v>43064</v>
      </c>
      <c r="J3669" t="s">
        <v>106</v>
      </c>
      <c r="K3669" t="s">
        <v>18</v>
      </c>
    </row>
    <row r="3670" spans="1:11" x14ac:dyDescent="0.3">
      <c r="A3670">
        <v>1267</v>
      </c>
      <c r="B3670">
        <v>3</v>
      </c>
      <c r="C3670">
        <v>108</v>
      </c>
      <c r="D3670">
        <v>1</v>
      </c>
      <c r="E3670" s="1">
        <v>449.99</v>
      </c>
      <c r="F3670" s="1">
        <v>0.2</v>
      </c>
      <c r="G3670">
        <v>449.99</v>
      </c>
      <c r="H3670" s="22">
        <f>VLOOKUP(A3670,[1]Orders!$A$2:$B$1616,2,0)</f>
        <v>43064</v>
      </c>
      <c r="J3670" t="s">
        <v>85</v>
      </c>
      <c r="K3670" t="s">
        <v>18</v>
      </c>
    </row>
    <row r="3671" spans="1:11" x14ac:dyDescent="0.3">
      <c r="A3671">
        <v>1267</v>
      </c>
      <c r="B3671">
        <v>4</v>
      </c>
      <c r="C3671">
        <v>95</v>
      </c>
      <c r="D3671">
        <v>1</v>
      </c>
      <c r="E3671" s="1">
        <v>299.99</v>
      </c>
      <c r="F3671" s="1">
        <v>0.05</v>
      </c>
      <c r="G3671">
        <v>299.99</v>
      </c>
      <c r="H3671" s="22">
        <f>VLOOKUP(A3671,[1]Orders!$A$2:$B$1616,2,0)</f>
        <v>43064</v>
      </c>
      <c r="J3671" t="s">
        <v>48</v>
      </c>
      <c r="K3671" t="s">
        <v>18</v>
      </c>
    </row>
    <row r="3672" spans="1:11" x14ac:dyDescent="0.3">
      <c r="A3672">
        <v>1268</v>
      </c>
      <c r="B3672">
        <v>1</v>
      </c>
      <c r="C3672">
        <v>68</v>
      </c>
      <c r="D3672">
        <v>2</v>
      </c>
      <c r="E3672" s="1">
        <v>449.99</v>
      </c>
      <c r="F3672" s="1">
        <v>7.0000000000000007E-2</v>
      </c>
      <c r="G3672">
        <v>899.98</v>
      </c>
      <c r="H3672" s="22">
        <f>VLOOKUP(A3672,[1]Orders!$A$2:$B$1616,2,0)</f>
        <v>43065</v>
      </c>
      <c r="J3672" t="s">
        <v>39</v>
      </c>
      <c r="K3672" t="s">
        <v>11</v>
      </c>
    </row>
    <row r="3673" spans="1:11" x14ac:dyDescent="0.3">
      <c r="A3673">
        <v>1268</v>
      </c>
      <c r="B3673">
        <v>2</v>
      </c>
      <c r="C3673">
        <v>87</v>
      </c>
      <c r="D3673">
        <v>2</v>
      </c>
      <c r="E3673" s="1">
        <v>189.99</v>
      </c>
      <c r="F3673" s="1">
        <v>7.0000000000000007E-2</v>
      </c>
      <c r="G3673">
        <v>379.98</v>
      </c>
      <c r="H3673" s="22">
        <f>VLOOKUP(A3673,[1]Orders!$A$2:$B$1616,2,0)</f>
        <v>43065</v>
      </c>
      <c r="J3673" t="s">
        <v>117</v>
      </c>
      <c r="K3673" t="s">
        <v>11</v>
      </c>
    </row>
    <row r="3674" spans="1:11" x14ac:dyDescent="0.3">
      <c r="A3674">
        <v>1268</v>
      </c>
      <c r="B3674">
        <v>3</v>
      </c>
      <c r="C3674">
        <v>59</v>
      </c>
      <c r="D3674">
        <v>2</v>
      </c>
      <c r="E3674" s="1">
        <v>2599.9899999999998</v>
      </c>
      <c r="F3674" s="1">
        <v>0.2</v>
      </c>
      <c r="G3674">
        <v>5199.9799999999996</v>
      </c>
      <c r="H3674" s="22">
        <f>VLOOKUP(A3674,[1]Orders!$A$2:$B$1616,2,0)</f>
        <v>43065</v>
      </c>
      <c r="J3674" t="s">
        <v>74</v>
      </c>
      <c r="K3674" t="s">
        <v>11</v>
      </c>
    </row>
    <row r="3675" spans="1:11" x14ac:dyDescent="0.3">
      <c r="A3675">
        <v>1268</v>
      </c>
      <c r="B3675">
        <v>4</v>
      </c>
      <c r="C3675">
        <v>100</v>
      </c>
      <c r="D3675">
        <v>1</v>
      </c>
      <c r="E3675" s="1">
        <v>489.99</v>
      </c>
      <c r="F3675" s="1">
        <v>7.0000000000000007E-2</v>
      </c>
      <c r="G3675">
        <v>489.99</v>
      </c>
      <c r="H3675" s="22">
        <f>VLOOKUP(A3675,[1]Orders!$A$2:$B$1616,2,0)</f>
        <v>43065</v>
      </c>
      <c r="J3675" t="s">
        <v>105</v>
      </c>
      <c r="K3675" t="s">
        <v>11</v>
      </c>
    </row>
    <row r="3676" spans="1:11" x14ac:dyDescent="0.3">
      <c r="A3676">
        <v>1269</v>
      </c>
      <c r="B3676">
        <v>1</v>
      </c>
      <c r="C3676">
        <v>4</v>
      </c>
      <c r="D3676">
        <v>2</v>
      </c>
      <c r="E3676" s="1">
        <v>2899.99</v>
      </c>
      <c r="F3676" s="1">
        <v>0.2</v>
      </c>
      <c r="G3676">
        <v>5799.98</v>
      </c>
      <c r="H3676" s="22">
        <f>VLOOKUP(A3676,[1]Orders!$A$2:$B$1616,2,0)</f>
        <v>43065</v>
      </c>
      <c r="J3676" t="s">
        <v>16</v>
      </c>
      <c r="K3676" t="s">
        <v>18</v>
      </c>
    </row>
    <row r="3677" spans="1:11" x14ac:dyDescent="0.3">
      <c r="A3677">
        <v>1269</v>
      </c>
      <c r="B3677">
        <v>2</v>
      </c>
      <c r="C3677">
        <v>7</v>
      </c>
      <c r="D3677">
        <v>1</v>
      </c>
      <c r="E3677" s="1">
        <v>3999.99</v>
      </c>
      <c r="F3677" s="1">
        <v>0.2</v>
      </c>
      <c r="G3677">
        <v>3999.99</v>
      </c>
      <c r="H3677" s="22">
        <f>VLOOKUP(A3677,[1]Orders!$A$2:$B$1616,2,0)</f>
        <v>43065</v>
      </c>
      <c r="J3677" t="s">
        <v>29</v>
      </c>
      <c r="K3677" t="s">
        <v>18</v>
      </c>
    </row>
    <row r="3678" spans="1:11" x14ac:dyDescent="0.3">
      <c r="A3678">
        <v>1269</v>
      </c>
      <c r="B3678">
        <v>3</v>
      </c>
      <c r="C3678">
        <v>111</v>
      </c>
      <c r="D3678">
        <v>1</v>
      </c>
      <c r="E3678" s="1">
        <v>470.99</v>
      </c>
      <c r="F3678" s="1">
        <v>0.1</v>
      </c>
      <c r="G3678">
        <v>470.99</v>
      </c>
      <c r="H3678" s="22">
        <f>VLOOKUP(A3678,[1]Orders!$A$2:$B$1616,2,0)</f>
        <v>43065</v>
      </c>
      <c r="J3678" t="s">
        <v>112</v>
      </c>
      <c r="K3678" t="s">
        <v>18</v>
      </c>
    </row>
    <row r="3679" spans="1:11" x14ac:dyDescent="0.3">
      <c r="A3679">
        <v>1270</v>
      </c>
      <c r="B3679">
        <v>1</v>
      </c>
      <c r="C3679">
        <v>54</v>
      </c>
      <c r="D3679">
        <v>1</v>
      </c>
      <c r="E3679" s="1">
        <v>3199.99</v>
      </c>
      <c r="F3679" s="1">
        <v>0.2</v>
      </c>
      <c r="G3679">
        <v>3199.99</v>
      </c>
      <c r="H3679" s="22">
        <f>VLOOKUP(A3679,[1]Orders!$A$2:$B$1616,2,0)</f>
        <v>43065</v>
      </c>
      <c r="J3679" t="s">
        <v>69</v>
      </c>
      <c r="K3679" t="s">
        <v>18</v>
      </c>
    </row>
    <row r="3680" spans="1:11" x14ac:dyDescent="0.3">
      <c r="A3680">
        <v>1271</v>
      </c>
      <c r="B3680">
        <v>1</v>
      </c>
      <c r="C3680">
        <v>25</v>
      </c>
      <c r="D3680">
        <v>2</v>
      </c>
      <c r="E3680" s="1">
        <v>499.99</v>
      </c>
      <c r="F3680" s="1">
        <v>0.1</v>
      </c>
      <c r="G3680">
        <v>999.98</v>
      </c>
      <c r="H3680" s="22">
        <f>VLOOKUP(A3680,[1]Orders!$A$2:$B$1616,2,0)</f>
        <v>43066</v>
      </c>
      <c r="J3680" t="s">
        <v>35</v>
      </c>
      <c r="K3680" t="s">
        <v>18</v>
      </c>
    </row>
    <row r="3681" spans="1:11" x14ac:dyDescent="0.3">
      <c r="A3681">
        <v>1271</v>
      </c>
      <c r="B3681">
        <v>2</v>
      </c>
      <c r="C3681">
        <v>50</v>
      </c>
      <c r="D3681">
        <v>2</v>
      </c>
      <c r="E3681" s="1">
        <v>5999.99</v>
      </c>
      <c r="F3681" s="1">
        <v>7.0000000000000007E-2</v>
      </c>
      <c r="G3681">
        <v>11999.98</v>
      </c>
      <c r="H3681" s="22">
        <f>VLOOKUP(A3681,[1]Orders!$A$2:$B$1616,2,0)</f>
        <v>43066</v>
      </c>
      <c r="J3681" t="s">
        <v>79</v>
      </c>
      <c r="K3681" t="s">
        <v>18</v>
      </c>
    </row>
    <row r="3682" spans="1:11" x14ac:dyDescent="0.3">
      <c r="A3682">
        <v>1271</v>
      </c>
      <c r="B3682">
        <v>3</v>
      </c>
      <c r="C3682">
        <v>87</v>
      </c>
      <c r="D3682">
        <v>2</v>
      </c>
      <c r="E3682" s="1">
        <v>189.99</v>
      </c>
      <c r="F3682" s="1">
        <v>7.0000000000000007E-2</v>
      </c>
      <c r="G3682">
        <v>379.98</v>
      </c>
      <c r="H3682" s="22">
        <f>VLOOKUP(A3682,[1]Orders!$A$2:$B$1616,2,0)</f>
        <v>43066</v>
      </c>
      <c r="J3682" t="s">
        <v>117</v>
      </c>
      <c r="K3682" t="s">
        <v>18</v>
      </c>
    </row>
    <row r="3683" spans="1:11" x14ac:dyDescent="0.3">
      <c r="A3683">
        <v>1271</v>
      </c>
      <c r="B3683">
        <v>4</v>
      </c>
      <c r="C3683">
        <v>32</v>
      </c>
      <c r="D3683">
        <v>2</v>
      </c>
      <c r="E3683" s="1">
        <v>469.99</v>
      </c>
      <c r="F3683" s="1">
        <v>7.0000000000000007E-2</v>
      </c>
      <c r="G3683">
        <v>939.98</v>
      </c>
      <c r="H3683" s="22">
        <f>VLOOKUP(A3683,[1]Orders!$A$2:$B$1616,2,0)</f>
        <v>43066</v>
      </c>
      <c r="J3683" t="s">
        <v>46</v>
      </c>
      <c r="K3683" t="s">
        <v>18</v>
      </c>
    </row>
    <row r="3684" spans="1:11" x14ac:dyDescent="0.3">
      <c r="A3684">
        <v>1272</v>
      </c>
      <c r="B3684">
        <v>1</v>
      </c>
      <c r="C3684">
        <v>16</v>
      </c>
      <c r="D3684">
        <v>2</v>
      </c>
      <c r="E3684" s="1">
        <v>599.99</v>
      </c>
      <c r="F3684" s="1">
        <v>0.2</v>
      </c>
      <c r="G3684">
        <v>1199.98</v>
      </c>
      <c r="H3684" s="22">
        <f>VLOOKUP(A3684,[1]Orders!$A$2:$B$1616,2,0)</f>
        <v>43066</v>
      </c>
      <c r="J3684" t="s">
        <v>14</v>
      </c>
      <c r="K3684" t="s">
        <v>18</v>
      </c>
    </row>
    <row r="3685" spans="1:11" x14ac:dyDescent="0.3">
      <c r="A3685">
        <v>1272</v>
      </c>
      <c r="B3685">
        <v>2</v>
      </c>
      <c r="C3685">
        <v>71</v>
      </c>
      <c r="D3685">
        <v>2</v>
      </c>
      <c r="E3685" s="1">
        <v>416.99</v>
      </c>
      <c r="F3685" s="1">
        <v>0.1</v>
      </c>
      <c r="G3685">
        <v>833.98</v>
      </c>
      <c r="H3685" s="22">
        <f>VLOOKUP(A3685,[1]Orders!$A$2:$B$1616,2,0)</f>
        <v>43066</v>
      </c>
      <c r="J3685" t="s">
        <v>78</v>
      </c>
      <c r="K3685" t="s">
        <v>18</v>
      </c>
    </row>
    <row r="3686" spans="1:11" x14ac:dyDescent="0.3">
      <c r="A3686">
        <v>1272</v>
      </c>
      <c r="B3686">
        <v>3</v>
      </c>
      <c r="C3686">
        <v>86</v>
      </c>
      <c r="D3686">
        <v>1</v>
      </c>
      <c r="E3686" s="1">
        <v>149.99</v>
      </c>
      <c r="F3686" s="1">
        <v>7.0000000000000007E-2</v>
      </c>
      <c r="G3686">
        <v>149.99</v>
      </c>
      <c r="H3686" s="22">
        <f>VLOOKUP(A3686,[1]Orders!$A$2:$B$1616,2,0)</f>
        <v>43066</v>
      </c>
      <c r="J3686" t="s">
        <v>115</v>
      </c>
      <c r="K3686" t="s">
        <v>18</v>
      </c>
    </row>
    <row r="3687" spans="1:11" x14ac:dyDescent="0.3">
      <c r="A3687">
        <v>1273</v>
      </c>
      <c r="B3687">
        <v>1</v>
      </c>
      <c r="C3687">
        <v>95</v>
      </c>
      <c r="D3687">
        <v>2</v>
      </c>
      <c r="E3687" s="1">
        <v>299.99</v>
      </c>
      <c r="F3687" s="1">
        <v>7.0000000000000007E-2</v>
      </c>
      <c r="G3687">
        <v>599.98</v>
      </c>
      <c r="H3687" s="22">
        <f>VLOOKUP(A3687,[1]Orders!$A$2:$B$1616,2,0)</f>
        <v>43066</v>
      </c>
      <c r="J3687" t="s">
        <v>48</v>
      </c>
      <c r="K3687" t="s">
        <v>18</v>
      </c>
    </row>
    <row r="3688" spans="1:11" x14ac:dyDescent="0.3">
      <c r="A3688">
        <v>1273</v>
      </c>
      <c r="B3688">
        <v>2</v>
      </c>
      <c r="C3688">
        <v>20</v>
      </c>
      <c r="D3688">
        <v>1</v>
      </c>
      <c r="E3688" s="1">
        <v>599.99</v>
      </c>
      <c r="F3688" s="1">
        <v>7.0000000000000007E-2</v>
      </c>
      <c r="G3688">
        <v>599.99</v>
      </c>
      <c r="H3688" s="22">
        <f>VLOOKUP(A3688,[1]Orders!$A$2:$B$1616,2,0)</f>
        <v>43066</v>
      </c>
      <c r="J3688" t="s">
        <v>10</v>
      </c>
      <c r="K3688" t="s">
        <v>18</v>
      </c>
    </row>
    <row r="3689" spans="1:11" x14ac:dyDescent="0.3">
      <c r="A3689">
        <v>1273</v>
      </c>
      <c r="B3689">
        <v>3</v>
      </c>
      <c r="C3689">
        <v>58</v>
      </c>
      <c r="D3689">
        <v>1</v>
      </c>
      <c r="E3689" s="1">
        <v>4999.99</v>
      </c>
      <c r="F3689" s="1">
        <v>0.2</v>
      </c>
      <c r="G3689">
        <v>4999.99</v>
      </c>
      <c r="H3689" s="22">
        <f>VLOOKUP(A3689,[1]Orders!$A$2:$B$1616,2,0)</f>
        <v>43066</v>
      </c>
      <c r="J3689" t="s">
        <v>81</v>
      </c>
      <c r="K3689" t="s">
        <v>18</v>
      </c>
    </row>
    <row r="3690" spans="1:11" x14ac:dyDescent="0.3">
      <c r="A3690">
        <v>1274</v>
      </c>
      <c r="B3690">
        <v>1</v>
      </c>
      <c r="C3690">
        <v>81</v>
      </c>
      <c r="D3690">
        <v>1</v>
      </c>
      <c r="E3690" s="1">
        <v>1099.99</v>
      </c>
      <c r="F3690" s="1">
        <v>0.1</v>
      </c>
      <c r="G3690">
        <v>1099.99</v>
      </c>
      <c r="H3690" s="22">
        <f>VLOOKUP(A3690,[1]Orders!$A$2:$B$1616,2,0)</f>
        <v>43067</v>
      </c>
      <c r="J3690" t="s">
        <v>99</v>
      </c>
      <c r="K3690" t="s">
        <v>18</v>
      </c>
    </row>
    <row r="3691" spans="1:11" x14ac:dyDescent="0.3">
      <c r="A3691">
        <v>1275</v>
      </c>
      <c r="B3691">
        <v>1</v>
      </c>
      <c r="C3691">
        <v>58</v>
      </c>
      <c r="D3691">
        <v>1</v>
      </c>
      <c r="E3691" s="1">
        <v>4999.99</v>
      </c>
      <c r="F3691" s="1">
        <v>7.0000000000000007E-2</v>
      </c>
      <c r="G3691">
        <v>4999.99</v>
      </c>
      <c r="H3691" s="22">
        <f>VLOOKUP(A3691,[1]Orders!$A$2:$B$1616,2,0)</f>
        <v>43068</v>
      </c>
      <c r="J3691" t="s">
        <v>81</v>
      </c>
      <c r="K3691" t="s">
        <v>11</v>
      </c>
    </row>
    <row r="3692" spans="1:11" x14ac:dyDescent="0.3">
      <c r="A3692">
        <v>1275</v>
      </c>
      <c r="B3692">
        <v>2</v>
      </c>
      <c r="C3692">
        <v>30</v>
      </c>
      <c r="D3692">
        <v>1</v>
      </c>
      <c r="E3692" s="1">
        <v>999.99</v>
      </c>
      <c r="F3692" s="1">
        <v>0.1</v>
      </c>
      <c r="G3692">
        <v>999.99</v>
      </c>
      <c r="H3692" s="22">
        <f>VLOOKUP(A3692,[1]Orders!$A$2:$B$1616,2,0)</f>
        <v>43068</v>
      </c>
      <c r="J3692" t="s">
        <v>47</v>
      </c>
      <c r="K3692" t="s">
        <v>11</v>
      </c>
    </row>
    <row r="3693" spans="1:11" x14ac:dyDescent="0.3">
      <c r="A3693">
        <v>1276</v>
      </c>
      <c r="B3693">
        <v>1</v>
      </c>
      <c r="C3693">
        <v>18</v>
      </c>
      <c r="D3693">
        <v>2</v>
      </c>
      <c r="E3693" s="1">
        <v>449</v>
      </c>
      <c r="F3693" s="1">
        <v>0.2</v>
      </c>
      <c r="G3693">
        <v>898</v>
      </c>
      <c r="H3693" s="22">
        <f>VLOOKUP(A3693,[1]Orders!$A$2:$B$1616,2,0)</f>
        <v>43069</v>
      </c>
      <c r="J3693" t="s">
        <v>24</v>
      </c>
      <c r="K3693" t="s">
        <v>18</v>
      </c>
    </row>
    <row r="3694" spans="1:11" x14ac:dyDescent="0.3">
      <c r="A3694">
        <v>1276</v>
      </c>
      <c r="B3694">
        <v>2</v>
      </c>
      <c r="C3694">
        <v>58</v>
      </c>
      <c r="D3694">
        <v>1</v>
      </c>
      <c r="E3694" s="1">
        <v>4999.99</v>
      </c>
      <c r="F3694" s="1">
        <v>0.2</v>
      </c>
      <c r="G3694">
        <v>4999.99</v>
      </c>
      <c r="H3694" s="22">
        <f>VLOOKUP(A3694,[1]Orders!$A$2:$B$1616,2,0)</f>
        <v>43069</v>
      </c>
      <c r="J3694" t="s">
        <v>81</v>
      </c>
      <c r="K3694" t="s">
        <v>18</v>
      </c>
    </row>
    <row r="3695" spans="1:11" x14ac:dyDescent="0.3">
      <c r="A3695">
        <v>1276</v>
      </c>
      <c r="B3695">
        <v>3</v>
      </c>
      <c r="C3695">
        <v>42</v>
      </c>
      <c r="D3695">
        <v>1</v>
      </c>
      <c r="E3695" s="1">
        <v>2299.9899999999998</v>
      </c>
      <c r="F3695" s="1">
        <v>0.05</v>
      </c>
      <c r="G3695">
        <v>2299.9899999999998</v>
      </c>
      <c r="H3695" s="22">
        <f>VLOOKUP(A3695,[1]Orders!$A$2:$B$1616,2,0)</f>
        <v>43069</v>
      </c>
      <c r="J3695" t="s">
        <v>53</v>
      </c>
      <c r="K3695" t="s">
        <v>18</v>
      </c>
    </row>
    <row r="3696" spans="1:11" x14ac:dyDescent="0.3">
      <c r="A3696">
        <v>1276</v>
      </c>
      <c r="B3696">
        <v>4</v>
      </c>
      <c r="C3696">
        <v>24</v>
      </c>
      <c r="D3696">
        <v>2</v>
      </c>
      <c r="E3696" s="1">
        <v>549.99</v>
      </c>
      <c r="F3696" s="1">
        <v>0.2</v>
      </c>
      <c r="G3696">
        <v>1099.98</v>
      </c>
      <c r="H3696" s="22">
        <f>VLOOKUP(A3696,[1]Orders!$A$2:$B$1616,2,0)</f>
        <v>43069</v>
      </c>
      <c r="J3696" t="s">
        <v>25</v>
      </c>
      <c r="K3696" t="s">
        <v>18</v>
      </c>
    </row>
    <row r="3697" spans="1:11" x14ac:dyDescent="0.3">
      <c r="A3697">
        <v>1276</v>
      </c>
      <c r="B3697">
        <v>5</v>
      </c>
      <c r="C3697">
        <v>78</v>
      </c>
      <c r="D3697">
        <v>2</v>
      </c>
      <c r="E3697" s="1">
        <v>647.99</v>
      </c>
      <c r="F3697" s="1">
        <v>0.2</v>
      </c>
      <c r="G3697">
        <v>1295.98</v>
      </c>
      <c r="H3697" s="22">
        <f>VLOOKUP(A3697,[1]Orders!$A$2:$B$1616,2,0)</f>
        <v>43069</v>
      </c>
      <c r="J3697" t="s">
        <v>57</v>
      </c>
      <c r="K3697" t="s">
        <v>18</v>
      </c>
    </row>
    <row r="3698" spans="1:11" x14ac:dyDescent="0.3">
      <c r="A3698">
        <v>1277</v>
      </c>
      <c r="B3698">
        <v>1</v>
      </c>
      <c r="C3698">
        <v>56</v>
      </c>
      <c r="D3698">
        <v>2</v>
      </c>
      <c r="E3698" s="1">
        <v>5499.99</v>
      </c>
      <c r="F3698" s="1">
        <v>0.2</v>
      </c>
      <c r="G3698">
        <v>10999.98</v>
      </c>
      <c r="H3698" s="22">
        <f>VLOOKUP(A3698,[1]Orders!$A$2:$B$1616,2,0)</f>
        <v>43070</v>
      </c>
      <c r="J3698" t="s">
        <v>41</v>
      </c>
      <c r="K3698" t="s">
        <v>18</v>
      </c>
    </row>
    <row r="3699" spans="1:11" x14ac:dyDescent="0.3">
      <c r="A3699">
        <v>1277</v>
      </c>
      <c r="B3699">
        <v>2</v>
      </c>
      <c r="C3699">
        <v>93</v>
      </c>
      <c r="D3699">
        <v>2</v>
      </c>
      <c r="E3699" s="1">
        <v>209.99</v>
      </c>
      <c r="F3699" s="1">
        <v>0.05</v>
      </c>
      <c r="G3699">
        <v>419.98</v>
      </c>
      <c r="H3699" s="22">
        <f>VLOOKUP(A3699,[1]Orders!$A$2:$B$1616,2,0)</f>
        <v>43070</v>
      </c>
      <c r="J3699" t="s">
        <v>110</v>
      </c>
      <c r="K3699" t="s">
        <v>18</v>
      </c>
    </row>
    <row r="3700" spans="1:11" x14ac:dyDescent="0.3">
      <c r="A3700">
        <v>1277</v>
      </c>
      <c r="B3700">
        <v>3</v>
      </c>
      <c r="C3700">
        <v>9</v>
      </c>
      <c r="D3700">
        <v>2</v>
      </c>
      <c r="E3700" s="1">
        <v>2999.99</v>
      </c>
      <c r="F3700" s="1">
        <v>0.1</v>
      </c>
      <c r="G3700">
        <v>5999.98</v>
      </c>
      <c r="H3700" s="22">
        <f>VLOOKUP(A3700,[1]Orders!$A$2:$B$1616,2,0)</f>
        <v>43070</v>
      </c>
      <c r="J3700" t="s">
        <v>26</v>
      </c>
      <c r="K3700" t="s">
        <v>18</v>
      </c>
    </row>
    <row r="3701" spans="1:11" x14ac:dyDescent="0.3">
      <c r="A3701">
        <v>1277</v>
      </c>
      <c r="B3701">
        <v>4</v>
      </c>
      <c r="C3701">
        <v>4</v>
      </c>
      <c r="D3701">
        <v>1</v>
      </c>
      <c r="E3701" s="1">
        <v>2899.99</v>
      </c>
      <c r="F3701" s="1">
        <v>0.1</v>
      </c>
      <c r="G3701">
        <v>2899.99</v>
      </c>
      <c r="H3701" s="22">
        <f>VLOOKUP(A3701,[1]Orders!$A$2:$B$1616,2,0)</f>
        <v>43070</v>
      </c>
      <c r="J3701" t="s">
        <v>16</v>
      </c>
      <c r="K3701" t="s">
        <v>18</v>
      </c>
    </row>
    <row r="3702" spans="1:11" x14ac:dyDescent="0.3">
      <c r="A3702">
        <v>1277</v>
      </c>
      <c r="B3702">
        <v>5</v>
      </c>
      <c r="C3702">
        <v>11</v>
      </c>
      <c r="D3702">
        <v>1</v>
      </c>
      <c r="E3702" s="1">
        <v>1680.99</v>
      </c>
      <c r="F3702" s="1">
        <v>0.2</v>
      </c>
      <c r="G3702">
        <v>1680.99</v>
      </c>
      <c r="H3702" s="22">
        <f>VLOOKUP(A3702,[1]Orders!$A$2:$B$1616,2,0)</f>
        <v>43070</v>
      </c>
      <c r="J3702" t="s">
        <v>30</v>
      </c>
      <c r="K3702" t="s">
        <v>18</v>
      </c>
    </row>
    <row r="3703" spans="1:11" x14ac:dyDescent="0.3">
      <c r="A3703">
        <v>1278</v>
      </c>
      <c r="B3703">
        <v>1</v>
      </c>
      <c r="C3703">
        <v>103</v>
      </c>
      <c r="D3703">
        <v>2</v>
      </c>
      <c r="E3703" s="1">
        <v>551.99</v>
      </c>
      <c r="F3703" s="1">
        <v>0.1</v>
      </c>
      <c r="G3703">
        <v>1103.98</v>
      </c>
      <c r="H3703" s="22">
        <f>VLOOKUP(A3703,[1]Orders!$A$2:$B$1616,2,0)</f>
        <v>43070</v>
      </c>
      <c r="J3703" t="s">
        <v>40</v>
      </c>
      <c r="K3703" t="s">
        <v>18</v>
      </c>
    </row>
    <row r="3704" spans="1:11" x14ac:dyDescent="0.3">
      <c r="A3704">
        <v>1278</v>
      </c>
      <c r="B3704">
        <v>2</v>
      </c>
      <c r="C3704">
        <v>32</v>
      </c>
      <c r="D3704">
        <v>1</v>
      </c>
      <c r="E3704" s="1">
        <v>469.99</v>
      </c>
      <c r="F3704" s="1">
        <v>0.1</v>
      </c>
      <c r="G3704">
        <v>469.99</v>
      </c>
      <c r="H3704" s="22">
        <f>VLOOKUP(A3704,[1]Orders!$A$2:$B$1616,2,0)</f>
        <v>43070</v>
      </c>
      <c r="J3704" t="s">
        <v>46</v>
      </c>
      <c r="K3704" t="s">
        <v>18</v>
      </c>
    </row>
    <row r="3705" spans="1:11" x14ac:dyDescent="0.3">
      <c r="A3705">
        <v>1279</v>
      </c>
      <c r="B3705">
        <v>1</v>
      </c>
      <c r="C3705">
        <v>9</v>
      </c>
      <c r="D3705">
        <v>2</v>
      </c>
      <c r="E3705" s="1">
        <v>2999.99</v>
      </c>
      <c r="F3705" s="1">
        <v>0.05</v>
      </c>
      <c r="G3705">
        <v>5999.98</v>
      </c>
      <c r="H3705" s="22">
        <f>VLOOKUP(A3705,[1]Orders!$A$2:$B$1616,2,0)</f>
        <v>43070</v>
      </c>
      <c r="J3705" t="s">
        <v>26</v>
      </c>
      <c r="K3705" t="s">
        <v>18</v>
      </c>
    </row>
    <row r="3706" spans="1:11" x14ac:dyDescent="0.3">
      <c r="A3706">
        <v>1280</v>
      </c>
      <c r="B3706">
        <v>1</v>
      </c>
      <c r="C3706">
        <v>72</v>
      </c>
      <c r="D3706">
        <v>2</v>
      </c>
      <c r="E3706" s="1">
        <v>619.99</v>
      </c>
      <c r="F3706" s="1">
        <v>7.0000000000000007E-2</v>
      </c>
      <c r="G3706">
        <v>1239.98</v>
      </c>
      <c r="H3706" s="22">
        <f>VLOOKUP(A3706,[1]Orders!$A$2:$B$1616,2,0)</f>
        <v>43070</v>
      </c>
      <c r="J3706" t="s">
        <v>44</v>
      </c>
      <c r="K3706" t="s">
        <v>37</v>
      </c>
    </row>
    <row r="3707" spans="1:11" x14ac:dyDescent="0.3">
      <c r="A3707">
        <v>1280</v>
      </c>
      <c r="B3707">
        <v>2</v>
      </c>
      <c r="C3707">
        <v>74</v>
      </c>
      <c r="D3707">
        <v>1</v>
      </c>
      <c r="E3707" s="1">
        <v>439.99</v>
      </c>
      <c r="F3707" s="1">
        <v>0.05</v>
      </c>
      <c r="G3707">
        <v>439.99</v>
      </c>
      <c r="H3707" s="22">
        <f>VLOOKUP(A3707,[1]Orders!$A$2:$B$1616,2,0)</f>
        <v>43070</v>
      </c>
      <c r="J3707" t="s">
        <v>61</v>
      </c>
      <c r="K3707" t="s">
        <v>37</v>
      </c>
    </row>
    <row r="3708" spans="1:11" x14ac:dyDescent="0.3">
      <c r="A3708">
        <v>1280</v>
      </c>
      <c r="B3708">
        <v>3</v>
      </c>
      <c r="C3708">
        <v>52</v>
      </c>
      <c r="D3708">
        <v>1</v>
      </c>
      <c r="E3708" s="1">
        <v>875.99</v>
      </c>
      <c r="F3708" s="1">
        <v>7.0000000000000007E-2</v>
      </c>
      <c r="G3708">
        <v>875.99</v>
      </c>
      <c r="H3708" s="22">
        <f>VLOOKUP(A3708,[1]Orders!$A$2:$B$1616,2,0)</f>
        <v>43070</v>
      </c>
      <c r="J3708" t="s">
        <v>68</v>
      </c>
      <c r="K3708" t="s">
        <v>37</v>
      </c>
    </row>
    <row r="3709" spans="1:11" x14ac:dyDescent="0.3">
      <c r="A3709">
        <v>1280</v>
      </c>
      <c r="B3709">
        <v>4</v>
      </c>
      <c r="C3709">
        <v>63</v>
      </c>
      <c r="D3709">
        <v>1</v>
      </c>
      <c r="E3709" s="1">
        <v>3499.99</v>
      </c>
      <c r="F3709" s="1">
        <v>0.2</v>
      </c>
      <c r="G3709">
        <v>3499.99</v>
      </c>
      <c r="H3709" s="22">
        <f>VLOOKUP(A3709,[1]Orders!$A$2:$B$1616,2,0)</f>
        <v>43070</v>
      </c>
      <c r="J3709" t="s">
        <v>75</v>
      </c>
      <c r="K3709" t="s">
        <v>37</v>
      </c>
    </row>
    <row r="3710" spans="1:11" x14ac:dyDescent="0.3">
      <c r="A3710">
        <v>1281</v>
      </c>
      <c r="B3710">
        <v>1</v>
      </c>
      <c r="C3710">
        <v>36</v>
      </c>
      <c r="D3710">
        <v>1</v>
      </c>
      <c r="E3710" s="1">
        <v>832.99</v>
      </c>
      <c r="F3710" s="1">
        <v>0.05</v>
      </c>
      <c r="G3710">
        <v>832.99</v>
      </c>
      <c r="H3710" s="22">
        <f>VLOOKUP(A3710,[1]Orders!$A$2:$B$1616,2,0)</f>
        <v>43071</v>
      </c>
      <c r="J3710" t="s">
        <v>116</v>
      </c>
      <c r="K3710" t="s">
        <v>18</v>
      </c>
    </row>
    <row r="3711" spans="1:11" x14ac:dyDescent="0.3">
      <c r="A3711">
        <v>1281</v>
      </c>
      <c r="B3711">
        <v>2</v>
      </c>
      <c r="C3711">
        <v>49</v>
      </c>
      <c r="D3711">
        <v>2</v>
      </c>
      <c r="E3711" s="1">
        <v>3499.99</v>
      </c>
      <c r="F3711" s="1">
        <v>0.05</v>
      </c>
      <c r="G3711">
        <v>6999.98</v>
      </c>
      <c r="H3711" s="22">
        <f>VLOOKUP(A3711,[1]Orders!$A$2:$B$1616,2,0)</f>
        <v>43071</v>
      </c>
      <c r="J3711" t="s">
        <v>70</v>
      </c>
      <c r="K3711" t="s">
        <v>18</v>
      </c>
    </row>
    <row r="3712" spans="1:11" x14ac:dyDescent="0.3">
      <c r="A3712">
        <v>1281</v>
      </c>
      <c r="B3712">
        <v>3</v>
      </c>
      <c r="C3712">
        <v>75</v>
      </c>
      <c r="D3712">
        <v>1</v>
      </c>
      <c r="E3712" s="1">
        <v>599.99</v>
      </c>
      <c r="F3712" s="1">
        <v>0.05</v>
      </c>
      <c r="G3712">
        <v>599.99</v>
      </c>
      <c r="H3712" s="22">
        <f>VLOOKUP(A3712,[1]Orders!$A$2:$B$1616,2,0)</f>
        <v>43071</v>
      </c>
      <c r="J3712" t="s">
        <v>95</v>
      </c>
      <c r="K3712" t="s">
        <v>18</v>
      </c>
    </row>
    <row r="3713" spans="1:11" x14ac:dyDescent="0.3">
      <c r="A3713">
        <v>1282</v>
      </c>
      <c r="B3713">
        <v>1</v>
      </c>
      <c r="C3713">
        <v>111</v>
      </c>
      <c r="D3713">
        <v>1</v>
      </c>
      <c r="E3713" s="1">
        <v>470.99</v>
      </c>
      <c r="F3713" s="1">
        <v>0.05</v>
      </c>
      <c r="G3713">
        <v>470.99</v>
      </c>
      <c r="H3713" s="22">
        <f>VLOOKUP(A3713,[1]Orders!$A$2:$B$1616,2,0)</f>
        <v>43072</v>
      </c>
      <c r="J3713" t="s">
        <v>112</v>
      </c>
      <c r="K3713" t="s">
        <v>18</v>
      </c>
    </row>
    <row r="3714" spans="1:11" x14ac:dyDescent="0.3">
      <c r="A3714">
        <v>1282</v>
      </c>
      <c r="B3714">
        <v>2</v>
      </c>
      <c r="C3714">
        <v>50</v>
      </c>
      <c r="D3714">
        <v>2</v>
      </c>
      <c r="E3714" s="1">
        <v>5999.99</v>
      </c>
      <c r="F3714" s="1">
        <v>0.2</v>
      </c>
      <c r="G3714">
        <v>11999.98</v>
      </c>
      <c r="H3714" s="22">
        <f>VLOOKUP(A3714,[1]Orders!$A$2:$B$1616,2,0)</f>
        <v>43072</v>
      </c>
      <c r="J3714" t="s">
        <v>79</v>
      </c>
      <c r="K3714" t="s">
        <v>18</v>
      </c>
    </row>
    <row r="3715" spans="1:11" x14ac:dyDescent="0.3">
      <c r="A3715">
        <v>1283</v>
      </c>
      <c r="B3715">
        <v>1</v>
      </c>
      <c r="C3715">
        <v>61</v>
      </c>
      <c r="D3715">
        <v>2</v>
      </c>
      <c r="E3715" s="1">
        <v>4999.99</v>
      </c>
      <c r="F3715" s="1">
        <v>0.05</v>
      </c>
      <c r="G3715">
        <v>9999.98</v>
      </c>
      <c r="H3715" s="22">
        <f>VLOOKUP(A3715,[1]Orders!$A$2:$B$1616,2,0)</f>
        <v>43073</v>
      </c>
      <c r="J3715" t="s">
        <v>45</v>
      </c>
      <c r="K3715" t="s">
        <v>18</v>
      </c>
    </row>
    <row r="3716" spans="1:11" x14ac:dyDescent="0.3">
      <c r="A3716">
        <v>1283</v>
      </c>
      <c r="B3716">
        <v>2</v>
      </c>
      <c r="C3716">
        <v>81</v>
      </c>
      <c r="D3716">
        <v>1</v>
      </c>
      <c r="E3716" s="1">
        <v>1099.99</v>
      </c>
      <c r="F3716" s="1">
        <v>0.2</v>
      </c>
      <c r="G3716">
        <v>1099.99</v>
      </c>
      <c r="H3716" s="22">
        <f>VLOOKUP(A3716,[1]Orders!$A$2:$B$1616,2,0)</f>
        <v>43073</v>
      </c>
      <c r="J3716" t="s">
        <v>99</v>
      </c>
      <c r="K3716" t="s">
        <v>18</v>
      </c>
    </row>
    <row r="3717" spans="1:11" x14ac:dyDescent="0.3">
      <c r="A3717">
        <v>1283</v>
      </c>
      <c r="B3717">
        <v>3</v>
      </c>
      <c r="C3717">
        <v>7</v>
      </c>
      <c r="D3717">
        <v>1</v>
      </c>
      <c r="E3717" s="1">
        <v>3999.99</v>
      </c>
      <c r="F3717" s="1">
        <v>0.1</v>
      </c>
      <c r="G3717">
        <v>3999.99</v>
      </c>
      <c r="H3717" s="22">
        <f>VLOOKUP(A3717,[1]Orders!$A$2:$B$1616,2,0)</f>
        <v>43073</v>
      </c>
      <c r="J3717" t="s">
        <v>29</v>
      </c>
      <c r="K3717" t="s">
        <v>18</v>
      </c>
    </row>
    <row r="3718" spans="1:11" x14ac:dyDescent="0.3">
      <c r="A3718">
        <v>1283</v>
      </c>
      <c r="B3718">
        <v>4</v>
      </c>
      <c r="C3718">
        <v>32</v>
      </c>
      <c r="D3718">
        <v>1</v>
      </c>
      <c r="E3718" s="1">
        <v>469.99</v>
      </c>
      <c r="F3718" s="1">
        <v>0.1</v>
      </c>
      <c r="G3718">
        <v>469.99</v>
      </c>
      <c r="H3718" s="22">
        <f>VLOOKUP(A3718,[1]Orders!$A$2:$B$1616,2,0)</f>
        <v>43073</v>
      </c>
      <c r="J3718" t="s">
        <v>46</v>
      </c>
      <c r="K3718" t="s">
        <v>18</v>
      </c>
    </row>
    <row r="3719" spans="1:11" x14ac:dyDescent="0.3">
      <c r="A3719">
        <v>1283</v>
      </c>
      <c r="B3719">
        <v>5</v>
      </c>
      <c r="C3719">
        <v>11</v>
      </c>
      <c r="D3719">
        <v>1</v>
      </c>
      <c r="E3719" s="1">
        <v>1680.99</v>
      </c>
      <c r="F3719" s="1">
        <v>0.2</v>
      </c>
      <c r="G3719">
        <v>1680.99</v>
      </c>
      <c r="H3719" s="22">
        <f>VLOOKUP(A3719,[1]Orders!$A$2:$B$1616,2,0)</f>
        <v>43073</v>
      </c>
      <c r="J3719" t="s">
        <v>30</v>
      </c>
      <c r="K3719" t="s">
        <v>18</v>
      </c>
    </row>
    <row r="3720" spans="1:11" x14ac:dyDescent="0.3">
      <c r="A3720">
        <v>1284</v>
      </c>
      <c r="B3720">
        <v>1</v>
      </c>
      <c r="C3720">
        <v>101</v>
      </c>
      <c r="D3720">
        <v>1</v>
      </c>
      <c r="E3720" s="1">
        <v>339.99</v>
      </c>
      <c r="F3720" s="1">
        <v>7.0000000000000007E-2</v>
      </c>
      <c r="G3720">
        <v>339.99</v>
      </c>
      <c r="H3720" s="22">
        <f>VLOOKUP(A3720,[1]Orders!$A$2:$B$1616,2,0)</f>
        <v>43073</v>
      </c>
      <c r="J3720" t="s">
        <v>80</v>
      </c>
      <c r="K3720" t="s">
        <v>18</v>
      </c>
    </row>
    <row r="3721" spans="1:11" x14ac:dyDescent="0.3">
      <c r="A3721">
        <v>1284</v>
      </c>
      <c r="B3721">
        <v>2</v>
      </c>
      <c r="C3721">
        <v>8</v>
      </c>
      <c r="D3721">
        <v>1</v>
      </c>
      <c r="E3721" s="1">
        <v>1799.99</v>
      </c>
      <c r="F3721" s="1">
        <v>0.05</v>
      </c>
      <c r="G3721">
        <v>1799.99</v>
      </c>
      <c r="H3721" s="22">
        <f>VLOOKUP(A3721,[1]Orders!$A$2:$B$1616,2,0)</f>
        <v>43073</v>
      </c>
      <c r="J3721" t="s">
        <v>12</v>
      </c>
      <c r="K3721" t="s">
        <v>18</v>
      </c>
    </row>
    <row r="3722" spans="1:11" x14ac:dyDescent="0.3">
      <c r="A3722">
        <v>1284</v>
      </c>
      <c r="B3722">
        <v>3</v>
      </c>
      <c r="C3722">
        <v>4</v>
      </c>
      <c r="D3722">
        <v>2</v>
      </c>
      <c r="E3722" s="1">
        <v>2899.99</v>
      </c>
      <c r="F3722" s="1">
        <v>0.05</v>
      </c>
      <c r="G3722">
        <v>5799.98</v>
      </c>
      <c r="H3722" s="22">
        <f>VLOOKUP(A3722,[1]Orders!$A$2:$B$1616,2,0)</f>
        <v>43073</v>
      </c>
      <c r="J3722" t="s">
        <v>16</v>
      </c>
      <c r="K3722" t="s">
        <v>18</v>
      </c>
    </row>
    <row r="3723" spans="1:11" x14ac:dyDescent="0.3">
      <c r="A3723">
        <v>1285</v>
      </c>
      <c r="B3723">
        <v>1</v>
      </c>
      <c r="C3723">
        <v>78</v>
      </c>
      <c r="D3723">
        <v>2</v>
      </c>
      <c r="E3723" s="1">
        <v>647.99</v>
      </c>
      <c r="F3723" s="1">
        <v>7.0000000000000007E-2</v>
      </c>
      <c r="G3723">
        <v>1295.98</v>
      </c>
      <c r="H3723" s="22">
        <f>VLOOKUP(A3723,[1]Orders!$A$2:$B$1616,2,0)</f>
        <v>43073</v>
      </c>
      <c r="J3723" t="s">
        <v>57</v>
      </c>
      <c r="K3723" t="s">
        <v>18</v>
      </c>
    </row>
    <row r="3724" spans="1:11" x14ac:dyDescent="0.3">
      <c r="A3724">
        <v>1285</v>
      </c>
      <c r="B3724">
        <v>2</v>
      </c>
      <c r="C3724">
        <v>93</v>
      </c>
      <c r="D3724">
        <v>1</v>
      </c>
      <c r="E3724" s="1">
        <v>209.99</v>
      </c>
      <c r="F3724" s="1">
        <v>0.1</v>
      </c>
      <c r="G3724">
        <v>209.99</v>
      </c>
      <c r="H3724" s="22">
        <f>VLOOKUP(A3724,[1]Orders!$A$2:$B$1616,2,0)</f>
        <v>43073</v>
      </c>
      <c r="J3724" t="s">
        <v>110</v>
      </c>
      <c r="K3724" t="s">
        <v>18</v>
      </c>
    </row>
    <row r="3725" spans="1:11" x14ac:dyDescent="0.3">
      <c r="A3725">
        <v>1285</v>
      </c>
      <c r="B3725">
        <v>3</v>
      </c>
      <c r="C3725">
        <v>69</v>
      </c>
      <c r="D3725">
        <v>2</v>
      </c>
      <c r="E3725" s="1">
        <v>416.99</v>
      </c>
      <c r="F3725" s="1">
        <v>0.2</v>
      </c>
      <c r="G3725">
        <v>833.98</v>
      </c>
      <c r="H3725" s="22">
        <f>VLOOKUP(A3725,[1]Orders!$A$2:$B$1616,2,0)</f>
        <v>43073</v>
      </c>
      <c r="J3725" t="s">
        <v>89</v>
      </c>
      <c r="K3725" t="s">
        <v>18</v>
      </c>
    </row>
    <row r="3726" spans="1:11" x14ac:dyDescent="0.3">
      <c r="A3726">
        <v>1285</v>
      </c>
      <c r="B3726">
        <v>4</v>
      </c>
      <c r="C3726">
        <v>6</v>
      </c>
      <c r="D3726">
        <v>1</v>
      </c>
      <c r="E3726" s="1">
        <v>469.99</v>
      </c>
      <c r="F3726" s="1">
        <v>0.1</v>
      </c>
      <c r="G3726">
        <v>469.99</v>
      </c>
      <c r="H3726" s="22">
        <f>VLOOKUP(A3726,[1]Orders!$A$2:$B$1616,2,0)</f>
        <v>43073</v>
      </c>
      <c r="J3726" t="s">
        <v>32</v>
      </c>
      <c r="K3726" t="s">
        <v>18</v>
      </c>
    </row>
    <row r="3727" spans="1:11" x14ac:dyDescent="0.3">
      <c r="A3727">
        <v>1286</v>
      </c>
      <c r="B3727">
        <v>1</v>
      </c>
      <c r="C3727">
        <v>109</v>
      </c>
      <c r="D3727">
        <v>2</v>
      </c>
      <c r="E3727" s="1">
        <v>416.99</v>
      </c>
      <c r="F3727" s="1">
        <v>0.2</v>
      </c>
      <c r="G3727">
        <v>833.98</v>
      </c>
      <c r="H3727" s="22">
        <f>VLOOKUP(A3727,[1]Orders!$A$2:$B$1616,2,0)</f>
        <v>43073</v>
      </c>
      <c r="J3727" t="s">
        <v>49</v>
      </c>
      <c r="K3727" t="s">
        <v>18</v>
      </c>
    </row>
    <row r="3728" spans="1:11" x14ac:dyDescent="0.3">
      <c r="A3728">
        <v>1286</v>
      </c>
      <c r="B3728">
        <v>2</v>
      </c>
      <c r="C3728">
        <v>81</v>
      </c>
      <c r="D3728">
        <v>2</v>
      </c>
      <c r="E3728" s="1">
        <v>1099.99</v>
      </c>
      <c r="F3728" s="1">
        <v>7.0000000000000007E-2</v>
      </c>
      <c r="G3728">
        <v>2199.98</v>
      </c>
      <c r="H3728" s="22">
        <f>VLOOKUP(A3728,[1]Orders!$A$2:$B$1616,2,0)</f>
        <v>43073</v>
      </c>
      <c r="J3728" t="s">
        <v>99</v>
      </c>
      <c r="K3728" t="s">
        <v>18</v>
      </c>
    </row>
    <row r="3729" spans="1:11" x14ac:dyDescent="0.3">
      <c r="A3729">
        <v>1286</v>
      </c>
      <c r="B3729">
        <v>3</v>
      </c>
      <c r="C3729">
        <v>87</v>
      </c>
      <c r="D3729">
        <v>1</v>
      </c>
      <c r="E3729" s="1">
        <v>189.99</v>
      </c>
      <c r="F3729" s="1">
        <v>7.0000000000000007E-2</v>
      </c>
      <c r="G3729">
        <v>189.99</v>
      </c>
      <c r="H3729" s="22">
        <f>VLOOKUP(A3729,[1]Orders!$A$2:$B$1616,2,0)</f>
        <v>43073</v>
      </c>
      <c r="J3729" t="s">
        <v>117</v>
      </c>
      <c r="K3729" t="s">
        <v>18</v>
      </c>
    </row>
    <row r="3730" spans="1:11" x14ac:dyDescent="0.3">
      <c r="A3730">
        <v>1287</v>
      </c>
      <c r="B3730">
        <v>1</v>
      </c>
      <c r="C3730">
        <v>27</v>
      </c>
      <c r="D3730">
        <v>2</v>
      </c>
      <c r="E3730" s="1">
        <v>999.99</v>
      </c>
      <c r="F3730" s="1">
        <v>0.2</v>
      </c>
      <c r="G3730">
        <v>1999.98</v>
      </c>
      <c r="H3730" s="22">
        <f>VLOOKUP(A3730,[1]Orders!$A$2:$B$1616,2,0)</f>
        <v>43076</v>
      </c>
      <c r="J3730" t="s">
        <v>106</v>
      </c>
      <c r="K3730" t="s">
        <v>11</v>
      </c>
    </row>
    <row r="3731" spans="1:11" x14ac:dyDescent="0.3">
      <c r="A3731">
        <v>1287</v>
      </c>
      <c r="B3731">
        <v>2</v>
      </c>
      <c r="C3731">
        <v>62</v>
      </c>
      <c r="D3731">
        <v>2</v>
      </c>
      <c r="E3731" s="1">
        <v>3499.99</v>
      </c>
      <c r="F3731" s="1">
        <v>0.1</v>
      </c>
      <c r="G3731">
        <v>6999.98</v>
      </c>
      <c r="H3731" s="22">
        <f>VLOOKUP(A3731,[1]Orders!$A$2:$B$1616,2,0)</f>
        <v>43076</v>
      </c>
      <c r="J3731" t="s">
        <v>50</v>
      </c>
      <c r="K3731" t="s">
        <v>11</v>
      </c>
    </row>
    <row r="3732" spans="1:11" x14ac:dyDescent="0.3">
      <c r="A3732">
        <v>1287</v>
      </c>
      <c r="B3732">
        <v>3</v>
      </c>
      <c r="C3732">
        <v>103</v>
      </c>
      <c r="D3732">
        <v>1</v>
      </c>
      <c r="E3732" s="1">
        <v>551.99</v>
      </c>
      <c r="F3732" s="1">
        <v>0.1</v>
      </c>
      <c r="G3732">
        <v>551.99</v>
      </c>
      <c r="H3732" s="22">
        <f>VLOOKUP(A3732,[1]Orders!$A$2:$B$1616,2,0)</f>
        <v>43076</v>
      </c>
      <c r="J3732" t="s">
        <v>40</v>
      </c>
      <c r="K3732" t="s">
        <v>11</v>
      </c>
    </row>
    <row r="3733" spans="1:11" x14ac:dyDescent="0.3">
      <c r="A3733">
        <v>1287</v>
      </c>
      <c r="B3733">
        <v>4</v>
      </c>
      <c r="C3733">
        <v>100</v>
      </c>
      <c r="D3733">
        <v>2</v>
      </c>
      <c r="E3733" s="1">
        <v>489.99</v>
      </c>
      <c r="F3733" s="1">
        <v>0.05</v>
      </c>
      <c r="G3733">
        <v>979.98</v>
      </c>
      <c r="H3733" s="22">
        <f>VLOOKUP(A3733,[1]Orders!$A$2:$B$1616,2,0)</f>
        <v>43076</v>
      </c>
      <c r="J3733" t="s">
        <v>105</v>
      </c>
      <c r="K3733" t="s">
        <v>11</v>
      </c>
    </row>
    <row r="3734" spans="1:11" x14ac:dyDescent="0.3">
      <c r="A3734">
        <v>1288</v>
      </c>
      <c r="B3734">
        <v>1</v>
      </c>
      <c r="C3734">
        <v>73</v>
      </c>
      <c r="D3734">
        <v>1</v>
      </c>
      <c r="E3734" s="1">
        <v>749.99</v>
      </c>
      <c r="F3734" s="1">
        <v>0.2</v>
      </c>
      <c r="G3734">
        <v>749.99</v>
      </c>
      <c r="H3734" s="22">
        <f>VLOOKUP(A3734,[1]Orders!$A$2:$B$1616,2,0)</f>
        <v>43076</v>
      </c>
      <c r="J3734" t="s">
        <v>43</v>
      </c>
      <c r="K3734" t="s">
        <v>37</v>
      </c>
    </row>
    <row r="3735" spans="1:11" x14ac:dyDescent="0.3">
      <c r="A3735">
        <v>1288</v>
      </c>
      <c r="B3735">
        <v>2</v>
      </c>
      <c r="C3735">
        <v>64</v>
      </c>
      <c r="D3735">
        <v>2</v>
      </c>
      <c r="E3735" s="1">
        <v>489.99</v>
      </c>
      <c r="F3735" s="1">
        <v>0.2</v>
      </c>
      <c r="G3735">
        <v>979.98</v>
      </c>
      <c r="H3735" s="22">
        <f>VLOOKUP(A3735,[1]Orders!$A$2:$B$1616,2,0)</f>
        <v>43076</v>
      </c>
      <c r="J3735" t="s">
        <v>51</v>
      </c>
      <c r="K3735" t="s">
        <v>37</v>
      </c>
    </row>
    <row r="3736" spans="1:11" x14ac:dyDescent="0.3">
      <c r="A3736">
        <v>1288</v>
      </c>
      <c r="B3736">
        <v>3</v>
      </c>
      <c r="C3736">
        <v>62</v>
      </c>
      <c r="D3736">
        <v>2</v>
      </c>
      <c r="E3736" s="1">
        <v>3499.99</v>
      </c>
      <c r="F3736" s="1">
        <v>0.1</v>
      </c>
      <c r="G3736">
        <v>6999.98</v>
      </c>
      <c r="H3736" s="22">
        <f>VLOOKUP(A3736,[1]Orders!$A$2:$B$1616,2,0)</f>
        <v>43076</v>
      </c>
      <c r="J3736" t="s">
        <v>50</v>
      </c>
      <c r="K3736" t="s">
        <v>37</v>
      </c>
    </row>
    <row r="3737" spans="1:11" x14ac:dyDescent="0.3">
      <c r="A3737">
        <v>1288</v>
      </c>
      <c r="B3737">
        <v>4</v>
      </c>
      <c r="C3737">
        <v>17</v>
      </c>
      <c r="D3737">
        <v>2</v>
      </c>
      <c r="E3737" s="1">
        <v>429</v>
      </c>
      <c r="F3737" s="1">
        <v>7.0000000000000007E-2</v>
      </c>
      <c r="G3737">
        <v>858</v>
      </c>
      <c r="H3737" s="22">
        <f>VLOOKUP(A3737,[1]Orders!$A$2:$B$1616,2,0)</f>
        <v>43076</v>
      </c>
      <c r="J3737" t="s">
        <v>23</v>
      </c>
      <c r="K3737" t="s">
        <v>37</v>
      </c>
    </row>
    <row r="3738" spans="1:11" x14ac:dyDescent="0.3">
      <c r="A3738">
        <v>1289</v>
      </c>
      <c r="B3738">
        <v>1</v>
      </c>
      <c r="C3738">
        <v>89</v>
      </c>
      <c r="D3738">
        <v>1</v>
      </c>
      <c r="E3738" s="1">
        <v>209.99</v>
      </c>
      <c r="F3738" s="1">
        <v>0.05</v>
      </c>
      <c r="G3738">
        <v>209.99</v>
      </c>
      <c r="H3738" s="22">
        <f>VLOOKUP(A3738,[1]Orders!$A$2:$B$1616,2,0)</f>
        <v>43077</v>
      </c>
      <c r="J3738" t="s">
        <v>94</v>
      </c>
      <c r="K3738" t="s">
        <v>11</v>
      </c>
    </row>
    <row r="3739" spans="1:11" x14ac:dyDescent="0.3">
      <c r="A3739">
        <v>1289</v>
      </c>
      <c r="B3739">
        <v>2</v>
      </c>
      <c r="C3739">
        <v>3</v>
      </c>
      <c r="D3739">
        <v>1</v>
      </c>
      <c r="E3739" s="1">
        <v>999.99</v>
      </c>
      <c r="F3739" s="1">
        <v>0.1</v>
      </c>
      <c r="G3739">
        <v>999.99</v>
      </c>
      <c r="H3739" s="22">
        <f>VLOOKUP(A3739,[1]Orders!$A$2:$B$1616,2,0)</f>
        <v>43077</v>
      </c>
      <c r="J3739" t="s">
        <v>20</v>
      </c>
      <c r="K3739" t="s">
        <v>11</v>
      </c>
    </row>
    <row r="3740" spans="1:11" x14ac:dyDescent="0.3">
      <c r="A3740">
        <v>1290</v>
      </c>
      <c r="B3740">
        <v>1</v>
      </c>
      <c r="C3740">
        <v>75</v>
      </c>
      <c r="D3740">
        <v>2</v>
      </c>
      <c r="E3740" s="1">
        <v>599.99</v>
      </c>
      <c r="F3740" s="1">
        <v>0.05</v>
      </c>
      <c r="G3740">
        <v>1199.98</v>
      </c>
      <c r="H3740" s="22">
        <f>VLOOKUP(A3740,[1]Orders!$A$2:$B$1616,2,0)</f>
        <v>43077</v>
      </c>
      <c r="J3740" t="s">
        <v>95</v>
      </c>
      <c r="K3740" t="s">
        <v>18</v>
      </c>
    </row>
    <row r="3741" spans="1:11" x14ac:dyDescent="0.3">
      <c r="A3741">
        <v>1290</v>
      </c>
      <c r="B3741">
        <v>2</v>
      </c>
      <c r="C3741">
        <v>36</v>
      </c>
      <c r="D3741">
        <v>1</v>
      </c>
      <c r="E3741" s="1">
        <v>832.99</v>
      </c>
      <c r="F3741" s="1">
        <v>0.05</v>
      </c>
      <c r="G3741">
        <v>832.99</v>
      </c>
      <c r="H3741" s="22">
        <f>VLOOKUP(A3741,[1]Orders!$A$2:$B$1616,2,0)</f>
        <v>43077</v>
      </c>
      <c r="J3741" t="s">
        <v>116</v>
      </c>
      <c r="K3741" t="s">
        <v>18</v>
      </c>
    </row>
    <row r="3742" spans="1:11" x14ac:dyDescent="0.3">
      <c r="A3742">
        <v>1290</v>
      </c>
      <c r="B3742">
        <v>3</v>
      </c>
      <c r="C3742">
        <v>92</v>
      </c>
      <c r="D3742">
        <v>2</v>
      </c>
      <c r="E3742" s="1">
        <v>209.99</v>
      </c>
      <c r="F3742" s="1">
        <v>0.1</v>
      </c>
      <c r="G3742">
        <v>419.98</v>
      </c>
      <c r="H3742" s="22">
        <f>VLOOKUP(A3742,[1]Orders!$A$2:$B$1616,2,0)</f>
        <v>43077</v>
      </c>
      <c r="J3742" t="s">
        <v>111</v>
      </c>
      <c r="K3742" t="s">
        <v>18</v>
      </c>
    </row>
    <row r="3743" spans="1:11" x14ac:dyDescent="0.3">
      <c r="A3743">
        <v>1291</v>
      </c>
      <c r="B3743">
        <v>1</v>
      </c>
      <c r="C3743">
        <v>57</v>
      </c>
      <c r="D3743">
        <v>1</v>
      </c>
      <c r="E3743" s="1">
        <v>1999.99</v>
      </c>
      <c r="F3743" s="1">
        <v>0.1</v>
      </c>
      <c r="G3743">
        <v>1999.99</v>
      </c>
      <c r="H3743" s="22">
        <f>VLOOKUP(A3743,[1]Orders!$A$2:$B$1616,2,0)</f>
        <v>43078</v>
      </c>
      <c r="J3743" t="s">
        <v>103</v>
      </c>
      <c r="K3743" t="s">
        <v>18</v>
      </c>
    </row>
    <row r="3744" spans="1:11" x14ac:dyDescent="0.3">
      <c r="A3744">
        <v>1291</v>
      </c>
      <c r="B3744">
        <v>2</v>
      </c>
      <c r="C3744">
        <v>58</v>
      </c>
      <c r="D3744">
        <v>2</v>
      </c>
      <c r="E3744" s="1">
        <v>4999.99</v>
      </c>
      <c r="F3744" s="1">
        <v>0.05</v>
      </c>
      <c r="G3744">
        <v>9999.98</v>
      </c>
      <c r="H3744" s="22">
        <f>VLOOKUP(A3744,[1]Orders!$A$2:$B$1616,2,0)</f>
        <v>43078</v>
      </c>
      <c r="J3744" t="s">
        <v>81</v>
      </c>
      <c r="K3744" t="s">
        <v>18</v>
      </c>
    </row>
    <row r="3745" spans="1:11" x14ac:dyDescent="0.3">
      <c r="A3745">
        <v>1292</v>
      </c>
      <c r="B3745">
        <v>1</v>
      </c>
      <c r="C3745">
        <v>70</v>
      </c>
      <c r="D3745">
        <v>1</v>
      </c>
      <c r="E3745" s="1">
        <v>659.99</v>
      </c>
      <c r="F3745" s="1">
        <v>7.0000000000000007E-2</v>
      </c>
      <c r="G3745">
        <v>659.99</v>
      </c>
      <c r="H3745" s="22">
        <f>VLOOKUP(A3745,[1]Orders!$A$2:$B$1616,2,0)</f>
        <v>43079</v>
      </c>
      <c r="J3745" t="s">
        <v>73</v>
      </c>
      <c r="K3745" t="s">
        <v>18</v>
      </c>
    </row>
    <row r="3746" spans="1:11" x14ac:dyDescent="0.3">
      <c r="A3746">
        <v>1293</v>
      </c>
      <c r="B3746">
        <v>1</v>
      </c>
      <c r="C3746">
        <v>88</v>
      </c>
      <c r="D3746">
        <v>2</v>
      </c>
      <c r="E3746" s="1">
        <v>189.99</v>
      </c>
      <c r="F3746" s="1">
        <v>0.1</v>
      </c>
      <c r="G3746">
        <v>379.98</v>
      </c>
      <c r="H3746" s="22">
        <f>VLOOKUP(A3746,[1]Orders!$A$2:$B$1616,2,0)</f>
        <v>43079</v>
      </c>
      <c r="J3746" t="s">
        <v>64</v>
      </c>
      <c r="K3746" t="s">
        <v>18</v>
      </c>
    </row>
    <row r="3747" spans="1:11" x14ac:dyDescent="0.3">
      <c r="A3747">
        <v>1293</v>
      </c>
      <c r="B3747">
        <v>2</v>
      </c>
      <c r="C3747">
        <v>74</v>
      </c>
      <c r="D3747">
        <v>2</v>
      </c>
      <c r="E3747" s="1">
        <v>439.99</v>
      </c>
      <c r="F3747" s="1">
        <v>0.05</v>
      </c>
      <c r="G3747">
        <v>879.98</v>
      </c>
      <c r="H3747" s="22">
        <f>VLOOKUP(A3747,[1]Orders!$A$2:$B$1616,2,0)</f>
        <v>43079</v>
      </c>
      <c r="J3747" t="s">
        <v>61</v>
      </c>
      <c r="K3747" t="s">
        <v>18</v>
      </c>
    </row>
    <row r="3748" spans="1:11" x14ac:dyDescent="0.3">
      <c r="A3748">
        <v>1293</v>
      </c>
      <c r="B3748">
        <v>3</v>
      </c>
      <c r="C3748">
        <v>38</v>
      </c>
      <c r="D3748">
        <v>2</v>
      </c>
      <c r="E3748" s="1">
        <v>549.99</v>
      </c>
      <c r="F3748" s="1">
        <v>7.0000000000000007E-2</v>
      </c>
      <c r="G3748">
        <v>1099.98</v>
      </c>
      <c r="H3748" s="22">
        <f>VLOOKUP(A3748,[1]Orders!$A$2:$B$1616,2,0)</f>
        <v>43079</v>
      </c>
      <c r="J3748" t="s">
        <v>93</v>
      </c>
      <c r="K3748" t="s">
        <v>18</v>
      </c>
    </row>
    <row r="3749" spans="1:11" x14ac:dyDescent="0.3">
      <c r="A3749">
        <v>1294</v>
      </c>
      <c r="B3749">
        <v>1</v>
      </c>
      <c r="C3749">
        <v>95</v>
      </c>
      <c r="D3749">
        <v>2</v>
      </c>
      <c r="E3749" s="1">
        <v>299.99</v>
      </c>
      <c r="F3749" s="1">
        <v>0.05</v>
      </c>
      <c r="G3749">
        <v>599.98</v>
      </c>
      <c r="H3749" s="22">
        <f>VLOOKUP(A3749,[1]Orders!$A$2:$B$1616,2,0)</f>
        <v>43080</v>
      </c>
      <c r="J3749" t="s">
        <v>48</v>
      </c>
      <c r="K3749" t="s">
        <v>11</v>
      </c>
    </row>
    <row r="3750" spans="1:11" x14ac:dyDescent="0.3">
      <c r="A3750">
        <v>1294</v>
      </c>
      <c r="B3750">
        <v>2</v>
      </c>
      <c r="C3750">
        <v>44</v>
      </c>
      <c r="D3750">
        <v>1</v>
      </c>
      <c r="E3750" s="1">
        <v>539.99</v>
      </c>
      <c r="F3750" s="1">
        <v>0.05</v>
      </c>
      <c r="G3750">
        <v>539.99</v>
      </c>
      <c r="H3750" s="22">
        <f>VLOOKUP(A3750,[1]Orders!$A$2:$B$1616,2,0)</f>
        <v>43080</v>
      </c>
      <c r="J3750" t="s">
        <v>108</v>
      </c>
      <c r="K3750" t="s">
        <v>11</v>
      </c>
    </row>
    <row r="3751" spans="1:11" x14ac:dyDescent="0.3">
      <c r="A3751">
        <v>1295</v>
      </c>
      <c r="B3751">
        <v>1</v>
      </c>
      <c r="C3751">
        <v>5</v>
      </c>
      <c r="D3751">
        <v>2</v>
      </c>
      <c r="E3751" s="1">
        <v>1320.99</v>
      </c>
      <c r="F3751" s="1">
        <v>0.2</v>
      </c>
      <c r="G3751">
        <v>2641.98</v>
      </c>
      <c r="H3751" s="22">
        <f>VLOOKUP(A3751,[1]Orders!$A$2:$B$1616,2,0)</f>
        <v>43080</v>
      </c>
      <c r="J3751" t="s">
        <v>34</v>
      </c>
      <c r="K3751" t="s">
        <v>18</v>
      </c>
    </row>
    <row r="3752" spans="1:11" x14ac:dyDescent="0.3">
      <c r="A3752">
        <v>1295</v>
      </c>
      <c r="B3752">
        <v>2</v>
      </c>
      <c r="C3752">
        <v>61</v>
      </c>
      <c r="D3752">
        <v>1</v>
      </c>
      <c r="E3752" s="1">
        <v>4999.99</v>
      </c>
      <c r="F3752" s="1">
        <v>0.2</v>
      </c>
      <c r="G3752">
        <v>4999.99</v>
      </c>
      <c r="H3752" s="22">
        <f>VLOOKUP(A3752,[1]Orders!$A$2:$B$1616,2,0)</f>
        <v>43080</v>
      </c>
      <c r="J3752" t="s">
        <v>45</v>
      </c>
      <c r="K3752" t="s">
        <v>18</v>
      </c>
    </row>
    <row r="3753" spans="1:11" x14ac:dyDescent="0.3">
      <c r="A3753">
        <v>1295</v>
      </c>
      <c r="B3753">
        <v>3</v>
      </c>
      <c r="C3753">
        <v>52</v>
      </c>
      <c r="D3753">
        <v>1</v>
      </c>
      <c r="E3753" s="1">
        <v>875.99</v>
      </c>
      <c r="F3753" s="1">
        <v>0.05</v>
      </c>
      <c r="G3753">
        <v>875.99</v>
      </c>
      <c r="H3753" s="22">
        <f>VLOOKUP(A3753,[1]Orders!$A$2:$B$1616,2,0)</f>
        <v>43080</v>
      </c>
      <c r="J3753" t="s">
        <v>68</v>
      </c>
      <c r="K3753" t="s">
        <v>18</v>
      </c>
    </row>
    <row r="3754" spans="1:11" x14ac:dyDescent="0.3">
      <c r="A3754">
        <v>1296</v>
      </c>
      <c r="B3754">
        <v>1</v>
      </c>
      <c r="C3754">
        <v>25</v>
      </c>
      <c r="D3754">
        <v>2</v>
      </c>
      <c r="E3754" s="1">
        <v>499.99</v>
      </c>
      <c r="F3754" s="1">
        <v>0.05</v>
      </c>
      <c r="G3754">
        <v>999.98</v>
      </c>
      <c r="H3754" s="22">
        <f>VLOOKUP(A3754,[1]Orders!$A$2:$B$1616,2,0)</f>
        <v>43083</v>
      </c>
      <c r="J3754" t="s">
        <v>35</v>
      </c>
      <c r="K3754" t="s">
        <v>11</v>
      </c>
    </row>
    <row r="3755" spans="1:11" x14ac:dyDescent="0.3">
      <c r="A3755">
        <v>1296</v>
      </c>
      <c r="B3755">
        <v>2</v>
      </c>
      <c r="C3755">
        <v>90</v>
      </c>
      <c r="D3755">
        <v>1</v>
      </c>
      <c r="E3755" s="1">
        <v>209.99</v>
      </c>
      <c r="F3755" s="1">
        <v>0.1</v>
      </c>
      <c r="G3755">
        <v>209.99</v>
      </c>
      <c r="H3755" s="22">
        <f>VLOOKUP(A3755,[1]Orders!$A$2:$B$1616,2,0)</f>
        <v>43083</v>
      </c>
      <c r="J3755" t="s">
        <v>56</v>
      </c>
      <c r="K3755" t="s">
        <v>11</v>
      </c>
    </row>
    <row r="3756" spans="1:11" x14ac:dyDescent="0.3">
      <c r="A3756">
        <v>1296</v>
      </c>
      <c r="B3756">
        <v>3</v>
      </c>
      <c r="C3756">
        <v>16</v>
      </c>
      <c r="D3756">
        <v>1</v>
      </c>
      <c r="E3756" s="1">
        <v>599.99</v>
      </c>
      <c r="F3756" s="1">
        <v>0.05</v>
      </c>
      <c r="G3756">
        <v>599.99</v>
      </c>
      <c r="H3756" s="22">
        <f>VLOOKUP(A3756,[1]Orders!$A$2:$B$1616,2,0)</f>
        <v>43083</v>
      </c>
      <c r="J3756" t="s">
        <v>14</v>
      </c>
      <c r="K3756" t="s">
        <v>11</v>
      </c>
    </row>
    <row r="3757" spans="1:11" x14ac:dyDescent="0.3">
      <c r="A3757">
        <v>1296</v>
      </c>
      <c r="B3757">
        <v>4</v>
      </c>
      <c r="C3757">
        <v>2</v>
      </c>
      <c r="D3757">
        <v>2</v>
      </c>
      <c r="E3757" s="1">
        <v>749.99</v>
      </c>
      <c r="F3757" s="1">
        <v>0.1</v>
      </c>
      <c r="G3757">
        <v>1499.98</v>
      </c>
      <c r="H3757" s="22">
        <f>VLOOKUP(A3757,[1]Orders!$A$2:$B$1616,2,0)</f>
        <v>43083</v>
      </c>
      <c r="J3757" t="s">
        <v>22</v>
      </c>
      <c r="K3757" t="s">
        <v>11</v>
      </c>
    </row>
    <row r="3758" spans="1:11" x14ac:dyDescent="0.3">
      <c r="A3758">
        <v>1297</v>
      </c>
      <c r="B3758">
        <v>1</v>
      </c>
      <c r="C3758">
        <v>104</v>
      </c>
      <c r="D3758">
        <v>2</v>
      </c>
      <c r="E3758" s="1">
        <v>481.99</v>
      </c>
      <c r="F3758" s="1">
        <v>7.0000000000000007E-2</v>
      </c>
      <c r="G3758">
        <v>963.98</v>
      </c>
      <c r="H3758" s="22">
        <f>VLOOKUP(A3758,[1]Orders!$A$2:$B$1616,2,0)</f>
        <v>43083</v>
      </c>
      <c r="J3758" t="s">
        <v>87</v>
      </c>
      <c r="K3758" t="s">
        <v>18</v>
      </c>
    </row>
    <row r="3759" spans="1:11" x14ac:dyDescent="0.3">
      <c r="A3759">
        <v>1297</v>
      </c>
      <c r="B3759">
        <v>2</v>
      </c>
      <c r="C3759">
        <v>43</v>
      </c>
      <c r="D3759">
        <v>1</v>
      </c>
      <c r="E3759" s="1">
        <v>5299.99</v>
      </c>
      <c r="F3759" s="1">
        <v>0.05</v>
      </c>
      <c r="G3759">
        <v>5299.99</v>
      </c>
      <c r="H3759" s="22">
        <f>VLOOKUP(A3759,[1]Orders!$A$2:$B$1616,2,0)</f>
        <v>43083</v>
      </c>
      <c r="J3759" t="s">
        <v>62</v>
      </c>
      <c r="K3759" t="s">
        <v>18</v>
      </c>
    </row>
    <row r="3760" spans="1:11" x14ac:dyDescent="0.3">
      <c r="A3760">
        <v>1297</v>
      </c>
      <c r="B3760">
        <v>3</v>
      </c>
      <c r="C3760">
        <v>51</v>
      </c>
      <c r="D3760">
        <v>2</v>
      </c>
      <c r="E3760" s="1">
        <v>6499.99</v>
      </c>
      <c r="F3760" s="1">
        <v>0.05</v>
      </c>
      <c r="G3760">
        <v>12999.98</v>
      </c>
      <c r="H3760" s="22">
        <f>VLOOKUP(A3760,[1]Orders!$A$2:$B$1616,2,0)</f>
        <v>43083</v>
      </c>
      <c r="J3760" t="s">
        <v>90</v>
      </c>
      <c r="K3760" t="s">
        <v>18</v>
      </c>
    </row>
    <row r="3761" spans="1:11" x14ac:dyDescent="0.3">
      <c r="A3761">
        <v>1298</v>
      </c>
      <c r="B3761">
        <v>1</v>
      </c>
      <c r="C3761">
        <v>59</v>
      </c>
      <c r="D3761">
        <v>1</v>
      </c>
      <c r="E3761" s="1">
        <v>2599.9899999999998</v>
      </c>
      <c r="F3761" s="1">
        <v>0.05</v>
      </c>
      <c r="G3761">
        <v>2599.9899999999998</v>
      </c>
      <c r="H3761" s="22">
        <f>VLOOKUP(A3761,[1]Orders!$A$2:$B$1616,2,0)</f>
        <v>43083</v>
      </c>
      <c r="J3761" t="s">
        <v>74</v>
      </c>
      <c r="K3761" t="s">
        <v>37</v>
      </c>
    </row>
    <row r="3762" spans="1:11" x14ac:dyDescent="0.3">
      <c r="A3762">
        <v>1298</v>
      </c>
      <c r="B3762">
        <v>2</v>
      </c>
      <c r="C3762">
        <v>110</v>
      </c>
      <c r="D3762">
        <v>2</v>
      </c>
      <c r="E3762" s="1">
        <v>470.99</v>
      </c>
      <c r="F3762" s="1">
        <v>7.0000000000000007E-2</v>
      </c>
      <c r="G3762">
        <v>941.98</v>
      </c>
      <c r="H3762" s="22">
        <f>VLOOKUP(A3762,[1]Orders!$A$2:$B$1616,2,0)</f>
        <v>43083</v>
      </c>
      <c r="J3762" t="s">
        <v>65</v>
      </c>
      <c r="K3762" t="s">
        <v>37</v>
      </c>
    </row>
    <row r="3763" spans="1:11" x14ac:dyDescent="0.3">
      <c r="A3763">
        <v>1299</v>
      </c>
      <c r="B3763">
        <v>1</v>
      </c>
      <c r="C3763">
        <v>14</v>
      </c>
      <c r="D3763">
        <v>2</v>
      </c>
      <c r="E3763" s="1">
        <v>269.99</v>
      </c>
      <c r="F3763" s="1">
        <v>0.1</v>
      </c>
      <c r="G3763">
        <v>539.98</v>
      </c>
      <c r="H3763" s="22">
        <f>VLOOKUP(A3763,[1]Orders!$A$2:$B$1616,2,0)</f>
        <v>43084</v>
      </c>
      <c r="J3763" t="s">
        <v>28</v>
      </c>
      <c r="K3763" t="s">
        <v>11</v>
      </c>
    </row>
    <row r="3764" spans="1:11" x14ac:dyDescent="0.3">
      <c r="A3764">
        <v>1299</v>
      </c>
      <c r="B3764">
        <v>2</v>
      </c>
      <c r="C3764">
        <v>101</v>
      </c>
      <c r="D3764">
        <v>1</v>
      </c>
      <c r="E3764" s="1">
        <v>339.99</v>
      </c>
      <c r="F3764" s="1">
        <v>0.05</v>
      </c>
      <c r="G3764">
        <v>339.99</v>
      </c>
      <c r="H3764" s="22">
        <f>VLOOKUP(A3764,[1]Orders!$A$2:$B$1616,2,0)</f>
        <v>43084</v>
      </c>
      <c r="J3764" t="s">
        <v>80</v>
      </c>
      <c r="K3764" t="s">
        <v>11</v>
      </c>
    </row>
    <row r="3765" spans="1:11" x14ac:dyDescent="0.3">
      <c r="A3765">
        <v>1299</v>
      </c>
      <c r="B3765">
        <v>3</v>
      </c>
      <c r="C3765">
        <v>75</v>
      </c>
      <c r="D3765">
        <v>1</v>
      </c>
      <c r="E3765" s="1">
        <v>599.99</v>
      </c>
      <c r="F3765" s="1">
        <v>0.05</v>
      </c>
      <c r="G3765">
        <v>599.99</v>
      </c>
      <c r="H3765" s="22">
        <f>VLOOKUP(A3765,[1]Orders!$A$2:$B$1616,2,0)</f>
        <v>43084</v>
      </c>
      <c r="J3765" t="s">
        <v>95</v>
      </c>
      <c r="K3765" t="s">
        <v>11</v>
      </c>
    </row>
    <row r="3766" spans="1:11" x14ac:dyDescent="0.3">
      <c r="A3766">
        <v>1299</v>
      </c>
      <c r="B3766">
        <v>4</v>
      </c>
      <c r="C3766">
        <v>52</v>
      </c>
      <c r="D3766">
        <v>2</v>
      </c>
      <c r="E3766" s="1">
        <v>875.99</v>
      </c>
      <c r="F3766" s="1">
        <v>0.2</v>
      </c>
      <c r="G3766">
        <v>1751.98</v>
      </c>
      <c r="H3766" s="22">
        <f>VLOOKUP(A3766,[1]Orders!$A$2:$B$1616,2,0)</f>
        <v>43084</v>
      </c>
      <c r="J3766" t="s">
        <v>68</v>
      </c>
      <c r="K3766" t="s">
        <v>11</v>
      </c>
    </row>
    <row r="3767" spans="1:11" x14ac:dyDescent="0.3">
      <c r="A3767">
        <v>1300</v>
      </c>
      <c r="B3767">
        <v>1</v>
      </c>
      <c r="C3767">
        <v>101</v>
      </c>
      <c r="D3767">
        <v>2</v>
      </c>
      <c r="E3767" s="1">
        <v>339.99</v>
      </c>
      <c r="F3767" s="1">
        <v>7.0000000000000007E-2</v>
      </c>
      <c r="G3767">
        <v>679.98</v>
      </c>
      <c r="H3767" s="22">
        <f>VLOOKUP(A3767,[1]Orders!$A$2:$B$1616,2,0)</f>
        <v>43084</v>
      </c>
      <c r="J3767" t="s">
        <v>80</v>
      </c>
      <c r="K3767" t="s">
        <v>18</v>
      </c>
    </row>
    <row r="3768" spans="1:11" x14ac:dyDescent="0.3">
      <c r="A3768">
        <v>1300</v>
      </c>
      <c r="B3768">
        <v>2</v>
      </c>
      <c r="C3768">
        <v>58</v>
      </c>
      <c r="D3768">
        <v>2</v>
      </c>
      <c r="E3768" s="1">
        <v>4999.99</v>
      </c>
      <c r="F3768" s="1">
        <v>0.05</v>
      </c>
      <c r="G3768">
        <v>9999.98</v>
      </c>
      <c r="H3768" s="22">
        <f>VLOOKUP(A3768,[1]Orders!$A$2:$B$1616,2,0)</f>
        <v>43084</v>
      </c>
      <c r="J3768" t="s">
        <v>81</v>
      </c>
      <c r="K3768" t="s">
        <v>18</v>
      </c>
    </row>
    <row r="3769" spans="1:11" x14ac:dyDescent="0.3">
      <c r="A3769">
        <v>1301</v>
      </c>
      <c r="B3769">
        <v>1</v>
      </c>
      <c r="C3769">
        <v>45</v>
      </c>
      <c r="D3769">
        <v>2</v>
      </c>
      <c r="E3769" s="1">
        <v>869.99</v>
      </c>
      <c r="F3769" s="1">
        <v>0.2</v>
      </c>
      <c r="G3769">
        <v>1739.98</v>
      </c>
      <c r="H3769" s="22">
        <f>VLOOKUP(A3769,[1]Orders!$A$2:$B$1616,2,0)</f>
        <v>43085</v>
      </c>
      <c r="J3769" t="s">
        <v>88</v>
      </c>
      <c r="K3769" t="s">
        <v>11</v>
      </c>
    </row>
    <row r="3770" spans="1:11" x14ac:dyDescent="0.3">
      <c r="A3770">
        <v>1301</v>
      </c>
      <c r="B3770">
        <v>2</v>
      </c>
      <c r="C3770">
        <v>105</v>
      </c>
      <c r="D3770">
        <v>2</v>
      </c>
      <c r="E3770" s="1">
        <v>533.99</v>
      </c>
      <c r="F3770" s="1">
        <v>0.1</v>
      </c>
      <c r="G3770">
        <v>1067.98</v>
      </c>
      <c r="H3770" s="22">
        <f>VLOOKUP(A3770,[1]Orders!$A$2:$B$1616,2,0)</f>
        <v>43085</v>
      </c>
      <c r="J3770" t="s">
        <v>96</v>
      </c>
      <c r="K3770" t="s">
        <v>11</v>
      </c>
    </row>
    <row r="3771" spans="1:11" x14ac:dyDescent="0.3">
      <c r="A3771">
        <v>1301</v>
      </c>
      <c r="B3771">
        <v>3</v>
      </c>
      <c r="C3771">
        <v>8</v>
      </c>
      <c r="D3771">
        <v>1</v>
      </c>
      <c r="E3771" s="1">
        <v>1799.99</v>
      </c>
      <c r="F3771" s="1">
        <v>0.2</v>
      </c>
      <c r="G3771">
        <v>1799.99</v>
      </c>
      <c r="H3771" s="22">
        <f>VLOOKUP(A3771,[1]Orders!$A$2:$B$1616,2,0)</f>
        <v>43085</v>
      </c>
      <c r="J3771" t="s">
        <v>12</v>
      </c>
      <c r="K3771" t="s">
        <v>11</v>
      </c>
    </row>
    <row r="3772" spans="1:11" x14ac:dyDescent="0.3">
      <c r="A3772">
        <v>1302</v>
      </c>
      <c r="B3772">
        <v>1</v>
      </c>
      <c r="C3772">
        <v>38</v>
      </c>
      <c r="D3772">
        <v>1</v>
      </c>
      <c r="E3772" s="1">
        <v>549.99</v>
      </c>
      <c r="F3772" s="1">
        <v>0.05</v>
      </c>
      <c r="G3772">
        <v>549.99</v>
      </c>
      <c r="H3772" s="22">
        <f>VLOOKUP(A3772,[1]Orders!$A$2:$B$1616,2,0)</f>
        <v>43085</v>
      </c>
      <c r="J3772" t="s">
        <v>93</v>
      </c>
      <c r="K3772" t="s">
        <v>18</v>
      </c>
    </row>
    <row r="3773" spans="1:11" x14ac:dyDescent="0.3">
      <c r="A3773">
        <v>1302</v>
      </c>
      <c r="B3773">
        <v>2</v>
      </c>
      <c r="C3773">
        <v>20</v>
      </c>
      <c r="D3773">
        <v>2</v>
      </c>
      <c r="E3773" s="1">
        <v>599.99</v>
      </c>
      <c r="F3773" s="1">
        <v>0.1</v>
      </c>
      <c r="G3773">
        <v>1199.98</v>
      </c>
      <c r="H3773" s="22">
        <f>VLOOKUP(A3773,[1]Orders!$A$2:$B$1616,2,0)</f>
        <v>43085</v>
      </c>
      <c r="J3773" t="s">
        <v>10</v>
      </c>
      <c r="K3773" t="s">
        <v>18</v>
      </c>
    </row>
    <row r="3774" spans="1:11" x14ac:dyDescent="0.3">
      <c r="A3774">
        <v>1302</v>
      </c>
      <c r="B3774">
        <v>3</v>
      </c>
      <c r="C3774">
        <v>56</v>
      </c>
      <c r="D3774">
        <v>2</v>
      </c>
      <c r="E3774" s="1">
        <v>5499.99</v>
      </c>
      <c r="F3774" s="1">
        <v>7.0000000000000007E-2</v>
      </c>
      <c r="G3774">
        <v>10999.98</v>
      </c>
      <c r="H3774" s="22">
        <f>VLOOKUP(A3774,[1]Orders!$A$2:$B$1616,2,0)</f>
        <v>43085</v>
      </c>
      <c r="J3774" t="s">
        <v>41</v>
      </c>
      <c r="K3774" t="s">
        <v>18</v>
      </c>
    </row>
    <row r="3775" spans="1:11" x14ac:dyDescent="0.3">
      <c r="A3775">
        <v>1303</v>
      </c>
      <c r="B3775">
        <v>1</v>
      </c>
      <c r="C3775">
        <v>96</v>
      </c>
      <c r="D3775">
        <v>1</v>
      </c>
      <c r="E3775" s="1">
        <v>349.99</v>
      </c>
      <c r="F3775" s="1">
        <v>0.1</v>
      </c>
      <c r="G3775">
        <v>349.99</v>
      </c>
      <c r="H3775" s="22">
        <f>VLOOKUP(A3775,[1]Orders!$A$2:$B$1616,2,0)</f>
        <v>43085</v>
      </c>
      <c r="J3775" t="s">
        <v>91</v>
      </c>
      <c r="K3775" t="s">
        <v>18</v>
      </c>
    </row>
    <row r="3776" spans="1:11" x14ac:dyDescent="0.3">
      <c r="A3776">
        <v>1303</v>
      </c>
      <c r="B3776">
        <v>2</v>
      </c>
      <c r="C3776">
        <v>63</v>
      </c>
      <c r="D3776">
        <v>2</v>
      </c>
      <c r="E3776" s="1">
        <v>3499.99</v>
      </c>
      <c r="F3776" s="1">
        <v>0.2</v>
      </c>
      <c r="G3776">
        <v>6999.98</v>
      </c>
      <c r="H3776" s="22">
        <f>VLOOKUP(A3776,[1]Orders!$A$2:$B$1616,2,0)</f>
        <v>43085</v>
      </c>
      <c r="J3776" t="s">
        <v>75</v>
      </c>
      <c r="K3776" t="s">
        <v>18</v>
      </c>
    </row>
    <row r="3777" spans="1:11" x14ac:dyDescent="0.3">
      <c r="A3777">
        <v>1303</v>
      </c>
      <c r="B3777">
        <v>3</v>
      </c>
      <c r="C3777">
        <v>108</v>
      </c>
      <c r="D3777">
        <v>1</v>
      </c>
      <c r="E3777" s="1">
        <v>449.99</v>
      </c>
      <c r="F3777" s="1">
        <v>0.1</v>
      </c>
      <c r="G3777">
        <v>449.99</v>
      </c>
      <c r="H3777" s="22">
        <f>VLOOKUP(A3777,[1]Orders!$A$2:$B$1616,2,0)</f>
        <v>43085</v>
      </c>
      <c r="J3777" t="s">
        <v>85</v>
      </c>
      <c r="K3777" t="s">
        <v>18</v>
      </c>
    </row>
    <row r="3778" spans="1:11" x14ac:dyDescent="0.3">
      <c r="A3778">
        <v>1303</v>
      </c>
      <c r="B3778">
        <v>4</v>
      </c>
      <c r="C3778">
        <v>73</v>
      </c>
      <c r="D3778">
        <v>1</v>
      </c>
      <c r="E3778" s="1">
        <v>749.99</v>
      </c>
      <c r="F3778" s="1">
        <v>0.1</v>
      </c>
      <c r="G3778">
        <v>749.99</v>
      </c>
      <c r="H3778" s="22">
        <f>VLOOKUP(A3778,[1]Orders!$A$2:$B$1616,2,0)</f>
        <v>43085</v>
      </c>
      <c r="J3778" t="s">
        <v>43</v>
      </c>
      <c r="K3778" t="s">
        <v>18</v>
      </c>
    </row>
    <row r="3779" spans="1:11" x14ac:dyDescent="0.3">
      <c r="A3779">
        <v>1303</v>
      </c>
      <c r="B3779">
        <v>5</v>
      </c>
      <c r="C3779">
        <v>24</v>
      </c>
      <c r="D3779">
        <v>2</v>
      </c>
      <c r="E3779" s="1">
        <v>549.99</v>
      </c>
      <c r="F3779" s="1">
        <v>0.1</v>
      </c>
      <c r="G3779">
        <v>1099.98</v>
      </c>
      <c r="H3779" s="22">
        <f>VLOOKUP(A3779,[1]Orders!$A$2:$B$1616,2,0)</f>
        <v>43085</v>
      </c>
      <c r="J3779" t="s">
        <v>25</v>
      </c>
      <c r="K3779" t="s">
        <v>18</v>
      </c>
    </row>
    <row r="3780" spans="1:11" x14ac:dyDescent="0.3">
      <c r="A3780">
        <v>1304</v>
      </c>
      <c r="B3780">
        <v>1</v>
      </c>
      <c r="C3780">
        <v>80</v>
      </c>
      <c r="D3780">
        <v>1</v>
      </c>
      <c r="E3780" s="1">
        <v>761.99</v>
      </c>
      <c r="F3780" s="1">
        <v>0.05</v>
      </c>
      <c r="G3780">
        <v>761.99</v>
      </c>
      <c r="H3780" s="22">
        <f>VLOOKUP(A3780,[1]Orders!$A$2:$B$1616,2,0)</f>
        <v>43085</v>
      </c>
      <c r="J3780" t="s">
        <v>63</v>
      </c>
      <c r="K3780" t="s">
        <v>18</v>
      </c>
    </row>
    <row r="3781" spans="1:11" x14ac:dyDescent="0.3">
      <c r="A3781">
        <v>1304</v>
      </c>
      <c r="B3781">
        <v>2</v>
      </c>
      <c r="C3781">
        <v>99</v>
      </c>
      <c r="D3781">
        <v>2</v>
      </c>
      <c r="E3781" s="1">
        <v>299.99</v>
      </c>
      <c r="F3781" s="1">
        <v>0.05</v>
      </c>
      <c r="G3781">
        <v>599.98</v>
      </c>
      <c r="H3781" s="22">
        <f>VLOOKUP(A3781,[1]Orders!$A$2:$B$1616,2,0)</f>
        <v>43085</v>
      </c>
      <c r="J3781" t="s">
        <v>52</v>
      </c>
      <c r="K3781" t="s">
        <v>18</v>
      </c>
    </row>
    <row r="3782" spans="1:11" x14ac:dyDescent="0.3">
      <c r="A3782">
        <v>1304</v>
      </c>
      <c r="B3782">
        <v>3</v>
      </c>
      <c r="C3782">
        <v>102</v>
      </c>
      <c r="D3782">
        <v>1</v>
      </c>
      <c r="E3782" s="1">
        <v>489.99</v>
      </c>
      <c r="F3782" s="1">
        <v>0.2</v>
      </c>
      <c r="G3782">
        <v>489.99</v>
      </c>
      <c r="H3782" s="22">
        <f>VLOOKUP(A3782,[1]Orders!$A$2:$B$1616,2,0)</f>
        <v>43085</v>
      </c>
      <c r="J3782" t="s">
        <v>51</v>
      </c>
      <c r="K3782" t="s">
        <v>18</v>
      </c>
    </row>
    <row r="3783" spans="1:11" x14ac:dyDescent="0.3">
      <c r="A3783">
        <v>1304</v>
      </c>
      <c r="B3783">
        <v>4</v>
      </c>
      <c r="C3783">
        <v>17</v>
      </c>
      <c r="D3783">
        <v>1</v>
      </c>
      <c r="E3783" s="1">
        <v>429</v>
      </c>
      <c r="F3783" s="1">
        <v>0.05</v>
      </c>
      <c r="G3783">
        <v>429</v>
      </c>
      <c r="H3783" s="22">
        <f>VLOOKUP(A3783,[1]Orders!$A$2:$B$1616,2,0)</f>
        <v>43085</v>
      </c>
      <c r="J3783" t="s">
        <v>23</v>
      </c>
      <c r="K3783" t="s">
        <v>18</v>
      </c>
    </row>
    <row r="3784" spans="1:11" x14ac:dyDescent="0.3">
      <c r="A3784">
        <v>1305</v>
      </c>
      <c r="B3784">
        <v>1</v>
      </c>
      <c r="C3784">
        <v>85</v>
      </c>
      <c r="D3784">
        <v>1</v>
      </c>
      <c r="E3784" s="1">
        <v>329.99</v>
      </c>
      <c r="F3784" s="1">
        <v>0.2</v>
      </c>
      <c r="G3784">
        <v>329.99</v>
      </c>
      <c r="H3784" s="22">
        <f>VLOOKUP(A3784,[1]Orders!$A$2:$B$1616,2,0)</f>
        <v>43086</v>
      </c>
      <c r="J3784" t="s">
        <v>38</v>
      </c>
      <c r="K3784" t="s">
        <v>18</v>
      </c>
    </row>
    <row r="3785" spans="1:11" x14ac:dyDescent="0.3">
      <c r="A3785">
        <v>1305</v>
      </c>
      <c r="B3785">
        <v>2</v>
      </c>
      <c r="C3785">
        <v>9</v>
      </c>
      <c r="D3785">
        <v>1</v>
      </c>
      <c r="E3785" s="1">
        <v>2999.99</v>
      </c>
      <c r="F3785" s="1">
        <v>7.0000000000000007E-2</v>
      </c>
      <c r="G3785">
        <v>2999.99</v>
      </c>
      <c r="H3785" s="22">
        <f>VLOOKUP(A3785,[1]Orders!$A$2:$B$1616,2,0)</f>
        <v>43086</v>
      </c>
      <c r="J3785" t="s">
        <v>26</v>
      </c>
      <c r="K3785" t="s">
        <v>18</v>
      </c>
    </row>
    <row r="3786" spans="1:11" x14ac:dyDescent="0.3">
      <c r="A3786">
        <v>1305</v>
      </c>
      <c r="B3786">
        <v>3</v>
      </c>
      <c r="C3786">
        <v>11</v>
      </c>
      <c r="D3786">
        <v>1</v>
      </c>
      <c r="E3786" s="1">
        <v>1680.99</v>
      </c>
      <c r="F3786" s="1">
        <v>0.05</v>
      </c>
      <c r="G3786">
        <v>1680.99</v>
      </c>
      <c r="H3786" s="22">
        <f>VLOOKUP(A3786,[1]Orders!$A$2:$B$1616,2,0)</f>
        <v>43086</v>
      </c>
      <c r="J3786" t="s">
        <v>30</v>
      </c>
      <c r="K3786" t="s">
        <v>18</v>
      </c>
    </row>
    <row r="3787" spans="1:11" x14ac:dyDescent="0.3">
      <c r="A3787">
        <v>1305</v>
      </c>
      <c r="B3787">
        <v>4</v>
      </c>
      <c r="C3787">
        <v>91</v>
      </c>
      <c r="D3787">
        <v>2</v>
      </c>
      <c r="E3787" s="1">
        <v>349.99</v>
      </c>
      <c r="F3787" s="1">
        <v>0.05</v>
      </c>
      <c r="G3787">
        <v>699.98</v>
      </c>
      <c r="H3787" s="22">
        <f>VLOOKUP(A3787,[1]Orders!$A$2:$B$1616,2,0)</f>
        <v>43086</v>
      </c>
      <c r="J3787" t="s">
        <v>97</v>
      </c>
      <c r="K3787" t="s">
        <v>18</v>
      </c>
    </row>
    <row r="3788" spans="1:11" x14ac:dyDescent="0.3">
      <c r="A3788">
        <v>1306</v>
      </c>
      <c r="B3788">
        <v>1</v>
      </c>
      <c r="C3788">
        <v>103</v>
      </c>
      <c r="D3788">
        <v>2</v>
      </c>
      <c r="E3788" s="1">
        <v>551.99</v>
      </c>
      <c r="F3788" s="1">
        <v>0.05</v>
      </c>
      <c r="G3788">
        <v>1103.98</v>
      </c>
      <c r="H3788" s="22">
        <f>VLOOKUP(A3788,[1]Orders!$A$2:$B$1616,2,0)</f>
        <v>43089</v>
      </c>
      <c r="J3788" t="s">
        <v>40</v>
      </c>
      <c r="K3788" t="s">
        <v>18</v>
      </c>
    </row>
    <row r="3789" spans="1:11" x14ac:dyDescent="0.3">
      <c r="A3789">
        <v>1306</v>
      </c>
      <c r="B3789">
        <v>2</v>
      </c>
      <c r="C3789">
        <v>81</v>
      </c>
      <c r="D3789">
        <v>2</v>
      </c>
      <c r="E3789" s="1">
        <v>1099.99</v>
      </c>
      <c r="F3789" s="1">
        <v>7.0000000000000007E-2</v>
      </c>
      <c r="G3789">
        <v>2199.98</v>
      </c>
      <c r="H3789" s="22">
        <f>VLOOKUP(A3789,[1]Orders!$A$2:$B$1616,2,0)</f>
        <v>43089</v>
      </c>
      <c r="J3789" t="s">
        <v>99</v>
      </c>
      <c r="K3789" t="s">
        <v>18</v>
      </c>
    </row>
    <row r="3790" spans="1:11" x14ac:dyDescent="0.3">
      <c r="A3790">
        <v>1306</v>
      </c>
      <c r="B3790">
        <v>3</v>
      </c>
      <c r="C3790">
        <v>45</v>
      </c>
      <c r="D3790">
        <v>1</v>
      </c>
      <c r="E3790" s="1">
        <v>869.99</v>
      </c>
      <c r="F3790" s="1">
        <v>0.2</v>
      </c>
      <c r="G3790">
        <v>869.99</v>
      </c>
      <c r="H3790" s="22">
        <f>VLOOKUP(A3790,[1]Orders!$A$2:$B$1616,2,0)</f>
        <v>43089</v>
      </c>
      <c r="J3790" t="s">
        <v>88</v>
      </c>
      <c r="K3790" t="s">
        <v>18</v>
      </c>
    </row>
    <row r="3791" spans="1:11" x14ac:dyDescent="0.3">
      <c r="A3791">
        <v>1306</v>
      </c>
      <c r="B3791">
        <v>4</v>
      </c>
      <c r="C3791">
        <v>42</v>
      </c>
      <c r="D3791">
        <v>1</v>
      </c>
      <c r="E3791" s="1">
        <v>2299.9899999999998</v>
      </c>
      <c r="F3791" s="1">
        <v>0.2</v>
      </c>
      <c r="G3791">
        <v>2299.9899999999998</v>
      </c>
      <c r="H3791" s="22">
        <f>VLOOKUP(A3791,[1]Orders!$A$2:$B$1616,2,0)</f>
        <v>43089</v>
      </c>
      <c r="J3791" t="s">
        <v>53</v>
      </c>
      <c r="K3791" t="s">
        <v>18</v>
      </c>
    </row>
    <row r="3792" spans="1:11" x14ac:dyDescent="0.3">
      <c r="A3792">
        <v>1306</v>
      </c>
      <c r="B3792">
        <v>5</v>
      </c>
      <c r="C3792">
        <v>9</v>
      </c>
      <c r="D3792">
        <v>2</v>
      </c>
      <c r="E3792" s="1">
        <v>2999.99</v>
      </c>
      <c r="F3792" s="1">
        <v>7.0000000000000007E-2</v>
      </c>
      <c r="G3792">
        <v>5999.98</v>
      </c>
      <c r="H3792" s="22">
        <f>VLOOKUP(A3792,[1]Orders!$A$2:$B$1616,2,0)</f>
        <v>43089</v>
      </c>
      <c r="J3792" t="s">
        <v>26</v>
      </c>
      <c r="K3792" t="s">
        <v>18</v>
      </c>
    </row>
    <row r="3793" spans="1:11" x14ac:dyDescent="0.3">
      <c r="A3793">
        <v>1307</v>
      </c>
      <c r="B3793">
        <v>1</v>
      </c>
      <c r="C3793">
        <v>96</v>
      </c>
      <c r="D3793">
        <v>2</v>
      </c>
      <c r="E3793" s="1">
        <v>349.99</v>
      </c>
      <c r="F3793" s="1">
        <v>7.0000000000000007E-2</v>
      </c>
      <c r="G3793">
        <v>699.98</v>
      </c>
      <c r="H3793" s="22">
        <f>VLOOKUP(A3793,[1]Orders!$A$2:$B$1616,2,0)</f>
        <v>43091</v>
      </c>
      <c r="J3793" t="s">
        <v>91</v>
      </c>
      <c r="K3793" t="s">
        <v>11</v>
      </c>
    </row>
    <row r="3794" spans="1:11" x14ac:dyDescent="0.3">
      <c r="A3794">
        <v>1307</v>
      </c>
      <c r="B3794">
        <v>2</v>
      </c>
      <c r="C3794">
        <v>53</v>
      </c>
      <c r="D3794">
        <v>2</v>
      </c>
      <c r="E3794" s="1">
        <v>749.99</v>
      </c>
      <c r="F3794" s="1">
        <v>0.2</v>
      </c>
      <c r="G3794">
        <v>1499.98</v>
      </c>
      <c r="H3794" s="22">
        <f>VLOOKUP(A3794,[1]Orders!$A$2:$B$1616,2,0)</f>
        <v>43091</v>
      </c>
      <c r="J3794" t="s">
        <v>42</v>
      </c>
      <c r="K3794" t="s">
        <v>11</v>
      </c>
    </row>
    <row r="3795" spans="1:11" x14ac:dyDescent="0.3">
      <c r="A3795">
        <v>1307</v>
      </c>
      <c r="B3795">
        <v>3</v>
      </c>
      <c r="C3795">
        <v>69</v>
      </c>
      <c r="D3795">
        <v>2</v>
      </c>
      <c r="E3795" s="1">
        <v>416.99</v>
      </c>
      <c r="F3795" s="1">
        <v>0.2</v>
      </c>
      <c r="G3795">
        <v>833.98</v>
      </c>
      <c r="H3795" s="22">
        <f>VLOOKUP(A3795,[1]Orders!$A$2:$B$1616,2,0)</f>
        <v>43091</v>
      </c>
      <c r="J3795" t="s">
        <v>89</v>
      </c>
      <c r="K3795" t="s">
        <v>11</v>
      </c>
    </row>
    <row r="3796" spans="1:11" x14ac:dyDescent="0.3">
      <c r="A3796">
        <v>1308</v>
      </c>
      <c r="B3796">
        <v>1</v>
      </c>
      <c r="C3796">
        <v>54</v>
      </c>
      <c r="D3796">
        <v>1</v>
      </c>
      <c r="E3796" s="1">
        <v>3199.99</v>
      </c>
      <c r="F3796" s="1">
        <v>0.05</v>
      </c>
      <c r="G3796">
        <v>3199.99</v>
      </c>
      <c r="H3796" s="22">
        <f>VLOOKUP(A3796,[1]Orders!$A$2:$B$1616,2,0)</f>
        <v>43091</v>
      </c>
      <c r="J3796" t="s">
        <v>69</v>
      </c>
      <c r="K3796" t="s">
        <v>18</v>
      </c>
    </row>
    <row r="3797" spans="1:11" x14ac:dyDescent="0.3">
      <c r="A3797">
        <v>1308</v>
      </c>
      <c r="B3797">
        <v>2</v>
      </c>
      <c r="C3797">
        <v>69</v>
      </c>
      <c r="D3797">
        <v>1</v>
      </c>
      <c r="E3797" s="1">
        <v>416.99</v>
      </c>
      <c r="F3797" s="1">
        <v>0.2</v>
      </c>
      <c r="G3797">
        <v>416.99</v>
      </c>
      <c r="H3797" s="22">
        <f>VLOOKUP(A3797,[1]Orders!$A$2:$B$1616,2,0)</f>
        <v>43091</v>
      </c>
      <c r="J3797" t="s">
        <v>89</v>
      </c>
      <c r="K3797" t="s">
        <v>18</v>
      </c>
    </row>
    <row r="3798" spans="1:11" x14ac:dyDescent="0.3">
      <c r="A3798">
        <v>1308</v>
      </c>
      <c r="B3798">
        <v>3</v>
      </c>
      <c r="C3798">
        <v>14</v>
      </c>
      <c r="D3798">
        <v>2</v>
      </c>
      <c r="E3798" s="1">
        <v>269.99</v>
      </c>
      <c r="F3798" s="1">
        <v>7.0000000000000007E-2</v>
      </c>
      <c r="G3798">
        <v>539.98</v>
      </c>
      <c r="H3798" s="22">
        <f>VLOOKUP(A3798,[1]Orders!$A$2:$B$1616,2,0)</f>
        <v>43091</v>
      </c>
      <c r="J3798" t="s">
        <v>28</v>
      </c>
      <c r="K3798" t="s">
        <v>18</v>
      </c>
    </row>
    <row r="3799" spans="1:11" x14ac:dyDescent="0.3">
      <c r="A3799">
        <v>1308</v>
      </c>
      <c r="B3799">
        <v>4</v>
      </c>
      <c r="C3799">
        <v>56</v>
      </c>
      <c r="D3799">
        <v>1</v>
      </c>
      <c r="E3799" s="1">
        <v>5499.99</v>
      </c>
      <c r="F3799" s="1">
        <v>0.2</v>
      </c>
      <c r="G3799">
        <v>5499.99</v>
      </c>
      <c r="H3799" s="22">
        <f>VLOOKUP(A3799,[1]Orders!$A$2:$B$1616,2,0)</f>
        <v>43091</v>
      </c>
      <c r="J3799" t="s">
        <v>41</v>
      </c>
      <c r="K3799" t="s">
        <v>18</v>
      </c>
    </row>
    <row r="3800" spans="1:11" x14ac:dyDescent="0.3">
      <c r="A3800">
        <v>1308</v>
      </c>
      <c r="B3800">
        <v>5</v>
      </c>
      <c r="C3800">
        <v>32</v>
      </c>
      <c r="D3800">
        <v>1</v>
      </c>
      <c r="E3800" s="1">
        <v>469.99</v>
      </c>
      <c r="F3800" s="1">
        <v>7.0000000000000007E-2</v>
      </c>
      <c r="G3800">
        <v>469.99</v>
      </c>
      <c r="H3800" s="22">
        <f>VLOOKUP(A3800,[1]Orders!$A$2:$B$1616,2,0)</f>
        <v>43091</v>
      </c>
      <c r="J3800" t="s">
        <v>46</v>
      </c>
      <c r="K3800" t="s">
        <v>18</v>
      </c>
    </row>
    <row r="3801" spans="1:11" x14ac:dyDescent="0.3">
      <c r="A3801">
        <v>1309</v>
      </c>
      <c r="B3801">
        <v>1</v>
      </c>
      <c r="C3801">
        <v>65</v>
      </c>
      <c r="D3801">
        <v>1</v>
      </c>
      <c r="E3801" s="1">
        <v>346.99</v>
      </c>
      <c r="F3801" s="1">
        <v>0.05</v>
      </c>
      <c r="G3801">
        <v>346.99</v>
      </c>
      <c r="H3801" s="22">
        <f>VLOOKUP(A3801,[1]Orders!$A$2:$B$1616,2,0)</f>
        <v>43091</v>
      </c>
      <c r="J3801" t="s">
        <v>114</v>
      </c>
      <c r="K3801" t="s">
        <v>18</v>
      </c>
    </row>
    <row r="3802" spans="1:11" x14ac:dyDescent="0.3">
      <c r="A3802">
        <v>1309</v>
      </c>
      <c r="B3802">
        <v>2</v>
      </c>
      <c r="C3802">
        <v>87</v>
      </c>
      <c r="D3802">
        <v>2</v>
      </c>
      <c r="E3802" s="1">
        <v>189.99</v>
      </c>
      <c r="F3802" s="1">
        <v>0.2</v>
      </c>
      <c r="G3802">
        <v>379.98</v>
      </c>
      <c r="H3802" s="22">
        <f>VLOOKUP(A3802,[1]Orders!$A$2:$B$1616,2,0)</f>
        <v>43091</v>
      </c>
      <c r="J3802" t="s">
        <v>117</v>
      </c>
      <c r="K3802" t="s">
        <v>18</v>
      </c>
    </row>
    <row r="3803" spans="1:11" x14ac:dyDescent="0.3">
      <c r="A3803">
        <v>1310</v>
      </c>
      <c r="B3803">
        <v>1</v>
      </c>
      <c r="C3803">
        <v>59</v>
      </c>
      <c r="D3803">
        <v>1</v>
      </c>
      <c r="E3803" s="1">
        <v>2599.9899999999998</v>
      </c>
      <c r="F3803" s="1">
        <v>0.2</v>
      </c>
      <c r="G3803">
        <v>2599.9899999999998</v>
      </c>
      <c r="H3803" s="22">
        <f>VLOOKUP(A3803,[1]Orders!$A$2:$B$1616,2,0)</f>
        <v>43093</v>
      </c>
      <c r="J3803" t="s">
        <v>74</v>
      </c>
      <c r="K3803" t="s">
        <v>11</v>
      </c>
    </row>
    <row r="3804" spans="1:11" x14ac:dyDescent="0.3">
      <c r="A3804">
        <v>1310</v>
      </c>
      <c r="B3804">
        <v>2</v>
      </c>
      <c r="C3804">
        <v>77</v>
      </c>
      <c r="D3804">
        <v>2</v>
      </c>
      <c r="E3804" s="1">
        <v>799.99</v>
      </c>
      <c r="F3804" s="1">
        <v>0.2</v>
      </c>
      <c r="G3804">
        <v>1599.98</v>
      </c>
      <c r="H3804" s="22">
        <f>VLOOKUP(A3804,[1]Orders!$A$2:$B$1616,2,0)</f>
        <v>43093</v>
      </c>
      <c r="J3804" t="s">
        <v>113</v>
      </c>
      <c r="K3804" t="s">
        <v>11</v>
      </c>
    </row>
    <row r="3805" spans="1:11" x14ac:dyDescent="0.3">
      <c r="A3805">
        <v>1310</v>
      </c>
      <c r="B3805">
        <v>3</v>
      </c>
      <c r="C3805">
        <v>11</v>
      </c>
      <c r="D3805">
        <v>2</v>
      </c>
      <c r="E3805" s="1">
        <v>1680.99</v>
      </c>
      <c r="F3805" s="1">
        <v>0.1</v>
      </c>
      <c r="G3805">
        <v>3361.98</v>
      </c>
      <c r="H3805" s="22">
        <f>VLOOKUP(A3805,[1]Orders!$A$2:$B$1616,2,0)</f>
        <v>43093</v>
      </c>
      <c r="J3805" t="s">
        <v>30</v>
      </c>
      <c r="K3805" t="s">
        <v>11</v>
      </c>
    </row>
    <row r="3806" spans="1:11" x14ac:dyDescent="0.3">
      <c r="A3806">
        <v>1310</v>
      </c>
      <c r="B3806">
        <v>4</v>
      </c>
      <c r="C3806">
        <v>54</v>
      </c>
      <c r="D3806">
        <v>1</v>
      </c>
      <c r="E3806" s="1">
        <v>3199.99</v>
      </c>
      <c r="F3806" s="1">
        <v>0.2</v>
      </c>
      <c r="G3806">
        <v>3199.99</v>
      </c>
      <c r="H3806" s="22">
        <f>VLOOKUP(A3806,[1]Orders!$A$2:$B$1616,2,0)</f>
        <v>43093</v>
      </c>
      <c r="J3806" t="s">
        <v>69</v>
      </c>
      <c r="K3806" t="s">
        <v>11</v>
      </c>
    </row>
    <row r="3807" spans="1:11" x14ac:dyDescent="0.3">
      <c r="A3807">
        <v>1311</v>
      </c>
      <c r="B3807">
        <v>1</v>
      </c>
      <c r="C3807">
        <v>69</v>
      </c>
      <c r="D3807">
        <v>1</v>
      </c>
      <c r="E3807" s="1">
        <v>416.99</v>
      </c>
      <c r="F3807" s="1">
        <v>0.1</v>
      </c>
      <c r="G3807">
        <v>416.99</v>
      </c>
      <c r="H3807" s="22">
        <f>VLOOKUP(A3807,[1]Orders!$A$2:$B$1616,2,0)</f>
        <v>43093</v>
      </c>
      <c r="J3807" t="s">
        <v>89</v>
      </c>
      <c r="K3807" t="s">
        <v>18</v>
      </c>
    </row>
    <row r="3808" spans="1:11" x14ac:dyDescent="0.3">
      <c r="A3808">
        <v>1311</v>
      </c>
      <c r="B3808">
        <v>2</v>
      </c>
      <c r="C3808">
        <v>45</v>
      </c>
      <c r="D3808">
        <v>2</v>
      </c>
      <c r="E3808" s="1">
        <v>869.99</v>
      </c>
      <c r="F3808" s="1">
        <v>7.0000000000000007E-2</v>
      </c>
      <c r="G3808">
        <v>1739.98</v>
      </c>
      <c r="H3808" s="22">
        <f>VLOOKUP(A3808,[1]Orders!$A$2:$B$1616,2,0)</f>
        <v>43093</v>
      </c>
      <c r="J3808" t="s">
        <v>88</v>
      </c>
      <c r="K3808" t="s">
        <v>18</v>
      </c>
    </row>
    <row r="3809" spans="1:11" x14ac:dyDescent="0.3">
      <c r="A3809">
        <v>1311</v>
      </c>
      <c r="B3809">
        <v>3</v>
      </c>
      <c r="C3809">
        <v>27</v>
      </c>
      <c r="D3809">
        <v>2</v>
      </c>
      <c r="E3809" s="1">
        <v>999.99</v>
      </c>
      <c r="F3809" s="1">
        <v>0.1</v>
      </c>
      <c r="G3809">
        <v>1999.98</v>
      </c>
      <c r="H3809" s="22">
        <f>VLOOKUP(A3809,[1]Orders!$A$2:$B$1616,2,0)</f>
        <v>43093</v>
      </c>
      <c r="J3809" t="s">
        <v>106</v>
      </c>
      <c r="K3809" t="s">
        <v>18</v>
      </c>
    </row>
    <row r="3810" spans="1:11" x14ac:dyDescent="0.3">
      <c r="A3810">
        <v>1311</v>
      </c>
      <c r="B3810">
        <v>4</v>
      </c>
      <c r="C3810">
        <v>42</v>
      </c>
      <c r="D3810">
        <v>1</v>
      </c>
      <c r="E3810" s="1">
        <v>2299.9899999999998</v>
      </c>
      <c r="F3810" s="1">
        <v>0.1</v>
      </c>
      <c r="G3810">
        <v>2299.9899999999998</v>
      </c>
      <c r="H3810" s="22">
        <f>VLOOKUP(A3810,[1]Orders!$A$2:$B$1616,2,0)</f>
        <v>43093</v>
      </c>
      <c r="J3810" t="s">
        <v>53</v>
      </c>
      <c r="K3810" t="s">
        <v>18</v>
      </c>
    </row>
    <row r="3811" spans="1:11" x14ac:dyDescent="0.3">
      <c r="A3811">
        <v>1312</v>
      </c>
      <c r="B3811">
        <v>1</v>
      </c>
      <c r="C3811">
        <v>67</v>
      </c>
      <c r="D3811">
        <v>2</v>
      </c>
      <c r="E3811" s="1">
        <v>250.99</v>
      </c>
      <c r="F3811" s="1">
        <v>0.05</v>
      </c>
      <c r="G3811">
        <v>501.98</v>
      </c>
      <c r="H3811" s="22">
        <f>VLOOKUP(A3811,[1]Orders!$A$2:$B$1616,2,0)</f>
        <v>43094</v>
      </c>
      <c r="J3811" t="s">
        <v>60</v>
      </c>
      <c r="K3811" t="s">
        <v>11</v>
      </c>
    </row>
    <row r="3812" spans="1:11" x14ac:dyDescent="0.3">
      <c r="A3812">
        <v>1312</v>
      </c>
      <c r="B3812">
        <v>2</v>
      </c>
      <c r="C3812">
        <v>14</v>
      </c>
      <c r="D3812">
        <v>1</v>
      </c>
      <c r="E3812" s="1">
        <v>269.99</v>
      </c>
      <c r="F3812" s="1">
        <v>0.2</v>
      </c>
      <c r="G3812">
        <v>269.99</v>
      </c>
      <c r="H3812" s="22">
        <f>VLOOKUP(A3812,[1]Orders!$A$2:$B$1616,2,0)</f>
        <v>43094</v>
      </c>
      <c r="J3812" t="s">
        <v>28</v>
      </c>
      <c r="K3812" t="s">
        <v>11</v>
      </c>
    </row>
    <row r="3813" spans="1:11" x14ac:dyDescent="0.3">
      <c r="A3813">
        <v>1312</v>
      </c>
      <c r="B3813">
        <v>3</v>
      </c>
      <c r="C3813">
        <v>20</v>
      </c>
      <c r="D3813">
        <v>1</v>
      </c>
      <c r="E3813" s="1">
        <v>599.99</v>
      </c>
      <c r="F3813" s="1">
        <v>7.0000000000000007E-2</v>
      </c>
      <c r="G3813">
        <v>599.99</v>
      </c>
      <c r="H3813" s="22">
        <f>VLOOKUP(A3813,[1]Orders!$A$2:$B$1616,2,0)</f>
        <v>43094</v>
      </c>
      <c r="J3813" t="s">
        <v>10</v>
      </c>
      <c r="K3813" t="s">
        <v>11</v>
      </c>
    </row>
    <row r="3814" spans="1:11" x14ac:dyDescent="0.3">
      <c r="A3814">
        <v>1313</v>
      </c>
      <c r="B3814">
        <v>1</v>
      </c>
      <c r="C3814">
        <v>75</v>
      </c>
      <c r="D3814">
        <v>1</v>
      </c>
      <c r="E3814" s="1">
        <v>599.99</v>
      </c>
      <c r="F3814" s="1">
        <v>0.2</v>
      </c>
      <c r="G3814">
        <v>599.99</v>
      </c>
      <c r="H3814" s="22">
        <f>VLOOKUP(A3814,[1]Orders!$A$2:$B$1616,2,0)</f>
        <v>43094</v>
      </c>
      <c r="J3814" t="s">
        <v>95</v>
      </c>
      <c r="K3814" t="s">
        <v>11</v>
      </c>
    </row>
    <row r="3815" spans="1:11" x14ac:dyDescent="0.3">
      <c r="A3815">
        <v>1313</v>
      </c>
      <c r="B3815">
        <v>2</v>
      </c>
      <c r="C3815">
        <v>33</v>
      </c>
      <c r="D3815">
        <v>1</v>
      </c>
      <c r="E3815" s="1">
        <v>469.99</v>
      </c>
      <c r="F3815" s="1">
        <v>0.2</v>
      </c>
      <c r="G3815">
        <v>469.99</v>
      </c>
      <c r="H3815" s="22">
        <f>VLOOKUP(A3815,[1]Orders!$A$2:$B$1616,2,0)</f>
        <v>43094</v>
      </c>
      <c r="J3815" t="s">
        <v>67</v>
      </c>
      <c r="K3815" t="s">
        <v>11</v>
      </c>
    </row>
    <row r="3816" spans="1:11" x14ac:dyDescent="0.3">
      <c r="A3816">
        <v>1313</v>
      </c>
      <c r="B3816">
        <v>3</v>
      </c>
      <c r="C3816">
        <v>69</v>
      </c>
      <c r="D3816">
        <v>1</v>
      </c>
      <c r="E3816" s="1">
        <v>416.99</v>
      </c>
      <c r="F3816" s="1">
        <v>7.0000000000000007E-2</v>
      </c>
      <c r="G3816">
        <v>416.99</v>
      </c>
      <c r="H3816" s="22">
        <f>VLOOKUP(A3816,[1]Orders!$A$2:$B$1616,2,0)</f>
        <v>43094</v>
      </c>
      <c r="J3816" t="s">
        <v>89</v>
      </c>
      <c r="K3816" t="s">
        <v>11</v>
      </c>
    </row>
    <row r="3817" spans="1:11" x14ac:dyDescent="0.3">
      <c r="A3817">
        <v>1314</v>
      </c>
      <c r="B3817">
        <v>1</v>
      </c>
      <c r="C3817">
        <v>52</v>
      </c>
      <c r="D3817">
        <v>1</v>
      </c>
      <c r="E3817" s="1">
        <v>875.99</v>
      </c>
      <c r="F3817" s="1">
        <v>7.0000000000000007E-2</v>
      </c>
      <c r="G3817">
        <v>875.99</v>
      </c>
      <c r="H3817" s="22">
        <f>VLOOKUP(A3817,[1]Orders!$A$2:$B$1616,2,0)</f>
        <v>43094</v>
      </c>
      <c r="J3817" t="s">
        <v>68</v>
      </c>
      <c r="K3817" t="s">
        <v>18</v>
      </c>
    </row>
    <row r="3818" spans="1:11" x14ac:dyDescent="0.3">
      <c r="A3818">
        <v>1314</v>
      </c>
      <c r="B3818">
        <v>2</v>
      </c>
      <c r="C3818">
        <v>72</v>
      </c>
      <c r="D3818">
        <v>2</v>
      </c>
      <c r="E3818" s="1">
        <v>619.99</v>
      </c>
      <c r="F3818" s="1">
        <v>0.05</v>
      </c>
      <c r="G3818">
        <v>1239.98</v>
      </c>
      <c r="H3818" s="22">
        <f>VLOOKUP(A3818,[1]Orders!$A$2:$B$1616,2,0)</f>
        <v>43094</v>
      </c>
      <c r="J3818" t="s">
        <v>44</v>
      </c>
      <c r="K3818" t="s">
        <v>18</v>
      </c>
    </row>
    <row r="3819" spans="1:11" x14ac:dyDescent="0.3">
      <c r="A3819">
        <v>1314</v>
      </c>
      <c r="B3819">
        <v>3</v>
      </c>
      <c r="C3819">
        <v>94</v>
      </c>
      <c r="D3819">
        <v>1</v>
      </c>
      <c r="E3819" s="1">
        <v>249.99</v>
      </c>
      <c r="F3819" s="1">
        <v>0.1</v>
      </c>
      <c r="G3819">
        <v>249.99</v>
      </c>
      <c r="H3819" s="22">
        <f>VLOOKUP(A3819,[1]Orders!$A$2:$B$1616,2,0)</f>
        <v>43094</v>
      </c>
      <c r="J3819" t="s">
        <v>59</v>
      </c>
      <c r="K3819" t="s">
        <v>18</v>
      </c>
    </row>
    <row r="3820" spans="1:11" x14ac:dyDescent="0.3">
      <c r="A3820">
        <v>1315</v>
      </c>
      <c r="B3820">
        <v>1</v>
      </c>
      <c r="C3820">
        <v>104</v>
      </c>
      <c r="D3820">
        <v>2</v>
      </c>
      <c r="E3820" s="1">
        <v>481.99</v>
      </c>
      <c r="F3820" s="1">
        <v>7.0000000000000007E-2</v>
      </c>
      <c r="G3820">
        <v>963.98</v>
      </c>
      <c r="H3820" s="22">
        <f>VLOOKUP(A3820,[1]Orders!$A$2:$B$1616,2,0)</f>
        <v>43094</v>
      </c>
      <c r="J3820" t="s">
        <v>87</v>
      </c>
      <c r="K3820" t="s">
        <v>37</v>
      </c>
    </row>
    <row r="3821" spans="1:11" x14ac:dyDescent="0.3">
      <c r="A3821">
        <v>1315</v>
      </c>
      <c r="B3821">
        <v>2</v>
      </c>
      <c r="C3821">
        <v>41</v>
      </c>
      <c r="D3821">
        <v>1</v>
      </c>
      <c r="E3821" s="1">
        <v>1469.99</v>
      </c>
      <c r="F3821" s="1">
        <v>0.05</v>
      </c>
      <c r="G3821">
        <v>1469.99</v>
      </c>
      <c r="H3821" s="22">
        <f>VLOOKUP(A3821,[1]Orders!$A$2:$B$1616,2,0)</f>
        <v>43094</v>
      </c>
      <c r="J3821" t="s">
        <v>77</v>
      </c>
      <c r="K3821" t="s">
        <v>37</v>
      </c>
    </row>
    <row r="3822" spans="1:11" x14ac:dyDescent="0.3">
      <c r="A3822">
        <v>1315</v>
      </c>
      <c r="B3822">
        <v>3</v>
      </c>
      <c r="C3822">
        <v>24</v>
      </c>
      <c r="D3822">
        <v>1</v>
      </c>
      <c r="E3822" s="1">
        <v>549.99</v>
      </c>
      <c r="F3822" s="1">
        <v>0.1</v>
      </c>
      <c r="G3822">
        <v>549.99</v>
      </c>
      <c r="H3822" s="22">
        <f>VLOOKUP(A3822,[1]Orders!$A$2:$B$1616,2,0)</f>
        <v>43094</v>
      </c>
      <c r="J3822" t="s">
        <v>25</v>
      </c>
      <c r="K3822" t="s">
        <v>37</v>
      </c>
    </row>
    <row r="3823" spans="1:11" x14ac:dyDescent="0.3">
      <c r="A3823">
        <v>1315</v>
      </c>
      <c r="B3823">
        <v>4</v>
      </c>
      <c r="C3823">
        <v>26</v>
      </c>
      <c r="D3823">
        <v>1</v>
      </c>
      <c r="E3823" s="1">
        <v>599.99</v>
      </c>
      <c r="F3823" s="1">
        <v>7.0000000000000007E-2</v>
      </c>
      <c r="G3823">
        <v>599.99</v>
      </c>
      <c r="H3823" s="22">
        <f>VLOOKUP(A3823,[1]Orders!$A$2:$B$1616,2,0)</f>
        <v>43094</v>
      </c>
      <c r="J3823" t="s">
        <v>14</v>
      </c>
      <c r="K3823" t="s">
        <v>37</v>
      </c>
    </row>
    <row r="3824" spans="1:11" x14ac:dyDescent="0.3">
      <c r="A3824">
        <v>1315</v>
      </c>
      <c r="B3824">
        <v>5</v>
      </c>
      <c r="C3824">
        <v>16</v>
      </c>
      <c r="D3824">
        <v>2</v>
      </c>
      <c r="E3824" s="1">
        <v>599.99</v>
      </c>
      <c r="F3824" s="1">
        <v>0.2</v>
      </c>
      <c r="G3824">
        <v>1199.98</v>
      </c>
      <c r="H3824" s="22">
        <f>VLOOKUP(A3824,[1]Orders!$A$2:$B$1616,2,0)</f>
        <v>43094</v>
      </c>
      <c r="J3824" t="s">
        <v>14</v>
      </c>
      <c r="K3824" t="s">
        <v>37</v>
      </c>
    </row>
    <row r="3825" spans="1:11" x14ac:dyDescent="0.3">
      <c r="A3825">
        <v>1316</v>
      </c>
      <c r="B3825">
        <v>1</v>
      </c>
      <c r="C3825">
        <v>76</v>
      </c>
      <c r="D3825">
        <v>2</v>
      </c>
      <c r="E3825" s="1">
        <v>299.99</v>
      </c>
      <c r="F3825" s="1">
        <v>0.1</v>
      </c>
      <c r="G3825">
        <v>599.98</v>
      </c>
      <c r="H3825" s="22">
        <f>VLOOKUP(A3825,[1]Orders!$A$2:$B$1616,2,0)</f>
        <v>43095</v>
      </c>
      <c r="J3825" t="s">
        <v>48</v>
      </c>
      <c r="K3825" t="s">
        <v>11</v>
      </c>
    </row>
    <row r="3826" spans="1:11" x14ac:dyDescent="0.3">
      <c r="A3826">
        <v>1316</v>
      </c>
      <c r="B3826">
        <v>2</v>
      </c>
      <c r="C3826">
        <v>90</v>
      </c>
      <c r="D3826">
        <v>1</v>
      </c>
      <c r="E3826" s="1">
        <v>209.99</v>
      </c>
      <c r="F3826" s="1">
        <v>0.1</v>
      </c>
      <c r="G3826">
        <v>209.99</v>
      </c>
      <c r="H3826" s="22">
        <f>VLOOKUP(A3826,[1]Orders!$A$2:$B$1616,2,0)</f>
        <v>43095</v>
      </c>
      <c r="J3826" t="s">
        <v>56</v>
      </c>
      <c r="K3826" t="s">
        <v>11</v>
      </c>
    </row>
    <row r="3827" spans="1:11" x14ac:dyDescent="0.3">
      <c r="A3827">
        <v>1317</v>
      </c>
      <c r="B3827">
        <v>1</v>
      </c>
      <c r="C3827">
        <v>82</v>
      </c>
      <c r="D3827">
        <v>1</v>
      </c>
      <c r="E3827" s="1">
        <v>659.99</v>
      </c>
      <c r="F3827" s="1">
        <v>0.1</v>
      </c>
      <c r="G3827">
        <v>659.99</v>
      </c>
      <c r="H3827" s="22">
        <f>VLOOKUP(A3827,[1]Orders!$A$2:$B$1616,2,0)</f>
        <v>43096</v>
      </c>
      <c r="J3827" t="s">
        <v>100</v>
      </c>
      <c r="K3827" t="s">
        <v>11</v>
      </c>
    </row>
    <row r="3828" spans="1:11" x14ac:dyDescent="0.3">
      <c r="A3828">
        <v>1318</v>
      </c>
      <c r="B3828">
        <v>1</v>
      </c>
      <c r="C3828">
        <v>82</v>
      </c>
      <c r="D3828">
        <v>2</v>
      </c>
      <c r="E3828" s="1">
        <v>659.99</v>
      </c>
      <c r="F3828" s="1">
        <v>0.2</v>
      </c>
      <c r="G3828">
        <v>1319.98</v>
      </c>
      <c r="H3828" s="22">
        <f>VLOOKUP(A3828,[1]Orders!$A$2:$B$1616,2,0)</f>
        <v>43096</v>
      </c>
      <c r="J3828" t="s">
        <v>100</v>
      </c>
      <c r="K3828" t="s">
        <v>18</v>
      </c>
    </row>
    <row r="3829" spans="1:11" x14ac:dyDescent="0.3">
      <c r="A3829">
        <v>1318</v>
      </c>
      <c r="B3829">
        <v>2</v>
      </c>
      <c r="C3829">
        <v>62</v>
      </c>
      <c r="D3829">
        <v>2</v>
      </c>
      <c r="E3829" s="1">
        <v>3499.99</v>
      </c>
      <c r="F3829" s="1">
        <v>0.2</v>
      </c>
      <c r="G3829">
        <v>6999.98</v>
      </c>
      <c r="H3829" s="22">
        <f>VLOOKUP(A3829,[1]Orders!$A$2:$B$1616,2,0)</f>
        <v>43096</v>
      </c>
      <c r="J3829" t="s">
        <v>50</v>
      </c>
      <c r="K3829" t="s">
        <v>18</v>
      </c>
    </row>
    <row r="3830" spans="1:11" x14ac:dyDescent="0.3">
      <c r="A3830">
        <v>1318</v>
      </c>
      <c r="B3830">
        <v>3</v>
      </c>
      <c r="C3830">
        <v>111</v>
      </c>
      <c r="D3830">
        <v>1</v>
      </c>
      <c r="E3830" s="1">
        <v>470.99</v>
      </c>
      <c r="F3830" s="1">
        <v>0.2</v>
      </c>
      <c r="G3830">
        <v>470.99</v>
      </c>
      <c r="H3830" s="22">
        <f>VLOOKUP(A3830,[1]Orders!$A$2:$B$1616,2,0)</f>
        <v>43096</v>
      </c>
      <c r="J3830" t="s">
        <v>112</v>
      </c>
      <c r="K3830" t="s">
        <v>18</v>
      </c>
    </row>
    <row r="3831" spans="1:11" x14ac:dyDescent="0.3">
      <c r="A3831">
        <v>1318</v>
      </c>
      <c r="B3831">
        <v>4</v>
      </c>
      <c r="C3831">
        <v>92</v>
      </c>
      <c r="D3831">
        <v>1</v>
      </c>
      <c r="E3831" s="1">
        <v>209.99</v>
      </c>
      <c r="F3831" s="1">
        <v>7.0000000000000007E-2</v>
      </c>
      <c r="G3831">
        <v>209.99</v>
      </c>
      <c r="H3831" s="22">
        <f>VLOOKUP(A3831,[1]Orders!$A$2:$B$1616,2,0)</f>
        <v>43096</v>
      </c>
      <c r="J3831" t="s">
        <v>111</v>
      </c>
      <c r="K3831" t="s">
        <v>18</v>
      </c>
    </row>
    <row r="3832" spans="1:11" x14ac:dyDescent="0.3">
      <c r="A3832">
        <v>1319</v>
      </c>
      <c r="B3832">
        <v>1</v>
      </c>
      <c r="C3832">
        <v>75</v>
      </c>
      <c r="D3832">
        <v>1</v>
      </c>
      <c r="E3832" s="1">
        <v>599.99</v>
      </c>
      <c r="F3832" s="1">
        <v>7.0000000000000007E-2</v>
      </c>
      <c r="G3832">
        <v>599.99</v>
      </c>
      <c r="H3832" s="22">
        <f>VLOOKUP(A3832,[1]Orders!$A$2:$B$1616,2,0)</f>
        <v>43096</v>
      </c>
      <c r="J3832" t="s">
        <v>95</v>
      </c>
      <c r="K3832" t="s">
        <v>18</v>
      </c>
    </row>
    <row r="3833" spans="1:11" x14ac:dyDescent="0.3">
      <c r="A3833">
        <v>1319</v>
      </c>
      <c r="B3833">
        <v>2</v>
      </c>
      <c r="C3833">
        <v>91</v>
      </c>
      <c r="D3833">
        <v>1</v>
      </c>
      <c r="E3833" s="1">
        <v>349.99</v>
      </c>
      <c r="F3833" s="1">
        <v>0.2</v>
      </c>
      <c r="G3833">
        <v>349.99</v>
      </c>
      <c r="H3833" s="22">
        <f>VLOOKUP(A3833,[1]Orders!$A$2:$B$1616,2,0)</f>
        <v>43096</v>
      </c>
      <c r="J3833" t="s">
        <v>97</v>
      </c>
      <c r="K3833" t="s">
        <v>18</v>
      </c>
    </row>
    <row r="3834" spans="1:11" x14ac:dyDescent="0.3">
      <c r="A3834">
        <v>1320</v>
      </c>
      <c r="B3834">
        <v>1</v>
      </c>
      <c r="C3834">
        <v>104</v>
      </c>
      <c r="D3834">
        <v>1</v>
      </c>
      <c r="E3834" s="1">
        <v>481.99</v>
      </c>
      <c r="F3834" s="1">
        <v>0.1</v>
      </c>
      <c r="G3834">
        <v>481.99</v>
      </c>
      <c r="H3834" s="22">
        <f>VLOOKUP(A3834,[1]Orders!$A$2:$B$1616,2,0)</f>
        <v>43097</v>
      </c>
      <c r="J3834" t="s">
        <v>87</v>
      </c>
      <c r="K3834" t="s">
        <v>11</v>
      </c>
    </row>
    <row r="3835" spans="1:11" x14ac:dyDescent="0.3">
      <c r="A3835">
        <v>1320</v>
      </c>
      <c r="B3835">
        <v>2</v>
      </c>
      <c r="C3835">
        <v>93</v>
      </c>
      <c r="D3835">
        <v>1</v>
      </c>
      <c r="E3835" s="1">
        <v>209.99</v>
      </c>
      <c r="F3835" s="1">
        <v>0.05</v>
      </c>
      <c r="G3835">
        <v>209.99</v>
      </c>
      <c r="H3835" s="22">
        <f>VLOOKUP(A3835,[1]Orders!$A$2:$B$1616,2,0)</f>
        <v>43097</v>
      </c>
      <c r="J3835" t="s">
        <v>110</v>
      </c>
      <c r="K3835" t="s">
        <v>11</v>
      </c>
    </row>
    <row r="3836" spans="1:11" x14ac:dyDescent="0.3">
      <c r="A3836">
        <v>1320</v>
      </c>
      <c r="B3836">
        <v>3</v>
      </c>
      <c r="C3836">
        <v>99</v>
      </c>
      <c r="D3836">
        <v>2</v>
      </c>
      <c r="E3836" s="1">
        <v>299.99</v>
      </c>
      <c r="F3836" s="1">
        <v>0.2</v>
      </c>
      <c r="G3836">
        <v>599.98</v>
      </c>
      <c r="H3836" s="22">
        <f>VLOOKUP(A3836,[1]Orders!$A$2:$B$1616,2,0)</f>
        <v>43097</v>
      </c>
      <c r="J3836" t="s">
        <v>52</v>
      </c>
      <c r="K3836" t="s">
        <v>11</v>
      </c>
    </row>
    <row r="3837" spans="1:11" x14ac:dyDescent="0.3">
      <c r="A3837">
        <v>1321</v>
      </c>
      <c r="B3837">
        <v>1</v>
      </c>
      <c r="C3837">
        <v>34</v>
      </c>
      <c r="D3837">
        <v>1</v>
      </c>
      <c r="E3837" s="1">
        <v>469.99</v>
      </c>
      <c r="F3837" s="1">
        <v>0.1</v>
      </c>
      <c r="G3837">
        <v>469.99</v>
      </c>
      <c r="H3837" s="22">
        <f>VLOOKUP(A3837,[1]Orders!$A$2:$B$1616,2,0)</f>
        <v>43099</v>
      </c>
      <c r="J3837" t="s">
        <v>107</v>
      </c>
      <c r="K3837" t="s">
        <v>11</v>
      </c>
    </row>
    <row r="3838" spans="1:11" x14ac:dyDescent="0.3">
      <c r="A3838">
        <v>1321</v>
      </c>
      <c r="B3838">
        <v>2</v>
      </c>
      <c r="C3838">
        <v>107</v>
      </c>
      <c r="D3838">
        <v>1</v>
      </c>
      <c r="E3838" s="1">
        <v>416.99</v>
      </c>
      <c r="F3838" s="1">
        <v>0.1</v>
      </c>
      <c r="G3838">
        <v>416.99</v>
      </c>
      <c r="H3838" s="22">
        <f>VLOOKUP(A3838,[1]Orders!$A$2:$B$1616,2,0)</f>
        <v>43099</v>
      </c>
      <c r="J3838" t="s">
        <v>89</v>
      </c>
      <c r="K3838" t="s">
        <v>11</v>
      </c>
    </row>
    <row r="3839" spans="1:11" x14ac:dyDescent="0.3">
      <c r="A3839">
        <v>1321</v>
      </c>
      <c r="B3839">
        <v>3</v>
      </c>
      <c r="C3839">
        <v>11</v>
      </c>
      <c r="D3839">
        <v>2</v>
      </c>
      <c r="E3839" s="1">
        <v>1680.99</v>
      </c>
      <c r="F3839" s="1">
        <v>0.1</v>
      </c>
      <c r="G3839">
        <v>3361.98</v>
      </c>
      <c r="H3839" s="22">
        <f>VLOOKUP(A3839,[1]Orders!$A$2:$B$1616,2,0)</f>
        <v>43099</v>
      </c>
      <c r="J3839" t="s">
        <v>30</v>
      </c>
      <c r="K3839" t="s">
        <v>11</v>
      </c>
    </row>
    <row r="3840" spans="1:11" x14ac:dyDescent="0.3">
      <c r="A3840">
        <v>1322</v>
      </c>
      <c r="B3840">
        <v>1</v>
      </c>
      <c r="C3840">
        <v>28</v>
      </c>
      <c r="D3840">
        <v>2</v>
      </c>
      <c r="E3840" s="1">
        <v>2499.9899999999998</v>
      </c>
      <c r="F3840" s="1">
        <v>0.05</v>
      </c>
      <c r="G3840">
        <v>4999.9799999999996</v>
      </c>
      <c r="H3840" s="22">
        <f>VLOOKUP(A3840,[1]Orders!$A$2:$B$1616,2,0)</f>
        <v>43100</v>
      </c>
      <c r="J3840" t="s">
        <v>86</v>
      </c>
      <c r="K3840" t="s">
        <v>18</v>
      </c>
    </row>
    <row r="3841" spans="1:11" x14ac:dyDescent="0.3">
      <c r="A3841">
        <v>1322</v>
      </c>
      <c r="B3841">
        <v>2</v>
      </c>
      <c r="C3841">
        <v>104</v>
      </c>
      <c r="D3841">
        <v>2</v>
      </c>
      <c r="E3841" s="1">
        <v>481.99</v>
      </c>
      <c r="F3841" s="1">
        <v>0.05</v>
      </c>
      <c r="G3841">
        <v>963.98</v>
      </c>
      <c r="H3841" s="22">
        <f>VLOOKUP(A3841,[1]Orders!$A$2:$B$1616,2,0)</f>
        <v>43100</v>
      </c>
      <c r="J3841" t="s">
        <v>87</v>
      </c>
      <c r="K3841" t="s">
        <v>18</v>
      </c>
    </row>
    <row r="3842" spans="1:11" x14ac:dyDescent="0.3">
      <c r="A3842">
        <v>1323</v>
      </c>
      <c r="B3842">
        <v>1</v>
      </c>
      <c r="C3842">
        <v>27</v>
      </c>
      <c r="D3842">
        <v>2</v>
      </c>
      <c r="E3842" s="1">
        <v>999.99</v>
      </c>
      <c r="F3842" s="1">
        <v>7.0000000000000007E-2</v>
      </c>
      <c r="G3842">
        <v>1999.98</v>
      </c>
      <c r="H3842" s="22">
        <f>VLOOKUP(A3842,[1]Orders!$A$2:$B$1616,2,0)</f>
        <v>43100</v>
      </c>
      <c r="J3842" t="s">
        <v>106</v>
      </c>
      <c r="K3842" t="s">
        <v>18</v>
      </c>
    </row>
    <row r="3843" spans="1:11" x14ac:dyDescent="0.3">
      <c r="A3843">
        <v>1323</v>
      </c>
      <c r="B3843">
        <v>2</v>
      </c>
      <c r="C3843">
        <v>20</v>
      </c>
      <c r="D3843">
        <v>1</v>
      </c>
      <c r="E3843" s="1">
        <v>599.99</v>
      </c>
      <c r="F3843" s="1">
        <v>0.05</v>
      </c>
      <c r="G3843">
        <v>599.99</v>
      </c>
      <c r="H3843" s="22">
        <f>VLOOKUP(A3843,[1]Orders!$A$2:$B$1616,2,0)</f>
        <v>43100</v>
      </c>
      <c r="J3843" t="s">
        <v>10</v>
      </c>
      <c r="K3843" t="s">
        <v>18</v>
      </c>
    </row>
    <row r="3844" spans="1:11" x14ac:dyDescent="0.3">
      <c r="A3844">
        <v>1323</v>
      </c>
      <c r="B3844">
        <v>3</v>
      </c>
      <c r="C3844">
        <v>70</v>
      </c>
      <c r="D3844">
        <v>1</v>
      </c>
      <c r="E3844" s="1">
        <v>659.99</v>
      </c>
      <c r="F3844" s="1">
        <v>0.05</v>
      </c>
      <c r="G3844">
        <v>659.99</v>
      </c>
      <c r="H3844" s="22">
        <f>VLOOKUP(A3844,[1]Orders!$A$2:$B$1616,2,0)</f>
        <v>43100</v>
      </c>
      <c r="J3844" t="s">
        <v>73</v>
      </c>
      <c r="K3844" t="s">
        <v>18</v>
      </c>
    </row>
    <row r="3845" spans="1:11" x14ac:dyDescent="0.3">
      <c r="A3845">
        <v>1324</v>
      </c>
      <c r="B3845">
        <v>1</v>
      </c>
      <c r="C3845">
        <v>66</v>
      </c>
      <c r="D3845">
        <v>1</v>
      </c>
      <c r="E3845" s="1">
        <v>250.99</v>
      </c>
      <c r="F3845" s="1">
        <v>0.1</v>
      </c>
      <c r="G3845">
        <v>250.99</v>
      </c>
      <c r="H3845" s="22">
        <f>VLOOKUP(A3845,[1]Orders!$A$2:$B$1616,2,0)</f>
        <v>43101</v>
      </c>
      <c r="J3845" t="s">
        <v>92</v>
      </c>
      <c r="K3845" t="s">
        <v>18</v>
      </c>
    </row>
    <row r="3846" spans="1:11" x14ac:dyDescent="0.3">
      <c r="A3846">
        <v>1324</v>
      </c>
      <c r="B3846">
        <v>2</v>
      </c>
      <c r="C3846">
        <v>120</v>
      </c>
      <c r="D3846">
        <v>2</v>
      </c>
      <c r="E3846" s="1">
        <v>2499.9899999999998</v>
      </c>
      <c r="F3846" s="1">
        <v>0.2</v>
      </c>
      <c r="G3846">
        <v>4999.9799999999996</v>
      </c>
      <c r="H3846" s="22">
        <f>VLOOKUP(A3846,[1]Orders!$A$2:$B$1616,2,0)</f>
        <v>43101</v>
      </c>
      <c r="J3846" t="s">
        <v>119</v>
      </c>
      <c r="K3846" t="s">
        <v>18</v>
      </c>
    </row>
    <row r="3847" spans="1:11" x14ac:dyDescent="0.3">
      <c r="A3847">
        <v>1324</v>
      </c>
      <c r="B3847">
        <v>3</v>
      </c>
      <c r="C3847">
        <v>235</v>
      </c>
      <c r="D3847">
        <v>1</v>
      </c>
      <c r="E3847" s="1">
        <v>899.99</v>
      </c>
      <c r="F3847" s="1">
        <v>0.1</v>
      </c>
      <c r="G3847">
        <v>899.99</v>
      </c>
      <c r="H3847" s="22">
        <f>VLOOKUP(A3847,[1]Orders!$A$2:$B$1616,2,0)</f>
        <v>43101</v>
      </c>
      <c r="J3847" t="s">
        <v>120</v>
      </c>
      <c r="K3847" t="s">
        <v>18</v>
      </c>
    </row>
    <row r="3848" spans="1:11" x14ac:dyDescent="0.3">
      <c r="A3848">
        <v>1324</v>
      </c>
      <c r="B3848">
        <v>4</v>
      </c>
      <c r="C3848">
        <v>3</v>
      </c>
      <c r="D3848">
        <v>1</v>
      </c>
      <c r="E3848" s="1">
        <v>999.99</v>
      </c>
      <c r="F3848" s="1">
        <v>0.2</v>
      </c>
      <c r="G3848">
        <v>999.99</v>
      </c>
      <c r="H3848" s="22">
        <f>VLOOKUP(A3848,[1]Orders!$A$2:$B$1616,2,0)</f>
        <v>43101</v>
      </c>
      <c r="J3848" t="s">
        <v>20</v>
      </c>
      <c r="K3848" t="s">
        <v>18</v>
      </c>
    </row>
    <row r="3849" spans="1:11" x14ac:dyDescent="0.3">
      <c r="A3849">
        <v>1325</v>
      </c>
      <c r="B3849">
        <v>1</v>
      </c>
      <c r="C3849">
        <v>139</v>
      </c>
      <c r="D3849">
        <v>1</v>
      </c>
      <c r="E3849" s="1">
        <v>2999.99</v>
      </c>
      <c r="F3849" s="1">
        <v>0.05</v>
      </c>
      <c r="G3849">
        <v>2999.99</v>
      </c>
      <c r="H3849" s="22">
        <f>VLOOKUP(A3849,[1]Orders!$A$2:$B$1616,2,0)</f>
        <v>43101</v>
      </c>
      <c r="J3849" t="s">
        <v>121</v>
      </c>
      <c r="K3849" t="s">
        <v>37</v>
      </c>
    </row>
    <row r="3850" spans="1:11" x14ac:dyDescent="0.3">
      <c r="A3850">
        <v>1325</v>
      </c>
      <c r="B3850">
        <v>2</v>
      </c>
      <c r="C3850">
        <v>257</v>
      </c>
      <c r="D3850">
        <v>1</v>
      </c>
      <c r="E3850" s="1">
        <v>899.99</v>
      </c>
      <c r="F3850" s="1">
        <v>0.05</v>
      </c>
      <c r="G3850">
        <v>899.99</v>
      </c>
      <c r="H3850" s="22">
        <f>VLOOKUP(A3850,[1]Orders!$A$2:$B$1616,2,0)</f>
        <v>43101</v>
      </c>
      <c r="J3850" t="s">
        <v>122</v>
      </c>
      <c r="K3850" t="s">
        <v>37</v>
      </c>
    </row>
    <row r="3851" spans="1:11" x14ac:dyDescent="0.3">
      <c r="A3851">
        <v>1325</v>
      </c>
      <c r="B3851">
        <v>3</v>
      </c>
      <c r="C3851">
        <v>209</v>
      </c>
      <c r="D3851">
        <v>1</v>
      </c>
      <c r="E3851" s="1">
        <v>2999.99</v>
      </c>
      <c r="F3851" s="1">
        <v>0.1</v>
      </c>
      <c r="G3851">
        <v>2999.99</v>
      </c>
      <c r="H3851" s="22">
        <f>VLOOKUP(A3851,[1]Orders!$A$2:$B$1616,2,0)</f>
        <v>43101</v>
      </c>
      <c r="J3851" t="s">
        <v>123</v>
      </c>
      <c r="K3851" t="s">
        <v>37</v>
      </c>
    </row>
    <row r="3852" spans="1:11" x14ac:dyDescent="0.3">
      <c r="A3852">
        <v>1325</v>
      </c>
      <c r="B3852">
        <v>4</v>
      </c>
      <c r="C3852">
        <v>28</v>
      </c>
      <c r="D3852">
        <v>1</v>
      </c>
      <c r="E3852" s="1">
        <v>2499.9899999999998</v>
      </c>
      <c r="F3852" s="1">
        <v>7.0000000000000007E-2</v>
      </c>
      <c r="G3852">
        <v>2499.9899999999998</v>
      </c>
      <c r="H3852" s="22">
        <f>VLOOKUP(A3852,[1]Orders!$A$2:$B$1616,2,0)</f>
        <v>43101</v>
      </c>
      <c r="J3852" t="s">
        <v>86</v>
      </c>
      <c r="K3852" t="s">
        <v>37</v>
      </c>
    </row>
    <row r="3853" spans="1:11" x14ac:dyDescent="0.3">
      <c r="A3853">
        <v>1326</v>
      </c>
      <c r="B3853">
        <v>1</v>
      </c>
      <c r="C3853">
        <v>190</v>
      </c>
      <c r="D3853">
        <v>2</v>
      </c>
      <c r="E3853" s="1">
        <v>2799.99</v>
      </c>
      <c r="F3853" s="1">
        <v>7.0000000000000007E-2</v>
      </c>
      <c r="G3853">
        <v>5599.98</v>
      </c>
      <c r="H3853" s="22">
        <f>VLOOKUP(A3853,[1]Orders!$A$2:$B$1616,2,0)</f>
        <v>43101</v>
      </c>
      <c r="J3853" t="s">
        <v>124</v>
      </c>
      <c r="K3853" t="s">
        <v>37</v>
      </c>
    </row>
    <row r="3854" spans="1:11" x14ac:dyDescent="0.3">
      <c r="A3854">
        <v>1326</v>
      </c>
      <c r="B3854">
        <v>2</v>
      </c>
      <c r="C3854">
        <v>269</v>
      </c>
      <c r="D3854">
        <v>2</v>
      </c>
      <c r="E3854" s="1">
        <v>199.99</v>
      </c>
      <c r="F3854" s="1">
        <v>7.0000000000000007E-2</v>
      </c>
      <c r="G3854">
        <v>399.98</v>
      </c>
      <c r="H3854" s="22">
        <f>VLOOKUP(A3854,[1]Orders!$A$2:$B$1616,2,0)</f>
        <v>43101</v>
      </c>
      <c r="J3854" t="s">
        <v>125</v>
      </c>
      <c r="K3854" t="s">
        <v>37</v>
      </c>
    </row>
    <row r="3855" spans="1:11" x14ac:dyDescent="0.3">
      <c r="A3855">
        <v>1327</v>
      </c>
      <c r="B3855">
        <v>1</v>
      </c>
      <c r="C3855">
        <v>151</v>
      </c>
      <c r="D3855">
        <v>2</v>
      </c>
      <c r="E3855" s="1">
        <v>1549.99</v>
      </c>
      <c r="F3855" s="1">
        <v>7.0000000000000007E-2</v>
      </c>
      <c r="G3855">
        <v>3099.98</v>
      </c>
      <c r="H3855" s="22">
        <f>VLOOKUP(A3855,[1]Orders!$A$2:$B$1616,2,0)</f>
        <v>43102</v>
      </c>
      <c r="J3855" t="s">
        <v>126</v>
      </c>
      <c r="K3855" t="s">
        <v>18</v>
      </c>
    </row>
    <row r="3856" spans="1:11" x14ac:dyDescent="0.3">
      <c r="A3856">
        <v>1327</v>
      </c>
      <c r="B3856">
        <v>2</v>
      </c>
      <c r="C3856">
        <v>235</v>
      </c>
      <c r="D3856">
        <v>2</v>
      </c>
      <c r="E3856" s="1">
        <v>899.99</v>
      </c>
      <c r="F3856" s="1">
        <v>0.1</v>
      </c>
      <c r="G3856">
        <v>1799.98</v>
      </c>
      <c r="H3856" s="22">
        <f>VLOOKUP(A3856,[1]Orders!$A$2:$B$1616,2,0)</f>
        <v>43102</v>
      </c>
      <c r="J3856" t="s">
        <v>120</v>
      </c>
      <c r="K3856" t="s">
        <v>18</v>
      </c>
    </row>
    <row r="3857" spans="1:11" x14ac:dyDescent="0.3">
      <c r="A3857">
        <v>1327</v>
      </c>
      <c r="B3857">
        <v>3</v>
      </c>
      <c r="C3857">
        <v>48</v>
      </c>
      <c r="D3857">
        <v>2</v>
      </c>
      <c r="E3857" s="1">
        <v>1499.99</v>
      </c>
      <c r="F3857" s="1">
        <v>0.1</v>
      </c>
      <c r="G3857">
        <v>2999.98</v>
      </c>
      <c r="H3857" s="22">
        <f>VLOOKUP(A3857,[1]Orders!$A$2:$B$1616,2,0)</f>
        <v>43102</v>
      </c>
      <c r="J3857" t="s">
        <v>84</v>
      </c>
      <c r="K3857" t="s">
        <v>18</v>
      </c>
    </row>
    <row r="3858" spans="1:11" x14ac:dyDescent="0.3">
      <c r="A3858">
        <v>1327</v>
      </c>
      <c r="B3858">
        <v>4</v>
      </c>
      <c r="C3858">
        <v>180</v>
      </c>
      <c r="D3858">
        <v>1</v>
      </c>
      <c r="E3858" s="1">
        <v>919.99</v>
      </c>
      <c r="F3858" s="1">
        <v>0.2</v>
      </c>
      <c r="G3858">
        <v>919.99</v>
      </c>
      <c r="H3858" s="22">
        <f>VLOOKUP(A3858,[1]Orders!$A$2:$B$1616,2,0)</f>
        <v>43102</v>
      </c>
      <c r="J3858" t="s">
        <v>127</v>
      </c>
      <c r="K3858" t="s">
        <v>18</v>
      </c>
    </row>
    <row r="3859" spans="1:11" x14ac:dyDescent="0.3">
      <c r="A3859">
        <v>1328</v>
      </c>
      <c r="B3859">
        <v>1</v>
      </c>
      <c r="C3859">
        <v>241</v>
      </c>
      <c r="D3859">
        <v>1</v>
      </c>
      <c r="E3859" s="1">
        <v>749.99</v>
      </c>
      <c r="F3859" s="1">
        <v>7.0000000000000007E-2</v>
      </c>
      <c r="G3859">
        <v>749.99</v>
      </c>
      <c r="H3859" s="22">
        <f>VLOOKUP(A3859,[1]Orders!$A$2:$B$1616,2,0)</f>
        <v>43102</v>
      </c>
      <c r="J3859" t="s">
        <v>128</v>
      </c>
      <c r="K3859" t="s">
        <v>18</v>
      </c>
    </row>
    <row r="3860" spans="1:11" x14ac:dyDescent="0.3">
      <c r="A3860">
        <v>1328</v>
      </c>
      <c r="B3860">
        <v>2</v>
      </c>
      <c r="C3860">
        <v>129</v>
      </c>
      <c r="D3860">
        <v>2</v>
      </c>
      <c r="E3860" s="1">
        <v>919.99</v>
      </c>
      <c r="F3860" s="1">
        <v>0.1</v>
      </c>
      <c r="G3860">
        <v>1839.98</v>
      </c>
      <c r="H3860" s="22">
        <f>VLOOKUP(A3860,[1]Orders!$A$2:$B$1616,2,0)</f>
        <v>43102</v>
      </c>
      <c r="J3860" t="s">
        <v>129</v>
      </c>
      <c r="K3860" t="s">
        <v>18</v>
      </c>
    </row>
    <row r="3861" spans="1:11" x14ac:dyDescent="0.3">
      <c r="A3861">
        <v>1328</v>
      </c>
      <c r="B3861">
        <v>3</v>
      </c>
      <c r="C3861">
        <v>228</v>
      </c>
      <c r="D3861">
        <v>1</v>
      </c>
      <c r="E3861" s="1">
        <v>319.99</v>
      </c>
      <c r="F3861" s="1">
        <v>7.0000000000000007E-2</v>
      </c>
      <c r="G3861">
        <v>319.99</v>
      </c>
      <c r="H3861" s="22">
        <f>VLOOKUP(A3861,[1]Orders!$A$2:$B$1616,2,0)</f>
        <v>43102</v>
      </c>
      <c r="J3861" t="s">
        <v>130</v>
      </c>
      <c r="K3861" t="s">
        <v>18</v>
      </c>
    </row>
    <row r="3862" spans="1:11" x14ac:dyDescent="0.3">
      <c r="A3862">
        <v>1328</v>
      </c>
      <c r="B3862">
        <v>4</v>
      </c>
      <c r="C3862">
        <v>311</v>
      </c>
      <c r="D3862">
        <v>1</v>
      </c>
      <c r="E3862" s="1">
        <v>749.99</v>
      </c>
      <c r="F3862" s="1">
        <v>0.1</v>
      </c>
      <c r="G3862">
        <v>749.99</v>
      </c>
      <c r="H3862" s="22">
        <f>VLOOKUP(A3862,[1]Orders!$A$2:$B$1616,2,0)</f>
        <v>43102</v>
      </c>
      <c r="J3862" t="s">
        <v>128</v>
      </c>
      <c r="K3862" t="s">
        <v>18</v>
      </c>
    </row>
    <row r="3863" spans="1:11" x14ac:dyDescent="0.3">
      <c r="A3863">
        <v>1328</v>
      </c>
      <c r="B3863">
        <v>5</v>
      </c>
      <c r="C3863">
        <v>247</v>
      </c>
      <c r="D3863">
        <v>1</v>
      </c>
      <c r="E3863" s="1">
        <v>599.99</v>
      </c>
      <c r="F3863" s="1">
        <v>0.1</v>
      </c>
      <c r="G3863">
        <v>599.99</v>
      </c>
      <c r="H3863" s="22">
        <f>VLOOKUP(A3863,[1]Orders!$A$2:$B$1616,2,0)</f>
        <v>43102</v>
      </c>
      <c r="J3863" t="s">
        <v>131</v>
      </c>
      <c r="K3863" t="s">
        <v>18</v>
      </c>
    </row>
    <row r="3864" spans="1:11" x14ac:dyDescent="0.3">
      <c r="A3864">
        <v>1329</v>
      </c>
      <c r="B3864">
        <v>1</v>
      </c>
      <c r="C3864">
        <v>143</v>
      </c>
      <c r="D3864">
        <v>1</v>
      </c>
      <c r="E3864" s="1">
        <v>1099.99</v>
      </c>
      <c r="F3864" s="1">
        <v>7.0000000000000007E-2</v>
      </c>
      <c r="G3864">
        <v>1099.99</v>
      </c>
      <c r="H3864" s="22">
        <f>VLOOKUP(A3864,[1]Orders!$A$2:$B$1616,2,0)</f>
        <v>43104</v>
      </c>
      <c r="J3864" t="s">
        <v>132</v>
      </c>
      <c r="K3864" t="s">
        <v>11</v>
      </c>
    </row>
    <row r="3865" spans="1:11" x14ac:dyDescent="0.3">
      <c r="A3865">
        <v>1329</v>
      </c>
      <c r="B3865">
        <v>2</v>
      </c>
      <c r="C3865">
        <v>107</v>
      </c>
      <c r="D3865">
        <v>1</v>
      </c>
      <c r="E3865" s="1">
        <v>416.99</v>
      </c>
      <c r="F3865" s="1">
        <v>0.05</v>
      </c>
      <c r="G3865">
        <v>416.99</v>
      </c>
      <c r="H3865" s="22">
        <f>VLOOKUP(A3865,[1]Orders!$A$2:$B$1616,2,0)</f>
        <v>43104</v>
      </c>
      <c r="J3865" t="s">
        <v>89</v>
      </c>
      <c r="K3865" t="s">
        <v>11</v>
      </c>
    </row>
    <row r="3866" spans="1:11" x14ac:dyDescent="0.3">
      <c r="A3866">
        <v>1329</v>
      </c>
      <c r="B3866">
        <v>3</v>
      </c>
      <c r="C3866">
        <v>55</v>
      </c>
      <c r="D3866">
        <v>1</v>
      </c>
      <c r="E3866" s="1">
        <v>2699.99</v>
      </c>
      <c r="F3866" s="1">
        <v>7.0000000000000007E-2</v>
      </c>
      <c r="G3866">
        <v>2699.99</v>
      </c>
      <c r="H3866" s="22">
        <f>VLOOKUP(A3866,[1]Orders!$A$2:$B$1616,2,0)</f>
        <v>43104</v>
      </c>
      <c r="J3866" t="s">
        <v>76</v>
      </c>
      <c r="K3866" t="s">
        <v>11</v>
      </c>
    </row>
    <row r="3867" spans="1:11" x14ac:dyDescent="0.3">
      <c r="A3867">
        <v>1329</v>
      </c>
      <c r="B3867">
        <v>4</v>
      </c>
      <c r="C3867">
        <v>283</v>
      </c>
      <c r="D3867">
        <v>2</v>
      </c>
      <c r="E3867" s="1">
        <v>319.99</v>
      </c>
      <c r="F3867" s="1">
        <v>0.2</v>
      </c>
      <c r="G3867">
        <v>639.98</v>
      </c>
      <c r="H3867" s="22">
        <f>VLOOKUP(A3867,[1]Orders!$A$2:$B$1616,2,0)</f>
        <v>43104</v>
      </c>
      <c r="J3867" t="s">
        <v>133</v>
      </c>
      <c r="K3867" t="s">
        <v>11</v>
      </c>
    </row>
    <row r="3868" spans="1:11" x14ac:dyDescent="0.3">
      <c r="A3868">
        <v>1329</v>
      </c>
      <c r="B3868">
        <v>5</v>
      </c>
      <c r="C3868">
        <v>13</v>
      </c>
      <c r="D3868">
        <v>1</v>
      </c>
      <c r="E3868" s="1">
        <v>269.99</v>
      </c>
      <c r="F3868" s="1">
        <v>0.1</v>
      </c>
      <c r="G3868">
        <v>269.99</v>
      </c>
      <c r="H3868" s="22">
        <f>VLOOKUP(A3868,[1]Orders!$A$2:$B$1616,2,0)</f>
        <v>43104</v>
      </c>
      <c r="J3868" t="s">
        <v>31</v>
      </c>
      <c r="K3868" t="s">
        <v>11</v>
      </c>
    </row>
    <row r="3869" spans="1:11" x14ac:dyDescent="0.3">
      <c r="A3869">
        <v>1330</v>
      </c>
      <c r="B3869">
        <v>1</v>
      </c>
      <c r="C3869">
        <v>232</v>
      </c>
      <c r="D3869">
        <v>1</v>
      </c>
      <c r="E3869" s="1">
        <v>479.99</v>
      </c>
      <c r="F3869" s="1">
        <v>0.2</v>
      </c>
      <c r="G3869">
        <v>479.99</v>
      </c>
      <c r="H3869" s="22">
        <f>VLOOKUP(A3869,[1]Orders!$A$2:$B$1616,2,0)</f>
        <v>43104</v>
      </c>
      <c r="J3869" t="s">
        <v>134</v>
      </c>
      <c r="K3869" t="s">
        <v>18</v>
      </c>
    </row>
    <row r="3870" spans="1:11" x14ac:dyDescent="0.3">
      <c r="A3870">
        <v>1330</v>
      </c>
      <c r="B3870">
        <v>2</v>
      </c>
      <c r="C3870">
        <v>243</v>
      </c>
      <c r="D3870">
        <v>2</v>
      </c>
      <c r="E3870" s="1">
        <v>679.99</v>
      </c>
      <c r="F3870" s="1">
        <v>0.05</v>
      </c>
      <c r="G3870">
        <v>1359.98</v>
      </c>
      <c r="H3870" s="22">
        <f>VLOOKUP(A3870,[1]Orders!$A$2:$B$1616,2,0)</f>
        <v>43104</v>
      </c>
      <c r="J3870" t="s">
        <v>135</v>
      </c>
      <c r="K3870" t="s">
        <v>18</v>
      </c>
    </row>
    <row r="3871" spans="1:11" x14ac:dyDescent="0.3">
      <c r="A3871">
        <v>1330</v>
      </c>
      <c r="B3871">
        <v>3</v>
      </c>
      <c r="C3871">
        <v>230</v>
      </c>
      <c r="D3871">
        <v>2</v>
      </c>
      <c r="E3871" s="1">
        <v>429.99</v>
      </c>
      <c r="F3871" s="1">
        <v>0.2</v>
      </c>
      <c r="G3871">
        <v>859.98</v>
      </c>
      <c r="H3871" s="22">
        <f>VLOOKUP(A3871,[1]Orders!$A$2:$B$1616,2,0)</f>
        <v>43104</v>
      </c>
      <c r="J3871" t="s">
        <v>136</v>
      </c>
      <c r="K3871" t="s">
        <v>18</v>
      </c>
    </row>
    <row r="3872" spans="1:11" x14ac:dyDescent="0.3">
      <c r="A3872">
        <v>1330</v>
      </c>
      <c r="B3872">
        <v>4</v>
      </c>
      <c r="C3872">
        <v>102</v>
      </c>
      <c r="D3872">
        <v>2</v>
      </c>
      <c r="E3872" s="1">
        <v>489.99</v>
      </c>
      <c r="F3872" s="1">
        <v>0.05</v>
      </c>
      <c r="G3872">
        <v>979.98</v>
      </c>
      <c r="H3872" s="22">
        <f>VLOOKUP(A3872,[1]Orders!$A$2:$B$1616,2,0)</f>
        <v>43104</v>
      </c>
      <c r="J3872" t="s">
        <v>51</v>
      </c>
      <c r="K3872" t="s">
        <v>18</v>
      </c>
    </row>
    <row r="3873" spans="1:11" x14ac:dyDescent="0.3">
      <c r="A3873">
        <v>1330</v>
      </c>
      <c r="B3873">
        <v>5</v>
      </c>
      <c r="C3873">
        <v>282</v>
      </c>
      <c r="D3873">
        <v>1</v>
      </c>
      <c r="E3873" s="1">
        <v>279.99</v>
      </c>
      <c r="F3873" s="1">
        <v>0.1</v>
      </c>
      <c r="G3873">
        <v>279.99</v>
      </c>
      <c r="H3873" s="22">
        <f>VLOOKUP(A3873,[1]Orders!$A$2:$B$1616,2,0)</f>
        <v>43104</v>
      </c>
      <c r="J3873" t="s">
        <v>137</v>
      </c>
      <c r="K3873" t="s">
        <v>18</v>
      </c>
    </row>
    <row r="3874" spans="1:11" x14ac:dyDescent="0.3">
      <c r="A3874">
        <v>1331</v>
      </c>
      <c r="B3874">
        <v>1</v>
      </c>
      <c r="C3874">
        <v>253</v>
      </c>
      <c r="D3874">
        <v>1</v>
      </c>
      <c r="E3874" s="1">
        <v>2599.9899999999998</v>
      </c>
      <c r="F3874" s="1">
        <v>0.05</v>
      </c>
      <c r="G3874">
        <v>2599.9899999999998</v>
      </c>
      <c r="H3874" s="22">
        <f>VLOOKUP(A3874,[1]Orders!$A$2:$B$1616,2,0)</f>
        <v>43105</v>
      </c>
      <c r="J3874" t="s">
        <v>138</v>
      </c>
      <c r="K3874" t="s">
        <v>18</v>
      </c>
    </row>
    <row r="3875" spans="1:11" x14ac:dyDescent="0.3">
      <c r="A3875">
        <v>1331</v>
      </c>
      <c r="B3875">
        <v>2</v>
      </c>
      <c r="C3875">
        <v>290</v>
      </c>
      <c r="D3875">
        <v>1</v>
      </c>
      <c r="E3875" s="1">
        <v>369.99</v>
      </c>
      <c r="F3875" s="1">
        <v>0.05</v>
      </c>
      <c r="G3875">
        <v>369.99</v>
      </c>
      <c r="H3875" s="22">
        <f>VLOOKUP(A3875,[1]Orders!$A$2:$B$1616,2,0)</f>
        <v>43105</v>
      </c>
      <c r="J3875" t="s">
        <v>139</v>
      </c>
      <c r="K3875" t="s">
        <v>18</v>
      </c>
    </row>
    <row r="3876" spans="1:11" x14ac:dyDescent="0.3">
      <c r="A3876">
        <v>1331</v>
      </c>
      <c r="B3876">
        <v>3</v>
      </c>
      <c r="C3876">
        <v>145</v>
      </c>
      <c r="D3876">
        <v>2</v>
      </c>
      <c r="E3876" s="1">
        <v>1799.99</v>
      </c>
      <c r="F3876" s="1">
        <v>0.1</v>
      </c>
      <c r="G3876">
        <v>3599.98</v>
      </c>
      <c r="H3876" s="22">
        <f>VLOOKUP(A3876,[1]Orders!$A$2:$B$1616,2,0)</f>
        <v>43105</v>
      </c>
      <c r="J3876" t="s">
        <v>140</v>
      </c>
      <c r="K3876" t="s">
        <v>18</v>
      </c>
    </row>
    <row r="3877" spans="1:11" x14ac:dyDescent="0.3">
      <c r="A3877">
        <v>1331</v>
      </c>
      <c r="B3877">
        <v>4</v>
      </c>
      <c r="C3877">
        <v>300</v>
      </c>
      <c r="D3877">
        <v>1</v>
      </c>
      <c r="E3877" s="1">
        <v>799.99</v>
      </c>
      <c r="F3877" s="1">
        <v>0.2</v>
      </c>
      <c r="G3877">
        <v>799.99</v>
      </c>
      <c r="H3877" s="22">
        <f>VLOOKUP(A3877,[1]Orders!$A$2:$B$1616,2,0)</f>
        <v>43105</v>
      </c>
      <c r="J3877" t="s">
        <v>141</v>
      </c>
      <c r="K3877" t="s">
        <v>18</v>
      </c>
    </row>
    <row r="3878" spans="1:11" x14ac:dyDescent="0.3">
      <c r="A3878">
        <v>1332</v>
      </c>
      <c r="B3878">
        <v>1</v>
      </c>
      <c r="C3878">
        <v>296</v>
      </c>
      <c r="D3878">
        <v>1</v>
      </c>
      <c r="E3878" s="1">
        <v>369.99</v>
      </c>
      <c r="F3878" s="1">
        <v>0.2</v>
      </c>
      <c r="G3878">
        <v>369.99</v>
      </c>
      <c r="H3878" s="22">
        <f>VLOOKUP(A3878,[1]Orders!$A$2:$B$1616,2,0)</f>
        <v>43106</v>
      </c>
      <c r="J3878" t="s">
        <v>142</v>
      </c>
      <c r="K3878" t="s">
        <v>18</v>
      </c>
    </row>
    <row r="3879" spans="1:11" x14ac:dyDescent="0.3">
      <c r="A3879">
        <v>1332</v>
      </c>
      <c r="B3879">
        <v>2</v>
      </c>
      <c r="C3879">
        <v>93</v>
      </c>
      <c r="D3879">
        <v>2</v>
      </c>
      <c r="E3879" s="1">
        <v>209.99</v>
      </c>
      <c r="F3879" s="1">
        <v>0.05</v>
      </c>
      <c r="G3879">
        <v>419.98</v>
      </c>
      <c r="H3879" s="22">
        <f>VLOOKUP(A3879,[1]Orders!$A$2:$B$1616,2,0)</f>
        <v>43106</v>
      </c>
      <c r="J3879" t="s">
        <v>110</v>
      </c>
      <c r="K3879" t="s">
        <v>18</v>
      </c>
    </row>
    <row r="3880" spans="1:11" x14ac:dyDescent="0.3">
      <c r="A3880">
        <v>1332</v>
      </c>
      <c r="B3880">
        <v>3</v>
      </c>
      <c r="C3880">
        <v>179</v>
      </c>
      <c r="D3880">
        <v>2</v>
      </c>
      <c r="E3880" s="1">
        <v>919.99</v>
      </c>
      <c r="F3880" s="1">
        <v>7.0000000000000007E-2</v>
      </c>
      <c r="G3880">
        <v>1839.98</v>
      </c>
      <c r="H3880" s="22">
        <f>VLOOKUP(A3880,[1]Orders!$A$2:$B$1616,2,0)</f>
        <v>43106</v>
      </c>
      <c r="J3880" t="s">
        <v>143</v>
      </c>
      <c r="K3880" t="s">
        <v>18</v>
      </c>
    </row>
    <row r="3881" spans="1:11" x14ac:dyDescent="0.3">
      <c r="A3881">
        <v>1332</v>
      </c>
      <c r="B3881">
        <v>4</v>
      </c>
      <c r="C3881">
        <v>298</v>
      </c>
      <c r="D3881">
        <v>1</v>
      </c>
      <c r="E3881" s="1">
        <v>279.99</v>
      </c>
      <c r="F3881" s="1">
        <v>0.1</v>
      </c>
      <c r="G3881">
        <v>279.99</v>
      </c>
      <c r="H3881" s="22">
        <f>VLOOKUP(A3881,[1]Orders!$A$2:$B$1616,2,0)</f>
        <v>43106</v>
      </c>
      <c r="J3881" t="s">
        <v>144</v>
      </c>
      <c r="K3881" t="s">
        <v>18</v>
      </c>
    </row>
    <row r="3882" spans="1:11" x14ac:dyDescent="0.3">
      <c r="A3882">
        <v>1333</v>
      </c>
      <c r="B3882">
        <v>1</v>
      </c>
      <c r="C3882">
        <v>205</v>
      </c>
      <c r="D3882">
        <v>2</v>
      </c>
      <c r="E3882" s="1">
        <v>4999.99</v>
      </c>
      <c r="F3882" s="1">
        <v>0.05</v>
      </c>
      <c r="G3882">
        <v>9999.98</v>
      </c>
      <c r="H3882" s="22">
        <f>VLOOKUP(A3882,[1]Orders!$A$2:$B$1616,2,0)</f>
        <v>43106</v>
      </c>
      <c r="J3882" t="s">
        <v>145</v>
      </c>
      <c r="K3882" t="s">
        <v>37</v>
      </c>
    </row>
    <row r="3883" spans="1:11" x14ac:dyDescent="0.3">
      <c r="A3883">
        <v>1333</v>
      </c>
      <c r="B3883">
        <v>2</v>
      </c>
      <c r="C3883">
        <v>304</v>
      </c>
      <c r="D3883">
        <v>2</v>
      </c>
      <c r="E3883" s="1">
        <v>679.99</v>
      </c>
      <c r="F3883" s="1">
        <v>0.1</v>
      </c>
      <c r="G3883">
        <v>1359.98</v>
      </c>
      <c r="H3883" s="22">
        <f>VLOOKUP(A3883,[1]Orders!$A$2:$B$1616,2,0)</f>
        <v>43106</v>
      </c>
      <c r="J3883" t="s">
        <v>146</v>
      </c>
      <c r="K3883" t="s">
        <v>37</v>
      </c>
    </row>
    <row r="3884" spans="1:11" x14ac:dyDescent="0.3">
      <c r="A3884">
        <v>1333</v>
      </c>
      <c r="B3884">
        <v>3</v>
      </c>
      <c r="C3884">
        <v>99</v>
      </c>
      <c r="D3884">
        <v>2</v>
      </c>
      <c r="E3884" s="1">
        <v>299.99</v>
      </c>
      <c r="F3884" s="1">
        <v>0.1</v>
      </c>
      <c r="G3884">
        <v>599.98</v>
      </c>
      <c r="H3884" s="22">
        <f>VLOOKUP(A3884,[1]Orders!$A$2:$B$1616,2,0)</f>
        <v>43106</v>
      </c>
      <c r="J3884" t="s">
        <v>52</v>
      </c>
      <c r="K3884" t="s">
        <v>37</v>
      </c>
    </row>
    <row r="3885" spans="1:11" x14ac:dyDescent="0.3">
      <c r="A3885">
        <v>1333</v>
      </c>
      <c r="B3885">
        <v>4</v>
      </c>
      <c r="C3885">
        <v>12</v>
      </c>
      <c r="D3885">
        <v>1</v>
      </c>
      <c r="E3885" s="1">
        <v>549.99</v>
      </c>
      <c r="F3885" s="1">
        <v>0.05</v>
      </c>
      <c r="G3885">
        <v>549.99</v>
      </c>
      <c r="H3885" s="22">
        <f>VLOOKUP(A3885,[1]Orders!$A$2:$B$1616,2,0)</f>
        <v>43106</v>
      </c>
      <c r="J3885" t="s">
        <v>25</v>
      </c>
      <c r="K3885" t="s">
        <v>37</v>
      </c>
    </row>
    <row r="3886" spans="1:11" x14ac:dyDescent="0.3">
      <c r="A3886">
        <v>1333</v>
      </c>
      <c r="B3886">
        <v>5</v>
      </c>
      <c r="C3886">
        <v>78</v>
      </c>
      <c r="D3886">
        <v>1</v>
      </c>
      <c r="E3886" s="1">
        <v>647.99</v>
      </c>
      <c r="F3886" s="1">
        <v>0.1</v>
      </c>
      <c r="G3886">
        <v>647.99</v>
      </c>
      <c r="H3886" s="22">
        <f>VLOOKUP(A3886,[1]Orders!$A$2:$B$1616,2,0)</f>
        <v>43106</v>
      </c>
      <c r="J3886" t="s">
        <v>57</v>
      </c>
      <c r="K3886" t="s">
        <v>37</v>
      </c>
    </row>
    <row r="3887" spans="1:11" x14ac:dyDescent="0.3">
      <c r="A3887">
        <v>1334</v>
      </c>
      <c r="B3887">
        <v>1</v>
      </c>
      <c r="C3887">
        <v>203</v>
      </c>
      <c r="D3887">
        <v>2</v>
      </c>
      <c r="E3887" s="1">
        <v>4999.99</v>
      </c>
      <c r="F3887" s="1">
        <v>0.05</v>
      </c>
      <c r="G3887">
        <v>9999.98</v>
      </c>
      <c r="H3887" s="22">
        <f>VLOOKUP(A3887,[1]Orders!$A$2:$B$1616,2,0)</f>
        <v>43107</v>
      </c>
      <c r="J3887" t="s">
        <v>147</v>
      </c>
      <c r="K3887" t="s">
        <v>18</v>
      </c>
    </row>
    <row r="3888" spans="1:11" x14ac:dyDescent="0.3">
      <c r="A3888">
        <v>1334</v>
      </c>
      <c r="B3888">
        <v>2</v>
      </c>
      <c r="C3888">
        <v>160</v>
      </c>
      <c r="D3888">
        <v>2</v>
      </c>
      <c r="E3888" s="1">
        <v>4499.99</v>
      </c>
      <c r="F3888" s="1">
        <v>7.0000000000000007E-2</v>
      </c>
      <c r="G3888">
        <v>8999.98</v>
      </c>
      <c r="H3888" s="22">
        <f>VLOOKUP(A3888,[1]Orders!$A$2:$B$1616,2,0)</f>
        <v>43107</v>
      </c>
      <c r="J3888" t="s">
        <v>148</v>
      </c>
      <c r="K3888" t="s">
        <v>18</v>
      </c>
    </row>
    <row r="3889" spans="1:11" x14ac:dyDescent="0.3">
      <c r="A3889">
        <v>1334</v>
      </c>
      <c r="B3889">
        <v>3</v>
      </c>
      <c r="C3889">
        <v>84</v>
      </c>
      <c r="D3889">
        <v>2</v>
      </c>
      <c r="E3889" s="1">
        <v>109.99</v>
      </c>
      <c r="F3889" s="1">
        <v>0.1</v>
      </c>
      <c r="G3889">
        <v>219.98</v>
      </c>
      <c r="H3889" s="22">
        <f>VLOOKUP(A3889,[1]Orders!$A$2:$B$1616,2,0)</f>
        <v>43107</v>
      </c>
      <c r="J3889" t="s">
        <v>83</v>
      </c>
      <c r="K3889" t="s">
        <v>18</v>
      </c>
    </row>
    <row r="3890" spans="1:11" x14ac:dyDescent="0.3">
      <c r="A3890">
        <v>1334</v>
      </c>
      <c r="B3890">
        <v>4</v>
      </c>
      <c r="C3890">
        <v>13</v>
      </c>
      <c r="D3890">
        <v>1</v>
      </c>
      <c r="E3890" s="1">
        <v>269.99</v>
      </c>
      <c r="F3890" s="1">
        <v>0.05</v>
      </c>
      <c r="G3890">
        <v>269.99</v>
      </c>
      <c r="H3890" s="22">
        <f>VLOOKUP(A3890,[1]Orders!$A$2:$B$1616,2,0)</f>
        <v>43107</v>
      </c>
      <c r="J3890" t="s">
        <v>31</v>
      </c>
      <c r="K3890" t="s">
        <v>18</v>
      </c>
    </row>
    <row r="3891" spans="1:11" x14ac:dyDescent="0.3">
      <c r="A3891">
        <v>1334</v>
      </c>
      <c r="B3891">
        <v>5</v>
      </c>
      <c r="C3891">
        <v>42</v>
      </c>
      <c r="D3891">
        <v>1</v>
      </c>
      <c r="E3891" s="1">
        <v>2299.9899999999998</v>
      </c>
      <c r="F3891" s="1">
        <v>0.05</v>
      </c>
      <c r="G3891">
        <v>2299.9899999999998</v>
      </c>
      <c r="H3891" s="22">
        <f>VLOOKUP(A3891,[1]Orders!$A$2:$B$1616,2,0)</f>
        <v>43107</v>
      </c>
      <c r="J3891" t="s">
        <v>53</v>
      </c>
      <c r="K3891" t="s">
        <v>18</v>
      </c>
    </row>
    <row r="3892" spans="1:11" x14ac:dyDescent="0.3">
      <c r="A3892">
        <v>1335</v>
      </c>
      <c r="B3892">
        <v>1</v>
      </c>
      <c r="C3892">
        <v>138</v>
      </c>
      <c r="D3892">
        <v>2</v>
      </c>
      <c r="E3892" s="1">
        <v>2249.9899999999998</v>
      </c>
      <c r="F3892" s="1">
        <v>0.05</v>
      </c>
      <c r="G3892">
        <v>4499.9799999999996</v>
      </c>
      <c r="H3892" s="22">
        <f>VLOOKUP(A3892,[1]Orders!$A$2:$B$1616,2,0)</f>
        <v>43107</v>
      </c>
      <c r="J3892" t="s">
        <v>149</v>
      </c>
      <c r="K3892" t="s">
        <v>18</v>
      </c>
    </row>
    <row r="3893" spans="1:11" x14ac:dyDescent="0.3">
      <c r="A3893">
        <v>1336</v>
      </c>
      <c r="B3893">
        <v>1</v>
      </c>
      <c r="C3893">
        <v>29</v>
      </c>
      <c r="D3893">
        <v>2</v>
      </c>
      <c r="E3893" s="1">
        <v>999.99</v>
      </c>
      <c r="F3893" s="1">
        <v>0.2</v>
      </c>
      <c r="G3893">
        <v>1999.98</v>
      </c>
      <c r="H3893" s="22">
        <f>VLOOKUP(A3893,[1]Orders!$A$2:$B$1616,2,0)</f>
        <v>43109</v>
      </c>
      <c r="J3893" t="s">
        <v>71</v>
      </c>
      <c r="K3893" t="s">
        <v>11</v>
      </c>
    </row>
    <row r="3894" spans="1:11" x14ac:dyDescent="0.3">
      <c r="A3894">
        <v>1336</v>
      </c>
      <c r="B3894">
        <v>2</v>
      </c>
      <c r="C3894">
        <v>157</v>
      </c>
      <c r="D3894">
        <v>1</v>
      </c>
      <c r="E3894" s="1">
        <v>6499.99</v>
      </c>
      <c r="F3894" s="1">
        <v>0.05</v>
      </c>
      <c r="G3894">
        <v>6499.99</v>
      </c>
      <c r="H3894" s="22">
        <f>VLOOKUP(A3894,[1]Orders!$A$2:$B$1616,2,0)</f>
        <v>43109</v>
      </c>
      <c r="J3894" t="s">
        <v>150</v>
      </c>
      <c r="K3894" t="s">
        <v>11</v>
      </c>
    </row>
    <row r="3895" spans="1:11" x14ac:dyDescent="0.3">
      <c r="A3895">
        <v>1336</v>
      </c>
      <c r="B3895">
        <v>3</v>
      </c>
      <c r="C3895">
        <v>21</v>
      </c>
      <c r="D3895">
        <v>2</v>
      </c>
      <c r="E3895" s="1">
        <v>269.99</v>
      </c>
      <c r="F3895" s="1">
        <v>7.0000000000000007E-2</v>
      </c>
      <c r="G3895">
        <v>539.98</v>
      </c>
      <c r="H3895" s="22">
        <f>VLOOKUP(A3895,[1]Orders!$A$2:$B$1616,2,0)</f>
        <v>43109</v>
      </c>
      <c r="J3895" t="s">
        <v>31</v>
      </c>
      <c r="K3895" t="s">
        <v>11</v>
      </c>
    </row>
    <row r="3896" spans="1:11" x14ac:dyDescent="0.3">
      <c r="A3896">
        <v>1336</v>
      </c>
      <c r="B3896">
        <v>4</v>
      </c>
      <c r="C3896">
        <v>207</v>
      </c>
      <c r="D3896">
        <v>1</v>
      </c>
      <c r="E3896" s="1">
        <v>3999.99</v>
      </c>
      <c r="F3896" s="1">
        <v>0.1</v>
      </c>
      <c r="G3896">
        <v>3999.99</v>
      </c>
      <c r="H3896" s="22">
        <f>VLOOKUP(A3896,[1]Orders!$A$2:$B$1616,2,0)</f>
        <v>43109</v>
      </c>
      <c r="J3896" t="s">
        <v>151</v>
      </c>
      <c r="K3896" t="s">
        <v>11</v>
      </c>
    </row>
    <row r="3897" spans="1:11" x14ac:dyDescent="0.3">
      <c r="A3897">
        <v>1336</v>
      </c>
      <c r="B3897">
        <v>5</v>
      </c>
      <c r="C3897">
        <v>185</v>
      </c>
      <c r="D3897">
        <v>1</v>
      </c>
      <c r="E3897" s="1">
        <v>2799.99</v>
      </c>
      <c r="F3897" s="1">
        <v>0.1</v>
      </c>
      <c r="G3897">
        <v>2799.99</v>
      </c>
      <c r="H3897" s="22">
        <f>VLOOKUP(A3897,[1]Orders!$A$2:$B$1616,2,0)</f>
        <v>43109</v>
      </c>
      <c r="J3897" t="s">
        <v>152</v>
      </c>
      <c r="K3897" t="s">
        <v>11</v>
      </c>
    </row>
    <row r="3898" spans="1:11" x14ac:dyDescent="0.3">
      <c r="A3898">
        <v>1337</v>
      </c>
      <c r="B3898">
        <v>1</v>
      </c>
      <c r="C3898">
        <v>153</v>
      </c>
      <c r="D3898">
        <v>1</v>
      </c>
      <c r="E3898" s="1">
        <v>4999.99</v>
      </c>
      <c r="F3898" s="1">
        <v>0.1</v>
      </c>
      <c r="G3898">
        <v>4999.99</v>
      </c>
      <c r="H3898" s="22">
        <f>VLOOKUP(A3898,[1]Orders!$A$2:$B$1616,2,0)</f>
        <v>43109</v>
      </c>
      <c r="J3898" t="s">
        <v>153</v>
      </c>
      <c r="K3898" t="s">
        <v>18</v>
      </c>
    </row>
    <row r="3899" spans="1:11" x14ac:dyDescent="0.3">
      <c r="A3899">
        <v>1338</v>
      </c>
      <c r="B3899">
        <v>1</v>
      </c>
      <c r="C3899">
        <v>169</v>
      </c>
      <c r="D3899">
        <v>2</v>
      </c>
      <c r="E3899" s="1">
        <v>6499.99</v>
      </c>
      <c r="F3899" s="1">
        <v>7.0000000000000007E-2</v>
      </c>
      <c r="G3899">
        <v>12999.98</v>
      </c>
      <c r="H3899" s="22">
        <f>VLOOKUP(A3899,[1]Orders!$A$2:$B$1616,2,0)</f>
        <v>43110</v>
      </c>
      <c r="J3899" t="s">
        <v>154</v>
      </c>
      <c r="K3899" t="s">
        <v>18</v>
      </c>
    </row>
    <row r="3900" spans="1:11" x14ac:dyDescent="0.3">
      <c r="A3900">
        <v>1339</v>
      </c>
      <c r="B3900">
        <v>1</v>
      </c>
      <c r="C3900">
        <v>175</v>
      </c>
      <c r="D3900">
        <v>1</v>
      </c>
      <c r="E3900" s="1">
        <v>3199.99</v>
      </c>
      <c r="F3900" s="1">
        <v>7.0000000000000007E-2</v>
      </c>
      <c r="G3900">
        <v>3199.99</v>
      </c>
      <c r="H3900" s="22">
        <f>VLOOKUP(A3900,[1]Orders!$A$2:$B$1616,2,0)</f>
        <v>43111</v>
      </c>
      <c r="J3900" t="s">
        <v>155</v>
      </c>
      <c r="K3900" t="s">
        <v>11</v>
      </c>
    </row>
    <row r="3901" spans="1:11" x14ac:dyDescent="0.3">
      <c r="A3901">
        <v>1340</v>
      </c>
      <c r="B3901">
        <v>1</v>
      </c>
      <c r="C3901">
        <v>253</v>
      </c>
      <c r="D3901">
        <v>1</v>
      </c>
      <c r="E3901" s="1">
        <v>2599.9899999999998</v>
      </c>
      <c r="F3901" s="1">
        <v>0.2</v>
      </c>
      <c r="G3901">
        <v>2599.9899999999998</v>
      </c>
      <c r="H3901" s="22">
        <f>VLOOKUP(A3901,[1]Orders!$A$2:$B$1616,2,0)</f>
        <v>43112</v>
      </c>
      <c r="J3901" t="s">
        <v>138</v>
      </c>
      <c r="K3901" t="s">
        <v>11</v>
      </c>
    </row>
    <row r="3902" spans="1:11" x14ac:dyDescent="0.3">
      <c r="A3902">
        <v>1340</v>
      </c>
      <c r="B3902">
        <v>2</v>
      </c>
      <c r="C3902">
        <v>92</v>
      </c>
      <c r="D3902">
        <v>2</v>
      </c>
      <c r="E3902" s="1">
        <v>209.99</v>
      </c>
      <c r="F3902" s="1">
        <v>0.2</v>
      </c>
      <c r="G3902">
        <v>419.98</v>
      </c>
      <c r="H3902" s="22">
        <f>VLOOKUP(A3902,[1]Orders!$A$2:$B$1616,2,0)</f>
        <v>43112</v>
      </c>
      <c r="J3902" t="s">
        <v>111</v>
      </c>
      <c r="K3902" t="s">
        <v>11</v>
      </c>
    </row>
    <row r="3903" spans="1:11" x14ac:dyDescent="0.3">
      <c r="A3903">
        <v>1340</v>
      </c>
      <c r="B3903">
        <v>3</v>
      </c>
      <c r="C3903">
        <v>237</v>
      </c>
      <c r="D3903">
        <v>2</v>
      </c>
      <c r="E3903" s="1">
        <v>849.99</v>
      </c>
      <c r="F3903" s="1">
        <v>0.05</v>
      </c>
      <c r="G3903">
        <v>1699.98</v>
      </c>
      <c r="H3903" s="22">
        <f>VLOOKUP(A3903,[1]Orders!$A$2:$B$1616,2,0)</f>
        <v>43112</v>
      </c>
      <c r="J3903" t="s">
        <v>156</v>
      </c>
      <c r="K3903" t="s">
        <v>11</v>
      </c>
    </row>
    <row r="3904" spans="1:11" x14ac:dyDescent="0.3">
      <c r="A3904">
        <v>1341</v>
      </c>
      <c r="B3904">
        <v>1</v>
      </c>
      <c r="C3904">
        <v>215</v>
      </c>
      <c r="D3904">
        <v>2</v>
      </c>
      <c r="E3904" s="1">
        <v>749.99</v>
      </c>
      <c r="F3904" s="1">
        <v>7.0000000000000007E-2</v>
      </c>
      <c r="G3904">
        <v>1499.98</v>
      </c>
      <c r="H3904" s="22">
        <f>VLOOKUP(A3904,[1]Orders!$A$2:$B$1616,2,0)</f>
        <v>43112</v>
      </c>
      <c r="J3904" t="s">
        <v>157</v>
      </c>
      <c r="K3904" t="s">
        <v>18</v>
      </c>
    </row>
    <row r="3905" spans="1:11" x14ac:dyDescent="0.3">
      <c r="A3905">
        <v>1341</v>
      </c>
      <c r="B3905">
        <v>2</v>
      </c>
      <c r="C3905">
        <v>56</v>
      </c>
      <c r="D3905">
        <v>2</v>
      </c>
      <c r="E3905" s="1">
        <v>5499.99</v>
      </c>
      <c r="F3905" s="1">
        <v>0.2</v>
      </c>
      <c r="G3905">
        <v>10999.98</v>
      </c>
      <c r="H3905" s="22">
        <f>VLOOKUP(A3905,[1]Orders!$A$2:$B$1616,2,0)</f>
        <v>43112</v>
      </c>
      <c r="J3905" t="s">
        <v>41</v>
      </c>
      <c r="K3905" t="s">
        <v>18</v>
      </c>
    </row>
    <row r="3906" spans="1:11" x14ac:dyDescent="0.3">
      <c r="A3906">
        <v>1341</v>
      </c>
      <c r="B3906">
        <v>3</v>
      </c>
      <c r="C3906">
        <v>234</v>
      </c>
      <c r="D3906">
        <v>2</v>
      </c>
      <c r="E3906" s="1">
        <v>899.99</v>
      </c>
      <c r="F3906" s="1">
        <v>0.05</v>
      </c>
      <c r="G3906">
        <v>1799.98</v>
      </c>
      <c r="H3906" s="22">
        <f>VLOOKUP(A3906,[1]Orders!$A$2:$B$1616,2,0)</f>
        <v>43112</v>
      </c>
      <c r="J3906" t="s">
        <v>158</v>
      </c>
      <c r="K3906" t="s">
        <v>18</v>
      </c>
    </row>
    <row r="3907" spans="1:11" x14ac:dyDescent="0.3">
      <c r="A3907">
        <v>1341</v>
      </c>
      <c r="B3907">
        <v>4</v>
      </c>
      <c r="C3907">
        <v>66</v>
      </c>
      <c r="D3907">
        <v>2</v>
      </c>
      <c r="E3907" s="1">
        <v>250.99</v>
      </c>
      <c r="F3907" s="1">
        <v>0.05</v>
      </c>
      <c r="G3907">
        <v>501.98</v>
      </c>
      <c r="H3907" s="22">
        <f>VLOOKUP(A3907,[1]Orders!$A$2:$B$1616,2,0)</f>
        <v>43112</v>
      </c>
      <c r="J3907" t="s">
        <v>92</v>
      </c>
      <c r="K3907" t="s">
        <v>18</v>
      </c>
    </row>
    <row r="3908" spans="1:11" x14ac:dyDescent="0.3">
      <c r="A3908">
        <v>1342</v>
      </c>
      <c r="B3908">
        <v>1</v>
      </c>
      <c r="C3908">
        <v>60</v>
      </c>
      <c r="D3908">
        <v>1</v>
      </c>
      <c r="E3908" s="1">
        <v>1559.99</v>
      </c>
      <c r="F3908" s="1">
        <v>0.05</v>
      </c>
      <c r="G3908">
        <v>1559.99</v>
      </c>
      <c r="H3908" s="22">
        <f>VLOOKUP(A3908,[1]Orders!$A$2:$B$1616,2,0)</f>
        <v>43112</v>
      </c>
      <c r="J3908" t="s">
        <v>101</v>
      </c>
      <c r="K3908" t="s">
        <v>18</v>
      </c>
    </row>
    <row r="3909" spans="1:11" x14ac:dyDescent="0.3">
      <c r="A3909">
        <v>1342</v>
      </c>
      <c r="B3909">
        <v>2</v>
      </c>
      <c r="C3909">
        <v>270</v>
      </c>
      <c r="D3909">
        <v>1</v>
      </c>
      <c r="E3909" s="1">
        <v>209.99</v>
      </c>
      <c r="F3909" s="1">
        <v>0.05</v>
      </c>
      <c r="G3909">
        <v>209.99</v>
      </c>
      <c r="H3909" s="22">
        <f>VLOOKUP(A3909,[1]Orders!$A$2:$B$1616,2,0)</f>
        <v>43112</v>
      </c>
      <c r="J3909" t="s">
        <v>159</v>
      </c>
      <c r="K3909" t="s">
        <v>18</v>
      </c>
    </row>
    <row r="3910" spans="1:11" x14ac:dyDescent="0.3">
      <c r="A3910">
        <v>1343</v>
      </c>
      <c r="B3910">
        <v>1</v>
      </c>
      <c r="C3910">
        <v>244</v>
      </c>
      <c r="D3910">
        <v>1</v>
      </c>
      <c r="E3910" s="1">
        <v>559.99</v>
      </c>
      <c r="F3910" s="1">
        <v>0.05</v>
      </c>
      <c r="G3910">
        <v>559.99</v>
      </c>
      <c r="H3910" s="22">
        <f>VLOOKUP(A3910,[1]Orders!$A$2:$B$1616,2,0)</f>
        <v>43113</v>
      </c>
      <c r="J3910" t="s">
        <v>160</v>
      </c>
      <c r="K3910" t="s">
        <v>18</v>
      </c>
    </row>
    <row r="3911" spans="1:11" x14ac:dyDescent="0.3">
      <c r="A3911">
        <v>1343</v>
      </c>
      <c r="B3911">
        <v>2</v>
      </c>
      <c r="C3911">
        <v>99</v>
      </c>
      <c r="D3911">
        <v>1</v>
      </c>
      <c r="E3911" s="1">
        <v>299.99</v>
      </c>
      <c r="F3911" s="1">
        <v>0.05</v>
      </c>
      <c r="G3911">
        <v>299.99</v>
      </c>
      <c r="H3911" s="22">
        <f>VLOOKUP(A3911,[1]Orders!$A$2:$B$1616,2,0)</f>
        <v>43113</v>
      </c>
      <c r="J3911" t="s">
        <v>52</v>
      </c>
      <c r="K3911" t="s">
        <v>18</v>
      </c>
    </row>
    <row r="3912" spans="1:11" x14ac:dyDescent="0.3">
      <c r="A3912">
        <v>1343</v>
      </c>
      <c r="B3912">
        <v>3</v>
      </c>
      <c r="C3912">
        <v>184</v>
      </c>
      <c r="D3912">
        <v>2</v>
      </c>
      <c r="E3912" s="1">
        <v>3499.99</v>
      </c>
      <c r="F3912" s="1">
        <v>0.2</v>
      </c>
      <c r="G3912">
        <v>6999.98</v>
      </c>
      <c r="H3912" s="22">
        <f>VLOOKUP(A3912,[1]Orders!$A$2:$B$1616,2,0)</f>
        <v>43113</v>
      </c>
      <c r="J3912" t="s">
        <v>161</v>
      </c>
      <c r="K3912" t="s">
        <v>18</v>
      </c>
    </row>
    <row r="3913" spans="1:11" x14ac:dyDescent="0.3">
      <c r="A3913">
        <v>1343</v>
      </c>
      <c r="B3913">
        <v>4</v>
      </c>
      <c r="C3913">
        <v>65</v>
      </c>
      <c r="D3913">
        <v>2</v>
      </c>
      <c r="E3913" s="1">
        <v>346.99</v>
      </c>
      <c r="F3913" s="1">
        <v>0.2</v>
      </c>
      <c r="G3913">
        <v>693.98</v>
      </c>
      <c r="H3913" s="22">
        <f>VLOOKUP(A3913,[1]Orders!$A$2:$B$1616,2,0)</f>
        <v>43113</v>
      </c>
      <c r="J3913" t="s">
        <v>114</v>
      </c>
      <c r="K3913" t="s">
        <v>18</v>
      </c>
    </row>
    <row r="3914" spans="1:11" x14ac:dyDescent="0.3">
      <c r="A3914">
        <v>1343</v>
      </c>
      <c r="B3914">
        <v>5</v>
      </c>
      <c r="C3914">
        <v>206</v>
      </c>
      <c r="D3914">
        <v>1</v>
      </c>
      <c r="E3914" s="1">
        <v>3299.99</v>
      </c>
      <c r="F3914" s="1">
        <v>0.1</v>
      </c>
      <c r="G3914">
        <v>3299.99</v>
      </c>
      <c r="H3914" s="22">
        <f>VLOOKUP(A3914,[1]Orders!$A$2:$B$1616,2,0)</f>
        <v>43113</v>
      </c>
      <c r="J3914" t="s">
        <v>162</v>
      </c>
      <c r="K3914" t="s">
        <v>18</v>
      </c>
    </row>
    <row r="3915" spans="1:11" x14ac:dyDescent="0.3">
      <c r="A3915">
        <v>1344</v>
      </c>
      <c r="B3915">
        <v>1</v>
      </c>
      <c r="C3915">
        <v>77</v>
      </c>
      <c r="D3915">
        <v>2</v>
      </c>
      <c r="E3915" s="1">
        <v>799.99</v>
      </c>
      <c r="F3915" s="1">
        <v>7.0000000000000007E-2</v>
      </c>
      <c r="G3915">
        <v>1599.98</v>
      </c>
      <c r="H3915" s="22">
        <f>VLOOKUP(A3915,[1]Orders!$A$2:$B$1616,2,0)</f>
        <v>43113</v>
      </c>
      <c r="J3915" t="s">
        <v>113</v>
      </c>
      <c r="K3915" t="s">
        <v>18</v>
      </c>
    </row>
    <row r="3916" spans="1:11" x14ac:dyDescent="0.3">
      <c r="A3916">
        <v>1344</v>
      </c>
      <c r="B3916">
        <v>2</v>
      </c>
      <c r="C3916">
        <v>103</v>
      </c>
      <c r="D3916">
        <v>2</v>
      </c>
      <c r="E3916" s="1">
        <v>551.99</v>
      </c>
      <c r="F3916" s="1">
        <v>0.2</v>
      </c>
      <c r="G3916">
        <v>1103.98</v>
      </c>
      <c r="H3916" s="22">
        <f>VLOOKUP(A3916,[1]Orders!$A$2:$B$1616,2,0)</f>
        <v>43113</v>
      </c>
      <c r="J3916" t="s">
        <v>40</v>
      </c>
      <c r="K3916" t="s">
        <v>18</v>
      </c>
    </row>
    <row r="3917" spans="1:11" x14ac:dyDescent="0.3">
      <c r="A3917">
        <v>1344</v>
      </c>
      <c r="B3917">
        <v>3</v>
      </c>
      <c r="C3917">
        <v>3</v>
      </c>
      <c r="D3917">
        <v>1</v>
      </c>
      <c r="E3917" s="1">
        <v>999.99</v>
      </c>
      <c r="F3917" s="1">
        <v>7.0000000000000007E-2</v>
      </c>
      <c r="G3917">
        <v>999.99</v>
      </c>
      <c r="H3917" s="22">
        <f>VLOOKUP(A3917,[1]Orders!$A$2:$B$1616,2,0)</f>
        <v>43113</v>
      </c>
      <c r="J3917" t="s">
        <v>20</v>
      </c>
      <c r="K3917" t="s">
        <v>18</v>
      </c>
    </row>
    <row r="3918" spans="1:11" x14ac:dyDescent="0.3">
      <c r="A3918">
        <v>1344</v>
      </c>
      <c r="B3918">
        <v>4</v>
      </c>
      <c r="C3918">
        <v>61</v>
      </c>
      <c r="D3918">
        <v>1</v>
      </c>
      <c r="E3918" s="1">
        <v>4999.99</v>
      </c>
      <c r="F3918" s="1">
        <v>7.0000000000000007E-2</v>
      </c>
      <c r="G3918">
        <v>4999.99</v>
      </c>
      <c r="H3918" s="22">
        <f>VLOOKUP(A3918,[1]Orders!$A$2:$B$1616,2,0)</f>
        <v>43113</v>
      </c>
      <c r="J3918" t="s">
        <v>45</v>
      </c>
      <c r="K3918" t="s">
        <v>18</v>
      </c>
    </row>
    <row r="3919" spans="1:11" x14ac:dyDescent="0.3">
      <c r="A3919">
        <v>1345</v>
      </c>
      <c r="B3919">
        <v>1</v>
      </c>
      <c r="C3919">
        <v>40</v>
      </c>
      <c r="D3919">
        <v>2</v>
      </c>
      <c r="E3919" s="1">
        <v>4999.99</v>
      </c>
      <c r="F3919" s="1">
        <v>0.2</v>
      </c>
      <c r="G3919">
        <v>9999.98</v>
      </c>
      <c r="H3919" s="22">
        <f>VLOOKUP(A3919,[1]Orders!$A$2:$B$1616,2,0)</f>
        <v>43114</v>
      </c>
      <c r="J3919" t="s">
        <v>104</v>
      </c>
      <c r="K3919" t="s">
        <v>18</v>
      </c>
    </row>
    <row r="3920" spans="1:11" x14ac:dyDescent="0.3">
      <c r="A3920">
        <v>1345</v>
      </c>
      <c r="B3920">
        <v>2</v>
      </c>
      <c r="C3920">
        <v>172</v>
      </c>
      <c r="D3920">
        <v>2</v>
      </c>
      <c r="E3920" s="1">
        <v>3199.99</v>
      </c>
      <c r="F3920" s="1">
        <v>0.05</v>
      </c>
      <c r="G3920">
        <v>6399.98</v>
      </c>
      <c r="H3920" s="22">
        <f>VLOOKUP(A3920,[1]Orders!$A$2:$B$1616,2,0)</f>
        <v>43114</v>
      </c>
      <c r="J3920" t="s">
        <v>163</v>
      </c>
      <c r="K3920" t="s">
        <v>18</v>
      </c>
    </row>
    <row r="3921" spans="1:11" x14ac:dyDescent="0.3">
      <c r="A3921">
        <v>1345</v>
      </c>
      <c r="B3921">
        <v>3</v>
      </c>
      <c r="C3921">
        <v>164</v>
      </c>
      <c r="D3921">
        <v>2</v>
      </c>
      <c r="E3921" s="1">
        <v>1549</v>
      </c>
      <c r="F3921" s="1">
        <v>0.2</v>
      </c>
      <c r="G3921">
        <v>3098</v>
      </c>
      <c r="H3921" s="22">
        <f>VLOOKUP(A3921,[1]Orders!$A$2:$B$1616,2,0)</f>
        <v>43114</v>
      </c>
      <c r="J3921" t="s">
        <v>164</v>
      </c>
      <c r="K3921" t="s">
        <v>18</v>
      </c>
    </row>
    <row r="3922" spans="1:11" x14ac:dyDescent="0.3">
      <c r="A3922">
        <v>1345</v>
      </c>
      <c r="B3922">
        <v>4</v>
      </c>
      <c r="C3922">
        <v>2</v>
      </c>
      <c r="D3922">
        <v>2</v>
      </c>
      <c r="E3922" s="1">
        <v>749.99</v>
      </c>
      <c r="F3922" s="1">
        <v>0.2</v>
      </c>
      <c r="G3922">
        <v>1499.98</v>
      </c>
      <c r="H3922" s="22">
        <f>VLOOKUP(A3922,[1]Orders!$A$2:$B$1616,2,0)</f>
        <v>43114</v>
      </c>
      <c r="J3922" t="s">
        <v>22</v>
      </c>
      <c r="K3922" t="s">
        <v>18</v>
      </c>
    </row>
    <row r="3923" spans="1:11" x14ac:dyDescent="0.3">
      <c r="A3923">
        <v>1346</v>
      </c>
      <c r="B3923">
        <v>1</v>
      </c>
      <c r="C3923">
        <v>134</v>
      </c>
      <c r="D3923">
        <v>2</v>
      </c>
      <c r="E3923" s="1">
        <v>1499.99</v>
      </c>
      <c r="F3923" s="1">
        <v>0.05</v>
      </c>
      <c r="G3923">
        <v>2999.98</v>
      </c>
      <c r="H3923" s="22">
        <f>VLOOKUP(A3923,[1]Orders!$A$2:$B$1616,2,0)</f>
        <v>43114</v>
      </c>
      <c r="J3923" t="s">
        <v>165</v>
      </c>
      <c r="K3923" t="s">
        <v>37</v>
      </c>
    </row>
    <row r="3924" spans="1:11" x14ac:dyDescent="0.3">
      <c r="A3924">
        <v>1346</v>
      </c>
      <c r="B3924">
        <v>2</v>
      </c>
      <c r="C3924">
        <v>150</v>
      </c>
      <c r="D3924">
        <v>1</v>
      </c>
      <c r="E3924" s="1">
        <v>4499.99</v>
      </c>
      <c r="F3924" s="1">
        <v>0.05</v>
      </c>
      <c r="G3924">
        <v>4499.99</v>
      </c>
      <c r="H3924" s="22">
        <f>VLOOKUP(A3924,[1]Orders!$A$2:$B$1616,2,0)</f>
        <v>43114</v>
      </c>
      <c r="J3924" t="s">
        <v>166</v>
      </c>
      <c r="K3924" t="s">
        <v>37</v>
      </c>
    </row>
    <row r="3925" spans="1:11" x14ac:dyDescent="0.3">
      <c r="A3925">
        <v>1346</v>
      </c>
      <c r="B3925">
        <v>3</v>
      </c>
      <c r="C3925">
        <v>18</v>
      </c>
      <c r="D3925">
        <v>2</v>
      </c>
      <c r="E3925" s="1">
        <v>449</v>
      </c>
      <c r="F3925" s="1">
        <v>0.05</v>
      </c>
      <c r="G3925">
        <v>898</v>
      </c>
      <c r="H3925" s="22">
        <f>VLOOKUP(A3925,[1]Orders!$A$2:$B$1616,2,0)</f>
        <v>43114</v>
      </c>
      <c r="J3925" t="s">
        <v>24</v>
      </c>
      <c r="K3925" t="s">
        <v>37</v>
      </c>
    </row>
    <row r="3926" spans="1:11" x14ac:dyDescent="0.3">
      <c r="A3926">
        <v>1346</v>
      </c>
      <c r="B3926">
        <v>4</v>
      </c>
      <c r="C3926">
        <v>249</v>
      </c>
      <c r="D3926">
        <v>1</v>
      </c>
      <c r="E3926" s="1">
        <v>749.99</v>
      </c>
      <c r="F3926" s="1">
        <v>0.1</v>
      </c>
      <c r="G3926">
        <v>749.99</v>
      </c>
      <c r="H3926" s="22">
        <f>VLOOKUP(A3926,[1]Orders!$A$2:$B$1616,2,0)</f>
        <v>43114</v>
      </c>
      <c r="J3926" t="s">
        <v>167</v>
      </c>
      <c r="K3926" t="s">
        <v>37</v>
      </c>
    </row>
    <row r="3927" spans="1:11" x14ac:dyDescent="0.3">
      <c r="A3927">
        <v>1346</v>
      </c>
      <c r="B3927">
        <v>5</v>
      </c>
      <c r="C3927">
        <v>263</v>
      </c>
      <c r="D3927">
        <v>2</v>
      </c>
      <c r="E3927" s="1">
        <v>89.99</v>
      </c>
      <c r="F3927" s="1">
        <v>0.2</v>
      </c>
      <c r="G3927">
        <v>179.98</v>
      </c>
      <c r="H3927" s="22">
        <f>VLOOKUP(A3927,[1]Orders!$A$2:$B$1616,2,0)</f>
        <v>43114</v>
      </c>
      <c r="J3927" t="s">
        <v>168</v>
      </c>
      <c r="K3927" t="s">
        <v>37</v>
      </c>
    </row>
    <row r="3928" spans="1:11" x14ac:dyDescent="0.3">
      <c r="A3928">
        <v>1347</v>
      </c>
      <c r="B3928">
        <v>1</v>
      </c>
      <c r="C3928">
        <v>43</v>
      </c>
      <c r="D3928">
        <v>2</v>
      </c>
      <c r="E3928" s="1">
        <v>5299.99</v>
      </c>
      <c r="F3928" s="1">
        <v>7.0000000000000007E-2</v>
      </c>
      <c r="G3928">
        <v>10599.98</v>
      </c>
      <c r="H3928" s="22">
        <f>VLOOKUP(A3928,[1]Orders!$A$2:$B$1616,2,0)</f>
        <v>43115</v>
      </c>
      <c r="J3928" t="s">
        <v>62</v>
      </c>
      <c r="K3928" t="s">
        <v>11</v>
      </c>
    </row>
    <row r="3929" spans="1:11" x14ac:dyDescent="0.3">
      <c r="A3929">
        <v>1347</v>
      </c>
      <c r="B3929">
        <v>2</v>
      </c>
      <c r="C3929">
        <v>53</v>
      </c>
      <c r="D3929">
        <v>1</v>
      </c>
      <c r="E3929" s="1">
        <v>749.99</v>
      </c>
      <c r="F3929" s="1">
        <v>0.05</v>
      </c>
      <c r="G3929">
        <v>749.99</v>
      </c>
      <c r="H3929" s="22">
        <f>VLOOKUP(A3929,[1]Orders!$A$2:$B$1616,2,0)</f>
        <v>43115</v>
      </c>
      <c r="J3929" t="s">
        <v>42</v>
      </c>
      <c r="K3929" t="s">
        <v>11</v>
      </c>
    </row>
    <row r="3930" spans="1:11" x14ac:dyDescent="0.3">
      <c r="A3930">
        <v>1348</v>
      </c>
      <c r="B3930">
        <v>1</v>
      </c>
      <c r="C3930">
        <v>203</v>
      </c>
      <c r="D3930">
        <v>1</v>
      </c>
      <c r="E3930" s="1">
        <v>4999.99</v>
      </c>
      <c r="F3930" s="1">
        <v>0.05</v>
      </c>
      <c r="G3930">
        <v>4999.99</v>
      </c>
      <c r="H3930" s="22">
        <f>VLOOKUP(A3930,[1]Orders!$A$2:$B$1616,2,0)</f>
        <v>43115</v>
      </c>
      <c r="J3930" t="s">
        <v>147</v>
      </c>
      <c r="K3930" t="s">
        <v>11</v>
      </c>
    </row>
    <row r="3931" spans="1:11" x14ac:dyDescent="0.3">
      <c r="A3931">
        <v>1348</v>
      </c>
      <c r="B3931">
        <v>2</v>
      </c>
      <c r="C3931">
        <v>148</v>
      </c>
      <c r="D3931">
        <v>1</v>
      </c>
      <c r="E3931" s="1">
        <v>5499.99</v>
      </c>
      <c r="F3931" s="1">
        <v>0.05</v>
      </c>
      <c r="G3931">
        <v>5499.99</v>
      </c>
      <c r="H3931" s="22">
        <f>VLOOKUP(A3931,[1]Orders!$A$2:$B$1616,2,0)</f>
        <v>43115</v>
      </c>
      <c r="J3931" t="s">
        <v>169</v>
      </c>
      <c r="K3931" t="s">
        <v>11</v>
      </c>
    </row>
    <row r="3932" spans="1:11" x14ac:dyDescent="0.3">
      <c r="A3932">
        <v>1348</v>
      </c>
      <c r="B3932">
        <v>3</v>
      </c>
      <c r="C3932">
        <v>58</v>
      </c>
      <c r="D3932">
        <v>2</v>
      </c>
      <c r="E3932" s="1">
        <v>4999.99</v>
      </c>
      <c r="F3932" s="1">
        <v>0.1</v>
      </c>
      <c r="G3932">
        <v>9999.98</v>
      </c>
      <c r="H3932" s="22">
        <f>VLOOKUP(A3932,[1]Orders!$A$2:$B$1616,2,0)</f>
        <v>43115</v>
      </c>
      <c r="J3932" t="s">
        <v>81</v>
      </c>
      <c r="K3932" t="s">
        <v>11</v>
      </c>
    </row>
    <row r="3933" spans="1:11" x14ac:dyDescent="0.3">
      <c r="A3933">
        <v>1348</v>
      </c>
      <c r="B3933">
        <v>4</v>
      </c>
      <c r="C3933">
        <v>147</v>
      </c>
      <c r="D3933">
        <v>1</v>
      </c>
      <c r="E3933" s="1">
        <v>1799.99</v>
      </c>
      <c r="F3933" s="1">
        <v>7.0000000000000007E-2</v>
      </c>
      <c r="G3933">
        <v>1799.99</v>
      </c>
      <c r="H3933" s="22">
        <f>VLOOKUP(A3933,[1]Orders!$A$2:$B$1616,2,0)</f>
        <v>43115</v>
      </c>
      <c r="J3933" t="s">
        <v>170</v>
      </c>
      <c r="K3933" t="s">
        <v>11</v>
      </c>
    </row>
    <row r="3934" spans="1:11" x14ac:dyDescent="0.3">
      <c r="A3934">
        <v>1349</v>
      </c>
      <c r="B3934">
        <v>1</v>
      </c>
      <c r="C3934">
        <v>138</v>
      </c>
      <c r="D3934">
        <v>2</v>
      </c>
      <c r="E3934" s="1">
        <v>2249.9899999999998</v>
      </c>
      <c r="F3934" s="1">
        <v>0.05</v>
      </c>
      <c r="G3934">
        <v>4499.9799999999996</v>
      </c>
      <c r="H3934" s="22">
        <f>VLOOKUP(A3934,[1]Orders!$A$2:$B$1616,2,0)</f>
        <v>43115</v>
      </c>
      <c r="J3934" t="s">
        <v>149</v>
      </c>
      <c r="K3934" t="s">
        <v>18</v>
      </c>
    </row>
    <row r="3935" spans="1:11" x14ac:dyDescent="0.3">
      <c r="A3935">
        <v>1349</v>
      </c>
      <c r="B3935">
        <v>2</v>
      </c>
      <c r="C3935">
        <v>205</v>
      </c>
      <c r="D3935">
        <v>2</v>
      </c>
      <c r="E3935" s="1">
        <v>4999.99</v>
      </c>
      <c r="F3935" s="1">
        <v>7.0000000000000007E-2</v>
      </c>
      <c r="G3935">
        <v>9999.98</v>
      </c>
      <c r="H3935" s="22">
        <f>VLOOKUP(A3935,[1]Orders!$A$2:$B$1616,2,0)</f>
        <v>43115</v>
      </c>
      <c r="J3935" t="s">
        <v>145</v>
      </c>
      <c r="K3935" t="s">
        <v>18</v>
      </c>
    </row>
    <row r="3936" spans="1:11" x14ac:dyDescent="0.3">
      <c r="A3936">
        <v>1349</v>
      </c>
      <c r="B3936">
        <v>3</v>
      </c>
      <c r="C3936">
        <v>168</v>
      </c>
      <c r="D3936">
        <v>2</v>
      </c>
      <c r="E3936" s="1">
        <v>1549</v>
      </c>
      <c r="F3936" s="1">
        <v>0.2</v>
      </c>
      <c r="G3936">
        <v>3098</v>
      </c>
      <c r="H3936" s="22">
        <f>VLOOKUP(A3936,[1]Orders!$A$2:$B$1616,2,0)</f>
        <v>43115</v>
      </c>
      <c r="J3936" t="s">
        <v>171</v>
      </c>
      <c r="K3936" t="s">
        <v>18</v>
      </c>
    </row>
    <row r="3937" spans="1:11" x14ac:dyDescent="0.3">
      <c r="A3937">
        <v>1349</v>
      </c>
      <c r="B3937">
        <v>4</v>
      </c>
      <c r="C3937">
        <v>184</v>
      </c>
      <c r="D3937">
        <v>1</v>
      </c>
      <c r="E3937" s="1">
        <v>3499.99</v>
      </c>
      <c r="F3937" s="1">
        <v>0.2</v>
      </c>
      <c r="G3937">
        <v>3499.99</v>
      </c>
      <c r="H3937" s="22">
        <f>VLOOKUP(A3937,[1]Orders!$A$2:$B$1616,2,0)</f>
        <v>43115</v>
      </c>
      <c r="J3937" t="s">
        <v>161</v>
      </c>
      <c r="K3937" t="s">
        <v>18</v>
      </c>
    </row>
    <row r="3938" spans="1:11" x14ac:dyDescent="0.3">
      <c r="A3938">
        <v>1350</v>
      </c>
      <c r="B3938">
        <v>1</v>
      </c>
      <c r="C3938">
        <v>305</v>
      </c>
      <c r="D3938">
        <v>1</v>
      </c>
      <c r="E3938" s="1">
        <v>749.99</v>
      </c>
      <c r="F3938" s="1">
        <v>0.1</v>
      </c>
      <c r="G3938">
        <v>749.99</v>
      </c>
      <c r="H3938" s="22">
        <f>VLOOKUP(A3938,[1]Orders!$A$2:$B$1616,2,0)</f>
        <v>43115</v>
      </c>
      <c r="J3938" t="s">
        <v>172</v>
      </c>
      <c r="K3938" t="s">
        <v>18</v>
      </c>
    </row>
    <row r="3939" spans="1:11" x14ac:dyDescent="0.3">
      <c r="A3939">
        <v>1350</v>
      </c>
      <c r="B3939">
        <v>2</v>
      </c>
      <c r="C3939">
        <v>250</v>
      </c>
      <c r="D3939">
        <v>1</v>
      </c>
      <c r="E3939" s="1">
        <v>2599.9899999999998</v>
      </c>
      <c r="F3939" s="1">
        <v>7.0000000000000007E-2</v>
      </c>
      <c r="G3939">
        <v>2599.9899999999998</v>
      </c>
      <c r="H3939" s="22">
        <f>VLOOKUP(A3939,[1]Orders!$A$2:$B$1616,2,0)</f>
        <v>43115</v>
      </c>
      <c r="J3939" t="s">
        <v>173</v>
      </c>
      <c r="K3939" t="s">
        <v>18</v>
      </c>
    </row>
    <row r="3940" spans="1:11" x14ac:dyDescent="0.3">
      <c r="A3940">
        <v>1350</v>
      </c>
      <c r="B3940">
        <v>3</v>
      </c>
      <c r="C3940">
        <v>253</v>
      </c>
      <c r="D3940">
        <v>1</v>
      </c>
      <c r="E3940" s="1">
        <v>2599.9899999999998</v>
      </c>
      <c r="F3940" s="1">
        <v>7.0000000000000007E-2</v>
      </c>
      <c r="G3940">
        <v>2599.9899999999998</v>
      </c>
      <c r="H3940" s="22">
        <f>VLOOKUP(A3940,[1]Orders!$A$2:$B$1616,2,0)</f>
        <v>43115</v>
      </c>
      <c r="J3940" t="s">
        <v>138</v>
      </c>
      <c r="K3940" t="s">
        <v>18</v>
      </c>
    </row>
    <row r="3941" spans="1:11" x14ac:dyDescent="0.3">
      <c r="A3941">
        <v>1350</v>
      </c>
      <c r="B3941">
        <v>4</v>
      </c>
      <c r="C3941">
        <v>159</v>
      </c>
      <c r="D3941">
        <v>1</v>
      </c>
      <c r="E3941" s="1">
        <v>2299.9899999999998</v>
      </c>
      <c r="F3941" s="1">
        <v>0.05</v>
      </c>
      <c r="G3941">
        <v>2299.9899999999998</v>
      </c>
      <c r="H3941" s="22">
        <f>VLOOKUP(A3941,[1]Orders!$A$2:$B$1616,2,0)</f>
        <v>43115</v>
      </c>
      <c r="J3941" t="s">
        <v>174</v>
      </c>
      <c r="K3941" t="s">
        <v>18</v>
      </c>
    </row>
    <row r="3942" spans="1:11" x14ac:dyDescent="0.3">
      <c r="A3942">
        <v>1350</v>
      </c>
      <c r="B3942">
        <v>5</v>
      </c>
      <c r="C3942">
        <v>13</v>
      </c>
      <c r="D3942">
        <v>2</v>
      </c>
      <c r="E3942" s="1">
        <v>269.99</v>
      </c>
      <c r="F3942" s="1">
        <v>0.2</v>
      </c>
      <c r="G3942">
        <v>539.98</v>
      </c>
      <c r="H3942" s="22">
        <f>VLOOKUP(A3942,[1]Orders!$A$2:$B$1616,2,0)</f>
        <v>43115</v>
      </c>
      <c r="J3942" t="s">
        <v>31</v>
      </c>
      <c r="K3942" t="s">
        <v>18</v>
      </c>
    </row>
    <row r="3943" spans="1:11" x14ac:dyDescent="0.3">
      <c r="A3943">
        <v>1351</v>
      </c>
      <c r="B3943">
        <v>1</v>
      </c>
      <c r="C3943">
        <v>297</v>
      </c>
      <c r="D3943">
        <v>2</v>
      </c>
      <c r="E3943" s="1">
        <v>279.99</v>
      </c>
      <c r="F3943" s="1">
        <v>0.2</v>
      </c>
      <c r="G3943">
        <v>559.98</v>
      </c>
      <c r="H3943" s="22">
        <f>VLOOKUP(A3943,[1]Orders!$A$2:$B$1616,2,0)</f>
        <v>43116</v>
      </c>
      <c r="J3943" t="s">
        <v>175</v>
      </c>
      <c r="K3943" t="s">
        <v>18</v>
      </c>
    </row>
    <row r="3944" spans="1:11" x14ac:dyDescent="0.3">
      <c r="A3944">
        <v>1351</v>
      </c>
      <c r="B3944">
        <v>2</v>
      </c>
      <c r="C3944">
        <v>133</v>
      </c>
      <c r="D3944">
        <v>1</v>
      </c>
      <c r="E3944" s="1">
        <v>1499.99</v>
      </c>
      <c r="F3944" s="1">
        <v>0.1</v>
      </c>
      <c r="G3944">
        <v>1499.99</v>
      </c>
      <c r="H3944" s="22">
        <f>VLOOKUP(A3944,[1]Orders!$A$2:$B$1616,2,0)</f>
        <v>43116</v>
      </c>
      <c r="J3944" t="s">
        <v>176</v>
      </c>
      <c r="K3944" t="s">
        <v>18</v>
      </c>
    </row>
    <row r="3945" spans="1:11" x14ac:dyDescent="0.3">
      <c r="A3945">
        <v>1352</v>
      </c>
      <c r="B3945">
        <v>1</v>
      </c>
      <c r="C3945">
        <v>136</v>
      </c>
      <c r="D3945">
        <v>1</v>
      </c>
      <c r="E3945" s="1">
        <v>1799.99</v>
      </c>
      <c r="F3945" s="1">
        <v>0.2</v>
      </c>
      <c r="G3945">
        <v>1799.99</v>
      </c>
      <c r="H3945" s="22">
        <f>VLOOKUP(A3945,[1]Orders!$A$2:$B$1616,2,0)</f>
        <v>43116</v>
      </c>
      <c r="J3945" t="s">
        <v>177</v>
      </c>
      <c r="K3945" t="s">
        <v>18</v>
      </c>
    </row>
    <row r="3946" spans="1:11" x14ac:dyDescent="0.3">
      <c r="A3946">
        <v>1352</v>
      </c>
      <c r="B3946">
        <v>2</v>
      </c>
      <c r="C3946">
        <v>52</v>
      </c>
      <c r="D3946">
        <v>2</v>
      </c>
      <c r="E3946" s="1">
        <v>875.99</v>
      </c>
      <c r="F3946" s="1">
        <v>0.1</v>
      </c>
      <c r="G3946">
        <v>1751.98</v>
      </c>
      <c r="H3946" s="22">
        <f>VLOOKUP(A3946,[1]Orders!$A$2:$B$1616,2,0)</f>
        <v>43116</v>
      </c>
      <c r="J3946" t="s">
        <v>68</v>
      </c>
      <c r="K3946" t="s">
        <v>18</v>
      </c>
    </row>
    <row r="3947" spans="1:11" x14ac:dyDescent="0.3">
      <c r="A3947">
        <v>1352</v>
      </c>
      <c r="B3947">
        <v>3</v>
      </c>
      <c r="C3947">
        <v>282</v>
      </c>
      <c r="D3947">
        <v>2</v>
      </c>
      <c r="E3947" s="1">
        <v>279.99</v>
      </c>
      <c r="F3947" s="1">
        <v>0.1</v>
      </c>
      <c r="G3947">
        <v>559.98</v>
      </c>
      <c r="H3947" s="22">
        <f>VLOOKUP(A3947,[1]Orders!$A$2:$B$1616,2,0)</f>
        <v>43116</v>
      </c>
      <c r="J3947" t="s">
        <v>137</v>
      </c>
      <c r="K3947" t="s">
        <v>18</v>
      </c>
    </row>
    <row r="3948" spans="1:11" x14ac:dyDescent="0.3">
      <c r="A3948">
        <v>1352</v>
      </c>
      <c r="B3948">
        <v>4</v>
      </c>
      <c r="C3948">
        <v>86</v>
      </c>
      <c r="D3948">
        <v>2</v>
      </c>
      <c r="E3948" s="1">
        <v>149.99</v>
      </c>
      <c r="F3948" s="1">
        <v>0.2</v>
      </c>
      <c r="G3948">
        <v>299.98</v>
      </c>
      <c r="H3948" s="22">
        <f>VLOOKUP(A3948,[1]Orders!$A$2:$B$1616,2,0)</f>
        <v>43116</v>
      </c>
      <c r="J3948" t="s">
        <v>115</v>
      </c>
      <c r="K3948" t="s">
        <v>18</v>
      </c>
    </row>
    <row r="3949" spans="1:11" x14ac:dyDescent="0.3">
      <c r="A3949">
        <v>1352</v>
      </c>
      <c r="B3949">
        <v>5</v>
      </c>
      <c r="C3949">
        <v>100</v>
      </c>
      <c r="D3949">
        <v>1</v>
      </c>
      <c r="E3949" s="1">
        <v>489.99</v>
      </c>
      <c r="F3949" s="1">
        <v>0.05</v>
      </c>
      <c r="G3949">
        <v>489.99</v>
      </c>
      <c r="H3949" s="22">
        <f>VLOOKUP(A3949,[1]Orders!$A$2:$B$1616,2,0)</f>
        <v>43116</v>
      </c>
      <c r="J3949" t="s">
        <v>105</v>
      </c>
      <c r="K3949" t="s">
        <v>18</v>
      </c>
    </row>
    <row r="3950" spans="1:11" x14ac:dyDescent="0.3">
      <c r="A3950">
        <v>1353</v>
      </c>
      <c r="B3950">
        <v>1</v>
      </c>
      <c r="C3950">
        <v>107</v>
      </c>
      <c r="D3950">
        <v>2</v>
      </c>
      <c r="E3950" s="1">
        <v>416.99</v>
      </c>
      <c r="F3950" s="1">
        <v>0.05</v>
      </c>
      <c r="G3950">
        <v>833.98</v>
      </c>
      <c r="H3950" s="22">
        <f>VLOOKUP(A3950,[1]Orders!$A$2:$B$1616,2,0)</f>
        <v>43117</v>
      </c>
      <c r="J3950" t="s">
        <v>89</v>
      </c>
      <c r="K3950" t="s">
        <v>18</v>
      </c>
    </row>
    <row r="3951" spans="1:11" x14ac:dyDescent="0.3">
      <c r="A3951">
        <v>1353</v>
      </c>
      <c r="B3951">
        <v>2</v>
      </c>
      <c r="C3951">
        <v>233</v>
      </c>
      <c r="D3951">
        <v>1</v>
      </c>
      <c r="E3951" s="1">
        <v>639.99</v>
      </c>
      <c r="F3951" s="1">
        <v>7.0000000000000007E-2</v>
      </c>
      <c r="G3951">
        <v>639.99</v>
      </c>
      <c r="H3951" s="22">
        <f>VLOOKUP(A3951,[1]Orders!$A$2:$B$1616,2,0)</f>
        <v>43117</v>
      </c>
      <c r="J3951" t="s">
        <v>178</v>
      </c>
      <c r="K3951" t="s">
        <v>18</v>
      </c>
    </row>
    <row r="3952" spans="1:11" x14ac:dyDescent="0.3">
      <c r="A3952">
        <v>1353</v>
      </c>
      <c r="B3952">
        <v>3</v>
      </c>
      <c r="C3952">
        <v>300</v>
      </c>
      <c r="D3952">
        <v>1</v>
      </c>
      <c r="E3952" s="1">
        <v>799.99</v>
      </c>
      <c r="F3952" s="1">
        <v>0.2</v>
      </c>
      <c r="G3952">
        <v>799.99</v>
      </c>
      <c r="H3952" s="22">
        <f>VLOOKUP(A3952,[1]Orders!$A$2:$B$1616,2,0)</f>
        <v>43117</v>
      </c>
      <c r="J3952" t="s">
        <v>141</v>
      </c>
      <c r="K3952" t="s">
        <v>18</v>
      </c>
    </row>
    <row r="3953" spans="1:11" x14ac:dyDescent="0.3">
      <c r="A3953">
        <v>1353</v>
      </c>
      <c r="B3953">
        <v>4</v>
      </c>
      <c r="C3953">
        <v>86</v>
      </c>
      <c r="D3953">
        <v>2</v>
      </c>
      <c r="E3953" s="1">
        <v>149.99</v>
      </c>
      <c r="F3953" s="1">
        <v>0.05</v>
      </c>
      <c r="G3953">
        <v>299.98</v>
      </c>
      <c r="H3953" s="22">
        <f>VLOOKUP(A3953,[1]Orders!$A$2:$B$1616,2,0)</f>
        <v>43117</v>
      </c>
      <c r="J3953" t="s">
        <v>115</v>
      </c>
      <c r="K3953" t="s">
        <v>18</v>
      </c>
    </row>
    <row r="3954" spans="1:11" x14ac:dyDescent="0.3">
      <c r="A3954">
        <v>1354</v>
      </c>
      <c r="B3954">
        <v>1</v>
      </c>
      <c r="C3954">
        <v>166</v>
      </c>
      <c r="D3954">
        <v>2</v>
      </c>
      <c r="E3954" s="1">
        <v>749.99</v>
      </c>
      <c r="F3954" s="1">
        <v>7.0000000000000007E-2</v>
      </c>
      <c r="G3954">
        <v>1499.98</v>
      </c>
      <c r="H3954" s="22">
        <f>VLOOKUP(A3954,[1]Orders!$A$2:$B$1616,2,0)</f>
        <v>43119</v>
      </c>
      <c r="J3954" t="s">
        <v>179</v>
      </c>
      <c r="K3954" t="s">
        <v>11</v>
      </c>
    </row>
    <row r="3955" spans="1:11" x14ac:dyDescent="0.3">
      <c r="A3955">
        <v>1355</v>
      </c>
      <c r="B3955">
        <v>1</v>
      </c>
      <c r="C3955">
        <v>297</v>
      </c>
      <c r="D3955">
        <v>1</v>
      </c>
      <c r="E3955" s="1">
        <v>279.99</v>
      </c>
      <c r="F3955" s="1">
        <v>0.1</v>
      </c>
      <c r="G3955">
        <v>279.99</v>
      </c>
      <c r="H3955" s="22">
        <f>VLOOKUP(A3955,[1]Orders!$A$2:$B$1616,2,0)</f>
        <v>43119</v>
      </c>
      <c r="J3955" t="s">
        <v>175</v>
      </c>
      <c r="K3955" t="s">
        <v>18</v>
      </c>
    </row>
    <row r="3956" spans="1:11" x14ac:dyDescent="0.3">
      <c r="A3956">
        <v>1355</v>
      </c>
      <c r="B3956">
        <v>2</v>
      </c>
      <c r="C3956">
        <v>253</v>
      </c>
      <c r="D3956">
        <v>1</v>
      </c>
      <c r="E3956" s="1">
        <v>2599.9899999999998</v>
      </c>
      <c r="F3956" s="1">
        <v>7.0000000000000007E-2</v>
      </c>
      <c r="G3956">
        <v>2599.9899999999998</v>
      </c>
      <c r="H3956" s="22">
        <f>VLOOKUP(A3956,[1]Orders!$A$2:$B$1616,2,0)</f>
        <v>43119</v>
      </c>
      <c r="J3956" t="s">
        <v>138</v>
      </c>
      <c r="K3956" t="s">
        <v>18</v>
      </c>
    </row>
    <row r="3957" spans="1:11" x14ac:dyDescent="0.3">
      <c r="A3957">
        <v>1355</v>
      </c>
      <c r="B3957">
        <v>3</v>
      </c>
      <c r="C3957">
        <v>149</v>
      </c>
      <c r="D3957">
        <v>1</v>
      </c>
      <c r="E3957" s="1">
        <v>7499.99</v>
      </c>
      <c r="F3957" s="1">
        <v>0.2</v>
      </c>
      <c r="G3957">
        <v>7499.99</v>
      </c>
      <c r="H3957" s="22">
        <f>VLOOKUP(A3957,[1]Orders!$A$2:$B$1616,2,0)</f>
        <v>43119</v>
      </c>
      <c r="J3957" t="s">
        <v>180</v>
      </c>
      <c r="K3957" t="s">
        <v>18</v>
      </c>
    </row>
    <row r="3958" spans="1:11" x14ac:dyDescent="0.3">
      <c r="A3958">
        <v>1355</v>
      </c>
      <c r="B3958">
        <v>4</v>
      </c>
      <c r="C3958">
        <v>313</v>
      </c>
      <c r="D3958">
        <v>2</v>
      </c>
      <c r="E3958" s="1">
        <v>449.99</v>
      </c>
      <c r="F3958" s="1">
        <v>0.1</v>
      </c>
      <c r="G3958">
        <v>899.98</v>
      </c>
      <c r="H3958" s="22">
        <f>VLOOKUP(A3958,[1]Orders!$A$2:$B$1616,2,0)</f>
        <v>43119</v>
      </c>
      <c r="J3958" t="s">
        <v>181</v>
      </c>
      <c r="K3958" t="s">
        <v>18</v>
      </c>
    </row>
    <row r="3959" spans="1:11" x14ac:dyDescent="0.3">
      <c r="A3959">
        <v>1356</v>
      </c>
      <c r="B3959">
        <v>1</v>
      </c>
      <c r="C3959">
        <v>192</v>
      </c>
      <c r="D3959">
        <v>1</v>
      </c>
      <c r="E3959" s="1">
        <v>2599.9899999999998</v>
      </c>
      <c r="F3959" s="1">
        <v>0.05</v>
      </c>
      <c r="G3959">
        <v>2599.9899999999998</v>
      </c>
      <c r="H3959" s="22">
        <f>VLOOKUP(A3959,[1]Orders!$A$2:$B$1616,2,0)</f>
        <v>43119</v>
      </c>
      <c r="J3959" t="s">
        <v>173</v>
      </c>
      <c r="K3959" t="s">
        <v>18</v>
      </c>
    </row>
    <row r="3960" spans="1:11" x14ac:dyDescent="0.3">
      <c r="A3960">
        <v>1356</v>
      </c>
      <c r="B3960">
        <v>2</v>
      </c>
      <c r="C3960">
        <v>199</v>
      </c>
      <c r="D3960">
        <v>2</v>
      </c>
      <c r="E3960" s="1">
        <v>2999.99</v>
      </c>
      <c r="F3960" s="1">
        <v>0.1</v>
      </c>
      <c r="G3960">
        <v>5999.98</v>
      </c>
      <c r="H3960" s="22">
        <f>VLOOKUP(A3960,[1]Orders!$A$2:$B$1616,2,0)</f>
        <v>43119</v>
      </c>
      <c r="J3960" t="s">
        <v>182</v>
      </c>
      <c r="K3960" t="s">
        <v>18</v>
      </c>
    </row>
    <row r="3961" spans="1:11" x14ac:dyDescent="0.3">
      <c r="A3961">
        <v>1356</v>
      </c>
      <c r="B3961">
        <v>3</v>
      </c>
      <c r="C3961">
        <v>276</v>
      </c>
      <c r="D3961">
        <v>2</v>
      </c>
      <c r="E3961" s="1">
        <v>319.99</v>
      </c>
      <c r="F3961" s="1">
        <v>0.1</v>
      </c>
      <c r="G3961">
        <v>639.98</v>
      </c>
      <c r="H3961" s="22">
        <f>VLOOKUP(A3961,[1]Orders!$A$2:$B$1616,2,0)</f>
        <v>43119</v>
      </c>
      <c r="J3961" t="s">
        <v>183</v>
      </c>
      <c r="K3961" t="s">
        <v>18</v>
      </c>
    </row>
    <row r="3962" spans="1:11" x14ac:dyDescent="0.3">
      <c r="A3962">
        <v>1357</v>
      </c>
      <c r="B3962">
        <v>1</v>
      </c>
      <c r="C3962">
        <v>145</v>
      </c>
      <c r="D3962">
        <v>2</v>
      </c>
      <c r="E3962" s="1">
        <v>1799.99</v>
      </c>
      <c r="F3962" s="1">
        <v>0.2</v>
      </c>
      <c r="G3962">
        <v>3599.98</v>
      </c>
      <c r="H3962" s="22">
        <f>VLOOKUP(A3962,[1]Orders!$A$2:$B$1616,2,0)</f>
        <v>43120</v>
      </c>
      <c r="J3962" t="s">
        <v>140</v>
      </c>
      <c r="K3962" t="s">
        <v>18</v>
      </c>
    </row>
    <row r="3963" spans="1:11" x14ac:dyDescent="0.3">
      <c r="A3963">
        <v>1357</v>
      </c>
      <c r="B3963">
        <v>2</v>
      </c>
      <c r="C3963">
        <v>60</v>
      </c>
      <c r="D3963">
        <v>1</v>
      </c>
      <c r="E3963" s="1">
        <v>1559.99</v>
      </c>
      <c r="F3963" s="1">
        <v>0.2</v>
      </c>
      <c r="G3963">
        <v>1559.99</v>
      </c>
      <c r="H3963" s="22">
        <f>VLOOKUP(A3963,[1]Orders!$A$2:$B$1616,2,0)</f>
        <v>43120</v>
      </c>
      <c r="J3963" t="s">
        <v>101</v>
      </c>
      <c r="K3963" t="s">
        <v>18</v>
      </c>
    </row>
    <row r="3964" spans="1:11" x14ac:dyDescent="0.3">
      <c r="A3964">
        <v>1357</v>
      </c>
      <c r="B3964">
        <v>3</v>
      </c>
      <c r="C3964">
        <v>130</v>
      </c>
      <c r="D3964">
        <v>1</v>
      </c>
      <c r="E3964" s="1">
        <v>919.99</v>
      </c>
      <c r="F3964" s="1">
        <v>0.2</v>
      </c>
      <c r="G3964">
        <v>919.99</v>
      </c>
      <c r="H3964" s="22">
        <f>VLOOKUP(A3964,[1]Orders!$A$2:$B$1616,2,0)</f>
        <v>43120</v>
      </c>
      <c r="J3964" t="s">
        <v>184</v>
      </c>
      <c r="K3964" t="s">
        <v>18</v>
      </c>
    </row>
    <row r="3965" spans="1:11" x14ac:dyDescent="0.3">
      <c r="A3965">
        <v>1358</v>
      </c>
      <c r="B3965">
        <v>1</v>
      </c>
      <c r="C3965">
        <v>257</v>
      </c>
      <c r="D3965">
        <v>2</v>
      </c>
      <c r="E3965" s="1">
        <v>899.99</v>
      </c>
      <c r="F3965" s="1">
        <v>0.2</v>
      </c>
      <c r="G3965">
        <v>1799.98</v>
      </c>
      <c r="H3965" s="22">
        <f>VLOOKUP(A3965,[1]Orders!$A$2:$B$1616,2,0)</f>
        <v>43121</v>
      </c>
      <c r="J3965" t="s">
        <v>122</v>
      </c>
      <c r="K3965" t="s">
        <v>11</v>
      </c>
    </row>
    <row r="3966" spans="1:11" x14ac:dyDescent="0.3">
      <c r="A3966">
        <v>1359</v>
      </c>
      <c r="B3966">
        <v>1</v>
      </c>
      <c r="C3966">
        <v>282</v>
      </c>
      <c r="D3966">
        <v>1</v>
      </c>
      <c r="E3966" s="1">
        <v>279.99</v>
      </c>
      <c r="F3966" s="1">
        <v>0.05</v>
      </c>
      <c r="G3966">
        <v>279.99</v>
      </c>
      <c r="H3966" s="22">
        <f>VLOOKUP(A3966,[1]Orders!$A$2:$B$1616,2,0)</f>
        <v>43121</v>
      </c>
      <c r="J3966" t="s">
        <v>137</v>
      </c>
      <c r="K3966" t="s">
        <v>37</v>
      </c>
    </row>
    <row r="3967" spans="1:11" x14ac:dyDescent="0.3">
      <c r="A3967">
        <v>1359</v>
      </c>
      <c r="B3967">
        <v>2</v>
      </c>
      <c r="C3967">
        <v>82</v>
      </c>
      <c r="D3967">
        <v>1</v>
      </c>
      <c r="E3967" s="1">
        <v>659.99</v>
      </c>
      <c r="F3967" s="1">
        <v>0.05</v>
      </c>
      <c r="G3967">
        <v>659.99</v>
      </c>
      <c r="H3967" s="22">
        <f>VLOOKUP(A3967,[1]Orders!$A$2:$B$1616,2,0)</f>
        <v>43121</v>
      </c>
      <c r="J3967" t="s">
        <v>100</v>
      </c>
      <c r="K3967" t="s">
        <v>37</v>
      </c>
    </row>
    <row r="3968" spans="1:11" x14ac:dyDescent="0.3">
      <c r="A3968">
        <v>1360</v>
      </c>
      <c r="B3968">
        <v>1</v>
      </c>
      <c r="C3968">
        <v>31</v>
      </c>
      <c r="D3968">
        <v>1</v>
      </c>
      <c r="E3968" s="1">
        <v>1632.99</v>
      </c>
      <c r="F3968" s="1">
        <v>0.05</v>
      </c>
      <c r="G3968">
        <v>1632.99</v>
      </c>
      <c r="H3968" s="22">
        <f>VLOOKUP(A3968,[1]Orders!$A$2:$B$1616,2,0)</f>
        <v>43122</v>
      </c>
      <c r="J3968" t="s">
        <v>102</v>
      </c>
      <c r="K3968" t="s">
        <v>18</v>
      </c>
    </row>
    <row r="3969" spans="1:11" x14ac:dyDescent="0.3">
      <c r="A3969">
        <v>1361</v>
      </c>
      <c r="B3969">
        <v>1</v>
      </c>
      <c r="C3969">
        <v>307</v>
      </c>
      <c r="D3969">
        <v>2</v>
      </c>
      <c r="E3969" s="1">
        <v>749.99</v>
      </c>
      <c r="F3969" s="1">
        <v>7.0000000000000007E-2</v>
      </c>
      <c r="G3969">
        <v>1499.98</v>
      </c>
      <c r="H3969" s="22">
        <f>VLOOKUP(A3969,[1]Orders!$A$2:$B$1616,2,0)</f>
        <v>43122</v>
      </c>
      <c r="J3969" t="s">
        <v>185</v>
      </c>
      <c r="K3969" t="s">
        <v>18</v>
      </c>
    </row>
    <row r="3970" spans="1:11" x14ac:dyDescent="0.3">
      <c r="A3970">
        <v>1361</v>
      </c>
      <c r="B3970">
        <v>2</v>
      </c>
      <c r="C3970">
        <v>153</v>
      </c>
      <c r="D3970">
        <v>1</v>
      </c>
      <c r="E3970" s="1">
        <v>4999.99</v>
      </c>
      <c r="F3970" s="1">
        <v>0.05</v>
      </c>
      <c r="G3970">
        <v>4999.99</v>
      </c>
      <c r="H3970" s="22">
        <f>VLOOKUP(A3970,[1]Orders!$A$2:$B$1616,2,0)</f>
        <v>43122</v>
      </c>
      <c r="J3970" t="s">
        <v>153</v>
      </c>
      <c r="K3970" t="s">
        <v>18</v>
      </c>
    </row>
    <row r="3971" spans="1:11" x14ac:dyDescent="0.3">
      <c r="A3971">
        <v>1361</v>
      </c>
      <c r="B3971">
        <v>3</v>
      </c>
      <c r="C3971">
        <v>163</v>
      </c>
      <c r="D3971">
        <v>2</v>
      </c>
      <c r="E3971" s="1">
        <v>1349</v>
      </c>
      <c r="F3971" s="1">
        <v>0.2</v>
      </c>
      <c r="G3971">
        <v>2698</v>
      </c>
      <c r="H3971" s="22">
        <f>VLOOKUP(A3971,[1]Orders!$A$2:$B$1616,2,0)</f>
        <v>43122</v>
      </c>
      <c r="J3971" t="s">
        <v>186</v>
      </c>
      <c r="K3971" t="s">
        <v>18</v>
      </c>
    </row>
    <row r="3972" spans="1:11" x14ac:dyDescent="0.3">
      <c r="A3972">
        <v>1362</v>
      </c>
      <c r="B3972">
        <v>1</v>
      </c>
      <c r="C3972">
        <v>27</v>
      </c>
      <c r="D3972">
        <v>2</v>
      </c>
      <c r="E3972" s="1">
        <v>999.99</v>
      </c>
      <c r="F3972" s="1">
        <v>0.2</v>
      </c>
      <c r="G3972">
        <v>1999.98</v>
      </c>
      <c r="H3972" s="22">
        <f>VLOOKUP(A3972,[1]Orders!$A$2:$B$1616,2,0)</f>
        <v>43123</v>
      </c>
      <c r="J3972" t="s">
        <v>106</v>
      </c>
      <c r="K3972" t="s">
        <v>18</v>
      </c>
    </row>
    <row r="3973" spans="1:11" x14ac:dyDescent="0.3">
      <c r="A3973">
        <v>1362</v>
      </c>
      <c r="B3973">
        <v>2</v>
      </c>
      <c r="C3973">
        <v>204</v>
      </c>
      <c r="D3973">
        <v>2</v>
      </c>
      <c r="E3973" s="1">
        <v>3599.99</v>
      </c>
      <c r="F3973" s="1">
        <v>7.0000000000000007E-2</v>
      </c>
      <c r="G3973">
        <v>7199.98</v>
      </c>
      <c r="H3973" s="22">
        <f>VLOOKUP(A3973,[1]Orders!$A$2:$B$1616,2,0)</f>
        <v>43123</v>
      </c>
      <c r="J3973" t="s">
        <v>187</v>
      </c>
      <c r="K3973" t="s">
        <v>18</v>
      </c>
    </row>
    <row r="3974" spans="1:11" x14ac:dyDescent="0.3">
      <c r="A3974">
        <v>1362</v>
      </c>
      <c r="B3974">
        <v>3</v>
      </c>
      <c r="C3974">
        <v>4</v>
      </c>
      <c r="D3974">
        <v>2</v>
      </c>
      <c r="E3974" s="1">
        <v>2899.99</v>
      </c>
      <c r="F3974" s="1">
        <v>0.2</v>
      </c>
      <c r="G3974">
        <v>5799.98</v>
      </c>
      <c r="H3974" s="22">
        <f>VLOOKUP(A3974,[1]Orders!$A$2:$B$1616,2,0)</f>
        <v>43123</v>
      </c>
      <c r="J3974" t="s">
        <v>16</v>
      </c>
      <c r="K3974" t="s">
        <v>18</v>
      </c>
    </row>
    <row r="3975" spans="1:11" x14ac:dyDescent="0.3">
      <c r="A3975">
        <v>1363</v>
      </c>
      <c r="B3975">
        <v>1</v>
      </c>
      <c r="C3975">
        <v>66</v>
      </c>
      <c r="D3975">
        <v>2</v>
      </c>
      <c r="E3975" s="1">
        <v>250.99</v>
      </c>
      <c r="F3975" s="1">
        <v>0.1</v>
      </c>
      <c r="G3975">
        <v>501.98</v>
      </c>
      <c r="H3975" s="22">
        <f>VLOOKUP(A3975,[1]Orders!$A$2:$B$1616,2,0)</f>
        <v>43124</v>
      </c>
      <c r="J3975" t="s">
        <v>92</v>
      </c>
      <c r="K3975" t="s">
        <v>18</v>
      </c>
    </row>
    <row r="3976" spans="1:11" x14ac:dyDescent="0.3">
      <c r="A3976">
        <v>1364</v>
      </c>
      <c r="B3976">
        <v>1</v>
      </c>
      <c r="C3976">
        <v>78</v>
      </c>
      <c r="D3976">
        <v>1</v>
      </c>
      <c r="E3976" s="1">
        <v>647.99</v>
      </c>
      <c r="F3976" s="1">
        <v>7.0000000000000007E-2</v>
      </c>
      <c r="G3976">
        <v>647.99</v>
      </c>
      <c r="H3976" s="22">
        <f>VLOOKUP(A3976,[1]Orders!$A$2:$B$1616,2,0)</f>
        <v>43125</v>
      </c>
      <c r="J3976" t="s">
        <v>57</v>
      </c>
      <c r="K3976" t="s">
        <v>18</v>
      </c>
    </row>
    <row r="3977" spans="1:11" x14ac:dyDescent="0.3">
      <c r="A3977">
        <v>1364</v>
      </c>
      <c r="B3977">
        <v>2</v>
      </c>
      <c r="C3977">
        <v>155</v>
      </c>
      <c r="D3977">
        <v>2</v>
      </c>
      <c r="E3977" s="1">
        <v>11999.99</v>
      </c>
      <c r="F3977" s="1">
        <v>0.1</v>
      </c>
      <c r="G3977">
        <v>23999.98</v>
      </c>
      <c r="H3977" s="22">
        <f>VLOOKUP(A3977,[1]Orders!$A$2:$B$1616,2,0)</f>
        <v>43125</v>
      </c>
      <c r="J3977" t="s">
        <v>188</v>
      </c>
      <c r="K3977" t="s">
        <v>18</v>
      </c>
    </row>
    <row r="3978" spans="1:11" x14ac:dyDescent="0.3">
      <c r="A3978">
        <v>1364</v>
      </c>
      <c r="B3978">
        <v>3</v>
      </c>
      <c r="C3978">
        <v>152</v>
      </c>
      <c r="D3978">
        <v>1</v>
      </c>
      <c r="E3978" s="1">
        <v>2499.9899999999998</v>
      </c>
      <c r="F3978" s="1">
        <v>0.1</v>
      </c>
      <c r="G3978">
        <v>2499.9899999999998</v>
      </c>
      <c r="H3978" s="22">
        <f>VLOOKUP(A3978,[1]Orders!$A$2:$B$1616,2,0)</f>
        <v>43125</v>
      </c>
      <c r="J3978" t="s">
        <v>189</v>
      </c>
      <c r="K3978" t="s">
        <v>18</v>
      </c>
    </row>
    <row r="3979" spans="1:11" x14ac:dyDescent="0.3">
      <c r="A3979">
        <v>1364</v>
      </c>
      <c r="B3979">
        <v>4</v>
      </c>
      <c r="C3979">
        <v>110</v>
      </c>
      <c r="D3979">
        <v>1</v>
      </c>
      <c r="E3979" s="1">
        <v>470.99</v>
      </c>
      <c r="F3979" s="1">
        <v>7.0000000000000007E-2</v>
      </c>
      <c r="G3979">
        <v>470.99</v>
      </c>
      <c r="H3979" s="22">
        <f>VLOOKUP(A3979,[1]Orders!$A$2:$B$1616,2,0)</f>
        <v>43125</v>
      </c>
      <c r="J3979" t="s">
        <v>65</v>
      </c>
      <c r="K3979" t="s">
        <v>18</v>
      </c>
    </row>
    <row r="3980" spans="1:11" x14ac:dyDescent="0.3">
      <c r="A3980">
        <v>1365</v>
      </c>
      <c r="B3980">
        <v>1</v>
      </c>
      <c r="C3980">
        <v>144</v>
      </c>
      <c r="D3980">
        <v>1</v>
      </c>
      <c r="E3980" s="1">
        <v>1549.99</v>
      </c>
      <c r="F3980" s="1">
        <v>7.0000000000000007E-2</v>
      </c>
      <c r="G3980">
        <v>1549.99</v>
      </c>
      <c r="H3980" s="22">
        <f>VLOOKUP(A3980,[1]Orders!$A$2:$B$1616,2,0)</f>
        <v>43125</v>
      </c>
      <c r="J3980" t="s">
        <v>190</v>
      </c>
      <c r="K3980" t="s">
        <v>18</v>
      </c>
    </row>
    <row r="3981" spans="1:11" x14ac:dyDescent="0.3">
      <c r="A3981">
        <v>1365</v>
      </c>
      <c r="B3981">
        <v>2</v>
      </c>
      <c r="C3981">
        <v>58</v>
      </c>
      <c r="D3981">
        <v>1</v>
      </c>
      <c r="E3981" s="1">
        <v>4999.99</v>
      </c>
      <c r="F3981" s="1">
        <v>7.0000000000000007E-2</v>
      </c>
      <c r="G3981">
        <v>4999.99</v>
      </c>
      <c r="H3981" s="22">
        <f>VLOOKUP(A3981,[1]Orders!$A$2:$B$1616,2,0)</f>
        <v>43125</v>
      </c>
      <c r="J3981" t="s">
        <v>81</v>
      </c>
      <c r="K3981" t="s">
        <v>18</v>
      </c>
    </row>
    <row r="3982" spans="1:11" x14ac:dyDescent="0.3">
      <c r="A3982">
        <v>1365</v>
      </c>
      <c r="B3982">
        <v>3</v>
      </c>
      <c r="C3982">
        <v>236</v>
      </c>
      <c r="D3982">
        <v>1</v>
      </c>
      <c r="E3982" s="1">
        <v>749.99</v>
      </c>
      <c r="F3982" s="1">
        <v>0.05</v>
      </c>
      <c r="G3982">
        <v>749.99</v>
      </c>
      <c r="H3982" s="22">
        <f>VLOOKUP(A3982,[1]Orders!$A$2:$B$1616,2,0)</f>
        <v>43125</v>
      </c>
      <c r="J3982" t="s">
        <v>191</v>
      </c>
      <c r="K3982" t="s">
        <v>18</v>
      </c>
    </row>
    <row r="3983" spans="1:11" x14ac:dyDescent="0.3">
      <c r="A3983">
        <v>1366</v>
      </c>
      <c r="B3983">
        <v>1</v>
      </c>
      <c r="C3983">
        <v>115</v>
      </c>
      <c r="D3983">
        <v>1</v>
      </c>
      <c r="E3983" s="1">
        <v>3199.99</v>
      </c>
      <c r="F3983" s="1">
        <v>0.1</v>
      </c>
      <c r="G3983">
        <v>3199.99</v>
      </c>
      <c r="H3983" s="22">
        <f>VLOOKUP(A3983,[1]Orders!$A$2:$B$1616,2,0)</f>
        <v>43126</v>
      </c>
      <c r="J3983" t="s">
        <v>192</v>
      </c>
      <c r="K3983" t="s">
        <v>18</v>
      </c>
    </row>
    <row r="3984" spans="1:11" x14ac:dyDescent="0.3">
      <c r="A3984">
        <v>1366</v>
      </c>
      <c r="B3984">
        <v>2</v>
      </c>
      <c r="C3984">
        <v>128</v>
      </c>
      <c r="D3984">
        <v>2</v>
      </c>
      <c r="E3984" s="1">
        <v>1899</v>
      </c>
      <c r="F3984" s="1">
        <v>0.2</v>
      </c>
      <c r="G3984">
        <v>3798</v>
      </c>
      <c r="H3984" s="22">
        <f>VLOOKUP(A3984,[1]Orders!$A$2:$B$1616,2,0)</f>
        <v>43126</v>
      </c>
      <c r="J3984" t="s">
        <v>193</v>
      </c>
      <c r="K3984" t="s">
        <v>18</v>
      </c>
    </row>
    <row r="3985" spans="1:11" x14ac:dyDescent="0.3">
      <c r="A3985">
        <v>1366</v>
      </c>
      <c r="B3985">
        <v>3</v>
      </c>
      <c r="C3985">
        <v>200</v>
      </c>
      <c r="D3985">
        <v>1</v>
      </c>
      <c r="E3985" s="1">
        <v>3499.99</v>
      </c>
      <c r="F3985" s="1">
        <v>7.0000000000000007E-2</v>
      </c>
      <c r="G3985">
        <v>3499.99</v>
      </c>
      <c r="H3985" s="22">
        <f>VLOOKUP(A3985,[1]Orders!$A$2:$B$1616,2,0)</f>
        <v>43126</v>
      </c>
      <c r="J3985" t="s">
        <v>194</v>
      </c>
      <c r="K3985" t="s">
        <v>18</v>
      </c>
    </row>
    <row r="3986" spans="1:11" x14ac:dyDescent="0.3">
      <c r="A3986">
        <v>1367</v>
      </c>
      <c r="B3986">
        <v>1</v>
      </c>
      <c r="C3986">
        <v>132</v>
      </c>
      <c r="D3986">
        <v>1</v>
      </c>
      <c r="E3986" s="1">
        <v>1499.99</v>
      </c>
      <c r="F3986" s="1">
        <v>0.1</v>
      </c>
      <c r="G3986">
        <v>1499.99</v>
      </c>
      <c r="H3986" s="22">
        <f>VLOOKUP(A3986,[1]Orders!$A$2:$B$1616,2,0)</f>
        <v>43127</v>
      </c>
      <c r="J3986" t="s">
        <v>195</v>
      </c>
      <c r="K3986" t="s">
        <v>11</v>
      </c>
    </row>
    <row r="3987" spans="1:11" x14ac:dyDescent="0.3">
      <c r="A3987">
        <v>1367</v>
      </c>
      <c r="B3987">
        <v>2</v>
      </c>
      <c r="C3987">
        <v>131</v>
      </c>
      <c r="D3987">
        <v>2</v>
      </c>
      <c r="E3987" s="1">
        <v>2599</v>
      </c>
      <c r="F3987" s="1">
        <v>0.2</v>
      </c>
      <c r="G3987">
        <v>5198</v>
      </c>
      <c r="H3987" s="22">
        <f>VLOOKUP(A3987,[1]Orders!$A$2:$B$1616,2,0)</f>
        <v>43127</v>
      </c>
      <c r="J3987" t="s">
        <v>196</v>
      </c>
      <c r="K3987" t="s">
        <v>11</v>
      </c>
    </row>
    <row r="3988" spans="1:11" x14ac:dyDescent="0.3">
      <c r="A3988">
        <v>1367</v>
      </c>
      <c r="B3988">
        <v>3</v>
      </c>
      <c r="C3988">
        <v>124</v>
      </c>
      <c r="D3988">
        <v>1</v>
      </c>
      <c r="E3988" s="1">
        <v>1499</v>
      </c>
      <c r="F3988" s="1">
        <v>7.0000000000000007E-2</v>
      </c>
      <c r="G3988">
        <v>1499</v>
      </c>
      <c r="H3988" s="22">
        <f>VLOOKUP(A3988,[1]Orders!$A$2:$B$1616,2,0)</f>
        <v>43127</v>
      </c>
      <c r="J3988" t="s">
        <v>197</v>
      </c>
      <c r="K3988" t="s">
        <v>11</v>
      </c>
    </row>
    <row r="3989" spans="1:11" x14ac:dyDescent="0.3">
      <c r="A3989">
        <v>1367</v>
      </c>
      <c r="B3989">
        <v>4</v>
      </c>
      <c r="C3989">
        <v>24</v>
      </c>
      <c r="D3989">
        <v>2</v>
      </c>
      <c r="E3989" s="1">
        <v>549.99</v>
      </c>
      <c r="F3989" s="1">
        <v>0.05</v>
      </c>
      <c r="G3989">
        <v>1099.98</v>
      </c>
      <c r="H3989" s="22">
        <f>VLOOKUP(A3989,[1]Orders!$A$2:$B$1616,2,0)</f>
        <v>43127</v>
      </c>
      <c r="J3989" t="s">
        <v>25</v>
      </c>
      <c r="K3989" t="s">
        <v>11</v>
      </c>
    </row>
    <row r="3990" spans="1:11" x14ac:dyDescent="0.3">
      <c r="A3990">
        <v>1368</v>
      </c>
      <c r="B3990">
        <v>1</v>
      </c>
      <c r="C3990">
        <v>66</v>
      </c>
      <c r="D3990">
        <v>1</v>
      </c>
      <c r="E3990" s="1">
        <v>250.99</v>
      </c>
      <c r="F3990" s="1">
        <v>0.1</v>
      </c>
      <c r="G3990">
        <v>250.99</v>
      </c>
      <c r="H3990" s="22">
        <f>VLOOKUP(A3990,[1]Orders!$A$2:$B$1616,2,0)</f>
        <v>43127</v>
      </c>
      <c r="J3990" t="s">
        <v>92</v>
      </c>
      <c r="K3990" t="s">
        <v>18</v>
      </c>
    </row>
    <row r="3991" spans="1:11" x14ac:dyDescent="0.3">
      <c r="A3991">
        <v>1368</v>
      </c>
      <c r="B3991">
        <v>2</v>
      </c>
      <c r="C3991">
        <v>113</v>
      </c>
      <c r="D3991">
        <v>2</v>
      </c>
      <c r="E3991" s="1">
        <v>489.99</v>
      </c>
      <c r="F3991" s="1">
        <v>7.0000000000000007E-2</v>
      </c>
      <c r="G3991">
        <v>979.98</v>
      </c>
      <c r="H3991" s="22">
        <f>VLOOKUP(A3991,[1]Orders!$A$2:$B$1616,2,0)</f>
        <v>43127</v>
      </c>
      <c r="J3991" t="s">
        <v>198</v>
      </c>
      <c r="K3991" t="s">
        <v>18</v>
      </c>
    </row>
    <row r="3992" spans="1:11" x14ac:dyDescent="0.3">
      <c r="A3992">
        <v>1368</v>
      </c>
      <c r="B3992">
        <v>3</v>
      </c>
      <c r="C3992">
        <v>186</v>
      </c>
      <c r="D3992">
        <v>1</v>
      </c>
      <c r="E3992" s="1">
        <v>4499.99</v>
      </c>
      <c r="F3992" s="1">
        <v>0.2</v>
      </c>
      <c r="G3992">
        <v>4499.99</v>
      </c>
      <c r="H3992" s="22">
        <f>VLOOKUP(A3992,[1]Orders!$A$2:$B$1616,2,0)</f>
        <v>43127</v>
      </c>
      <c r="J3992" t="s">
        <v>199</v>
      </c>
      <c r="K3992" t="s">
        <v>18</v>
      </c>
    </row>
    <row r="3993" spans="1:11" x14ac:dyDescent="0.3">
      <c r="A3993">
        <v>1369</v>
      </c>
      <c r="B3993">
        <v>1</v>
      </c>
      <c r="C3993">
        <v>213</v>
      </c>
      <c r="D3993">
        <v>2</v>
      </c>
      <c r="E3993" s="1">
        <v>269.99</v>
      </c>
      <c r="F3993" s="1">
        <v>0.05</v>
      </c>
      <c r="G3993">
        <v>539.98</v>
      </c>
      <c r="H3993" s="22">
        <f>VLOOKUP(A3993,[1]Orders!$A$2:$B$1616,2,0)</f>
        <v>43128</v>
      </c>
      <c r="J3993" t="s">
        <v>200</v>
      </c>
      <c r="K3993" t="s">
        <v>18</v>
      </c>
    </row>
    <row r="3994" spans="1:11" x14ac:dyDescent="0.3">
      <c r="A3994">
        <v>1370</v>
      </c>
      <c r="B3994">
        <v>1</v>
      </c>
      <c r="C3994">
        <v>7</v>
      </c>
      <c r="D3994">
        <v>1</v>
      </c>
      <c r="E3994" s="1">
        <v>3999.99</v>
      </c>
      <c r="F3994" s="1">
        <v>7.0000000000000007E-2</v>
      </c>
      <c r="G3994">
        <v>3999.99</v>
      </c>
      <c r="H3994" s="22">
        <f>VLOOKUP(A3994,[1]Orders!$A$2:$B$1616,2,0)</f>
        <v>43128</v>
      </c>
      <c r="J3994" t="s">
        <v>29</v>
      </c>
      <c r="K3994" t="s">
        <v>18</v>
      </c>
    </row>
    <row r="3995" spans="1:11" x14ac:dyDescent="0.3">
      <c r="A3995">
        <v>1370</v>
      </c>
      <c r="B3995">
        <v>2</v>
      </c>
      <c r="C3995">
        <v>89</v>
      </c>
      <c r="D3995">
        <v>2</v>
      </c>
      <c r="E3995" s="1">
        <v>209.99</v>
      </c>
      <c r="F3995" s="1">
        <v>0.1</v>
      </c>
      <c r="G3995">
        <v>419.98</v>
      </c>
      <c r="H3995" s="22">
        <f>VLOOKUP(A3995,[1]Orders!$A$2:$B$1616,2,0)</f>
        <v>43128</v>
      </c>
      <c r="J3995" t="s">
        <v>94</v>
      </c>
      <c r="K3995" t="s">
        <v>18</v>
      </c>
    </row>
    <row r="3996" spans="1:11" x14ac:dyDescent="0.3">
      <c r="A3996">
        <v>1370</v>
      </c>
      <c r="B3996">
        <v>3</v>
      </c>
      <c r="C3996">
        <v>208</v>
      </c>
      <c r="D3996">
        <v>2</v>
      </c>
      <c r="E3996" s="1">
        <v>1799.99</v>
      </c>
      <c r="F3996" s="1">
        <v>0.2</v>
      </c>
      <c r="G3996">
        <v>3599.98</v>
      </c>
      <c r="H3996" s="22">
        <f>VLOOKUP(A3996,[1]Orders!$A$2:$B$1616,2,0)</f>
        <v>43128</v>
      </c>
      <c r="J3996" t="s">
        <v>201</v>
      </c>
      <c r="K3996" t="s">
        <v>18</v>
      </c>
    </row>
    <row r="3997" spans="1:11" x14ac:dyDescent="0.3">
      <c r="A3997">
        <v>1370</v>
      </c>
      <c r="B3997">
        <v>4</v>
      </c>
      <c r="C3997">
        <v>134</v>
      </c>
      <c r="D3997">
        <v>1</v>
      </c>
      <c r="E3997" s="1">
        <v>1499.99</v>
      </c>
      <c r="F3997" s="1">
        <v>0.1</v>
      </c>
      <c r="G3997">
        <v>1499.99</v>
      </c>
      <c r="H3997" s="22">
        <f>VLOOKUP(A3997,[1]Orders!$A$2:$B$1616,2,0)</f>
        <v>43128</v>
      </c>
      <c r="J3997" t="s">
        <v>165</v>
      </c>
      <c r="K3997" t="s">
        <v>18</v>
      </c>
    </row>
    <row r="3998" spans="1:11" x14ac:dyDescent="0.3">
      <c r="A3998">
        <v>1371</v>
      </c>
      <c r="B3998">
        <v>1</v>
      </c>
      <c r="C3998">
        <v>223</v>
      </c>
      <c r="D3998">
        <v>2</v>
      </c>
      <c r="E3998" s="1">
        <v>529.99</v>
      </c>
      <c r="F3998" s="1">
        <v>7.0000000000000007E-2</v>
      </c>
      <c r="G3998">
        <v>1059.98</v>
      </c>
      <c r="H3998" s="22">
        <f>VLOOKUP(A3998,[1]Orders!$A$2:$B$1616,2,0)</f>
        <v>43129</v>
      </c>
      <c r="J3998" t="s">
        <v>202</v>
      </c>
      <c r="K3998" t="s">
        <v>18</v>
      </c>
    </row>
    <row r="3999" spans="1:11" x14ac:dyDescent="0.3">
      <c r="A3999">
        <v>1371</v>
      </c>
      <c r="B3999">
        <v>2</v>
      </c>
      <c r="C3999">
        <v>8</v>
      </c>
      <c r="D3999">
        <v>2</v>
      </c>
      <c r="E3999" s="1">
        <v>1799.99</v>
      </c>
      <c r="F3999" s="1">
        <v>0.2</v>
      </c>
      <c r="G3999">
        <v>3599.98</v>
      </c>
      <c r="H3999" s="22">
        <f>VLOOKUP(A3999,[1]Orders!$A$2:$B$1616,2,0)</f>
        <v>43129</v>
      </c>
      <c r="J3999" t="s">
        <v>12</v>
      </c>
      <c r="K3999" t="s">
        <v>18</v>
      </c>
    </row>
    <row r="4000" spans="1:11" x14ac:dyDescent="0.3">
      <c r="A4000">
        <v>1372</v>
      </c>
      <c r="B4000">
        <v>1</v>
      </c>
      <c r="C4000">
        <v>307</v>
      </c>
      <c r="D4000">
        <v>1</v>
      </c>
      <c r="E4000" s="1">
        <v>749.99</v>
      </c>
      <c r="F4000" s="1">
        <v>7.0000000000000007E-2</v>
      </c>
      <c r="G4000">
        <v>749.99</v>
      </c>
      <c r="H4000" s="22">
        <f>VLOOKUP(A4000,[1]Orders!$A$2:$B$1616,2,0)</f>
        <v>43129</v>
      </c>
      <c r="J4000" t="s">
        <v>185</v>
      </c>
      <c r="K4000" t="s">
        <v>18</v>
      </c>
    </row>
    <row r="4001" spans="1:11" x14ac:dyDescent="0.3">
      <c r="A4001">
        <v>1372</v>
      </c>
      <c r="B4001">
        <v>2</v>
      </c>
      <c r="C4001">
        <v>283</v>
      </c>
      <c r="D4001">
        <v>2</v>
      </c>
      <c r="E4001" s="1">
        <v>319.99</v>
      </c>
      <c r="F4001" s="1">
        <v>0.2</v>
      </c>
      <c r="G4001">
        <v>639.98</v>
      </c>
      <c r="H4001" s="22">
        <f>VLOOKUP(A4001,[1]Orders!$A$2:$B$1616,2,0)</f>
        <v>43129</v>
      </c>
      <c r="J4001" t="s">
        <v>133</v>
      </c>
      <c r="K4001" t="s">
        <v>18</v>
      </c>
    </row>
    <row r="4002" spans="1:11" x14ac:dyDescent="0.3">
      <c r="A4002">
        <v>1373</v>
      </c>
      <c r="B4002">
        <v>1</v>
      </c>
      <c r="C4002">
        <v>63</v>
      </c>
      <c r="D4002">
        <v>1</v>
      </c>
      <c r="E4002" s="1">
        <v>3499.99</v>
      </c>
      <c r="F4002" s="1">
        <v>0.1</v>
      </c>
      <c r="G4002">
        <v>3499.99</v>
      </c>
      <c r="H4002" s="22">
        <f>VLOOKUP(A4002,[1]Orders!$A$2:$B$1616,2,0)</f>
        <v>43129</v>
      </c>
      <c r="J4002" t="s">
        <v>75</v>
      </c>
      <c r="K4002" t="s">
        <v>37</v>
      </c>
    </row>
    <row r="4003" spans="1:11" x14ac:dyDescent="0.3">
      <c r="A4003">
        <v>1374</v>
      </c>
      <c r="B4003">
        <v>1</v>
      </c>
      <c r="C4003">
        <v>181</v>
      </c>
      <c r="D4003">
        <v>2</v>
      </c>
      <c r="E4003" s="1">
        <v>2199.9899999999998</v>
      </c>
      <c r="F4003" s="1">
        <v>0.05</v>
      </c>
      <c r="G4003">
        <v>4399.9799999999996</v>
      </c>
      <c r="H4003" s="22">
        <f>VLOOKUP(A4003,[1]Orders!$A$2:$B$1616,2,0)</f>
        <v>43130</v>
      </c>
      <c r="J4003" t="s">
        <v>203</v>
      </c>
      <c r="K4003" t="s">
        <v>11</v>
      </c>
    </row>
    <row r="4004" spans="1:11" x14ac:dyDescent="0.3">
      <c r="A4004">
        <v>1374</v>
      </c>
      <c r="B4004">
        <v>2</v>
      </c>
      <c r="C4004">
        <v>130</v>
      </c>
      <c r="D4004">
        <v>2</v>
      </c>
      <c r="E4004" s="1">
        <v>919.99</v>
      </c>
      <c r="F4004" s="1">
        <v>7.0000000000000007E-2</v>
      </c>
      <c r="G4004">
        <v>1839.98</v>
      </c>
      <c r="H4004" s="22">
        <f>VLOOKUP(A4004,[1]Orders!$A$2:$B$1616,2,0)</f>
        <v>43130</v>
      </c>
      <c r="J4004" t="s">
        <v>184</v>
      </c>
      <c r="K4004" t="s">
        <v>11</v>
      </c>
    </row>
    <row r="4005" spans="1:11" x14ac:dyDescent="0.3">
      <c r="A4005">
        <v>1375</v>
      </c>
      <c r="B4005">
        <v>1</v>
      </c>
      <c r="C4005">
        <v>147</v>
      </c>
      <c r="D4005">
        <v>2</v>
      </c>
      <c r="E4005" s="1">
        <v>1799.99</v>
      </c>
      <c r="F4005" s="1">
        <v>0.05</v>
      </c>
      <c r="G4005">
        <v>3599.98</v>
      </c>
      <c r="H4005" s="22">
        <f>VLOOKUP(A4005,[1]Orders!$A$2:$B$1616,2,0)</f>
        <v>43130</v>
      </c>
      <c r="J4005" t="s">
        <v>170</v>
      </c>
      <c r="K4005" t="s">
        <v>37</v>
      </c>
    </row>
    <row r="4006" spans="1:11" x14ac:dyDescent="0.3">
      <c r="A4006">
        <v>1375</v>
      </c>
      <c r="B4006">
        <v>2</v>
      </c>
      <c r="C4006">
        <v>182</v>
      </c>
      <c r="D4006">
        <v>1</v>
      </c>
      <c r="E4006" s="1">
        <v>2499.9899999999998</v>
      </c>
      <c r="F4006" s="1">
        <v>0.2</v>
      </c>
      <c r="G4006">
        <v>2499.9899999999998</v>
      </c>
      <c r="H4006" s="22">
        <f>VLOOKUP(A4006,[1]Orders!$A$2:$B$1616,2,0)</f>
        <v>43130</v>
      </c>
      <c r="J4006" t="s">
        <v>204</v>
      </c>
      <c r="K4006" t="s">
        <v>37</v>
      </c>
    </row>
    <row r="4007" spans="1:11" x14ac:dyDescent="0.3">
      <c r="A4007">
        <v>1376</v>
      </c>
      <c r="B4007">
        <v>1</v>
      </c>
      <c r="C4007">
        <v>5</v>
      </c>
      <c r="D4007">
        <v>1</v>
      </c>
      <c r="E4007" s="1">
        <v>1320.99</v>
      </c>
      <c r="F4007" s="1">
        <v>7.0000000000000007E-2</v>
      </c>
      <c r="G4007">
        <v>1320.99</v>
      </c>
      <c r="H4007" s="22">
        <f>VLOOKUP(A4007,[1]Orders!$A$2:$B$1616,2,0)</f>
        <v>43132</v>
      </c>
      <c r="J4007" t="s">
        <v>34</v>
      </c>
      <c r="K4007" t="s">
        <v>11</v>
      </c>
    </row>
    <row r="4008" spans="1:11" x14ac:dyDescent="0.3">
      <c r="A4008">
        <v>1377</v>
      </c>
      <c r="B4008">
        <v>1</v>
      </c>
      <c r="C4008">
        <v>153</v>
      </c>
      <c r="D4008">
        <v>2</v>
      </c>
      <c r="E4008" s="1">
        <v>4999.99</v>
      </c>
      <c r="F4008" s="1">
        <v>0.05</v>
      </c>
      <c r="G4008">
        <v>9999.98</v>
      </c>
      <c r="H4008" s="22">
        <f>VLOOKUP(A4008,[1]Orders!$A$2:$B$1616,2,0)</f>
        <v>43132</v>
      </c>
      <c r="J4008" t="s">
        <v>153</v>
      </c>
      <c r="K4008" t="s">
        <v>18</v>
      </c>
    </row>
    <row r="4009" spans="1:11" x14ac:dyDescent="0.3">
      <c r="A4009">
        <v>1377</v>
      </c>
      <c r="B4009">
        <v>2</v>
      </c>
      <c r="C4009">
        <v>130</v>
      </c>
      <c r="D4009">
        <v>1</v>
      </c>
      <c r="E4009" s="1">
        <v>919.99</v>
      </c>
      <c r="F4009" s="1">
        <v>0.05</v>
      </c>
      <c r="G4009">
        <v>919.99</v>
      </c>
      <c r="H4009" s="22">
        <f>VLOOKUP(A4009,[1]Orders!$A$2:$B$1616,2,0)</f>
        <v>43132</v>
      </c>
      <c r="J4009" t="s">
        <v>184</v>
      </c>
      <c r="K4009" t="s">
        <v>18</v>
      </c>
    </row>
    <row r="4010" spans="1:11" x14ac:dyDescent="0.3">
      <c r="A4010">
        <v>1377</v>
      </c>
      <c r="B4010">
        <v>3</v>
      </c>
      <c r="C4010">
        <v>48</v>
      </c>
      <c r="D4010">
        <v>1</v>
      </c>
      <c r="E4010" s="1">
        <v>1499.99</v>
      </c>
      <c r="F4010" s="1">
        <v>7.0000000000000007E-2</v>
      </c>
      <c r="G4010">
        <v>1499.99</v>
      </c>
      <c r="H4010" s="22">
        <f>VLOOKUP(A4010,[1]Orders!$A$2:$B$1616,2,0)</f>
        <v>43132</v>
      </c>
      <c r="J4010" t="s">
        <v>84</v>
      </c>
      <c r="K4010" t="s">
        <v>18</v>
      </c>
    </row>
    <row r="4011" spans="1:11" x14ac:dyDescent="0.3">
      <c r="A4011">
        <v>1377</v>
      </c>
      <c r="B4011">
        <v>4</v>
      </c>
      <c r="C4011">
        <v>188</v>
      </c>
      <c r="D4011">
        <v>2</v>
      </c>
      <c r="E4011" s="1">
        <v>3499.99</v>
      </c>
      <c r="F4011" s="1">
        <v>7.0000000000000007E-2</v>
      </c>
      <c r="G4011">
        <v>6999.98</v>
      </c>
      <c r="H4011" s="22">
        <f>VLOOKUP(A4011,[1]Orders!$A$2:$B$1616,2,0)</f>
        <v>43132</v>
      </c>
      <c r="J4011" t="s">
        <v>205</v>
      </c>
      <c r="K4011" t="s">
        <v>18</v>
      </c>
    </row>
    <row r="4012" spans="1:11" x14ac:dyDescent="0.3">
      <c r="A4012">
        <v>1378</v>
      </c>
      <c r="B4012">
        <v>1</v>
      </c>
      <c r="C4012">
        <v>96</v>
      </c>
      <c r="D4012">
        <v>2</v>
      </c>
      <c r="E4012" s="1">
        <v>349.99</v>
      </c>
      <c r="F4012" s="1">
        <v>7.0000000000000007E-2</v>
      </c>
      <c r="G4012">
        <v>699.98</v>
      </c>
      <c r="H4012" s="22">
        <f>VLOOKUP(A4012,[1]Orders!$A$2:$B$1616,2,0)</f>
        <v>43133</v>
      </c>
      <c r="J4012" t="s">
        <v>91</v>
      </c>
      <c r="K4012" t="s">
        <v>11</v>
      </c>
    </row>
    <row r="4013" spans="1:11" x14ac:dyDescent="0.3">
      <c r="A4013">
        <v>1378</v>
      </c>
      <c r="B4013">
        <v>2</v>
      </c>
      <c r="C4013">
        <v>142</v>
      </c>
      <c r="D4013">
        <v>2</v>
      </c>
      <c r="E4013" s="1">
        <v>3199.99</v>
      </c>
      <c r="F4013" s="1">
        <v>7.0000000000000007E-2</v>
      </c>
      <c r="G4013">
        <v>6399.98</v>
      </c>
      <c r="H4013" s="22">
        <f>VLOOKUP(A4013,[1]Orders!$A$2:$B$1616,2,0)</f>
        <v>43133</v>
      </c>
      <c r="J4013" t="s">
        <v>206</v>
      </c>
      <c r="K4013" t="s">
        <v>11</v>
      </c>
    </row>
    <row r="4014" spans="1:11" x14ac:dyDescent="0.3">
      <c r="A4014">
        <v>1378</v>
      </c>
      <c r="B4014">
        <v>3</v>
      </c>
      <c r="C4014">
        <v>2</v>
      </c>
      <c r="D4014">
        <v>2</v>
      </c>
      <c r="E4014" s="1">
        <v>749.99</v>
      </c>
      <c r="F4014" s="1">
        <v>0.2</v>
      </c>
      <c r="G4014">
        <v>1499.98</v>
      </c>
      <c r="H4014" s="22">
        <f>VLOOKUP(A4014,[1]Orders!$A$2:$B$1616,2,0)</f>
        <v>43133</v>
      </c>
      <c r="J4014" t="s">
        <v>22</v>
      </c>
      <c r="K4014" t="s">
        <v>11</v>
      </c>
    </row>
    <row r="4015" spans="1:11" x14ac:dyDescent="0.3">
      <c r="A4015">
        <v>1378</v>
      </c>
      <c r="B4015">
        <v>4</v>
      </c>
      <c r="C4015">
        <v>110</v>
      </c>
      <c r="D4015">
        <v>1</v>
      </c>
      <c r="E4015" s="1">
        <v>470.99</v>
      </c>
      <c r="F4015" s="1">
        <v>7.0000000000000007E-2</v>
      </c>
      <c r="G4015">
        <v>470.99</v>
      </c>
      <c r="H4015" s="22">
        <f>VLOOKUP(A4015,[1]Orders!$A$2:$B$1616,2,0)</f>
        <v>43133</v>
      </c>
      <c r="J4015" t="s">
        <v>65</v>
      </c>
      <c r="K4015" t="s">
        <v>11</v>
      </c>
    </row>
    <row r="4016" spans="1:11" x14ac:dyDescent="0.3">
      <c r="A4016">
        <v>1378</v>
      </c>
      <c r="B4016">
        <v>5</v>
      </c>
      <c r="C4016">
        <v>129</v>
      </c>
      <c r="D4016">
        <v>2</v>
      </c>
      <c r="E4016" s="1">
        <v>919.99</v>
      </c>
      <c r="F4016" s="1">
        <v>0.2</v>
      </c>
      <c r="G4016">
        <v>1839.98</v>
      </c>
      <c r="H4016" s="22">
        <f>VLOOKUP(A4016,[1]Orders!$A$2:$B$1616,2,0)</f>
        <v>43133</v>
      </c>
      <c r="J4016" t="s">
        <v>129</v>
      </c>
      <c r="K4016" t="s">
        <v>11</v>
      </c>
    </row>
    <row r="4017" spans="1:11" x14ac:dyDescent="0.3">
      <c r="A4017">
        <v>1379</v>
      </c>
      <c r="B4017">
        <v>1</v>
      </c>
      <c r="C4017">
        <v>15</v>
      </c>
      <c r="D4017">
        <v>1</v>
      </c>
      <c r="E4017" s="1">
        <v>529.99</v>
      </c>
      <c r="F4017" s="1">
        <v>0.1</v>
      </c>
      <c r="G4017">
        <v>529.99</v>
      </c>
      <c r="H4017" s="22">
        <f>VLOOKUP(A4017,[1]Orders!$A$2:$B$1616,2,0)</f>
        <v>43133</v>
      </c>
      <c r="J4017" t="s">
        <v>27</v>
      </c>
      <c r="K4017" t="s">
        <v>18</v>
      </c>
    </row>
    <row r="4018" spans="1:11" x14ac:dyDescent="0.3">
      <c r="A4018">
        <v>1379</v>
      </c>
      <c r="B4018">
        <v>2</v>
      </c>
      <c r="C4018">
        <v>118</v>
      </c>
      <c r="D4018">
        <v>1</v>
      </c>
      <c r="E4018" s="1">
        <v>999.99</v>
      </c>
      <c r="F4018" s="1">
        <v>0.1</v>
      </c>
      <c r="G4018">
        <v>999.99</v>
      </c>
      <c r="H4018" s="22">
        <f>VLOOKUP(A4018,[1]Orders!$A$2:$B$1616,2,0)</f>
        <v>43133</v>
      </c>
      <c r="J4018" t="s">
        <v>207</v>
      </c>
      <c r="K4018" t="s">
        <v>18</v>
      </c>
    </row>
    <row r="4019" spans="1:11" x14ac:dyDescent="0.3">
      <c r="A4019">
        <v>1379</v>
      </c>
      <c r="B4019">
        <v>3</v>
      </c>
      <c r="C4019">
        <v>263</v>
      </c>
      <c r="D4019">
        <v>2</v>
      </c>
      <c r="E4019" s="1">
        <v>89.99</v>
      </c>
      <c r="F4019" s="1">
        <v>0.1</v>
      </c>
      <c r="G4019">
        <v>179.98</v>
      </c>
      <c r="H4019" s="22">
        <f>VLOOKUP(A4019,[1]Orders!$A$2:$B$1616,2,0)</f>
        <v>43133</v>
      </c>
      <c r="J4019" t="s">
        <v>168</v>
      </c>
      <c r="K4019" t="s">
        <v>18</v>
      </c>
    </row>
    <row r="4020" spans="1:11" x14ac:dyDescent="0.3">
      <c r="A4020">
        <v>1380</v>
      </c>
      <c r="B4020">
        <v>1</v>
      </c>
      <c r="C4020">
        <v>255</v>
      </c>
      <c r="D4020">
        <v>2</v>
      </c>
      <c r="E4020" s="1">
        <v>899.99</v>
      </c>
      <c r="F4020" s="1">
        <v>0.1</v>
      </c>
      <c r="G4020">
        <v>1799.98</v>
      </c>
      <c r="H4020" s="22">
        <f>VLOOKUP(A4020,[1]Orders!$A$2:$B$1616,2,0)</f>
        <v>43136</v>
      </c>
      <c r="J4020" t="s">
        <v>208</v>
      </c>
      <c r="K4020" t="s">
        <v>11</v>
      </c>
    </row>
    <row r="4021" spans="1:11" x14ac:dyDescent="0.3">
      <c r="A4021">
        <v>1380</v>
      </c>
      <c r="B4021">
        <v>2</v>
      </c>
      <c r="C4021">
        <v>229</v>
      </c>
      <c r="D4021">
        <v>2</v>
      </c>
      <c r="E4021" s="1">
        <v>429.99</v>
      </c>
      <c r="F4021" s="1">
        <v>7.0000000000000007E-2</v>
      </c>
      <c r="G4021">
        <v>859.98</v>
      </c>
      <c r="H4021" s="22">
        <f>VLOOKUP(A4021,[1]Orders!$A$2:$B$1616,2,0)</f>
        <v>43136</v>
      </c>
      <c r="J4021" t="s">
        <v>209</v>
      </c>
      <c r="K4021" t="s">
        <v>11</v>
      </c>
    </row>
    <row r="4022" spans="1:11" x14ac:dyDescent="0.3">
      <c r="A4022">
        <v>1381</v>
      </c>
      <c r="B4022">
        <v>1</v>
      </c>
      <c r="C4022">
        <v>274</v>
      </c>
      <c r="D4022">
        <v>2</v>
      </c>
      <c r="E4022" s="1">
        <v>229.99</v>
      </c>
      <c r="F4022" s="1">
        <v>0.2</v>
      </c>
      <c r="G4022">
        <v>459.98</v>
      </c>
      <c r="H4022" s="22">
        <f>VLOOKUP(A4022,[1]Orders!$A$2:$B$1616,2,0)</f>
        <v>43136</v>
      </c>
      <c r="J4022" t="s">
        <v>210</v>
      </c>
      <c r="K4022" t="s">
        <v>18</v>
      </c>
    </row>
    <row r="4023" spans="1:11" x14ac:dyDescent="0.3">
      <c r="A4023">
        <v>1381</v>
      </c>
      <c r="B4023">
        <v>2</v>
      </c>
      <c r="C4023">
        <v>214</v>
      </c>
      <c r="D4023">
        <v>2</v>
      </c>
      <c r="E4023" s="1">
        <v>899.99</v>
      </c>
      <c r="F4023" s="1">
        <v>0.1</v>
      </c>
      <c r="G4023">
        <v>1799.98</v>
      </c>
      <c r="H4023" s="22">
        <f>VLOOKUP(A4023,[1]Orders!$A$2:$B$1616,2,0)</f>
        <v>43136</v>
      </c>
      <c r="J4023" t="s">
        <v>211</v>
      </c>
      <c r="K4023" t="s">
        <v>18</v>
      </c>
    </row>
    <row r="4024" spans="1:11" x14ac:dyDescent="0.3">
      <c r="A4024">
        <v>1382</v>
      </c>
      <c r="B4024">
        <v>1</v>
      </c>
      <c r="C4024">
        <v>232</v>
      </c>
      <c r="D4024">
        <v>1</v>
      </c>
      <c r="E4024" s="1">
        <v>479.99</v>
      </c>
      <c r="F4024" s="1">
        <v>0.2</v>
      </c>
      <c r="G4024">
        <v>479.99</v>
      </c>
      <c r="H4024" s="22">
        <f>VLOOKUP(A4024,[1]Orders!$A$2:$B$1616,2,0)</f>
        <v>43137</v>
      </c>
      <c r="J4024" t="s">
        <v>134</v>
      </c>
      <c r="K4024" t="s">
        <v>18</v>
      </c>
    </row>
    <row r="4025" spans="1:11" x14ac:dyDescent="0.3">
      <c r="A4025">
        <v>1382</v>
      </c>
      <c r="B4025">
        <v>2</v>
      </c>
      <c r="C4025">
        <v>81</v>
      </c>
      <c r="D4025">
        <v>2</v>
      </c>
      <c r="E4025" s="1">
        <v>1099.99</v>
      </c>
      <c r="F4025" s="1">
        <v>0.05</v>
      </c>
      <c r="G4025">
        <v>2199.98</v>
      </c>
      <c r="H4025" s="22">
        <f>VLOOKUP(A4025,[1]Orders!$A$2:$B$1616,2,0)</f>
        <v>43137</v>
      </c>
      <c r="J4025" t="s">
        <v>99</v>
      </c>
      <c r="K4025" t="s">
        <v>18</v>
      </c>
    </row>
    <row r="4026" spans="1:11" x14ac:dyDescent="0.3">
      <c r="A4026">
        <v>1382</v>
      </c>
      <c r="B4026">
        <v>3</v>
      </c>
      <c r="C4026">
        <v>225</v>
      </c>
      <c r="D4026">
        <v>1</v>
      </c>
      <c r="E4026" s="1">
        <v>959.99</v>
      </c>
      <c r="F4026" s="1">
        <v>0.1</v>
      </c>
      <c r="G4026">
        <v>959.99</v>
      </c>
      <c r="H4026" s="22">
        <f>VLOOKUP(A4026,[1]Orders!$A$2:$B$1616,2,0)</f>
        <v>43137</v>
      </c>
      <c r="J4026" t="s">
        <v>212</v>
      </c>
      <c r="K4026" t="s">
        <v>18</v>
      </c>
    </row>
    <row r="4027" spans="1:11" x14ac:dyDescent="0.3">
      <c r="A4027">
        <v>1382</v>
      </c>
      <c r="B4027">
        <v>4</v>
      </c>
      <c r="C4027">
        <v>135</v>
      </c>
      <c r="D4027">
        <v>1</v>
      </c>
      <c r="E4027" s="1">
        <v>1499.99</v>
      </c>
      <c r="F4027" s="1">
        <v>7.0000000000000007E-2</v>
      </c>
      <c r="G4027">
        <v>1499.99</v>
      </c>
      <c r="H4027" s="22">
        <f>VLOOKUP(A4027,[1]Orders!$A$2:$B$1616,2,0)</f>
        <v>43137</v>
      </c>
      <c r="J4027" t="s">
        <v>213</v>
      </c>
      <c r="K4027" t="s">
        <v>18</v>
      </c>
    </row>
    <row r="4028" spans="1:11" x14ac:dyDescent="0.3">
      <c r="A4028">
        <v>1382</v>
      </c>
      <c r="B4028">
        <v>5</v>
      </c>
      <c r="C4028">
        <v>238</v>
      </c>
      <c r="D4028">
        <v>1</v>
      </c>
      <c r="E4028" s="1">
        <v>749.99</v>
      </c>
      <c r="F4028" s="1">
        <v>0.2</v>
      </c>
      <c r="G4028">
        <v>749.99</v>
      </c>
      <c r="H4028" s="22">
        <f>VLOOKUP(A4028,[1]Orders!$A$2:$B$1616,2,0)</f>
        <v>43137</v>
      </c>
      <c r="J4028" t="s">
        <v>185</v>
      </c>
      <c r="K4028" t="s">
        <v>18</v>
      </c>
    </row>
    <row r="4029" spans="1:11" x14ac:dyDescent="0.3">
      <c r="A4029">
        <v>1383</v>
      </c>
      <c r="B4029">
        <v>1</v>
      </c>
      <c r="C4029">
        <v>188</v>
      </c>
      <c r="D4029">
        <v>2</v>
      </c>
      <c r="E4029" s="1">
        <v>3499.99</v>
      </c>
      <c r="F4029" s="1">
        <v>0.2</v>
      </c>
      <c r="G4029">
        <v>6999.98</v>
      </c>
      <c r="H4029" s="22">
        <f>VLOOKUP(A4029,[1]Orders!$A$2:$B$1616,2,0)</f>
        <v>43138</v>
      </c>
      <c r="J4029" t="s">
        <v>205</v>
      </c>
      <c r="K4029" t="s">
        <v>11</v>
      </c>
    </row>
    <row r="4030" spans="1:11" x14ac:dyDescent="0.3">
      <c r="A4030">
        <v>1383</v>
      </c>
      <c r="B4030">
        <v>2</v>
      </c>
      <c r="C4030">
        <v>65</v>
      </c>
      <c r="D4030">
        <v>2</v>
      </c>
      <c r="E4030" s="1">
        <v>346.99</v>
      </c>
      <c r="F4030" s="1">
        <v>0.05</v>
      </c>
      <c r="G4030">
        <v>693.98</v>
      </c>
      <c r="H4030" s="22">
        <f>VLOOKUP(A4030,[1]Orders!$A$2:$B$1616,2,0)</f>
        <v>43138</v>
      </c>
      <c r="J4030" t="s">
        <v>114</v>
      </c>
      <c r="K4030" t="s">
        <v>11</v>
      </c>
    </row>
    <row r="4031" spans="1:11" x14ac:dyDescent="0.3">
      <c r="A4031">
        <v>1384</v>
      </c>
      <c r="B4031">
        <v>1</v>
      </c>
      <c r="C4031">
        <v>32</v>
      </c>
      <c r="D4031">
        <v>1</v>
      </c>
      <c r="E4031" s="1">
        <v>469.99</v>
      </c>
      <c r="F4031" s="1">
        <v>7.0000000000000007E-2</v>
      </c>
      <c r="G4031">
        <v>469.99</v>
      </c>
      <c r="H4031" s="22">
        <f>VLOOKUP(A4031,[1]Orders!$A$2:$B$1616,2,0)</f>
        <v>43139</v>
      </c>
      <c r="J4031" t="s">
        <v>46</v>
      </c>
      <c r="K4031" t="s">
        <v>18</v>
      </c>
    </row>
    <row r="4032" spans="1:11" x14ac:dyDescent="0.3">
      <c r="A4032">
        <v>1384</v>
      </c>
      <c r="B4032">
        <v>2</v>
      </c>
      <c r="C4032">
        <v>142</v>
      </c>
      <c r="D4032">
        <v>2</v>
      </c>
      <c r="E4032" s="1">
        <v>3199.99</v>
      </c>
      <c r="F4032" s="1">
        <v>0.1</v>
      </c>
      <c r="G4032">
        <v>6399.98</v>
      </c>
      <c r="H4032" s="22">
        <f>VLOOKUP(A4032,[1]Orders!$A$2:$B$1616,2,0)</f>
        <v>43139</v>
      </c>
      <c r="J4032" t="s">
        <v>206</v>
      </c>
      <c r="K4032" t="s">
        <v>18</v>
      </c>
    </row>
    <row r="4033" spans="1:11" x14ac:dyDescent="0.3">
      <c r="A4033">
        <v>1384</v>
      </c>
      <c r="B4033">
        <v>3</v>
      </c>
      <c r="C4033">
        <v>89</v>
      </c>
      <c r="D4033">
        <v>1</v>
      </c>
      <c r="E4033" s="1">
        <v>209.99</v>
      </c>
      <c r="F4033" s="1">
        <v>0.1</v>
      </c>
      <c r="G4033">
        <v>209.99</v>
      </c>
      <c r="H4033" s="22">
        <f>VLOOKUP(A4033,[1]Orders!$A$2:$B$1616,2,0)</f>
        <v>43139</v>
      </c>
      <c r="J4033" t="s">
        <v>94</v>
      </c>
      <c r="K4033" t="s">
        <v>18</v>
      </c>
    </row>
    <row r="4034" spans="1:11" x14ac:dyDescent="0.3">
      <c r="A4034">
        <v>1384</v>
      </c>
      <c r="B4034">
        <v>4</v>
      </c>
      <c r="C4034">
        <v>97</v>
      </c>
      <c r="D4034">
        <v>1</v>
      </c>
      <c r="E4034" s="1">
        <v>349.99</v>
      </c>
      <c r="F4034" s="1">
        <v>0.05</v>
      </c>
      <c r="G4034">
        <v>349.99</v>
      </c>
      <c r="H4034" s="22">
        <f>VLOOKUP(A4034,[1]Orders!$A$2:$B$1616,2,0)</f>
        <v>43139</v>
      </c>
      <c r="J4034" t="s">
        <v>55</v>
      </c>
      <c r="K4034" t="s">
        <v>18</v>
      </c>
    </row>
    <row r="4035" spans="1:11" x14ac:dyDescent="0.3">
      <c r="A4035">
        <v>1385</v>
      </c>
      <c r="B4035">
        <v>1</v>
      </c>
      <c r="C4035">
        <v>24</v>
      </c>
      <c r="D4035">
        <v>2</v>
      </c>
      <c r="E4035" s="1">
        <v>549.99</v>
      </c>
      <c r="F4035" s="1">
        <v>0.05</v>
      </c>
      <c r="G4035">
        <v>1099.98</v>
      </c>
      <c r="H4035" s="22">
        <f>VLOOKUP(A4035,[1]Orders!$A$2:$B$1616,2,0)</f>
        <v>43139</v>
      </c>
      <c r="J4035" t="s">
        <v>25</v>
      </c>
      <c r="K4035" t="s">
        <v>37</v>
      </c>
    </row>
    <row r="4036" spans="1:11" x14ac:dyDescent="0.3">
      <c r="A4036">
        <v>1385</v>
      </c>
      <c r="B4036">
        <v>2</v>
      </c>
      <c r="C4036">
        <v>145</v>
      </c>
      <c r="D4036">
        <v>1</v>
      </c>
      <c r="E4036" s="1">
        <v>1799.99</v>
      </c>
      <c r="F4036" s="1">
        <v>7.0000000000000007E-2</v>
      </c>
      <c r="G4036">
        <v>1799.99</v>
      </c>
      <c r="H4036" s="22">
        <f>VLOOKUP(A4036,[1]Orders!$A$2:$B$1616,2,0)</f>
        <v>43139</v>
      </c>
      <c r="J4036" t="s">
        <v>140</v>
      </c>
      <c r="K4036" t="s">
        <v>37</v>
      </c>
    </row>
    <row r="4037" spans="1:11" x14ac:dyDescent="0.3">
      <c r="A4037">
        <v>1385</v>
      </c>
      <c r="B4037">
        <v>3</v>
      </c>
      <c r="C4037">
        <v>39</v>
      </c>
      <c r="D4037">
        <v>2</v>
      </c>
      <c r="E4037" s="1">
        <v>1499.99</v>
      </c>
      <c r="F4037" s="1">
        <v>0.1</v>
      </c>
      <c r="G4037">
        <v>2999.98</v>
      </c>
      <c r="H4037" s="22">
        <f>VLOOKUP(A4037,[1]Orders!$A$2:$B$1616,2,0)</f>
        <v>43139</v>
      </c>
      <c r="J4037" t="s">
        <v>72</v>
      </c>
      <c r="K4037" t="s">
        <v>37</v>
      </c>
    </row>
    <row r="4038" spans="1:11" x14ac:dyDescent="0.3">
      <c r="A4038">
        <v>1385</v>
      </c>
      <c r="B4038">
        <v>4</v>
      </c>
      <c r="C4038">
        <v>135</v>
      </c>
      <c r="D4038">
        <v>1</v>
      </c>
      <c r="E4038" s="1">
        <v>1499.99</v>
      </c>
      <c r="F4038" s="1">
        <v>0.05</v>
      </c>
      <c r="G4038">
        <v>1499.99</v>
      </c>
      <c r="H4038" s="22">
        <f>VLOOKUP(A4038,[1]Orders!$A$2:$B$1616,2,0)</f>
        <v>43139</v>
      </c>
      <c r="J4038" t="s">
        <v>213</v>
      </c>
      <c r="K4038" t="s">
        <v>37</v>
      </c>
    </row>
    <row r="4039" spans="1:11" x14ac:dyDescent="0.3">
      <c r="A4039">
        <v>1386</v>
      </c>
      <c r="B4039">
        <v>1</v>
      </c>
      <c r="C4039">
        <v>292</v>
      </c>
      <c r="D4039">
        <v>1</v>
      </c>
      <c r="E4039" s="1">
        <v>369.99</v>
      </c>
      <c r="F4039" s="1">
        <v>0.2</v>
      </c>
      <c r="G4039">
        <v>369.99</v>
      </c>
      <c r="H4039" s="22">
        <f>VLOOKUP(A4039,[1]Orders!$A$2:$B$1616,2,0)</f>
        <v>43140</v>
      </c>
      <c r="J4039" t="s">
        <v>214</v>
      </c>
      <c r="K4039" t="s">
        <v>11</v>
      </c>
    </row>
    <row r="4040" spans="1:11" x14ac:dyDescent="0.3">
      <c r="A4040">
        <v>1386</v>
      </c>
      <c r="B4040">
        <v>2</v>
      </c>
      <c r="C4040">
        <v>262</v>
      </c>
      <c r="D4040">
        <v>1</v>
      </c>
      <c r="E4040" s="1">
        <v>249.99</v>
      </c>
      <c r="F4040" s="1">
        <v>0.1</v>
      </c>
      <c r="G4040">
        <v>249.99</v>
      </c>
      <c r="H4040" s="22">
        <f>VLOOKUP(A4040,[1]Orders!$A$2:$B$1616,2,0)</f>
        <v>43140</v>
      </c>
      <c r="J4040" t="s">
        <v>215</v>
      </c>
      <c r="K4040" t="s">
        <v>11</v>
      </c>
    </row>
    <row r="4041" spans="1:11" x14ac:dyDescent="0.3">
      <c r="A4041">
        <v>1386</v>
      </c>
      <c r="B4041">
        <v>3</v>
      </c>
      <c r="C4041">
        <v>306</v>
      </c>
      <c r="D4041">
        <v>1</v>
      </c>
      <c r="E4041" s="1">
        <v>899.99</v>
      </c>
      <c r="F4041" s="1">
        <v>0.1</v>
      </c>
      <c r="G4041">
        <v>899.99</v>
      </c>
      <c r="H4041" s="22">
        <f>VLOOKUP(A4041,[1]Orders!$A$2:$B$1616,2,0)</f>
        <v>43140</v>
      </c>
      <c r="J4041" t="s">
        <v>208</v>
      </c>
      <c r="K4041" t="s">
        <v>11</v>
      </c>
    </row>
    <row r="4042" spans="1:11" x14ac:dyDescent="0.3">
      <c r="A4042">
        <v>1386</v>
      </c>
      <c r="B4042">
        <v>4</v>
      </c>
      <c r="C4042">
        <v>150</v>
      </c>
      <c r="D4042">
        <v>1</v>
      </c>
      <c r="E4042" s="1">
        <v>4499.99</v>
      </c>
      <c r="F4042" s="1">
        <v>7.0000000000000007E-2</v>
      </c>
      <c r="G4042">
        <v>4499.99</v>
      </c>
      <c r="H4042" s="22">
        <f>VLOOKUP(A4042,[1]Orders!$A$2:$B$1616,2,0)</f>
        <v>43140</v>
      </c>
      <c r="J4042" t="s">
        <v>166</v>
      </c>
      <c r="K4042" t="s">
        <v>11</v>
      </c>
    </row>
    <row r="4043" spans="1:11" x14ac:dyDescent="0.3">
      <c r="A4043">
        <v>1387</v>
      </c>
      <c r="B4043">
        <v>1</v>
      </c>
      <c r="C4043">
        <v>106</v>
      </c>
      <c r="D4043">
        <v>1</v>
      </c>
      <c r="E4043" s="1">
        <v>449.99</v>
      </c>
      <c r="F4043" s="1">
        <v>0.1</v>
      </c>
      <c r="G4043">
        <v>449.99</v>
      </c>
      <c r="H4043" s="22">
        <f>VLOOKUP(A4043,[1]Orders!$A$2:$B$1616,2,0)</f>
        <v>43140</v>
      </c>
      <c r="J4043" t="s">
        <v>39</v>
      </c>
      <c r="K4043" t="s">
        <v>18</v>
      </c>
    </row>
    <row r="4044" spans="1:11" x14ac:dyDescent="0.3">
      <c r="A4044">
        <v>1388</v>
      </c>
      <c r="B4044">
        <v>1</v>
      </c>
      <c r="C4044">
        <v>251</v>
      </c>
      <c r="D4044">
        <v>1</v>
      </c>
      <c r="E4044" s="1">
        <v>2999.99</v>
      </c>
      <c r="F4044" s="1">
        <v>0.1</v>
      </c>
      <c r="G4044">
        <v>2999.99</v>
      </c>
      <c r="H4044" s="22">
        <f>VLOOKUP(A4044,[1]Orders!$A$2:$B$1616,2,0)</f>
        <v>43140</v>
      </c>
      <c r="J4044" t="s">
        <v>216</v>
      </c>
      <c r="K4044" t="s">
        <v>18</v>
      </c>
    </row>
    <row r="4045" spans="1:11" x14ac:dyDescent="0.3">
      <c r="A4045">
        <v>1389</v>
      </c>
      <c r="B4045">
        <v>1</v>
      </c>
      <c r="C4045">
        <v>85</v>
      </c>
      <c r="D4045">
        <v>2</v>
      </c>
      <c r="E4045" s="1">
        <v>329.99</v>
      </c>
      <c r="F4045" s="1">
        <v>0.1</v>
      </c>
      <c r="G4045">
        <v>659.98</v>
      </c>
      <c r="H4045" s="22">
        <f>VLOOKUP(A4045,[1]Orders!$A$2:$B$1616,2,0)</f>
        <v>43142</v>
      </c>
      <c r="J4045" t="s">
        <v>38</v>
      </c>
      <c r="K4045" t="s">
        <v>18</v>
      </c>
    </row>
    <row r="4046" spans="1:11" x14ac:dyDescent="0.3">
      <c r="A4046">
        <v>1389</v>
      </c>
      <c r="B4046">
        <v>2</v>
      </c>
      <c r="C4046">
        <v>171</v>
      </c>
      <c r="D4046">
        <v>2</v>
      </c>
      <c r="E4046" s="1">
        <v>3199.99</v>
      </c>
      <c r="F4046" s="1">
        <v>0.05</v>
      </c>
      <c r="G4046">
        <v>6399.98</v>
      </c>
      <c r="H4046" s="22">
        <f>VLOOKUP(A4046,[1]Orders!$A$2:$B$1616,2,0)</f>
        <v>43142</v>
      </c>
      <c r="J4046" t="s">
        <v>217</v>
      </c>
      <c r="K4046" t="s">
        <v>18</v>
      </c>
    </row>
    <row r="4047" spans="1:11" x14ac:dyDescent="0.3">
      <c r="A4047">
        <v>1389</v>
      </c>
      <c r="B4047">
        <v>3</v>
      </c>
      <c r="C4047">
        <v>227</v>
      </c>
      <c r="D4047">
        <v>1</v>
      </c>
      <c r="E4047" s="1">
        <v>319.99</v>
      </c>
      <c r="F4047" s="1">
        <v>7.0000000000000007E-2</v>
      </c>
      <c r="G4047">
        <v>319.99</v>
      </c>
      <c r="H4047" s="22">
        <f>VLOOKUP(A4047,[1]Orders!$A$2:$B$1616,2,0)</f>
        <v>43142</v>
      </c>
      <c r="J4047" t="s">
        <v>218</v>
      </c>
      <c r="K4047" t="s">
        <v>18</v>
      </c>
    </row>
    <row r="4048" spans="1:11" x14ac:dyDescent="0.3">
      <c r="A4048">
        <v>1390</v>
      </c>
      <c r="B4048">
        <v>1</v>
      </c>
      <c r="C4048">
        <v>41</v>
      </c>
      <c r="D4048">
        <v>2</v>
      </c>
      <c r="E4048" s="1">
        <v>1469.99</v>
      </c>
      <c r="F4048" s="1">
        <v>0.05</v>
      </c>
      <c r="G4048">
        <v>2939.98</v>
      </c>
      <c r="H4048" s="22">
        <f>VLOOKUP(A4048,[1]Orders!$A$2:$B$1616,2,0)</f>
        <v>43143</v>
      </c>
      <c r="J4048" t="s">
        <v>77</v>
      </c>
      <c r="K4048" t="s">
        <v>18</v>
      </c>
    </row>
    <row r="4049" spans="1:11" x14ac:dyDescent="0.3">
      <c r="A4049">
        <v>1390</v>
      </c>
      <c r="B4049">
        <v>2</v>
      </c>
      <c r="C4049">
        <v>27</v>
      </c>
      <c r="D4049">
        <v>2</v>
      </c>
      <c r="E4049" s="1">
        <v>999.99</v>
      </c>
      <c r="F4049" s="1">
        <v>0.05</v>
      </c>
      <c r="G4049">
        <v>1999.98</v>
      </c>
      <c r="H4049" s="22">
        <f>VLOOKUP(A4049,[1]Orders!$A$2:$B$1616,2,0)</f>
        <v>43143</v>
      </c>
      <c r="J4049" t="s">
        <v>106</v>
      </c>
      <c r="K4049" t="s">
        <v>18</v>
      </c>
    </row>
    <row r="4050" spans="1:11" x14ac:dyDescent="0.3">
      <c r="A4050">
        <v>1390</v>
      </c>
      <c r="B4050">
        <v>3</v>
      </c>
      <c r="C4050">
        <v>306</v>
      </c>
      <c r="D4050">
        <v>1</v>
      </c>
      <c r="E4050" s="1">
        <v>899.99</v>
      </c>
      <c r="F4050" s="1">
        <v>0.1</v>
      </c>
      <c r="G4050">
        <v>899.99</v>
      </c>
      <c r="H4050" s="22">
        <f>VLOOKUP(A4050,[1]Orders!$A$2:$B$1616,2,0)</f>
        <v>43143</v>
      </c>
      <c r="J4050" t="s">
        <v>208</v>
      </c>
      <c r="K4050" t="s">
        <v>18</v>
      </c>
    </row>
    <row r="4051" spans="1:11" x14ac:dyDescent="0.3">
      <c r="A4051">
        <v>1390</v>
      </c>
      <c r="B4051">
        <v>4</v>
      </c>
      <c r="C4051">
        <v>104</v>
      </c>
      <c r="D4051">
        <v>1</v>
      </c>
      <c r="E4051" s="1">
        <v>481.99</v>
      </c>
      <c r="F4051" s="1">
        <v>0.05</v>
      </c>
      <c r="G4051">
        <v>481.99</v>
      </c>
      <c r="H4051" s="22">
        <f>VLOOKUP(A4051,[1]Orders!$A$2:$B$1616,2,0)</f>
        <v>43143</v>
      </c>
      <c r="J4051" t="s">
        <v>87</v>
      </c>
      <c r="K4051" t="s">
        <v>18</v>
      </c>
    </row>
    <row r="4052" spans="1:11" x14ac:dyDescent="0.3">
      <c r="A4052">
        <v>1390</v>
      </c>
      <c r="B4052">
        <v>5</v>
      </c>
      <c r="C4052">
        <v>147</v>
      </c>
      <c r="D4052">
        <v>2</v>
      </c>
      <c r="E4052" s="1">
        <v>1799.99</v>
      </c>
      <c r="F4052" s="1">
        <v>0.1</v>
      </c>
      <c r="G4052">
        <v>3599.98</v>
      </c>
      <c r="H4052" s="22">
        <f>VLOOKUP(A4052,[1]Orders!$A$2:$B$1616,2,0)</f>
        <v>43143</v>
      </c>
      <c r="J4052" t="s">
        <v>170</v>
      </c>
      <c r="K4052" t="s">
        <v>18</v>
      </c>
    </row>
    <row r="4053" spans="1:11" x14ac:dyDescent="0.3">
      <c r="A4053">
        <v>1391</v>
      </c>
      <c r="B4053">
        <v>1</v>
      </c>
      <c r="C4053">
        <v>223</v>
      </c>
      <c r="D4053">
        <v>2</v>
      </c>
      <c r="E4053" s="1">
        <v>529.99</v>
      </c>
      <c r="F4053" s="1">
        <v>7.0000000000000007E-2</v>
      </c>
      <c r="G4053">
        <v>1059.98</v>
      </c>
      <c r="H4053" s="22">
        <f>VLOOKUP(A4053,[1]Orders!$A$2:$B$1616,2,0)</f>
        <v>43144</v>
      </c>
      <c r="J4053" t="s">
        <v>202</v>
      </c>
      <c r="K4053" t="s">
        <v>18</v>
      </c>
    </row>
    <row r="4054" spans="1:11" x14ac:dyDescent="0.3">
      <c r="A4054">
        <v>1391</v>
      </c>
      <c r="B4054">
        <v>2</v>
      </c>
      <c r="C4054">
        <v>295</v>
      </c>
      <c r="D4054">
        <v>2</v>
      </c>
      <c r="E4054" s="1">
        <v>319.99</v>
      </c>
      <c r="F4054" s="1">
        <v>0.2</v>
      </c>
      <c r="G4054">
        <v>639.98</v>
      </c>
      <c r="H4054" s="22">
        <f>VLOOKUP(A4054,[1]Orders!$A$2:$B$1616,2,0)</f>
        <v>43144</v>
      </c>
      <c r="J4054" t="s">
        <v>219</v>
      </c>
      <c r="K4054" t="s">
        <v>18</v>
      </c>
    </row>
    <row r="4055" spans="1:11" x14ac:dyDescent="0.3">
      <c r="A4055">
        <v>1391</v>
      </c>
      <c r="B4055">
        <v>3</v>
      </c>
      <c r="C4055">
        <v>277</v>
      </c>
      <c r="D4055">
        <v>1</v>
      </c>
      <c r="E4055" s="1">
        <v>369.99</v>
      </c>
      <c r="F4055" s="1">
        <v>0.2</v>
      </c>
      <c r="G4055">
        <v>369.99</v>
      </c>
      <c r="H4055" s="22">
        <f>VLOOKUP(A4055,[1]Orders!$A$2:$B$1616,2,0)</f>
        <v>43144</v>
      </c>
      <c r="J4055" t="s">
        <v>220</v>
      </c>
      <c r="K4055" t="s">
        <v>18</v>
      </c>
    </row>
    <row r="4056" spans="1:11" x14ac:dyDescent="0.3">
      <c r="A4056">
        <v>1392</v>
      </c>
      <c r="B4056">
        <v>1</v>
      </c>
      <c r="C4056">
        <v>87</v>
      </c>
      <c r="D4056">
        <v>2</v>
      </c>
      <c r="E4056" s="1">
        <v>189.99</v>
      </c>
      <c r="F4056" s="1">
        <v>0.2</v>
      </c>
      <c r="G4056">
        <v>379.98</v>
      </c>
      <c r="H4056" s="22">
        <f>VLOOKUP(A4056,[1]Orders!$A$2:$B$1616,2,0)</f>
        <v>43144</v>
      </c>
      <c r="J4056" t="s">
        <v>117</v>
      </c>
      <c r="K4056" t="s">
        <v>18</v>
      </c>
    </row>
    <row r="4057" spans="1:11" x14ac:dyDescent="0.3">
      <c r="A4057">
        <v>1392</v>
      </c>
      <c r="B4057">
        <v>2</v>
      </c>
      <c r="C4057">
        <v>240</v>
      </c>
      <c r="D4057">
        <v>2</v>
      </c>
      <c r="E4057" s="1">
        <v>899.99</v>
      </c>
      <c r="F4057" s="1">
        <v>0.05</v>
      </c>
      <c r="G4057">
        <v>1799.98</v>
      </c>
      <c r="H4057" s="22">
        <f>VLOOKUP(A4057,[1]Orders!$A$2:$B$1616,2,0)</f>
        <v>43144</v>
      </c>
      <c r="J4057" t="s">
        <v>221</v>
      </c>
      <c r="K4057" t="s">
        <v>18</v>
      </c>
    </row>
    <row r="4058" spans="1:11" x14ac:dyDescent="0.3">
      <c r="A4058">
        <v>1393</v>
      </c>
      <c r="B4058">
        <v>1</v>
      </c>
      <c r="C4058">
        <v>92</v>
      </c>
      <c r="D4058">
        <v>1</v>
      </c>
      <c r="E4058" s="1">
        <v>209.99</v>
      </c>
      <c r="F4058" s="1">
        <v>7.0000000000000007E-2</v>
      </c>
      <c r="G4058">
        <v>209.99</v>
      </c>
      <c r="H4058" s="22">
        <f>VLOOKUP(A4058,[1]Orders!$A$2:$B$1616,2,0)</f>
        <v>43145</v>
      </c>
      <c r="J4058" t="s">
        <v>111</v>
      </c>
      <c r="K4058" t="s">
        <v>18</v>
      </c>
    </row>
    <row r="4059" spans="1:11" x14ac:dyDescent="0.3">
      <c r="A4059">
        <v>1393</v>
      </c>
      <c r="B4059">
        <v>2</v>
      </c>
      <c r="C4059">
        <v>82</v>
      </c>
      <c r="D4059">
        <v>1</v>
      </c>
      <c r="E4059" s="1">
        <v>659.99</v>
      </c>
      <c r="F4059" s="1">
        <v>7.0000000000000007E-2</v>
      </c>
      <c r="G4059">
        <v>659.99</v>
      </c>
      <c r="H4059" s="22">
        <f>VLOOKUP(A4059,[1]Orders!$A$2:$B$1616,2,0)</f>
        <v>43145</v>
      </c>
      <c r="J4059" t="s">
        <v>100</v>
      </c>
      <c r="K4059" t="s">
        <v>18</v>
      </c>
    </row>
    <row r="4060" spans="1:11" x14ac:dyDescent="0.3">
      <c r="A4060">
        <v>1393</v>
      </c>
      <c r="B4060">
        <v>3</v>
      </c>
      <c r="C4060">
        <v>47</v>
      </c>
      <c r="D4060">
        <v>2</v>
      </c>
      <c r="E4060" s="1">
        <v>5299.99</v>
      </c>
      <c r="F4060" s="1">
        <v>0.05</v>
      </c>
      <c r="G4060">
        <v>10599.98</v>
      </c>
      <c r="H4060" s="22">
        <f>VLOOKUP(A4060,[1]Orders!$A$2:$B$1616,2,0)</f>
        <v>43145</v>
      </c>
      <c r="J4060" t="s">
        <v>54</v>
      </c>
      <c r="K4060" t="s">
        <v>18</v>
      </c>
    </row>
    <row r="4061" spans="1:11" x14ac:dyDescent="0.3">
      <c r="A4061">
        <v>1393</v>
      </c>
      <c r="B4061">
        <v>4</v>
      </c>
      <c r="C4061">
        <v>268</v>
      </c>
      <c r="D4061">
        <v>2</v>
      </c>
      <c r="E4061" s="1">
        <v>159.99</v>
      </c>
      <c r="F4061" s="1">
        <v>0.05</v>
      </c>
      <c r="G4061">
        <v>319.98</v>
      </c>
      <c r="H4061" s="22">
        <f>VLOOKUP(A4061,[1]Orders!$A$2:$B$1616,2,0)</f>
        <v>43145</v>
      </c>
      <c r="J4061" t="s">
        <v>222</v>
      </c>
      <c r="K4061" t="s">
        <v>18</v>
      </c>
    </row>
    <row r="4062" spans="1:11" x14ac:dyDescent="0.3">
      <c r="A4062">
        <v>1394</v>
      </c>
      <c r="B4062">
        <v>1</v>
      </c>
      <c r="C4062">
        <v>165</v>
      </c>
      <c r="D4062">
        <v>2</v>
      </c>
      <c r="E4062" s="1">
        <v>2499.9899999999998</v>
      </c>
      <c r="F4062" s="1">
        <v>0.05</v>
      </c>
      <c r="G4062">
        <v>4999.9799999999996</v>
      </c>
      <c r="H4062" s="22">
        <f>VLOOKUP(A4062,[1]Orders!$A$2:$B$1616,2,0)</f>
        <v>43145</v>
      </c>
      <c r="J4062" t="s">
        <v>223</v>
      </c>
      <c r="K4062" t="s">
        <v>37</v>
      </c>
    </row>
    <row r="4063" spans="1:11" x14ac:dyDescent="0.3">
      <c r="A4063">
        <v>1395</v>
      </c>
      <c r="B4063">
        <v>1</v>
      </c>
      <c r="C4063">
        <v>204</v>
      </c>
      <c r="D4063">
        <v>1</v>
      </c>
      <c r="E4063" s="1">
        <v>3599.99</v>
      </c>
      <c r="F4063" s="1">
        <v>0.2</v>
      </c>
      <c r="G4063">
        <v>3599.99</v>
      </c>
      <c r="H4063" s="22">
        <f>VLOOKUP(A4063,[1]Orders!$A$2:$B$1616,2,0)</f>
        <v>43146</v>
      </c>
      <c r="J4063" t="s">
        <v>187</v>
      </c>
      <c r="K4063" t="s">
        <v>11</v>
      </c>
    </row>
    <row r="4064" spans="1:11" x14ac:dyDescent="0.3">
      <c r="A4064">
        <v>1395</v>
      </c>
      <c r="B4064">
        <v>2</v>
      </c>
      <c r="C4064">
        <v>48</v>
      </c>
      <c r="D4064">
        <v>2</v>
      </c>
      <c r="E4064" s="1">
        <v>1499.99</v>
      </c>
      <c r="F4064" s="1">
        <v>0.1</v>
      </c>
      <c r="G4064">
        <v>2999.98</v>
      </c>
      <c r="H4064" s="22">
        <f>VLOOKUP(A4064,[1]Orders!$A$2:$B$1616,2,0)</f>
        <v>43146</v>
      </c>
      <c r="J4064" t="s">
        <v>84</v>
      </c>
      <c r="K4064" t="s">
        <v>11</v>
      </c>
    </row>
    <row r="4065" spans="1:11" x14ac:dyDescent="0.3">
      <c r="A4065">
        <v>1395</v>
      </c>
      <c r="B4065">
        <v>3</v>
      </c>
      <c r="C4065">
        <v>180</v>
      </c>
      <c r="D4065">
        <v>2</v>
      </c>
      <c r="E4065" s="1">
        <v>919.99</v>
      </c>
      <c r="F4065" s="1">
        <v>0.2</v>
      </c>
      <c r="G4065">
        <v>1839.98</v>
      </c>
      <c r="H4065" s="22">
        <f>VLOOKUP(A4065,[1]Orders!$A$2:$B$1616,2,0)</f>
        <v>43146</v>
      </c>
      <c r="J4065" t="s">
        <v>127</v>
      </c>
      <c r="K4065" t="s">
        <v>11</v>
      </c>
    </row>
    <row r="4066" spans="1:11" x14ac:dyDescent="0.3">
      <c r="A4066">
        <v>1395</v>
      </c>
      <c r="B4066">
        <v>4</v>
      </c>
      <c r="C4066">
        <v>226</v>
      </c>
      <c r="D4066">
        <v>1</v>
      </c>
      <c r="E4066" s="1">
        <v>679.99</v>
      </c>
      <c r="F4066" s="1">
        <v>0.1</v>
      </c>
      <c r="G4066">
        <v>679.99</v>
      </c>
      <c r="H4066" s="22">
        <f>VLOOKUP(A4066,[1]Orders!$A$2:$B$1616,2,0)</f>
        <v>43146</v>
      </c>
      <c r="J4066" t="s">
        <v>146</v>
      </c>
      <c r="K4066" t="s">
        <v>11</v>
      </c>
    </row>
    <row r="4067" spans="1:11" x14ac:dyDescent="0.3">
      <c r="A4067">
        <v>1396</v>
      </c>
      <c r="B4067">
        <v>1</v>
      </c>
      <c r="C4067">
        <v>57</v>
      </c>
      <c r="D4067">
        <v>1</v>
      </c>
      <c r="E4067" s="1">
        <v>1999.99</v>
      </c>
      <c r="F4067" s="1">
        <v>0.05</v>
      </c>
      <c r="G4067">
        <v>1999.99</v>
      </c>
      <c r="H4067" s="22">
        <f>VLOOKUP(A4067,[1]Orders!$A$2:$B$1616,2,0)</f>
        <v>43146</v>
      </c>
      <c r="J4067" t="s">
        <v>103</v>
      </c>
      <c r="K4067" t="s">
        <v>18</v>
      </c>
    </row>
    <row r="4068" spans="1:11" x14ac:dyDescent="0.3">
      <c r="A4068">
        <v>1396</v>
      </c>
      <c r="B4068">
        <v>2</v>
      </c>
      <c r="C4068">
        <v>181</v>
      </c>
      <c r="D4068">
        <v>1</v>
      </c>
      <c r="E4068" s="1">
        <v>2199.9899999999998</v>
      </c>
      <c r="F4068" s="1">
        <v>0.2</v>
      </c>
      <c r="G4068">
        <v>2199.9899999999998</v>
      </c>
      <c r="H4068" s="22">
        <f>VLOOKUP(A4068,[1]Orders!$A$2:$B$1616,2,0)</f>
        <v>43146</v>
      </c>
      <c r="J4068" t="s">
        <v>203</v>
      </c>
      <c r="K4068" t="s">
        <v>18</v>
      </c>
    </row>
    <row r="4069" spans="1:11" x14ac:dyDescent="0.3">
      <c r="A4069">
        <v>1397</v>
      </c>
      <c r="B4069">
        <v>1</v>
      </c>
      <c r="C4069">
        <v>127</v>
      </c>
      <c r="D4069">
        <v>2</v>
      </c>
      <c r="E4069" s="1">
        <v>469.99</v>
      </c>
      <c r="F4069" s="1">
        <v>0.1</v>
      </c>
      <c r="G4069">
        <v>939.98</v>
      </c>
      <c r="H4069" s="22">
        <f>VLOOKUP(A4069,[1]Orders!$A$2:$B$1616,2,0)</f>
        <v>43146</v>
      </c>
      <c r="J4069" t="s">
        <v>224</v>
      </c>
      <c r="K4069" t="s">
        <v>18</v>
      </c>
    </row>
    <row r="4070" spans="1:11" x14ac:dyDescent="0.3">
      <c r="A4070">
        <v>1397</v>
      </c>
      <c r="B4070">
        <v>2</v>
      </c>
      <c r="C4070">
        <v>139</v>
      </c>
      <c r="D4070">
        <v>1</v>
      </c>
      <c r="E4070" s="1">
        <v>2999.99</v>
      </c>
      <c r="F4070" s="1">
        <v>7.0000000000000007E-2</v>
      </c>
      <c r="G4070">
        <v>2999.99</v>
      </c>
      <c r="H4070" s="22">
        <f>VLOOKUP(A4070,[1]Orders!$A$2:$B$1616,2,0)</f>
        <v>43146</v>
      </c>
      <c r="J4070" t="s">
        <v>121</v>
      </c>
      <c r="K4070" t="s">
        <v>18</v>
      </c>
    </row>
    <row r="4071" spans="1:11" x14ac:dyDescent="0.3">
      <c r="A4071">
        <v>1397</v>
      </c>
      <c r="B4071">
        <v>3</v>
      </c>
      <c r="C4071">
        <v>7</v>
      </c>
      <c r="D4071">
        <v>1</v>
      </c>
      <c r="E4071" s="1">
        <v>3999.99</v>
      </c>
      <c r="F4071" s="1">
        <v>0.05</v>
      </c>
      <c r="G4071">
        <v>3999.99</v>
      </c>
      <c r="H4071" s="22">
        <f>VLOOKUP(A4071,[1]Orders!$A$2:$B$1616,2,0)</f>
        <v>43146</v>
      </c>
      <c r="J4071" t="s">
        <v>29</v>
      </c>
      <c r="K4071" t="s">
        <v>18</v>
      </c>
    </row>
    <row r="4072" spans="1:11" x14ac:dyDescent="0.3">
      <c r="A4072">
        <v>1397</v>
      </c>
      <c r="B4072">
        <v>4</v>
      </c>
      <c r="C4072">
        <v>249</v>
      </c>
      <c r="D4072">
        <v>1</v>
      </c>
      <c r="E4072" s="1">
        <v>749.99</v>
      </c>
      <c r="F4072" s="1">
        <v>0.05</v>
      </c>
      <c r="G4072">
        <v>749.99</v>
      </c>
      <c r="H4072" s="22">
        <f>VLOOKUP(A4072,[1]Orders!$A$2:$B$1616,2,0)</f>
        <v>43146</v>
      </c>
      <c r="J4072" t="s">
        <v>167</v>
      </c>
      <c r="K4072" t="s">
        <v>18</v>
      </c>
    </row>
    <row r="4073" spans="1:11" x14ac:dyDescent="0.3">
      <c r="A4073">
        <v>1397</v>
      </c>
      <c r="B4073">
        <v>5</v>
      </c>
      <c r="C4073">
        <v>78</v>
      </c>
      <c r="D4073">
        <v>2</v>
      </c>
      <c r="E4073" s="1">
        <v>647.99</v>
      </c>
      <c r="F4073" s="1">
        <v>0.1</v>
      </c>
      <c r="G4073">
        <v>1295.98</v>
      </c>
      <c r="H4073" s="22">
        <f>VLOOKUP(A4073,[1]Orders!$A$2:$B$1616,2,0)</f>
        <v>43146</v>
      </c>
      <c r="J4073" t="s">
        <v>57</v>
      </c>
      <c r="K4073" t="s">
        <v>18</v>
      </c>
    </row>
    <row r="4074" spans="1:11" x14ac:dyDescent="0.3">
      <c r="A4074">
        <v>1398</v>
      </c>
      <c r="B4074">
        <v>1</v>
      </c>
      <c r="C4074">
        <v>69</v>
      </c>
      <c r="D4074">
        <v>2</v>
      </c>
      <c r="E4074" s="1">
        <v>416.99</v>
      </c>
      <c r="F4074" s="1">
        <v>0.05</v>
      </c>
      <c r="G4074">
        <v>833.98</v>
      </c>
      <c r="H4074" s="22">
        <f>VLOOKUP(A4074,[1]Orders!$A$2:$B$1616,2,0)</f>
        <v>43147</v>
      </c>
      <c r="J4074" t="s">
        <v>89</v>
      </c>
      <c r="K4074" t="s">
        <v>11</v>
      </c>
    </row>
    <row r="4075" spans="1:11" x14ac:dyDescent="0.3">
      <c r="A4075">
        <v>1398</v>
      </c>
      <c r="B4075">
        <v>2</v>
      </c>
      <c r="C4075">
        <v>53</v>
      </c>
      <c r="D4075">
        <v>1</v>
      </c>
      <c r="E4075" s="1">
        <v>749.99</v>
      </c>
      <c r="F4075" s="1">
        <v>0.2</v>
      </c>
      <c r="G4075">
        <v>749.99</v>
      </c>
      <c r="H4075" s="22">
        <f>VLOOKUP(A4075,[1]Orders!$A$2:$B$1616,2,0)</f>
        <v>43147</v>
      </c>
      <c r="J4075" t="s">
        <v>42</v>
      </c>
      <c r="K4075" t="s">
        <v>11</v>
      </c>
    </row>
    <row r="4076" spans="1:11" x14ac:dyDescent="0.3">
      <c r="A4076">
        <v>1399</v>
      </c>
      <c r="B4076">
        <v>1</v>
      </c>
      <c r="C4076">
        <v>210</v>
      </c>
      <c r="D4076">
        <v>2</v>
      </c>
      <c r="E4076" s="1">
        <v>1549</v>
      </c>
      <c r="F4076" s="1">
        <v>0.2</v>
      </c>
      <c r="G4076">
        <v>3098</v>
      </c>
      <c r="H4076" s="22">
        <f>VLOOKUP(A4076,[1]Orders!$A$2:$B$1616,2,0)</f>
        <v>43147</v>
      </c>
      <c r="J4076" t="s">
        <v>171</v>
      </c>
      <c r="K4076" t="s">
        <v>18</v>
      </c>
    </row>
    <row r="4077" spans="1:11" x14ac:dyDescent="0.3">
      <c r="A4077">
        <v>1399</v>
      </c>
      <c r="B4077">
        <v>2</v>
      </c>
      <c r="C4077">
        <v>224</v>
      </c>
      <c r="D4077">
        <v>1</v>
      </c>
      <c r="E4077" s="1">
        <v>479.99</v>
      </c>
      <c r="F4077" s="1">
        <v>0.05</v>
      </c>
      <c r="G4077">
        <v>479.99</v>
      </c>
      <c r="H4077" s="22">
        <f>VLOOKUP(A4077,[1]Orders!$A$2:$B$1616,2,0)</f>
        <v>43147</v>
      </c>
      <c r="J4077" t="s">
        <v>225</v>
      </c>
      <c r="K4077" t="s">
        <v>18</v>
      </c>
    </row>
    <row r="4078" spans="1:11" x14ac:dyDescent="0.3">
      <c r="A4078">
        <v>1399</v>
      </c>
      <c r="B4078">
        <v>3</v>
      </c>
      <c r="C4078">
        <v>127</v>
      </c>
      <c r="D4078">
        <v>2</v>
      </c>
      <c r="E4078" s="1">
        <v>469.99</v>
      </c>
      <c r="F4078" s="1">
        <v>7.0000000000000007E-2</v>
      </c>
      <c r="G4078">
        <v>939.98</v>
      </c>
      <c r="H4078" s="22">
        <f>VLOOKUP(A4078,[1]Orders!$A$2:$B$1616,2,0)</f>
        <v>43147</v>
      </c>
      <c r="J4078" t="s">
        <v>224</v>
      </c>
      <c r="K4078" t="s">
        <v>18</v>
      </c>
    </row>
    <row r="4079" spans="1:11" x14ac:dyDescent="0.3">
      <c r="A4079">
        <v>1399</v>
      </c>
      <c r="B4079">
        <v>4</v>
      </c>
      <c r="C4079">
        <v>28</v>
      </c>
      <c r="D4079">
        <v>1</v>
      </c>
      <c r="E4079" s="1">
        <v>2499.9899999999998</v>
      </c>
      <c r="F4079" s="1">
        <v>0.05</v>
      </c>
      <c r="G4079">
        <v>2499.9899999999998</v>
      </c>
      <c r="H4079" s="22">
        <f>VLOOKUP(A4079,[1]Orders!$A$2:$B$1616,2,0)</f>
        <v>43147</v>
      </c>
      <c r="J4079" t="s">
        <v>86</v>
      </c>
      <c r="K4079" t="s">
        <v>18</v>
      </c>
    </row>
    <row r="4080" spans="1:11" x14ac:dyDescent="0.3">
      <c r="A4080">
        <v>1400</v>
      </c>
      <c r="B4080">
        <v>1</v>
      </c>
      <c r="C4080">
        <v>24</v>
      </c>
      <c r="D4080">
        <v>2</v>
      </c>
      <c r="E4080" s="1">
        <v>549.99</v>
      </c>
      <c r="F4080" s="1">
        <v>0.2</v>
      </c>
      <c r="G4080">
        <v>1099.98</v>
      </c>
      <c r="H4080" s="22">
        <f>VLOOKUP(A4080,[1]Orders!$A$2:$B$1616,2,0)</f>
        <v>43148</v>
      </c>
      <c r="J4080" t="s">
        <v>25</v>
      </c>
      <c r="K4080" t="s">
        <v>18</v>
      </c>
    </row>
    <row r="4081" spans="1:11" x14ac:dyDescent="0.3">
      <c r="A4081">
        <v>1400</v>
      </c>
      <c r="B4081">
        <v>2</v>
      </c>
      <c r="C4081">
        <v>217</v>
      </c>
      <c r="D4081">
        <v>2</v>
      </c>
      <c r="E4081" s="1">
        <v>909.99</v>
      </c>
      <c r="F4081" s="1">
        <v>0.2</v>
      </c>
      <c r="G4081">
        <v>1819.98</v>
      </c>
      <c r="H4081" s="22">
        <f>VLOOKUP(A4081,[1]Orders!$A$2:$B$1616,2,0)</f>
        <v>43148</v>
      </c>
      <c r="J4081" t="s">
        <v>226</v>
      </c>
      <c r="K4081" t="s">
        <v>18</v>
      </c>
    </row>
    <row r="4082" spans="1:11" x14ac:dyDescent="0.3">
      <c r="A4082">
        <v>1400</v>
      </c>
      <c r="B4082">
        <v>3</v>
      </c>
      <c r="C4082">
        <v>275</v>
      </c>
      <c r="D4082">
        <v>1</v>
      </c>
      <c r="E4082" s="1">
        <v>229.99</v>
      </c>
      <c r="F4082" s="1">
        <v>0.1</v>
      </c>
      <c r="G4082">
        <v>229.99</v>
      </c>
      <c r="H4082" s="22">
        <f>VLOOKUP(A4082,[1]Orders!$A$2:$B$1616,2,0)</f>
        <v>43148</v>
      </c>
      <c r="J4082" t="s">
        <v>227</v>
      </c>
      <c r="K4082" t="s">
        <v>18</v>
      </c>
    </row>
    <row r="4083" spans="1:11" x14ac:dyDescent="0.3">
      <c r="A4083">
        <v>1400</v>
      </c>
      <c r="B4083">
        <v>4</v>
      </c>
      <c r="C4083">
        <v>90</v>
      </c>
      <c r="D4083">
        <v>1</v>
      </c>
      <c r="E4083" s="1">
        <v>209.99</v>
      </c>
      <c r="F4083" s="1">
        <v>7.0000000000000007E-2</v>
      </c>
      <c r="G4083">
        <v>209.99</v>
      </c>
      <c r="H4083" s="22">
        <f>VLOOKUP(A4083,[1]Orders!$A$2:$B$1616,2,0)</f>
        <v>43148</v>
      </c>
      <c r="J4083" t="s">
        <v>56</v>
      </c>
      <c r="K4083" t="s">
        <v>18</v>
      </c>
    </row>
    <row r="4084" spans="1:11" x14ac:dyDescent="0.3">
      <c r="A4084">
        <v>1401</v>
      </c>
      <c r="B4084">
        <v>1</v>
      </c>
      <c r="C4084">
        <v>112</v>
      </c>
      <c r="D4084">
        <v>1</v>
      </c>
      <c r="E4084" s="1">
        <v>379.99</v>
      </c>
      <c r="F4084" s="1">
        <v>7.0000000000000007E-2</v>
      </c>
      <c r="G4084">
        <v>379.99</v>
      </c>
      <c r="H4084" s="22">
        <f>VLOOKUP(A4084,[1]Orders!$A$2:$B$1616,2,0)</f>
        <v>43149</v>
      </c>
      <c r="J4084" t="s">
        <v>228</v>
      </c>
      <c r="K4084" t="s">
        <v>18</v>
      </c>
    </row>
    <row r="4085" spans="1:11" x14ac:dyDescent="0.3">
      <c r="A4085">
        <v>1401</v>
      </c>
      <c r="B4085">
        <v>2</v>
      </c>
      <c r="C4085">
        <v>230</v>
      </c>
      <c r="D4085">
        <v>1</v>
      </c>
      <c r="E4085" s="1">
        <v>429.99</v>
      </c>
      <c r="F4085" s="1">
        <v>0.05</v>
      </c>
      <c r="G4085">
        <v>429.99</v>
      </c>
      <c r="H4085" s="22">
        <f>VLOOKUP(A4085,[1]Orders!$A$2:$B$1616,2,0)</f>
        <v>43149</v>
      </c>
      <c r="J4085" t="s">
        <v>136</v>
      </c>
      <c r="K4085" t="s">
        <v>18</v>
      </c>
    </row>
    <row r="4086" spans="1:11" x14ac:dyDescent="0.3">
      <c r="A4086">
        <v>1401</v>
      </c>
      <c r="B4086">
        <v>3</v>
      </c>
      <c r="C4086">
        <v>254</v>
      </c>
      <c r="D4086">
        <v>2</v>
      </c>
      <c r="E4086" s="1">
        <v>749.99</v>
      </c>
      <c r="F4086" s="1">
        <v>0.2</v>
      </c>
      <c r="G4086">
        <v>1499.98</v>
      </c>
      <c r="H4086" s="22">
        <f>VLOOKUP(A4086,[1]Orders!$A$2:$B$1616,2,0)</f>
        <v>43149</v>
      </c>
      <c r="J4086" t="s">
        <v>172</v>
      </c>
      <c r="K4086" t="s">
        <v>18</v>
      </c>
    </row>
    <row r="4087" spans="1:11" x14ac:dyDescent="0.3">
      <c r="A4087">
        <v>1402</v>
      </c>
      <c r="B4087">
        <v>1</v>
      </c>
      <c r="C4087">
        <v>189</v>
      </c>
      <c r="D4087">
        <v>2</v>
      </c>
      <c r="E4087" s="1">
        <v>2799.99</v>
      </c>
      <c r="F4087" s="1">
        <v>0.2</v>
      </c>
      <c r="G4087">
        <v>5599.98</v>
      </c>
      <c r="H4087" s="22">
        <f>VLOOKUP(A4087,[1]Orders!$A$2:$B$1616,2,0)</f>
        <v>43150</v>
      </c>
      <c r="J4087" t="s">
        <v>229</v>
      </c>
      <c r="K4087" t="s">
        <v>18</v>
      </c>
    </row>
    <row r="4088" spans="1:11" x14ac:dyDescent="0.3">
      <c r="A4088">
        <v>1402</v>
      </c>
      <c r="B4088">
        <v>2</v>
      </c>
      <c r="C4088">
        <v>28</v>
      </c>
      <c r="D4088">
        <v>2</v>
      </c>
      <c r="E4088" s="1">
        <v>2499.9899999999998</v>
      </c>
      <c r="F4088" s="1">
        <v>0.05</v>
      </c>
      <c r="G4088">
        <v>4999.9799999999996</v>
      </c>
      <c r="H4088" s="22">
        <f>VLOOKUP(A4088,[1]Orders!$A$2:$B$1616,2,0)</f>
        <v>43150</v>
      </c>
      <c r="J4088" t="s">
        <v>86</v>
      </c>
      <c r="K4088" t="s">
        <v>18</v>
      </c>
    </row>
    <row r="4089" spans="1:11" x14ac:dyDescent="0.3">
      <c r="A4089">
        <v>1402</v>
      </c>
      <c r="B4089">
        <v>3</v>
      </c>
      <c r="C4089">
        <v>203</v>
      </c>
      <c r="D4089">
        <v>1</v>
      </c>
      <c r="E4089" s="1">
        <v>4999.99</v>
      </c>
      <c r="F4089" s="1">
        <v>0.05</v>
      </c>
      <c r="G4089">
        <v>4999.99</v>
      </c>
      <c r="H4089" s="22">
        <f>VLOOKUP(A4089,[1]Orders!$A$2:$B$1616,2,0)</f>
        <v>43150</v>
      </c>
      <c r="J4089" t="s">
        <v>147</v>
      </c>
      <c r="K4089" t="s">
        <v>18</v>
      </c>
    </row>
    <row r="4090" spans="1:11" x14ac:dyDescent="0.3">
      <c r="A4090">
        <v>1402</v>
      </c>
      <c r="B4090">
        <v>4</v>
      </c>
      <c r="C4090">
        <v>273</v>
      </c>
      <c r="D4090">
        <v>1</v>
      </c>
      <c r="E4090" s="1">
        <v>289.99</v>
      </c>
      <c r="F4090" s="1">
        <v>7.0000000000000007E-2</v>
      </c>
      <c r="G4090">
        <v>289.99</v>
      </c>
      <c r="H4090" s="22">
        <f>VLOOKUP(A4090,[1]Orders!$A$2:$B$1616,2,0)</f>
        <v>43150</v>
      </c>
      <c r="J4090" t="s">
        <v>230</v>
      </c>
      <c r="K4090" t="s">
        <v>18</v>
      </c>
    </row>
    <row r="4091" spans="1:11" x14ac:dyDescent="0.3">
      <c r="A4091">
        <v>1403</v>
      </c>
      <c r="B4091">
        <v>1</v>
      </c>
      <c r="C4091">
        <v>93</v>
      </c>
      <c r="D4091">
        <v>2</v>
      </c>
      <c r="E4091" s="1">
        <v>209.99</v>
      </c>
      <c r="F4091" s="1">
        <v>0.1</v>
      </c>
      <c r="G4091">
        <v>419.98</v>
      </c>
      <c r="H4091" s="22">
        <f>VLOOKUP(A4091,[1]Orders!$A$2:$B$1616,2,0)</f>
        <v>43152</v>
      </c>
      <c r="J4091" t="s">
        <v>110</v>
      </c>
      <c r="K4091" t="s">
        <v>18</v>
      </c>
    </row>
    <row r="4092" spans="1:11" x14ac:dyDescent="0.3">
      <c r="A4092">
        <v>1404</v>
      </c>
      <c r="B4092">
        <v>1</v>
      </c>
      <c r="C4092">
        <v>112</v>
      </c>
      <c r="D4092">
        <v>2</v>
      </c>
      <c r="E4092" s="1">
        <v>379.99</v>
      </c>
      <c r="F4092" s="1">
        <v>0.05</v>
      </c>
      <c r="G4092">
        <v>759.98</v>
      </c>
      <c r="H4092" s="22">
        <f>VLOOKUP(A4092,[1]Orders!$A$2:$B$1616,2,0)</f>
        <v>43154</v>
      </c>
      <c r="J4092" t="s">
        <v>228</v>
      </c>
      <c r="K4092" t="s">
        <v>11</v>
      </c>
    </row>
    <row r="4093" spans="1:11" x14ac:dyDescent="0.3">
      <c r="A4093">
        <v>1404</v>
      </c>
      <c r="B4093">
        <v>2</v>
      </c>
      <c r="C4093">
        <v>220</v>
      </c>
      <c r="D4093">
        <v>1</v>
      </c>
      <c r="E4093" s="1">
        <v>269.99</v>
      </c>
      <c r="F4093" s="1">
        <v>0.1</v>
      </c>
      <c r="G4093">
        <v>269.99</v>
      </c>
      <c r="H4093" s="22">
        <f>VLOOKUP(A4093,[1]Orders!$A$2:$B$1616,2,0)</f>
        <v>43154</v>
      </c>
      <c r="J4093" t="s">
        <v>231</v>
      </c>
      <c r="K4093" t="s">
        <v>11</v>
      </c>
    </row>
    <row r="4094" spans="1:11" x14ac:dyDescent="0.3">
      <c r="A4094">
        <v>1404</v>
      </c>
      <c r="B4094">
        <v>3</v>
      </c>
      <c r="C4094">
        <v>193</v>
      </c>
      <c r="D4094">
        <v>2</v>
      </c>
      <c r="E4094" s="1">
        <v>2799.99</v>
      </c>
      <c r="F4094" s="1">
        <v>0.2</v>
      </c>
      <c r="G4094">
        <v>5599.98</v>
      </c>
      <c r="H4094" s="22">
        <f>VLOOKUP(A4094,[1]Orders!$A$2:$B$1616,2,0)</f>
        <v>43154</v>
      </c>
      <c r="J4094" t="s">
        <v>232</v>
      </c>
      <c r="K4094" t="s">
        <v>11</v>
      </c>
    </row>
    <row r="4095" spans="1:11" x14ac:dyDescent="0.3">
      <c r="A4095">
        <v>1405</v>
      </c>
      <c r="B4095">
        <v>1</v>
      </c>
      <c r="C4095">
        <v>162</v>
      </c>
      <c r="D4095">
        <v>2</v>
      </c>
      <c r="E4095" s="1">
        <v>2999.99</v>
      </c>
      <c r="F4095" s="1">
        <v>0.1</v>
      </c>
      <c r="G4095">
        <v>5999.98</v>
      </c>
      <c r="H4095" s="22">
        <f>VLOOKUP(A4095,[1]Orders!$A$2:$B$1616,2,0)</f>
        <v>43156</v>
      </c>
      <c r="J4095" t="s">
        <v>233</v>
      </c>
      <c r="K4095" t="s">
        <v>18</v>
      </c>
    </row>
    <row r="4096" spans="1:11" x14ac:dyDescent="0.3">
      <c r="A4096">
        <v>1406</v>
      </c>
      <c r="B4096">
        <v>1</v>
      </c>
      <c r="C4096">
        <v>230</v>
      </c>
      <c r="D4096">
        <v>2</v>
      </c>
      <c r="E4096" s="1">
        <v>429.99</v>
      </c>
      <c r="F4096" s="1">
        <v>0.05</v>
      </c>
      <c r="G4096">
        <v>859.98</v>
      </c>
      <c r="H4096" s="22">
        <f>VLOOKUP(A4096,[1]Orders!$A$2:$B$1616,2,0)</f>
        <v>43156</v>
      </c>
      <c r="J4096" t="s">
        <v>136</v>
      </c>
      <c r="K4096" t="s">
        <v>18</v>
      </c>
    </row>
    <row r="4097" spans="1:11" x14ac:dyDescent="0.3">
      <c r="A4097">
        <v>1406</v>
      </c>
      <c r="B4097">
        <v>2</v>
      </c>
      <c r="C4097">
        <v>113</v>
      </c>
      <c r="D4097">
        <v>1</v>
      </c>
      <c r="E4097" s="1">
        <v>489.99</v>
      </c>
      <c r="F4097" s="1">
        <v>0.1</v>
      </c>
      <c r="G4097">
        <v>489.99</v>
      </c>
      <c r="H4097" s="22">
        <f>VLOOKUP(A4097,[1]Orders!$A$2:$B$1616,2,0)</f>
        <v>43156</v>
      </c>
      <c r="J4097" t="s">
        <v>198</v>
      </c>
      <c r="K4097" t="s">
        <v>18</v>
      </c>
    </row>
    <row r="4098" spans="1:11" x14ac:dyDescent="0.3">
      <c r="A4098">
        <v>1407</v>
      </c>
      <c r="B4098">
        <v>1</v>
      </c>
      <c r="C4098">
        <v>300</v>
      </c>
      <c r="D4098">
        <v>1</v>
      </c>
      <c r="E4098" s="1">
        <v>799.99</v>
      </c>
      <c r="F4098" s="1">
        <v>0.05</v>
      </c>
      <c r="G4098">
        <v>799.99</v>
      </c>
      <c r="H4098" s="22">
        <f>VLOOKUP(A4098,[1]Orders!$A$2:$B$1616,2,0)</f>
        <v>43157</v>
      </c>
      <c r="J4098" t="s">
        <v>141</v>
      </c>
      <c r="K4098" t="s">
        <v>18</v>
      </c>
    </row>
    <row r="4099" spans="1:11" x14ac:dyDescent="0.3">
      <c r="A4099">
        <v>1407</v>
      </c>
      <c r="B4099">
        <v>2</v>
      </c>
      <c r="C4099">
        <v>36</v>
      </c>
      <c r="D4099">
        <v>2</v>
      </c>
      <c r="E4099" s="1">
        <v>832.99</v>
      </c>
      <c r="F4099" s="1">
        <v>0.1</v>
      </c>
      <c r="G4099">
        <v>1665.98</v>
      </c>
      <c r="H4099" s="22">
        <f>VLOOKUP(A4099,[1]Orders!$A$2:$B$1616,2,0)</f>
        <v>43157</v>
      </c>
      <c r="J4099" t="s">
        <v>116</v>
      </c>
      <c r="K4099" t="s">
        <v>18</v>
      </c>
    </row>
    <row r="4100" spans="1:11" x14ac:dyDescent="0.3">
      <c r="A4100">
        <v>1407</v>
      </c>
      <c r="B4100">
        <v>3</v>
      </c>
      <c r="C4100">
        <v>266</v>
      </c>
      <c r="D4100">
        <v>1</v>
      </c>
      <c r="E4100" s="1">
        <v>399.99</v>
      </c>
      <c r="F4100" s="1">
        <v>0.1</v>
      </c>
      <c r="G4100">
        <v>399.99</v>
      </c>
      <c r="H4100" s="22">
        <f>VLOOKUP(A4100,[1]Orders!$A$2:$B$1616,2,0)</f>
        <v>43157</v>
      </c>
      <c r="J4100" t="s">
        <v>234</v>
      </c>
      <c r="K4100" t="s">
        <v>18</v>
      </c>
    </row>
    <row r="4101" spans="1:11" x14ac:dyDescent="0.3">
      <c r="A4101">
        <v>1407</v>
      </c>
      <c r="B4101">
        <v>4</v>
      </c>
      <c r="C4101">
        <v>35</v>
      </c>
      <c r="D4101">
        <v>1</v>
      </c>
      <c r="E4101" s="1">
        <v>832.99</v>
      </c>
      <c r="F4101" s="1">
        <v>0.2</v>
      </c>
      <c r="G4101">
        <v>832.99</v>
      </c>
      <c r="H4101" s="22">
        <f>VLOOKUP(A4101,[1]Orders!$A$2:$B$1616,2,0)</f>
        <v>43157</v>
      </c>
      <c r="J4101" t="s">
        <v>109</v>
      </c>
      <c r="K4101" t="s">
        <v>18</v>
      </c>
    </row>
    <row r="4102" spans="1:11" x14ac:dyDescent="0.3">
      <c r="A4102">
        <v>1408</v>
      </c>
      <c r="B4102">
        <v>1</v>
      </c>
      <c r="C4102">
        <v>23</v>
      </c>
      <c r="D4102">
        <v>2</v>
      </c>
      <c r="E4102" s="1">
        <v>299.99</v>
      </c>
      <c r="F4102" s="1">
        <v>0.2</v>
      </c>
      <c r="G4102">
        <v>599.98</v>
      </c>
      <c r="H4102" s="22">
        <f>VLOOKUP(A4102,[1]Orders!$A$2:$B$1616,2,0)</f>
        <v>43157</v>
      </c>
      <c r="J4102" t="s">
        <v>33</v>
      </c>
      <c r="K4102" t="s">
        <v>18</v>
      </c>
    </row>
    <row r="4103" spans="1:11" x14ac:dyDescent="0.3">
      <c r="A4103">
        <v>1408</v>
      </c>
      <c r="B4103">
        <v>2</v>
      </c>
      <c r="C4103">
        <v>166</v>
      </c>
      <c r="D4103">
        <v>1</v>
      </c>
      <c r="E4103" s="1">
        <v>749.99</v>
      </c>
      <c r="F4103" s="1">
        <v>0.2</v>
      </c>
      <c r="G4103">
        <v>749.99</v>
      </c>
      <c r="H4103" s="22">
        <f>VLOOKUP(A4103,[1]Orders!$A$2:$B$1616,2,0)</f>
        <v>43157</v>
      </c>
      <c r="J4103" t="s">
        <v>179</v>
      </c>
      <c r="K4103" t="s">
        <v>18</v>
      </c>
    </row>
    <row r="4104" spans="1:11" x14ac:dyDescent="0.3">
      <c r="A4104">
        <v>1408</v>
      </c>
      <c r="B4104">
        <v>3</v>
      </c>
      <c r="C4104">
        <v>114</v>
      </c>
      <c r="D4104">
        <v>1</v>
      </c>
      <c r="E4104" s="1">
        <v>579.99</v>
      </c>
      <c r="F4104" s="1">
        <v>7.0000000000000007E-2</v>
      </c>
      <c r="G4104">
        <v>579.99</v>
      </c>
      <c r="H4104" s="22">
        <f>VLOOKUP(A4104,[1]Orders!$A$2:$B$1616,2,0)</f>
        <v>43157</v>
      </c>
      <c r="J4104" t="s">
        <v>235</v>
      </c>
      <c r="K4104" t="s">
        <v>18</v>
      </c>
    </row>
    <row r="4105" spans="1:11" x14ac:dyDescent="0.3">
      <c r="A4105">
        <v>1408</v>
      </c>
      <c r="B4105">
        <v>4</v>
      </c>
      <c r="C4105">
        <v>137</v>
      </c>
      <c r="D4105">
        <v>2</v>
      </c>
      <c r="E4105" s="1">
        <v>2599</v>
      </c>
      <c r="F4105" s="1">
        <v>0.2</v>
      </c>
      <c r="G4105">
        <v>5198</v>
      </c>
      <c r="H4105" s="22">
        <f>VLOOKUP(A4105,[1]Orders!$A$2:$B$1616,2,0)</f>
        <v>43157</v>
      </c>
      <c r="J4105" t="s">
        <v>236</v>
      </c>
      <c r="K4105" t="s">
        <v>18</v>
      </c>
    </row>
    <row r="4106" spans="1:11" x14ac:dyDescent="0.3">
      <c r="A4106">
        <v>1409</v>
      </c>
      <c r="B4106">
        <v>1</v>
      </c>
      <c r="C4106">
        <v>301</v>
      </c>
      <c r="D4106">
        <v>2</v>
      </c>
      <c r="E4106" s="1">
        <v>899.99</v>
      </c>
      <c r="F4106" s="1">
        <v>7.0000000000000007E-2</v>
      </c>
      <c r="G4106">
        <v>1799.98</v>
      </c>
      <c r="H4106" s="22">
        <f>VLOOKUP(A4106,[1]Orders!$A$2:$B$1616,2,0)</f>
        <v>43157</v>
      </c>
      <c r="J4106" t="s">
        <v>237</v>
      </c>
      <c r="K4106" t="s">
        <v>37</v>
      </c>
    </row>
    <row r="4107" spans="1:11" x14ac:dyDescent="0.3">
      <c r="A4107">
        <v>1409</v>
      </c>
      <c r="B4107">
        <v>2</v>
      </c>
      <c r="C4107">
        <v>170</v>
      </c>
      <c r="D4107">
        <v>1</v>
      </c>
      <c r="E4107" s="1">
        <v>1299.99</v>
      </c>
      <c r="F4107" s="1">
        <v>7.0000000000000007E-2</v>
      </c>
      <c r="G4107">
        <v>1299.99</v>
      </c>
      <c r="H4107" s="22">
        <f>VLOOKUP(A4107,[1]Orders!$A$2:$B$1616,2,0)</f>
        <v>43157</v>
      </c>
      <c r="J4107" t="s">
        <v>238</v>
      </c>
      <c r="K4107" t="s">
        <v>37</v>
      </c>
    </row>
    <row r="4108" spans="1:11" x14ac:dyDescent="0.3">
      <c r="A4108">
        <v>1409</v>
      </c>
      <c r="B4108">
        <v>3</v>
      </c>
      <c r="C4108">
        <v>171</v>
      </c>
      <c r="D4108">
        <v>2</v>
      </c>
      <c r="E4108" s="1">
        <v>3199.99</v>
      </c>
      <c r="F4108" s="1">
        <v>0.05</v>
      </c>
      <c r="G4108">
        <v>6399.98</v>
      </c>
      <c r="H4108" s="22">
        <f>VLOOKUP(A4108,[1]Orders!$A$2:$B$1616,2,0)</f>
        <v>43157</v>
      </c>
      <c r="J4108" t="s">
        <v>217</v>
      </c>
      <c r="K4108" t="s">
        <v>37</v>
      </c>
    </row>
    <row r="4109" spans="1:11" x14ac:dyDescent="0.3">
      <c r="A4109">
        <v>1409</v>
      </c>
      <c r="B4109">
        <v>4</v>
      </c>
      <c r="C4109">
        <v>265</v>
      </c>
      <c r="D4109">
        <v>1</v>
      </c>
      <c r="E4109" s="1">
        <v>289.99</v>
      </c>
      <c r="F4109" s="1">
        <v>0.05</v>
      </c>
      <c r="G4109">
        <v>289.99</v>
      </c>
      <c r="H4109" s="22">
        <f>VLOOKUP(A4109,[1]Orders!$A$2:$B$1616,2,0)</f>
        <v>43157</v>
      </c>
      <c r="J4109" t="s">
        <v>239</v>
      </c>
      <c r="K4109" t="s">
        <v>37</v>
      </c>
    </row>
    <row r="4110" spans="1:11" x14ac:dyDescent="0.3">
      <c r="A4110">
        <v>1409</v>
      </c>
      <c r="B4110">
        <v>5</v>
      </c>
      <c r="C4110">
        <v>222</v>
      </c>
      <c r="D4110">
        <v>1</v>
      </c>
      <c r="E4110" s="1">
        <v>269.99</v>
      </c>
      <c r="F4110" s="1">
        <v>0.1</v>
      </c>
      <c r="G4110">
        <v>269.99</v>
      </c>
      <c r="H4110" s="22">
        <f>VLOOKUP(A4110,[1]Orders!$A$2:$B$1616,2,0)</f>
        <v>43157</v>
      </c>
      <c r="J4110" t="s">
        <v>240</v>
      </c>
      <c r="K4110" t="s">
        <v>37</v>
      </c>
    </row>
    <row r="4111" spans="1:11" x14ac:dyDescent="0.3">
      <c r="A4111">
        <v>1410</v>
      </c>
      <c r="B4111">
        <v>1</v>
      </c>
      <c r="C4111">
        <v>205</v>
      </c>
      <c r="D4111">
        <v>2</v>
      </c>
      <c r="E4111" s="1">
        <v>4999.99</v>
      </c>
      <c r="F4111" s="1">
        <v>0.1</v>
      </c>
      <c r="G4111">
        <v>9999.98</v>
      </c>
      <c r="H4111" s="22">
        <f>VLOOKUP(A4111,[1]Orders!$A$2:$B$1616,2,0)</f>
        <v>43158</v>
      </c>
      <c r="J4111" t="s">
        <v>145</v>
      </c>
      <c r="K4111" t="s">
        <v>18</v>
      </c>
    </row>
    <row r="4112" spans="1:11" x14ac:dyDescent="0.3">
      <c r="A4112">
        <v>1410</v>
      </c>
      <c r="B4112">
        <v>2</v>
      </c>
      <c r="C4112">
        <v>203</v>
      </c>
      <c r="D4112">
        <v>2</v>
      </c>
      <c r="E4112" s="1">
        <v>4999.99</v>
      </c>
      <c r="F4112" s="1">
        <v>0.2</v>
      </c>
      <c r="G4112">
        <v>9999.98</v>
      </c>
      <c r="H4112" s="22">
        <f>VLOOKUP(A4112,[1]Orders!$A$2:$B$1616,2,0)</f>
        <v>43158</v>
      </c>
      <c r="J4112" t="s">
        <v>147</v>
      </c>
      <c r="K4112" t="s">
        <v>18</v>
      </c>
    </row>
    <row r="4113" spans="1:11" x14ac:dyDescent="0.3">
      <c r="A4113">
        <v>1410</v>
      </c>
      <c r="B4113">
        <v>3</v>
      </c>
      <c r="C4113">
        <v>304</v>
      </c>
      <c r="D4113">
        <v>1</v>
      </c>
      <c r="E4113" s="1">
        <v>679.99</v>
      </c>
      <c r="F4113" s="1">
        <v>0.1</v>
      </c>
      <c r="G4113">
        <v>679.99</v>
      </c>
      <c r="H4113" s="22">
        <f>VLOOKUP(A4113,[1]Orders!$A$2:$B$1616,2,0)</f>
        <v>43158</v>
      </c>
      <c r="J4113" t="s">
        <v>146</v>
      </c>
      <c r="K4113" t="s">
        <v>18</v>
      </c>
    </row>
    <row r="4114" spans="1:11" x14ac:dyDescent="0.3">
      <c r="A4114">
        <v>1411</v>
      </c>
      <c r="B4114">
        <v>1</v>
      </c>
      <c r="C4114">
        <v>9</v>
      </c>
      <c r="D4114">
        <v>1</v>
      </c>
      <c r="E4114" s="1">
        <v>2999.99</v>
      </c>
      <c r="F4114" s="1">
        <v>0.1</v>
      </c>
      <c r="G4114">
        <v>2999.99</v>
      </c>
      <c r="H4114" s="22">
        <f>VLOOKUP(A4114,[1]Orders!$A$2:$B$1616,2,0)</f>
        <v>43160</v>
      </c>
      <c r="J4114" t="s">
        <v>26</v>
      </c>
      <c r="K4114" t="s">
        <v>11</v>
      </c>
    </row>
    <row r="4115" spans="1:11" x14ac:dyDescent="0.3">
      <c r="A4115">
        <v>1411</v>
      </c>
      <c r="B4115">
        <v>2</v>
      </c>
      <c r="C4115">
        <v>308</v>
      </c>
      <c r="D4115">
        <v>2</v>
      </c>
      <c r="E4115" s="1">
        <v>749.99</v>
      </c>
      <c r="F4115" s="1">
        <v>0.2</v>
      </c>
      <c r="G4115">
        <v>1499.98</v>
      </c>
      <c r="H4115" s="22">
        <f>VLOOKUP(A4115,[1]Orders!$A$2:$B$1616,2,0)</f>
        <v>43160</v>
      </c>
      <c r="J4115" t="s">
        <v>241</v>
      </c>
      <c r="K4115" t="s">
        <v>11</v>
      </c>
    </row>
    <row r="4116" spans="1:11" x14ac:dyDescent="0.3">
      <c r="A4116">
        <v>1412</v>
      </c>
      <c r="B4116">
        <v>1</v>
      </c>
      <c r="C4116">
        <v>180</v>
      </c>
      <c r="D4116">
        <v>2</v>
      </c>
      <c r="E4116" s="1">
        <v>919.99</v>
      </c>
      <c r="F4116" s="1">
        <v>7.0000000000000007E-2</v>
      </c>
      <c r="G4116">
        <v>1839.98</v>
      </c>
      <c r="H4116" s="22">
        <f>VLOOKUP(A4116,[1]Orders!$A$2:$B$1616,2,0)</f>
        <v>43160</v>
      </c>
      <c r="J4116" t="s">
        <v>127</v>
      </c>
      <c r="K4116" t="s">
        <v>18</v>
      </c>
    </row>
    <row r="4117" spans="1:11" x14ac:dyDescent="0.3">
      <c r="A4117">
        <v>1412</v>
      </c>
      <c r="B4117">
        <v>2</v>
      </c>
      <c r="C4117">
        <v>43</v>
      </c>
      <c r="D4117">
        <v>1</v>
      </c>
      <c r="E4117" s="1">
        <v>5299.99</v>
      </c>
      <c r="F4117" s="1">
        <v>0.1</v>
      </c>
      <c r="G4117">
        <v>5299.99</v>
      </c>
      <c r="H4117" s="22">
        <f>VLOOKUP(A4117,[1]Orders!$A$2:$B$1616,2,0)</f>
        <v>43160</v>
      </c>
      <c r="J4117" t="s">
        <v>62</v>
      </c>
      <c r="K4117" t="s">
        <v>18</v>
      </c>
    </row>
    <row r="4118" spans="1:11" x14ac:dyDescent="0.3">
      <c r="A4118">
        <v>1412</v>
      </c>
      <c r="B4118">
        <v>3</v>
      </c>
      <c r="C4118">
        <v>109</v>
      </c>
      <c r="D4118">
        <v>2</v>
      </c>
      <c r="E4118" s="1">
        <v>416.99</v>
      </c>
      <c r="F4118" s="1">
        <v>7.0000000000000007E-2</v>
      </c>
      <c r="G4118">
        <v>833.98</v>
      </c>
      <c r="H4118" s="22">
        <f>VLOOKUP(A4118,[1]Orders!$A$2:$B$1616,2,0)</f>
        <v>43160</v>
      </c>
      <c r="J4118" t="s">
        <v>49</v>
      </c>
      <c r="K4118" t="s">
        <v>18</v>
      </c>
    </row>
    <row r="4119" spans="1:11" x14ac:dyDescent="0.3">
      <c r="A4119">
        <v>1413</v>
      </c>
      <c r="B4119">
        <v>1</v>
      </c>
      <c r="C4119">
        <v>297</v>
      </c>
      <c r="D4119">
        <v>2</v>
      </c>
      <c r="E4119" s="1">
        <v>279.99</v>
      </c>
      <c r="F4119" s="1">
        <v>0.05</v>
      </c>
      <c r="G4119">
        <v>559.98</v>
      </c>
      <c r="H4119" s="22">
        <f>VLOOKUP(A4119,[1]Orders!$A$2:$B$1616,2,0)</f>
        <v>43160</v>
      </c>
      <c r="J4119" t="s">
        <v>175</v>
      </c>
      <c r="K4119" t="s">
        <v>37</v>
      </c>
    </row>
    <row r="4120" spans="1:11" x14ac:dyDescent="0.3">
      <c r="A4120">
        <v>1414</v>
      </c>
      <c r="B4120">
        <v>1</v>
      </c>
      <c r="C4120">
        <v>162</v>
      </c>
      <c r="D4120">
        <v>2</v>
      </c>
      <c r="E4120" s="1">
        <v>2999.99</v>
      </c>
      <c r="F4120" s="1">
        <v>0.1</v>
      </c>
      <c r="G4120">
        <v>5999.98</v>
      </c>
      <c r="H4120" s="22">
        <f>VLOOKUP(A4120,[1]Orders!$A$2:$B$1616,2,0)</f>
        <v>43162</v>
      </c>
      <c r="J4120" t="s">
        <v>233</v>
      </c>
      <c r="K4120" t="s">
        <v>18</v>
      </c>
    </row>
    <row r="4121" spans="1:11" x14ac:dyDescent="0.3">
      <c r="A4121">
        <v>1414</v>
      </c>
      <c r="B4121">
        <v>2</v>
      </c>
      <c r="C4121">
        <v>292</v>
      </c>
      <c r="D4121">
        <v>2</v>
      </c>
      <c r="E4121" s="1">
        <v>369.99</v>
      </c>
      <c r="F4121" s="1">
        <v>0.05</v>
      </c>
      <c r="G4121">
        <v>739.98</v>
      </c>
      <c r="H4121" s="22">
        <f>VLOOKUP(A4121,[1]Orders!$A$2:$B$1616,2,0)</f>
        <v>43162</v>
      </c>
      <c r="J4121" t="s">
        <v>214</v>
      </c>
      <c r="K4121" t="s">
        <v>18</v>
      </c>
    </row>
    <row r="4122" spans="1:11" x14ac:dyDescent="0.3">
      <c r="A4122">
        <v>1415</v>
      </c>
      <c r="B4122">
        <v>1</v>
      </c>
      <c r="C4122">
        <v>31</v>
      </c>
      <c r="D4122">
        <v>2</v>
      </c>
      <c r="E4122" s="1">
        <v>1632.99</v>
      </c>
      <c r="F4122" s="1">
        <v>7.0000000000000007E-2</v>
      </c>
      <c r="G4122">
        <v>3265.98</v>
      </c>
      <c r="H4122" s="22">
        <f>VLOOKUP(A4122,[1]Orders!$A$2:$B$1616,2,0)</f>
        <v>43162</v>
      </c>
      <c r="J4122" t="s">
        <v>102</v>
      </c>
      <c r="K4122" t="s">
        <v>18</v>
      </c>
    </row>
    <row r="4123" spans="1:11" x14ac:dyDescent="0.3">
      <c r="A4123">
        <v>1415</v>
      </c>
      <c r="B4123">
        <v>2</v>
      </c>
      <c r="C4123">
        <v>17</v>
      </c>
      <c r="D4123">
        <v>1</v>
      </c>
      <c r="E4123" s="1">
        <v>429</v>
      </c>
      <c r="F4123" s="1">
        <v>0.05</v>
      </c>
      <c r="G4123">
        <v>429</v>
      </c>
      <c r="H4123" s="22">
        <f>VLOOKUP(A4123,[1]Orders!$A$2:$B$1616,2,0)</f>
        <v>43162</v>
      </c>
      <c r="J4123" t="s">
        <v>23</v>
      </c>
      <c r="K4123" t="s">
        <v>18</v>
      </c>
    </row>
    <row r="4124" spans="1:11" x14ac:dyDescent="0.3">
      <c r="A4124">
        <v>1415</v>
      </c>
      <c r="B4124">
        <v>3</v>
      </c>
      <c r="C4124">
        <v>264</v>
      </c>
      <c r="D4124">
        <v>2</v>
      </c>
      <c r="E4124" s="1">
        <v>249.99</v>
      </c>
      <c r="F4124" s="1">
        <v>0.1</v>
      </c>
      <c r="G4124">
        <v>499.98</v>
      </c>
      <c r="H4124" s="22">
        <f>VLOOKUP(A4124,[1]Orders!$A$2:$B$1616,2,0)</f>
        <v>43162</v>
      </c>
      <c r="J4124" t="s">
        <v>242</v>
      </c>
      <c r="K4124" t="s">
        <v>18</v>
      </c>
    </row>
    <row r="4125" spans="1:11" x14ac:dyDescent="0.3">
      <c r="A4125">
        <v>1415</v>
      </c>
      <c r="B4125">
        <v>4</v>
      </c>
      <c r="C4125">
        <v>245</v>
      </c>
      <c r="D4125">
        <v>1</v>
      </c>
      <c r="E4125" s="1">
        <v>659.99</v>
      </c>
      <c r="F4125" s="1">
        <v>0.05</v>
      </c>
      <c r="G4125">
        <v>659.99</v>
      </c>
      <c r="H4125" s="22">
        <f>VLOOKUP(A4125,[1]Orders!$A$2:$B$1616,2,0)</f>
        <v>43162</v>
      </c>
      <c r="J4125" t="s">
        <v>243</v>
      </c>
      <c r="K4125" t="s">
        <v>18</v>
      </c>
    </row>
    <row r="4126" spans="1:11" x14ac:dyDescent="0.3">
      <c r="A4126">
        <v>1416</v>
      </c>
      <c r="B4126">
        <v>1</v>
      </c>
      <c r="C4126">
        <v>194</v>
      </c>
      <c r="D4126">
        <v>1</v>
      </c>
      <c r="E4126" s="1">
        <v>3499.99</v>
      </c>
      <c r="F4126" s="1">
        <v>0.2</v>
      </c>
      <c r="G4126">
        <v>3499.99</v>
      </c>
      <c r="H4126" s="22">
        <f>VLOOKUP(A4126,[1]Orders!$A$2:$B$1616,2,0)</f>
        <v>43162</v>
      </c>
      <c r="J4126" t="s">
        <v>244</v>
      </c>
      <c r="K4126" t="s">
        <v>37</v>
      </c>
    </row>
    <row r="4127" spans="1:11" x14ac:dyDescent="0.3">
      <c r="A4127">
        <v>1416</v>
      </c>
      <c r="B4127">
        <v>2</v>
      </c>
      <c r="C4127">
        <v>242</v>
      </c>
      <c r="D4127">
        <v>2</v>
      </c>
      <c r="E4127" s="1">
        <v>699.99</v>
      </c>
      <c r="F4127" s="1">
        <v>0.1</v>
      </c>
      <c r="G4127">
        <v>1399.98</v>
      </c>
      <c r="H4127" s="22">
        <f>VLOOKUP(A4127,[1]Orders!$A$2:$B$1616,2,0)</f>
        <v>43162</v>
      </c>
      <c r="J4127" t="s">
        <v>245</v>
      </c>
      <c r="K4127" t="s">
        <v>37</v>
      </c>
    </row>
    <row r="4128" spans="1:11" x14ac:dyDescent="0.3">
      <c r="A4128">
        <v>1416</v>
      </c>
      <c r="B4128">
        <v>3</v>
      </c>
      <c r="C4128">
        <v>92</v>
      </c>
      <c r="D4128">
        <v>2</v>
      </c>
      <c r="E4128" s="1">
        <v>209.99</v>
      </c>
      <c r="F4128" s="1">
        <v>0.05</v>
      </c>
      <c r="G4128">
        <v>419.98</v>
      </c>
      <c r="H4128" s="22">
        <f>VLOOKUP(A4128,[1]Orders!$A$2:$B$1616,2,0)</f>
        <v>43162</v>
      </c>
      <c r="J4128" t="s">
        <v>111</v>
      </c>
      <c r="K4128" t="s">
        <v>37</v>
      </c>
    </row>
    <row r="4129" spans="1:11" x14ac:dyDescent="0.3">
      <c r="A4129">
        <v>1417</v>
      </c>
      <c r="B4129">
        <v>1</v>
      </c>
      <c r="C4129">
        <v>219</v>
      </c>
      <c r="D4129">
        <v>2</v>
      </c>
      <c r="E4129" s="1">
        <v>639.99</v>
      </c>
      <c r="F4129" s="1">
        <v>0.2</v>
      </c>
      <c r="G4129">
        <v>1279.98</v>
      </c>
      <c r="H4129" s="22">
        <f>VLOOKUP(A4129,[1]Orders!$A$2:$B$1616,2,0)</f>
        <v>43163</v>
      </c>
      <c r="J4129" t="s">
        <v>246</v>
      </c>
      <c r="K4129" t="s">
        <v>11</v>
      </c>
    </row>
    <row r="4130" spans="1:11" x14ac:dyDescent="0.3">
      <c r="A4130">
        <v>1418</v>
      </c>
      <c r="B4130">
        <v>1</v>
      </c>
      <c r="C4130">
        <v>120</v>
      </c>
      <c r="D4130">
        <v>2</v>
      </c>
      <c r="E4130" s="1">
        <v>2499.9899999999998</v>
      </c>
      <c r="F4130" s="1">
        <v>0.2</v>
      </c>
      <c r="G4130">
        <v>4999.9799999999996</v>
      </c>
      <c r="H4130" s="22">
        <f>VLOOKUP(A4130,[1]Orders!$A$2:$B$1616,2,0)</f>
        <v>43163</v>
      </c>
      <c r="J4130" t="s">
        <v>119</v>
      </c>
      <c r="K4130" t="s">
        <v>18</v>
      </c>
    </row>
    <row r="4131" spans="1:11" x14ac:dyDescent="0.3">
      <c r="A4131">
        <v>1418</v>
      </c>
      <c r="B4131">
        <v>2</v>
      </c>
      <c r="C4131">
        <v>243</v>
      </c>
      <c r="D4131">
        <v>2</v>
      </c>
      <c r="E4131" s="1">
        <v>679.99</v>
      </c>
      <c r="F4131" s="1">
        <v>0.05</v>
      </c>
      <c r="G4131">
        <v>1359.98</v>
      </c>
      <c r="H4131" s="22">
        <f>VLOOKUP(A4131,[1]Orders!$A$2:$B$1616,2,0)</f>
        <v>43163</v>
      </c>
      <c r="J4131" t="s">
        <v>135</v>
      </c>
      <c r="K4131" t="s">
        <v>18</v>
      </c>
    </row>
    <row r="4132" spans="1:11" x14ac:dyDescent="0.3">
      <c r="A4132">
        <v>1419</v>
      </c>
      <c r="B4132">
        <v>1</v>
      </c>
      <c r="C4132">
        <v>124</v>
      </c>
      <c r="D4132">
        <v>1</v>
      </c>
      <c r="E4132" s="1">
        <v>1499</v>
      </c>
      <c r="F4132" s="1">
        <v>7.0000000000000007E-2</v>
      </c>
      <c r="G4132">
        <v>1499</v>
      </c>
      <c r="H4132" s="22">
        <f>VLOOKUP(A4132,[1]Orders!$A$2:$B$1616,2,0)</f>
        <v>43163</v>
      </c>
      <c r="J4132" t="s">
        <v>197</v>
      </c>
      <c r="K4132" t="s">
        <v>18</v>
      </c>
    </row>
    <row r="4133" spans="1:11" x14ac:dyDescent="0.3">
      <c r="A4133">
        <v>1419</v>
      </c>
      <c r="B4133">
        <v>2</v>
      </c>
      <c r="C4133">
        <v>235</v>
      </c>
      <c r="D4133">
        <v>2</v>
      </c>
      <c r="E4133" s="1">
        <v>899.99</v>
      </c>
      <c r="F4133" s="1">
        <v>0.2</v>
      </c>
      <c r="G4133">
        <v>1799.98</v>
      </c>
      <c r="H4133" s="22">
        <f>VLOOKUP(A4133,[1]Orders!$A$2:$B$1616,2,0)</f>
        <v>43163</v>
      </c>
      <c r="J4133" t="s">
        <v>120</v>
      </c>
      <c r="K4133" t="s">
        <v>18</v>
      </c>
    </row>
    <row r="4134" spans="1:11" x14ac:dyDescent="0.3">
      <c r="A4134">
        <v>1419</v>
      </c>
      <c r="B4134">
        <v>3</v>
      </c>
      <c r="C4134">
        <v>234</v>
      </c>
      <c r="D4134">
        <v>1</v>
      </c>
      <c r="E4134" s="1">
        <v>899.99</v>
      </c>
      <c r="F4134" s="1">
        <v>0.1</v>
      </c>
      <c r="G4134">
        <v>899.99</v>
      </c>
      <c r="H4134" s="22">
        <f>VLOOKUP(A4134,[1]Orders!$A$2:$B$1616,2,0)</f>
        <v>43163</v>
      </c>
      <c r="J4134" t="s">
        <v>158</v>
      </c>
      <c r="K4134" t="s">
        <v>18</v>
      </c>
    </row>
    <row r="4135" spans="1:11" x14ac:dyDescent="0.3">
      <c r="A4135">
        <v>1420</v>
      </c>
      <c r="B4135">
        <v>1</v>
      </c>
      <c r="C4135">
        <v>197</v>
      </c>
      <c r="D4135">
        <v>1</v>
      </c>
      <c r="E4135" s="1">
        <v>2299.9899999999998</v>
      </c>
      <c r="F4135" s="1">
        <v>0.2</v>
      </c>
      <c r="G4135">
        <v>2299.9899999999998</v>
      </c>
      <c r="H4135" s="22">
        <f>VLOOKUP(A4135,[1]Orders!$A$2:$B$1616,2,0)</f>
        <v>43163</v>
      </c>
      <c r="J4135" t="s">
        <v>247</v>
      </c>
      <c r="K4135" t="s">
        <v>18</v>
      </c>
    </row>
    <row r="4136" spans="1:11" x14ac:dyDescent="0.3">
      <c r="A4136">
        <v>1420</v>
      </c>
      <c r="B4136">
        <v>2</v>
      </c>
      <c r="C4136">
        <v>194</v>
      </c>
      <c r="D4136">
        <v>2</v>
      </c>
      <c r="E4136" s="1">
        <v>3499.99</v>
      </c>
      <c r="F4136" s="1">
        <v>0.1</v>
      </c>
      <c r="G4136">
        <v>6999.98</v>
      </c>
      <c r="H4136" s="22">
        <f>VLOOKUP(A4136,[1]Orders!$A$2:$B$1616,2,0)</f>
        <v>43163</v>
      </c>
      <c r="J4136" t="s">
        <v>244</v>
      </c>
      <c r="K4136" t="s">
        <v>18</v>
      </c>
    </row>
    <row r="4137" spans="1:11" x14ac:dyDescent="0.3">
      <c r="A4137">
        <v>1420</v>
      </c>
      <c r="B4137">
        <v>3</v>
      </c>
      <c r="C4137">
        <v>128</v>
      </c>
      <c r="D4137">
        <v>1</v>
      </c>
      <c r="E4137" s="1">
        <v>1899</v>
      </c>
      <c r="F4137" s="1">
        <v>0.1</v>
      </c>
      <c r="G4137">
        <v>1899</v>
      </c>
      <c r="H4137" s="22">
        <f>VLOOKUP(A4137,[1]Orders!$A$2:$B$1616,2,0)</f>
        <v>43163</v>
      </c>
      <c r="J4137" t="s">
        <v>193</v>
      </c>
      <c r="K4137" t="s">
        <v>18</v>
      </c>
    </row>
    <row r="4138" spans="1:11" x14ac:dyDescent="0.3">
      <c r="A4138">
        <v>1421</v>
      </c>
      <c r="B4138">
        <v>1</v>
      </c>
      <c r="C4138">
        <v>298</v>
      </c>
      <c r="D4138">
        <v>2</v>
      </c>
      <c r="E4138" s="1">
        <v>279.99</v>
      </c>
      <c r="F4138" s="1">
        <v>0.05</v>
      </c>
      <c r="G4138">
        <v>559.98</v>
      </c>
      <c r="H4138" s="22">
        <f>VLOOKUP(A4138,[1]Orders!$A$2:$B$1616,2,0)</f>
        <v>43164</v>
      </c>
      <c r="J4138" t="s">
        <v>144</v>
      </c>
      <c r="K4138" t="s">
        <v>18</v>
      </c>
    </row>
    <row r="4139" spans="1:11" x14ac:dyDescent="0.3">
      <c r="A4139">
        <v>1422</v>
      </c>
      <c r="B4139">
        <v>1</v>
      </c>
      <c r="C4139">
        <v>80</v>
      </c>
      <c r="D4139">
        <v>2</v>
      </c>
      <c r="E4139" s="1">
        <v>761.99</v>
      </c>
      <c r="F4139" s="1">
        <v>7.0000000000000007E-2</v>
      </c>
      <c r="G4139">
        <v>1523.98</v>
      </c>
      <c r="H4139" s="22">
        <f>VLOOKUP(A4139,[1]Orders!$A$2:$B$1616,2,0)</f>
        <v>43164</v>
      </c>
      <c r="J4139" t="s">
        <v>63</v>
      </c>
      <c r="K4139" t="s">
        <v>37</v>
      </c>
    </row>
    <row r="4140" spans="1:11" x14ac:dyDescent="0.3">
      <c r="A4140">
        <v>1422</v>
      </c>
      <c r="B4140">
        <v>2</v>
      </c>
      <c r="C4140">
        <v>180</v>
      </c>
      <c r="D4140">
        <v>2</v>
      </c>
      <c r="E4140" s="1">
        <v>919.99</v>
      </c>
      <c r="F4140" s="1">
        <v>0.2</v>
      </c>
      <c r="G4140">
        <v>1839.98</v>
      </c>
      <c r="H4140" s="22">
        <f>VLOOKUP(A4140,[1]Orders!$A$2:$B$1616,2,0)</f>
        <v>43164</v>
      </c>
      <c r="J4140" t="s">
        <v>127</v>
      </c>
      <c r="K4140" t="s">
        <v>37</v>
      </c>
    </row>
    <row r="4141" spans="1:11" x14ac:dyDescent="0.3">
      <c r="A4141">
        <v>1422</v>
      </c>
      <c r="B4141">
        <v>3</v>
      </c>
      <c r="C4141">
        <v>243</v>
      </c>
      <c r="D4141">
        <v>1</v>
      </c>
      <c r="E4141" s="1">
        <v>679.99</v>
      </c>
      <c r="F4141" s="1">
        <v>0.05</v>
      </c>
      <c r="G4141">
        <v>679.99</v>
      </c>
      <c r="H4141" s="22">
        <f>VLOOKUP(A4141,[1]Orders!$A$2:$B$1616,2,0)</f>
        <v>43164</v>
      </c>
      <c r="J4141" t="s">
        <v>135</v>
      </c>
      <c r="K4141" t="s">
        <v>37</v>
      </c>
    </row>
    <row r="4142" spans="1:11" x14ac:dyDescent="0.3">
      <c r="A4142">
        <v>1423</v>
      </c>
      <c r="B4142">
        <v>1</v>
      </c>
      <c r="C4142">
        <v>249</v>
      </c>
      <c r="D4142">
        <v>1</v>
      </c>
      <c r="E4142" s="1">
        <v>749.99</v>
      </c>
      <c r="F4142" s="1">
        <v>0.2</v>
      </c>
      <c r="G4142">
        <v>749.99</v>
      </c>
      <c r="H4142" s="22">
        <f>VLOOKUP(A4142,[1]Orders!$A$2:$B$1616,2,0)</f>
        <v>43165</v>
      </c>
      <c r="J4142" t="s">
        <v>167</v>
      </c>
      <c r="K4142" t="s">
        <v>11</v>
      </c>
    </row>
    <row r="4143" spans="1:11" x14ac:dyDescent="0.3">
      <c r="A4143">
        <v>1423</v>
      </c>
      <c r="B4143">
        <v>2</v>
      </c>
      <c r="C4143">
        <v>71</v>
      </c>
      <c r="D4143">
        <v>1</v>
      </c>
      <c r="E4143" s="1">
        <v>416.99</v>
      </c>
      <c r="F4143" s="1">
        <v>0.1</v>
      </c>
      <c r="G4143">
        <v>416.99</v>
      </c>
      <c r="H4143" s="22">
        <f>VLOOKUP(A4143,[1]Orders!$A$2:$B$1616,2,0)</f>
        <v>43165</v>
      </c>
      <c r="J4143" t="s">
        <v>78</v>
      </c>
      <c r="K4143" t="s">
        <v>11</v>
      </c>
    </row>
    <row r="4144" spans="1:11" x14ac:dyDescent="0.3">
      <c r="A4144">
        <v>1423</v>
      </c>
      <c r="B4144">
        <v>3</v>
      </c>
      <c r="C4144">
        <v>302</v>
      </c>
      <c r="D4144">
        <v>1</v>
      </c>
      <c r="E4144" s="1">
        <v>449.99</v>
      </c>
      <c r="F4144" s="1">
        <v>0.2</v>
      </c>
      <c r="G4144">
        <v>449.99</v>
      </c>
      <c r="H4144" s="22">
        <f>VLOOKUP(A4144,[1]Orders!$A$2:$B$1616,2,0)</f>
        <v>43165</v>
      </c>
      <c r="J4144" t="s">
        <v>248</v>
      </c>
      <c r="K4144" t="s">
        <v>11</v>
      </c>
    </row>
    <row r="4145" spans="1:11" x14ac:dyDescent="0.3">
      <c r="A4145">
        <v>1423</v>
      </c>
      <c r="B4145">
        <v>4</v>
      </c>
      <c r="C4145">
        <v>113</v>
      </c>
      <c r="D4145">
        <v>2</v>
      </c>
      <c r="E4145" s="1">
        <v>489.99</v>
      </c>
      <c r="F4145" s="1">
        <v>0.2</v>
      </c>
      <c r="G4145">
        <v>979.98</v>
      </c>
      <c r="H4145" s="22">
        <f>VLOOKUP(A4145,[1]Orders!$A$2:$B$1616,2,0)</f>
        <v>43165</v>
      </c>
      <c r="J4145" t="s">
        <v>198</v>
      </c>
      <c r="K4145" t="s">
        <v>11</v>
      </c>
    </row>
    <row r="4146" spans="1:11" x14ac:dyDescent="0.3">
      <c r="A4146">
        <v>1424</v>
      </c>
      <c r="B4146">
        <v>1</v>
      </c>
      <c r="C4146">
        <v>140</v>
      </c>
      <c r="D4146">
        <v>2</v>
      </c>
      <c r="E4146" s="1">
        <v>4999.99</v>
      </c>
      <c r="F4146" s="1">
        <v>0.2</v>
      </c>
      <c r="G4146">
        <v>9999.98</v>
      </c>
      <c r="H4146" s="22">
        <f>VLOOKUP(A4146,[1]Orders!$A$2:$B$1616,2,0)</f>
        <v>43166</v>
      </c>
      <c r="J4146" t="s">
        <v>249</v>
      </c>
      <c r="K4146" t="s">
        <v>11</v>
      </c>
    </row>
    <row r="4147" spans="1:11" x14ac:dyDescent="0.3">
      <c r="A4147">
        <v>1425</v>
      </c>
      <c r="B4147">
        <v>1</v>
      </c>
      <c r="C4147">
        <v>227</v>
      </c>
      <c r="D4147">
        <v>2</v>
      </c>
      <c r="E4147" s="1">
        <v>319.99</v>
      </c>
      <c r="F4147" s="1">
        <v>0.05</v>
      </c>
      <c r="G4147">
        <v>639.98</v>
      </c>
      <c r="H4147" s="22">
        <f>VLOOKUP(A4147,[1]Orders!$A$2:$B$1616,2,0)</f>
        <v>43166</v>
      </c>
      <c r="J4147" t="s">
        <v>218</v>
      </c>
      <c r="K4147" t="s">
        <v>18</v>
      </c>
    </row>
    <row r="4148" spans="1:11" x14ac:dyDescent="0.3">
      <c r="A4148">
        <v>1425</v>
      </c>
      <c r="B4148">
        <v>2</v>
      </c>
      <c r="C4148">
        <v>263</v>
      </c>
      <c r="D4148">
        <v>1</v>
      </c>
      <c r="E4148" s="1">
        <v>89.99</v>
      </c>
      <c r="F4148" s="1">
        <v>7.0000000000000007E-2</v>
      </c>
      <c r="G4148">
        <v>89.99</v>
      </c>
      <c r="H4148" s="22">
        <f>VLOOKUP(A4148,[1]Orders!$A$2:$B$1616,2,0)</f>
        <v>43166</v>
      </c>
      <c r="J4148" t="s">
        <v>168</v>
      </c>
      <c r="K4148" t="s">
        <v>18</v>
      </c>
    </row>
    <row r="4149" spans="1:11" x14ac:dyDescent="0.3">
      <c r="A4149">
        <v>1425</v>
      </c>
      <c r="B4149">
        <v>3</v>
      </c>
      <c r="C4149">
        <v>93</v>
      </c>
      <c r="D4149">
        <v>1</v>
      </c>
      <c r="E4149" s="1">
        <v>209.99</v>
      </c>
      <c r="F4149" s="1">
        <v>7.0000000000000007E-2</v>
      </c>
      <c r="G4149">
        <v>209.99</v>
      </c>
      <c r="H4149" s="22">
        <f>VLOOKUP(A4149,[1]Orders!$A$2:$B$1616,2,0)</f>
        <v>43166</v>
      </c>
      <c r="J4149" t="s">
        <v>110</v>
      </c>
      <c r="K4149" t="s">
        <v>18</v>
      </c>
    </row>
    <row r="4150" spans="1:11" x14ac:dyDescent="0.3">
      <c r="A4150">
        <v>1425</v>
      </c>
      <c r="B4150">
        <v>4</v>
      </c>
      <c r="C4150">
        <v>54</v>
      </c>
      <c r="D4150">
        <v>2</v>
      </c>
      <c r="E4150" s="1">
        <v>3199.99</v>
      </c>
      <c r="F4150" s="1">
        <v>0.05</v>
      </c>
      <c r="G4150">
        <v>6399.98</v>
      </c>
      <c r="H4150" s="22">
        <f>VLOOKUP(A4150,[1]Orders!$A$2:$B$1616,2,0)</f>
        <v>43166</v>
      </c>
      <c r="J4150" t="s">
        <v>69</v>
      </c>
      <c r="K4150" t="s">
        <v>18</v>
      </c>
    </row>
    <row r="4151" spans="1:11" x14ac:dyDescent="0.3">
      <c r="A4151">
        <v>1425</v>
      </c>
      <c r="B4151">
        <v>5</v>
      </c>
      <c r="C4151">
        <v>145</v>
      </c>
      <c r="D4151">
        <v>2</v>
      </c>
      <c r="E4151" s="1">
        <v>1799.99</v>
      </c>
      <c r="F4151" s="1">
        <v>7.0000000000000007E-2</v>
      </c>
      <c r="G4151">
        <v>3599.98</v>
      </c>
      <c r="H4151" s="22">
        <f>VLOOKUP(A4151,[1]Orders!$A$2:$B$1616,2,0)</f>
        <v>43166</v>
      </c>
      <c r="J4151" t="s">
        <v>140</v>
      </c>
      <c r="K4151" t="s">
        <v>18</v>
      </c>
    </row>
    <row r="4152" spans="1:11" x14ac:dyDescent="0.3">
      <c r="A4152">
        <v>1426</v>
      </c>
      <c r="B4152">
        <v>1</v>
      </c>
      <c r="C4152">
        <v>215</v>
      </c>
      <c r="D4152">
        <v>1</v>
      </c>
      <c r="E4152" s="1">
        <v>749.99</v>
      </c>
      <c r="F4152" s="1">
        <v>7.0000000000000007E-2</v>
      </c>
      <c r="G4152">
        <v>749.99</v>
      </c>
      <c r="H4152" s="22">
        <f>VLOOKUP(A4152,[1]Orders!$A$2:$B$1616,2,0)</f>
        <v>43166</v>
      </c>
      <c r="J4152" t="s">
        <v>157</v>
      </c>
      <c r="K4152" t="s">
        <v>18</v>
      </c>
    </row>
    <row r="4153" spans="1:11" x14ac:dyDescent="0.3">
      <c r="A4153">
        <v>1426</v>
      </c>
      <c r="B4153">
        <v>2</v>
      </c>
      <c r="C4153">
        <v>20</v>
      </c>
      <c r="D4153">
        <v>2</v>
      </c>
      <c r="E4153" s="1">
        <v>599.99</v>
      </c>
      <c r="F4153" s="1">
        <v>0.05</v>
      </c>
      <c r="G4153">
        <v>1199.98</v>
      </c>
      <c r="H4153" s="22">
        <f>VLOOKUP(A4153,[1]Orders!$A$2:$B$1616,2,0)</f>
        <v>43166</v>
      </c>
      <c r="J4153" t="s">
        <v>10</v>
      </c>
      <c r="K4153" t="s">
        <v>18</v>
      </c>
    </row>
    <row r="4154" spans="1:11" x14ac:dyDescent="0.3">
      <c r="A4154">
        <v>1426</v>
      </c>
      <c r="B4154">
        <v>3</v>
      </c>
      <c r="C4154">
        <v>281</v>
      </c>
      <c r="D4154">
        <v>1</v>
      </c>
      <c r="E4154" s="1">
        <v>319.99</v>
      </c>
      <c r="F4154" s="1">
        <v>7.0000000000000007E-2</v>
      </c>
      <c r="G4154">
        <v>319.99</v>
      </c>
      <c r="H4154" s="22">
        <f>VLOOKUP(A4154,[1]Orders!$A$2:$B$1616,2,0)</f>
        <v>43166</v>
      </c>
      <c r="J4154" t="s">
        <v>218</v>
      </c>
      <c r="K4154" t="s">
        <v>18</v>
      </c>
    </row>
    <row r="4155" spans="1:11" x14ac:dyDescent="0.3">
      <c r="A4155">
        <v>1427</v>
      </c>
      <c r="B4155">
        <v>1</v>
      </c>
      <c r="C4155">
        <v>230</v>
      </c>
      <c r="D4155">
        <v>2</v>
      </c>
      <c r="E4155" s="1">
        <v>429.99</v>
      </c>
      <c r="F4155" s="1">
        <v>7.0000000000000007E-2</v>
      </c>
      <c r="G4155">
        <v>859.98</v>
      </c>
      <c r="H4155" s="22">
        <f>VLOOKUP(A4155,[1]Orders!$A$2:$B$1616,2,0)</f>
        <v>43166</v>
      </c>
      <c r="J4155" t="s">
        <v>136</v>
      </c>
      <c r="K4155" t="s">
        <v>18</v>
      </c>
    </row>
    <row r="4156" spans="1:11" x14ac:dyDescent="0.3">
      <c r="A4156">
        <v>1427</v>
      </c>
      <c r="B4156">
        <v>2</v>
      </c>
      <c r="C4156">
        <v>139</v>
      </c>
      <c r="D4156">
        <v>1</v>
      </c>
      <c r="E4156" s="1">
        <v>2999.99</v>
      </c>
      <c r="F4156" s="1">
        <v>0.05</v>
      </c>
      <c r="G4156">
        <v>2999.99</v>
      </c>
      <c r="H4156" s="22">
        <f>VLOOKUP(A4156,[1]Orders!$A$2:$B$1616,2,0)</f>
        <v>43166</v>
      </c>
      <c r="J4156" t="s">
        <v>121</v>
      </c>
      <c r="K4156" t="s">
        <v>18</v>
      </c>
    </row>
    <row r="4157" spans="1:11" x14ac:dyDescent="0.3">
      <c r="A4157">
        <v>1427</v>
      </c>
      <c r="B4157">
        <v>3</v>
      </c>
      <c r="C4157">
        <v>164</v>
      </c>
      <c r="D4157">
        <v>2</v>
      </c>
      <c r="E4157" s="1">
        <v>1549</v>
      </c>
      <c r="F4157" s="1">
        <v>7.0000000000000007E-2</v>
      </c>
      <c r="G4157">
        <v>3098</v>
      </c>
      <c r="H4157" s="22">
        <f>VLOOKUP(A4157,[1]Orders!$A$2:$B$1616,2,0)</f>
        <v>43166</v>
      </c>
      <c r="J4157" t="s">
        <v>164</v>
      </c>
      <c r="K4157" t="s">
        <v>18</v>
      </c>
    </row>
    <row r="4158" spans="1:11" x14ac:dyDescent="0.3">
      <c r="A4158">
        <v>1428</v>
      </c>
      <c r="B4158">
        <v>1</v>
      </c>
      <c r="C4158">
        <v>216</v>
      </c>
      <c r="D4158">
        <v>2</v>
      </c>
      <c r="E4158" s="1">
        <v>899.99</v>
      </c>
      <c r="F4158" s="1">
        <v>0.2</v>
      </c>
      <c r="G4158">
        <v>1799.98</v>
      </c>
      <c r="H4158" s="22">
        <f>VLOOKUP(A4158,[1]Orders!$A$2:$B$1616,2,0)</f>
        <v>43167</v>
      </c>
      <c r="J4158" t="s">
        <v>250</v>
      </c>
      <c r="K4158" t="s">
        <v>18</v>
      </c>
    </row>
    <row r="4159" spans="1:11" x14ac:dyDescent="0.3">
      <c r="A4159">
        <v>1428</v>
      </c>
      <c r="B4159">
        <v>2</v>
      </c>
      <c r="C4159">
        <v>126</v>
      </c>
      <c r="D4159">
        <v>1</v>
      </c>
      <c r="E4159" s="1">
        <v>469.99</v>
      </c>
      <c r="F4159" s="1">
        <v>7.0000000000000007E-2</v>
      </c>
      <c r="G4159">
        <v>469.99</v>
      </c>
      <c r="H4159" s="22">
        <f>VLOOKUP(A4159,[1]Orders!$A$2:$B$1616,2,0)</f>
        <v>43167</v>
      </c>
      <c r="J4159" t="s">
        <v>251</v>
      </c>
      <c r="K4159" t="s">
        <v>18</v>
      </c>
    </row>
    <row r="4160" spans="1:11" x14ac:dyDescent="0.3">
      <c r="A4160">
        <v>1428</v>
      </c>
      <c r="B4160">
        <v>3</v>
      </c>
      <c r="C4160">
        <v>187</v>
      </c>
      <c r="D4160">
        <v>2</v>
      </c>
      <c r="E4160" s="1">
        <v>2799.99</v>
      </c>
      <c r="F4160" s="1">
        <v>7.0000000000000007E-2</v>
      </c>
      <c r="G4160">
        <v>5599.98</v>
      </c>
      <c r="H4160" s="22">
        <f>VLOOKUP(A4160,[1]Orders!$A$2:$B$1616,2,0)</f>
        <v>43167</v>
      </c>
      <c r="J4160" t="s">
        <v>252</v>
      </c>
      <c r="K4160" t="s">
        <v>18</v>
      </c>
    </row>
    <row r="4161" spans="1:11" x14ac:dyDescent="0.3">
      <c r="A4161">
        <v>1428</v>
      </c>
      <c r="B4161">
        <v>4</v>
      </c>
      <c r="C4161">
        <v>28</v>
      </c>
      <c r="D4161">
        <v>1</v>
      </c>
      <c r="E4161" s="1">
        <v>2499.9899999999998</v>
      </c>
      <c r="F4161" s="1">
        <v>0.1</v>
      </c>
      <c r="G4161">
        <v>2499.9899999999998</v>
      </c>
      <c r="H4161" s="22">
        <f>VLOOKUP(A4161,[1]Orders!$A$2:$B$1616,2,0)</f>
        <v>43167</v>
      </c>
      <c r="J4161" t="s">
        <v>86</v>
      </c>
      <c r="K4161" t="s">
        <v>18</v>
      </c>
    </row>
    <row r="4162" spans="1:11" x14ac:dyDescent="0.3">
      <c r="A4162">
        <v>1428</v>
      </c>
      <c r="B4162">
        <v>5</v>
      </c>
      <c r="C4162">
        <v>194</v>
      </c>
      <c r="D4162">
        <v>2</v>
      </c>
      <c r="E4162" s="1">
        <v>3499.99</v>
      </c>
      <c r="F4162" s="1">
        <v>0.2</v>
      </c>
      <c r="G4162">
        <v>6999.98</v>
      </c>
      <c r="H4162" s="22">
        <f>VLOOKUP(A4162,[1]Orders!$A$2:$B$1616,2,0)</f>
        <v>43167</v>
      </c>
      <c r="J4162" t="s">
        <v>244</v>
      </c>
      <c r="K4162" t="s">
        <v>18</v>
      </c>
    </row>
    <row r="4163" spans="1:11" x14ac:dyDescent="0.3">
      <c r="A4163">
        <v>1429</v>
      </c>
      <c r="B4163">
        <v>1</v>
      </c>
      <c r="C4163">
        <v>70</v>
      </c>
      <c r="D4163">
        <v>2</v>
      </c>
      <c r="E4163" s="1">
        <v>659.99</v>
      </c>
      <c r="F4163" s="1">
        <v>0.2</v>
      </c>
      <c r="G4163">
        <v>1319.98</v>
      </c>
      <c r="H4163" s="22">
        <f>VLOOKUP(A4163,[1]Orders!$A$2:$B$1616,2,0)</f>
        <v>43167</v>
      </c>
      <c r="J4163" t="s">
        <v>73</v>
      </c>
      <c r="K4163" t="s">
        <v>18</v>
      </c>
    </row>
    <row r="4164" spans="1:11" x14ac:dyDescent="0.3">
      <c r="A4164">
        <v>1430</v>
      </c>
      <c r="B4164">
        <v>1</v>
      </c>
      <c r="C4164">
        <v>221</v>
      </c>
      <c r="D4164">
        <v>1</v>
      </c>
      <c r="E4164" s="1">
        <v>319.99</v>
      </c>
      <c r="F4164" s="1">
        <v>0.05</v>
      </c>
      <c r="G4164">
        <v>319.99</v>
      </c>
      <c r="H4164" s="22">
        <f>VLOOKUP(A4164,[1]Orders!$A$2:$B$1616,2,0)</f>
        <v>43169</v>
      </c>
      <c r="J4164" t="s">
        <v>253</v>
      </c>
      <c r="K4164" t="s">
        <v>18</v>
      </c>
    </row>
    <row r="4165" spans="1:11" x14ac:dyDescent="0.3">
      <c r="A4165">
        <v>1430</v>
      </c>
      <c r="B4165">
        <v>2</v>
      </c>
      <c r="C4165">
        <v>281</v>
      </c>
      <c r="D4165">
        <v>1</v>
      </c>
      <c r="E4165" s="1">
        <v>319.99</v>
      </c>
      <c r="F4165" s="1">
        <v>7.0000000000000007E-2</v>
      </c>
      <c r="G4165">
        <v>319.99</v>
      </c>
      <c r="H4165" s="22">
        <f>VLOOKUP(A4165,[1]Orders!$A$2:$B$1616,2,0)</f>
        <v>43169</v>
      </c>
      <c r="J4165" t="s">
        <v>218</v>
      </c>
      <c r="K4165" t="s">
        <v>18</v>
      </c>
    </row>
    <row r="4166" spans="1:11" x14ac:dyDescent="0.3">
      <c r="A4166">
        <v>1431</v>
      </c>
      <c r="B4166">
        <v>1</v>
      </c>
      <c r="C4166">
        <v>207</v>
      </c>
      <c r="D4166">
        <v>1</v>
      </c>
      <c r="E4166" s="1">
        <v>3999.99</v>
      </c>
      <c r="F4166" s="1">
        <v>0.1</v>
      </c>
      <c r="G4166">
        <v>3999.99</v>
      </c>
      <c r="H4166" s="22">
        <f>VLOOKUP(A4166,[1]Orders!$A$2:$B$1616,2,0)</f>
        <v>43170</v>
      </c>
      <c r="J4166" t="s">
        <v>151</v>
      </c>
      <c r="K4166" t="s">
        <v>18</v>
      </c>
    </row>
    <row r="4167" spans="1:11" x14ac:dyDescent="0.3">
      <c r="A4167">
        <v>1431</v>
      </c>
      <c r="B4167">
        <v>2</v>
      </c>
      <c r="C4167">
        <v>53</v>
      </c>
      <c r="D4167">
        <v>1</v>
      </c>
      <c r="E4167" s="1">
        <v>749.99</v>
      </c>
      <c r="F4167" s="1">
        <v>7.0000000000000007E-2</v>
      </c>
      <c r="G4167">
        <v>749.99</v>
      </c>
      <c r="H4167" s="22">
        <f>VLOOKUP(A4167,[1]Orders!$A$2:$B$1616,2,0)</f>
        <v>43170</v>
      </c>
      <c r="J4167" t="s">
        <v>42</v>
      </c>
      <c r="K4167" t="s">
        <v>18</v>
      </c>
    </row>
    <row r="4168" spans="1:11" x14ac:dyDescent="0.3">
      <c r="A4168">
        <v>1431</v>
      </c>
      <c r="B4168">
        <v>3</v>
      </c>
      <c r="C4168">
        <v>252</v>
      </c>
      <c r="D4168">
        <v>1</v>
      </c>
      <c r="E4168" s="1">
        <v>2999.99</v>
      </c>
      <c r="F4168" s="1">
        <v>0.2</v>
      </c>
      <c r="G4168">
        <v>2999.99</v>
      </c>
      <c r="H4168" s="22">
        <f>VLOOKUP(A4168,[1]Orders!$A$2:$B$1616,2,0)</f>
        <v>43170</v>
      </c>
      <c r="J4168" t="s">
        <v>182</v>
      </c>
      <c r="K4168" t="s">
        <v>18</v>
      </c>
    </row>
    <row r="4169" spans="1:11" x14ac:dyDescent="0.3">
      <c r="A4169">
        <v>1431</v>
      </c>
      <c r="B4169">
        <v>4</v>
      </c>
      <c r="C4169">
        <v>254</v>
      </c>
      <c r="D4169">
        <v>1</v>
      </c>
      <c r="E4169" s="1">
        <v>749.99</v>
      </c>
      <c r="F4169" s="1">
        <v>7.0000000000000007E-2</v>
      </c>
      <c r="G4169">
        <v>749.99</v>
      </c>
      <c r="H4169" s="22">
        <f>VLOOKUP(A4169,[1]Orders!$A$2:$B$1616,2,0)</f>
        <v>43170</v>
      </c>
      <c r="J4169" t="s">
        <v>172</v>
      </c>
      <c r="K4169" t="s">
        <v>18</v>
      </c>
    </row>
    <row r="4170" spans="1:11" x14ac:dyDescent="0.3">
      <c r="A4170">
        <v>1432</v>
      </c>
      <c r="B4170">
        <v>1</v>
      </c>
      <c r="C4170">
        <v>161</v>
      </c>
      <c r="D4170">
        <v>1</v>
      </c>
      <c r="E4170" s="1">
        <v>1899</v>
      </c>
      <c r="F4170" s="1">
        <v>0.2</v>
      </c>
      <c r="G4170">
        <v>1899</v>
      </c>
      <c r="H4170" s="22">
        <f>VLOOKUP(A4170,[1]Orders!$A$2:$B$1616,2,0)</f>
        <v>43170</v>
      </c>
      <c r="J4170" t="s">
        <v>254</v>
      </c>
      <c r="K4170" t="s">
        <v>18</v>
      </c>
    </row>
    <row r="4171" spans="1:11" x14ac:dyDescent="0.3">
      <c r="A4171">
        <v>1433</v>
      </c>
      <c r="B4171">
        <v>1</v>
      </c>
      <c r="C4171">
        <v>264</v>
      </c>
      <c r="D4171">
        <v>1</v>
      </c>
      <c r="E4171" s="1">
        <v>249.99</v>
      </c>
      <c r="F4171" s="1">
        <v>7.0000000000000007E-2</v>
      </c>
      <c r="G4171">
        <v>249.99</v>
      </c>
      <c r="H4171" s="22">
        <f>VLOOKUP(A4171,[1]Orders!$A$2:$B$1616,2,0)</f>
        <v>43170</v>
      </c>
      <c r="J4171" t="s">
        <v>242</v>
      </c>
      <c r="K4171" t="s">
        <v>18</v>
      </c>
    </row>
    <row r="4172" spans="1:11" x14ac:dyDescent="0.3">
      <c r="A4172">
        <v>1434</v>
      </c>
      <c r="B4172">
        <v>1</v>
      </c>
      <c r="C4172">
        <v>229</v>
      </c>
      <c r="D4172">
        <v>2</v>
      </c>
      <c r="E4172" s="1">
        <v>429.99</v>
      </c>
      <c r="F4172" s="1">
        <v>0.2</v>
      </c>
      <c r="G4172">
        <v>859.98</v>
      </c>
      <c r="H4172" s="22">
        <f>VLOOKUP(A4172,[1]Orders!$A$2:$B$1616,2,0)</f>
        <v>43173</v>
      </c>
      <c r="J4172" t="s">
        <v>209</v>
      </c>
      <c r="K4172" t="s">
        <v>18</v>
      </c>
    </row>
    <row r="4173" spans="1:11" x14ac:dyDescent="0.3">
      <c r="A4173">
        <v>1434</v>
      </c>
      <c r="B4173">
        <v>2</v>
      </c>
      <c r="C4173">
        <v>198</v>
      </c>
      <c r="D4173">
        <v>1</v>
      </c>
      <c r="E4173" s="1">
        <v>2999.99</v>
      </c>
      <c r="F4173" s="1">
        <v>0.1</v>
      </c>
      <c r="G4173">
        <v>2999.99</v>
      </c>
      <c r="H4173" s="22">
        <f>VLOOKUP(A4173,[1]Orders!$A$2:$B$1616,2,0)</f>
        <v>43173</v>
      </c>
      <c r="J4173" t="s">
        <v>216</v>
      </c>
      <c r="K4173" t="s">
        <v>18</v>
      </c>
    </row>
    <row r="4174" spans="1:11" x14ac:dyDescent="0.3">
      <c r="A4174">
        <v>1434</v>
      </c>
      <c r="B4174">
        <v>3</v>
      </c>
      <c r="C4174">
        <v>286</v>
      </c>
      <c r="D4174">
        <v>2</v>
      </c>
      <c r="E4174" s="1">
        <v>279.99</v>
      </c>
      <c r="F4174" s="1">
        <v>0.1</v>
      </c>
      <c r="G4174">
        <v>559.98</v>
      </c>
      <c r="H4174" s="22">
        <f>VLOOKUP(A4174,[1]Orders!$A$2:$B$1616,2,0)</f>
        <v>43173</v>
      </c>
      <c r="J4174" t="s">
        <v>255</v>
      </c>
      <c r="K4174" t="s">
        <v>18</v>
      </c>
    </row>
    <row r="4175" spans="1:11" x14ac:dyDescent="0.3">
      <c r="A4175">
        <v>1434</v>
      </c>
      <c r="B4175">
        <v>4</v>
      </c>
      <c r="C4175">
        <v>61</v>
      </c>
      <c r="D4175">
        <v>2</v>
      </c>
      <c r="E4175" s="1">
        <v>4999.99</v>
      </c>
      <c r="F4175" s="1">
        <v>7.0000000000000007E-2</v>
      </c>
      <c r="G4175">
        <v>9999.98</v>
      </c>
      <c r="H4175" s="22">
        <f>VLOOKUP(A4175,[1]Orders!$A$2:$B$1616,2,0)</f>
        <v>43173</v>
      </c>
      <c r="J4175" t="s">
        <v>45</v>
      </c>
      <c r="K4175" t="s">
        <v>18</v>
      </c>
    </row>
    <row r="4176" spans="1:11" x14ac:dyDescent="0.3">
      <c r="A4176">
        <v>1435</v>
      </c>
      <c r="B4176">
        <v>1</v>
      </c>
      <c r="C4176">
        <v>141</v>
      </c>
      <c r="D4176">
        <v>2</v>
      </c>
      <c r="E4176" s="1">
        <v>1599.99</v>
      </c>
      <c r="F4176" s="1">
        <v>7.0000000000000007E-2</v>
      </c>
      <c r="G4176">
        <v>3199.98</v>
      </c>
      <c r="H4176" s="22">
        <f>VLOOKUP(A4176,[1]Orders!$A$2:$B$1616,2,0)</f>
        <v>43173</v>
      </c>
      <c r="J4176" t="s">
        <v>256</v>
      </c>
      <c r="K4176" t="s">
        <v>18</v>
      </c>
    </row>
    <row r="4177" spans="1:11" x14ac:dyDescent="0.3">
      <c r="A4177">
        <v>1435</v>
      </c>
      <c r="B4177">
        <v>2</v>
      </c>
      <c r="C4177">
        <v>29</v>
      </c>
      <c r="D4177">
        <v>1</v>
      </c>
      <c r="E4177" s="1">
        <v>999.99</v>
      </c>
      <c r="F4177" s="1">
        <v>0.2</v>
      </c>
      <c r="G4177">
        <v>999.99</v>
      </c>
      <c r="H4177" s="22">
        <f>VLOOKUP(A4177,[1]Orders!$A$2:$B$1616,2,0)</f>
        <v>43173</v>
      </c>
      <c r="J4177" t="s">
        <v>71</v>
      </c>
      <c r="K4177" t="s">
        <v>18</v>
      </c>
    </row>
    <row r="4178" spans="1:11" x14ac:dyDescent="0.3">
      <c r="A4178">
        <v>1435</v>
      </c>
      <c r="B4178">
        <v>3</v>
      </c>
      <c r="C4178">
        <v>60</v>
      </c>
      <c r="D4178">
        <v>1</v>
      </c>
      <c r="E4178" s="1">
        <v>1559.99</v>
      </c>
      <c r="F4178" s="1">
        <v>0.1</v>
      </c>
      <c r="G4178">
        <v>1559.99</v>
      </c>
      <c r="H4178" s="22">
        <f>VLOOKUP(A4178,[1]Orders!$A$2:$B$1616,2,0)</f>
        <v>43173</v>
      </c>
      <c r="J4178" t="s">
        <v>101</v>
      </c>
      <c r="K4178" t="s">
        <v>18</v>
      </c>
    </row>
    <row r="4179" spans="1:11" x14ac:dyDescent="0.3">
      <c r="A4179">
        <v>1435</v>
      </c>
      <c r="B4179">
        <v>4</v>
      </c>
      <c r="C4179">
        <v>260</v>
      </c>
      <c r="D4179">
        <v>1</v>
      </c>
      <c r="E4179" s="1">
        <v>799.99</v>
      </c>
      <c r="F4179" s="1">
        <v>7.0000000000000007E-2</v>
      </c>
      <c r="G4179">
        <v>799.99</v>
      </c>
      <c r="H4179" s="22">
        <f>VLOOKUP(A4179,[1]Orders!$A$2:$B$1616,2,0)</f>
        <v>43173</v>
      </c>
      <c r="J4179" t="s">
        <v>141</v>
      </c>
      <c r="K4179" t="s">
        <v>18</v>
      </c>
    </row>
    <row r="4180" spans="1:11" x14ac:dyDescent="0.3">
      <c r="A4180">
        <v>1436</v>
      </c>
      <c r="B4180">
        <v>1</v>
      </c>
      <c r="C4180">
        <v>244</v>
      </c>
      <c r="D4180">
        <v>2</v>
      </c>
      <c r="E4180" s="1">
        <v>559.99</v>
      </c>
      <c r="F4180" s="1">
        <v>7.0000000000000007E-2</v>
      </c>
      <c r="G4180">
        <v>1119.98</v>
      </c>
      <c r="H4180" s="22">
        <f>VLOOKUP(A4180,[1]Orders!$A$2:$B$1616,2,0)</f>
        <v>43173</v>
      </c>
      <c r="J4180" t="s">
        <v>160</v>
      </c>
      <c r="K4180" t="s">
        <v>18</v>
      </c>
    </row>
    <row r="4181" spans="1:11" x14ac:dyDescent="0.3">
      <c r="A4181">
        <v>1437</v>
      </c>
      <c r="B4181">
        <v>1</v>
      </c>
      <c r="C4181">
        <v>141</v>
      </c>
      <c r="D4181">
        <v>2</v>
      </c>
      <c r="E4181" s="1">
        <v>1599.99</v>
      </c>
      <c r="F4181" s="1">
        <v>0.05</v>
      </c>
      <c r="G4181">
        <v>3199.98</v>
      </c>
      <c r="H4181" s="22">
        <f>VLOOKUP(A4181,[1]Orders!$A$2:$B$1616,2,0)</f>
        <v>43174</v>
      </c>
      <c r="J4181" t="s">
        <v>256</v>
      </c>
      <c r="K4181" t="s">
        <v>11</v>
      </c>
    </row>
    <row r="4182" spans="1:11" x14ac:dyDescent="0.3">
      <c r="A4182">
        <v>1438</v>
      </c>
      <c r="B4182">
        <v>1</v>
      </c>
      <c r="C4182">
        <v>225</v>
      </c>
      <c r="D4182">
        <v>1</v>
      </c>
      <c r="E4182" s="1">
        <v>959.99</v>
      </c>
      <c r="F4182" s="1">
        <v>0.2</v>
      </c>
      <c r="G4182">
        <v>959.99</v>
      </c>
      <c r="H4182" s="22">
        <f>VLOOKUP(A4182,[1]Orders!$A$2:$B$1616,2,0)</f>
        <v>43174</v>
      </c>
      <c r="J4182" t="s">
        <v>212</v>
      </c>
      <c r="K4182" t="s">
        <v>18</v>
      </c>
    </row>
    <row r="4183" spans="1:11" x14ac:dyDescent="0.3">
      <c r="A4183">
        <v>1438</v>
      </c>
      <c r="B4183">
        <v>2</v>
      </c>
      <c r="C4183">
        <v>140</v>
      </c>
      <c r="D4183">
        <v>1</v>
      </c>
      <c r="E4183" s="1">
        <v>4999.99</v>
      </c>
      <c r="F4183" s="1">
        <v>0.2</v>
      </c>
      <c r="G4183">
        <v>4999.99</v>
      </c>
      <c r="H4183" s="22">
        <f>VLOOKUP(A4183,[1]Orders!$A$2:$B$1616,2,0)</f>
        <v>43174</v>
      </c>
      <c r="J4183" t="s">
        <v>249</v>
      </c>
      <c r="K4183" t="s">
        <v>18</v>
      </c>
    </row>
    <row r="4184" spans="1:11" x14ac:dyDescent="0.3">
      <c r="A4184">
        <v>1438</v>
      </c>
      <c r="B4184">
        <v>3</v>
      </c>
      <c r="C4184">
        <v>81</v>
      </c>
      <c r="D4184">
        <v>2</v>
      </c>
      <c r="E4184" s="1">
        <v>1099.99</v>
      </c>
      <c r="F4184" s="1">
        <v>0.05</v>
      </c>
      <c r="G4184">
        <v>2199.98</v>
      </c>
      <c r="H4184" s="22">
        <f>VLOOKUP(A4184,[1]Orders!$A$2:$B$1616,2,0)</f>
        <v>43174</v>
      </c>
      <c r="J4184" t="s">
        <v>99</v>
      </c>
      <c r="K4184" t="s">
        <v>18</v>
      </c>
    </row>
    <row r="4185" spans="1:11" x14ac:dyDescent="0.3">
      <c r="A4185">
        <v>1438</v>
      </c>
      <c r="B4185">
        <v>4</v>
      </c>
      <c r="C4185">
        <v>137</v>
      </c>
      <c r="D4185">
        <v>1</v>
      </c>
      <c r="E4185" s="1">
        <v>2599</v>
      </c>
      <c r="F4185" s="1">
        <v>0.1</v>
      </c>
      <c r="G4185">
        <v>2599</v>
      </c>
      <c r="H4185" s="22">
        <f>VLOOKUP(A4185,[1]Orders!$A$2:$B$1616,2,0)</f>
        <v>43174</v>
      </c>
      <c r="J4185" t="s">
        <v>236</v>
      </c>
      <c r="K4185" t="s">
        <v>18</v>
      </c>
    </row>
    <row r="4186" spans="1:11" x14ac:dyDescent="0.3">
      <c r="A4186">
        <v>1438</v>
      </c>
      <c r="B4186">
        <v>5</v>
      </c>
      <c r="C4186">
        <v>190</v>
      </c>
      <c r="D4186">
        <v>2</v>
      </c>
      <c r="E4186" s="1">
        <v>2799.99</v>
      </c>
      <c r="F4186" s="1">
        <v>7.0000000000000007E-2</v>
      </c>
      <c r="G4186">
        <v>5599.98</v>
      </c>
      <c r="H4186" s="22">
        <f>VLOOKUP(A4186,[1]Orders!$A$2:$B$1616,2,0)</f>
        <v>43174</v>
      </c>
      <c r="J4186" t="s">
        <v>124</v>
      </c>
      <c r="K4186" t="s">
        <v>18</v>
      </c>
    </row>
    <row r="4187" spans="1:11" x14ac:dyDescent="0.3">
      <c r="A4187">
        <v>1439</v>
      </c>
      <c r="B4187">
        <v>1</v>
      </c>
      <c r="C4187">
        <v>42</v>
      </c>
      <c r="D4187">
        <v>1</v>
      </c>
      <c r="E4187" s="1">
        <v>2299.9899999999998</v>
      </c>
      <c r="F4187" s="1">
        <v>7.0000000000000007E-2</v>
      </c>
      <c r="G4187">
        <v>2299.9899999999998</v>
      </c>
      <c r="H4187" s="22">
        <f>VLOOKUP(A4187,[1]Orders!$A$2:$B$1616,2,0)</f>
        <v>43174</v>
      </c>
      <c r="J4187" t="s">
        <v>53</v>
      </c>
      <c r="K4187" t="s">
        <v>18</v>
      </c>
    </row>
    <row r="4188" spans="1:11" x14ac:dyDescent="0.3">
      <c r="A4188">
        <v>1439</v>
      </c>
      <c r="B4188">
        <v>2</v>
      </c>
      <c r="C4188">
        <v>263</v>
      </c>
      <c r="D4188">
        <v>1</v>
      </c>
      <c r="E4188" s="1">
        <v>89.99</v>
      </c>
      <c r="F4188" s="1">
        <v>0.2</v>
      </c>
      <c r="G4188">
        <v>89.99</v>
      </c>
      <c r="H4188" s="22">
        <f>VLOOKUP(A4188,[1]Orders!$A$2:$B$1616,2,0)</f>
        <v>43174</v>
      </c>
      <c r="J4188" t="s">
        <v>168</v>
      </c>
      <c r="K4188" t="s">
        <v>18</v>
      </c>
    </row>
    <row r="4189" spans="1:11" x14ac:dyDescent="0.3">
      <c r="A4189">
        <v>1439</v>
      </c>
      <c r="B4189">
        <v>3</v>
      </c>
      <c r="C4189">
        <v>102</v>
      </c>
      <c r="D4189">
        <v>2</v>
      </c>
      <c r="E4189" s="1">
        <v>489.99</v>
      </c>
      <c r="F4189" s="1">
        <v>0.05</v>
      </c>
      <c r="G4189">
        <v>979.98</v>
      </c>
      <c r="H4189" s="22">
        <f>VLOOKUP(A4189,[1]Orders!$A$2:$B$1616,2,0)</f>
        <v>43174</v>
      </c>
      <c r="J4189" t="s">
        <v>51</v>
      </c>
      <c r="K4189" t="s">
        <v>18</v>
      </c>
    </row>
    <row r="4190" spans="1:11" x14ac:dyDescent="0.3">
      <c r="A4190">
        <v>1439</v>
      </c>
      <c r="B4190">
        <v>4</v>
      </c>
      <c r="C4190">
        <v>149</v>
      </c>
      <c r="D4190">
        <v>1</v>
      </c>
      <c r="E4190" s="1">
        <v>7499.99</v>
      </c>
      <c r="F4190" s="1">
        <v>0.05</v>
      </c>
      <c r="G4190">
        <v>7499.99</v>
      </c>
      <c r="H4190" s="22">
        <f>VLOOKUP(A4190,[1]Orders!$A$2:$B$1616,2,0)</f>
        <v>43174</v>
      </c>
      <c r="J4190" t="s">
        <v>180</v>
      </c>
      <c r="K4190" t="s">
        <v>18</v>
      </c>
    </row>
    <row r="4191" spans="1:11" x14ac:dyDescent="0.3">
      <c r="A4191">
        <v>1440</v>
      </c>
      <c r="B4191">
        <v>1</v>
      </c>
      <c r="C4191">
        <v>116</v>
      </c>
      <c r="D4191">
        <v>2</v>
      </c>
      <c r="E4191" s="1">
        <v>749.99</v>
      </c>
      <c r="F4191" s="1">
        <v>7.0000000000000007E-2</v>
      </c>
      <c r="G4191">
        <v>1499.98</v>
      </c>
      <c r="H4191" s="22">
        <f>VLOOKUP(A4191,[1]Orders!$A$2:$B$1616,2,0)</f>
        <v>43174</v>
      </c>
      <c r="J4191" t="s">
        <v>257</v>
      </c>
      <c r="K4191" t="s">
        <v>37</v>
      </c>
    </row>
    <row r="4192" spans="1:11" x14ac:dyDescent="0.3">
      <c r="A4192">
        <v>1440</v>
      </c>
      <c r="B4192">
        <v>2</v>
      </c>
      <c r="C4192">
        <v>109</v>
      </c>
      <c r="D4192">
        <v>1</v>
      </c>
      <c r="E4192" s="1">
        <v>416.99</v>
      </c>
      <c r="F4192" s="1">
        <v>7.0000000000000007E-2</v>
      </c>
      <c r="G4192">
        <v>416.99</v>
      </c>
      <c r="H4192" s="22">
        <f>VLOOKUP(A4192,[1]Orders!$A$2:$B$1616,2,0)</f>
        <v>43174</v>
      </c>
      <c r="J4192" t="s">
        <v>49</v>
      </c>
      <c r="K4192" t="s">
        <v>37</v>
      </c>
    </row>
    <row r="4193" spans="1:11" x14ac:dyDescent="0.3">
      <c r="A4193">
        <v>1440</v>
      </c>
      <c r="B4193">
        <v>3</v>
      </c>
      <c r="C4193">
        <v>186</v>
      </c>
      <c r="D4193">
        <v>1</v>
      </c>
      <c r="E4193" s="1">
        <v>4499.99</v>
      </c>
      <c r="F4193" s="1">
        <v>0.1</v>
      </c>
      <c r="G4193">
        <v>4499.99</v>
      </c>
      <c r="H4193" s="22">
        <f>VLOOKUP(A4193,[1]Orders!$A$2:$B$1616,2,0)</f>
        <v>43174</v>
      </c>
      <c r="J4193" t="s">
        <v>199</v>
      </c>
      <c r="K4193" t="s">
        <v>37</v>
      </c>
    </row>
    <row r="4194" spans="1:11" x14ac:dyDescent="0.3">
      <c r="A4194">
        <v>1440</v>
      </c>
      <c r="B4194">
        <v>4</v>
      </c>
      <c r="C4194">
        <v>178</v>
      </c>
      <c r="D4194">
        <v>2</v>
      </c>
      <c r="E4194" s="1">
        <v>749.99</v>
      </c>
      <c r="F4194" s="1">
        <v>0.05</v>
      </c>
      <c r="G4194">
        <v>1499.98</v>
      </c>
      <c r="H4194" s="22">
        <f>VLOOKUP(A4194,[1]Orders!$A$2:$B$1616,2,0)</f>
        <v>43174</v>
      </c>
      <c r="J4194" t="s">
        <v>258</v>
      </c>
      <c r="K4194" t="s">
        <v>37</v>
      </c>
    </row>
    <row r="4195" spans="1:11" x14ac:dyDescent="0.3">
      <c r="A4195">
        <v>1440</v>
      </c>
      <c r="B4195">
        <v>5</v>
      </c>
      <c r="C4195">
        <v>67</v>
      </c>
      <c r="D4195">
        <v>2</v>
      </c>
      <c r="E4195" s="1">
        <v>250.99</v>
      </c>
      <c r="F4195" s="1">
        <v>0.2</v>
      </c>
      <c r="G4195">
        <v>501.98</v>
      </c>
      <c r="H4195" s="22">
        <f>VLOOKUP(A4195,[1]Orders!$A$2:$B$1616,2,0)</f>
        <v>43174</v>
      </c>
      <c r="J4195" t="s">
        <v>60</v>
      </c>
      <c r="K4195" t="s">
        <v>37</v>
      </c>
    </row>
    <row r="4196" spans="1:11" x14ac:dyDescent="0.3">
      <c r="A4196">
        <v>1441</v>
      </c>
      <c r="B4196">
        <v>1</v>
      </c>
      <c r="C4196">
        <v>6</v>
      </c>
      <c r="D4196">
        <v>1</v>
      </c>
      <c r="E4196" s="1">
        <v>469.99</v>
      </c>
      <c r="F4196" s="1">
        <v>0.05</v>
      </c>
      <c r="G4196">
        <v>469.99</v>
      </c>
      <c r="H4196" s="22">
        <f>VLOOKUP(A4196,[1]Orders!$A$2:$B$1616,2,0)</f>
        <v>43174</v>
      </c>
      <c r="J4196" t="s">
        <v>32</v>
      </c>
      <c r="K4196" t="s">
        <v>37</v>
      </c>
    </row>
    <row r="4197" spans="1:11" x14ac:dyDescent="0.3">
      <c r="A4197">
        <v>1441</v>
      </c>
      <c r="B4197">
        <v>2</v>
      </c>
      <c r="C4197">
        <v>242</v>
      </c>
      <c r="D4197">
        <v>2</v>
      </c>
      <c r="E4197" s="1">
        <v>699.99</v>
      </c>
      <c r="F4197" s="1">
        <v>0.2</v>
      </c>
      <c r="G4197">
        <v>1399.98</v>
      </c>
      <c r="H4197" s="22">
        <f>VLOOKUP(A4197,[1]Orders!$A$2:$B$1616,2,0)</f>
        <v>43174</v>
      </c>
      <c r="J4197" t="s">
        <v>245</v>
      </c>
      <c r="K4197" t="s">
        <v>37</v>
      </c>
    </row>
    <row r="4198" spans="1:11" x14ac:dyDescent="0.3">
      <c r="A4198">
        <v>1441</v>
      </c>
      <c r="B4198">
        <v>3</v>
      </c>
      <c r="C4198">
        <v>46</v>
      </c>
      <c r="D4198">
        <v>1</v>
      </c>
      <c r="E4198" s="1">
        <v>1409.99</v>
      </c>
      <c r="F4198" s="1">
        <v>7.0000000000000007E-2</v>
      </c>
      <c r="G4198">
        <v>1409.99</v>
      </c>
      <c r="H4198" s="22">
        <f>VLOOKUP(A4198,[1]Orders!$A$2:$B$1616,2,0)</f>
        <v>43174</v>
      </c>
      <c r="J4198" t="s">
        <v>118</v>
      </c>
      <c r="K4198" t="s">
        <v>37</v>
      </c>
    </row>
    <row r="4199" spans="1:11" x14ac:dyDescent="0.3">
      <c r="A4199">
        <v>1442</v>
      </c>
      <c r="B4199">
        <v>1</v>
      </c>
      <c r="C4199">
        <v>160</v>
      </c>
      <c r="D4199">
        <v>1</v>
      </c>
      <c r="E4199" s="1">
        <v>4499.99</v>
      </c>
      <c r="F4199" s="1">
        <v>0.1</v>
      </c>
      <c r="G4199">
        <v>4499.99</v>
      </c>
      <c r="H4199" s="22">
        <f>VLOOKUP(A4199,[1]Orders!$A$2:$B$1616,2,0)</f>
        <v>43175</v>
      </c>
      <c r="J4199" t="s">
        <v>148</v>
      </c>
      <c r="K4199" t="s">
        <v>18</v>
      </c>
    </row>
    <row r="4200" spans="1:11" x14ac:dyDescent="0.3">
      <c r="A4200">
        <v>1442</v>
      </c>
      <c r="B4200">
        <v>2</v>
      </c>
      <c r="C4200">
        <v>220</v>
      </c>
      <c r="D4200">
        <v>1</v>
      </c>
      <c r="E4200" s="1">
        <v>269.99</v>
      </c>
      <c r="F4200" s="1">
        <v>7.0000000000000007E-2</v>
      </c>
      <c r="G4200">
        <v>269.99</v>
      </c>
      <c r="H4200" s="22">
        <f>VLOOKUP(A4200,[1]Orders!$A$2:$B$1616,2,0)</f>
        <v>43175</v>
      </c>
      <c r="J4200" t="s">
        <v>231</v>
      </c>
      <c r="K4200" t="s">
        <v>18</v>
      </c>
    </row>
    <row r="4201" spans="1:11" x14ac:dyDescent="0.3">
      <c r="A4201">
        <v>1442</v>
      </c>
      <c r="B4201">
        <v>3</v>
      </c>
      <c r="C4201">
        <v>271</v>
      </c>
      <c r="D4201">
        <v>2</v>
      </c>
      <c r="E4201" s="1">
        <v>209.99</v>
      </c>
      <c r="F4201" s="1">
        <v>0.05</v>
      </c>
      <c r="G4201">
        <v>419.98</v>
      </c>
      <c r="H4201" s="22">
        <f>VLOOKUP(A4201,[1]Orders!$A$2:$B$1616,2,0)</f>
        <v>43175</v>
      </c>
      <c r="J4201" t="s">
        <v>259</v>
      </c>
      <c r="K4201" t="s">
        <v>18</v>
      </c>
    </row>
    <row r="4202" spans="1:11" x14ac:dyDescent="0.3">
      <c r="A4202">
        <v>1443</v>
      </c>
      <c r="B4202">
        <v>1</v>
      </c>
      <c r="C4202">
        <v>160</v>
      </c>
      <c r="D4202">
        <v>1</v>
      </c>
      <c r="E4202" s="1">
        <v>4499.99</v>
      </c>
      <c r="F4202" s="1">
        <v>7.0000000000000007E-2</v>
      </c>
      <c r="G4202">
        <v>4499.99</v>
      </c>
      <c r="H4202" s="22">
        <f>VLOOKUP(A4202,[1]Orders!$A$2:$B$1616,2,0)</f>
        <v>43175</v>
      </c>
      <c r="J4202" t="s">
        <v>148</v>
      </c>
      <c r="K4202" t="s">
        <v>18</v>
      </c>
    </row>
    <row r="4203" spans="1:11" x14ac:dyDescent="0.3">
      <c r="A4203">
        <v>1443</v>
      </c>
      <c r="B4203">
        <v>2</v>
      </c>
      <c r="C4203">
        <v>57</v>
      </c>
      <c r="D4203">
        <v>1</v>
      </c>
      <c r="E4203" s="1">
        <v>1999.99</v>
      </c>
      <c r="F4203" s="1">
        <v>0.2</v>
      </c>
      <c r="G4203">
        <v>1999.99</v>
      </c>
      <c r="H4203" s="22">
        <f>VLOOKUP(A4203,[1]Orders!$A$2:$B$1616,2,0)</f>
        <v>43175</v>
      </c>
      <c r="J4203" t="s">
        <v>103</v>
      </c>
      <c r="K4203" t="s">
        <v>18</v>
      </c>
    </row>
    <row r="4204" spans="1:11" x14ac:dyDescent="0.3">
      <c r="A4204">
        <v>1443</v>
      </c>
      <c r="B4204">
        <v>3</v>
      </c>
      <c r="C4204">
        <v>101</v>
      </c>
      <c r="D4204">
        <v>2</v>
      </c>
      <c r="E4204" s="1">
        <v>339.99</v>
      </c>
      <c r="F4204" s="1">
        <v>0.1</v>
      </c>
      <c r="G4204">
        <v>679.98</v>
      </c>
      <c r="H4204" s="22">
        <f>VLOOKUP(A4204,[1]Orders!$A$2:$B$1616,2,0)</f>
        <v>43175</v>
      </c>
      <c r="J4204" t="s">
        <v>80</v>
      </c>
      <c r="K4204" t="s">
        <v>18</v>
      </c>
    </row>
    <row r="4205" spans="1:11" x14ac:dyDescent="0.3">
      <c r="A4205">
        <v>1444</v>
      </c>
      <c r="B4205">
        <v>1</v>
      </c>
      <c r="C4205">
        <v>90</v>
      </c>
      <c r="D4205">
        <v>1</v>
      </c>
      <c r="E4205" s="1">
        <v>209.99</v>
      </c>
      <c r="F4205" s="1">
        <v>0.1</v>
      </c>
      <c r="G4205">
        <v>209.99</v>
      </c>
      <c r="H4205" s="22">
        <f>VLOOKUP(A4205,[1]Orders!$A$2:$B$1616,2,0)</f>
        <v>43175</v>
      </c>
      <c r="J4205" t="s">
        <v>56</v>
      </c>
      <c r="K4205" t="s">
        <v>18</v>
      </c>
    </row>
    <row r="4206" spans="1:11" x14ac:dyDescent="0.3">
      <c r="A4206">
        <v>1444</v>
      </c>
      <c r="B4206">
        <v>2</v>
      </c>
      <c r="C4206">
        <v>128</v>
      </c>
      <c r="D4206">
        <v>2</v>
      </c>
      <c r="E4206" s="1">
        <v>1899</v>
      </c>
      <c r="F4206" s="1">
        <v>0.2</v>
      </c>
      <c r="G4206">
        <v>3798</v>
      </c>
      <c r="H4206" s="22">
        <f>VLOOKUP(A4206,[1]Orders!$A$2:$B$1616,2,0)</f>
        <v>43175</v>
      </c>
      <c r="J4206" t="s">
        <v>193</v>
      </c>
      <c r="K4206" t="s">
        <v>18</v>
      </c>
    </row>
    <row r="4207" spans="1:11" x14ac:dyDescent="0.3">
      <c r="A4207">
        <v>1445</v>
      </c>
      <c r="B4207">
        <v>1</v>
      </c>
      <c r="C4207">
        <v>219</v>
      </c>
      <c r="D4207">
        <v>2</v>
      </c>
      <c r="E4207" s="1">
        <v>639.99</v>
      </c>
      <c r="F4207" s="1">
        <v>0.1</v>
      </c>
      <c r="G4207">
        <v>1279.98</v>
      </c>
      <c r="H4207" s="22">
        <f>VLOOKUP(A4207,[1]Orders!$A$2:$B$1616,2,0)</f>
        <v>43176</v>
      </c>
      <c r="J4207" t="s">
        <v>246</v>
      </c>
      <c r="K4207" t="s">
        <v>18</v>
      </c>
    </row>
    <row r="4208" spans="1:11" x14ac:dyDescent="0.3">
      <c r="A4208">
        <v>1445</v>
      </c>
      <c r="B4208">
        <v>2</v>
      </c>
      <c r="C4208">
        <v>52</v>
      </c>
      <c r="D4208">
        <v>1</v>
      </c>
      <c r="E4208" s="1">
        <v>875.99</v>
      </c>
      <c r="F4208" s="1">
        <v>7.0000000000000007E-2</v>
      </c>
      <c r="G4208">
        <v>875.99</v>
      </c>
      <c r="H4208" s="22">
        <f>VLOOKUP(A4208,[1]Orders!$A$2:$B$1616,2,0)</f>
        <v>43176</v>
      </c>
      <c r="J4208" t="s">
        <v>68</v>
      </c>
      <c r="K4208" t="s">
        <v>18</v>
      </c>
    </row>
    <row r="4209" spans="1:11" x14ac:dyDescent="0.3">
      <c r="A4209">
        <v>1445</v>
      </c>
      <c r="B4209">
        <v>3</v>
      </c>
      <c r="C4209">
        <v>123</v>
      </c>
      <c r="D4209">
        <v>2</v>
      </c>
      <c r="E4209" s="1">
        <v>999.99</v>
      </c>
      <c r="F4209" s="1">
        <v>0.1</v>
      </c>
      <c r="G4209">
        <v>1999.98</v>
      </c>
      <c r="H4209" s="22">
        <f>VLOOKUP(A4209,[1]Orders!$A$2:$B$1616,2,0)</f>
        <v>43176</v>
      </c>
      <c r="J4209" t="s">
        <v>260</v>
      </c>
      <c r="K4209" t="s">
        <v>18</v>
      </c>
    </row>
    <row r="4210" spans="1:11" x14ac:dyDescent="0.3">
      <c r="A4210">
        <v>1446</v>
      </c>
      <c r="B4210">
        <v>1</v>
      </c>
      <c r="C4210">
        <v>227</v>
      </c>
      <c r="D4210">
        <v>1</v>
      </c>
      <c r="E4210" s="1">
        <v>319.99</v>
      </c>
      <c r="F4210" s="1">
        <v>0.05</v>
      </c>
      <c r="G4210">
        <v>319.99</v>
      </c>
      <c r="H4210" s="22">
        <f>VLOOKUP(A4210,[1]Orders!$A$2:$B$1616,2,0)</f>
        <v>43176</v>
      </c>
      <c r="J4210" t="s">
        <v>218</v>
      </c>
      <c r="K4210" t="s">
        <v>18</v>
      </c>
    </row>
    <row r="4211" spans="1:11" x14ac:dyDescent="0.3">
      <c r="A4211">
        <v>1446</v>
      </c>
      <c r="B4211">
        <v>2</v>
      </c>
      <c r="C4211">
        <v>233</v>
      </c>
      <c r="D4211">
        <v>2</v>
      </c>
      <c r="E4211" s="1">
        <v>639.99</v>
      </c>
      <c r="F4211" s="1">
        <v>0.05</v>
      </c>
      <c r="G4211">
        <v>1279.98</v>
      </c>
      <c r="H4211" s="22">
        <f>VLOOKUP(A4211,[1]Orders!$A$2:$B$1616,2,0)</f>
        <v>43176</v>
      </c>
      <c r="J4211" t="s">
        <v>178</v>
      </c>
      <c r="K4211" t="s">
        <v>18</v>
      </c>
    </row>
    <row r="4212" spans="1:11" x14ac:dyDescent="0.3">
      <c r="A4212">
        <v>1446</v>
      </c>
      <c r="B4212">
        <v>3</v>
      </c>
      <c r="C4212">
        <v>234</v>
      </c>
      <c r="D4212">
        <v>2</v>
      </c>
      <c r="E4212" s="1">
        <v>899.99</v>
      </c>
      <c r="F4212" s="1">
        <v>0.05</v>
      </c>
      <c r="G4212">
        <v>1799.98</v>
      </c>
      <c r="H4212" s="22">
        <f>VLOOKUP(A4212,[1]Orders!$A$2:$B$1616,2,0)</f>
        <v>43176</v>
      </c>
      <c r="J4212" t="s">
        <v>158</v>
      </c>
      <c r="K4212" t="s">
        <v>18</v>
      </c>
    </row>
    <row r="4213" spans="1:11" x14ac:dyDescent="0.3">
      <c r="A4213">
        <v>1447</v>
      </c>
      <c r="B4213">
        <v>1</v>
      </c>
      <c r="C4213">
        <v>148</v>
      </c>
      <c r="D4213">
        <v>1</v>
      </c>
      <c r="E4213" s="1">
        <v>5499.99</v>
      </c>
      <c r="F4213" s="1">
        <v>0.2</v>
      </c>
      <c r="G4213">
        <v>5499.99</v>
      </c>
      <c r="H4213" s="22">
        <f>VLOOKUP(A4213,[1]Orders!$A$2:$B$1616,2,0)</f>
        <v>43177</v>
      </c>
      <c r="J4213" t="s">
        <v>169</v>
      </c>
      <c r="K4213" t="s">
        <v>11</v>
      </c>
    </row>
    <row r="4214" spans="1:11" x14ac:dyDescent="0.3">
      <c r="A4214">
        <v>1448</v>
      </c>
      <c r="B4214">
        <v>1</v>
      </c>
      <c r="C4214">
        <v>239</v>
      </c>
      <c r="D4214">
        <v>1</v>
      </c>
      <c r="E4214" s="1">
        <v>749.99</v>
      </c>
      <c r="F4214" s="1">
        <v>0.1</v>
      </c>
      <c r="G4214">
        <v>749.99</v>
      </c>
      <c r="H4214" s="22">
        <f>VLOOKUP(A4214,[1]Orders!$A$2:$B$1616,2,0)</f>
        <v>43177</v>
      </c>
      <c r="J4214" t="s">
        <v>241</v>
      </c>
      <c r="K4214" t="s">
        <v>18</v>
      </c>
    </row>
    <row r="4215" spans="1:11" x14ac:dyDescent="0.3">
      <c r="A4215">
        <v>1449</v>
      </c>
      <c r="B4215">
        <v>1</v>
      </c>
      <c r="C4215">
        <v>159</v>
      </c>
      <c r="D4215">
        <v>1</v>
      </c>
      <c r="E4215" s="1">
        <v>2299.9899999999998</v>
      </c>
      <c r="F4215" s="1">
        <v>7.0000000000000007E-2</v>
      </c>
      <c r="G4215">
        <v>2299.9899999999998</v>
      </c>
      <c r="H4215" s="22">
        <f>VLOOKUP(A4215,[1]Orders!$A$2:$B$1616,2,0)</f>
        <v>43177</v>
      </c>
      <c r="J4215" t="s">
        <v>174</v>
      </c>
      <c r="K4215" t="s">
        <v>18</v>
      </c>
    </row>
    <row r="4216" spans="1:11" x14ac:dyDescent="0.3">
      <c r="A4216">
        <v>1449</v>
      </c>
      <c r="B4216">
        <v>2</v>
      </c>
      <c r="C4216">
        <v>55</v>
      </c>
      <c r="D4216">
        <v>1</v>
      </c>
      <c r="E4216" s="1">
        <v>2699.99</v>
      </c>
      <c r="F4216" s="1">
        <v>0.2</v>
      </c>
      <c r="G4216">
        <v>2699.99</v>
      </c>
      <c r="H4216" s="22">
        <f>VLOOKUP(A4216,[1]Orders!$A$2:$B$1616,2,0)</f>
        <v>43177</v>
      </c>
      <c r="J4216" t="s">
        <v>76</v>
      </c>
      <c r="K4216" t="s">
        <v>18</v>
      </c>
    </row>
    <row r="4217" spans="1:11" x14ac:dyDescent="0.3">
      <c r="A4217">
        <v>1449</v>
      </c>
      <c r="B4217">
        <v>3</v>
      </c>
      <c r="C4217">
        <v>260</v>
      </c>
      <c r="D4217">
        <v>2</v>
      </c>
      <c r="E4217" s="1">
        <v>799.99</v>
      </c>
      <c r="F4217" s="1">
        <v>7.0000000000000007E-2</v>
      </c>
      <c r="G4217">
        <v>1599.98</v>
      </c>
      <c r="H4217" s="22">
        <f>VLOOKUP(A4217,[1]Orders!$A$2:$B$1616,2,0)</f>
        <v>43177</v>
      </c>
      <c r="J4217" t="s">
        <v>141</v>
      </c>
      <c r="K4217" t="s">
        <v>18</v>
      </c>
    </row>
    <row r="4218" spans="1:11" x14ac:dyDescent="0.3">
      <c r="A4218">
        <v>1449</v>
      </c>
      <c r="B4218">
        <v>4</v>
      </c>
      <c r="C4218">
        <v>252</v>
      </c>
      <c r="D4218">
        <v>2</v>
      </c>
      <c r="E4218" s="1">
        <v>2999.99</v>
      </c>
      <c r="F4218" s="1">
        <v>0.05</v>
      </c>
      <c r="G4218">
        <v>5999.98</v>
      </c>
      <c r="H4218" s="22">
        <f>VLOOKUP(A4218,[1]Orders!$A$2:$B$1616,2,0)</f>
        <v>43177</v>
      </c>
      <c r="J4218" t="s">
        <v>182</v>
      </c>
      <c r="K4218" t="s">
        <v>18</v>
      </c>
    </row>
    <row r="4219" spans="1:11" x14ac:dyDescent="0.3">
      <c r="A4219">
        <v>1449</v>
      </c>
      <c r="B4219">
        <v>5</v>
      </c>
      <c r="C4219">
        <v>14</v>
      </c>
      <c r="D4219">
        <v>2</v>
      </c>
      <c r="E4219" s="1">
        <v>269.99</v>
      </c>
      <c r="F4219" s="1">
        <v>0.1</v>
      </c>
      <c r="G4219">
        <v>539.98</v>
      </c>
      <c r="H4219" s="22">
        <f>VLOOKUP(A4219,[1]Orders!$A$2:$B$1616,2,0)</f>
        <v>43177</v>
      </c>
      <c r="J4219" t="s">
        <v>28</v>
      </c>
      <c r="K4219" t="s">
        <v>18</v>
      </c>
    </row>
    <row r="4220" spans="1:11" x14ac:dyDescent="0.3">
      <c r="A4220">
        <v>1450</v>
      </c>
      <c r="B4220">
        <v>1</v>
      </c>
      <c r="C4220">
        <v>98</v>
      </c>
      <c r="D4220">
        <v>1</v>
      </c>
      <c r="E4220" s="1">
        <v>489.99</v>
      </c>
      <c r="F4220" s="1">
        <v>7.0000000000000007E-2</v>
      </c>
      <c r="G4220">
        <v>489.99</v>
      </c>
      <c r="H4220" s="22">
        <f>VLOOKUP(A4220,[1]Orders!$A$2:$B$1616,2,0)</f>
        <v>43178</v>
      </c>
      <c r="J4220" t="s">
        <v>82</v>
      </c>
      <c r="K4220" t="s">
        <v>18</v>
      </c>
    </row>
    <row r="4221" spans="1:11" x14ac:dyDescent="0.3">
      <c r="A4221">
        <v>1450</v>
      </c>
      <c r="B4221">
        <v>2</v>
      </c>
      <c r="C4221">
        <v>173</v>
      </c>
      <c r="D4221">
        <v>2</v>
      </c>
      <c r="E4221" s="1">
        <v>3199.99</v>
      </c>
      <c r="F4221" s="1">
        <v>0.1</v>
      </c>
      <c r="G4221">
        <v>6399.98</v>
      </c>
      <c r="H4221" s="22">
        <f>VLOOKUP(A4221,[1]Orders!$A$2:$B$1616,2,0)</f>
        <v>43178</v>
      </c>
      <c r="J4221" t="s">
        <v>261</v>
      </c>
      <c r="K4221" t="s">
        <v>18</v>
      </c>
    </row>
    <row r="4222" spans="1:11" x14ac:dyDescent="0.3">
      <c r="A4222">
        <v>1450</v>
      </c>
      <c r="B4222">
        <v>3</v>
      </c>
      <c r="C4222">
        <v>299</v>
      </c>
      <c r="D4222">
        <v>1</v>
      </c>
      <c r="E4222" s="1">
        <v>559.99</v>
      </c>
      <c r="F4222" s="1">
        <v>0.2</v>
      </c>
      <c r="G4222">
        <v>559.99</v>
      </c>
      <c r="H4222" s="22">
        <f>VLOOKUP(A4222,[1]Orders!$A$2:$B$1616,2,0)</f>
        <v>43178</v>
      </c>
      <c r="J4222" t="s">
        <v>262</v>
      </c>
      <c r="K4222" t="s">
        <v>18</v>
      </c>
    </row>
    <row r="4223" spans="1:11" x14ac:dyDescent="0.3">
      <c r="A4223">
        <v>1450</v>
      </c>
      <c r="B4223">
        <v>4</v>
      </c>
      <c r="C4223">
        <v>209</v>
      </c>
      <c r="D4223">
        <v>2</v>
      </c>
      <c r="E4223" s="1">
        <v>2999.99</v>
      </c>
      <c r="F4223" s="1">
        <v>0.1</v>
      </c>
      <c r="G4223">
        <v>5999.98</v>
      </c>
      <c r="H4223" s="22">
        <f>VLOOKUP(A4223,[1]Orders!$A$2:$B$1616,2,0)</f>
        <v>43178</v>
      </c>
      <c r="J4223" t="s">
        <v>123</v>
      </c>
      <c r="K4223" t="s">
        <v>18</v>
      </c>
    </row>
    <row r="4224" spans="1:11" x14ac:dyDescent="0.3">
      <c r="A4224">
        <v>1450</v>
      </c>
      <c r="B4224">
        <v>5</v>
      </c>
      <c r="C4224">
        <v>235</v>
      </c>
      <c r="D4224">
        <v>2</v>
      </c>
      <c r="E4224" s="1">
        <v>899.99</v>
      </c>
      <c r="F4224" s="1">
        <v>0.05</v>
      </c>
      <c r="G4224">
        <v>1799.98</v>
      </c>
      <c r="H4224" s="22">
        <f>VLOOKUP(A4224,[1]Orders!$A$2:$B$1616,2,0)</f>
        <v>43178</v>
      </c>
      <c r="J4224" t="s">
        <v>120</v>
      </c>
      <c r="K4224" t="s">
        <v>18</v>
      </c>
    </row>
    <row r="4225" spans="1:11" x14ac:dyDescent="0.3">
      <c r="A4225">
        <v>1451</v>
      </c>
      <c r="B4225">
        <v>1</v>
      </c>
      <c r="C4225">
        <v>117</v>
      </c>
      <c r="D4225">
        <v>1</v>
      </c>
      <c r="E4225" s="1">
        <v>1469.99</v>
      </c>
      <c r="F4225" s="1">
        <v>0.05</v>
      </c>
      <c r="G4225">
        <v>1469.99</v>
      </c>
      <c r="H4225" s="22">
        <f>VLOOKUP(A4225,[1]Orders!$A$2:$B$1616,2,0)</f>
        <v>43178</v>
      </c>
      <c r="J4225" t="s">
        <v>263</v>
      </c>
      <c r="K4225" t="s">
        <v>18</v>
      </c>
    </row>
    <row r="4226" spans="1:11" x14ac:dyDescent="0.3">
      <c r="A4226">
        <v>1452</v>
      </c>
      <c r="B4226">
        <v>1</v>
      </c>
      <c r="C4226">
        <v>99</v>
      </c>
      <c r="D4226">
        <v>2</v>
      </c>
      <c r="E4226" s="1">
        <v>299.99</v>
      </c>
      <c r="F4226" s="1">
        <v>0.1</v>
      </c>
      <c r="G4226">
        <v>599.98</v>
      </c>
      <c r="H4226" s="22">
        <f>VLOOKUP(A4226,[1]Orders!$A$2:$B$1616,2,0)</f>
        <v>43179</v>
      </c>
      <c r="J4226" t="s">
        <v>52</v>
      </c>
      <c r="K4226" t="s">
        <v>11</v>
      </c>
    </row>
    <row r="4227" spans="1:11" x14ac:dyDescent="0.3">
      <c r="A4227">
        <v>1452</v>
      </c>
      <c r="B4227">
        <v>2</v>
      </c>
      <c r="C4227">
        <v>234</v>
      </c>
      <c r="D4227">
        <v>1</v>
      </c>
      <c r="E4227" s="1">
        <v>899.99</v>
      </c>
      <c r="F4227" s="1">
        <v>0.2</v>
      </c>
      <c r="G4227">
        <v>899.99</v>
      </c>
      <c r="H4227" s="22">
        <f>VLOOKUP(A4227,[1]Orders!$A$2:$B$1616,2,0)</f>
        <v>43179</v>
      </c>
      <c r="J4227" t="s">
        <v>158</v>
      </c>
      <c r="K4227" t="s">
        <v>11</v>
      </c>
    </row>
    <row r="4228" spans="1:11" x14ac:dyDescent="0.3">
      <c r="A4228">
        <v>1452</v>
      </c>
      <c r="B4228">
        <v>3</v>
      </c>
      <c r="C4228">
        <v>86</v>
      </c>
      <c r="D4228">
        <v>2</v>
      </c>
      <c r="E4228" s="1">
        <v>149.99</v>
      </c>
      <c r="F4228" s="1">
        <v>0.05</v>
      </c>
      <c r="G4228">
        <v>299.98</v>
      </c>
      <c r="H4228" s="22">
        <f>VLOOKUP(A4228,[1]Orders!$A$2:$B$1616,2,0)</f>
        <v>43179</v>
      </c>
      <c r="J4228" t="s">
        <v>115</v>
      </c>
      <c r="K4228" t="s">
        <v>11</v>
      </c>
    </row>
    <row r="4229" spans="1:11" x14ac:dyDescent="0.3">
      <c r="A4229">
        <v>1452</v>
      </c>
      <c r="B4229">
        <v>4</v>
      </c>
      <c r="C4229">
        <v>109</v>
      </c>
      <c r="D4229">
        <v>2</v>
      </c>
      <c r="E4229" s="1">
        <v>416.99</v>
      </c>
      <c r="F4229" s="1">
        <v>7.0000000000000007E-2</v>
      </c>
      <c r="G4229">
        <v>833.98</v>
      </c>
      <c r="H4229" s="22">
        <f>VLOOKUP(A4229,[1]Orders!$A$2:$B$1616,2,0)</f>
        <v>43179</v>
      </c>
      <c r="J4229" t="s">
        <v>49</v>
      </c>
      <c r="K4229" t="s">
        <v>11</v>
      </c>
    </row>
    <row r="4230" spans="1:11" x14ac:dyDescent="0.3">
      <c r="A4230">
        <v>1453</v>
      </c>
      <c r="B4230">
        <v>1</v>
      </c>
      <c r="C4230">
        <v>89</v>
      </c>
      <c r="D4230">
        <v>2</v>
      </c>
      <c r="E4230" s="1">
        <v>209.99</v>
      </c>
      <c r="F4230" s="1">
        <v>0.1</v>
      </c>
      <c r="G4230">
        <v>419.98</v>
      </c>
      <c r="H4230" s="22">
        <f>VLOOKUP(A4230,[1]Orders!$A$2:$B$1616,2,0)</f>
        <v>43179</v>
      </c>
      <c r="J4230" t="s">
        <v>94</v>
      </c>
      <c r="K4230" t="s">
        <v>11</v>
      </c>
    </row>
    <row r="4231" spans="1:11" x14ac:dyDescent="0.3">
      <c r="A4231">
        <v>1454</v>
      </c>
      <c r="B4231">
        <v>1</v>
      </c>
      <c r="C4231">
        <v>283</v>
      </c>
      <c r="D4231">
        <v>1</v>
      </c>
      <c r="E4231" s="1">
        <v>319.99</v>
      </c>
      <c r="F4231" s="1">
        <v>7.0000000000000007E-2</v>
      </c>
      <c r="G4231">
        <v>319.99</v>
      </c>
      <c r="H4231" s="22">
        <f>VLOOKUP(A4231,[1]Orders!$A$2:$B$1616,2,0)</f>
        <v>43179</v>
      </c>
      <c r="J4231" t="s">
        <v>133</v>
      </c>
      <c r="K4231" t="s">
        <v>18</v>
      </c>
    </row>
    <row r="4232" spans="1:11" x14ac:dyDescent="0.3">
      <c r="A4232">
        <v>1454</v>
      </c>
      <c r="B4232">
        <v>2</v>
      </c>
      <c r="C4232">
        <v>35</v>
      </c>
      <c r="D4232">
        <v>2</v>
      </c>
      <c r="E4232" s="1">
        <v>832.99</v>
      </c>
      <c r="F4232" s="1">
        <v>0.1</v>
      </c>
      <c r="G4232">
        <v>1665.98</v>
      </c>
      <c r="H4232" s="22">
        <f>VLOOKUP(A4232,[1]Orders!$A$2:$B$1616,2,0)</f>
        <v>43179</v>
      </c>
      <c r="J4232" t="s">
        <v>109</v>
      </c>
      <c r="K4232" t="s">
        <v>18</v>
      </c>
    </row>
    <row r="4233" spans="1:11" x14ac:dyDescent="0.3">
      <c r="A4233">
        <v>1454</v>
      </c>
      <c r="B4233">
        <v>3</v>
      </c>
      <c r="C4233">
        <v>124</v>
      </c>
      <c r="D4233">
        <v>1</v>
      </c>
      <c r="E4233" s="1">
        <v>1499</v>
      </c>
      <c r="F4233" s="1">
        <v>0.2</v>
      </c>
      <c r="G4233">
        <v>1499</v>
      </c>
      <c r="H4233" s="22">
        <f>VLOOKUP(A4233,[1]Orders!$A$2:$B$1616,2,0)</f>
        <v>43179</v>
      </c>
      <c r="J4233" t="s">
        <v>197</v>
      </c>
      <c r="K4233" t="s">
        <v>18</v>
      </c>
    </row>
    <row r="4234" spans="1:11" x14ac:dyDescent="0.3">
      <c r="A4234">
        <v>1454</v>
      </c>
      <c r="B4234">
        <v>4</v>
      </c>
      <c r="C4234">
        <v>38</v>
      </c>
      <c r="D4234">
        <v>2</v>
      </c>
      <c r="E4234" s="1">
        <v>549.99</v>
      </c>
      <c r="F4234" s="1">
        <v>0.05</v>
      </c>
      <c r="G4234">
        <v>1099.98</v>
      </c>
      <c r="H4234" s="22">
        <f>VLOOKUP(A4234,[1]Orders!$A$2:$B$1616,2,0)</f>
        <v>43179</v>
      </c>
      <c r="J4234" t="s">
        <v>93</v>
      </c>
      <c r="K4234" t="s">
        <v>18</v>
      </c>
    </row>
    <row r="4235" spans="1:11" x14ac:dyDescent="0.3">
      <c r="A4235">
        <v>1455</v>
      </c>
      <c r="B4235">
        <v>1</v>
      </c>
      <c r="C4235">
        <v>101</v>
      </c>
      <c r="D4235">
        <v>2</v>
      </c>
      <c r="E4235" s="1">
        <v>339.99</v>
      </c>
      <c r="F4235" s="1">
        <v>0.05</v>
      </c>
      <c r="G4235">
        <v>679.98</v>
      </c>
      <c r="H4235" s="22">
        <f>VLOOKUP(A4235,[1]Orders!$A$2:$B$1616,2,0)</f>
        <v>43179</v>
      </c>
      <c r="J4235" t="s">
        <v>80</v>
      </c>
      <c r="K4235" t="s">
        <v>18</v>
      </c>
    </row>
    <row r="4236" spans="1:11" x14ac:dyDescent="0.3">
      <c r="A4236">
        <v>1455</v>
      </c>
      <c r="B4236">
        <v>2</v>
      </c>
      <c r="C4236">
        <v>254</v>
      </c>
      <c r="D4236">
        <v>1</v>
      </c>
      <c r="E4236" s="1">
        <v>749.99</v>
      </c>
      <c r="F4236" s="1">
        <v>0.2</v>
      </c>
      <c r="G4236">
        <v>749.99</v>
      </c>
      <c r="H4236" s="22">
        <f>VLOOKUP(A4236,[1]Orders!$A$2:$B$1616,2,0)</f>
        <v>43179</v>
      </c>
      <c r="J4236" t="s">
        <v>172</v>
      </c>
      <c r="K4236" t="s">
        <v>18</v>
      </c>
    </row>
    <row r="4237" spans="1:11" x14ac:dyDescent="0.3">
      <c r="A4237">
        <v>1456</v>
      </c>
      <c r="B4237">
        <v>1</v>
      </c>
      <c r="C4237">
        <v>193</v>
      </c>
      <c r="D4237">
        <v>2</v>
      </c>
      <c r="E4237" s="1">
        <v>2799.99</v>
      </c>
      <c r="F4237" s="1">
        <v>0.05</v>
      </c>
      <c r="G4237">
        <v>5599.98</v>
      </c>
      <c r="H4237" s="22">
        <f>VLOOKUP(A4237,[1]Orders!$A$2:$B$1616,2,0)</f>
        <v>43179</v>
      </c>
      <c r="J4237" t="s">
        <v>232</v>
      </c>
      <c r="K4237" t="s">
        <v>18</v>
      </c>
    </row>
    <row r="4238" spans="1:11" x14ac:dyDescent="0.3">
      <c r="A4238">
        <v>1456</v>
      </c>
      <c r="B4238">
        <v>2</v>
      </c>
      <c r="C4238">
        <v>246</v>
      </c>
      <c r="D4238">
        <v>1</v>
      </c>
      <c r="E4238" s="1">
        <v>639.99</v>
      </c>
      <c r="F4238" s="1">
        <v>7.0000000000000007E-2</v>
      </c>
      <c r="G4238">
        <v>639.99</v>
      </c>
      <c r="H4238" s="22">
        <f>VLOOKUP(A4238,[1]Orders!$A$2:$B$1616,2,0)</f>
        <v>43179</v>
      </c>
      <c r="J4238" t="s">
        <v>264</v>
      </c>
      <c r="K4238" t="s">
        <v>18</v>
      </c>
    </row>
    <row r="4239" spans="1:11" x14ac:dyDescent="0.3">
      <c r="A4239">
        <v>1456</v>
      </c>
      <c r="B4239">
        <v>3</v>
      </c>
      <c r="C4239">
        <v>268</v>
      </c>
      <c r="D4239">
        <v>2</v>
      </c>
      <c r="E4239" s="1">
        <v>159.99</v>
      </c>
      <c r="F4239" s="1">
        <v>0.1</v>
      </c>
      <c r="G4239">
        <v>319.98</v>
      </c>
      <c r="H4239" s="22">
        <f>VLOOKUP(A4239,[1]Orders!$A$2:$B$1616,2,0)</f>
        <v>43179</v>
      </c>
      <c r="J4239" t="s">
        <v>222</v>
      </c>
      <c r="K4239" t="s">
        <v>18</v>
      </c>
    </row>
    <row r="4240" spans="1:11" x14ac:dyDescent="0.3">
      <c r="A4240">
        <v>1456</v>
      </c>
      <c r="B4240">
        <v>4</v>
      </c>
      <c r="C4240">
        <v>272</v>
      </c>
      <c r="D4240">
        <v>1</v>
      </c>
      <c r="E4240" s="1">
        <v>289.99</v>
      </c>
      <c r="F4240" s="1">
        <v>0.1</v>
      </c>
      <c r="G4240">
        <v>289.99</v>
      </c>
      <c r="H4240" s="22">
        <f>VLOOKUP(A4240,[1]Orders!$A$2:$B$1616,2,0)</f>
        <v>43179</v>
      </c>
      <c r="J4240" t="s">
        <v>265</v>
      </c>
      <c r="K4240" t="s">
        <v>18</v>
      </c>
    </row>
    <row r="4241" spans="1:11" x14ac:dyDescent="0.3">
      <c r="A4241">
        <v>1456</v>
      </c>
      <c r="B4241">
        <v>5</v>
      </c>
      <c r="C4241">
        <v>126</v>
      </c>
      <c r="D4241">
        <v>1</v>
      </c>
      <c r="E4241" s="1">
        <v>469.99</v>
      </c>
      <c r="F4241" s="1">
        <v>0.1</v>
      </c>
      <c r="G4241">
        <v>469.99</v>
      </c>
      <c r="H4241" s="22">
        <f>VLOOKUP(A4241,[1]Orders!$A$2:$B$1616,2,0)</f>
        <v>43179</v>
      </c>
      <c r="J4241" t="s">
        <v>251</v>
      </c>
      <c r="K4241" t="s">
        <v>18</v>
      </c>
    </row>
    <row r="4242" spans="1:11" x14ac:dyDescent="0.3">
      <c r="A4242">
        <v>1457</v>
      </c>
      <c r="B4242">
        <v>1</v>
      </c>
      <c r="C4242">
        <v>113</v>
      </c>
      <c r="D4242">
        <v>1</v>
      </c>
      <c r="E4242" s="1">
        <v>489.99</v>
      </c>
      <c r="F4242" s="1">
        <v>7.0000000000000007E-2</v>
      </c>
      <c r="G4242">
        <v>489.99</v>
      </c>
      <c r="H4242" s="22">
        <f>VLOOKUP(A4242,[1]Orders!$A$2:$B$1616,2,0)</f>
        <v>43179</v>
      </c>
      <c r="J4242" t="s">
        <v>198</v>
      </c>
      <c r="K4242" t="s">
        <v>18</v>
      </c>
    </row>
    <row r="4243" spans="1:11" x14ac:dyDescent="0.3">
      <c r="A4243">
        <v>1457</v>
      </c>
      <c r="B4243">
        <v>2</v>
      </c>
      <c r="C4243">
        <v>111</v>
      </c>
      <c r="D4243">
        <v>1</v>
      </c>
      <c r="E4243" s="1">
        <v>470.99</v>
      </c>
      <c r="F4243" s="1">
        <v>0.2</v>
      </c>
      <c r="G4243">
        <v>470.99</v>
      </c>
      <c r="H4243" s="22">
        <f>VLOOKUP(A4243,[1]Orders!$A$2:$B$1616,2,0)</f>
        <v>43179</v>
      </c>
      <c r="J4243" t="s">
        <v>112</v>
      </c>
      <c r="K4243" t="s">
        <v>18</v>
      </c>
    </row>
    <row r="4244" spans="1:11" x14ac:dyDescent="0.3">
      <c r="A4244">
        <v>1457</v>
      </c>
      <c r="B4244">
        <v>3</v>
      </c>
      <c r="C4244">
        <v>268</v>
      </c>
      <c r="D4244">
        <v>1</v>
      </c>
      <c r="E4244" s="1">
        <v>159.99</v>
      </c>
      <c r="F4244" s="1">
        <v>0.2</v>
      </c>
      <c r="G4244">
        <v>159.99</v>
      </c>
      <c r="H4244" s="22">
        <f>VLOOKUP(A4244,[1]Orders!$A$2:$B$1616,2,0)</f>
        <v>43179</v>
      </c>
      <c r="J4244" t="s">
        <v>222</v>
      </c>
      <c r="K4244" t="s">
        <v>18</v>
      </c>
    </row>
    <row r="4245" spans="1:11" x14ac:dyDescent="0.3">
      <c r="A4245">
        <v>1457</v>
      </c>
      <c r="B4245">
        <v>4</v>
      </c>
      <c r="C4245">
        <v>152</v>
      </c>
      <c r="D4245">
        <v>2</v>
      </c>
      <c r="E4245" s="1">
        <v>2499.9899999999998</v>
      </c>
      <c r="F4245" s="1">
        <v>0.2</v>
      </c>
      <c r="G4245">
        <v>4999.9799999999996</v>
      </c>
      <c r="H4245" s="22">
        <f>VLOOKUP(A4245,[1]Orders!$A$2:$B$1616,2,0)</f>
        <v>43179</v>
      </c>
      <c r="J4245" t="s">
        <v>189</v>
      </c>
      <c r="K4245" t="s">
        <v>18</v>
      </c>
    </row>
    <row r="4246" spans="1:11" x14ac:dyDescent="0.3">
      <c r="A4246">
        <v>1458</v>
      </c>
      <c r="B4246">
        <v>1</v>
      </c>
      <c r="C4246">
        <v>295</v>
      </c>
      <c r="D4246">
        <v>2</v>
      </c>
      <c r="E4246" s="1">
        <v>319.99</v>
      </c>
      <c r="F4246" s="1">
        <v>0.05</v>
      </c>
      <c r="G4246">
        <v>639.98</v>
      </c>
      <c r="H4246" s="22">
        <f>VLOOKUP(A4246,[1]Orders!$A$2:$B$1616,2,0)</f>
        <v>43179</v>
      </c>
      <c r="J4246" t="s">
        <v>219</v>
      </c>
      <c r="K4246" t="s">
        <v>37</v>
      </c>
    </row>
    <row r="4247" spans="1:11" x14ac:dyDescent="0.3">
      <c r="A4247">
        <v>1458</v>
      </c>
      <c r="B4247">
        <v>2</v>
      </c>
      <c r="C4247">
        <v>105</v>
      </c>
      <c r="D4247">
        <v>1</v>
      </c>
      <c r="E4247" s="1">
        <v>533.99</v>
      </c>
      <c r="F4247" s="1">
        <v>0.05</v>
      </c>
      <c r="G4247">
        <v>533.99</v>
      </c>
      <c r="H4247" s="22">
        <f>VLOOKUP(A4247,[1]Orders!$A$2:$B$1616,2,0)</f>
        <v>43179</v>
      </c>
      <c r="J4247" t="s">
        <v>96</v>
      </c>
      <c r="K4247" t="s">
        <v>37</v>
      </c>
    </row>
    <row r="4248" spans="1:11" x14ac:dyDescent="0.3">
      <c r="A4248">
        <v>1458</v>
      </c>
      <c r="B4248">
        <v>3</v>
      </c>
      <c r="C4248">
        <v>12</v>
      </c>
      <c r="D4248">
        <v>1</v>
      </c>
      <c r="E4248" s="1">
        <v>549.99</v>
      </c>
      <c r="F4248" s="1">
        <v>0.05</v>
      </c>
      <c r="G4248">
        <v>549.99</v>
      </c>
      <c r="H4248" s="22">
        <f>VLOOKUP(A4248,[1]Orders!$A$2:$B$1616,2,0)</f>
        <v>43179</v>
      </c>
      <c r="J4248" t="s">
        <v>25</v>
      </c>
      <c r="K4248" t="s">
        <v>37</v>
      </c>
    </row>
    <row r="4249" spans="1:11" x14ac:dyDescent="0.3">
      <c r="A4249">
        <v>1458</v>
      </c>
      <c r="B4249">
        <v>4</v>
      </c>
      <c r="C4249">
        <v>78</v>
      </c>
      <c r="D4249">
        <v>2</v>
      </c>
      <c r="E4249" s="1">
        <v>647.99</v>
      </c>
      <c r="F4249" s="1">
        <v>0.1</v>
      </c>
      <c r="G4249">
        <v>1295.98</v>
      </c>
      <c r="H4249" s="22">
        <f>VLOOKUP(A4249,[1]Orders!$A$2:$B$1616,2,0)</f>
        <v>43179</v>
      </c>
      <c r="J4249" t="s">
        <v>57</v>
      </c>
      <c r="K4249" t="s">
        <v>37</v>
      </c>
    </row>
    <row r="4250" spans="1:11" x14ac:dyDescent="0.3">
      <c r="A4250">
        <v>1459</v>
      </c>
      <c r="B4250">
        <v>1</v>
      </c>
      <c r="C4250">
        <v>258</v>
      </c>
      <c r="D4250">
        <v>1</v>
      </c>
      <c r="E4250" s="1">
        <v>1259.9000000000001</v>
      </c>
      <c r="F4250" s="1">
        <v>0.1</v>
      </c>
      <c r="G4250">
        <v>1259.9000000000001</v>
      </c>
      <c r="H4250" s="22">
        <f>VLOOKUP(A4250,[1]Orders!$A$2:$B$1616,2,0)</f>
        <v>43180</v>
      </c>
      <c r="J4250" t="s">
        <v>266</v>
      </c>
      <c r="K4250" t="s">
        <v>18</v>
      </c>
    </row>
    <row r="4251" spans="1:11" x14ac:dyDescent="0.3">
      <c r="A4251">
        <v>1460</v>
      </c>
      <c r="B4251">
        <v>1</v>
      </c>
      <c r="C4251">
        <v>201</v>
      </c>
      <c r="D4251">
        <v>1</v>
      </c>
      <c r="E4251" s="1">
        <v>4499.99</v>
      </c>
      <c r="F4251" s="1">
        <v>0.05</v>
      </c>
      <c r="G4251">
        <v>4499.99</v>
      </c>
      <c r="H4251" s="22">
        <f>VLOOKUP(A4251,[1]Orders!$A$2:$B$1616,2,0)</f>
        <v>43180</v>
      </c>
      <c r="J4251" t="s">
        <v>267</v>
      </c>
      <c r="K4251" t="s">
        <v>18</v>
      </c>
    </row>
    <row r="4252" spans="1:11" x14ac:dyDescent="0.3">
      <c r="A4252">
        <v>1460</v>
      </c>
      <c r="B4252">
        <v>2</v>
      </c>
      <c r="C4252">
        <v>76</v>
      </c>
      <c r="D4252">
        <v>1</v>
      </c>
      <c r="E4252" s="1">
        <v>299.99</v>
      </c>
      <c r="F4252" s="1">
        <v>7.0000000000000007E-2</v>
      </c>
      <c r="G4252">
        <v>299.99</v>
      </c>
      <c r="H4252" s="22">
        <f>VLOOKUP(A4252,[1]Orders!$A$2:$B$1616,2,0)</f>
        <v>43180</v>
      </c>
      <c r="J4252" t="s">
        <v>48</v>
      </c>
      <c r="K4252" t="s">
        <v>18</v>
      </c>
    </row>
    <row r="4253" spans="1:11" x14ac:dyDescent="0.3">
      <c r="A4253">
        <v>1460</v>
      </c>
      <c r="B4253">
        <v>3</v>
      </c>
      <c r="C4253">
        <v>167</v>
      </c>
      <c r="D4253">
        <v>1</v>
      </c>
      <c r="E4253" s="1">
        <v>749.99</v>
      </c>
      <c r="F4253" s="1">
        <v>0.05</v>
      </c>
      <c r="G4253">
        <v>749.99</v>
      </c>
      <c r="H4253" s="22">
        <f>VLOOKUP(A4253,[1]Orders!$A$2:$B$1616,2,0)</f>
        <v>43180</v>
      </c>
      <c r="J4253" t="s">
        <v>268</v>
      </c>
      <c r="K4253" t="s">
        <v>18</v>
      </c>
    </row>
    <row r="4254" spans="1:11" x14ac:dyDescent="0.3">
      <c r="A4254">
        <v>1460</v>
      </c>
      <c r="B4254">
        <v>4</v>
      </c>
      <c r="C4254">
        <v>7</v>
      </c>
      <c r="D4254">
        <v>2</v>
      </c>
      <c r="E4254" s="1">
        <v>3999.99</v>
      </c>
      <c r="F4254" s="1">
        <v>7.0000000000000007E-2</v>
      </c>
      <c r="G4254">
        <v>7999.98</v>
      </c>
      <c r="H4254" s="22">
        <f>VLOOKUP(A4254,[1]Orders!$A$2:$B$1616,2,0)</f>
        <v>43180</v>
      </c>
      <c r="J4254" t="s">
        <v>29</v>
      </c>
      <c r="K4254" t="s">
        <v>18</v>
      </c>
    </row>
    <row r="4255" spans="1:11" x14ac:dyDescent="0.3">
      <c r="A4255">
        <v>1460</v>
      </c>
      <c r="B4255">
        <v>5</v>
      </c>
      <c r="C4255">
        <v>123</v>
      </c>
      <c r="D4255">
        <v>2</v>
      </c>
      <c r="E4255" s="1">
        <v>999.99</v>
      </c>
      <c r="F4255" s="1">
        <v>7.0000000000000007E-2</v>
      </c>
      <c r="G4255">
        <v>1999.98</v>
      </c>
      <c r="H4255" s="22">
        <f>VLOOKUP(A4255,[1]Orders!$A$2:$B$1616,2,0)</f>
        <v>43180</v>
      </c>
      <c r="J4255" t="s">
        <v>260</v>
      </c>
      <c r="K4255" t="s">
        <v>18</v>
      </c>
    </row>
    <row r="4256" spans="1:11" x14ac:dyDescent="0.3">
      <c r="A4256">
        <v>1461</v>
      </c>
      <c r="B4256">
        <v>1</v>
      </c>
      <c r="C4256">
        <v>48</v>
      </c>
      <c r="D4256">
        <v>1</v>
      </c>
      <c r="E4256" s="1">
        <v>1499.99</v>
      </c>
      <c r="F4256" s="1">
        <v>0.2</v>
      </c>
      <c r="G4256">
        <v>1499.99</v>
      </c>
      <c r="H4256" s="22">
        <f>VLOOKUP(A4256,[1]Orders!$A$2:$B$1616,2,0)</f>
        <v>43181</v>
      </c>
      <c r="J4256" t="s">
        <v>84</v>
      </c>
      <c r="K4256" t="s">
        <v>18</v>
      </c>
    </row>
    <row r="4257" spans="1:11" x14ac:dyDescent="0.3">
      <c r="A4257">
        <v>1461</v>
      </c>
      <c r="B4257">
        <v>2</v>
      </c>
      <c r="C4257">
        <v>242</v>
      </c>
      <c r="D4257">
        <v>2</v>
      </c>
      <c r="E4257" s="1">
        <v>699.99</v>
      </c>
      <c r="F4257" s="1">
        <v>0.2</v>
      </c>
      <c r="G4257">
        <v>1399.98</v>
      </c>
      <c r="H4257" s="22">
        <f>VLOOKUP(A4257,[1]Orders!$A$2:$B$1616,2,0)</f>
        <v>43181</v>
      </c>
      <c r="J4257" t="s">
        <v>245</v>
      </c>
      <c r="K4257" t="s">
        <v>18</v>
      </c>
    </row>
    <row r="4258" spans="1:11" x14ac:dyDescent="0.3">
      <c r="A4258">
        <v>1462</v>
      </c>
      <c r="B4258">
        <v>1</v>
      </c>
      <c r="C4258">
        <v>263</v>
      </c>
      <c r="D4258">
        <v>1</v>
      </c>
      <c r="E4258" s="1">
        <v>89.99</v>
      </c>
      <c r="F4258" s="1">
        <v>0.2</v>
      </c>
      <c r="G4258">
        <v>89.99</v>
      </c>
      <c r="H4258" s="22">
        <f>VLOOKUP(A4258,[1]Orders!$A$2:$B$1616,2,0)</f>
        <v>43181</v>
      </c>
      <c r="J4258" t="s">
        <v>168</v>
      </c>
      <c r="K4258" t="s">
        <v>18</v>
      </c>
    </row>
    <row r="4259" spans="1:11" x14ac:dyDescent="0.3">
      <c r="A4259">
        <v>1462</v>
      </c>
      <c r="B4259">
        <v>2</v>
      </c>
      <c r="C4259">
        <v>25</v>
      </c>
      <c r="D4259">
        <v>1</v>
      </c>
      <c r="E4259" s="1">
        <v>499.99</v>
      </c>
      <c r="F4259" s="1">
        <v>7.0000000000000007E-2</v>
      </c>
      <c r="G4259">
        <v>499.99</v>
      </c>
      <c r="H4259" s="22">
        <f>VLOOKUP(A4259,[1]Orders!$A$2:$B$1616,2,0)</f>
        <v>43181</v>
      </c>
      <c r="J4259" t="s">
        <v>35</v>
      </c>
      <c r="K4259" t="s">
        <v>18</v>
      </c>
    </row>
    <row r="4260" spans="1:11" x14ac:dyDescent="0.3">
      <c r="A4260">
        <v>1462</v>
      </c>
      <c r="B4260">
        <v>3</v>
      </c>
      <c r="C4260">
        <v>223</v>
      </c>
      <c r="D4260">
        <v>1</v>
      </c>
      <c r="E4260" s="1">
        <v>529.99</v>
      </c>
      <c r="F4260" s="1">
        <v>0.1</v>
      </c>
      <c r="G4260">
        <v>529.99</v>
      </c>
      <c r="H4260" s="22">
        <f>VLOOKUP(A4260,[1]Orders!$A$2:$B$1616,2,0)</f>
        <v>43181</v>
      </c>
      <c r="J4260" t="s">
        <v>202</v>
      </c>
      <c r="K4260" t="s">
        <v>18</v>
      </c>
    </row>
    <row r="4261" spans="1:11" x14ac:dyDescent="0.3">
      <c r="A4261">
        <v>1462</v>
      </c>
      <c r="B4261">
        <v>4</v>
      </c>
      <c r="C4261">
        <v>294</v>
      </c>
      <c r="D4261">
        <v>1</v>
      </c>
      <c r="E4261" s="1">
        <v>369.99</v>
      </c>
      <c r="F4261" s="1">
        <v>0.1</v>
      </c>
      <c r="G4261">
        <v>369.99</v>
      </c>
      <c r="H4261" s="22">
        <f>VLOOKUP(A4261,[1]Orders!$A$2:$B$1616,2,0)</f>
        <v>43181</v>
      </c>
      <c r="J4261" t="s">
        <v>269</v>
      </c>
      <c r="K4261" t="s">
        <v>18</v>
      </c>
    </row>
    <row r="4262" spans="1:11" x14ac:dyDescent="0.3">
      <c r="A4262">
        <v>1462</v>
      </c>
      <c r="B4262">
        <v>5</v>
      </c>
      <c r="C4262">
        <v>251</v>
      </c>
      <c r="D4262">
        <v>1</v>
      </c>
      <c r="E4262" s="1">
        <v>2999.99</v>
      </c>
      <c r="F4262" s="1">
        <v>0.05</v>
      </c>
      <c r="G4262">
        <v>2999.99</v>
      </c>
      <c r="H4262" s="22">
        <f>VLOOKUP(A4262,[1]Orders!$A$2:$B$1616,2,0)</f>
        <v>43181</v>
      </c>
      <c r="J4262" t="s">
        <v>216</v>
      </c>
      <c r="K4262" t="s">
        <v>18</v>
      </c>
    </row>
    <row r="4263" spans="1:11" x14ac:dyDescent="0.3">
      <c r="A4263">
        <v>1463</v>
      </c>
      <c r="B4263">
        <v>1</v>
      </c>
      <c r="C4263">
        <v>51</v>
      </c>
      <c r="D4263">
        <v>2</v>
      </c>
      <c r="E4263" s="1">
        <v>6499.99</v>
      </c>
      <c r="F4263" s="1">
        <v>0.05</v>
      </c>
      <c r="G4263">
        <v>12999.98</v>
      </c>
      <c r="H4263" s="22">
        <f>VLOOKUP(A4263,[1]Orders!$A$2:$B$1616,2,0)</f>
        <v>43182</v>
      </c>
      <c r="J4263" t="s">
        <v>90</v>
      </c>
      <c r="K4263" t="s">
        <v>18</v>
      </c>
    </row>
    <row r="4264" spans="1:11" x14ac:dyDescent="0.3">
      <c r="A4264">
        <v>1463</v>
      </c>
      <c r="B4264">
        <v>2</v>
      </c>
      <c r="C4264">
        <v>168</v>
      </c>
      <c r="D4264">
        <v>1</v>
      </c>
      <c r="E4264" s="1">
        <v>1549</v>
      </c>
      <c r="F4264" s="1">
        <v>0.05</v>
      </c>
      <c r="G4264">
        <v>1549</v>
      </c>
      <c r="H4264" s="22">
        <f>VLOOKUP(A4264,[1]Orders!$A$2:$B$1616,2,0)</f>
        <v>43182</v>
      </c>
      <c r="J4264" t="s">
        <v>171</v>
      </c>
      <c r="K4264" t="s">
        <v>18</v>
      </c>
    </row>
    <row r="4265" spans="1:11" x14ac:dyDescent="0.3">
      <c r="A4265">
        <v>1464</v>
      </c>
      <c r="B4265">
        <v>1</v>
      </c>
      <c r="C4265">
        <v>109</v>
      </c>
      <c r="D4265">
        <v>2</v>
      </c>
      <c r="E4265" s="1">
        <v>416.99</v>
      </c>
      <c r="F4265" s="1">
        <v>0.05</v>
      </c>
      <c r="G4265">
        <v>833.98</v>
      </c>
      <c r="H4265" s="22">
        <f>VLOOKUP(A4265,[1]Orders!$A$2:$B$1616,2,0)</f>
        <v>43183</v>
      </c>
      <c r="J4265" t="s">
        <v>49</v>
      </c>
      <c r="K4265" t="s">
        <v>18</v>
      </c>
    </row>
    <row r="4266" spans="1:11" x14ac:dyDescent="0.3">
      <c r="A4266">
        <v>1464</v>
      </c>
      <c r="B4266">
        <v>2</v>
      </c>
      <c r="C4266">
        <v>124</v>
      </c>
      <c r="D4266">
        <v>1</v>
      </c>
      <c r="E4266" s="1">
        <v>1499</v>
      </c>
      <c r="F4266" s="1">
        <v>0.2</v>
      </c>
      <c r="G4266">
        <v>1499</v>
      </c>
      <c r="H4266" s="22">
        <f>VLOOKUP(A4266,[1]Orders!$A$2:$B$1616,2,0)</f>
        <v>43183</v>
      </c>
      <c r="J4266" t="s">
        <v>197</v>
      </c>
      <c r="K4266" t="s">
        <v>18</v>
      </c>
    </row>
    <row r="4267" spans="1:11" x14ac:dyDescent="0.3">
      <c r="A4267">
        <v>1464</v>
      </c>
      <c r="B4267">
        <v>3</v>
      </c>
      <c r="C4267">
        <v>165</v>
      </c>
      <c r="D4267">
        <v>2</v>
      </c>
      <c r="E4267" s="1">
        <v>2499.9899999999998</v>
      </c>
      <c r="F4267" s="1">
        <v>0.2</v>
      </c>
      <c r="G4267">
        <v>4999.9799999999996</v>
      </c>
      <c r="H4267" s="22">
        <f>VLOOKUP(A4267,[1]Orders!$A$2:$B$1616,2,0)</f>
        <v>43183</v>
      </c>
      <c r="J4267" t="s">
        <v>223</v>
      </c>
      <c r="K4267" t="s">
        <v>18</v>
      </c>
    </row>
    <row r="4268" spans="1:11" x14ac:dyDescent="0.3">
      <c r="A4268">
        <v>1464</v>
      </c>
      <c r="B4268">
        <v>4</v>
      </c>
      <c r="C4268">
        <v>151</v>
      </c>
      <c r="D4268">
        <v>2</v>
      </c>
      <c r="E4268" s="1">
        <v>1549.99</v>
      </c>
      <c r="F4268" s="1">
        <v>0.05</v>
      </c>
      <c r="G4268">
        <v>3099.98</v>
      </c>
      <c r="H4268" s="22">
        <f>VLOOKUP(A4268,[1]Orders!$A$2:$B$1616,2,0)</f>
        <v>43183</v>
      </c>
      <c r="J4268" t="s">
        <v>126</v>
      </c>
      <c r="K4268" t="s">
        <v>18</v>
      </c>
    </row>
    <row r="4269" spans="1:11" x14ac:dyDescent="0.3">
      <c r="A4269">
        <v>1465</v>
      </c>
      <c r="B4269">
        <v>1</v>
      </c>
      <c r="C4269">
        <v>70</v>
      </c>
      <c r="D4269">
        <v>2</v>
      </c>
      <c r="E4269" s="1">
        <v>659.99</v>
      </c>
      <c r="F4269" s="1">
        <v>0.05</v>
      </c>
      <c r="G4269">
        <v>1319.98</v>
      </c>
      <c r="H4269" s="22">
        <f>VLOOKUP(A4269,[1]Orders!$A$2:$B$1616,2,0)</f>
        <v>43184</v>
      </c>
      <c r="J4269" t="s">
        <v>73</v>
      </c>
      <c r="K4269" t="s">
        <v>18</v>
      </c>
    </row>
    <row r="4270" spans="1:11" x14ac:dyDescent="0.3">
      <c r="A4270">
        <v>1466</v>
      </c>
      <c r="B4270">
        <v>1</v>
      </c>
      <c r="C4270">
        <v>310</v>
      </c>
      <c r="D4270">
        <v>2</v>
      </c>
      <c r="E4270" s="1">
        <v>899.99</v>
      </c>
      <c r="F4270" s="1">
        <v>7.0000000000000007E-2</v>
      </c>
      <c r="G4270">
        <v>1799.98</v>
      </c>
      <c r="H4270" s="22">
        <f>VLOOKUP(A4270,[1]Orders!$A$2:$B$1616,2,0)</f>
        <v>43185</v>
      </c>
      <c r="J4270" t="s">
        <v>221</v>
      </c>
      <c r="K4270" t="s">
        <v>11</v>
      </c>
    </row>
    <row r="4271" spans="1:11" x14ac:dyDescent="0.3">
      <c r="A4271">
        <v>1466</v>
      </c>
      <c r="B4271">
        <v>2</v>
      </c>
      <c r="C4271">
        <v>251</v>
      </c>
      <c r="D4271">
        <v>1</v>
      </c>
      <c r="E4271" s="1">
        <v>2999.99</v>
      </c>
      <c r="F4271" s="1">
        <v>0.05</v>
      </c>
      <c r="G4271">
        <v>2999.99</v>
      </c>
      <c r="H4271" s="22">
        <f>VLOOKUP(A4271,[1]Orders!$A$2:$B$1616,2,0)</f>
        <v>43185</v>
      </c>
      <c r="J4271" t="s">
        <v>216</v>
      </c>
      <c r="K4271" t="s">
        <v>11</v>
      </c>
    </row>
    <row r="4272" spans="1:11" x14ac:dyDescent="0.3">
      <c r="A4272">
        <v>1466</v>
      </c>
      <c r="B4272">
        <v>3</v>
      </c>
      <c r="C4272">
        <v>163</v>
      </c>
      <c r="D4272">
        <v>2</v>
      </c>
      <c r="E4272" s="1">
        <v>1349</v>
      </c>
      <c r="F4272" s="1">
        <v>0.2</v>
      </c>
      <c r="G4272">
        <v>2698</v>
      </c>
      <c r="H4272" s="22">
        <f>VLOOKUP(A4272,[1]Orders!$A$2:$B$1616,2,0)</f>
        <v>43185</v>
      </c>
      <c r="J4272" t="s">
        <v>186</v>
      </c>
      <c r="K4272" t="s">
        <v>11</v>
      </c>
    </row>
    <row r="4273" spans="1:11" x14ac:dyDescent="0.3">
      <c r="A4273">
        <v>1466</v>
      </c>
      <c r="B4273">
        <v>4</v>
      </c>
      <c r="C4273">
        <v>39</v>
      </c>
      <c r="D4273">
        <v>2</v>
      </c>
      <c r="E4273" s="1">
        <v>1499.99</v>
      </c>
      <c r="F4273" s="1">
        <v>0.05</v>
      </c>
      <c r="G4273">
        <v>2999.98</v>
      </c>
      <c r="H4273" s="22">
        <f>VLOOKUP(A4273,[1]Orders!$A$2:$B$1616,2,0)</f>
        <v>43185</v>
      </c>
      <c r="J4273" t="s">
        <v>72</v>
      </c>
      <c r="K4273" t="s">
        <v>11</v>
      </c>
    </row>
    <row r="4274" spans="1:11" x14ac:dyDescent="0.3">
      <c r="A4274">
        <v>1467</v>
      </c>
      <c r="B4274">
        <v>1</v>
      </c>
      <c r="C4274">
        <v>18</v>
      </c>
      <c r="D4274">
        <v>1</v>
      </c>
      <c r="E4274" s="1">
        <v>449</v>
      </c>
      <c r="F4274" s="1">
        <v>7.0000000000000007E-2</v>
      </c>
      <c r="G4274">
        <v>449</v>
      </c>
      <c r="H4274" s="22">
        <f>VLOOKUP(A4274,[1]Orders!$A$2:$B$1616,2,0)</f>
        <v>43185</v>
      </c>
      <c r="J4274" t="s">
        <v>24</v>
      </c>
      <c r="K4274" t="s">
        <v>18</v>
      </c>
    </row>
    <row r="4275" spans="1:11" x14ac:dyDescent="0.3">
      <c r="A4275">
        <v>1467</v>
      </c>
      <c r="B4275">
        <v>2</v>
      </c>
      <c r="C4275">
        <v>115</v>
      </c>
      <c r="D4275">
        <v>1</v>
      </c>
      <c r="E4275" s="1">
        <v>3199.99</v>
      </c>
      <c r="F4275" s="1">
        <v>0.2</v>
      </c>
      <c r="G4275">
        <v>3199.99</v>
      </c>
      <c r="H4275" s="22">
        <f>VLOOKUP(A4275,[1]Orders!$A$2:$B$1616,2,0)</f>
        <v>43185</v>
      </c>
      <c r="J4275" t="s">
        <v>192</v>
      </c>
      <c r="K4275" t="s">
        <v>18</v>
      </c>
    </row>
    <row r="4276" spans="1:11" x14ac:dyDescent="0.3">
      <c r="A4276">
        <v>1467</v>
      </c>
      <c r="B4276">
        <v>3</v>
      </c>
      <c r="C4276">
        <v>278</v>
      </c>
      <c r="D4276">
        <v>2</v>
      </c>
      <c r="E4276" s="1">
        <v>369.99</v>
      </c>
      <c r="F4276" s="1">
        <v>0.1</v>
      </c>
      <c r="G4276">
        <v>739.98</v>
      </c>
      <c r="H4276" s="22">
        <f>VLOOKUP(A4276,[1]Orders!$A$2:$B$1616,2,0)</f>
        <v>43185</v>
      </c>
      <c r="J4276" t="s">
        <v>270</v>
      </c>
      <c r="K4276" t="s">
        <v>18</v>
      </c>
    </row>
    <row r="4277" spans="1:11" x14ac:dyDescent="0.3">
      <c r="A4277">
        <v>1468</v>
      </c>
      <c r="B4277">
        <v>1</v>
      </c>
      <c r="C4277">
        <v>269</v>
      </c>
      <c r="D4277">
        <v>1</v>
      </c>
      <c r="E4277" s="1">
        <v>199.99</v>
      </c>
      <c r="F4277" s="1">
        <v>0.05</v>
      </c>
      <c r="G4277">
        <v>199.99</v>
      </c>
      <c r="H4277" s="22">
        <f>VLOOKUP(A4277,[1]Orders!$A$2:$B$1616,2,0)</f>
        <v>43186</v>
      </c>
      <c r="J4277" t="s">
        <v>125</v>
      </c>
      <c r="K4277" t="s">
        <v>11</v>
      </c>
    </row>
    <row r="4278" spans="1:11" x14ac:dyDescent="0.3">
      <c r="A4278">
        <v>1468</v>
      </c>
      <c r="B4278">
        <v>2</v>
      </c>
      <c r="C4278">
        <v>58</v>
      </c>
      <c r="D4278">
        <v>1</v>
      </c>
      <c r="E4278" s="1">
        <v>4999.99</v>
      </c>
      <c r="F4278" s="1">
        <v>7.0000000000000007E-2</v>
      </c>
      <c r="G4278">
        <v>4999.99</v>
      </c>
      <c r="H4278" s="22">
        <f>VLOOKUP(A4278,[1]Orders!$A$2:$B$1616,2,0)</f>
        <v>43186</v>
      </c>
      <c r="J4278" t="s">
        <v>81</v>
      </c>
      <c r="K4278" t="s">
        <v>11</v>
      </c>
    </row>
    <row r="4279" spans="1:11" x14ac:dyDescent="0.3">
      <c r="A4279">
        <v>1468</v>
      </c>
      <c r="B4279">
        <v>3</v>
      </c>
      <c r="C4279">
        <v>50</v>
      </c>
      <c r="D4279">
        <v>2</v>
      </c>
      <c r="E4279" s="1">
        <v>5999.99</v>
      </c>
      <c r="F4279" s="1">
        <v>7.0000000000000007E-2</v>
      </c>
      <c r="G4279">
        <v>11999.98</v>
      </c>
      <c r="H4279" s="22">
        <f>VLOOKUP(A4279,[1]Orders!$A$2:$B$1616,2,0)</f>
        <v>43186</v>
      </c>
      <c r="J4279" t="s">
        <v>79</v>
      </c>
      <c r="K4279" t="s">
        <v>11</v>
      </c>
    </row>
    <row r="4280" spans="1:11" x14ac:dyDescent="0.3">
      <c r="A4280">
        <v>1469</v>
      </c>
      <c r="B4280">
        <v>1</v>
      </c>
      <c r="C4280">
        <v>77</v>
      </c>
      <c r="D4280">
        <v>2</v>
      </c>
      <c r="E4280" s="1">
        <v>799.99</v>
      </c>
      <c r="F4280" s="1">
        <v>0.2</v>
      </c>
      <c r="G4280">
        <v>1599.98</v>
      </c>
      <c r="H4280" s="22">
        <f>VLOOKUP(A4280,[1]Orders!$A$2:$B$1616,2,0)</f>
        <v>43186</v>
      </c>
      <c r="J4280" t="s">
        <v>113</v>
      </c>
      <c r="K4280" t="s">
        <v>37</v>
      </c>
    </row>
    <row r="4281" spans="1:11" x14ac:dyDescent="0.3">
      <c r="A4281">
        <v>1469</v>
      </c>
      <c r="B4281">
        <v>2</v>
      </c>
      <c r="C4281">
        <v>237</v>
      </c>
      <c r="D4281">
        <v>2</v>
      </c>
      <c r="E4281" s="1">
        <v>849.99</v>
      </c>
      <c r="F4281" s="1">
        <v>0.05</v>
      </c>
      <c r="G4281">
        <v>1699.98</v>
      </c>
      <c r="H4281" s="22">
        <f>VLOOKUP(A4281,[1]Orders!$A$2:$B$1616,2,0)</f>
        <v>43186</v>
      </c>
      <c r="J4281" t="s">
        <v>156</v>
      </c>
      <c r="K4281" t="s">
        <v>37</v>
      </c>
    </row>
    <row r="4282" spans="1:11" x14ac:dyDescent="0.3">
      <c r="A4282">
        <v>1469</v>
      </c>
      <c r="B4282">
        <v>3</v>
      </c>
      <c r="C4282">
        <v>182</v>
      </c>
      <c r="D4282">
        <v>1</v>
      </c>
      <c r="E4282" s="1">
        <v>2499.9899999999998</v>
      </c>
      <c r="F4282" s="1">
        <v>7.0000000000000007E-2</v>
      </c>
      <c r="G4282">
        <v>2499.9899999999998</v>
      </c>
      <c r="H4282" s="22">
        <f>VLOOKUP(A4282,[1]Orders!$A$2:$B$1616,2,0)</f>
        <v>43186</v>
      </c>
      <c r="J4282" t="s">
        <v>204</v>
      </c>
      <c r="K4282" t="s">
        <v>37</v>
      </c>
    </row>
    <row r="4283" spans="1:11" x14ac:dyDescent="0.3">
      <c r="A4283">
        <v>1469</v>
      </c>
      <c r="B4283">
        <v>4</v>
      </c>
      <c r="C4283">
        <v>100</v>
      </c>
      <c r="D4283">
        <v>2</v>
      </c>
      <c r="E4283" s="1">
        <v>489.99</v>
      </c>
      <c r="F4283" s="1">
        <v>0.05</v>
      </c>
      <c r="G4283">
        <v>979.98</v>
      </c>
      <c r="H4283" s="22">
        <f>VLOOKUP(A4283,[1]Orders!$A$2:$B$1616,2,0)</f>
        <v>43186</v>
      </c>
      <c r="J4283" t="s">
        <v>105</v>
      </c>
      <c r="K4283" t="s">
        <v>37</v>
      </c>
    </row>
    <row r="4284" spans="1:11" x14ac:dyDescent="0.3">
      <c r="A4284">
        <v>1470</v>
      </c>
      <c r="B4284">
        <v>1</v>
      </c>
      <c r="C4284">
        <v>110</v>
      </c>
      <c r="D4284">
        <v>2</v>
      </c>
      <c r="E4284" s="1">
        <v>470.99</v>
      </c>
      <c r="F4284" s="1">
        <v>0.1</v>
      </c>
      <c r="G4284">
        <v>941.98</v>
      </c>
      <c r="H4284" s="22">
        <f>VLOOKUP(A4284,[1]Orders!$A$2:$B$1616,2,0)</f>
        <v>43187</v>
      </c>
      <c r="J4284" t="s">
        <v>65</v>
      </c>
      <c r="K4284" t="s">
        <v>18</v>
      </c>
    </row>
    <row r="4285" spans="1:11" x14ac:dyDescent="0.3">
      <c r="A4285">
        <v>1470</v>
      </c>
      <c r="B4285">
        <v>2</v>
      </c>
      <c r="C4285">
        <v>287</v>
      </c>
      <c r="D4285">
        <v>1</v>
      </c>
      <c r="E4285" s="1">
        <v>279.99</v>
      </c>
      <c r="F4285" s="1">
        <v>0.05</v>
      </c>
      <c r="G4285">
        <v>279.99</v>
      </c>
      <c r="H4285" s="22">
        <f>VLOOKUP(A4285,[1]Orders!$A$2:$B$1616,2,0)</f>
        <v>43187</v>
      </c>
      <c r="J4285" t="s">
        <v>271</v>
      </c>
      <c r="K4285" t="s">
        <v>18</v>
      </c>
    </row>
    <row r="4286" spans="1:11" x14ac:dyDescent="0.3">
      <c r="A4286">
        <v>1470</v>
      </c>
      <c r="B4286">
        <v>3</v>
      </c>
      <c r="C4286">
        <v>252</v>
      </c>
      <c r="D4286">
        <v>2</v>
      </c>
      <c r="E4286" s="1">
        <v>2999.99</v>
      </c>
      <c r="F4286" s="1">
        <v>0.05</v>
      </c>
      <c r="G4286">
        <v>5999.98</v>
      </c>
      <c r="H4286" s="22">
        <f>VLOOKUP(A4286,[1]Orders!$A$2:$B$1616,2,0)</f>
        <v>43187</v>
      </c>
      <c r="J4286" t="s">
        <v>182</v>
      </c>
      <c r="K4286" t="s">
        <v>18</v>
      </c>
    </row>
    <row r="4287" spans="1:11" x14ac:dyDescent="0.3">
      <c r="A4287">
        <v>1471</v>
      </c>
      <c r="B4287">
        <v>1</v>
      </c>
      <c r="C4287">
        <v>59</v>
      </c>
      <c r="D4287">
        <v>2</v>
      </c>
      <c r="E4287" s="1">
        <v>2599.9899999999998</v>
      </c>
      <c r="F4287" s="1">
        <v>0.2</v>
      </c>
      <c r="G4287">
        <v>5199.9799999999996</v>
      </c>
      <c r="H4287" s="22">
        <f>VLOOKUP(A4287,[1]Orders!$A$2:$B$1616,2,0)</f>
        <v>43187</v>
      </c>
      <c r="J4287" t="s">
        <v>74</v>
      </c>
      <c r="K4287" t="s">
        <v>18</v>
      </c>
    </row>
    <row r="4288" spans="1:11" x14ac:dyDescent="0.3">
      <c r="A4288">
        <v>1471</v>
      </c>
      <c r="B4288">
        <v>2</v>
      </c>
      <c r="C4288">
        <v>136</v>
      </c>
      <c r="D4288">
        <v>1</v>
      </c>
      <c r="E4288" s="1">
        <v>1799.99</v>
      </c>
      <c r="F4288" s="1">
        <v>7.0000000000000007E-2</v>
      </c>
      <c r="G4288">
        <v>1799.99</v>
      </c>
      <c r="H4288" s="22">
        <f>VLOOKUP(A4288,[1]Orders!$A$2:$B$1616,2,0)</f>
        <v>43187</v>
      </c>
      <c r="J4288" t="s">
        <v>177</v>
      </c>
      <c r="K4288" t="s">
        <v>18</v>
      </c>
    </row>
    <row r="4289" spans="1:11" x14ac:dyDescent="0.3">
      <c r="A4289">
        <v>1472</v>
      </c>
      <c r="B4289">
        <v>1</v>
      </c>
      <c r="C4289">
        <v>84</v>
      </c>
      <c r="D4289">
        <v>1</v>
      </c>
      <c r="E4289" s="1">
        <v>109.99</v>
      </c>
      <c r="F4289" s="1">
        <v>0.2</v>
      </c>
      <c r="G4289">
        <v>109.99</v>
      </c>
      <c r="H4289" s="22">
        <f>VLOOKUP(A4289,[1]Orders!$A$2:$B$1616,2,0)</f>
        <v>43188</v>
      </c>
      <c r="J4289" t="s">
        <v>83</v>
      </c>
      <c r="K4289" t="s">
        <v>18</v>
      </c>
    </row>
    <row r="4290" spans="1:11" x14ac:dyDescent="0.3">
      <c r="A4290">
        <v>1472</v>
      </c>
      <c r="B4290">
        <v>2</v>
      </c>
      <c r="C4290">
        <v>300</v>
      </c>
      <c r="D4290">
        <v>1</v>
      </c>
      <c r="E4290" s="1">
        <v>799.99</v>
      </c>
      <c r="F4290" s="1">
        <v>0.2</v>
      </c>
      <c r="G4290">
        <v>799.99</v>
      </c>
      <c r="H4290" s="22">
        <f>VLOOKUP(A4290,[1]Orders!$A$2:$B$1616,2,0)</f>
        <v>43188</v>
      </c>
      <c r="J4290" t="s">
        <v>141</v>
      </c>
      <c r="K4290" t="s">
        <v>18</v>
      </c>
    </row>
    <row r="4291" spans="1:11" x14ac:dyDescent="0.3">
      <c r="A4291">
        <v>1473</v>
      </c>
      <c r="B4291">
        <v>1</v>
      </c>
      <c r="C4291">
        <v>84</v>
      </c>
      <c r="D4291">
        <v>2</v>
      </c>
      <c r="E4291" s="1">
        <v>109.99</v>
      </c>
      <c r="F4291" s="1">
        <v>0.2</v>
      </c>
      <c r="G4291">
        <v>219.98</v>
      </c>
      <c r="H4291" s="22">
        <f>VLOOKUP(A4291,[1]Orders!$A$2:$B$1616,2,0)</f>
        <v>43189</v>
      </c>
      <c r="J4291" t="s">
        <v>83</v>
      </c>
      <c r="K4291" t="s">
        <v>11</v>
      </c>
    </row>
    <row r="4292" spans="1:11" x14ac:dyDescent="0.3">
      <c r="A4292">
        <v>1473</v>
      </c>
      <c r="B4292">
        <v>2</v>
      </c>
      <c r="C4292">
        <v>102</v>
      </c>
      <c r="D4292">
        <v>1</v>
      </c>
      <c r="E4292" s="1">
        <v>489.99</v>
      </c>
      <c r="F4292" s="1">
        <v>7.0000000000000007E-2</v>
      </c>
      <c r="G4292">
        <v>489.99</v>
      </c>
      <c r="H4292" s="22">
        <f>VLOOKUP(A4292,[1]Orders!$A$2:$B$1616,2,0)</f>
        <v>43189</v>
      </c>
      <c r="J4292" t="s">
        <v>51</v>
      </c>
      <c r="K4292" t="s">
        <v>11</v>
      </c>
    </row>
    <row r="4293" spans="1:11" x14ac:dyDescent="0.3">
      <c r="A4293">
        <v>1474</v>
      </c>
      <c r="B4293">
        <v>1</v>
      </c>
      <c r="C4293">
        <v>301</v>
      </c>
      <c r="D4293">
        <v>1</v>
      </c>
      <c r="E4293" s="1">
        <v>899.99</v>
      </c>
      <c r="F4293" s="1">
        <v>0.2</v>
      </c>
      <c r="G4293">
        <v>899.99</v>
      </c>
      <c r="H4293" s="22">
        <f>VLOOKUP(A4293,[1]Orders!$A$2:$B$1616,2,0)</f>
        <v>43189</v>
      </c>
      <c r="J4293" t="s">
        <v>237</v>
      </c>
      <c r="K4293" t="s">
        <v>11</v>
      </c>
    </row>
    <row r="4294" spans="1:11" x14ac:dyDescent="0.3">
      <c r="A4294">
        <v>1474</v>
      </c>
      <c r="B4294">
        <v>2</v>
      </c>
      <c r="C4294">
        <v>123</v>
      </c>
      <c r="D4294">
        <v>1</v>
      </c>
      <c r="E4294" s="1">
        <v>999.99</v>
      </c>
      <c r="F4294" s="1">
        <v>0.05</v>
      </c>
      <c r="G4294">
        <v>999.99</v>
      </c>
      <c r="H4294" s="22">
        <f>VLOOKUP(A4294,[1]Orders!$A$2:$B$1616,2,0)</f>
        <v>43189</v>
      </c>
      <c r="J4294" t="s">
        <v>260</v>
      </c>
      <c r="K4294" t="s">
        <v>11</v>
      </c>
    </row>
    <row r="4295" spans="1:11" x14ac:dyDescent="0.3">
      <c r="A4295">
        <v>1475</v>
      </c>
      <c r="B4295">
        <v>1</v>
      </c>
      <c r="C4295">
        <v>306</v>
      </c>
      <c r="D4295">
        <v>2</v>
      </c>
      <c r="E4295" s="1">
        <v>899.99</v>
      </c>
      <c r="F4295" s="1">
        <v>0.05</v>
      </c>
      <c r="G4295">
        <v>1799.98</v>
      </c>
      <c r="H4295" s="22">
        <f>VLOOKUP(A4295,[1]Orders!$A$2:$B$1616,2,0)</f>
        <v>43189</v>
      </c>
      <c r="J4295" t="s">
        <v>208</v>
      </c>
      <c r="K4295" t="s">
        <v>18</v>
      </c>
    </row>
    <row r="4296" spans="1:11" x14ac:dyDescent="0.3">
      <c r="A4296">
        <v>1475</v>
      </c>
      <c r="B4296">
        <v>2</v>
      </c>
      <c r="C4296">
        <v>261</v>
      </c>
      <c r="D4296">
        <v>2</v>
      </c>
      <c r="E4296" s="1">
        <v>899.99</v>
      </c>
      <c r="F4296" s="1">
        <v>7.0000000000000007E-2</v>
      </c>
      <c r="G4296">
        <v>1799.98</v>
      </c>
      <c r="H4296" s="22">
        <f>VLOOKUP(A4296,[1]Orders!$A$2:$B$1616,2,0)</f>
        <v>43189</v>
      </c>
      <c r="J4296" t="s">
        <v>237</v>
      </c>
      <c r="K4296" t="s">
        <v>18</v>
      </c>
    </row>
    <row r="4297" spans="1:11" x14ac:dyDescent="0.3">
      <c r="A4297">
        <v>1475</v>
      </c>
      <c r="B4297">
        <v>3</v>
      </c>
      <c r="C4297">
        <v>161</v>
      </c>
      <c r="D4297">
        <v>2</v>
      </c>
      <c r="E4297" s="1">
        <v>1899</v>
      </c>
      <c r="F4297" s="1">
        <v>0.05</v>
      </c>
      <c r="G4297">
        <v>3798</v>
      </c>
      <c r="H4297" s="22">
        <f>VLOOKUP(A4297,[1]Orders!$A$2:$B$1616,2,0)</f>
        <v>43189</v>
      </c>
      <c r="J4297" t="s">
        <v>254</v>
      </c>
      <c r="K4297" t="s">
        <v>18</v>
      </c>
    </row>
    <row r="4298" spans="1:11" x14ac:dyDescent="0.3">
      <c r="A4298">
        <v>1475</v>
      </c>
      <c r="B4298">
        <v>4</v>
      </c>
      <c r="C4298">
        <v>248</v>
      </c>
      <c r="D4298">
        <v>2</v>
      </c>
      <c r="E4298" s="1">
        <v>599.99</v>
      </c>
      <c r="F4298" s="1">
        <v>0.2</v>
      </c>
      <c r="G4298">
        <v>1199.98</v>
      </c>
      <c r="H4298" s="22">
        <f>VLOOKUP(A4298,[1]Orders!$A$2:$B$1616,2,0)</f>
        <v>43189</v>
      </c>
      <c r="J4298" t="s">
        <v>272</v>
      </c>
      <c r="K4298" t="s">
        <v>18</v>
      </c>
    </row>
    <row r="4299" spans="1:11" x14ac:dyDescent="0.3">
      <c r="A4299">
        <v>1476</v>
      </c>
      <c r="B4299">
        <v>1</v>
      </c>
      <c r="C4299">
        <v>142</v>
      </c>
      <c r="D4299">
        <v>2</v>
      </c>
      <c r="E4299" s="1">
        <v>3199.99</v>
      </c>
      <c r="F4299" s="1">
        <v>7.0000000000000007E-2</v>
      </c>
      <c r="G4299">
        <v>6399.98</v>
      </c>
      <c r="H4299" s="22">
        <f>VLOOKUP(A4299,[1]Orders!$A$2:$B$1616,2,0)</f>
        <v>43190</v>
      </c>
      <c r="J4299" t="s">
        <v>206</v>
      </c>
      <c r="K4299" t="s">
        <v>18</v>
      </c>
    </row>
    <row r="4300" spans="1:11" x14ac:dyDescent="0.3">
      <c r="A4300">
        <v>1476</v>
      </c>
      <c r="B4300">
        <v>2</v>
      </c>
      <c r="C4300">
        <v>91</v>
      </c>
      <c r="D4300">
        <v>2</v>
      </c>
      <c r="E4300" s="1">
        <v>349.99</v>
      </c>
      <c r="F4300" s="1">
        <v>7.0000000000000007E-2</v>
      </c>
      <c r="G4300">
        <v>699.98</v>
      </c>
      <c r="H4300" s="22">
        <f>VLOOKUP(A4300,[1]Orders!$A$2:$B$1616,2,0)</f>
        <v>43190</v>
      </c>
      <c r="J4300" t="s">
        <v>97</v>
      </c>
      <c r="K4300" t="s">
        <v>18</v>
      </c>
    </row>
    <row r="4301" spans="1:11" x14ac:dyDescent="0.3">
      <c r="A4301">
        <v>1476</v>
      </c>
      <c r="B4301">
        <v>3</v>
      </c>
      <c r="C4301">
        <v>43</v>
      </c>
      <c r="D4301">
        <v>1</v>
      </c>
      <c r="E4301" s="1">
        <v>5299.99</v>
      </c>
      <c r="F4301" s="1">
        <v>7.0000000000000007E-2</v>
      </c>
      <c r="G4301">
        <v>5299.99</v>
      </c>
      <c r="H4301" s="22">
        <f>VLOOKUP(A4301,[1]Orders!$A$2:$B$1616,2,0)</f>
        <v>43190</v>
      </c>
      <c r="J4301" t="s">
        <v>62</v>
      </c>
      <c r="K4301" t="s">
        <v>18</v>
      </c>
    </row>
    <row r="4302" spans="1:11" x14ac:dyDescent="0.3">
      <c r="A4302">
        <v>1476</v>
      </c>
      <c r="B4302">
        <v>4</v>
      </c>
      <c r="C4302">
        <v>191</v>
      </c>
      <c r="D4302">
        <v>1</v>
      </c>
      <c r="E4302" s="1">
        <v>2799.99</v>
      </c>
      <c r="F4302" s="1">
        <v>0.1</v>
      </c>
      <c r="G4302">
        <v>2799.99</v>
      </c>
      <c r="H4302" s="22">
        <f>VLOOKUP(A4302,[1]Orders!$A$2:$B$1616,2,0)</f>
        <v>43190</v>
      </c>
      <c r="J4302" t="s">
        <v>273</v>
      </c>
      <c r="K4302" t="s">
        <v>18</v>
      </c>
    </row>
    <row r="4303" spans="1:11" x14ac:dyDescent="0.3">
      <c r="A4303">
        <v>1476</v>
      </c>
      <c r="B4303">
        <v>5</v>
      </c>
      <c r="C4303">
        <v>265</v>
      </c>
      <c r="D4303">
        <v>2</v>
      </c>
      <c r="E4303" s="1">
        <v>289.99</v>
      </c>
      <c r="F4303" s="1">
        <v>0.1</v>
      </c>
      <c r="G4303">
        <v>579.98</v>
      </c>
      <c r="H4303" s="22">
        <f>VLOOKUP(A4303,[1]Orders!$A$2:$B$1616,2,0)</f>
        <v>43190</v>
      </c>
      <c r="J4303" t="s">
        <v>239</v>
      </c>
      <c r="K4303" t="s">
        <v>18</v>
      </c>
    </row>
    <row r="4304" spans="1:11" x14ac:dyDescent="0.3">
      <c r="A4304">
        <v>1477</v>
      </c>
      <c r="B4304">
        <v>1</v>
      </c>
      <c r="C4304">
        <v>210</v>
      </c>
      <c r="D4304">
        <v>2</v>
      </c>
      <c r="E4304" s="1">
        <v>1549</v>
      </c>
      <c r="F4304" s="1">
        <v>0.2</v>
      </c>
      <c r="G4304">
        <v>3098</v>
      </c>
      <c r="H4304" s="22">
        <f>VLOOKUP(A4304,[1]Orders!$A$2:$B$1616,2,0)</f>
        <v>43190</v>
      </c>
      <c r="J4304" t="s">
        <v>171</v>
      </c>
      <c r="K4304" t="s">
        <v>18</v>
      </c>
    </row>
    <row r="4305" spans="1:11" x14ac:dyDescent="0.3">
      <c r="A4305">
        <v>1478</v>
      </c>
      <c r="B4305">
        <v>1</v>
      </c>
      <c r="C4305">
        <v>100</v>
      </c>
      <c r="D4305">
        <v>2</v>
      </c>
      <c r="E4305" s="1">
        <v>489.99</v>
      </c>
      <c r="F4305" s="1">
        <v>0.1</v>
      </c>
      <c r="G4305">
        <v>979.98</v>
      </c>
      <c r="H4305" s="22">
        <f>VLOOKUP(A4305,[1]Orders!$A$2:$B$1616,2,0)</f>
        <v>43190</v>
      </c>
      <c r="J4305" t="s">
        <v>105</v>
      </c>
      <c r="K4305" t="s">
        <v>18</v>
      </c>
    </row>
    <row r="4306" spans="1:11" x14ac:dyDescent="0.3">
      <c r="A4306">
        <v>1478</v>
      </c>
      <c r="B4306">
        <v>2</v>
      </c>
      <c r="C4306">
        <v>123</v>
      </c>
      <c r="D4306">
        <v>1</v>
      </c>
      <c r="E4306" s="1">
        <v>999.99</v>
      </c>
      <c r="F4306" s="1">
        <v>0.2</v>
      </c>
      <c r="G4306">
        <v>999.99</v>
      </c>
      <c r="H4306" s="22">
        <f>VLOOKUP(A4306,[1]Orders!$A$2:$B$1616,2,0)</f>
        <v>43190</v>
      </c>
      <c r="J4306" t="s">
        <v>260</v>
      </c>
      <c r="K4306" t="s">
        <v>18</v>
      </c>
    </row>
    <row r="4307" spans="1:11" x14ac:dyDescent="0.3">
      <c r="A4307">
        <v>1479</v>
      </c>
      <c r="B4307">
        <v>1</v>
      </c>
      <c r="C4307">
        <v>252</v>
      </c>
      <c r="D4307">
        <v>1</v>
      </c>
      <c r="E4307" s="1">
        <v>2999.99</v>
      </c>
      <c r="F4307" s="1">
        <v>0.05</v>
      </c>
      <c r="G4307">
        <v>2999.99</v>
      </c>
      <c r="H4307" s="22">
        <f>VLOOKUP(A4307,[1]Orders!$A$2:$B$1616,2,0)</f>
        <v>43191</v>
      </c>
      <c r="J4307" t="s">
        <v>182</v>
      </c>
      <c r="K4307" t="s">
        <v>18</v>
      </c>
    </row>
    <row r="4308" spans="1:11" x14ac:dyDescent="0.3">
      <c r="A4308">
        <v>1479</v>
      </c>
      <c r="B4308">
        <v>2</v>
      </c>
      <c r="C4308">
        <v>256</v>
      </c>
      <c r="D4308">
        <v>1</v>
      </c>
      <c r="E4308" s="1">
        <v>899.99</v>
      </c>
      <c r="F4308" s="1">
        <v>0.1</v>
      </c>
      <c r="G4308">
        <v>899.99</v>
      </c>
      <c r="H4308" s="22">
        <f>VLOOKUP(A4308,[1]Orders!$A$2:$B$1616,2,0)</f>
        <v>43191</v>
      </c>
      <c r="J4308" t="s">
        <v>274</v>
      </c>
      <c r="K4308" t="s">
        <v>18</v>
      </c>
    </row>
    <row r="4309" spans="1:11" x14ac:dyDescent="0.3">
      <c r="A4309">
        <v>1480</v>
      </c>
      <c r="B4309">
        <v>1</v>
      </c>
      <c r="C4309">
        <v>308</v>
      </c>
      <c r="D4309">
        <v>2</v>
      </c>
      <c r="E4309" s="1">
        <v>749.99</v>
      </c>
      <c r="F4309" s="1">
        <v>0.1</v>
      </c>
      <c r="G4309">
        <v>1499.98</v>
      </c>
      <c r="H4309" s="22">
        <f>VLOOKUP(A4309,[1]Orders!$A$2:$B$1616,2,0)</f>
        <v>43191</v>
      </c>
      <c r="J4309" t="s">
        <v>241</v>
      </c>
      <c r="K4309" t="s">
        <v>18</v>
      </c>
    </row>
    <row r="4310" spans="1:11" x14ac:dyDescent="0.3">
      <c r="A4310">
        <v>1480</v>
      </c>
      <c r="B4310">
        <v>2</v>
      </c>
      <c r="C4310">
        <v>82</v>
      </c>
      <c r="D4310">
        <v>2</v>
      </c>
      <c r="E4310" s="1">
        <v>659.99</v>
      </c>
      <c r="F4310" s="1">
        <v>0.1</v>
      </c>
      <c r="G4310">
        <v>1319.98</v>
      </c>
      <c r="H4310" s="22">
        <f>VLOOKUP(A4310,[1]Orders!$A$2:$B$1616,2,0)</f>
        <v>43191</v>
      </c>
      <c r="J4310" t="s">
        <v>100</v>
      </c>
      <c r="K4310" t="s">
        <v>18</v>
      </c>
    </row>
    <row r="4311" spans="1:11" x14ac:dyDescent="0.3">
      <c r="A4311">
        <v>1480</v>
      </c>
      <c r="B4311">
        <v>3</v>
      </c>
      <c r="C4311">
        <v>92</v>
      </c>
      <c r="D4311">
        <v>2</v>
      </c>
      <c r="E4311" s="1">
        <v>209.99</v>
      </c>
      <c r="F4311" s="1">
        <v>7.0000000000000007E-2</v>
      </c>
      <c r="G4311">
        <v>419.98</v>
      </c>
      <c r="H4311" s="22">
        <f>VLOOKUP(A4311,[1]Orders!$A$2:$B$1616,2,0)</f>
        <v>43191</v>
      </c>
      <c r="J4311" t="s">
        <v>111</v>
      </c>
      <c r="K4311" t="s">
        <v>18</v>
      </c>
    </row>
    <row r="4312" spans="1:11" x14ac:dyDescent="0.3">
      <c r="A4312">
        <v>1480</v>
      </c>
      <c r="B4312">
        <v>4</v>
      </c>
      <c r="C4312">
        <v>225</v>
      </c>
      <c r="D4312">
        <v>2</v>
      </c>
      <c r="E4312" s="1">
        <v>959.99</v>
      </c>
      <c r="F4312" s="1">
        <v>7.0000000000000007E-2</v>
      </c>
      <c r="G4312">
        <v>1919.98</v>
      </c>
      <c r="H4312" s="22">
        <f>VLOOKUP(A4312,[1]Orders!$A$2:$B$1616,2,0)</f>
        <v>43191</v>
      </c>
      <c r="J4312" t="s">
        <v>212</v>
      </c>
      <c r="K4312" t="s">
        <v>18</v>
      </c>
    </row>
    <row r="4313" spans="1:11" x14ac:dyDescent="0.3">
      <c r="A4313">
        <v>1481</v>
      </c>
      <c r="B4313">
        <v>1</v>
      </c>
      <c r="C4313">
        <v>53</v>
      </c>
      <c r="D4313">
        <v>2</v>
      </c>
      <c r="E4313" s="1">
        <v>749.99</v>
      </c>
      <c r="F4313" s="1">
        <v>7.0000000000000007E-2</v>
      </c>
      <c r="G4313">
        <v>1499.98</v>
      </c>
      <c r="H4313" s="22">
        <f>VLOOKUP(A4313,[1]Orders!$A$2:$B$1616,2,0)</f>
        <v>43191</v>
      </c>
      <c r="J4313" t="s">
        <v>42</v>
      </c>
      <c r="K4313" t="s">
        <v>18</v>
      </c>
    </row>
    <row r="4314" spans="1:11" x14ac:dyDescent="0.3">
      <c r="A4314">
        <v>1481</v>
      </c>
      <c r="B4314">
        <v>2</v>
      </c>
      <c r="C4314">
        <v>130</v>
      </c>
      <c r="D4314">
        <v>1</v>
      </c>
      <c r="E4314" s="1">
        <v>919.99</v>
      </c>
      <c r="F4314" s="1">
        <v>0.1</v>
      </c>
      <c r="G4314">
        <v>919.99</v>
      </c>
      <c r="H4314" s="22">
        <f>VLOOKUP(A4314,[1]Orders!$A$2:$B$1616,2,0)</f>
        <v>43191</v>
      </c>
      <c r="J4314" t="s">
        <v>184</v>
      </c>
      <c r="K4314" t="s">
        <v>18</v>
      </c>
    </row>
    <row r="4315" spans="1:11" x14ac:dyDescent="0.3">
      <c r="A4315">
        <v>1482</v>
      </c>
      <c r="B4315">
        <v>1</v>
      </c>
      <c r="C4315">
        <v>48</v>
      </c>
      <c r="D4315">
        <v>1</v>
      </c>
      <c r="E4315" s="1">
        <v>1499.99</v>
      </c>
      <c r="F4315" s="1">
        <v>0.1</v>
      </c>
      <c r="G4315">
        <v>1499.99</v>
      </c>
      <c r="H4315" s="22">
        <f>VLOOKUP(A4315,[1]Orders!$A$2:$B$1616,2,0)</f>
        <v>43191</v>
      </c>
      <c r="J4315" t="s">
        <v>84</v>
      </c>
      <c r="K4315" t="s">
        <v>18</v>
      </c>
    </row>
    <row r="4316" spans="1:11" x14ac:dyDescent="0.3">
      <c r="A4316">
        <v>1482</v>
      </c>
      <c r="B4316">
        <v>2</v>
      </c>
      <c r="C4316">
        <v>113</v>
      </c>
      <c r="D4316">
        <v>1</v>
      </c>
      <c r="E4316" s="1">
        <v>489.99</v>
      </c>
      <c r="F4316" s="1">
        <v>0.05</v>
      </c>
      <c r="G4316">
        <v>489.99</v>
      </c>
      <c r="H4316" s="22">
        <f>VLOOKUP(A4316,[1]Orders!$A$2:$B$1616,2,0)</f>
        <v>43191</v>
      </c>
      <c r="J4316" t="s">
        <v>198</v>
      </c>
      <c r="K4316" t="s">
        <v>18</v>
      </c>
    </row>
    <row r="4317" spans="1:11" x14ac:dyDescent="0.3">
      <c r="A4317">
        <v>1482</v>
      </c>
      <c r="B4317">
        <v>3</v>
      </c>
      <c r="C4317">
        <v>58</v>
      </c>
      <c r="D4317">
        <v>2</v>
      </c>
      <c r="E4317" s="1">
        <v>4999.99</v>
      </c>
      <c r="F4317" s="1">
        <v>7.0000000000000007E-2</v>
      </c>
      <c r="G4317">
        <v>9999.98</v>
      </c>
      <c r="H4317" s="22">
        <f>VLOOKUP(A4317,[1]Orders!$A$2:$B$1616,2,0)</f>
        <v>43191</v>
      </c>
      <c r="J4317" t="s">
        <v>81</v>
      </c>
      <c r="K4317" t="s">
        <v>18</v>
      </c>
    </row>
    <row r="4318" spans="1:11" x14ac:dyDescent="0.3">
      <c r="A4318">
        <v>1482</v>
      </c>
      <c r="B4318">
        <v>4</v>
      </c>
      <c r="C4318">
        <v>40</v>
      </c>
      <c r="D4318">
        <v>1</v>
      </c>
      <c r="E4318" s="1">
        <v>4999.99</v>
      </c>
      <c r="F4318" s="1">
        <v>0.05</v>
      </c>
      <c r="G4318">
        <v>4999.99</v>
      </c>
      <c r="H4318" s="22">
        <f>VLOOKUP(A4318,[1]Orders!$A$2:$B$1616,2,0)</f>
        <v>43191</v>
      </c>
      <c r="J4318" t="s">
        <v>104</v>
      </c>
      <c r="K4318" t="s">
        <v>18</v>
      </c>
    </row>
    <row r="4319" spans="1:11" x14ac:dyDescent="0.3">
      <c r="A4319">
        <v>1482</v>
      </c>
      <c r="B4319">
        <v>5</v>
      </c>
      <c r="C4319">
        <v>205</v>
      </c>
      <c r="D4319">
        <v>2</v>
      </c>
      <c r="E4319" s="1">
        <v>4999.99</v>
      </c>
      <c r="F4319" s="1">
        <v>0.05</v>
      </c>
      <c r="G4319">
        <v>9999.98</v>
      </c>
      <c r="H4319" s="22">
        <f>VLOOKUP(A4319,[1]Orders!$A$2:$B$1616,2,0)</f>
        <v>43191</v>
      </c>
      <c r="J4319" t="s">
        <v>145</v>
      </c>
      <c r="K4319" t="s">
        <v>18</v>
      </c>
    </row>
    <row r="4320" spans="1:11" x14ac:dyDescent="0.3">
      <c r="A4320">
        <v>1483</v>
      </c>
      <c r="B4320">
        <v>1</v>
      </c>
      <c r="C4320">
        <v>280</v>
      </c>
      <c r="D4320">
        <v>1</v>
      </c>
      <c r="E4320" s="1">
        <v>489.99</v>
      </c>
      <c r="F4320" s="1">
        <v>0.05</v>
      </c>
      <c r="G4320">
        <v>489.99</v>
      </c>
      <c r="H4320" s="22">
        <f>VLOOKUP(A4320,[1]Orders!$A$2:$B$1616,2,0)</f>
        <v>43192</v>
      </c>
      <c r="J4320" t="s">
        <v>275</v>
      </c>
      <c r="K4320" t="s">
        <v>18</v>
      </c>
    </row>
    <row r="4321" spans="1:11" x14ac:dyDescent="0.3">
      <c r="A4321">
        <v>1483</v>
      </c>
      <c r="B4321">
        <v>2</v>
      </c>
      <c r="C4321">
        <v>226</v>
      </c>
      <c r="D4321">
        <v>2</v>
      </c>
      <c r="E4321" s="1">
        <v>679.99</v>
      </c>
      <c r="F4321" s="1">
        <v>7.0000000000000007E-2</v>
      </c>
      <c r="G4321">
        <v>1359.98</v>
      </c>
      <c r="H4321" s="22">
        <f>VLOOKUP(A4321,[1]Orders!$A$2:$B$1616,2,0)</f>
        <v>43192</v>
      </c>
      <c r="J4321" t="s">
        <v>146</v>
      </c>
      <c r="K4321" t="s">
        <v>18</v>
      </c>
    </row>
    <row r="4322" spans="1:11" x14ac:dyDescent="0.3">
      <c r="A4322">
        <v>1484</v>
      </c>
      <c r="B4322">
        <v>1</v>
      </c>
      <c r="C4322">
        <v>295</v>
      </c>
      <c r="D4322">
        <v>2</v>
      </c>
      <c r="E4322" s="1">
        <v>319.99</v>
      </c>
      <c r="F4322" s="1">
        <v>7.0000000000000007E-2</v>
      </c>
      <c r="G4322">
        <v>639.98</v>
      </c>
      <c r="H4322" s="22">
        <f>VLOOKUP(A4322,[1]Orders!$A$2:$B$1616,2,0)</f>
        <v>43192</v>
      </c>
      <c r="J4322" t="s">
        <v>219</v>
      </c>
      <c r="K4322" t="s">
        <v>18</v>
      </c>
    </row>
    <row r="4323" spans="1:11" x14ac:dyDescent="0.3">
      <c r="A4323">
        <v>1484</v>
      </c>
      <c r="B4323">
        <v>2</v>
      </c>
      <c r="C4323">
        <v>49</v>
      </c>
      <c r="D4323">
        <v>2</v>
      </c>
      <c r="E4323" s="1">
        <v>3499.99</v>
      </c>
      <c r="F4323" s="1">
        <v>0.2</v>
      </c>
      <c r="G4323">
        <v>6999.98</v>
      </c>
      <c r="H4323" s="22">
        <f>VLOOKUP(A4323,[1]Orders!$A$2:$B$1616,2,0)</f>
        <v>43192</v>
      </c>
      <c r="J4323" t="s">
        <v>70</v>
      </c>
      <c r="K4323" t="s">
        <v>18</v>
      </c>
    </row>
    <row r="4324" spans="1:11" x14ac:dyDescent="0.3">
      <c r="A4324">
        <v>1484</v>
      </c>
      <c r="B4324">
        <v>3</v>
      </c>
      <c r="C4324">
        <v>304</v>
      </c>
      <c r="D4324">
        <v>2</v>
      </c>
      <c r="E4324" s="1">
        <v>679.99</v>
      </c>
      <c r="F4324" s="1">
        <v>0.05</v>
      </c>
      <c r="G4324">
        <v>1359.98</v>
      </c>
      <c r="H4324" s="22">
        <f>VLOOKUP(A4324,[1]Orders!$A$2:$B$1616,2,0)</f>
        <v>43192</v>
      </c>
      <c r="J4324" t="s">
        <v>146</v>
      </c>
      <c r="K4324" t="s">
        <v>18</v>
      </c>
    </row>
    <row r="4325" spans="1:11" x14ac:dyDescent="0.3">
      <c r="A4325">
        <v>1485</v>
      </c>
      <c r="B4325">
        <v>1</v>
      </c>
      <c r="C4325">
        <v>122</v>
      </c>
      <c r="D4325">
        <v>2</v>
      </c>
      <c r="E4325" s="1">
        <v>2499.9899999999998</v>
      </c>
      <c r="F4325" s="1">
        <v>0.2</v>
      </c>
      <c r="G4325">
        <v>4999.9799999999996</v>
      </c>
      <c r="H4325" s="22">
        <f>VLOOKUP(A4325,[1]Orders!$A$2:$B$1616,2,0)</f>
        <v>43192</v>
      </c>
      <c r="J4325" t="s">
        <v>276</v>
      </c>
      <c r="K4325" t="s">
        <v>18</v>
      </c>
    </row>
    <row r="4326" spans="1:11" x14ac:dyDescent="0.3">
      <c r="A4326">
        <v>1485</v>
      </c>
      <c r="B4326">
        <v>2</v>
      </c>
      <c r="C4326">
        <v>276</v>
      </c>
      <c r="D4326">
        <v>1</v>
      </c>
      <c r="E4326" s="1">
        <v>319.99</v>
      </c>
      <c r="F4326" s="1">
        <v>0.2</v>
      </c>
      <c r="G4326">
        <v>319.99</v>
      </c>
      <c r="H4326" s="22">
        <f>VLOOKUP(A4326,[1]Orders!$A$2:$B$1616,2,0)</f>
        <v>43192</v>
      </c>
      <c r="J4326" t="s">
        <v>183</v>
      </c>
      <c r="K4326" t="s">
        <v>18</v>
      </c>
    </row>
    <row r="4327" spans="1:11" x14ac:dyDescent="0.3">
      <c r="A4327">
        <v>1486</v>
      </c>
      <c r="B4327">
        <v>1</v>
      </c>
      <c r="C4327">
        <v>60</v>
      </c>
      <c r="D4327">
        <v>2</v>
      </c>
      <c r="E4327" s="1">
        <v>1559.99</v>
      </c>
      <c r="F4327" s="1">
        <v>0.05</v>
      </c>
      <c r="G4327">
        <v>3119.98</v>
      </c>
      <c r="H4327" s="22">
        <f>VLOOKUP(A4327,[1]Orders!$A$2:$B$1616,2,0)</f>
        <v>43192</v>
      </c>
      <c r="J4327" t="s">
        <v>101</v>
      </c>
      <c r="K4327" t="s">
        <v>18</v>
      </c>
    </row>
    <row r="4328" spans="1:11" x14ac:dyDescent="0.3">
      <c r="A4328">
        <v>1486</v>
      </c>
      <c r="B4328">
        <v>2</v>
      </c>
      <c r="C4328">
        <v>98</v>
      </c>
      <c r="D4328">
        <v>1</v>
      </c>
      <c r="E4328" s="1">
        <v>489.99</v>
      </c>
      <c r="F4328" s="1">
        <v>0.05</v>
      </c>
      <c r="G4328">
        <v>489.99</v>
      </c>
      <c r="H4328" s="22">
        <f>VLOOKUP(A4328,[1]Orders!$A$2:$B$1616,2,0)</f>
        <v>43192</v>
      </c>
      <c r="J4328" t="s">
        <v>82</v>
      </c>
      <c r="K4328" t="s">
        <v>18</v>
      </c>
    </row>
    <row r="4329" spans="1:11" x14ac:dyDescent="0.3">
      <c r="A4329">
        <v>1486</v>
      </c>
      <c r="B4329">
        <v>3</v>
      </c>
      <c r="C4329">
        <v>113</v>
      </c>
      <c r="D4329">
        <v>1</v>
      </c>
      <c r="E4329" s="1">
        <v>489.99</v>
      </c>
      <c r="F4329" s="1">
        <v>0.1</v>
      </c>
      <c r="G4329">
        <v>489.99</v>
      </c>
      <c r="H4329" s="22">
        <f>VLOOKUP(A4329,[1]Orders!$A$2:$B$1616,2,0)</f>
        <v>43192</v>
      </c>
      <c r="J4329" t="s">
        <v>198</v>
      </c>
      <c r="K4329" t="s">
        <v>18</v>
      </c>
    </row>
    <row r="4330" spans="1:11" x14ac:dyDescent="0.3">
      <c r="A4330">
        <v>1486</v>
      </c>
      <c r="B4330">
        <v>4</v>
      </c>
      <c r="C4330">
        <v>269</v>
      </c>
      <c r="D4330">
        <v>1</v>
      </c>
      <c r="E4330" s="1">
        <v>199.99</v>
      </c>
      <c r="F4330" s="1">
        <v>0.1</v>
      </c>
      <c r="G4330">
        <v>199.99</v>
      </c>
      <c r="H4330" s="22">
        <f>VLOOKUP(A4330,[1]Orders!$A$2:$B$1616,2,0)</f>
        <v>43192</v>
      </c>
      <c r="J4330" t="s">
        <v>125</v>
      </c>
      <c r="K4330" t="s">
        <v>18</v>
      </c>
    </row>
    <row r="4331" spans="1:11" x14ac:dyDescent="0.3">
      <c r="A4331">
        <v>1487</v>
      </c>
      <c r="B4331">
        <v>1</v>
      </c>
      <c r="C4331">
        <v>160</v>
      </c>
      <c r="D4331">
        <v>1</v>
      </c>
      <c r="E4331" s="1">
        <v>4499.99</v>
      </c>
      <c r="F4331" s="1">
        <v>7.0000000000000007E-2</v>
      </c>
      <c r="G4331">
        <v>4499.99</v>
      </c>
      <c r="H4331" s="22">
        <f>VLOOKUP(A4331,[1]Orders!$A$2:$B$1616,2,0)</f>
        <v>43193</v>
      </c>
      <c r="J4331" t="s">
        <v>148</v>
      </c>
      <c r="K4331" t="s">
        <v>11</v>
      </c>
    </row>
    <row r="4332" spans="1:11" x14ac:dyDescent="0.3">
      <c r="A4332">
        <v>1487</v>
      </c>
      <c r="B4332">
        <v>2</v>
      </c>
      <c r="C4332">
        <v>151</v>
      </c>
      <c r="D4332">
        <v>2</v>
      </c>
      <c r="E4332" s="1">
        <v>1549.99</v>
      </c>
      <c r="F4332" s="1">
        <v>0.2</v>
      </c>
      <c r="G4332">
        <v>3099.98</v>
      </c>
      <c r="H4332" s="22">
        <f>VLOOKUP(A4332,[1]Orders!$A$2:$B$1616,2,0)</f>
        <v>43193</v>
      </c>
      <c r="J4332" t="s">
        <v>126</v>
      </c>
      <c r="K4332" t="s">
        <v>11</v>
      </c>
    </row>
    <row r="4333" spans="1:11" x14ac:dyDescent="0.3">
      <c r="A4333">
        <v>1487</v>
      </c>
      <c r="B4333">
        <v>3</v>
      </c>
      <c r="C4333">
        <v>198</v>
      </c>
      <c r="D4333">
        <v>1</v>
      </c>
      <c r="E4333" s="1">
        <v>2999.99</v>
      </c>
      <c r="F4333" s="1">
        <v>0.05</v>
      </c>
      <c r="G4333">
        <v>2999.99</v>
      </c>
      <c r="H4333" s="22">
        <f>VLOOKUP(A4333,[1]Orders!$A$2:$B$1616,2,0)</f>
        <v>43193</v>
      </c>
      <c r="J4333" t="s">
        <v>216</v>
      </c>
      <c r="K4333" t="s">
        <v>11</v>
      </c>
    </row>
    <row r="4334" spans="1:11" x14ac:dyDescent="0.3">
      <c r="A4334">
        <v>1487</v>
      </c>
      <c r="B4334">
        <v>4</v>
      </c>
      <c r="C4334">
        <v>196</v>
      </c>
      <c r="D4334">
        <v>1</v>
      </c>
      <c r="E4334" s="1">
        <v>2299.9899999999998</v>
      </c>
      <c r="F4334" s="1">
        <v>0.05</v>
      </c>
      <c r="G4334">
        <v>2299.9899999999998</v>
      </c>
      <c r="H4334" s="22">
        <f>VLOOKUP(A4334,[1]Orders!$A$2:$B$1616,2,0)</f>
        <v>43193</v>
      </c>
      <c r="J4334" t="s">
        <v>277</v>
      </c>
      <c r="K4334" t="s">
        <v>11</v>
      </c>
    </row>
    <row r="4335" spans="1:11" x14ac:dyDescent="0.3">
      <c r="A4335">
        <v>1487</v>
      </c>
      <c r="B4335">
        <v>5</v>
      </c>
      <c r="C4335">
        <v>96</v>
      </c>
      <c r="D4335">
        <v>2</v>
      </c>
      <c r="E4335" s="1">
        <v>349.99</v>
      </c>
      <c r="F4335" s="1">
        <v>0.2</v>
      </c>
      <c r="G4335">
        <v>699.98</v>
      </c>
      <c r="H4335" s="22">
        <f>VLOOKUP(A4335,[1]Orders!$A$2:$B$1616,2,0)</f>
        <v>43193</v>
      </c>
      <c r="J4335" t="s">
        <v>91</v>
      </c>
      <c r="K4335" t="s">
        <v>11</v>
      </c>
    </row>
    <row r="4336" spans="1:11" x14ac:dyDescent="0.3">
      <c r="A4336">
        <v>1488</v>
      </c>
      <c r="B4336">
        <v>1</v>
      </c>
      <c r="C4336">
        <v>42</v>
      </c>
      <c r="D4336">
        <v>1</v>
      </c>
      <c r="E4336" s="1">
        <v>2299.9899999999998</v>
      </c>
      <c r="F4336" s="1">
        <v>7.0000000000000007E-2</v>
      </c>
      <c r="G4336">
        <v>2299.9899999999998</v>
      </c>
      <c r="H4336" s="22">
        <f>VLOOKUP(A4336,[1]Orders!$A$2:$B$1616,2,0)</f>
        <v>43193</v>
      </c>
      <c r="J4336" t="s">
        <v>53</v>
      </c>
      <c r="K4336" t="s">
        <v>11</v>
      </c>
    </row>
    <row r="4337" spans="1:11" x14ac:dyDescent="0.3">
      <c r="A4337">
        <v>1488</v>
      </c>
      <c r="B4337">
        <v>2</v>
      </c>
      <c r="C4337">
        <v>122</v>
      </c>
      <c r="D4337">
        <v>1</v>
      </c>
      <c r="E4337" s="1">
        <v>2499.9899999999998</v>
      </c>
      <c r="F4337" s="1">
        <v>7.0000000000000007E-2</v>
      </c>
      <c r="G4337">
        <v>2499.9899999999998</v>
      </c>
      <c r="H4337" s="22">
        <f>VLOOKUP(A4337,[1]Orders!$A$2:$B$1616,2,0)</f>
        <v>43193</v>
      </c>
      <c r="J4337" t="s">
        <v>276</v>
      </c>
      <c r="K4337" t="s">
        <v>11</v>
      </c>
    </row>
    <row r="4338" spans="1:11" x14ac:dyDescent="0.3">
      <c r="A4338">
        <v>1489</v>
      </c>
      <c r="B4338">
        <v>1</v>
      </c>
      <c r="C4338">
        <v>198</v>
      </c>
      <c r="D4338">
        <v>1</v>
      </c>
      <c r="E4338" s="1">
        <v>2999.99</v>
      </c>
      <c r="F4338" s="1">
        <v>0.2</v>
      </c>
      <c r="G4338">
        <v>2999.99</v>
      </c>
      <c r="H4338" s="22">
        <f>VLOOKUP(A4338,[1]Orders!$A$2:$B$1616,2,0)</f>
        <v>43193</v>
      </c>
      <c r="J4338" t="s">
        <v>216</v>
      </c>
      <c r="K4338" t="s">
        <v>11</v>
      </c>
    </row>
    <row r="4339" spans="1:11" x14ac:dyDescent="0.3">
      <c r="A4339">
        <v>1489</v>
      </c>
      <c r="B4339">
        <v>2</v>
      </c>
      <c r="C4339">
        <v>282</v>
      </c>
      <c r="D4339">
        <v>2</v>
      </c>
      <c r="E4339" s="1">
        <v>279.99</v>
      </c>
      <c r="F4339" s="1">
        <v>0.2</v>
      </c>
      <c r="G4339">
        <v>559.98</v>
      </c>
      <c r="H4339" s="22">
        <f>VLOOKUP(A4339,[1]Orders!$A$2:$B$1616,2,0)</f>
        <v>43193</v>
      </c>
      <c r="J4339" t="s">
        <v>137</v>
      </c>
      <c r="K4339" t="s">
        <v>11</v>
      </c>
    </row>
    <row r="4340" spans="1:11" x14ac:dyDescent="0.3">
      <c r="A4340">
        <v>1489</v>
      </c>
      <c r="B4340">
        <v>3</v>
      </c>
      <c r="C4340">
        <v>52</v>
      </c>
      <c r="D4340">
        <v>1</v>
      </c>
      <c r="E4340" s="1">
        <v>875.99</v>
      </c>
      <c r="F4340" s="1">
        <v>0.1</v>
      </c>
      <c r="G4340">
        <v>875.99</v>
      </c>
      <c r="H4340" s="22">
        <f>VLOOKUP(A4340,[1]Orders!$A$2:$B$1616,2,0)</f>
        <v>43193</v>
      </c>
      <c r="J4340" t="s">
        <v>68</v>
      </c>
      <c r="K4340" t="s">
        <v>11</v>
      </c>
    </row>
    <row r="4341" spans="1:11" x14ac:dyDescent="0.3">
      <c r="A4341">
        <v>1490</v>
      </c>
      <c r="B4341">
        <v>1</v>
      </c>
      <c r="C4341">
        <v>99</v>
      </c>
      <c r="D4341">
        <v>1</v>
      </c>
      <c r="E4341" s="1">
        <v>299.99</v>
      </c>
      <c r="F4341" s="1">
        <v>0.1</v>
      </c>
      <c r="G4341">
        <v>299.99</v>
      </c>
      <c r="H4341" s="22">
        <f>VLOOKUP(A4341,[1]Orders!$A$2:$B$1616,2,0)</f>
        <v>43193</v>
      </c>
      <c r="J4341" t="s">
        <v>52</v>
      </c>
      <c r="K4341" t="s">
        <v>11</v>
      </c>
    </row>
    <row r="4342" spans="1:11" x14ac:dyDescent="0.3">
      <c r="A4342">
        <v>1490</v>
      </c>
      <c r="B4342">
        <v>2</v>
      </c>
      <c r="C4342">
        <v>254</v>
      </c>
      <c r="D4342">
        <v>1</v>
      </c>
      <c r="E4342" s="1">
        <v>749.99</v>
      </c>
      <c r="F4342" s="1">
        <v>0.1</v>
      </c>
      <c r="G4342">
        <v>749.99</v>
      </c>
      <c r="H4342" s="22">
        <f>VLOOKUP(A4342,[1]Orders!$A$2:$B$1616,2,0)</f>
        <v>43193</v>
      </c>
      <c r="J4342" t="s">
        <v>172</v>
      </c>
      <c r="K4342" t="s">
        <v>11</v>
      </c>
    </row>
    <row r="4343" spans="1:11" x14ac:dyDescent="0.3">
      <c r="A4343">
        <v>1490</v>
      </c>
      <c r="B4343">
        <v>3</v>
      </c>
      <c r="C4343">
        <v>218</v>
      </c>
      <c r="D4343">
        <v>1</v>
      </c>
      <c r="E4343" s="1">
        <v>319.99</v>
      </c>
      <c r="F4343" s="1">
        <v>0.05</v>
      </c>
      <c r="G4343">
        <v>319.99</v>
      </c>
      <c r="H4343" s="22">
        <f>VLOOKUP(A4343,[1]Orders!$A$2:$B$1616,2,0)</f>
        <v>43193</v>
      </c>
      <c r="J4343" t="s">
        <v>278</v>
      </c>
      <c r="K4343" t="s">
        <v>11</v>
      </c>
    </row>
    <row r="4344" spans="1:11" x14ac:dyDescent="0.3">
      <c r="A4344">
        <v>1491</v>
      </c>
      <c r="B4344">
        <v>1</v>
      </c>
      <c r="C4344">
        <v>95</v>
      </c>
      <c r="D4344">
        <v>2</v>
      </c>
      <c r="E4344" s="1">
        <v>299.99</v>
      </c>
      <c r="F4344" s="1">
        <v>0.2</v>
      </c>
      <c r="G4344">
        <v>599.98</v>
      </c>
      <c r="H4344" s="22">
        <f>VLOOKUP(A4344,[1]Orders!$A$2:$B$1616,2,0)</f>
        <v>43194</v>
      </c>
      <c r="J4344" t="s">
        <v>48</v>
      </c>
      <c r="K4344" t="s">
        <v>11</v>
      </c>
    </row>
    <row r="4345" spans="1:11" x14ac:dyDescent="0.3">
      <c r="A4345">
        <v>1491</v>
      </c>
      <c r="B4345">
        <v>2</v>
      </c>
      <c r="C4345">
        <v>302</v>
      </c>
      <c r="D4345">
        <v>1</v>
      </c>
      <c r="E4345" s="1">
        <v>449.99</v>
      </c>
      <c r="F4345" s="1">
        <v>0.05</v>
      </c>
      <c r="G4345">
        <v>449.99</v>
      </c>
      <c r="H4345" s="22">
        <f>VLOOKUP(A4345,[1]Orders!$A$2:$B$1616,2,0)</f>
        <v>43194</v>
      </c>
      <c r="J4345" t="s">
        <v>248</v>
      </c>
      <c r="K4345" t="s">
        <v>11</v>
      </c>
    </row>
    <row r="4346" spans="1:11" x14ac:dyDescent="0.3">
      <c r="A4346">
        <v>1491</v>
      </c>
      <c r="B4346">
        <v>3</v>
      </c>
      <c r="C4346">
        <v>60</v>
      </c>
      <c r="D4346">
        <v>2</v>
      </c>
      <c r="E4346" s="1">
        <v>1559.99</v>
      </c>
      <c r="F4346" s="1">
        <v>7.0000000000000007E-2</v>
      </c>
      <c r="G4346">
        <v>3119.98</v>
      </c>
      <c r="H4346" s="22">
        <f>VLOOKUP(A4346,[1]Orders!$A$2:$B$1616,2,0)</f>
        <v>43194</v>
      </c>
      <c r="J4346" t="s">
        <v>101</v>
      </c>
      <c r="K4346" t="s">
        <v>11</v>
      </c>
    </row>
    <row r="4347" spans="1:11" x14ac:dyDescent="0.3">
      <c r="A4347">
        <v>1491</v>
      </c>
      <c r="B4347">
        <v>4</v>
      </c>
      <c r="C4347">
        <v>139</v>
      </c>
      <c r="D4347">
        <v>2</v>
      </c>
      <c r="E4347" s="1">
        <v>2999.99</v>
      </c>
      <c r="F4347" s="1">
        <v>7.0000000000000007E-2</v>
      </c>
      <c r="G4347">
        <v>5999.98</v>
      </c>
      <c r="H4347" s="22">
        <f>VLOOKUP(A4347,[1]Orders!$A$2:$B$1616,2,0)</f>
        <v>43194</v>
      </c>
      <c r="J4347" t="s">
        <v>121</v>
      </c>
      <c r="K4347" t="s">
        <v>11</v>
      </c>
    </row>
    <row r="4348" spans="1:11" x14ac:dyDescent="0.3">
      <c r="A4348">
        <v>1492</v>
      </c>
      <c r="B4348">
        <v>1</v>
      </c>
      <c r="C4348">
        <v>37</v>
      </c>
      <c r="D4348">
        <v>2</v>
      </c>
      <c r="E4348" s="1">
        <v>379.99</v>
      </c>
      <c r="F4348" s="1">
        <v>0.1</v>
      </c>
      <c r="G4348">
        <v>759.98</v>
      </c>
      <c r="H4348" s="22">
        <f>VLOOKUP(A4348,[1]Orders!$A$2:$B$1616,2,0)</f>
        <v>43194</v>
      </c>
      <c r="J4348" t="s">
        <v>98</v>
      </c>
      <c r="K4348" t="s">
        <v>18</v>
      </c>
    </row>
    <row r="4349" spans="1:11" x14ac:dyDescent="0.3">
      <c r="A4349">
        <v>1493</v>
      </c>
      <c r="B4349">
        <v>1</v>
      </c>
      <c r="C4349">
        <v>230</v>
      </c>
      <c r="D4349">
        <v>1</v>
      </c>
      <c r="E4349" s="1">
        <v>429.99</v>
      </c>
      <c r="F4349" s="1">
        <v>0.1</v>
      </c>
      <c r="G4349">
        <v>429.99</v>
      </c>
      <c r="H4349" s="22">
        <f>VLOOKUP(A4349,[1]Orders!$A$2:$B$1616,2,0)</f>
        <v>43194</v>
      </c>
      <c r="J4349" t="s">
        <v>136</v>
      </c>
      <c r="K4349" t="s">
        <v>37</v>
      </c>
    </row>
    <row r="4350" spans="1:11" x14ac:dyDescent="0.3">
      <c r="A4350">
        <v>1494</v>
      </c>
      <c r="B4350">
        <v>1</v>
      </c>
      <c r="C4350">
        <v>230</v>
      </c>
      <c r="D4350">
        <v>2</v>
      </c>
      <c r="E4350" s="1">
        <v>429.99</v>
      </c>
      <c r="F4350" s="1">
        <v>0.1</v>
      </c>
      <c r="G4350">
        <v>859.98</v>
      </c>
      <c r="H4350" s="22">
        <f>VLOOKUP(A4350,[1]Orders!$A$2:$B$1616,2,0)</f>
        <v>43195</v>
      </c>
      <c r="J4350" t="s">
        <v>136</v>
      </c>
      <c r="K4350" t="s">
        <v>11</v>
      </c>
    </row>
    <row r="4351" spans="1:11" x14ac:dyDescent="0.3">
      <c r="A4351">
        <v>1494</v>
      </c>
      <c r="B4351">
        <v>2</v>
      </c>
      <c r="C4351">
        <v>178</v>
      </c>
      <c r="D4351">
        <v>2</v>
      </c>
      <c r="E4351" s="1">
        <v>749.99</v>
      </c>
      <c r="F4351" s="1">
        <v>0.2</v>
      </c>
      <c r="G4351">
        <v>1499.98</v>
      </c>
      <c r="H4351" s="22">
        <f>VLOOKUP(A4351,[1]Orders!$A$2:$B$1616,2,0)</f>
        <v>43195</v>
      </c>
      <c r="J4351" t="s">
        <v>258</v>
      </c>
      <c r="K4351" t="s">
        <v>11</v>
      </c>
    </row>
    <row r="4352" spans="1:11" x14ac:dyDescent="0.3">
      <c r="A4352">
        <v>1494</v>
      </c>
      <c r="B4352">
        <v>3</v>
      </c>
      <c r="C4352">
        <v>264</v>
      </c>
      <c r="D4352">
        <v>2</v>
      </c>
      <c r="E4352" s="1">
        <v>249.99</v>
      </c>
      <c r="F4352" s="1">
        <v>0.05</v>
      </c>
      <c r="G4352">
        <v>499.98</v>
      </c>
      <c r="H4352" s="22">
        <f>VLOOKUP(A4352,[1]Orders!$A$2:$B$1616,2,0)</f>
        <v>43195</v>
      </c>
      <c r="J4352" t="s">
        <v>242</v>
      </c>
      <c r="K4352" t="s">
        <v>11</v>
      </c>
    </row>
    <row r="4353" spans="1:11" x14ac:dyDescent="0.3">
      <c r="A4353">
        <v>1495</v>
      </c>
      <c r="B4353">
        <v>1</v>
      </c>
      <c r="C4353">
        <v>292</v>
      </c>
      <c r="D4353">
        <v>2</v>
      </c>
      <c r="E4353" s="1">
        <v>369.99</v>
      </c>
      <c r="F4353" s="1">
        <v>0.05</v>
      </c>
      <c r="G4353">
        <v>739.98</v>
      </c>
      <c r="H4353" s="22">
        <f>VLOOKUP(A4353,[1]Orders!$A$2:$B$1616,2,0)</f>
        <v>43195</v>
      </c>
      <c r="J4353" t="s">
        <v>214</v>
      </c>
      <c r="K4353" t="s">
        <v>18</v>
      </c>
    </row>
    <row r="4354" spans="1:11" x14ac:dyDescent="0.3">
      <c r="A4354">
        <v>1495</v>
      </c>
      <c r="B4354">
        <v>2</v>
      </c>
      <c r="C4354">
        <v>308</v>
      </c>
      <c r="D4354">
        <v>2</v>
      </c>
      <c r="E4354" s="1">
        <v>749.99</v>
      </c>
      <c r="F4354" s="1">
        <v>0.2</v>
      </c>
      <c r="G4354">
        <v>1499.98</v>
      </c>
      <c r="H4354" s="22">
        <f>VLOOKUP(A4354,[1]Orders!$A$2:$B$1616,2,0)</f>
        <v>43195</v>
      </c>
      <c r="J4354" t="s">
        <v>241</v>
      </c>
      <c r="K4354" t="s">
        <v>18</v>
      </c>
    </row>
    <row r="4355" spans="1:11" x14ac:dyDescent="0.3">
      <c r="A4355">
        <v>1495</v>
      </c>
      <c r="B4355">
        <v>3</v>
      </c>
      <c r="C4355">
        <v>137</v>
      </c>
      <c r="D4355">
        <v>1</v>
      </c>
      <c r="E4355" s="1">
        <v>2599</v>
      </c>
      <c r="F4355" s="1">
        <v>0.1</v>
      </c>
      <c r="G4355">
        <v>2599</v>
      </c>
      <c r="H4355" s="22">
        <f>VLOOKUP(A4355,[1]Orders!$A$2:$B$1616,2,0)</f>
        <v>43195</v>
      </c>
      <c r="J4355" t="s">
        <v>236</v>
      </c>
      <c r="K4355" t="s">
        <v>18</v>
      </c>
    </row>
    <row r="4356" spans="1:11" x14ac:dyDescent="0.3">
      <c r="A4356">
        <v>1496</v>
      </c>
      <c r="B4356">
        <v>1</v>
      </c>
      <c r="C4356">
        <v>248</v>
      </c>
      <c r="D4356">
        <v>1</v>
      </c>
      <c r="E4356" s="1">
        <v>599.99</v>
      </c>
      <c r="F4356" s="1">
        <v>7.0000000000000007E-2</v>
      </c>
      <c r="G4356">
        <v>599.99</v>
      </c>
      <c r="H4356" s="22">
        <f>VLOOKUP(A4356,[1]Orders!$A$2:$B$1616,2,0)</f>
        <v>43196</v>
      </c>
      <c r="J4356" t="s">
        <v>272</v>
      </c>
      <c r="K4356" t="s">
        <v>11</v>
      </c>
    </row>
    <row r="4357" spans="1:11" x14ac:dyDescent="0.3">
      <c r="A4357">
        <v>1496</v>
      </c>
      <c r="B4357">
        <v>2</v>
      </c>
      <c r="C4357">
        <v>214</v>
      </c>
      <c r="D4357">
        <v>1</v>
      </c>
      <c r="E4357" s="1">
        <v>899.99</v>
      </c>
      <c r="F4357" s="1">
        <v>7.0000000000000007E-2</v>
      </c>
      <c r="G4357">
        <v>899.99</v>
      </c>
      <c r="H4357" s="22">
        <f>VLOOKUP(A4357,[1]Orders!$A$2:$B$1616,2,0)</f>
        <v>43196</v>
      </c>
      <c r="J4357" t="s">
        <v>211</v>
      </c>
      <c r="K4357" t="s">
        <v>11</v>
      </c>
    </row>
    <row r="4358" spans="1:11" x14ac:dyDescent="0.3">
      <c r="A4358">
        <v>1496</v>
      </c>
      <c r="B4358">
        <v>3</v>
      </c>
      <c r="C4358">
        <v>224</v>
      </c>
      <c r="D4358">
        <v>2</v>
      </c>
      <c r="E4358" s="1">
        <v>479.99</v>
      </c>
      <c r="F4358" s="1">
        <v>0.05</v>
      </c>
      <c r="G4358">
        <v>959.98</v>
      </c>
      <c r="H4358" s="22">
        <f>VLOOKUP(A4358,[1]Orders!$A$2:$B$1616,2,0)</f>
        <v>43196</v>
      </c>
      <c r="J4358" t="s">
        <v>225</v>
      </c>
      <c r="K4358" t="s">
        <v>11</v>
      </c>
    </row>
    <row r="4359" spans="1:11" x14ac:dyDescent="0.3">
      <c r="A4359">
        <v>1496</v>
      </c>
      <c r="B4359">
        <v>4</v>
      </c>
      <c r="C4359">
        <v>302</v>
      </c>
      <c r="D4359">
        <v>1</v>
      </c>
      <c r="E4359" s="1">
        <v>449.99</v>
      </c>
      <c r="F4359" s="1">
        <v>0.05</v>
      </c>
      <c r="G4359">
        <v>449.99</v>
      </c>
      <c r="H4359" s="22">
        <f>VLOOKUP(A4359,[1]Orders!$A$2:$B$1616,2,0)</f>
        <v>43196</v>
      </c>
      <c r="J4359" t="s">
        <v>248</v>
      </c>
      <c r="K4359" t="s">
        <v>11</v>
      </c>
    </row>
    <row r="4360" spans="1:11" x14ac:dyDescent="0.3">
      <c r="A4360">
        <v>1496</v>
      </c>
      <c r="B4360">
        <v>5</v>
      </c>
      <c r="C4360">
        <v>225</v>
      </c>
      <c r="D4360">
        <v>2</v>
      </c>
      <c r="E4360" s="1">
        <v>959.99</v>
      </c>
      <c r="F4360" s="1">
        <v>0.2</v>
      </c>
      <c r="G4360">
        <v>1919.98</v>
      </c>
      <c r="H4360" s="22">
        <f>VLOOKUP(A4360,[1]Orders!$A$2:$B$1616,2,0)</f>
        <v>43196</v>
      </c>
      <c r="J4360" t="s">
        <v>212</v>
      </c>
      <c r="K4360" t="s">
        <v>11</v>
      </c>
    </row>
    <row r="4361" spans="1:11" x14ac:dyDescent="0.3">
      <c r="A4361">
        <v>1497</v>
      </c>
      <c r="B4361">
        <v>1</v>
      </c>
      <c r="C4361">
        <v>141</v>
      </c>
      <c r="D4361">
        <v>2</v>
      </c>
      <c r="E4361" s="1">
        <v>1599.99</v>
      </c>
      <c r="F4361" s="1">
        <v>0.2</v>
      </c>
      <c r="G4361">
        <v>3199.98</v>
      </c>
      <c r="H4361" s="22">
        <f>VLOOKUP(A4361,[1]Orders!$A$2:$B$1616,2,0)</f>
        <v>43196</v>
      </c>
      <c r="J4361" t="s">
        <v>256</v>
      </c>
      <c r="K4361" t="s">
        <v>11</v>
      </c>
    </row>
    <row r="4362" spans="1:11" x14ac:dyDescent="0.3">
      <c r="A4362">
        <v>1497</v>
      </c>
      <c r="B4362">
        <v>2</v>
      </c>
      <c r="C4362">
        <v>198</v>
      </c>
      <c r="D4362">
        <v>2</v>
      </c>
      <c r="E4362" s="1">
        <v>2999.99</v>
      </c>
      <c r="F4362" s="1">
        <v>0.1</v>
      </c>
      <c r="G4362">
        <v>5999.98</v>
      </c>
      <c r="H4362" s="22">
        <f>VLOOKUP(A4362,[1]Orders!$A$2:$B$1616,2,0)</f>
        <v>43196</v>
      </c>
      <c r="J4362" t="s">
        <v>216</v>
      </c>
      <c r="K4362" t="s">
        <v>11</v>
      </c>
    </row>
    <row r="4363" spans="1:11" x14ac:dyDescent="0.3">
      <c r="A4363">
        <v>1497</v>
      </c>
      <c r="B4363">
        <v>3</v>
      </c>
      <c r="C4363">
        <v>204</v>
      </c>
      <c r="D4363">
        <v>2</v>
      </c>
      <c r="E4363" s="1">
        <v>3599.99</v>
      </c>
      <c r="F4363" s="1">
        <v>7.0000000000000007E-2</v>
      </c>
      <c r="G4363">
        <v>7199.98</v>
      </c>
      <c r="H4363" s="22">
        <f>VLOOKUP(A4363,[1]Orders!$A$2:$B$1616,2,0)</f>
        <v>43196</v>
      </c>
      <c r="J4363" t="s">
        <v>187</v>
      </c>
      <c r="K4363" t="s">
        <v>11</v>
      </c>
    </row>
    <row r="4364" spans="1:11" x14ac:dyDescent="0.3">
      <c r="A4364">
        <v>1498</v>
      </c>
      <c r="B4364">
        <v>1</v>
      </c>
      <c r="C4364">
        <v>172</v>
      </c>
      <c r="D4364">
        <v>1</v>
      </c>
      <c r="E4364" s="1">
        <v>3199.99</v>
      </c>
      <c r="F4364" s="1">
        <v>0.05</v>
      </c>
      <c r="G4364">
        <v>3199.99</v>
      </c>
      <c r="H4364" s="22">
        <f>VLOOKUP(A4364,[1]Orders!$A$2:$B$1616,2,0)</f>
        <v>43196</v>
      </c>
      <c r="J4364" t="s">
        <v>163</v>
      </c>
      <c r="K4364" t="s">
        <v>11</v>
      </c>
    </row>
    <row r="4365" spans="1:11" x14ac:dyDescent="0.3">
      <c r="A4365">
        <v>1498</v>
      </c>
      <c r="B4365">
        <v>2</v>
      </c>
      <c r="C4365">
        <v>260</v>
      </c>
      <c r="D4365">
        <v>2</v>
      </c>
      <c r="E4365" s="1">
        <v>799.99</v>
      </c>
      <c r="F4365" s="1">
        <v>7.0000000000000007E-2</v>
      </c>
      <c r="G4365">
        <v>1599.98</v>
      </c>
      <c r="H4365" s="22">
        <f>VLOOKUP(A4365,[1]Orders!$A$2:$B$1616,2,0)</f>
        <v>43196</v>
      </c>
      <c r="J4365" t="s">
        <v>141</v>
      </c>
      <c r="K4365" t="s">
        <v>11</v>
      </c>
    </row>
    <row r="4366" spans="1:11" x14ac:dyDescent="0.3">
      <c r="A4366">
        <v>1499</v>
      </c>
      <c r="B4366">
        <v>1</v>
      </c>
      <c r="C4366">
        <v>110</v>
      </c>
      <c r="D4366">
        <v>1</v>
      </c>
      <c r="E4366" s="1">
        <v>470.99</v>
      </c>
      <c r="F4366" s="1">
        <v>0.05</v>
      </c>
      <c r="G4366">
        <v>470.99</v>
      </c>
      <c r="H4366" s="22">
        <f>VLOOKUP(A4366,[1]Orders!$A$2:$B$1616,2,0)</f>
        <v>43196</v>
      </c>
      <c r="J4366" t="s">
        <v>65</v>
      </c>
      <c r="K4366" t="s">
        <v>11</v>
      </c>
    </row>
    <row r="4367" spans="1:11" x14ac:dyDescent="0.3">
      <c r="A4367">
        <v>1499</v>
      </c>
      <c r="B4367">
        <v>2</v>
      </c>
      <c r="C4367">
        <v>208</v>
      </c>
      <c r="D4367">
        <v>1</v>
      </c>
      <c r="E4367" s="1">
        <v>1799.99</v>
      </c>
      <c r="F4367" s="1">
        <v>7.0000000000000007E-2</v>
      </c>
      <c r="G4367">
        <v>1799.99</v>
      </c>
      <c r="H4367" s="22">
        <f>VLOOKUP(A4367,[1]Orders!$A$2:$B$1616,2,0)</f>
        <v>43196</v>
      </c>
      <c r="J4367" t="s">
        <v>201</v>
      </c>
      <c r="K4367" t="s">
        <v>11</v>
      </c>
    </row>
    <row r="4368" spans="1:11" x14ac:dyDescent="0.3">
      <c r="A4368">
        <v>1499</v>
      </c>
      <c r="B4368">
        <v>3</v>
      </c>
      <c r="C4368">
        <v>268</v>
      </c>
      <c r="D4368">
        <v>2</v>
      </c>
      <c r="E4368" s="1">
        <v>159.99</v>
      </c>
      <c r="F4368" s="1">
        <v>0.05</v>
      </c>
      <c r="G4368">
        <v>319.98</v>
      </c>
      <c r="H4368" s="22">
        <f>VLOOKUP(A4368,[1]Orders!$A$2:$B$1616,2,0)</f>
        <v>43196</v>
      </c>
      <c r="J4368" t="s">
        <v>222</v>
      </c>
      <c r="K4368" t="s">
        <v>11</v>
      </c>
    </row>
    <row r="4369" spans="1:11" x14ac:dyDescent="0.3">
      <c r="A4369">
        <v>1499</v>
      </c>
      <c r="B4369">
        <v>4</v>
      </c>
      <c r="C4369">
        <v>2</v>
      </c>
      <c r="D4369">
        <v>1</v>
      </c>
      <c r="E4369" s="1">
        <v>749.99</v>
      </c>
      <c r="F4369" s="1">
        <v>0.05</v>
      </c>
      <c r="G4369">
        <v>749.99</v>
      </c>
      <c r="H4369" s="22">
        <f>VLOOKUP(A4369,[1]Orders!$A$2:$B$1616,2,0)</f>
        <v>43196</v>
      </c>
      <c r="J4369" t="s">
        <v>22</v>
      </c>
      <c r="K4369" t="s">
        <v>11</v>
      </c>
    </row>
    <row r="4370" spans="1:11" x14ac:dyDescent="0.3">
      <c r="A4370">
        <v>1499</v>
      </c>
      <c r="B4370">
        <v>5</v>
      </c>
      <c r="C4370">
        <v>171</v>
      </c>
      <c r="D4370">
        <v>2</v>
      </c>
      <c r="E4370" s="1">
        <v>3199.99</v>
      </c>
      <c r="F4370" s="1">
        <v>0.1</v>
      </c>
      <c r="G4370">
        <v>6399.98</v>
      </c>
      <c r="H4370" s="22">
        <f>VLOOKUP(A4370,[1]Orders!$A$2:$B$1616,2,0)</f>
        <v>43196</v>
      </c>
      <c r="J4370" t="s">
        <v>217</v>
      </c>
      <c r="K4370" t="s">
        <v>11</v>
      </c>
    </row>
    <row r="4371" spans="1:11" x14ac:dyDescent="0.3">
      <c r="A4371">
        <v>1500</v>
      </c>
      <c r="B4371">
        <v>1</v>
      </c>
      <c r="C4371">
        <v>41</v>
      </c>
      <c r="D4371">
        <v>2</v>
      </c>
      <c r="E4371" s="1">
        <v>1469.99</v>
      </c>
      <c r="F4371" s="1">
        <v>7.0000000000000007E-2</v>
      </c>
      <c r="G4371">
        <v>2939.98</v>
      </c>
      <c r="H4371" s="22">
        <f>VLOOKUP(A4371,[1]Orders!$A$2:$B$1616,2,0)</f>
        <v>43196</v>
      </c>
      <c r="J4371" t="s">
        <v>77</v>
      </c>
      <c r="K4371" t="s">
        <v>11</v>
      </c>
    </row>
    <row r="4372" spans="1:11" x14ac:dyDescent="0.3">
      <c r="A4372">
        <v>1500</v>
      </c>
      <c r="B4372">
        <v>2</v>
      </c>
      <c r="C4372">
        <v>293</v>
      </c>
      <c r="D4372">
        <v>1</v>
      </c>
      <c r="E4372" s="1">
        <v>319.99</v>
      </c>
      <c r="F4372" s="1">
        <v>7.0000000000000007E-2</v>
      </c>
      <c r="G4372">
        <v>319.99</v>
      </c>
      <c r="H4372" s="22">
        <f>VLOOKUP(A4372,[1]Orders!$A$2:$B$1616,2,0)</f>
        <v>43196</v>
      </c>
      <c r="J4372" t="s">
        <v>279</v>
      </c>
      <c r="K4372" t="s">
        <v>11</v>
      </c>
    </row>
    <row r="4373" spans="1:11" x14ac:dyDescent="0.3">
      <c r="A4373">
        <v>1501</v>
      </c>
      <c r="B4373">
        <v>1</v>
      </c>
      <c r="C4373">
        <v>248</v>
      </c>
      <c r="D4373">
        <v>1</v>
      </c>
      <c r="E4373" s="1">
        <v>599.99</v>
      </c>
      <c r="F4373" s="1">
        <v>0.05</v>
      </c>
      <c r="G4373">
        <v>599.99</v>
      </c>
      <c r="H4373" s="22">
        <f>VLOOKUP(A4373,[1]Orders!$A$2:$B$1616,2,0)</f>
        <v>43196</v>
      </c>
      <c r="J4373" t="s">
        <v>272</v>
      </c>
      <c r="K4373" t="s">
        <v>18</v>
      </c>
    </row>
    <row r="4374" spans="1:11" x14ac:dyDescent="0.3">
      <c r="A4374">
        <v>1501</v>
      </c>
      <c r="B4374">
        <v>2</v>
      </c>
      <c r="C4374">
        <v>219</v>
      </c>
      <c r="D4374">
        <v>1</v>
      </c>
      <c r="E4374" s="1">
        <v>639.99</v>
      </c>
      <c r="F4374" s="1">
        <v>7.0000000000000007E-2</v>
      </c>
      <c r="G4374">
        <v>639.99</v>
      </c>
      <c r="H4374" s="22">
        <f>VLOOKUP(A4374,[1]Orders!$A$2:$B$1616,2,0)</f>
        <v>43196</v>
      </c>
      <c r="J4374" t="s">
        <v>246</v>
      </c>
      <c r="K4374" t="s">
        <v>18</v>
      </c>
    </row>
    <row r="4375" spans="1:11" x14ac:dyDescent="0.3">
      <c r="A4375">
        <v>1501</v>
      </c>
      <c r="B4375">
        <v>3</v>
      </c>
      <c r="C4375">
        <v>15</v>
      </c>
      <c r="D4375">
        <v>1</v>
      </c>
      <c r="E4375" s="1">
        <v>529.99</v>
      </c>
      <c r="F4375" s="1">
        <v>0.05</v>
      </c>
      <c r="G4375">
        <v>529.99</v>
      </c>
      <c r="H4375" s="22">
        <f>VLOOKUP(A4375,[1]Orders!$A$2:$B$1616,2,0)</f>
        <v>43196</v>
      </c>
      <c r="J4375" t="s">
        <v>27</v>
      </c>
      <c r="K4375" t="s">
        <v>18</v>
      </c>
    </row>
    <row r="4376" spans="1:11" x14ac:dyDescent="0.3">
      <c r="A4376">
        <v>1501</v>
      </c>
      <c r="B4376">
        <v>4</v>
      </c>
      <c r="C4376">
        <v>67</v>
      </c>
      <c r="D4376">
        <v>1</v>
      </c>
      <c r="E4376" s="1">
        <v>250.99</v>
      </c>
      <c r="F4376" s="1">
        <v>0.2</v>
      </c>
      <c r="G4376">
        <v>250.99</v>
      </c>
      <c r="H4376" s="22">
        <f>VLOOKUP(A4376,[1]Orders!$A$2:$B$1616,2,0)</f>
        <v>43196</v>
      </c>
      <c r="J4376" t="s">
        <v>60</v>
      </c>
      <c r="K4376" t="s">
        <v>18</v>
      </c>
    </row>
    <row r="4377" spans="1:11" x14ac:dyDescent="0.3">
      <c r="A4377">
        <v>1501</v>
      </c>
      <c r="B4377">
        <v>5</v>
      </c>
      <c r="C4377">
        <v>210</v>
      </c>
      <c r="D4377">
        <v>1</v>
      </c>
      <c r="E4377" s="1">
        <v>1549</v>
      </c>
      <c r="F4377" s="1">
        <v>0.05</v>
      </c>
      <c r="G4377">
        <v>1549</v>
      </c>
      <c r="H4377" s="22">
        <f>VLOOKUP(A4377,[1]Orders!$A$2:$B$1616,2,0)</f>
        <v>43196</v>
      </c>
      <c r="J4377" t="s">
        <v>171</v>
      </c>
      <c r="K4377" t="s">
        <v>18</v>
      </c>
    </row>
    <row r="4378" spans="1:11" x14ac:dyDescent="0.3">
      <c r="A4378">
        <v>1502</v>
      </c>
      <c r="B4378">
        <v>1</v>
      </c>
      <c r="C4378">
        <v>231</v>
      </c>
      <c r="D4378">
        <v>2</v>
      </c>
      <c r="E4378" s="1">
        <v>529.99</v>
      </c>
      <c r="F4378" s="1">
        <v>0.2</v>
      </c>
      <c r="G4378">
        <v>1059.98</v>
      </c>
      <c r="H4378" s="22">
        <f>VLOOKUP(A4378,[1]Orders!$A$2:$B$1616,2,0)</f>
        <v>43196</v>
      </c>
      <c r="J4378" t="s">
        <v>280</v>
      </c>
      <c r="K4378" t="s">
        <v>18</v>
      </c>
    </row>
    <row r="4379" spans="1:11" x14ac:dyDescent="0.3">
      <c r="A4379">
        <v>1502</v>
      </c>
      <c r="B4379">
        <v>2</v>
      </c>
      <c r="C4379">
        <v>19</v>
      </c>
      <c r="D4379">
        <v>2</v>
      </c>
      <c r="E4379" s="1">
        <v>449</v>
      </c>
      <c r="F4379" s="1">
        <v>7.0000000000000007E-2</v>
      </c>
      <c r="G4379">
        <v>898</v>
      </c>
      <c r="H4379" s="22">
        <f>VLOOKUP(A4379,[1]Orders!$A$2:$B$1616,2,0)</f>
        <v>43196</v>
      </c>
      <c r="J4379" t="s">
        <v>36</v>
      </c>
      <c r="K4379" t="s">
        <v>18</v>
      </c>
    </row>
    <row r="4380" spans="1:11" x14ac:dyDescent="0.3">
      <c r="A4380">
        <v>1502</v>
      </c>
      <c r="B4380">
        <v>3</v>
      </c>
      <c r="C4380">
        <v>26</v>
      </c>
      <c r="D4380">
        <v>2</v>
      </c>
      <c r="E4380" s="1">
        <v>599.99</v>
      </c>
      <c r="F4380" s="1">
        <v>7.0000000000000007E-2</v>
      </c>
      <c r="G4380">
        <v>1199.98</v>
      </c>
      <c r="H4380" s="22">
        <f>VLOOKUP(A4380,[1]Orders!$A$2:$B$1616,2,0)</f>
        <v>43196</v>
      </c>
      <c r="J4380" t="s">
        <v>14</v>
      </c>
      <c r="K4380" t="s">
        <v>18</v>
      </c>
    </row>
    <row r="4381" spans="1:11" x14ac:dyDescent="0.3">
      <c r="A4381">
        <v>1502</v>
      </c>
      <c r="B4381">
        <v>4</v>
      </c>
      <c r="C4381">
        <v>268</v>
      </c>
      <c r="D4381">
        <v>1</v>
      </c>
      <c r="E4381" s="1">
        <v>159.99</v>
      </c>
      <c r="F4381" s="1">
        <v>0.2</v>
      </c>
      <c r="G4381">
        <v>159.99</v>
      </c>
      <c r="H4381" s="22">
        <f>VLOOKUP(A4381,[1]Orders!$A$2:$B$1616,2,0)</f>
        <v>43196</v>
      </c>
      <c r="J4381" t="s">
        <v>222</v>
      </c>
      <c r="K4381" t="s">
        <v>18</v>
      </c>
    </row>
    <row r="4382" spans="1:11" x14ac:dyDescent="0.3">
      <c r="A4382">
        <v>1502</v>
      </c>
      <c r="B4382">
        <v>5</v>
      </c>
      <c r="C4382">
        <v>255</v>
      </c>
      <c r="D4382">
        <v>1</v>
      </c>
      <c r="E4382" s="1">
        <v>899.99</v>
      </c>
      <c r="F4382" s="1">
        <v>7.0000000000000007E-2</v>
      </c>
      <c r="G4382">
        <v>899.99</v>
      </c>
      <c r="H4382" s="22">
        <f>VLOOKUP(A4382,[1]Orders!$A$2:$B$1616,2,0)</f>
        <v>43196</v>
      </c>
      <c r="J4382" t="s">
        <v>208</v>
      </c>
      <c r="K4382" t="s">
        <v>18</v>
      </c>
    </row>
    <row r="4383" spans="1:11" x14ac:dyDescent="0.3">
      <c r="A4383">
        <v>1503</v>
      </c>
      <c r="B4383">
        <v>1</v>
      </c>
      <c r="C4383">
        <v>217</v>
      </c>
      <c r="D4383">
        <v>1</v>
      </c>
      <c r="E4383" s="1">
        <v>909.99</v>
      </c>
      <c r="F4383" s="1">
        <v>0.1</v>
      </c>
      <c r="G4383">
        <v>909.99</v>
      </c>
      <c r="H4383" s="22">
        <f>VLOOKUP(A4383,[1]Orders!$A$2:$B$1616,2,0)</f>
        <v>43197</v>
      </c>
      <c r="J4383" t="s">
        <v>226</v>
      </c>
      <c r="K4383" t="s">
        <v>11</v>
      </c>
    </row>
    <row r="4384" spans="1:11" x14ac:dyDescent="0.3">
      <c r="A4384">
        <v>1503</v>
      </c>
      <c r="B4384">
        <v>2</v>
      </c>
      <c r="C4384">
        <v>302</v>
      </c>
      <c r="D4384">
        <v>2</v>
      </c>
      <c r="E4384" s="1">
        <v>449.99</v>
      </c>
      <c r="F4384" s="1">
        <v>0.05</v>
      </c>
      <c r="G4384">
        <v>899.98</v>
      </c>
      <c r="H4384" s="22">
        <f>VLOOKUP(A4384,[1]Orders!$A$2:$B$1616,2,0)</f>
        <v>43197</v>
      </c>
      <c r="J4384" t="s">
        <v>248</v>
      </c>
      <c r="K4384" t="s">
        <v>11</v>
      </c>
    </row>
    <row r="4385" spans="1:11" x14ac:dyDescent="0.3">
      <c r="A4385">
        <v>1504</v>
      </c>
      <c r="B4385">
        <v>1</v>
      </c>
      <c r="C4385">
        <v>276</v>
      </c>
      <c r="D4385">
        <v>1</v>
      </c>
      <c r="E4385" s="1">
        <v>319.99</v>
      </c>
      <c r="F4385" s="1">
        <v>7.0000000000000007E-2</v>
      </c>
      <c r="G4385">
        <v>319.99</v>
      </c>
      <c r="H4385" s="22">
        <f>VLOOKUP(A4385,[1]Orders!$A$2:$B$1616,2,0)</f>
        <v>43198</v>
      </c>
      <c r="J4385" t="s">
        <v>183</v>
      </c>
      <c r="K4385" t="s">
        <v>11</v>
      </c>
    </row>
    <row r="4386" spans="1:11" x14ac:dyDescent="0.3">
      <c r="A4386">
        <v>1505</v>
      </c>
      <c r="B4386">
        <v>1</v>
      </c>
      <c r="C4386">
        <v>223</v>
      </c>
      <c r="D4386">
        <v>2</v>
      </c>
      <c r="E4386" s="1">
        <v>529.99</v>
      </c>
      <c r="F4386" s="1">
        <v>0.05</v>
      </c>
      <c r="G4386">
        <v>1059.98</v>
      </c>
      <c r="H4386" s="22">
        <f>VLOOKUP(A4386,[1]Orders!$A$2:$B$1616,2,0)</f>
        <v>43198</v>
      </c>
      <c r="J4386" t="s">
        <v>202</v>
      </c>
      <c r="K4386" t="s">
        <v>18</v>
      </c>
    </row>
    <row r="4387" spans="1:11" x14ac:dyDescent="0.3">
      <c r="A4387">
        <v>1505</v>
      </c>
      <c r="B4387">
        <v>2</v>
      </c>
      <c r="C4387">
        <v>24</v>
      </c>
      <c r="D4387">
        <v>2</v>
      </c>
      <c r="E4387" s="1">
        <v>549.99</v>
      </c>
      <c r="F4387" s="1">
        <v>7.0000000000000007E-2</v>
      </c>
      <c r="G4387">
        <v>1099.98</v>
      </c>
      <c r="H4387" s="22">
        <f>VLOOKUP(A4387,[1]Orders!$A$2:$B$1616,2,0)</f>
        <v>43198</v>
      </c>
      <c r="J4387" t="s">
        <v>25</v>
      </c>
      <c r="K4387" t="s">
        <v>18</v>
      </c>
    </row>
    <row r="4388" spans="1:11" x14ac:dyDescent="0.3">
      <c r="A4388">
        <v>1505</v>
      </c>
      <c r="B4388">
        <v>3</v>
      </c>
      <c r="C4388">
        <v>43</v>
      </c>
      <c r="D4388">
        <v>2</v>
      </c>
      <c r="E4388" s="1">
        <v>5299.99</v>
      </c>
      <c r="F4388" s="1">
        <v>0.05</v>
      </c>
      <c r="G4388">
        <v>10599.98</v>
      </c>
      <c r="H4388" s="22">
        <f>VLOOKUP(A4388,[1]Orders!$A$2:$B$1616,2,0)</f>
        <v>43198</v>
      </c>
      <c r="J4388" t="s">
        <v>62</v>
      </c>
      <c r="K4388" t="s">
        <v>18</v>
      </c>
    </row>
    <row r="4389" spans="1:11" x14ac:dyDescent="0.3">
      <c r="A4389">
        <v>1506</v>
      </c>
      <c r="B4389">
        <v>1</v>
      </c>
      <c r="C4389">
        <v>184</v>
      </c>
      <c r="D4389">
        <v>1</v>
      </c>
      <c r="E4389" s="1">
        <v>3499.99</v>
      </c>
      <c r="F4389" s="1">
        <v>0.05</v>
      </c>
      <c r="G4389">
        <v>3499.99</v>
      </c>
      <c r="H4389" s="22">
        <f>VLOOKUP(A4389,[1]Orders!$A$2:$B$1616,2,0)</f>
        <v>43198</v>
      </c>
      <c r="J4389" t="s">
        <v>161</v>
      </c>
      <c r="K4389" t="s">
        <v>18</v>
      </c>
    </row>
    <row r="4390" spans="1:11" x14ac:dyDescent="0.3">
      <c r="A4390">
        <v>1506</v>
      </c>
      <c r="B4390">
        <v>2</v>
      </c>
      <c r="C4390">
        <v>153</v>
      </c>
      <c r="D4390">
        <v>2</v>
      </c>
      <c r="E4390" s="1">
        <v>4999.99</v>
      </c>
      <c r="F4390" s="1">
        <v>0.2</v>
      </c>
      <c r="G4390">
        <v>9999.98</v>
      </c>
      <c r="H4390" s="22">
        <f>VLOOKUP(A4390,[1]Orders!$A$2:$B$1616,2,0)</f>
        <v>43198</v>
      </c>
      <c r="J4390" t="s">
        <v>153</v>
      </c>
      <c r="K4390" t="s">
        <v>18</v>
      </c>
    </row>
    <row r="4391" spans="1:11" x14ac:dyDescent="0.3">
      <c r="A4391">
        <v>1506</v>
      </c>
      <c r="B4391">
        <v>3</v>
      </c>
      <c r="C4391">
        <v>149</v>
      </c>
      <c r="D4391">
        <v>2</v>
      </c>
      <c r="E4391" s="1">
        <v>7499.99</v>
      </c>
      <c r="F4391" s="1">
        <v>0.05</v>
      </c>
      <c r="G4391">
        <v>14999.98</v>
      </c>
      <c r="H4391" s="22">
        <f>VLOOKUP(A4391,[1]Orders!$A$2:$B$1616,2,0)</f>
        <v>43198</v>
      </c>
      <c r="J4391" t="s">
        <v>180</v>
      </c>
      <c r="K4391" t="s">
        <v>18</v>
      </c>
    </row>
    <row r="4392" spans="1:11" x14ac:dyDescent="0.3">
      <c r="A4392">
        <v>1507</v>
      </c>
      <c r="B4392">
        <v>1</v>
      </c>
      <c r="C4392">
        <v>39</v>
      </c>
      <c r="D4392">
        <v>2</v>
      </c>
      <c r="E4392" s="1">
        <v>1499.99</v>
      </c>
      <c r="F4392" s="1">
        <v>0.2</v>
      </c>
      <c r="G4392">
        <v>2999.98</v>
      </c>
      <c r="H4392" s="22">
        <f>VLOOKUP(A4392,[1]Orders!$A$2:$B$1616,2,0)</f>
        <v>43198</v>
      </c>
      <c r="J4392" t="s">
        <v>72</v>
      </c>
      <c r="K4392" t="s">
        <v>18</v>
      </c>
    </row>
    <row r="4393" spans="1:11" x14ac:dyDescent="0.3">
      <c r="A4393">
        <v>1507</v>
      </c>
      <c r="B4393">
        <v>2</v>
      </c>
      <c r="C4393">
        <v>11</v>
      </c>
      <c r="D4393">
        <v>2</v>
      </c>
      <c r="E4393" s="1">
        <v>1680.99</v>
      </c>
      <c r="F4393" s="1">
        <v>0.1</v>
      </c>
      <c r="G4393">
        <v>3361.98</v>
      </c>
      <c r="H4393" s="22">
        <f>VLOOKUP(A4393,[1]Orders!$A$2:$B$1616,2,0)</f>
        <v>43198</v>
      </c>
      <c r="J4393" t="s">
        <v>30</v>
      </c>
      <c r="K4393" t="s">
        <v>18</v>
      </c>
    </row>
    <row r="4394" spans="1:11" x14ac:dyDescent="0.3">
      <c r="A4394">
        <v>1507</v>
      </c>
      <c r="B4394">
        <v>3</v>
      </c>
      <c r="C4394">
        <v>259</v>
      </c>
      <c r="D4394">
        <v>1</v>
      </c>
      <c r="E4394" s="1">
        <v>1199.99</v>
      </c>
      <c r="F4394" s="1">
        <v>7.0000000000000007E-2</v>
      </c>
      <c r="G4394">
        <v>1199.99</v>
      </c>
      <c r="H4394" s="22">
        <f>VLOOKUP(A4394,[1]Orders!$A$2:$B$1616,2,0)</f>
        <v>43198</v>
      </c>
      <c r="J4394" t="s">
        <v>281</v>
      </c>
      <c r="K4394" t="s">
        <v>18</v>
      </c>
    </row>
    <row r="4395" spans="1:11" x14ac:dyDescent="0.3">
      <c r="A4395">
        <v>1507</v>
      </c>
      <c r="B4395">
        <v>4</v>
      </c>
      <c r="C4395">
        <v>281</v>
      </c>
      <c r="D4395">
        <v>1</v>
      </c>
      <c r="E4395" s="1">
        <v>319.99</v>
      </c>
      <c r="F4395" s="1">
        <v>7.0000000000000007E-2</v>
      </c>
      <c r="G4395">
        <v>319.99</v>
      </c>
      <c r="H4395" s="22">
        <f>VLOOKUP(A4395,[1]Orders!$A$2:$B$1616,2,0)</f>
        <v>43198</v>
      </c>
      <c r="J4395" t="s">
        <v>218</v>
      </c>
      <c r="K4395" t="s">
        <v>18</v>
      </c>
    </row>
    <row r="4396" spans="1:11" x14ac:dyDescent="0.3">
      <c r="A4396">
        <v>1507</v>
      </c>
      <c r="B4396">
        <v>5</v>
      </c>
      <c r="C4396">
        <v>293</v>
      </c>
      <c r="D4396">
        <v>2</v>
      </c>
      <c r="E4396" s="1">
        <v>319.99</v>
      </c>
      <c r="F4396" s="1">
        <v>0.05</v>
      </c>
      <c r="G4396">
        <v>639.98</v>
      </c>
      <c r="H4396" s="22">
        <f>VLOOKUP(A4396,[1]Orders!$A$2:$B$1616,2,0)</f>
        <v>43198</v>
      </c>
      <c r="J4396" t="s">
        <v>279</v>
      </c>
      <c r="K4396" t="s">
        <v>18</v>
      </c>
    </row>
    <row r="4397" spans="1:11" x14ac:dyDescent="0.3">
      <c r="A4397">
        <v>1508</v>
      </c>
      <c r="B4397">
        <v>1</v>
      </c>
      <c r="C4397">
        <v>37</v>
      </c>
      <c r="D4397">
        <v>1</v>
      </c>
      <c r="E4397" s="1">
        <v>379.99</v>
      </c>
      <c r="F4397" s="1">
        <v>0.2</v>
      </c>
      <c r="G4397">
        <v>379.99</v>
      </c>
      <c r="H4397" s="22">
        <f>VLOOKUP(A4397,[1]Orders!$A$2:$B$1616,2,0)</f>
        <v>43198</v>
      </c>
      <c r="J4397" t="s">
        <v>98</v>
      </c>
      <c r="K4397" t="s">
        <v>18</v>
      </c>
    </row>
    <row r="4398" spans="1:11" x14ac:dyDescent="0.3">
      <c r="A4398">
        <v>1508</v>
      </c>
      <c r="B4398">
        <v>2</v>
      </c>
      <c r="C4398">
        <v>109</v>
      </c>
      <c r="D4398">
        <v>1</v>
      </c>
      <c r="E4398" s="1">
        <v>416.99</v>
      </c>
      <c r="F4398" s="1">
        <v>0.1</v>
      </c>
      <c r="G4398">
        <v>416.99</v>
      </c>
      <c r="H4398" s="22">
        <f>VLOOKUP(A4398,[1]Orders!$A$2:$B$1616,2,0)</f>
        <v>43198</v>
      </c>
      <c r="J4398" t="s">
        <v>49</v>
      </c>
      <c r="K4398" t="s">
        <v>18</v>
      </c>
    </row>
    <row r="4399" spans="1:11" x14ac:dyDescent="0.3">
      <c r="A4399">
        <v>1508</v>
      </c>
      <c r="B4399">
        <v>3</v>
      </c>
      <c r="C4399">
        <v>52</v>
      </c>
      <c r="D4399">
        <v>2</v>
      </c>
      <c r="E4399" s="1">
        <v>875.99</v>
      </c>
      <c r="F4399" s="1">
        <v>0.05</v>
      </c>
      <c r="G4399">
        <v>1751.98</v>
      </c>
      <c r="H4399" s="22">
        <f>VLOOKUP(A4399,[1]Orders!$A$2:$B$1616,2,0)</f>
        <v>43198</v>
      </c>
      <c r="J4399" t="s">
        <v>68</v>
      </c>
      <c r="K4399" t="s">
        <v>18</v>
      </c>
    </row>
    <row r="4400" spans="1:11" x14ac:dyDescent="0.3">
      <c r="A4400">
        <v>1508</v>
      </c>
      <c r="B4400">
        <v>4</v>
      </c>
      <c r="C4400">
        <v>88</v>
      </c>
      <c r="D4400">
        <v>1</v>
      </c>
      <c r="E4400" s="1">
        <v>189.99</v>
      </c>
      <c r="F4400" s="1">
        <v>0.05</v>
      </c>
      <c r="G4400">
        <v>189.99</v>
      </c>
      <c r="H4400" s="22">
        <f>VLOOKUP(A4400,[1]Orders!$A$2:$B$1616,2,0)</f>
        <v>43198</v>
      </c>
      <c r="J4400" t="s">
        <v>64</v>
      </c>
      <c r="K4400" t="s">
        <v>18</v>
      </c>
    </row>
    <row r="4401" spans="1:11" x14ac:dyDescent="0.3">
      <c r="A4401">
        <v>1509</v>
      </c>
      <c r="B4401">
        <v>1</v>
      </c>
      <c r="C4401">
        <v>215</v>
      </c>
      <c r="D4401">
        <v>2</v>
      </c>
      <c r="E4401" s="1">
        <v>749.99</v>
      </c>
      <c r="F4401" s="1">
        <v>7.0000000000000007E-2</v>
      </c>
      <c r="G4401">
        <v>1499.98</v>
      </c>
      <c r="H4401" s="22">
        <f>VLOOKUP(A4401,[1]Orders!$A$2:$B$1616,2,0)</f>
        <v>43199</v>
      </c>
      <c r="J4401" t="s">
        <v>157</v>
      </c>
      <c r="K4401" t="s">
        <v>11</v>
      </c>
    </row>
    <row r="4402" spans="1:11" x14ac:dyDescent="0.3">
      <c r="A4402">
        <v>1510</v>
      </c>
      <c r="B4402">
        <v>1</v>
      </c>
      <c r="C4402">
        <v>142</v>
      </c>
      <c r="D4402">
        <v>2</v>
      </c>
      <c r="E4402" s="1">
        <v>3199.99</v>
      </c>
      <c r="F4402" s="1">
        <v>0.05</v>
      </c>
      <c r="G4402">
        <v>6399.98</v>
      </c>
      <c r="H4402" s="22">
        <f>VLOOKUP(A4402,[1]Orders!$A$2:$B$1616,2,0)</f>
        <v>43199</v>
      </c>
      <c r="J4402" t="s">
        <v>206</v>
      </c>
      <c r="K4402" t="s">
        <v>18</v>
      </c>
    </row>
    <row r="4403" spans="1:11" x14ac:dyDescent="0.3">
      <c r="A4403">
        <v>1510</v>
      </c>
      <c r="B4403">
        <v>2</v>
      </c>
      <c r="C4403">
        <v>68</v>
      </c>
      <c r="D4403">
        <v>1</v>
      </c>
      <c r="E4403" s="1">
        <v>449.99</v>
      </c>
      <c r="F4403" s="1">
        <v>0.1</v>
      </c>
      <c r="G4403">
        <v>449.99</v>
      </c>
      <c r="H4403" s="22">
        <f>VLOOKUP(A4403,[1]Orders!$A$2:$B$1616,2,0)</f>
        <v>43199</v>
      </c>
      <c r="J4403" t="s">
        <v>39</v>
      </c>
      <c r="K4403" t="s">
        <v>18</v>
      </c>
    </row>
    <row r="4404" spans="1:11" x14ac:dyDescent="0.3">
      <c r="A4404">
        <v>1510</v>
      </c>
      <c r="B4404">
        <v>3</v>
      </c>
      <c r="C4404">
        <v>251</v>
      </c>
      <c r="D4404">
        <v>2</v>
      </c>
      <c r="E4404" s="1">
        <v>2999.99</v>
      </c>
      <c r="F4404" s="1">
        <v>0.1</v>
      </c>
      <c r="G4404">
        <v>5999.98</v>
      </c>
      <c r="H4404" s="22">
        <f>VLOOKUP(A4404,[1]Orders!$A$2:$B$1616,2,0)</f>
        <v>43199</v>
      </c>
      <c r="J4404" t="s">
        <v>216</v>
      </c>
      <c r="K4404" t="s">
        <v>18</v>
      </c>
    </row>
    <row r="4405" spans="1:11" x14ac:dyDescent="0.3">
      <c r="A4405">
        <v>1510</v>
      </c>
      <c r="B4405">
        <v>4</v>
      </c>
      <c r="C4405">
        <v>220</v>
      </c>
      <c r="D4405">
        <v>2</v>
      </c>
      <c r="E4405" s="1">
        <v>269.99</v>
      </c>
      <c r="F4405" s="1">
        <v>0.1</v>
      </c>
      <c r="G4405">
        <v>539.98</v>
      </c>
      <c r="H4405" s="22">
        <f>VLOOKUP(A4405,[1]Orders!$A$2:$B$1616,2,0)</f>
        <v>43199</v>
      </c>
      <c r="J4405" t="s">
        <v>231</v>
      </c>
      <c r="K4405" t="s">
        <v>18</v>
      </c>
    </row>
    <row r="4406" spans="1:11" x14ac:dyDescent="0.3">
      <c r="A4406">
        <v>1510</v>
      </c>
      <c r="B4406">
        <v>5</v>
      </c>
      <c r="C4406">
        <v>137</v>
      </c>
      <c r="D4406">
        <v>1</v>
      </c>
      <c r="E4406" s="1">
        <v>2599</v>
      </c>
      <c r="F4406" s="1">
        <v>0.05</v>
      </c>
      <c r="G4406">
        <v>2599</v>
      </c>
      <c r="H4406" s="22">
        <f>VLOOKUP(A4406,[1]Orders!$A$2:$B$1616,2,0)</f>
        <v>43199</v>
      </c>
      <c r="J4406" t="s">
        <v>236</v>
      </c>
      <c r="K4406" t="s">
        <v>18</v>
      </c>
    </row>
    <row r="4407" spans="1:11" x14ac:dyDescent="0.3">
      <c r="A4407">
        <v>1511</v>
      </c>
      <c r="B4407">
        <v>1</v>
      </c>
      <c r="C4407">
        <v>144</v>
      </c>
      <c r="D4407">
        <v>2</v>
      </c>
      <c r="E4407" s="1">
        <v>1549.99</v>
      </c>
      <c r="F4407" s="1">
        <v>0.2</v>
      </c>
      <c r="G4407">
        <v>3099.98</v>
      </c>
      <c r="H4407" s="22">
        <f>VLOOKUP(A4407,[1]Orders!$A$2:$B$1616,2,0)</f>
        <v>43199</v>
      </c>
      <c r="J4407" t="s">
        <v>190</v>
      </c>
      <c r="K4407" t="s">
        <v>18</v>
      </c>
    </row>
    <row r="4408" spans="1:11" x14ac:dyDescent="0.3">
      <c r="A4408">
        <v>1511</v>
      </c>
      <c r="B4408">
        <v>2</v>
      </c>
      <c r="C4408">
        <v>288</v>
      </c>
      <c r="D4408">
        <v>1</v>
      </c>
      <c r="E4408" s="1">
        <v>389.99</v>
      </c>
      <c r="F4408" s="1">
        <v>7.0000000000000007E-2</v>
      </c>
      <c r="G4408">
        <v>389.99</v>
      </c>
      <c r="H4408" s="22">
        <f>VLOOKUP(A4408,[1]Orders!$A$2:$B$1616,2,0)</f>
        <v>43199</v>
      </c>
      <c r="J4408" t="s">
        <v>282</v>
      </c>
      <c r="K4408" t="s">
        <v>18</v>
      </c>
    </row>
    <row r="4409" spans="1:11" x14ac:dyDescent="0.3">
      <c r="A4409">
        <v>1511</v>
      </c>
      <c r="B4409">
        <v>3</v>
      </c>
      <c r="C4409">
        <v>17</v>
      </c>
      <c r="D4409">
        <v>2</v>
      </c>
      <c r="E4409" s="1">
        <v>429</v>
      </c>
      <c r="F4409" s="1">
        <v>7.0000000000000007E-2</v>
      </c>
      <c r="G4409">
        <v>858</v>
      </c>
      <c r="H4409" s="22">
        <f>VLOOKUP(A4409,[1]Orders!$A$2:$B$1616,2,0)</f>
        <v>43199</v>
      </c>
      <c r="J4409" t="s">
        <v>23</v>
      </c>
      <c r="K4409" t="s">
        <v>18</v>
      </c>
    </row>
    <row r="4410" spans="1:11" x14ac:dyDescent="0.3">
      <c r="A4410">
        <v>1511</v>
      </c>
      <c r="B4410">
        <v>4</v>
      </c>
      <c r="C4410">
        <v>41</v>
      </c>
      <c r="D4410">
        <v>1</v>
      </c>
      <c r="E4410" s="1">
        <v>1469.99</v>
      </c>
      <c r="F4410" s="1">
        <v>0.05</v>
      </c>
      <c r="G4410">
        <v>1469.99</v>
      </c>
      <c r="H4410" s="22">
        <f>VLOOKUP(A4410,[1]Orders!$A$2:$B$1616,2,0)</f>
        <v>43199</v>
      </c>
      <c r="J4410" t="s">
        <v>77</v>
      </c>
      <c r="K4410" t="s">
        <v>18</v>
      </c>
    </row>
    <row r="4411" spans="1:11" x14ac:dyDescent="0.3">
      <c r="A4411">
        <v>1511</v>
      </c>
      <c r="B4411">
        <v>5</v>
      </c>
      <c r="C4411">
        <v>124</v>
      </c>
      <c r="D4411">
        <v>2</v>
      </c>
      <c r="E4411" s="1">
        <v>1499</v>
      </c>
      <c r="F4411" s="1">
        <v>0.2</v>
      </c>
      <c r="G4411">
        <v>2998</v>
      </c>
      <c r="H4411" s="22">
        <f>VLOOKUP(A4411,[1]Orders!$A$2:$B$1616,2,0)</f>
        <v>43199</v>
      </c>
      <c r="J4411" t="s">
        <v>197</v>
      </c>
      <c r="K4411" t="s">
        <v>18</v>
      </c>
    </row>
    <row r="4412" spans="1:11" x14ac:dyDescent="0.3">
      <c r="A4412">
        <v>1512</v>
      </c>
      <c r="B4412">
        <v>1</v>
      </c>
      <c r="C4412">
        <v>217</v>
      </c>
      <c r="D4412">
        <v>1</v>
      </c>
      <c r="E4412" s="1">
        <v>909.99</v>
      </c>
      <c r="F4412" s="1">
        <v>7.0000000000000007E-2</v>
      </c>
      <c r="G4412">
        <v>909.99</v>
      </c>
      <c r="H4412" s="22">
        <f>VLOOKUP(A4412,[1]Orders!$A$2:$B$1616,2,0)</f>
        <v>43199</v>
      </c>
      <c r="J4412" t="s">
        <v>226</v>
      </c>
      <c r="K4412" t="s">
        <v>37</v>
      </c>
    </row>
    <row r="4413" spans="1:11" x14ac:dyDescent="0.3">
      <c r="A4413">
        <v>1513</v>
      </c>
      <c r="B4413">
        <v>1</v>
      </c>
      <c r="C4413">
        <v>166</v>
      </c>
      <c r="D4413">
        <v>1</v>
      </c>
      <c r="E4413" s="1">
        <v>749.99</v>
      </c>
      <c r="F4413" s="1">
        <v>0.1</v>
      </c>
      <c r="G4413">
        <v>749.99</v>
      </c>
      <c r="H4413" s="22">
        <f>VLOOKUP(A4413,[1]Orders!$A$2:$B$1616,2,0)</f>
        <v>43200</v>
      </c>
      <c r="J4413" t="s">
        <v>179</v>
      </c>
      <c r="K4413" t="s">
        <v>11</v>
      </c>
    </row>
    <row r="4414" spans="1:11" x14ac:dyDescent="0.3">
      <c r="A4414">
        <v>1513</v>
      </c>
      <c r="B4414">
        <v>2</v>
      </c>
      <c r="C4414">
        <v>61</v>
      </c>
      <c r="D4414">
        <v>2</v>
      </c>
      <c r="E4414" s="1">
        <v>4999.99</v>
      </c>
      <c r="F4414" s="1">
        <v>0.05</v>
      </c>
      <c r="G4414">
        <v>9999.98</v>
      </c>
      <c r="H4414" s="22">
        <f>VLOOKUP(A4414,[1]Orders!$A$2:$B$1616,2,0)</f>
        <v>43200</v>
      </c>
      <c r="J4414" t="s">
        <v>45</v>
      </c>
      <c r="K4414" t="s">
        <v>11</v>
      </c>
    </row>
    <row r="4415" spans="1:11" x14ac:dyDescent="0.3">
      <c r="A4415">
        <v>1513</v>
      </c>
      <c r="B4415">
        <v>3</v>
      </c>
      <c r="C4415">
        <v>159</v>
      </c>
      <c r="D4415">
        <v>2</v>
      </c>
      <c r="E4415" s="1">
        <v>2299.9899999999998</v>
      </c>
      <c r="F4415" s="1">
        <v>0.05</v>
      </c>
      <c r="G4415">
        <v>4599.9799999999996</v>
      </c>
      <c r="H4415" s="22">
        <f>VLOOKUP(A4415,[1]Orders!$A$2:$B$1616,2,0)</f>
        <v>43200</v>
      </c>
      <c r="J4415" t="s">
        <v>174</v>
      </c>
      <c r="K4415" t="s">
        <v>11</v>
      </c>
    </row>
    <row r="4416" spans="1:11" x14ac:dyDescent="0.3">
      <c r="A4416">
        <v>1514</v>
      </c>
      <c r="B4416">
        <v>1</v>
      </c>
      <c r="C4416">
        <v>240</v>
      </c>
      <c r="D4416">
        <v>2</v>
      </c>
      <c r="E4416" s="1">
        <v>899.99</v>
      </c>
      <c r="F4416" s="1">
        <v>0.1</v>
      </c>
      <c r="G4416">
        <v>1799.98</v>
      </c>
      <c r="H4416" s="22">
        <f>VLOOKUP(A4416,[1]Orders!$A$2:$B$1616,2,0)</f>
        <v>43200</v>
      </c>
      <c r="J4416" t="s">
        <v>221</v>
      </c>
      <c r="K4416" t="s">
        <v>11</v>
      </c>
    </row>
    <row r="4417" spans="1:11" x14ac:dyDescent="0.3">
      <c r="A4417">
        <v>1514</v>
      </c>
      <c r="B4417">
        <v>2</v>
      </c>
      <c r="C4417">
        <v>203</v>
      </c>
      <c r="D4417">
        <v>2</v>
      </c>
      <c r="E4417" s="1">
        <v>4999.99</v>
      </c>
      <c r="F4417" s="1">
        <v>0.05</v>
      </c>
      <c r="G4417">
        <v>9999.98</v>
      </c>
      <c r="H4417" s="22">
        <f>VLOOKUP(A4417,[1]Orders!$A$2:$B$1616,2,0)</f>
        <v>43200</v>
      </c>
      <c r="J4417" t="s">
        <v>147</v>
      </c>
      <c r="K4417" t="s">
        <v>11</v>
      </c>
    </row>
    <row r="4418" spans="1:11" x14ac:dyDescent="0.3">
      <c r="A4418">
        <v>1515</v>
      </c>
      <c r="B4418">
        <v>1</v>
      </c>
      <c r="C4418">
        <v>27</v>
      </c>
      <c r="D4418">
        <v>2</v>
      </c>
      <c r="E4418" s="1">
        <v>999.99</v>
      </c>
      <c r="F4418" s="1">
        <v>0.2</v>
      </c>
      <c r="G4418">
        <v>1999.98</v>
      </c>
      <c r="H4418" s="22">
        <f>VLOOKUP(A4418,[1]Orders!$A$2:$B$1616,2,0)</f>
        <v>43200</v>
      </c>
      <c r="J4418" t="s">
        <v>106</v>
      </c>
      <c r="K4418" t="s">
        <v>37</v>
      </c>
    </row>
    <row r="4419" spans="1:11" x14ac:dyDescent="0.3">
      <c r="A4419">
        <v>1515</v>
      </c>
      <c r="B4419">
        <v>2</v>
      </c>
      <c r="C4419">
        <v>202</v>
      </c>
      <c r="D4419">
        <v>2</v>
      </c>
      <c r="E4419" s="1">
        <v>3499.99</v>
      </c>
      <c r="F4419" s="1">
        <v>0.1</v>
      </c>
      <c r="G4419">
        <v>6999.98</v>
      </c>
      <c r="H4419" s="22">
        <f>VLOOKUP(A4419,[1]Orders!$A$2:$B$1616,2,0)</f>
        <v>43200</v>
      </c>
      <c r="J4419" t="s">
        <v>283</v>
      </c>
      <c r="K4419" t="s">
        <v>37</v>
      </c>
    </row>
    <row r="4420" spans="1:11" x14ac:dyDescent="0.3">
      <c r="A4420">
        <v>1515</v>
      </c>
      <c r="B4420">
        <v>3</v>
      </c>
      <c r="C4420">
        <v>310</v>
      </c>
      <c r="D4420">
        <v>2</v>
      </c>
      <c r="E4420" s="1">
        <v>899.99</v>
      </c>
      <c r="F4420" s="1">
        <v>0.05</v>
      </c>
      <c r="G4420">
        <v>1799.98</v>
      </c>
      <c r="H4420" s="22">
        <f>VLOOKUP(A4420,[1]Orders!$A$2:$B$1616,2,0)</f>
        <v>43200</v>
      </c>
      <c r="J4420" t="s">
        <v>221</v>
      </c>
      <c r="K4420" t="s">
        <v>37</v>
      </c>
    </row>
    <row r="4421" spans="1:11" x14ac:dyDescent="0.3">
      <c r="A4421">
        <v>1515</v>
      </c>
      <c r="B4421">
        <v>4</v>
      </c>
      <c r="C4421">
        <v>40</v>
      </c>
      <c r="D4421">
        <v>1</v>
      </c>
      <c r="E4421" s="1">
        <v>4999.99</v>
      </c>
      <c r="F4421" s="1">
        <v>0.1</v>
      </c>
      <c r="G4421">
        <v>4999.99</v>
      </c>
      <c r="H4421" s="22">
        <f>VLOOKUP(A4421,[1]Orders!$A$2:$B$1616,2,0)</f>
        <v>43200</v>
      </c>
      <c r="J4421" t="s">
        <v>104</v>
      </c>
      <c r="K4421" t="s">
        <v>37</v>
      </c>
    </row>
    <row r="4422" spans="1:11" x14ac:dyDescent="0.3">
      <c r="A4422">
        <v>1515</v>
      </c>
      <c r="B4422">
        <v>5</v>
      </c>
      <c r="C4422">
        <v>158</v>
      </c>
      <c r="D4422">
        <v>2</v>
      </c>
      <c r="E4422" s="1">
        <v>959.99</v>
      </c>
      <c r="F4422" s="1">
        <v>0.2</v>
      </c>
      <c r="G4422">
        <v>1919.98</v>
      </c>
      <c r="H4422" s="22">
        <f>VLOOKUP(A4422,[1]Orders!$A$2:$B$1616,2,0)</f>
        <v>43200</v>
      </c>
      <c r="J4422" t="s">
        <v>284</v>
      </c>
      <c r="K4422" t="s">
        <v>37</v>
      </c>
    </row>
    <row r="4423" spans="1:11" x14ac:dyDescent="0.3">
      <c r="A4423">
        <v>1516</v>
      </c>
      <c r="B4423">
        <v>1</v>
      </c>
      <c r="C4423">
        <v>172</v>
      </c>
      <c r="D4423">
        <v>2</v>
      </c>
      <c r="E4423" s="1">
        <v>3199.99</v>
      </c>
      <c r="F4423" s="1">
        <v>0.1</v>
      </c>
      <c r="G4423">
        <v>6399.98</v>
      </c>
      <c r="H4423" s="22">
        <f>VLOOKUP(A4423,[1]Orders!$A$2:$B$1616,2,0)</f>
        <v>43201</v>
      </c>
      <c r="J4423" t="s">
        <v>163</v>
      </c>
      <c r="K4423" t="s">
        <v>11</v>
      </c>
    </row>
    <row r="4424" spans="1:11" x14ac:dyDescent="0.3">
      <c r="A4424">
        <v>1516</v>
      </c>
      <c r="B4424">
        <v>2</v>
      </c>
      <c r="C4424">
        <v>253</v>
      </c>
      <c r="D4424">
        <v>1</v>
      </c>
      <c r="E4424" s="1">
        <v>2599.9899999999998</v>
      </c>
      <c r="F4424" s="1">
        <v>0.1</v>
      </c>
      <c r="G4424">
        <v>2599.9899999999998</v>
      </c>
      <c r="H4424" s="22">
        <f>VLOOKUP(A4424,[1]Orders!$A$2:$B$1616,2,0)</f>
        <v>43201</v>
      </c>
      <c r="J4424" t="s">
        <v>138</v>
      </c>
      <c r="K4424" t="s">
        <v>11</v>
      </c>
    </row>
    <row r="4425" spans="1:11" x14ac:dyDescent="0.3">
      <c r="A4425">
        <v>1516</v>
      </c>
      <c r="B4425">
        <v>3</v>
      </c>
      <c r="C4425">
        <v>196</v>
      </c>
      <c r="D4425">
        <v>2</v>
      </c>
      <c r="E4425" s="1">
        <v>2299.9899999999998</v>
      </c>
      <c r="F4425" s="1">
        <v>0.2</v>
      </c>
      <c r="G4425">
        <v>4599.9799999999996</v>
      </c>
      <c r="H4425" s="22">
        <f>VLOOKUP(A4425,[1]Orders!$A$2:$B$1616,2,0)</f>
        <v>43201</v>
      </c>
      <c r="J4425" t="s">
        <v>277</v>
      </c>
      <c r="K4425" t="s">
        <v>11</v>
      </c>
    </row>
    <row r="4426" spans="1:11" x14ac:dyDescent="0.3">
      <c r="A4426">
        <v>1516</v>
      </c>
      <c r="B4426">
        <v>4</v>
      </c>
      <c r="C4426">
        <v>259</v>
      </c>
      <c r="D4426">
        <v>2</v>
      </c>
      <c r="E4426" s="1">
        <v>1199.99</v>
      </c>
      <c r="F4426" s="1">
        <v>0.2</v>
      </c>
      <c r="G4426">
        <v>2399.98</v>
      </c>
      <c r="H4426" s="22">
        <f>VLOOKUP(A4426,[1]Orders!$A$2:$B$1616,2,0)</f>
        <v>43201</v>
      </c>
      <c r="J4426" t="s">
        <v>281</v>
      </c>
      <c r="K4426" t="s">
        <v>11</v>
      </c>
    </row>
    <row r="4427" spans="1:11" x14ac:dyDescent="0.3">
      <c r="A4427">
        <v>1516</v>
      </c>
      <c r="B4427">
        <v>5</v>
      </c>
      <c r="C4427">
        <v>271</v>
      </c>
      <c r="D4427">
        <v>2</v>
      </c>
      <c r="E4427" s="1">
        <v>209.99</v>
      </c>
      <c r="F4427" s="1">
        <v>0.2</v>
      </c>
      <c r="G4427">
        <v>419.98</v>
      </c>
      <c r="H4427" s="22">
        <f>VLOOKUP(A4427,[1]Orders!$A$2:$B$1616,2,0)</f>
        <v>43201</v>
      </c>
      <c r="J4427" t="s">
        <v>259</v>
      </c>
      <c r="K4427" t="s">
        <v>11</v>
      </c>
    </row>
    <row r="4428" spans="1:11" x14ac:dyDescent="0.3">
      <c r="A4428">
        <v>1517</v>
      </c>
      <c r="B4428">
        <v>1</v>
      </c>
      <c r="C4428">
        <v>303</v>
      </c>
      <c r="D4428">
        <v>2</v>
      </c>
      <c r="E4428" s="1">
        <v>2599.9899999999998</v>
      </c>
      <c r="F4428" s="1">
        <v>7.0000000000000007E-2</v>
      </c>
      <c r="G4428">
        <v>5199.9799999999996</v>
      </c>
      <c r="H4428" s="22">
        <f>VLOOKUP(A4428,[1]Orders!$A$2:$B$1616,2,0)</f>
        <v>43201</v>
      </c>
      <c r="J4428" t="s">
        <v>173</v>
      </c>
      <c r="K4428" t="s">
        <v>11</v>
      </c>
    </row>
    <row r="4429" spans="1:11" x14ac:dyDescent="0.3">
      <c r="A4429">
        <v>1517</v>
      </c>
      <c r="B4429">
        <v>2</v>
      </c>
      <c r="C4429">
        <v>226</v>
      </c>
      <c r="D4429">
        <v>2</v>
      </c>
      <c r="E4429" s="1">
        <v>679.99</v>
      </c>
      <c r="F4429" s="1">
        <v>0.05</v>
      </c>
      <c r="G4429">
        <v>1359.98</v>
      </c>
      <c r="H4429" s="22">
        <f>VLOOKUP(A4429,[1]Orders!$A$2:$B$1616,2,0)</f>
        <v>43201</v>
      </c>
      <c r="J4429" t="s">
        <v>146</v>
      </c>
      <c r="K4429" t="s">
        <v>11</v>
      </c>
    </row>
    <row r="4430" spans="1:11" x14ac:dyDescent="0.3">
      <c r="A4430">
        <v>1518</v>
      </c>
      <c r="B4430">
        <v>1</v>
      </c>
      <c r="C4430">
        <v>304</v>
      </c>
      <c r="D4430">
        <v>2</v>
      </c>
      <c r="E4430" s="1">
        <v>679.99</v>
      </c>
      <c r="F4430" s="1">
        <v>0.1</v>
      </c>
      <c r="G4430">
        <v>1359.98</v>
      </c>
      <c r="H4430" s="22">
        <f>VLOOKUP(A4430,[1]Orders!$A$2:$B$1616,2,0)</f>
        <v>43201</v>
      </c>
      <c r="J4430" t="s">
        <v>146</v>
      </c>
      <c r="K4430" t="s">
        <v>11</v>
      </c>
    </row>
    <row r="4431" spans="1:11" x14ac:dyDescent="0.3">
      <c r="A4431">
        <v>1518</v>
      </c>
      <c r="B4431">
        <v>2</v>
      </c>
      <c r="C4431">
        <v>182</v>
      </c>
      <c r="D4431">
        <v>2</v>
      </c>
      <c r="E4431" s="1">
        <v>2499.9899999999998</v>
      </c>
      <c r="F4431" s="1">
        <v>0.05</v>
      </c>
      <c r="G4431">
        <v>4999.9799999999996</v>
      </c>
      <c r="H4431" s="22">
        <f>VLOOKUP(A4431,[1]Orders!$A$2:$B$1616,2,0)</f>
        <v>43201</v>
      </c>
      <c r="J4431" t="s">
        <v>204</v>
      </c>
      <c r="K4431" t="s">
        <v>11</v>
      </c>
    </row>
    <row r="4432" spans="1:11" x14ac:dyDescent="0.3">
      <c r="A4432">
        <v>1518</v>
      </c>
      <c r="B4432">
        <v>3</v>
      </c>
      <c r="C4432">
        <v>252</v>
      </c>
      <c r="D4432">
        <v>2</v>
      </c>
      <c r="E4432" s="1">
        <v>2999.99</v>
      </c>
      <c r="F4432" s="1">
        <v>0.05</v>
      </c>
      <c r="G4432">
        <v>5999.98</v>
      </c>
      <c r="H4432" s="22">
        <f>VLOOKUP(A4432,[1]Orders!$A$2:$B$1616,2,0)</f>
        <v>43201</v>
      </c>
      <c r="J4432" t="s">
        <v>182</v>
      </c>
      <c r="K4432" t="s">
        <v>11</v>
      </c>
    </row>
    <row r="4433" spans="1:11" x14ac:dyDescent="0.3">
      <c r="A4433">
        <v>1519</v>
      </c>
      <c r="B4433">
        <v>1</v>
      </c>
      <c r="C4433">
        <v>150</v>
      </c>
      <c r="D4433">
        <v>1</v>
      </c>
      <c r="E4433" s="1">
        <v>4499.99</v>
      </c>
      <c r="F4433" s="1">
        <v>0.2</v>
      </c>
      <c r="G4433">
        <v>4499.99</v>
      </c>
      <c r="H4433" s="22">
        <f>VLOOKUP(A4433,[1]Orders!$A$2:$B$1616,2,0)</f>
        <v>43201</v>
      </c>
      <c r="J4433" t="s">
        <v>166</v>
      </c>
      <c r="K4433" t="s">
        <v>18</v>
      </c>
    </row>
    <row r="4434" spans="1:11" x14ac:dyDescent="0.3">
      <c r="A4434">
        <v>1519</v>
      </c>
      <c r="B4434">
        <v>2</v>
      </c>
      <c r="C4434">
        <v>85</v>
      </c>
      <c r="D4434">
        <v>2</v>
      </c>
      <c r="E4434" s="1">
        <v>329.99</v>
      </c>
      <c r="F4434" s="1">
        <v>0.2</v>
      </c>
      <c r="G4434">
        <v>659.98</v>
      </c>
      <c r="H4434" s="22">
        <f>VLOOKUP(A4434,[1]Orders!$A$2:$B$1616,2,0)</f>
        <v>43201</v>
      </c>
      <c r="J4434" t="s">
        <v>38</v>
      </c>
      <c r="K4434" t="s">
        <v>18</v>
      </c>
    </row>
    <row r="4435" spans="1:11" x14ac:dyDescent="0.3">
      <c r="A4435">
        <v>1519</v>
      </c>
      <c r="B4435">
        <v>3</v>
      </c>
      <c r="C4435">
        <v>124</v>
      </c>
      <c r="D4435">
        <v>2</v>
      </c>
      <c r="E4435" s="1">
        <v>1499</v>
      </c>
      <c r="F4435" s="1">
        <v>7.0000000000000007E-2</v>
      </c>
      <c r="G4435">
        <v>2998</v>
      </c>
      <c r="H4435" s="22">
        <f>VLOOKUP(A4435,[1]Orders!$A$2:$B$1616,2,0)</f>
        <v>43201</v>
      </c>
      <c r="J4435" t="s">
        <v>197</v>
      </c>
      <c r="K4435" t="s">
        <v>18</v>
      </c>
    </row>
    <row r="4436" spans="1:11" x14ac:dyDescent="0.3">
      <c r="A4436">
        <v>1519</v>
      </c>
      <c r="B4436">
        <v>4</v>
      </c>
      <c r="C4436">
        <v>65</v>
      </c>
      <c r="D4436">
        <v>1</v>
      </c>
      <c r="E4436" s="1">
        <v>346.99</v>
      </c>
      <c r="F4436" s="1">
        <v>0.2</v>
      </c>
      <c r="G4436">
        <v>346.99</v>
      </c>
      <c r="H4436" s="22">
        <f>VLOOKUP(A4436,[1]Orders!$A$2:$B$1616,2,0)</f>
        <v>43201</v>
      </c>
      <c r="J4436" t="s">
        <v>114</v>
      </c>
      <c r="K4436" t="s">
        <v>18</v>
      </c>
    </row>
    <row r="4437" spans="1:11" x14ac:dyDescent="0.3">
      <c r="A4437">
        <v>1519</v>
      </c>
      <c r="B4437">
        <v>5</v>
      </c>
      <c r="C4437">
        <v>265</v>
      </c>
      <c r="D4437">
        <v>2</v>
      </c>
      <c r="E4437" s="1">
        <v>289.99</v>
      </c>
      <c r="F4437" s="1">
        <v>0.05</v>
      </c>
      <c r="G4437">
        <v>579.98</v>
      </c>
      <c r="H4437" s="22">
        <f>VLOOKUP(A4437,[1]Orders!$A$2:$B$1616,2,0)</f>
        <v>43201</v>
      </c>
      <c r="J4437" t="s">
        <v>239</v>
      </c>
      <c r="K4437" t="s">
        <v>18</v>
      </c>
    </row>
    <row r="4438" spans="1:11" x14ac:dyDescent="0.3">
      <c r="A4438">
        <v>1520</v>
      </c>
      <c r="B4438">
        <v>1</v>
      </c>
      <c r="C4438">
        <v>186</v>
      </c>
      <c r="D4438">
        <v>1</v>
      </c>
      <c r="E4438" s="1">
        <v>4499.99</v>
      </c>
      <c r="F4438" s="1">
        <v>0.05</v>
      </c>
      <c r="G4438">
        <v>4499.99</v>
      </c>
      <c r="H4438" s="22">
        <f>VLOOKUP(A4438,[1]Orders!$A$2:$B$1616,2,0)</f>
        <v>43201</v>
      </c>
      <c r="J4438" t="s">
        <v>199</v>
      </c>
      <c r="K4438" t="s">
        <v>37</v>
      </c>
    </row>
    <row r="4439" spans="1:11" x14ac:dyDescent="0.3">
      <c r="A4439">
        <v>1520</v>
      </c>
      <c r="B4439">
        <v>2</v>
      </c>
      <c r="C4439">
        <v>188</v>
      </c>
      <c r="D4439">
        <v>2</v>
      </c>
      <c r="E4439" s="1">
        <v>3499.99</v>
      </c>
      <c r="F4439" s="1">
        <v>0.2</v>
      </c>
      <c r="G4439">
        <v>6999.98</v>
      </c>
      <c r="H4439" s="22">
        <f>VLOOKUP(A4439,[1]Orders!$A$2:$B$1616,2,0)</f>
        <v>43201</v>
      </c>
      <c r="J4439" t="s">
        <v>205</v>
      </c>
      <c r="K4439" t="s">
        <v>37</v>
      </c>
    </row>
    <row r="4440" spans="1:11" x14ac:dyDescent="0.3">
      <c r="A4440">
        <v>1520</v>
      </c>
      <c r="B4440">
        <v>3</v>
      </c>
      <c r="C4440">
        <v>310</v>
      </c>
      <c r="D4440">
        <v>2</v>
      </c>
      <c r="E4440" s="1">
        <v>899.99</v>
      </c>
      <c r="F4440" s="1">
        <v>7.0000000000000007E-2</v>
      </c>
      <c r="G4440">
        <v>1799.98</v>
      </c>
      <c r="H4440" s="22">
        <f>VLOOKUP(A4440,[1]Orders!$A$2:$B$1616,2,0)</f>
        <v>43201</v>
      </c>
      <c r="J4440" t="s">
        <v>221</v>
      </c>
      <c r="K4440" t="s">
        <v>37</v>
      </c>
    </row>
    <row r="4441" spans="1:11" x14ac:dyDescent="0.3">
      <c r="A4441">
        <v>1520</v>
      </c>
      <c r="B4441">
        <v>4</v>
      </c>
      <c r="C4441">
        <v>263</v>
      </c>
      <c r="D4441">
        <v>2</v>
      </c>
      <c r="E4441" s="1">
        <v>89.99</v>
      </c>
      <c r="F4441" s="1">
        <v>0.1</v>
      </c>
      <c r="G4441">
        <v>179.98</v>
      </c>
      <c r="H4441" s="22">
        <f>VLOOKUP(A4441,[1]Orders!$A$2:$B$1616,2,0)</f>
        <v>43201</v>
      </c>
      <c r="J4441" t="s">
        <v>168</v>
      </c>
      <c r="K4441" t="s">
        <v>37</v>
      </c>
    </row>
    <row r="4442" spans="1:11" x14ac:dyDescent="0.3">
      <c r="A4442">
        <v>1521</v>
      </c>
      <c r="B4442">
        <v>1</v>
      </c>
      <c r="C4442">
        <v>100</v>
      </c>
      <c r="D4442">
        <v>1</v>
      </c>
      <c r="E4442" s="1">
        <v>489.99</v>
      </c>
      <c r="F4442" s="1">
        <v>0.2</v>
      </c>
      <c r="G4442">
        <v>489.99</v>
      </c>
      <c r="H4442" s="22">
        <f>VLOOKUP(A4442,[1]Orders!$A$2:$B$1616,2,0)</f>
        <v>43202</v>
      </c>
      <c r="J4442" t="s">
        <v>105</v>
      </c>
      <c r="K4442" t="s">
        <v>11</v>
      </c>
    </row>
    <row r="4443" spans="1:11" x14ac:dyDescent="0.3">
      <c r="A4443">
        <v>1521</v>
      </c>
      <c r="B4443">
        <v>2</v>
      </c>
      <c r="C4443">
        <v>314</v>
      </c>
      <c r="D4443">
        <v>2</v>
      </c>
      <c r="E4443" s="1">
        <v>679.99</v>
      </c>
      <c r="F4443" s="1">
        <v>0.2</v>
      </c>
      <c r="G4443">
        <v>1359.98</v>
      </c>
      <c r="H4443" s="22">
        <f>VLOOKUP(A4443,[1]Orders!$A$2:$B$1616,2,0)</f>
        <v>43202</v>
      </c>
      <c r="J4443" t="s">
        <v>135</v>
      </c>
      <c r="K4443" t="s">
        <v>11</v>
      </c>
    </row>
    <row r="4444" spans="1:11" x14ac:dyDescent="0.3">
      <c r="A4444">
        <v>1521</v>
      </c>
      <c r="B4444">
        <v>3</v>
      </c>
      <c r="C4444">
        <v>123</v>
      </c>
      <c r="D4444">
        <v>1</v>
      </c>
      <c r="E4444" s="1">
        <v>999.99</v>
      </c>
      <c r="F4444" s="1">
        <v>0.1</v>
      </c>
      <c r="G4444">
        <v>999.99</v>
      </c>
      <c r="H4444" s="22">
        <f>VLOOKUP(A4444,[1]Orders!$A$2:$B$1616,2,0)</f>
        <v>43202</v>
      </c>
      <c r="J4444" t="s">
        <v>260</v>
      </c>
      <c r="K4444" t="s">
        <v>11</v>
      </c>
    </row>
    <row r="4445" spans="1:11" x14ac:dyDescent="0.3">
      <c r="A4445">
        <v>1521</v>
      </c>
      <c r="B4445">
        <v>4</v>
      </c>
      <c r="C4445">
        <v>135</v>
      </c>
      <c r="D4445">
        <v>2</v>
      </c>
      <c r="E4445" s="1">
        <v>1499.99</v>
      </c>
      <c r="F4445" s="1">
        <v>0.2</v>
      </c>
      <c r="G4445">
        <v>2999.98</v>
      </c>
      <c r="H4445" s="22">
        <f>VLOOKUP(A4445,[1]Orders!$A$2:$B$1616,2,0)</f>
        <v>43202</v>
      </c>
      <c r="J4445" t="s">
        <v>213</v>
      </c>
      <c r="K4445" t="s">
        <v>11</v>
      </c>
    </row>
    <row r="4446" spans="1:11" x14ac:dyDescent="0.3">
      <c r="A4446">
        <v>1522</v>
      </c>
      <c r="B4446">
        <v>1</v>
      </c>
      <c r="C4446">
        <v>95</v>
      </c>
      <c r="D4446">
        <v>1</v>
      </c>
      <c r="E4446" s="1">
        <v>299.99</v>
      </c>
      <c r="F4446" s="1">
        <v>0.1</v>
      </c>
      <c r="G4446">
        <v>299.99</v>
      </c>
      <c r="H4446" s="22">
        <f>VLOOKUP(A4446,[1]Orders!$A$2:$B$1616,2,0)</f>
        <v>43202</v>
      </c>
      <c r="J4446" t="s">
        <v>48</v>
      </c>
      <c r="K4446" t="s">
        <v>11</v>
      </c>
    </row>
    <row r="4447" spans="1:11" x14ac:dyDescent="0.3">
      <c r="A4447">
        <v>1522</v>
      </c>
      <c r="B4447">
        <v>2</v>
      </c>
      <c r="C4447">
        <v>141</v>
      </c>
      <c r="D4447">
        <v>1</v>
      </c>
      <c r="E4447" s="1">
        <v>1599.99</v>
      </c>
      <c r="F4447" s="1">
        <v>7.0000000000000007E-2</v>
      </c>
      <c r="G4447">
        <v>1599.99</v>
      </c>
      <c r="H4447" s="22">
        <f>VLOOKUP(A4447,[1]Orders!$A$2:$B$1616,2,0)</f>
        <v>43202</v>
      </c>
      <c r="J4447" t="s">
        <v>256</v>
      </c>
      <c r="K4447" t="s">
        <v>11</v>
      </c>
    </row>
    <row r="4448" spans="1:11" x14ac:dyDescent="0.3">
      <c r="A4448">
        <v>1522</v>
      </c>
      <c r="B4448">
        <v>3</v>
      </c>
      <c r="C4448">
        <v>117</v>
      </c>
      <c r="D4448">
        <v>1</v>
      </c>
      <c r="E4448" s="1">
        <v>1469.99</v>
      </c>
      <c r="F4448" s="1">
        <v>7.0000000000000007E-2</v>
      </c>
      <c r="G4448">
        <v>1469.99</v>
      </c>
      <c r="H4448" s="22">
        <f>VLOOKUP(A4448,[1]Orders!$A$2:$B$1616,2,0)</f>
        <v>43202</v>
      </c>
      <c r="J4448" t="s">
        <v>263</v>
      </c>
      <c r="K4448" t="s">
        <v>11</v>
      </c>
    </row>
    <row r="4449" spans="1:11" x14ac:dyDescent="0.3">
      <c r="A4449">
        <v>1523</v>
      </c>
      <c r="B4449">
        <v>1</v>
      </c>
      <c r="C4449">
        <v>311</v>
      </c>
      <c r="D4449">
        <v>2</v>
      </c>
      <c r="E4449" s="1">
        <v>749.99</v>
      </c>
      <c r="F4449" s="1">
        <v>0.2</v>
      </c>
      <c r="G4449">
        <v>1499.98</v>
      </c>
      <c r="H4449" s="22">
        <f>VLOOKUP(A4449,[1]Orders!$A$2:$B$1616,2,0)</f>
        <v>43202</v>
      </c>
      <c r="J4449" t="s">
        <v>128</v>
      </c>
      <c r="K4449" t="s">
        <v>18</v>
      </c>
    </row>
    <row r="4450" spans="1:11" x14ac:dyDescent="0.3">
      <c r="A4450">
        <v>1524</v>
      </c>
      <c r="B4450">
        <v>1</v>
      </c>
      <c r="C4450">
        <v>168</v>
      </c>
      <c r="D4450">
        <v>1</v>
      </c>
      <c r="E4450" s="1">
        <v>1549</v>
      </c>
      <c r="F4450" s="1">
        <v>0.1</v>
      </c>
      <c r="G4450">
        <v>1549</v>
      </c>
      <c r="H4450" s="22">
        <f>VLOOKUP(A4450,[1]Orders!$A$2:$B$1616,2,0)</f>
        <v>43202</v>
      </c>
      <c r="J4450" t="s">
        <v>171</v>
      </c>
      <c r="K4450" t="s">
        <v>18</v>
      </c>
    </row>
    <row r="4451" spans="1:11" x14ac:dyDescent="0.3">
      <c r="A4451">
        <v>1524</v>
      </c>
      <c r="B4451">
        <v>2</v>
      </c>
      <c r="C4451">
        <v>295</v>
      </c>
      <c r="D4451">
        <v>2</v>
      </c>
      <c r="E4451" s="1">
        <v>319.99</v>
      </c>
      <c r="F4451" s="1">
        <v>0.2</v>
      </c>
      <c r="G4451">
        <v>639.98</v>
      </c>
      <c r="H4451" s="22">
        <f>VLOOKUP(A4451,[1]Orders!$A$2:$B$1616,2,0)</f>
        <v>43202</v>
      </c>
      <c r="J4451" t="s">
        <v>219</v>
      </c>
      <c r="K4451" t="s">
        <v>18</v>
      </c>
    </row>
    <row r="4452" spans="1:11" x14ac:dyDescent="0.3">
      <c r="A4452">
        <v>1524</v>
      </c>
      <c r="B4452">
        <v>3</v>
      </c>
      <c r="C4452">
        <v>313</v>
      </c>
      <c r="D4452">
        <v>1</v>
      </c>
      <c r="E4452" s="1">
        <v>449.99</v>
      </c>
      <c r="F4452" s="1">
        <v>0.2</v>
      </c>
      <c r="G4452">
        <v>449.99</v>
      </c>
      <c r="H4452" s="22">
        <f>VLOOKUP(A4452,[1]Orders!$A$2:$B$1616,2,0)</f>
        <v>43202</v>
      </c>
      <c r="J4452" t="s">
        <v>181</v>
      </c>
      <c r="K4452" t="s">
        <v>18</v>
      </c>
    </row>
    <row r="4453" spans="1:11" x14ac:dyDescent="0.3">
      <c r="A4453">
        <v>1524</v>
      </c>
      <c r="B4453">
        <v>4</v>
      </c>
      <c r="C4453">
        <v>252</v>
      </c>
      <c r="D4453">
        <v>2</v>
      </c>
      <c r="E4453" s="1">
        <v>2999.99</v>
      </c>
      <c r="F4453" s="1">
        <v>0.2</v>
      </c>
      <c r="G4453">
        <v>5999.98</v>
      </c>
      <c r="H4453" s="22">
        <f>VLOOKUP(A4453,[1]Orders!$A$2:$B$1616,2,0)</f>
        <v>43202</v>
      </c>
      <c r="J4453" t="s">
        <v>182</v>
      </c>
      <c r="K4453" t="s">
        <v>18</v>
      </c>
    </row>
    <row r="4454" spans="1:11" x14ac:dyDescent="0.3">
      <c r="A4454">
        <v>1525</v>
      </c>
      <c r="B4454">
        <v>1</v>
      </c>
      <c r="C4454">
        <v>156</v>
      </c>
      <c r="D4454">
        <v>1</v>
      </c>
      <c r="E4454" s="1">
        <v>6499.99</v>
      </c>
      <c r="F4454" s="1">
        <v>0.1</v>
      </c>
      <c r="G4454">
        <v>6499.99</v>
      </c>
      <c r="H4454" s="22">
        <f>VLOOKUP(A4454,[1]Orders!$A$2:$B$1616,2,0)</f>
        <v>43202</v>
      </c>
      <c r="J4454" t="s">
        <v>285</v>
      </c>
      <c r="K4454" t="s">
        <v>18</v>
      </c>
    </row>
    <row r="4455" spans="1:11" x14ac:dyDescent="0.3">
      <c r="A4455">
        <v>1525</v>
      </c>
      <c r="B4455">
        <v>2</v>
      </c>
      <c r="C4455">
        <v>163</v>
      </c>
      <c r="D4455">
        <v>2</v>
      </c>
      <c r="E4455" s="1">
        <v>1349</v>
      </c>
      <c r="F4455" s="1">
        <v>7.0000000000000007E-2</v>
      </c>
      <c r="G4455">
        <v>2698</v>
      </c>
      <c r="H4455" s="22">
        <f>VLOOKUP(A4455,[1]Orders!$A$2:$B$1616,2,0)</f>
        <v>43202</v>
      </c>
      <c r="J4455" t="s">
        <v>186</v>
      </c>
      <c r="K4455" t="s">
        <v>18</v>
      </c>
    </row>
    <row r="4456" spans="1:11" x14ac:dyDescent="0.3">
      <c r="A4456">
        <v>1525</v>
      </c>
      <c r="B4456">
        <v>3</v>
      </c>
      <c r="C4456">
        <v>193</v>
      </c>
      <c r="D4456">
        <v>1</v>
      </c>
      <c r="E4456" s="1">
        <v>2799.99</v>
      </c>
      <c r="F4456" s="1">
        <v>7.0000000000000007E-2</v>
      </c>
      <c r="G4456">
        <v>2799.99</v>
      </c>
      <c r="H4456" s="22">
        <f>VLOOKUP(A4456,[1]Orders!$A$2:$B$1616,2,0)</f>
        <v>43202</v>
      </c>
      <c r="J4456" t="s">
        <v>232</v>
      </c>
      <c r="K4456" t="s">
        <v>18</v>
      </c>
    </row>
    <row r="4457" spans="1:11" x14ac:dyDescent="0.3">
      <c r="A4457">
        <v>1526</v>
      </c>
      <c r="B4457">
        <v>1</v>
      </c>
      <c r="C4457">
        <v>151</v>
      </c>
      <c r="D4457">
        <v>1</v>
      </c>
      <c r="E4457" s="1">
        <v>1549.99</v>
      </c>
      <c r="F4457" s="1">
        <v>7.0000000000000007E-2</v>
      </c>
      <c r="G4457">
        <v>1549.99</v>
      </c>
      <c r="H4457" s="22">
        <f>VLOOKUP(A4457,[1]Orders!$A$2:$B$1616,2,0)</f>
        <v>43202</v>
      </c>
      <c r="J4457" t="s">
        <v>126</v>
      </c>
      <c r="K4457" t="s">
        <v>18</v>
      </c>
    </row>
    <row r="4458" spans="1:11" x14ac:dyDescent="0.3">
      <c r="A4458">
        <v>1526</v>
      </c>
      <c r="B4458">
        <v>2</v>
      </c>
      <c r="C4458">
        <v>56</v>
      </c>
      <c r="D4458">
        <v>1</v>
      </c>
      <c r="E4458" s="1">
        <v>5499.99</v>
      </c>
      <c r="F4458" s="1">
        <v>0.1</v>
      </c>
      <c r="G4458">
        <v>5499.99</v>
      </c>
      <c r="H4458" s="22">
        <f>VLOOKUP(A4458,[1]Orders!$A$2:$B$1616,2,0)</f>
        <v>43202</v>
      </c>
      <c r="J4458" t="s">
        <v>41</v>
      </c>
      <c r="K4458" t="s">
        <v>18</v>
      </c>
    </row>
    <row r="4459" spans="1:11" x14ac:dyDescent="0.3">
      <c r="A4459">
        <v>1526</v>
      </c>
      <c r="B4459">
        <v>3</v>
      </c>
      <c r="C4459">
        <v>238</v>
      </c>
      <c r="D4459">
        <v>1</v>
      </c>
      <c r="E4459" s="1">
        <v>749.99</v>
      </c>
      <c r="F4459" s="1">
        <v>0.1</v>
      </c>
      <c r="G4459">
        <v>749.99</v>
      </c>
      <c r="H4459" s="22">
        <f>VLOOKUP(A4459,[1]Orders!$A$2:$B$1616,2,0)</f>
        <v>43202</v>
      </c>
      <c r="J4459" t="s">
        <v>185</v>
      </c>
      <c r="K4459" t="s">
        <v>18</v>
      </c>
    </row>
    <row r="4460" spans="1:11" x14ac:dyDescent="0.3">
      <c r="A4460">
        <v>1526</v>
      </c>
      <c r="B4460">
        <v>4</v>
      </c>
      <c r="C4460">
        <v>243</v>
      </c>
      <c r="D4460">
        <v>1</v>
      </c>
      <c r="E4460" s="1">
        <v>679.99</v>
      </c>
      <c r="F4460" s="1">
        <v>0.05</v>
      </c>
      <c r="G4460">
        <v>679.99</v>
      </c>
      <c r="H4460" s="22">
        <f>VLOOKUP(A4460,[1]Orders!$A$2:$B$1616,2,0)</f>
        <v>43202</v>
      </c>
      <c r="J4460" t="s">
        <v>135</v>
      </c>
      <c r="K4460" t="s">
        <v>18</v>
      </c>
    </row>
    <row r="4461" spans="1:11" x14ac:dyDescent="0.3">
      <c r="A4461">
        <v>1527</v>
      </c>
      <c r="B4461">
        <v>1</v>
      </c>
      <c r="C4461">
        <v>33</v>
      </c>
      <c r="D4461">
        <v>1</v>
      </c>
      <c r="E4461" s="1">
        <v>469.99</v>
      </c>
      <c r="F4461" s="1">
        <v>0.1</v>
      </c>
      <c r="G4461">
        <v>469.99</v>
      </c>
      <c r="H4461" s="22">
        <f>VLOOKUP(A4461,[1]Orders!$A$2:$B$1616,2,0)</f>
        <v>43202</v>
      </c>
      <c r="J4461" t="s">
        <v>67</v>
      </c>
      <c r="K4461" t="s">
        <v>37</v>
      </c>
    </row>
    <row r="4462" spans="1:11" x14ac:dyDescent="0.3">
      <c r="A4462">
        <v>1527</v>
      </c>
      <c r="B4462">
        <v>2</v>
      </c>
      <c r="C4462">
        <v>103</v>
      </c>
      <c r="D4462">
        <v>1</v>
      </c>
      <c r="E4462" s="1">
        <v>551.99</v>
      </c>
      <c r="F4462" s="1">
        <v>0.05</v>
      </c>
      <c r="G4462">
        <v>551.99</v>
      </c>
      <c r="H4462" s="22">
        <f>VLOOKUP(A4462,[1]Orders!$A$2:$B$1616,2,0)</f>
        <v>43202</v>
      </c>
      <c r="J4462" t="s">
        <v>40</v>
      </c>
      <c r="K4462" t="s">
        <v>37</v>
      </c>
    </row>
    <row r="4463" spans="1:11" x14ac:dyDescent="0.3">
      <c r="A4463">
        <v>1527</v>
      </c>
      <c r="B4463">
        <v>3</v>
      </c>
      <c r="C4463">
        <v>57</v>
      </c>
      <c r="D4463">
        <v>2</v>
      </c>
      <c r="E4463" s="1">
        <v>1999.99</v>
      </c>
      <c r="F4463" s="1">
        <v>0.05</v>
      </c>
      <c r="G4463">
        <v>3999.98</v>
      </c>
      <c r="H4463" s="22">
        <f>VLOOKUP(A4463,[1]Orders!$A$2:$B$1616,2,0)</f>
        <v>43202</v>
      </c>
      <c r="J4463" t="s">
        <v>103</v>
      </c>
      <c r="K4463" t="s">
        <v>37</v>
      </c>
    </row>
    <row r="4464" spans="1:11" x14ac:dyDescent="0.3">
      <c r="A4464">
        <v>1528</v>
      </c>
      <c r="B4464">
        <v>1</v>
      </c>
      <c r="C4464">
        <v>229</v>
      </c>
      <c r="D4464">
        <v>2</v>
      </c>
      <c r="E4464" s="1">
        <v>429.99</v>
      </c>
      <c r="F4464" s="1">
        <v>0.2</v>
      </c>
      <c r="G4464">
        <v>859.98</v>
      </c>
      <c r="H4464" s="22">
        <f>VLOOKUP(A4464,[1]Orders!$A$2:$B$1616,2,0)</f>
        <v>43202</v>
      </c>
      <c r="J4464" t="s">
        <v>209</v>
      </c>
      <c r="K4464" t="s">
        <v>37</v>
      </c>
    </row>
    <row r="4465" spans="1:11" x14ac:dyDescent="0.3">
      <c r="A4465">
        <v>1529</v>
      </c>
      <c r="B4465">
        <v>1</v>
      </c>
      <c r="C4465">
        <v>23</v>
      </c>
      <c r="D4465">
        <v>1</v>
      </c>
      <c r="E4465" s="1">
        <v>299.99</v>
      </c>
      <c r="F4465" s="1">
        <v>0.05</v>
      </c>
      <c r="G4465">
        <v>299.99</v>
      </c>
      <c r="H4465" s="22">
        <f>VLOOKUP(A4465,[1]Orders!$A$2:$B$1616,2,0)</f>
        <v>43202</v>
      </c>
      <c r="J4465" t="s">
        <v>33</v>
      </c>
      <c r="K4465" t="s">
        <v>37</v>
      </c>
    </row>
    <row r="4466" spans="1:11" x14ac:dyDescent="0.3">
      <c r="A4466">
        <v>1529</v>
      </c>
      <c r="B4466">
        <v>2</v>
      </c>
      <c r="C4466">
        <v>50</v>
      </c>
      <c r="D4466">
        <v>2</v>
      </c>
      <c r="E4466" s="1">
        <v>5999.99</v>
      </c>
      <c r="F4466" s="1">
        <v>0.1</v>
      </c>
      <c r="G4466">
        <v>11999.98</v>
      </c>
      <c r="H4466" s="22">
        <f>VLOOKUP(A4466,[1]Orders!$A$2:$B$1616,2,0)</f>
        <v>43202</v>
      </c>
      <c r="J4466" t="s">
        <v>79</v>
      </c>
      <c r="K4466" t="s">
        <v>37</v>
      </c>
    </row>
    <row r="4467" spans="1:11" x14ac:dyDescent="0.3">
      <c r="A4467">
        <v>1530</v>
      </c>
      <c r="B4467">
        <v>1</v>
      </c>
      <c r="C4467">
        <v>213</v>
      </c>
      <c r="D4467">
        <v>2</v>
      </c>
      <c r="E4467" s="1">
        <v>269.99</v>
      </c>
      <c r="F4467" s="1">
        <v>0.1</v>
      </c>
      <c r="G4467">
        <v>539.98</v>
      </c>
      <c r="H4467" s="22">
        <f>VLOOKUP(A4467,[1]Orders!$A$2:$B$1616,2,0)</f>
        <v>43203</v>
      </c>
      <c r="J4467" t="s">
        <v>200</v>
      </c>
      <c r="K4467" t="s">
        <v>11</v>
      </c>
    </row>
    <row r="4468" spans="1:11" x14ac:dyDescent="0.3">
      <c r="A4468">
        <v>1530</v>
      </c>
      <c r="B4468">
        <v>2</v>
      </c>
      <c r="C4468">
        <v>116</v>
      </c>
      <c r="D4468">
        <v>1</v>
      </c>
      <c r="E4468" s="1">
        <v>749.99</v>
      </c>
      <c r="F4468" s="1">
        <v>0.1</v>
      </c>
      <c r="G4468">
        <v>749.99</v>
      </c>
      <c r="H4468" s="22">
        <f>VLOOKUP(A4468,[1]Orders!$A$2:$B$1616,2,0)</f>
        <v>43203</v>
      </c>
      <c r="J4468" t="s">
        <v>257</v>
      </c>
      <c r="K4468" t="s">
        <v>11</v>
      </c>
    </row>
    <row r="4469" spans="1:11" x14ac:dyDescent="0.3">
      <c r="A4469">
        <v>1531</v>
      </c>
      <c r="B4469">
        <v>1</v>
      </c>
      <c r="C4469">
        <v>128</v>
      </c>
      <c r="D4469">
        <v>1</v>
      </c>
      <c r="E4469" s="1">
        <v>1899</v>
      </c>
      <c r="F4469" s="1">
        <v>0.1</v>
      </c>
      <c r="G4469">
        <v>1899</v>
      </c>
      <c r="H4469" s="22">
        <f>VLOOKUP(A4469,[1]Orders!$A$2:$B$1616,2,0)</f>
        <v>43203</v>
      </c>
      <c r="J4469" t="s">
        <v>193</v>
      </c>
      <c r="K4469" t="s">
        <v>11</v>
      </c>
    </row>
    <row r="4470" spans="1:11" x14ac:dyDescent="0.3">
      <c r="A4470">
        <v>1532</v>
      </c>
      <c r="B4470">
        <v>1</v>
      </c>
      <c r="C4470">
        <v>209</v>
      </c>
      <c r="D4470">
        <v>2</v>
      </c>
      <c r="E4470" s="1">
        <v>2999.99</v>
      </c>
      <c r="F4470" s="1">
        <v>7.0000000000000007E-2</v>
      </c>
      <c r="G4470">
        <v>5999.98</v>
      </c>
      <c r="H4470" s="22">
        <f>VLOOKUP(A4470,[1]Orders!$A$2:$B$1616,2,0)</f>
        <v>43203</v>
      </c>
      <c r="J4470" t="s">
        <v>123</v>
      </c>
      <c r="K4470" t="s">
        <v>18</v>
      </c>
    </row>
    <row r="4471" spans="1:11" x14ac:dyDescent="0.3">
      <c r="A4471">
        <v>1533</v>
      </c>
      <c r="B4471">
        <v>1</v>
      </c>
      <c r="C4471">
        <v>274</v>
      </c>
      <c r="D4471">
        <v>2</v>
      </c>
      <c r="E4471" s="1">
        <v>229.99</v>
      </c>
      <c r="F4471" s="1">
        <v>0.1</v>
      </c>
      <c r="G4471">
        <v>459.98</v>
      </c>
      <c r="H4471" s="22">
        <f>VLOOKUP(A4471,[1]Orders!$A$2:$B$1616,2,0)</f>
        <v>43203</v>
      </c>
      <c r="J4471" t="s">
        <v>210</v>
      </c>
      <c r="K4471" t="s">
        <v>18</v>
      </c>
    </row>
    <row r="4472" spans="1:11" x14ac:dyDescent="0.3">
      <c r="A4472">
        <v>1533</v>
      </c>
      <c r="B4472">
        <v>2</v>
      </c>
      <c r="C4472">
        <v>78</v>
      </c>
      <c r="D4472">
        <v>1</v>
      </c>
      <c r="E4472" s="1">
        <v>647.99</v>
      </c>
      <c r="F4472" s="1">
        <v>0.1</v>
      </c>
      <c r="G4472">
        <v>647.99</v>
      </c>
      <c r="H4472" s="22">
        <f>VLOOKUP(A4472,[1]Orders!$A$2:$B$1616,2,0)</f>
        <v>43203</v>
      </c>
      <c r="J4472" t="s">
        <v>57</v>
      </c>
      <c r="K4472" t="s">
        <v>18</v>
      </c>
    </row>
    <row r="4473" spans="1:11" x14ac:dyDescent="0.3">
      <c r="A4473">
        <v>1533</v>
      </c>
      <c r="B4473">
        <v>3</v>
      </c>
      <c r="C4473">
        <v>96</v>
      </c>
      <c r="D4473">
        <v>1</v>
      </c>
      <c r="E4473" s="1">
        <v>349.99</v>
      </c>
      <c r="F4473" s="1">
        <v>0.1</v>
      </c>
      <c r="G4473">
        <v>349.99</v>
      </c>
      <c r="H4473" s="22">
        <f>VLOOKUP(A4473,[1]Orders!$A$2:$B$1616,2,0)</f>
        <v>43203</v>
      </c>
      <c r="J4473" t="s">
        <v>91</v>
      </c>
      <c r="K4473" t="s">
        <v>18</v>
      </c>
    </row>
    <row r="4474" spans="1:11" x14ac:dyDescent="0.3">
      <c r="A4474">
        <v>1533</v>
      </c>
      <c r="B4474">
        <v>4</v>
      </c>
      <c r="C4474">
        <v>235</v>
      </c>
      <c r="D4474">
        <v>2</v>
      </c>
      <c r="E4474" s="1">
        <v>899.99</v>
      </c>
      <c r="F4474" s="1">
        <v>0.1</v>
      </c>
      <c r="G4474">
        <v>1799.98</v>
      </c>
      <c r="H4474" s="22">
        <f>VLOOKUP(A4474,[1]Orders!$A$2:$B$1616,2,0)</f>
        <v>43203</v>
      </c>
      <c r="J4474" t="s">
        <v>120</v>
      </c>
      <c r="K4474" t="s">
        <v>18</v>
      </c>
    </row>
    <row r="4475" spans="1:11" x14ac:dyDescent="0.3">
      <c r="A4475">
        <v>1533</v>
      </c>
      <c r="B4475">
        <v>5</v>
      </c>
      <c r="C4475">
        <v>51</v>
      </c>
      <c r="D4475">
        <v>1</v>
      </c>
      <c r="E4475" s="1">
        <v>6499.99</v>
      </c>
      <c r="F4475" s="1">
        <v>0.1</v>
      </c>
      <c r="G4475">
        <v>6499.99</v>
      </c>
      <c r="H4475" s="22">
        <f>VLOOKUP(A4475,[1]Orders!$A$2:$B$1616,2,0)</f>
        <v>43203</v>
      </c>
      <c r="J4475" t="s">
        <v>90</v>
      </c>
      <c r="K4475" t="s">
        <v>18</v>
      </c>
    </row>
    <row r="4476" spans="1:11" x14ac:dyDescent="0.3">
      <c r="A4476">
        <v>1534</v>
      </c>
      <c r="B4476">
        <v>1</v>
      </c>
      <c r="C4476">
        <v>194</v>
      </c>
      <c r="D4476">
        <v>1</v>
      </c>
      <c r="E4476" s="1">
        <v>3499.99</v>
      </c>
      <c r="F4476" s="1">
        <v>0.1</v>
      </c>
      <c r="G4476">
        <v>3499.99</v>
      </c>
      <c r="H4476" s="22">
        <f>VLOOKUP(A4476,[1]Orders!$A$2:$B$1616,2,0)</f>
        <v>43204</v>
      </c>
      <c r="J4476" t="s">
        <v>244</v>
      </c>
      <c r="K4476" t="s">
        <v>18</v>
      </c>
    </row>
    <row r="4477" spans="1:11" x14ac:dyDescent="0.3">
      <c r="A4477">
        <v>1534</v>
      </c>
      <c r="B4477">
        <v>2</v>
      </c>
      <c r="C4477">
        <v>117</v>
      </c>
      <c r="D4477">
        <v>1</v>
      </c>
      <c r="E4477" s="1">
        <v>1469.99</v>
      </c>
      <c r="F4477" s="1">
        <v>0.05</v>
      </c>
      <c r="G4477">
        <v>1469.99</v>
      </c>
      <c r="H4477" s="22">
        <f>VLOOKUP(A4477,[1]Orders!$A$2:$B$1616,2,0)</f>
        <v>43204</v>
      </c>
      <c r="J4477" t="s">
        <v>263</v>
      </c>
      <c r="K4477" t="s">
        <v>18</v>
      </c>
    </row>
    <row r="4478" spans="1:11" x14ac:dyDescent="0.3">
      <c r="A4478">
        <v>1534</v>
      </c>
      <c r="B4478">
        <v>3</v>
      </c>
      <c r="C4478">
        <v>269</v>
      </c>
      <c r="D4478">
        <v>2</v>
      </c>
      <c r="E4478" s="1">
        <v>199.99</v>
      </c>
      <c r="F4478" s="1">
        <v>0.2</v>
      </c>
      <c r="G4478">
        <v>399.98</v>
      </c>
      <c r="H4478" s="22">
        <f>VLOOKUP(A4478,[1]Orders!$A$2:$B$1616,2,0)</f>
        <v>43204</v>
      </c>
      <c r="J4478" t="s">
        <v>125</v>
      </c>
      <c r="K4478" t="s">
        <v>18</v>
      </c>
    </row>
    <row r="4479" spans="1:11" x14ac:dyDescent="0.3">
      <c r="A4479">
        <v>1534</v>
      </c>
      <c r="B4479">
        <v>4</v>
      </c>
      <c r="C4479">
        <v>172</v>
      </c>
      <c r="D4479">
        <v>2</v>
      </c>
      <c r="E4479" s="1">
        <v>3199.99</v>
      </c>
      <c r="F4479" s="1">
        <v>0.2</v>
      </c>
      <c r="G4479">
        <v>6399.98</v>
      </c>
      <c r="H4479" s="22">
        <f>VLOOKUP(A4479,[1]Orders!$A$2:$B$1616,2,0)</f>
        <v>43204</v>
      </c>
      <c r="J4479" t="s">
        <v>163</v>
      </c>
      <c r="K4479" t="s">
        <v>18</v>
      </c>
    </row>
    <row r="4480" spans="1:11" x14ac:dyDescent="0.3">
      <c r="A4480">
        <v>1535</v>
      </c>
      <c r="B4480">
        <v>1</v>
      </c>
      <c r="C4480">
        <v>92</v>
      </c>
      <c r="D4480">
        <v>1</v>
      </c>
      <c r="E4480" s="1">
        <v>209.99</v>
      </c>
      <c r="F4480" s="1">
        <v>0.05</v>
      </c>
      <c r="G4480">
        <v>209.99</v>
      </c>
      <c r="H4480" s="22">
        <f>VLOOKUP(A4480,[1]Orders!$A$2:$B$1616,2,0)</f>
        <v>43204</v>
      </c>
      <c r="J4480" t="s">
        <v>111</v>
      </c>
      <c r="K4480" t="s">
        <v>18</v>
      </c>
    </row>
    <row r="4481" spans="1:11" x14ac:dyDescent="0.3">
      <c r="A4481">
        <v>1535</v>
      </c>
      <c r="B4481">
        <v>2</v>
      </c>
      <c r="C4481">
        <v>75</v>
      </c>
      <c r="D4481">
        <v>2</v>
      </c>
      <c r="E4481" s="1">
        <v>599.99</v>
      </c>
      <c r="F4481" s="1">
        <v>0.05</v>
      </c>
      <c r="G4481">
        <v>1199.98</v>
      </c>
      <c r="H4481" s="22">
        <f>VLOOKUP(A4481,[1]Orders!$A$2:$B$1616,2,0)</f>
        <v>43204</v>
      </c>
      <c r="J4481" t="s">
        <v>95</v>
      </c>
      <c r="K4481" t="s">
        <v>18</v>
      </c>
    </row>
    <row r="4482" spans="1:11" x14ac:dyDescent="0.3">
      <c r="A4482">
        <v>1536</v>
      </c>
      <c r="B4482">
        <v>1</v>
      </c>
      <c r="C4482">
        <v>183</v>
      </c>
      <c r="D4482">
        <v>1</v>
      </c>
      <c r="E4482" s="1">
        <v>2199.9899999999998</v>
      </c>
      <c r="F4482" s="1">
        <v>0.2</v>
      </c>
      <c r="G4482">
        <v>2199.9899999999998</v>
      </c>
      <c r="H4482" s="22">
        <f>VLOOKUP(A4482,[1]Orders!$A$2:$B$1616,2,0)</f>
        <v>43204</v>
      </c>
      <c r="J4482" t="s">
        <v>286</v>
      </c>
      <c r="K4482" t="s">
        <v>18</v>
      </c>
    </row>
    <row r="4483" spans="1:11" x14ac:dyDescent="0.3">
      <c r="A4483">
        <v>1536</v>
      </c>
      <c r="B4483">
        <v>2</v>
      </c>
      <c r="C4483">
        <v>185</v>
      </c>
      <c r="D4483">
        <v>2</v>
      </c>
      <c r="E4483" s="1">
        <v>2799.99</v>
      </c>
      <c r="F4483" s="1">
        <v>7.0000000000000007E-2</v>
      </c>
      <c r="G4483">
        <v>5599.98</v>
      </c>
      <c r="H4483" s="22">
        <f>VLOOKUP(A4483,[1]Orders!$A$2:$B$1616,2,0)</f>
        <v>43204</v>
      </c>
      <c r="J4483" t="s">
        <v>152</v>
      </c>
      <c r="K4483" t="s">
        <v>18</v>
      </c>
    </row>
    <row r="4484" spans="1:11" x14ac:dyDescent="0.3">
      <c r="A4484">
        <v>1536</v>
      </c>
      <c r="B4484">
        <v>3</v>
      </c>
      <c r="C4484">
        <v>196</v>
      </c>
      <c r="D4484">
        <v>2</v>
      </c>
      <c r="E4484" s="1">
        <v>2299.9899999999998</v>
      </c>
      <c r="F4484" s="1">
        <v>0.2</v>
      </c>
      <c r="G4484">
        <v>4599.9799999999996</v>
      </c>
      <c r="H4484" s="22">
        <f>VLOOKUP(A4484,[1]Orders!$A$2:$B$1616,2,0)</f>
        <v>43204</v>
      </c>
      <c r="J4484" t="s">
        <v>277</v>
      </c>
      <c r="K4484" t="s">
        <v>18</v>
      </c>
    </row>
    <row r="4485" spans="1:11" x14ac:dyDescent="0.3">
      <c r="A4485">
        <v>1537</v>
      </c>
      <c r="B4485">
        <v>1</v>
      </c>
      <c r="C4485">
        <v>237</v>
      </c>
      <c r="D4485">
        <v>2</v>
      </c>
      <c r="E4485" s="1">
        <v>849.99</v>
      </c>
      <c r="F4485" s="1">
        <v>0.05</v>
      </c>
      <c r="G4485">
        <v>1699.98</v>
      </c>
      <c r="H4485" s="22">
        <f>VLOOKUP(A4485,[1]Orders!$A$2:$B$1616,2,0)</f>
        <v>43205</v>
      </c>
      <c r="J4485" t="s">
        <v>156</v>
      </c>
      <c r="K4485" t="s">
        <v>18</v>
      </c>
    </row>
    <row r="4486" spans="1:11" x14ac:dyDescent="0.3">
      <c r="A4486">
        <v>1538</v>
      </c>
      <c r="B4486">
        <v>1</v>
      </c>
      <c r="C4486">
        <v>206</v>
      </c>
      <c r="D4486">
        <v>1</v>
      </c>
      <c r="E4486" s="1">
        <v>3299.99</v>
      </c>
      <c r="F4486" s="1">
        <v>7.0000000000000007E-2</v>
      </c>
      <c r="G4486">
        <v>3299.99</v>
      </c>
      <c r="H4486" s="22">
        <f>VLOOKUP(A4486,[1]Orders!$A$2:$B$1616,2,0)</f>
        <v>43205</v>
      </c>
      <c r="J4486" t="s">
        <v>162</v>
      </c>
      <c r="K4486" t="s">
        <v>18</v>
      </c>
    </row>
    <row r="4487" spans="1:11" x14ac:dyDescent="0.3">
      <c r="A4487">
        <v>1538</v>
      </c>
      <c r="B4487">
        <v>2</v>
      </c>
      <c r="C4487">
        <v>46</v>
      </c>
      <c r="D4487">
        <v>2</v>
      </c>
      <c r="E4487" s="1">
        <v>1409.99</v>
      </c>
      <c r="F4487" s="1">
        <v>7.0000000000000007E-2</v>
      </c>
      <c r="G4487">
        <v>2819.98</v>
      </c>
      <c r="H4487" s="22">
        <f>VLOOKUP(A4487,[1]Orders!$A$2:$B$1616,2,0)</f>
        <v>43205</v>
      </c>
      <c r="J4487" t="s">
        <v>118</v>
      </c>
      <c r="K4487" t="s">
        <v>18</v>
      </c>
    </row>
    <row r="4488" spans="1:11" x14ac:dyDescent="0.3">
      <c r="A4488">
        <v>1538</v>
      </c>
      <c r="B4488">
        <v>3</v>
      </c>
      <c r="C4488">
        <v>117</v>
      </c>
      <c r="D4488">
        <v>1</v>
      </c>
      <c r="E4488" s="1">
        <v>1469.99</v>
      </c>
      <c r="F4488" s="1">
        <v>7.0000000000000007E-2</v>
      </c>
      <c r="G4488">
        <v>1469.99</v>
      </c>
      <c r="H4488" s="22">
        <f>VLOOKUP(A4488,[1]Orders!$A$2:$B$1616,2,0)</f>
        <v>43205</v>
      </c>
      <c r="J4488" t="s">
        <v>263</v>
      </c>
      <c r="K4488" t="s">
        <v>18</v>
      </c>
    </row>
    <row r="4489" spans="1:11" x14ac:dyDescent="0.3">
      <c r="A4489">
        <v>1538</v>
      </c>
      <c r="B4489">
        <v>4</v>
      </c>
      <c r="C4489">
        <v>197</v>
      </c>
      <c r="D4489">
        <v>1</v>
      </c>
      <c r="E4489" s="1">
        <v>2299.9899999999998</v>
      </c>
      <c r="F4489" s="1">
        <v>0.2</v>
      </c>
      <c r="G4489">
        <v>2299.9899999999998</v>
      </c>
      <c r="H4489" s="22">
        <f>VLOOKUP(A4489,[1]Orders!$A$2:$B$1616,2,0)</f>
        <v>43205</v>
      </c>
      <c r="J4489" t="s">
        <v>247</v>
      </c>
      <c r="K4489" t="s">
        <v>18</v>
      </c>
    </row>
    <row r="4490" spans="1:11" x14ac:dyDescent="0.3">
      <c r="A4490">
        <v>1538</v>
      </c>
      <c r="B4490">
        <v>5</v>
      </c>
      <c r="C4490">
        <v>306</v>
      </c>
      <c r="D4490">
        <v>2</v>
      </c>
      <c r="E4490" s="1">
        <v>899.99</v>
      </c>
      <c r="F4490" s="1">
        <v>0.05</v>
      </c>
      <c r="G4490">
        <v>1799.98</v>
      </c>
      <c r="H4490" s="22">
        <f>VLOOKUP(A4490,[1]Orders!$A$2:$B$1616,2,0)</f>
        <v>43205</v>
      </c>
      <c r="J4490" t="s">
        <v>208</v>
      </c>
      <c r="K4490" t="s">
        <v>18</v>
      </c>
    </row>
    <row r="4491" spans="1:11" x14ac:dyDescent="0.3">
      <c r="A4491">
        <v>1539</v>
      </c>
      <c r="B4491">
        <v>1</v>
      </c>
      <c r="C4491">
        <v>6</v>
      </c>
      <c r="D4491">
        <v>2</v>
      </c>
      <c r="E4491" s="1">
        <v>469.99</v>
      </c>
      <c r="F4491" s="1">
        <v>0.05</v>
      </c>
      <c r="G4491">
        <v>939.98</v>
      </c>
      <c r="H4491" s="22">
        <f>VLOOKUP(A4491,[1]Orders!$A$2:$B$1616,2,0)</f>
        <v>43205</v>
      </c>
      <c r="J4491" t="s">
        <v>32</v>
      </c>
      <c r="K4491" t="s">
        <v>37</v>
      </c>
    </row>
    <row r="4492" spans="1:11" x14ac:dyDescent="0.3">
      <c r="A4492">
        <v>1539</v>
      </c>
      <c r="B4492">
        <v>2</v>
      </c>
      <c r="C4492">
        <v>12</v>
      </c>
      <c r="D4492">
        <v>2</v>
      </c>
      <c r="E4492" s="1">
        <v>549.99</v>
      </c>
      <c r="F4492" s="1">
        <v>0.05</v>
      </c>
      <c r="G4492">
        <v>1099.98</v>
      </c>
      <c r="H4492" s="22">
        <f>VLOOKUP(A4492,[1]Orders!$A$2:$B$1616,2,0)</f>
        <v>43205</v>
      </c>
      <c r="J4492" t="s">
        <v>25</v>
      </c>
      <c r="K4492" t="s">
        <v>37</v>
      </c>
    </row>
    <row r="4493" spans="1:11" x14ac:dyDescent="0.3">
      <c r="A4493">
        <v>1540</v>
      </c>
      <c r="B4493">
        <v>1</v>
      </c>
      <c r="C4493">
        <v>71</v>
      </c>
      <c r="D4493">
        <v>2</v>
      </c>
      <c r="E4493" s="1">
        <v>416.99</v>
      </c>
      <c r="F4493" s="1">
        <v>0.05</v>
      </c>
      <c r="G4493">
        <v>833.98</v>
      </c>
      <c r="H4493" s="22">
        <f>VLOOKUP(A4493,[1]Orders!$A$2:$B$1616,2,0)</f>
        <v>43206</v>
      </c>
      <c r="J4493" t="s">
        <v>78</v>
      </c>
      <c r="K4493" t="s">
        <v>11</v>
      </c>
    </row>
    <row r="4494" spans="1:11" x14ac:dyDescent="0.3">
      <c r="A4494">
        <v>1540</v>
      </c>
      <c r="B4494">
        <v>2</v>
      </c>
      <c r="C4494">
        <v>236</v>
      </c>
      <c r="D4494">
        <v>1</v>
      </c>
      <c r="E4494" s="1">
        <v>749.99</v>
      </c>
      <c r="F4494" s="1">
        <v>7.0000000000000007E-2</v>
      </c>
      <c r="G4494">
        <v>749.99</v>
      </c>
      <c r="H4494" s="22">
        <f>VLOOKUP(A4494,[1]Orders!$A$2:$B$1616,2,0)</f>
        <v>43206</v>
      </c>
      <c r="J4494" t="s">
        <v>191</v>
      </c>
      <c r="K4494" t="s">
        <v>11</v>
      </c>
    </row>
    <row r="4495" spans="1:11" x14ac:dyDescent="0.3">
      <c r="A4495">
        <v>1540</v>
      </c>
      <c r="B4495">
        <v>3</v>
      </c>
      <c r="C4495">
        <v>224</v>
      </c>
      <c r="D4495">
        <v>1</v>
      </c>
      <c r="E4495" s="1">
        <v>479.99</v>
      </c>
      <c r="F4495" s="1">
        <v>0.05</v>
      </c>
      <c r="G4495">
        <v>479.99</v>
      </c>
      <c r="H4495" s="22">
        <f>VLOOKUP(A4495,[1]Orders!$A$2:$B$1616,2,0)</f>
        <v>43206</v>
      </c>
      <c r="J4495" t="s">
        <v>225</v>
      </c>
      <c r="K4495" t="s">
        <v>11</v>
      </c>
    </row>
    <row r="4496" spans="1:11" x14ac:dyDescent="0.3">
      <c r="A4496">
        <v>1540</v>
      </c>
      <c r="B4496">
        <v>4</v>
      </c>
      <c r="C4496">
        <v>177</v>
      </c>
      <c r="D4496">
        <v>2</v>
      </c>
      <c r="E4496" s="1">
        <v>5499.99</v>
      </c>
      <c r="F4496" s="1">
        <v>0.05</v>
      </c>
      <c r="G4496">
        <v>10999.98</v>
      </c>
      <c r="H4496" s="22">
        <f>VLOOKUP(A4496,[1]Orders!$A$2:$B$1616,2,0)</f>
        <v>43206</v>
      </c>
      <c r="J4496" t="s">
        <v>287</v>
      </c>
      <c r="K4496" t="s">
        <v>11</v>
      </c>
    </row>
    <row r="4497" spans="1:11" x14ac:dyDescent="0.3">
      <c r="A4497">
        <v>1540</v>
      </c>
      <c r="B4497">
        <v>5</v>
      </c>
      <c r="C4497">
        <v>78</v>
      </c>
      <c r="D4497">
        <v>1</v>
      </c>
      <c r="E4497" s="1">
        <v>647.99</v>
      </c>
      <c r="F4497" s="1">
        <v>0.2</v>
      </c>
      <c r="G4497">
        <v>647.99</v>
      </c>
      <c r="H4497" s="22">
        <f>VLOOKUP(A4497,[1]Orders!$A$2:$B$1616,2,0)</f>
        <v>43206</v>
      </c>
      <c r="J4497" t="s">
        <v>57</v>
      </c>
      <c r="K4497" t="s">
        <v>11</v>
      </c>
    </row>
    <row r="4498" spans="1:11" x14ac:dyDescent="0.3">
      <c r="A4498">
        <v>1541</v>
      </c>
      <c r="B4498">
        <v>1</v>
      </c>
      <c r="C4498">
        <v>155</v>
      </c>
      <c r="D4498">
        <v>2</v>
      </c>
      <c r="E4498" s="1">
        <v>11999.99</v>
      </c>
      <c r="F4498" s="1">
        <v>0.1</v>
      </c>
      <c r="G4498">
        <v>23999.98</v>
      </c>
      <c r="H4498" s="22">
        <f>VLOOKUP(A4498,[1]Orders!$A$2:$B$1616,2,0)</f>
        <v>43206</v>
      </c>
      <c r="J4498" t="s">
        <v>188</v>
      </c>
      <c r="K4498" t="s">
        <v>18</v>
      </c>
    </row>
    <row r="4499" spans="1:11" x14ac:dyDescent="0.3">
      <c r="A4499">
        <v>1541</v>
      </c>
      <c r="B4499">
        <v>2</v>
      </c>
      <c r="C4499">
        <v>248</v>
      </c>
      <c r="D4499">
        <v>2</v>
      </c>
      <c r="E4499" s="1">
        <v>599.99</v>
      </c>
      <c r="F4499" s="1">
        <v>7.0000000000000007E-2</v>
      </c>
      <c r="G4499">
        <v>1199.98</v>
      </c>
      <c r="H4499" s="22">
        <f>VLOOKUP(A4499,[1]Orders!$A$2:$B$1616,2,0)</f>
        <v>43206</v>
      </c>
      <c r="J4499" t="s">
        <v>272</v>
      </c>
      <c r="K4499" t="s">
        <v>18</v>
      </c>
    </row>
    <row r="4500" spans="1:11" x14ac:dyDescent="0.3">
      <c r="A4500">
        <v>1541</v>
      </c>
      <c r="B4500">
        <v>3</v>
      </c>
      <c r="C4500">
        <v>142</v>
      </c>
      <c r="D4500">
        <v>2</v>
      </c>
      <c r="E4500" s="1">
        <v>3199.99</v>
      </c>
      <c r="F4500" s="1">
        <v>0.1</v>
      </c>
      <c r="G4500">
        <v>6399.98</v>
      </c>
      <c r="H4500" s="22">
        <f>VLOOKUP(A4500,[1]Orders!$A$2:$B$1616,2,0)</f>
        <v>43206</v>
      </c>
      <c r="J4500" t="s">
        <v>206</v>
      </c>
      <c r="K4500" t="s">
        <v>18</v>
      </c>
    </row>
    <row r="4501" spans="1:11" x14ac:dyDescent="0.3">
      <c r="A4501">
        <v>1541</v>
      </c>
      <c r="B4501">
        <v>4</v>
      </c>
      <c r="C4501">
        <v>17</v>
      </c>
      <c r="D4501">
        <v>1</v>
      </c>
      <c r="E4501" s="1">
        <v>429</v>
      </c>
      <c r="F4501" s="1">
        <v>0.1</v>
      </c>
      <c r="G4501">
        <v>429</v>
      </c>
      <c r="H4501" s="22">
        <f>VLOOKUP(A4501,[1]Orders!$A$2:$B$1616,2,0)</f>
        <v>43206</v>
      </c>
      <c r="J4501" t="s">
        <v>23</v>
      </c>
      <c r="K4501" t="s">
        <v>18</v>
      </c>
    </row>
    <row r="4502" spans="1:11" x14ac:dyDescent="0.3">
      <c r="A4502">
        <v>1541</v>
      </c>
      <c r="B4502">
        <v>5</v>
      </c>
      <c r="C4502">
        <v>86</v>
      </c>
      <c r="D4502">
        <v>2</v>
      </c>
      <c r="E4502" s="1">
        <v>149.99</v>
      </c>
      <c r="F4502" s="1">
        <v>0.05</v>
      </c>
      <c r="G4502">
        <v>299.98</v>
      </c>
      <c r="H4502" s="22">
        <f>VLOOKUP(A4502,[1]Orders!$A$2:$B$1616,2,0)</f>
        <v>43206</v>
      </c>
      <c r="J4502" t="s">
        <v>115</v>
      </c>
      <c r="K4502" t="s">
        <v>18</v>
      </c>
    </row>
    <row r="4503" spans="1:11" x14ac:dyDescent="0.3">
      <c r="A4503">
        <v>1542</v>
      </c>
      <c r="B4503">
        <v>1</v>
      </c>
      <c r="C4503">
        <v>79</v>
      </c>
      <c r="D4503">
        <v>1</v>
      </c>
      <c r="E4503" s="1">
        <v>402.99</v>
      </c>
      <c r="F4503" s="1">
        <v>0.2</v>
      </c>
      <c r="G4503">
        <v>402.99</v>
      </c>
      <c r="H4503" s="22">
        <f>VLOOKUP(A4503,[1]Orders!$A$2:$B$1616,2,0)</f>
        <v>43206</v>
      </c>
      <c r="J4503" t="s">
        <v>58</v>
      </c>
      <c r="K4503" t="s">
        <v>18</v>
      </c>
    </row>
    <row r="4504" spans="1:11" x14ac:dyDescent="0.3">
      <c r="A4504">
        <v>1542</v>
      </c>
      <c r="B4504">
        <v>2</v>
      </c>
      <c r="C4504">
        <v>122</v>
      </c>
      <c r="D4504">
        <v>2</v>
      </c>
      <c r="E4504" s="1">
        <v>2499.9899999999998</v>
      </c>
      <c r="F4504" s="1">
        <v>0.05</v>
      </c>
      <c r="G4504">
        <v>4999.9799999999996</v>
      </c>
      <c r="H4504" s="22">
        <f>VLOOKUP(A4504,[1]Orders!$A$2:$B$1616,2,0)</f>
        <v>43206</v>
      </c>
      <c r="J4504" t="s">
        <v>276</v>
      </c>
      <c r="K4504" t="s">
        <v>18</v>
      </c>
    </row>
    <row r="4505" spans="1:11" x14ac:dyDescent="0.3">
      <c r="A4505">
        <v>1542</v>
      </c>
      <c r="B4505">
        <v>3</v>
      </c>
      <c r="C4505">
        <v>184</v>
      </c>
      <c r="D4505">
        <v>2</v>
      </c>
      <c r="E4505" s="1">
        <v>3499.99</v>
      </c>
      <c r="F4505" s="1">
        <v>0.2</v>
      </c>
      <c r="G4505">
        <v>6999.98</v>
      </c>
      <c r="H4505" s="22">
        <f>VLOOKUP(A4505,[1]Orders!$A$2:$B$1616,2,0)</f>
        <v>43206</v>
      </c>
      <c r="J4505" t="s">
        <v>161</v>
      </c>
      <c r="K4505" t="s">
        <v>18</v>
      </c>
    </row>
    <row r="4506" spans="1:11" x14ac:dyDescent="0.3">
      <c r="A4506">
        <v>1542</v>
      </c>
      <c r="B4506">
        <v>4</v>
      </c>
      <c r="C4506">
        <v>37</v>
      </c>
      <c r="D4506">
        <v>2</v>
      </c>
      <c r="E4506" s="1">
        <v>379.99</v>
      </c>
      <c r="F4506" s="1">
        <v>0.1</v>
      </c>
      <c r="G4506">
        <v>759.98</v>
      </c>
      <c r="H4506" s="22">
        <f>VLOOKUP(A4506,[1]Orders!$A$2:$B$1616,2,0)</f>
        <v>43206</v>
      </c>
      <c r="J4506" t="s">
        <v>98</v>
      </c>
      <c r="K4506" t="s">
        <v>18</v>
      </c>
    </row>
    <row r="4507" spans="1:11" x14ac:dyDescent="0.3">
      <c r="A4507">
        <v>1542</v>
      </c>
      <c r="B4507">
        <v>5</v>
      </c>
      <c r="C4507">
        <v>297</v>
      </c>
      <c r="D4507">
        <v>1</v>
      </c>
      <c r="E4507" s="1">
        <v>279.99</v>
      </c>
      <c r="F4507" s="1">
        <v>0.2</v>
      </c>
      <c r="G4507">
        <v>279.99</v>
      </c>
      <c r="H4507" s="22">
        <f>VLOOKUP(A4507,[1]Orders!$A$2:$B$1616,2,0)</f>
        <v>43206</v>
      </c>
      <c r="J4507" t="s">
        <v>175</v>
      </c>
      <c r="K4507" t="s">
        <v>18</v>
      </c>
    </row>
    <row r="4508" spans="1:11" x14ac:dyDescent="0.3">
      <c r="A4508">
        <v>1543</v>
      </c>
      <c r="B4508">
        <v>1</v>
      </c>
      <c r="C4508">
        <v>108</v>
      </c>
      <c r="D4508">
        <v>2</v>
      </c>
      <c r="E4508" s="1">
        <v>449.99</v>
      </c>
      <c r="F4508" s="1">
        <v>0.1</v>
      </c>
      <c r="G4508">
        <v>899.98</v>
      </c>
      <c r="H4508" s="22">
        <f>VLOOKUP(A4508,[1]Orders!$A$2:$B$1616,2,0)</f>
        <v>43206</v>
      </c>
      <c r="J4508" t="s">
        <v>85</v>
      </c>
      <c r="K4508" t="s">
        <v>18</v>
      </c>
    </row>
    <row r="4509" spans="1:11" x14ac:dyDescent="0.3">
      <c r="A4509">
        <v>1543</v>
      </c>
      <c r="B4509">
        <v>2</v>
      </c>
      <c r="C4509">
        <v>93</v>
      </c>
      <c r="D4509">
        <v>1</v>
      </c>
      <c r="E4509" s="1">
        <v>209.99</v>
      </c>
      <c r="F4509" s="1">
        <v>0.2</v>
      </c>
      <c r="G4509">
        <v>209.99</v>
      </c>
      <c r="H4509" s="22">
        <f>VLOOKUP(A4509,[1]Orders!$A$2:$B$1616,2,0)</f>
        <v>43206</v>
      </c>
      <c r="J4509" t="s">
        <v>110</v>
      </c>
      <c r="K4509" t="s">
        <v>18</v>
      </c>
    </row>
    <row r="4510" spans="1:11" x14ac:dyDescent="0.3">
      <c r="A4510">
        <v>1543</v>
      </c>
      <c r="B4510">
        <v>3</v>
      </c>
      <c r="C4510">
        <v>158</v>
      </c>
      <c r="D4510">
        <v>2</v>
      </c>
      <c r="E4510" s="1">
        <v>959.99</v>
      </c>
      <c r="F4510" s="1">
        <v>7.0000000000000007E-2</v>
      </c>
      <c r="G4510">
        <v>1919.98</v>
      </c>
      <c r="H4510" s="22">
        <f>VLOOKUP(A4510,[1]Orders!$A$2:$B$1616,2,0)</f>
        <v>43206</v>
      </c>
      <c r="J4510" t="s">
        <v>284</v>
      </c>
      <c r="K4510" t="s">
        <v>18</v>
      </c>
    </row>
    <row r="4511" spans="1:11" x14ac:dyDescent="0.3">
      <c r="A4511">
        <v>1543</v>
      </c>
      <c r="B4511">
        <v>4</v>
      </c>
      <c r="C4511">
        <v>97</v>
      </c>
      <c r="D4511">
        <v>2</v>
      </c>
      <c r="E4511" s="1">
        <v>349.99</v>
      </c>
      <c r="F4511" s="1">
        <v>0.05</v>
      </c>
      <c r="G4511">
        <v>699.98</v>
      </c>
      <c r="H4511" s="22">
        <f>VLOOKUP(A4511,[1]Orders!$A$2:$B$1616,2,0)</f>
        <v>43206</v>
      </c>
      <c r="J4511" t="s">
        <v>55</v>
      </c>
      <c r="K4511" t="s">
        <v>18</v>
      </c>
    </row>
    <row r="4512" spans="1:11" x14ac:dyDescent="0.3">
      <c r="A4512">
        <v>1543</v>
      </c>
      <c r="B4512">
        <v>5</v>
      </c>
      <c r="C4512">
        <v>136</v>
      </c>
      <c r="D4512">
        <v>1</v>
      </c>
      <c r="E4512" s="1">
        <v>1799.99</v>
      </c>
      <c r="F4512" s="1">
        <v>0.2</v>
      </c>
      <c r="G4512">
        <v>1799.99</v>
      </c>
      <c r="H4512" s="22">
        <f>VLOOKUP(A4512,[1]Orders!$A$2:$B$1616,2,0)</f>
        <v>43206</v>
      </c>
      <c r="J4512" t="s">
        <v>177</v>
      </c>
      <c r="K4512" t="s">
        <v>18</v>
      </c>
    </row>
    <row r="4513" spans="1:11" x14ac:dyDescent="0.3">
      <c r="A4513">
        <v>1544</v>
      </c>
      <c r="B4513">
        <v>1</v>
      </c>
      <c r="C4513">
        <v>194</v>
      </c>
      <c r="D4513">
        <v>2</v>
      </c>
      <c r="E4513" s="1">
        <v>3499.99</v>
      </c>
      <c r="F4513" s="1">
        <v>0.1</v>
      </c>
      <c r="G4513">
        <v>6999.98</v>
      </c>
      <c r="H4513" s="22">
        <f>VLOOKUP(A4513,[1]Orders!$A$2:$B$1616,2,0)</f>
        <v>43207</v>
      </c>
      <c r="J4513" t="s">
        <v>244</v>
      </c>
      <c r="K4513" t="s">
        <v>11</v>
      </c>
    </row>
    <row r="4514" spans="1:11" x14ac:dyDescent="0.3">
      <c r="A4514">
        <v>1544</v>
      </c>
      <c r="B4514">
        <v>2</v>
      </c>
      <c r="C4514">
        <v>107</v>
      </c>
      <c r="D4514">
        <v>2</v>
      </c>
      <c r="E4514" s="1">
        <v>416.99</v>
      </c>
      <c r="F4514" s="1">
        <v>0.2</v>
      </c>
      <c r="G4514">
        <v>833.98</v>
      </c>
      <c r="H4514" s="22">
        <f>VLOOKUP(A4514,[1]Orders!$A$2:$B$1616,2,0)</f>
        <v>43207</v>
      </c>
      <c r="J4514" t="s">
        <v>89</v>
      </c>
      <c r="K4514" t="s">
        <v>11</v>
      </c>
    </row>
    <row r="4515" spans="1:11" x14ac:dyDescent="0.3">
      <c r="A4515">
        <v>1545</v>
      </c>
      <c r="B4515">
        <v>1</v>
      </c>
      <c r="C4515">
        <v>45</v>
      </c>
      <c r="D4515">
        <v>1</v>
      </c>
      <c r="E4515" s="1">
        <v>869.99</v>
      </c>
      <c r="F4515" s="1">
        <v>0.1</v>
      </c>
      <c r="G4515">
        <v>869.99</v>
      </c>
      <c r="H4515" s="22">
        <f>VLOOKUP(A4515,[1]Orders!$A$2:$B$1616,2,0)</f>
        <v>43207</v>
      </c>
      <c r="J4515" t="s">
        <v>88</v>
      </c>
      <c r="K4515" t="s">
        <v>11</v>
      </c>
    </row>
    <row r="4516" spans="1:11" x14ac:dyDescent="0.3">
      <c r="A4516">
        <v>1546</v>
      </c>
      <c r="B4516">
        <v>1</v>
      </c>
      <c r="C4516">
        <v>156</v>
      </c>
      <c r="D4516">
        <v>1</v>
      </c>
      <c r="E4516" s="1">
        <v>6499.99</v>
      </c>
      <c r="F4516" s="1">
        <v>0.1</v>
      </c>
      <c r="G4516">
        <v>6499.99</v>
      </c>
      <c r="H4516" s="22">
        <f>VLOOKUP(A4516,[1]Orders!$A$2:$B$1616,2,0)</f>
        <v>43207</v>
      </c>
      <c r="J4516" t="s">
        <v>285</v>
      </c>
      <c r="K4516" t="s">
        <v>11</v>
      </c>
    </row>
    <row r="4517" spans="1:11" x14ac:dyDescent="0.3">
      <c r="A4517">
        <v>1546</v>
      </c>
      <c r="B4517">
        <v>2</v>
      </c>
      <c r="C4517">
        <v>185</v>
      </c>
      <c r="D4517">
        <v>2</v>
      </c>
      <c r="E4517" s="1">
        <v>2799.99</v>
      </c>
      <c r="F4517" s="1">
        <v>0.1</v>
      </c>
      <c r="G4517">
        <v>5599.98</v>
      </c>
      <c r="H4517" s="22">
        <f>VLOOKUP(A4517,[1]Orders!$A$2:$B$1616,2,0)</f>
        <v>43207</v>
      </c>
      <c r="J4517" t="s">
        <v>152</v>
      </c>
      <c r="K4517" t="s">
        <v>11</v>
      </c>
    </row>
    <row r="4518" spans="1:11" x14ac:dyDescent="0.3">
      <c r="A4518">
        <v>1546</v>
      </c>
      <c r="B4518">
        <v>3</v>
      </c>
      <c r="C4518">
        <v>215</v>
      </c>
      <c r="D4518">
        <v>1</v>
      </c>
      <c r="E4518" s="1">
        <v>749.99</v>
      </c>
      <c r="F4518" s="1">
        <v>0.1</v>
      </c>
      <c r="G4518">
        <v>749.99</v>
      </c>
      <c r="H4518" s="22">
        <f>VLOOKUP(A4518,[1]Orders!$A$2:$B$1616,2,0)</f>
        <v>43207</v>
      </c>
      <c r="J4518" t="s">
        <v>157</v>
      </c>
      <c r="K4518" t="s">
        <v>11</v>
      </c>
    </row>
    <row r="4519" spans="1:11" x14ac:dyDescent="0.3">
      <c r="A4519">
        <v>1546</v>
      </c>
      <c r="B4519">
        <v>4</v>
      </c>
      <c r="C4519">
        <v>25</v>
      </c>
      <c r="D4519">
        <v>1</v>
      </c>
      <c r="E4519" s="1">
        <v>499.99</v>
      </c>
      <c r="F4519" s="1">
        <v>0.05</v>
      </c>
      <c r="G4519">
        <v>499.99</v>
      </c>
      <c r="H4519" s="22">
        <f>VLOOKUP(A4519,[1]Orders!$A$2:$B$1616,2,0)</f>
        <v>43207</v>
      </c>
      <c r="J4519" t="s">
        <v>35</v>
      </c>
      <c r="K4519" t="s">
        <v>11</v>
      </c>
    </row>
    <row r="4520" spans="1:11" x14ac:dyDescent="0.3">
      <c r="A4520">
        <v>1547</v>
      </c>
      <c r="B4520">
        <v>1</v>
      </c>
      <c r="C4520">
        <v>106</v>
      </c>
      <c r="D4520">
        <v>2</v>
      </c>
      <c r="E4520" s="1">
        <v>449.99</v>
      </c>
      <c r="F4520" s="1">
        <v>0.2</v>
      </c>
      <c r="G4520">
        <v>899.98</v>
      </c>
      <c r="H4520" s="22">
        <f>VLOOKUP(A4520,[1]Orders!$A$2:$B$1616,2,0)</f>
        <v>43207</v>
      </c>
      <c r="J4520" t="s">
        <v>39</v>
      </c>
      <c r="K4520" t="s">
        <v>11</v>
      </c>
    </row>
    <row r="4521" spans="1:11" x14ac:dyDescent="0.3">
      <c r="A4521">
        <v>1547</v>
      </c>
      <c r="B4521">
        <v>2</v>
      </c>
      <c r="C4521">
        <v>204</v>
      </c>
      <c r="D4521">
        <v>1</v>
      </c>
      <c r="E4521" s="1">
        <v>3599.99</v>
      </c>
      <c r="F4521" s="1">
        <v>0.2</v>
      </c>
      <c r="G4521">
        <v>3599.99</v>
      </c>
      <c r="H4521" s="22">
        <f>VLOOKUP(A4521,[1]Orders!$A$2:$B$1616,2,0)</f>
        <v>43207</v>
      </c>
      <c r="J4521" t="s">
        <v>187</v>
      </c>
      <c r="K4521" t="s">
        <v>11</v>
      </c>
    </row>
    <row r="4522" spans="1:11" x14ac:dyDescent="0.3">
      <c r="A4522">
        <v>1548</v>
      </c>
      <c r="B4522">
        <v>1</v>
      </c>
      <c r="C4522">
        <v>32</v>
      </c>
      <c r="D4522">
        <v>1</v>
      </c>
      <c r="E4522" s="1">
        <v>469.99</v>
      </c>
      <c r="F4522" s="1">
        <v>0.1</v>
      </c>
      <c r="G4522">
        <v>469.99</v>
      </c>
      <c r="H4522" s="22">
        <f>VLOOKUP(A4522,[1]Orders!$A$2:$B$1616,2,0)</f>
        <v>43207</v>
      </c>
      <c r="J4522" t="s">
        <v>46</v>
      </c>
      <c r="K4522" t="s">
        <v>11</v>
      </c>
    </row>
    <row r="4523" spans="1:11" x14ac:dyDescent="0.3">
      <c r="A4523">
        <v>1548</v>
      </c>
      <c r="B4523">
        <v>2</v>
      </c>
      <c r="C4523">
        <v>202</v>
      </c>
      <c r="D4523">
        <v>1</v>
      </c>
      <c r="E4523" s="1">
        <v>3499.99</v>
      </c>
      <c r="F4523" s="1">
        <v>7.0000000000000007E-2</v>
      </c>
      <c r="G4523">
        <v>3499.99</v>
      </c>
      <c r="H4523" s="22">
        <f>VLOOKUP(A4523,[1]Orders!$A$2:$B$1616,2,0)</f>
        <v>43207</v>
      </c>
      <c r="J4523" t="s">
        <v>283</v>
      </c>
      <c r="K4523" t="s">
        <v>11</v>
      </c>
    </row>
    <row r="4524" spans="1:11" x14ac:dyDescent="0.3">
      <c r="A4524">
        <v>1548</v>
      </c>
      <c r="B4524">
        <v>3</v>
      </c>
      <c r="C4524">
        <v>62</v>
      </c>
      <c r="D4524">
        <v>2</v>
      </c>
      <c r="E4524" s="1">
        <v>3499.99</v>
      </c>
      <c r="F4524" s="1">
        <v>0.2</v>
      </c>
      <c r="G4524">
        <v>6999.98</v>
      </c>
      <c r="H4524" s="22">
        <f>VLOOKUP(A4524,[1]Orders!$A$2:$B$1616,2,0)</f>
        <v>43207</v>
      </c>
      <c r="J4524" t="s">
        <v>50</v>
      </c>
      <c r="K4524" t="s">
        <v>11</v>
      </c>
    </row>
    <row r="4525" spans="1:11" x14ac:dyDescent="0.3">
      <c r="A4525">
        <v>1549</v>
      </c>
      <c r="B4525">
        <v>1</v>
      </c>
      <c r="C4525">
        <v>158</v>
      </c>
      <c r="D4525">
        <v>1</v>
      </c>
      <c r="E4525" s="1">
        <v>959.99</v>
      </c>
      <c r="F4525" s="1">
        <v>0.2</v>
      </c>
      <c r="G4525">
        <v>959.99</v>
      </c>
      <c r="H4525" s="22">
        <f>VLOOKUP(A4525,[1]Orders!$A$2:$B$1616,2,0)</f>
        <v>43207</v>
      </c>
      <c r="J4525" t="s">
        <v>284</v>
      </c>
      <c r="K4525" t="s">
        <v>18</v>
      </c>
    </row>
    <row r="4526" spans="1:11" x14ac:dyDescent="0.3">
      <c r="A4526">
        <v>1549</v>
      </c>
      <c r="B4526">
        <v>2</v>
      </c>
      <c r="C4526">
        <v>119</v>
      </c>
      <c r="D4526">
        <v>1</v>
      </c>
      <c r="E4526" s="1">
        <v>469.99</v>
      </c>
      <c r="F4526" s="1">
        <v>0.05</v>
      </c>
      <c r="G4526">
        <v>469.99</v>
      </c>
      <c r="H4526" s="22">
        <f>VLOOKUP(A4526,[1]Orders!$A$2:$B$1616,2,0)</f>
        <v>43207</v>
      </c>
      <c r="J4526" t="s">
        <v>288</v>
      </c>
      <c r="K4526" t="s">
        <v>18</v>
      </c>
    </row>
    <row r="4527" spans="1:11" x14ac:dyDescent="0.3">
      <c r="A4527">
        <v>1549</v>
      </c>
      <c r="B4527">
        <v>3</v>
      </c>
      <c r="C4527">
        <v>249</v>
      </c>
      <c r="D4527">
        <v>2</v>
      </c>
      <c r="E4527" s="1">
        <v>749.99</v>
      </c>
      <c r="F4527" s="1">
        <v>0.05</v>
      </c>
      <c r="G4527">
        <v>1499.98</v>
      </c>
      <c r="H4527" s="22">
        <f>VLOOKUP(A4527,[1]Orders!$A$2:$B$1616,2,0)</f>
        <v>43207</v>
      </c>
      <c r="J4527" t="s">
        <v>167</v>
      </c>
      <c r="K4527" t="s">
        <v>18</v>
      </c>
    </row>
    <row r="4528" spans="1:11" x14ac:dyDescent="0.3">
      <c r="A4528">
        <v>1549</v>
      </c>
      <c r="B4528">
        <v>4</v>
      </c>
      <c r="C4528">
        <v>242</v>
      </c>
      <c r="D4528">
        <v>2</v>
      </c>
      <c r="E4528" s="1">
        <v>699.99</v>
      </c>
      <c r="F4528" s="1">
        <v>0.1</v>
      </c>
      <c r="G4528">
        <v>1399.98</v>
      </c>
      <c r="H4528" s="22">
        <f>VLOOKUP(A4528,[1]Orders!$A$2:$B$1616,2,0)</f>
        <v>43207</v>
      </c>
      <c r="J4528" t="s">
        <v>245</v>
      </c>
      <c r="K4528" t="s">
        <v>18</v>
      </c>
    </row>
    <row r="4529" spans="1:11" x14ac:dyDescent="0.3">
      <c r="A4529">
        <v>1550</v>
      </c>
      <c r="B4529">
        <v>1</v>
      </c>
      <c r="C4529">
        <v>315</v>
      </c>
      <c r="D4529">
        <v>2</v>
      </c>
      <c r="E4529" s="1">
        <v>559.99</v>
      </c>
      <c r="F4529" s="1">
        <v>0.05</v>
      </c>
      <c r="G4529">
        <v>1119.98</v>
      </c>
      <c r="H4529" s="22">
        <f>VLOOKUP(A4529,[1]Orders!$A$2:$B$1616,2,0)</f>
        <v>43207</v>
      </c>
      <c r="J4529" t="s">
        <v>160</v>
      </c>
      <c r="K4529" t="s">
        <v>18</v>
      </c>
    </row>
    <row r="4530" spans="1:11" x14ac:dyDescent="0.3">
      <c r="A4530">
        <v>1550</v>
      </c>
      <c r="B4530">
        <v>2</v>
      </c>
      <c r="C4530">
        <v>245</v>
      </c>
      <c r="D4530">
        <v>1</v>
      </c>
      <c r="E4530" s="1">
        <v>659.99</v>
      </c>
      <c r="F4530" s="1">
        <v>7.0000000000000007E-2</v>
      </c>
      <c r="G4530">
        <v>659.99</v>
      </c>
      <c r="H4530" s="22">
        <f>VLOOKUP(A4530,[1]Orders!$A$2:$B$1616,2,0)</f>
        <v>43207</v>
      </c>
      <c r="J4530" t="s">
        <v>243</v>
      </c>
      <c r="K4530" t="s">
        <v>18</v>
      </c>
    </row>
    <row r="4531" spans="1:11" x14ac:dyDescent="0.3">
      <c r="A4531">
        <v>1550</v>
      </c>
      <c r="B4531">
        <v>3</v>
      </c>
      <c r="C4531">
        <v>185</v>
      </c>
      <c r="D4531">
        <v>2</v>
      </c>
      <c r="E4531" s="1">
        <v>2799.99</v>
      </c>
      <c r="F4531" s="1">
        <v>0.1</v>
      </c>
      <c r="G4531">
        <v>5599.98</v>
      </c>
      <c r="H4531" s="22">
        <f>VLOOKUP(A4531,[1]Orders!$A$2:$B$1616,2,0)</f>
        <v>43207</v>
      </c>
      <c r="J4531" t="s">
        <v>152</v>
      </c>
      <c r="K4531" t="s">
        <v>18</v>
      </c>
    </row>
    <row r="4532" spans="1:11" x14ac:dyDescent="0.3">
      <c r="A4532">
        <v>1550</v>
      </c>
      <c r="B4532">
        <v>4</v>
      </c>
      <c r="C4532">
        <v>148</v>
      </c>
      <c r="D4532">
        <v>1</v>
      </c>
      <c r="E4532" s="1">
        <v>5499.99</v>
      </c>
      <c r="F4532" s="1">
        <v>7.0000000000000007E-2</v>
      </c>
      <c r="G4532">
        <v>5499.99</v>
      </c>
      <c r="H4532" s="22">
        <f>VLOOKUP(A4532,[1]Orders!$A$2:$B$1616,2,0)</f>
        <v>43207</v>
      </c>
      <c r="J4532" t="s">
        <v>169</v>
      </c>
      <c r="K4532" t="s">
        <v>18</v>
      </c>
    </row>
    <row r="4533" spans="1:11" x14ac:dyDescent="0.3">
      <c r="A4533">
        <v>1550</v>
      </c>
      <c r="B4533">
        <v>5</v>
      </c>
      <c r="C4533">
        <v>86</v>
      </c>
      <c r="D4533">
        <v>2</v>
      </c>
      <c r="E4533" s="1">
        <v>149.99</v>
      </c>
      <c r="F4533" s="1">
        <v>0.05</v>
      </c>
      <c r="G4533">
        <v>299.98</v>
      </c>
      <c r="H4533" s="22">
        <f>VLOOKUP(A4533,[1]Orders!$A$2:$B$1616,2,0)</f>
        <v>43207</v>
      </c>
      <c r="J4533" t="s">
        <v>115</v>
      </c>
      <c r="K4533" t="s">
        <v>18</v>
      </c>
    </row>
    <row r="4534" spans="1:11" x14ac:dyDescent="0.3">
      <c r="A4534">
        <v>1551</v>
      </c>
      <c r="B4534">
        <v>1</v>
      </c>
      <c r="C4534">
        <v>207</v>
      </c>
      <c r="D4534">
        <v>2</v>
      </c>
      <c r="E4534" s="1">
        <v>3999.99</v>
      </c>
      <c r="F4534" s="1">
        <v>0.2</v>
      </c>
      <c r="G4534">
        <v>7999.98</v>
      </c>
      <c r="H4534" s="22">
        <f>VLOOKUP(A4534,[1]Orders!$A$2:$B$1616,2,0)</f>
        <v>43207</v>
      </c>
      <c r="J4534" t="s">
        <v>151</v>
      </c>
      <c r="K4534" t="s">
        <v>18</v>
      </c>
    </row>
    <row r="4535" spans="1:11" x14ac:dyDescent="0.3">
      <c r="A4535">
        <v>1552</v>
      </c>
      <c r="B4535">
        <v>1</v>
      </c>
      <c r="C4535">
        <v>197</v>
      </c>
      <c r="D4535">
        <v>1</v>
      </c>
      <c r="E4535" s="1">
        <v>2299.9899999999998</v>
      </c>
      <c r="F4535" s="1">
        <v>0.1</v>
      </c>
      <c r="G4535">
        <v>2299.9899999999998</v>
      </c>
      <c r="H4535" s="22">
        <f>VLOOKUP(A4535,[1]Orders!$A$2:$B$1616,2,0)</f>
        <v>43207</v>
      </c>
      <c r="J4535" t="s">
        <v>247</v>
      </c>
      <c r="K4535" t="s">
        <v>18</v>
      </c>
    </row>
    <row r="4536" spans="1:11" x14ac:dyDescent="0.3">
      <c r="A4536">
        <v>1552</v>
      </c>
      <c r="B4536">
        <v>2</v>
      </c>
      <c r="C4536">
        <v>41</v>
      </c>
      <c r="D4536">
        <v>2</v>
      </c>
      <c r="E4536" s="1">
        <v>1469.99</v>
      </c>
      <c r="F4536" s="1">
        <v>0.05</v>
      </c>
      <c r="G4536">
        <v>2939.98</v>
      </c>
      <c r="H4536" s="22">
        <f>VLOOKUP(A4536,[1]Orders!$A$2:$B$1616,2,0)</f>
        <v>43207</v>
      </c>
      <c r="J4536" t="s">
        <v>77</v>
      </c>
      <c r="K4536" t="s">
        <v>18</v>
      </c>
    </row>
    <row r="4537" spans="1:11" x14ac:dyDescent="0.3">
      <c r="A4537">
        <v>1553</v>
      </c>
      <c r="B4537">
        <v>1</v>
      </c>
      <c r="C4537">
        <v>102</v>
      </c>
      <c r="D4537">
        <v>1</v>
      </c>
      <c r="E4537" s="1">
        <v>489.99</v>
      </c>
      <c r="F4537" s="1">
        <v>7.0000000000000007E-2</v>
      </c>
      <c r="G4537">
        <v>489.99</v>
      </c>
      <c r="H4537" s="22">
        <f>VLOOKUP(A4537,[1]Orders!$A$2:$B$1616,2,0)</f>
        <v>43208</v>
      </c>
      <c r="J4537" t="s">
        <v>51</v>
      </c>
      <c r="K4537" t="s">
        <v>11</v>
      </c>
    </row>
    <row r="4538" spans="1:11" x14ac:dyDescent="0.3">
      <c r="A4538">
        <v>1553</v>
      </c>
      <c r="B4538">
        <v>2</v>
      </c>
      <c r="C4538">
        <v>12</v>
      </c>
      <c r="D4538">
        <v>1</v>
      </c>
      <c r="E4538" s="1">
        <v>549.99</v>
      </c>
      <c r="F4538" s="1">
        <v>0.1</v>
      </c>
      <c r="G4538">
        <v>549.99</v>
      </c>
      <c r="H4538" s="22">
        <f>VLOOKUP(A4538,[1]Orders!$A$2:$B$1616,2,0)</f>
        <v>43208</v>
      </c>
      <c r="J4538" t="s">
        <v>25</v>
      </c>
      <c r="K4538" t="s">
        <v>11</v>
      </c>
    </row>
    <row r="4539" spans="1:11" x14ac:dyDescent="0.3">
      <c r="A4539">
        <v>1553</v>
      </c>
      <c r="B4539">
        <v>3</v>
      </c>
      <c r="C4539">
        <v>251</v>
      </c>
      <c r="D4539">
        <v>1</v>
      </c>
      <c r="E4539" s="1">
        <v>2999.99</v>
      </c>
      <c r="F4539" s="1">
        <v>0.05</v>
      </c>
      <c r="G4539">
        <v>2999.99</v>
      </c>
      <c r="H4539" s="22">
        <f>VLOOKUP(A4539,[1]Orders!$A$2:$B$1616,2,0)</f>
        <v>43208</v>
      </c>
      <c r="J4539" t="s">
        <v>216</v>
      </c>
      <c r="K4539" t="s">
        <v>11</v>
      </c>
    </row>
    <row r="4540" spans="1:11" x14ac:dyDescent="0.3">
      <c r="A4540">
        <v>1553</v>
      </c>
      <c r="B4540">
        <v>4</v>
      </c>
      <c r="C4540">
        <v>89</v>
      </c>
      <c r="D4540">
        <v>1</v>
      </c>
      <c r="E4540" s="1">
        <v>209.99</v>
      </c>
      <c r="F4540" s="1">
        <v>0.05</v>
      </c>
      <c r="G4540">
        <v>209.99</v>
      </c>
      <c r="H4540" s="22">
        <f>VLOOKUP(A4540,[1]Orders!$A$2:$B$1616,2,0)</f>
        <v>43208</v>
      </c>
      <c r="J4540" t="s">
        <v>94</v>
      </c>
      <c r="K4540" t="s">
        <v>11</v>
      </c>
    </row>
    <row r="4541" spans="1:11" x14ac:dyDescent="0.3">
      <c r="A4541">
        <v>1554</v>
      </c>
      <c r="B4541">
        <v>1</v>
      </c>
      <c r="C4541">
        <v>166</v>
      </c>
      <c r="D4541">
        <v>1</v>
      </c>
      <c r="E4541" s="1">
        <v>749.99</v>
      </c>
      <c r="F4541" s="1">
        <v>0.05</v>
      </c>
      <c r="G4541">
        <v>749.99</v>
      </c>
      <c r="H4541" s="22">
        <f>VLOOKUP(A4541,[1]Orders!$A$2:$B$1616,2,0)</f>
        <v>43208</v>
      </c>
      <c r="J4541" t="s">
        <v>179</v>
      </c>
      <c r="K4541" t="s">
        <v>11</v>
      </c>
    </row>
    <row r="4542" spans="1:11" x14ac:dyDescent="0.3">
      <c r="A4542">
        <v>1554</v>
      </c>
      <c r="B4542">
        <v>2</v>
      </c>
      <c r="C4542">
        <v>285</v>
      </c>
      <c r="D4542">
        <v>1</v>
      </c>
      <c r="E4542" s="1">
        <v>279.99</v>
      </c>
      <c r="F4542" s="1">
        <v>0.2</v>
      </c>
      <c r="G4542">
        <v>279.99</v>
      </c>
      <c r="H4542" s="22">
        <f>VLOOKUP(A4542,[1]Orders!$A$2:$B$1616,2,0)</f>
        <v>43208</v>
      </c>
      <c r="J4542" t="s">
        <v>289</v>
      </c>
      <c r="K4542" t="s">
        <v>11</v>
      </c>
    </row>
    <row r="4543" spans="1:11" x14ac:dyDescent="0.3">
      <c r="A4543">
        <v>1555</v>
      </c>
      <c r="B4543">
        <v>1</v>
      </c>
      <c r="C4543">
        <v>24</v>
      </c>
      <c r="D4543">
        <v>2</v>
      </c>
      <c r="E4543" s="1">
        <v>549.99</v>
      </c>
      <c r="F4543" s="1">
        <v>0.1</v>
      </c>
      <c r="G4543">
        <v>1099.98</v>
      </c>
      <c r="H4543" s="22">
        <f>VLOOKUP(A4543,[1]Orders!$A$2:$B$1616,2,0)</f>
        <v>43208</v>
      </c>
      <c r="J4543" t="s">
        <v>25</v>
      </c>
      <c r="K4543" t="s">
        <v>18</v>
      </c>
    </row>
    <row r="4544" spans="1:11" x14ac:dyDescent="0.3">
      <c r="A4544">
        <v>1555</v>
      </c>
      <c r="B4544">
        <v>2</v>
      </c>
      <c r="C4544">
        <v>156</v>
      </c>
      <c r="D4544">
        <v>1</v>
      </c>
      <c r="E4544" s="1">
        <v>6499.99</v>
      </c>
      <c r="F4544" s="1">
        <v>0.1</v>
      </c>
      <c r="G4544">
        <v>6499.99</v>
      </c>
      <c r="H4544" s="22">
        <f>VLOOKUP(A4544,[1]Orders!$A$2:$B$1616,2,0)</f>
        <v>43208</v>
      </c>
      <c r="J4544" t="s">
        <v>285</v>
      </c>
      <c r="K4544" t="s">
        <v>18</v>
      </c>
    </row>
    <row r="4545" spans="1:11" x14ac:dyDescent="0.3">
      <c r="A4545">
        <v>1555</v>
      </c>
      <c r="B4545">
        <v>3</v>
      </c>
      <c r="C4545">
        <v>126</v>
      </c>
      <c r="D4545">
        <v>1</v>
      </c>
      <c r="E4545" s="1">
        <v>469.99</v>
      </c>
      <c r="F4545" s="1">
        <v>0.1</v>
      </c>
      <c r="G4545">
        <v>469.99</v>
      </c>
      <c r="H4545" s="22">
        <f>VLOOKUP(A4545,[1]Orders!$A$2:$B$1616,2,0)</f>
        <v>43208</v>
      </c>
      <c r="J4545" t="s">
        <v>251</v>
      </c>
      <c r="K4545" t="s">
        <v>18</v>
      </c>
    </row>
    <row r="4546" spans="1:11" x14ac:dyDescent="0.3">
      <c r="A4546">
        <v>1555</v>
      </c>
      <c r="B4546">
        <v>4</v>
      </c>
      <c r="C4546">
        <v>128</v>
      </c>
      <c r="D4546">
        <v>2</v>
      </c>
      <c r="E4546" s="1">
        <v>1899</v>
      </c>
      <c r="F4546" s="1">
        <v>0.05</v>
      </c>
      <c r="G4546">
        <v>3798</v>
      </c>
      <c r="H4546" s="22">
        <f>VLOOKUP(A4546,[1]Orders!$A$2:$B$1616,2,0)</f>
        <v>43208</v>
      </c>
      <c r="J4546" t="s">
        <v>193</v>
      </c>
      <c r="K4546" t="s">
        <v>18</v>
      </c>
    </row>
    <row r="4547" spans="1:11" x14ac:dyDescent="0.3">
      <c r="A4547">
        <v>1555</v>
      </c>
      <c r="B4547">
        <v>5</v>
      </c>
      <c r="C4547">
        <v>174</v>
      </c>
      <c r="D4547">
        <v>1</v>
      </c>
      <c r="E4547" s="1">
        <v>3199.99</v>
      </c>
      <c r="F4547" s="1">
        <v>0.2</v>
      </c>
      <c r="G4547">
        <v>3199.99</v>
      </c>
      <c r="H4547" s="22">
        <f>VLOOKUP(A4547,[1]Orders!$A$2:$B$1616,2,0)</f>
        <v>43208</v>
      </c>
      <c r="J4547" t="s">
        <v>290</v>
      </c>
      <c r="K4547" t="s">
        <v>18</v>
      </c>
    </row>
    <row r="4548" spans="1:11" x14ac:dyDescent="0.3">
      <c r="A4548">
        <v>1556</v>
      </c>
      <c r="B4548">
        <v>1</v>
      </c>
      <c r="C4548">
        <v>49</v>
      </c>
      <c r="D4548">
        <v>2</v>
      </c>
      <c r="E4548" s="1">
        <v>3499.99</v>
      </c>
      <c r="F4548" s="1">
        <v>0.2</v>
      </c>
      <c r="G4548">
        <v>6999.98</v>
      </c>
      <c r="H4548" s="22">
        <f>VLOOKUP(A4548,[1]Orders!$A$2:$B$1616,2,0)</f>
        <v>43208</v>
      </c>
      <c r="J4548" t="s">
        <v>70</v>
      </c>
      <c r="K4548" t="s">
        <v>18</v>
      </c>
    </row>
    <row r="4549" spans="1:11" x14ac:dyDescent="0.3">
      <c r="A4549">
        <v>1556</v>
      </c>
      <c r="B4549">
        <v>2</v>
      </c>
      <c r="C4549">
        <v>82</v>
      </c>
      <c r="D4549">
        <v>1</v>
      </c>
      <c r="E4549" s="1">
        <v>659.99</v>
      </c>
      <c r="F4549" s="1">
        <v>7.0000000000000007E-2</v>
      </c>
      <c r="G4549">
        <v>659.99</v>
      </c>
      <c r="H4549" s="22">
        <f>VLOOKUP(A4549,[1]Orders!$A$2:$B$1616,2,0)</f>
        <v>43208</v>
      </c>
      <c r="J4549" t="s">
        <v>100</v>
      </c>
      <c r="K4549" t="s">
        <v>18</v>
      </c>
    </row>
    <row r="4550" spans="1:11" x14ac:dyDescent="0.3">
      <c r="A4550">
        <v>1556</v>
      </c>
      <c r="B4550">
        <v>3</v>
      </c>
      <c r="C4550">
        <v>265</v>
      </c>
      <c r="D4550">
        <v>1</v>
      </c>
      <c r="E4550" s="1">
        <v>289.99</v>
      </c>
      <c r="F4550" s="1">
        <v>0.1</v>
      </c>
      <c r="G4550">
        <v>289.99</v>
      </c>
      <c r="H4550" s="22">
        <f>VLOOKUP(A4550,[1]Orders!$A$2:$B$1616,2,0)</f>
        <v>43208</v>
      </c>
      <c r="J4550" t="s">
        <v>239</v>
      </c>
      <c r="K4550" t="s">
        <v>18</v>
      </c>
    </row>
    <row r="4551" spans="1:11" x14ac:dyDescent="0.3">
      <c r="A4551">
        <v>1556</v>
      </c>
      <c r="B4551">
        <v>4</v>
      </c>
      <c r="C4551">
        <v>119</v>
      </c>
      <c r="D4551">
        <v>2</v>
      </c>
      <c r="E4551" s="1">
        <v>469.99</v>
      </c>
      <c r="F4551" s="1">
        <v>0.05</v>
      </c>
      <c r="G4551">
        <v>939.98</v>
      </c>
      <c r="H4551" s="22">
        <f>VLOOKUP(A4551,[1]Orders!$A$2:$B$1616,2,0)</f>
        <v>43208</v>
      </c>
      <c r="J4551" t="s">
        <v>288</v>
      </c>
      <c r="K4551" t="s">
        <v>18</v>
      </c>
    </row>
    <row r="4552" spans="1:11" x14ac:dyDescent="0.3">
      <c r="A4552">
        <v>1556</v>
      </c>
      <c r="B4552">
        <v>5</v>
      </c>
      <c r="C4552">
        <v>235</v>
      </c>
      <c r="D4552">
        <v>2</v>
      </c>
      <c r="E4552" s="1">
        <v>899.99</v>
      </c>
      <c r="F4552" s="1">
        <v>0.1</v>
      </c>
      <c r="G4552">
        <v>1799.98</v>
      </c>
      <c r="H4552" s="22">
        <f>VLOOKUP(A4552,[1]Orders!$A$2:$B$1616,2,0)</f>
        <v>43208</v>
      </c>
      <c r="J4552" t="s">
        <v>120</v>
      </c>
      <c r="K4552" t="s">
        <v>18</v>
      </c>
    </row>
    <row r="4553" spans="1:11" x14ac:dyDescent="0.3">
      <c r="A4553">
        <v>1557</v>
      </c>
      <c r="B4553">
        <v>1</v>
      </c>
      <c r="C4553">
        <v>163</v>
      </c>
      <c r="D4553">
        <v>2</v>
      </c>
      <c r="E4553" s="1">
        <v>1349</v>
      </c>
      <c r="F4553" s="1">
        <v>7.0000000000000007E-2</v>
      </c>
      <c r="G4553">
        <v>2698</v>
      </c>
      <c r="H4553" s="22">
        <f>VLOOKUP(A4553,[1]Orders!$A$2:$B$1616,2,0)</f>
        <v>43209</v>
      </c>
      <c r="J4553" t="s">
        <v>186</v>
      </c>
      <c r="K4553" t="s">
        <v>11</v>
      </c>
    </row>
    <row r="4554" spans="1:11" x14ac:dyDescent="0.3">
      <c r="A4554">
        <v>1558</v>
      </c>
      <c r="B4554">
        <v>1</v>
      </c>
      <c r="C4554">
        <v>46</v>
      </c>
      <c r="D4554">
        <v>2</v>
      </c>
      <c r="E4554" s="1">
        <v>1409.99</v>
      </c>
      <c r="F4554" s="1">
        <v>7.0000000000000007E-2</v>
      </c>
      <c r="G4554">
        <v>2819.98</v>
      </c>
      <c r="H4554" s="22">
        <f>VLOOKUP(A4554,[1]Orders!$A$2:$B$1616,2,0)</f>
        <v>43209</v>
      </c>
      <c r="J4554" t="s">
        <v>118</v>
      </c>
      <c r="K4554" t="s">
        <v>18</v>
      </c>
    </row>
    <row r="4555" spans="1:11" x14ac:dyDescent="0.3">
      <c r="A4555">
        <v>1558</v>
      </c>
      <c r="B4555">
        <v>2</v>
      </c>
      <c r="C4555">
        <v>123</v>
      </c>
      <c r="D4555">
        <v>1</v>
      </c>
      <c r="E4555" s="1">
        <v>999.99</v>
      </c>
      <c r="F4555" s="1">
        <v>7.0000000000000007E-2</v>
      </c>
      <c r="G4555">
        <v>999.99</v>
      </c>
      <c r="H4555" s="22">
        <f>VLOOKUP(A4555,[1]Orders!$A$2:$B$1616,2,0)</f>
        <v>43209</v>
      </c>
      <c r="J4555" t="s">
        <v>260</v>
      </c>
      <c r="K4555" t="s">
        <v>18</v>
      </c>
    </row>
    <row r="4556" spans="1:11" x14ac:dyDescent="0.3">
      <c r="A4556">
        <v>1558</v>
      </c>
      <c r="B4556">
        <v>3</v>
      </c>
      <c r="C4556">
        <v>4</v>
      </c>
      <c r="D4556">
        <v>1</v>
      </c>
      <c r="E4556" s="1">
        <v>2899.99</v>
      </c>
      <c r="F4556" s="1">
        <v>0.05</v>
      </c>
      <c r="G4556">
        <v>2899.99</v>
      </c>
      <c r="H4556" s="22">
        <f>VLOOKUP(A4556,[1]Orders!$A$2:$B$1616,2,0)</f>
        <v>43209</v>
      </c>
      <c r="J4556" t="s">
        <v>16</v>
      </c>
      <c r="K4556" t="s">
        <v>18</v>
      </c>
    </row>
    <row r="4557" spans="1:11" x14ac:dyDescent="0.3">
      <c r="A4557">
        <v>1558</v>
      </c>
      <c r="B4557">
        <v>4</v>
      </c>
      <c r="C4557">
        <v>55</v>
      </c>
      <c r="D4557">
        <v>1</v>
      </c>
      <c r="E4557" s="1">
        <v>2699.99</v>
      </c>
      <c r="F4557" s="1">
        <v>0.2</v>
      </c>
      <c r="G4557">
        <v>2699.99</v>
      </c>
      <c r="H4557" s="22">
        <f>VLOOKUP(A4557,[1]Orders!$A$2:$B$1616,2,0)</f>
        <v>43209</v>
      </c>
      <c r="J4557" t="s">
        <v>76</v>
      </c>
      <c r="K4557" t="s">
        <v>18</v>
      </c>
    </row>
    <row r="4558" spans="1:11" x14ac:dyDescent="0.3">
      <c r="A4558">
        <v>1558</v>
      </c>
      <c r="B4558">
        <v>5</v>
      </c>
      <c r="C4558">
        <v>253</v>
      </c>
      <c r="D4558">
        <v>1</v>
      </c>
      <c r="E4558" s="1">
        <v>2599.9899999999998</v>
      </c>
      <c r="F4558" s="1">
        <v>7.0000000000000007E-2</v>
      </c>
      <c r="G4558">
        <v>2599.9899999999998</v>
      </c>
      <c r="H4558" s="22">
        <f>VLOOKUP(A4558,[1]Orders!$A$2:$B$1616,2,0)</f>
        <v>43209</v>
      </c>
      <c r="J4558" t="s">
        <v>138</v>
      </c>
      <c r="K4558" t="s">
        <v>18</v>
      </c>
    </row>
    <row r="4559" spans="1:11" x14ac:dyDescent="0.3">
      <c r="A4559">
        <v>1559</v>
      </c>
      <c r="B4559">
        <v>1</v>
      </c>
      <c r="C4559">
        <v>101</v>
      </c>
      <c r="D4559">
        <v>2</v>
      </c>
      <c r="E4559" s="1">
        <v>339.99</v>
      </c>
      <c r="F4559" s="1">
        <v>7.0000000000000007E-2</v>
      </c>
      <c r="G4559">
        <v>679.98</v>
      </c>
      <c r="H4559" s="22">
        <f>VLOOKUP(A4559,[1]Orders!$A$2:$B$1616,2,0)</f>
        <v>43210</v>
      </c>
      <c r="J4559" t="s">
        <v>80</v>
      </c>
      <c r="K4559" t="s">
        <v>18</v>
      </c>
    </row>
    <row r="4560" spans="1:11" x14ac:dyDescent="0.3">
      <c r="A4560">
        <v>1559</v>
      </c>
      <c r="B4560">
        <v>2</v>
      </c>
      <c r="C4560">
        <v>18</v>
      </c>
      <c r="D4560">
        <v>1</v>
      </c>
      <c r="E4560" s="1">
        <v>449</v>
      </c>
      <c r="F4560" s="1">
        <v>0.1</v>
      </c>
      <c r="G4560">
        <v>449</v>
      </c>
      <c r="H4560" s="22">
        <f>VLOOKUP(A4560,[1]Orders!$A$2:$B$1616,2,0)</f>
        <v>43210</v>
      </c>
      <c r="J4560" t="s">
        <v>24</v>
      </c>
      <c r="K4560" t="s">
        <v>18</v>
      </c>
    </row>
    <row r="4561" spans="1:11" x14ac:dyDescent="0.3">
      <c r="A4561">
        <v>1559</v>
      </c>
      <c r="B4561">
        <v>3</v>
      </c>
      <c r="C4561">
        <v>54</v>
      </c>
      <c r="D4561">
        <v>2</v>
      </c>
      <c r="E4561" s="1">
        <v>3199.99</v>
      </c>
      <c r="F4561" s="1">
        <v>0.1</v>
      </c>
      <c r="G4561">
        <v>6399.98</v>
      </c>
      <c r="H4561" s="22">
        <f>VLOOKUP(A4561,[1]Orders!$A$2:$B$1616,2,0)</f>
        <v>43210</v>
      </c>
      <c r="J4561" t="s">
        <v>69</v>
      </c>
      <c r="K4561" t="s">
        <v>18</v>
      </c>
    </row>
    <row r="4562" spans="1:11" x14ac:dyDescent="0.3">
      <c r="A4562">
        <v>1559</v>
      </c>
      <c r="B4562">
        <v>4</v>
      </c>
      <c r="C4562">
        <v>221</v>
      </c>
      <c r="D4562">
        <v>1</v>
      </c>
      <c r="E4562" s="1">
        <v>319.99</v>
      </c>
      <c r="F4562" s="1">
        <v>0.1</v>
      </c>
      <c r="G4562">
        <v>319.99</v>
      </c>
      <c r="H4562" s="22">
        <f>VLOOKUP(A4562,[1]Orders!$A$2:$B$1616,2,0)</f>
        <v>43210</v>
      </c>
      <c r="J4562" t="s">
        <v>253</v>
      </c>
      <c r="K4562" t="s">
        <v>18</v>
      </c>
    </row>
    <row r="4563" spans="1:11" x14ac:dyDescent="0.3">
      <c r="A4563">
        <v>1560</v>
      </c>
      <c r="B4563">
        <v>1</v>
      </c>
      <c r="C4563">
        <v>118</v>
      </c>
      <c r="D4563">
        <v>2</v>
      </c>
      <c r="E4563" s="1">
        <v>999.99</v>
      </c>
      <c r="F4563" s="1">
        <v>0.2</v>
      </c>
      <c r="G4563">
        <v>1999.98</v>
      </c>
      <c r="H4563" s="22">
        <f>VLOOKUP(A4563,[1]Orders!$A$2:$B$1616,2,0)</f>
        <v>43210</v>
      </c>
      <c r="J4563" t="s">
        <v>207</v>
      </c>
      <c r="K4563" t="s">
        <v>18</v>
      </c>
    </row>
    <row r="4564" spans="1:11" x14ac:dyDescent="0.3">
      <c r="A4564">
        <v>1560</v>
      </c>
      <c r="B4564">
        <v>2</v>
      </c>
      <c r="C4564">
        <v>41</v>
      </c>
      <c r="D4564">
        <v>1</v>
      </c>
      <c r="E4564" s="1">
        <v>1469.99</v>
      </c>
      <c r="F4564" s="1">
        <v>0.2</v>
      </c>
      <c r="G4564">
        <v>1469.99</v>
      </c>
      <c r="H4564" s="22">
        <f>VLOOKUP(A4564,[1]Orders!$A$2:$B$1616,2,0)</f>
        <v>43210</v>
      </c>
      <c r="J4564" t="s">
        <v>77</v>
      </c>
      <c r="K4564" t="s">
        <v>18</v>
      </c>
    </row>
    <row r="4565" spans="1:11" x14ac:dyDescent="0.3">
      <c r="A4565">
        <v>1561</v>
      </c>
      <c r="B4565">
        <v>1</v>
      </c>
      <c r="C4565">
        <v>181</v>
      </c>
      <c r="D4565">
        <v>2</v>
      </c>
      <c r="E4565" s="1">
        <v>2199.9899999999998</v>
      </c>
      <c r="F4565" s="1">
        <v>7.0000000000000007E-2</v>
      </c>
      <c r="G4565">
        <v>4399.9799999999996</v>
      </c>
      <c r="H4565" s="22">
        <f>VLOOKUP(A4565,[1]Orders!$A$2:$B$1616,2,0)</f>
        <v>43210</v>
      </c>
      <c r="J4565" t="s">
        <v>203</v>
      </c>
      <c r="K4565" t="s">
        <v>18</v>
      </c>
    </row>
    <row r="4566" spans="1:11" x14ac:dyDescent="0.3">
      <c r="A4566">
        <v>1561</v>
      </c>
      <c r="B4566">
        <v>2</v>
      </c>
      <c r="C4566">
        <v>297</v>
      </c>
      <c r="D4566">
        <v>2</v>
      </c>
      <c r="E4566" s="1">
        <v>279.99</v>
      </c>
      <c r="F4566" s="1">
        <v>0.05</v>
      </c>
      <c r="G4566">
        <v>559.98</v>
      </c>
      <c r="H4566" s="22">
        <f>VLOOKUP(A4566,[1]Orders!$A$2:$B$1616,2,0)</f>
        <v>43210</v>
      </c>
      <c r="J4566" t="s">
        <v>175</v>
      </c>
      <c r="K4566" t="s">
        <v>18</v>
      </c>
    </row>
    <row r="4567" spans="1:11" x14ac:dyDescent="0.3">
      <c r="A4567">
        <v>1562</v>
      </c>
      <c r="B4567">
        <v>1</v>
      </c>
      <c r="C4567">
        <v>54</v>
      </c>
      <c r="D4567">
        <v>1</v>
      </c>
      <c r="E4567" s="1">
        <v>3199.99</v>
      </c>
      <c r="F4567" s="1">
        <v>0.2</v>
      </c>
      <c r="G4567">
        <v>3199.99</v>
      </c>
      <c r="H4567" s="22">
        <f>VLOOKUP(A4567,[1]Orders!$A$2:$B$1616,2,0)</f>
        <v>43210</v>
      </c>
      <c r="J4567" t="s">
        <v>69</v>
      </c>
      <c r="K4567" t="s">
        <v>18</v>
      </c>
    </row>
    <row r="4568" spans="1:11" x14ac:dyDescent="0.3">
      <c r="A4568">
        <v>1562</v>
      </c>
      <c r="B4568">
        <v>2</v>
      </c>
      <c r="C4568">
        <v>66</v>
      </c>
      <c r="D4568">
        <v>1</v>
      </c>
      <c r="E4568" s="1">
        <v>250.99</v>
      </c>
      <c r="F4568" s="1">
        <v>0.2</v>
      </c>
      <c r="G4568">
        <v>250.99</v>
      </c>
      <c r="H4568" s="22">
        <f>VLOOKUP(A4568,[1]Orders!$A$2:$B$1616,2,0)</f>
        <v>43210</v>
      </c>
      <c r="J4568" t="s">
        <v>92</v>
      </c>
      <c r="K4568" t="s">
        <v>18</v>
      </c>
    </row>
    <row r="4569" spans="1:11" x14ac:dyDescent="0.3">
      <c r="A4569">
        <v>1562</v>
      </c>
      <c r="B4569">
        <v>3</v>
      </c>
      <c r="C4569">
        <v>115</v>
      </c>
      <c r="D4569">
        <v>2</v>
      </c>
      <c r="E4569" s="1">
        <v>3199.99</v>
      </c>
      <c r="F4569" s="1">
        <v>7.0000000000000007E-2</v>
      </c>
      <c r="G4569">
        <v>6399.98</v>
      </c>
      <c r="H4569" s="22">
        <f>VLOOKUP(A4569,[1]Orders!$A$2:$B$1616,2,0)</f>
        <v>43210</v>
      </c>
      <c r="J4569" t="s">
        <v>192</v>
      </c>
      <c r="K4569" t="s">
        <v>18</v>
      </c>
    </row>
    <row r="4570" spans="1:11" x14ac:dyDescent="0.3">
      <c r="A4570">
        <v>1563</v>
      </c>
      <c r="B4570">
        <v>1</v>
      </c>
      <c r="C4570">
        <v>188</v>
      </c>
      <c r="D4570">
        <v>1</v>
      </c>
      <c r="E4570" s="1">
        <v>3499.99</v>
      </c>
      <c r="F4570" s="1">
        <v>7.0000000000000007E-2</v>
      </c>
      <c r="G4570">
        <v>3499.99</v>
      </c>
      <c r="H4570" s="22">
        <f>VLOOKUP(A4570,[1]Orders!$A$2:$B$1616,2,0)</f>
        <v>43210</v>
      </c>
      <c r="J4570" t="s">
        <v>205</v>
      </c>
      <c r="K4570" t="s">
        <v>37</v>
      </c>
    </row>
    <row r="4571" spans="1:11" x14ac:dyDescent="0.3">
      <c r="A4571">
        <v>1564</v>
      </c>
      <c r="B4571">
        <v>1</v>
      </c>
      <c r="C4571">
        <v>309</v>
      </c>
      <c r="D4571">
        <v>1</v>
      </c>
      <c r="E4571" s="1">
        <v>899.99</v>
      </c>
      <c r="F4571" s="1">
        <v>7.0000000000000007E-2</v>
      </c>
      <c r="G4571">
        <v>899.99</v>
      </c>
      <c r="H4571" s="22">
        <f>VLOOKUP(A4571,[1]Orders!$A$2:$B$1616,2,0)</f>
        <v>43211</v>
      </c>
      <c r="J4571" t="s">
        <v>274</v>
      </c>
      <c r="K4571" t="s">
        <v>11</v>
      </c>
    </row>
    <row r="4572" spans="1:11" x14ac:dyDescent="0.3">
      <c r="A4572">
        <v>1564</v>
      </c>
      <c r="B4572">
        <v>2</v>
      </c>
      <c r="C4572">
        <v>14</v>
      </c>
      <c r="D4572">
        <v>1</v>
      </c>
      <c r="E4572" s="1">
        <v>269.99</v>
      </c>
      <c r="F4572" s="1">
        <v>0.1</v>
      </c>
      <c r="G4572">
        <v>269.99</v>
      </c>
      <c r="H4572" s="22">
        <f>VLOOKUP(A4572,[1]Orders!$A$2:$B$1616,2,0)</f>
        <v>43211</v>
      </c>
      <c r="J4572" t="s">
        <v>28</v>
      </c>
      <c r="K4572" t="s">
        <v>11</v>
      </c>
    </row>
    <row r="4573" spans="1:11" x14ac:dyDescent="0.3">
      <c r="A4573">
        <v>1565</v>
      </c>
      <c r="B4573">
        <v>1</v>
      </c>
      <c r="C4573">
        <v>37</v>
      </c>
      <c r="D4573">
        <v>1</v>
      </c>
      <c r="E4573" s="1">
        <v>379.99</v>
      </c>
      <c r="F4573" s="1">
        <v>7.0000000000000007E-2</v>
      </c>
      <c r="G4573">
        <v>379.99</v>
      </c>
      <c r="H4573" s="22">
        <f>VLOOKUP(A4573,[1]Orders!$A$2:$B$1616,2,0)</f>
        <v>43211</v>
      </c>
      <c r="J4573" t="s">
        <v>98</v>
      </c>
      <c r="K4573" t="s">
        <v>11</v>
      </c>
    </row>
    <row r="4574" spans="1:11" x14ac:dyDescent="0.3">
      <c r="A4574">
        <v>1565</v>
      </c>
      <c r="B4574">
        <v>2</v>
      </c>
      <c r="C4574">
        <v>92</v>
      </c>
      <c r="D4574">
        <v>1</v>
      </c>
      <c r="E4574" s="1">
        <v>209.99</v>
      </c>
      <c r="F4574" s="1">
        <v>0.1</v>
      </c>
      <c r="G4574">
        <v>209.99</v>
      </c>
      <c r="H4574" s="22">
        <f>VLOOKUP(A4574,[1]Orders!$A$2:$B$1616,2,0)</f>
        <v>43211</v>
      </c>
      <c r="J4574" t="s">
        <v>111</v>
      </c>
      <c r="K4574" t="s">
        <v>11</v>
      </c>
    </row>
    <row r="4575" spans="1:11" x14ac:dyDescent="0.3">
      <c r="A4575">
        <v>1565</v>
      </c>
      <c r="B4575">
        <v>3</v>
      </c>
      <c r="C4575">
        <v>261</v>
      </c>
      <c r="D4575">
        <v>1</v>
      </c>
      <c r="E4575" s="1">
        <v>899.99</v>
      </c>
      <c r="F4575" s="1">
        <v>0.1</v>
      </c>
      <c r="G4575">
        <v>899.99</v>
      </c>
      <c r="H4575" s="22">
        <f>VLOOKUP(A4575,[1]Orders!$A$2:$B$1616,2,0)</f>
        <v>43211</v>
      </c>
      <c r="J4575" t="s">
        <v>237</v>
      </c>
      <c r="K4575" t="s">
        <v>11</v>
      </c>
    </row>
    <row r="4576" spans="1:11" x14ac:dyDescent="0.3">
      <c r="A4576">
        <v>1565</v>
      </c>
      <c r="B4576">
        <v>4</v>
      </c>
      <c r="C4576">
        <v>95</v>
      </c>
      <c r="D4576">
        <v>1</v>
      </c>
      <c r="E4576" s="1">
        <v>299.99</v>
      </c>
      <c r="F4576" s="1">
        <v>7.0000000000000007E-2</v>
      </c>
      <c r="G4576">
        <v>299.99</v>
      </c>
      <c r="H4576" s="22">
        <f>VLOOKUP(A4576,[1]Orders!$A$2:$B$1616,2,0)</f>
        <v>43211</v>
      </c>
      <c r="J4576" t="s">
        <v>48</v>
      </c>
      <c r="K4576" t="s">
        <v>11</v>
      </c>
    </row>
    <row r="4577" spans="1:11" x14ac:dyDescent="0.3">
      <c r="A4577">
        <v>1565</v>
      </c>
      <c r="B4577">
        <v>5</v>
      </c>
      <c r="C4577">
        <v>226</v>
      </c>
      <c r="D4577">
        <v>2</v>
      </c>
      <c r="E4577" s="1">
        <v>679.99</v>
      </c>
      <c r="F4577" s="1">
        <v>0.2</v>
      </c>
      <c r="G4577">
        <v>1359.98</v>
      </c>
      <c r="H4577" s="22">
        <f>VLOOKUP(A4577,[1]Orders!$A$2:$B$1616,2,0)</f>
        <v>43211</v>
      </c>
      <c r="J4577" t="s">
        <v>146</v>
      </c>
      <c r="K4577" t="s">
        <v>11</v>
      </c>
    </row>
    <row r="4578" spans="1:11" x14ac:dyDescent="0.3">
      <c r="A4578">
        <v>1566</v>
      </c>
      <c r="B4578">
        <v>1</v>
      </c>
      <c r="C4578">
        <v>179</v>
      </c>
      <c r="D4578">
        <v>1</v>
      </c>
      <c r="E4578" s="1">
        <v>919.99</v>
      </c>
      <c r="F4578" s="1">
        <v>0.05</v>
      </c>
      <c r="G4578">
        <v>919.99</v>
      </c>
      <c r="H4578" s="22">
        <f>VLOOKUP(A4578,[1]Orders!$A$2:$B$1616,2,0)</f>
        <v>43211</v>
      </c>
      <c r="J4578" t="s">
        <v>143</v>
      </c>
      <c r="K4578" t="s">
        <v>11</v>
      </c>
    </row>
    <row r="4579" spans="1:11" x14ac:dyDescent="0.3">
      <c r="A4579">
        <v>1566</v>
      </c>
      <c r="B4579">
        <v>2</v>
      </c>
      <c r="C4579">
        <v>61</v>
      </c>
      <c r="D4579">
        <v>2</v>
      </c>
      <c r="E4579" s="1">
        <v>4999.99</v>
      </c>
      <c r="F4579" s="1">
        <v>0.05</v>
      </c>
      <c r="G4579">
        <v>9999.98</v>
      </c>
      <c r="H4579" s="22">
        <f>VLOOKUP(A4579,[1]Orders!$A$2:$B$1616,2,0)</f>
        <v>43211</v>
      </c>
      <c r="J4579" t="s">
        <v>45</v>
      </c>
      <c r="K4579" t="s">
        <v>11</v>
      </c>
    </row>
    <row r="4580" spans="1:11" x14ac:dyDescent="0.3">
      <c r="A4580">
        <v>1567</v>
      </c>
      <c r="B4580">
        <v>1</v>
      </c>
      <c r="C4580">
        <v>279</v>
      </c>
      <c r="D4580">
        <v>1</v>
      </c>
      <c r="E4580" s="1">
        <v>319.99</v>
      </c>
      <c r="F4580" s="1">
        <v>0.2</v>
      </c>
      <c r="G4580">
        <v>319.99</v>
      </c>
      <c r="H4580" s="22">
        <f>VLOOKUP(A4580,[1]Orders!$A$2:$B$1616,2,0)</f>
        <v>43211</v>
      </c>
      <c r="J4580" t="s">
        <v>291</v>
      </c>
      <c r="K4580" t="s">
        <v>11</v>
      </c>
    </row>
    <row r="4581" spans="1:11" x14ac:dyDescent="0.3">
      <c r="A4581">
        <v>1568</v>
      </c>
      <c r="B4581">
        <v>1</v>
      </c>
      <c r="C4581">
        <v>146</v>
      </c>
      <c r="D4581">
        <v>1</v>
      </c>
      <c r="E4581" s="1">
        <v>4999.99</v>
      </c>
      <c r="F4581" s="1">
        <v>0.2</v>
      </c>
      <c r="G4581">
        <v>4999.99</v>
      </c>
      <c r="H4581" s="22">
        <f>VLOOKUP(A4581,[1]Orders!$A$2:$B$1616,2,0)</f>
        <v>43211</v>
      </c>
      <c r="J4581" t="s">
        <v>292</v>
      </c>
      <c r="K4581" t="s">
        <v>11</v>
      </c>
    </row>
    <row r="4582" spans="1:11" x14ac:dyDescent="0.3">
      <c r="A4582">
        <v>1568</v>
      </c>
      <c r="B4582">
        <v>2</v>
      </c>
      <c r="C4582">
        <v>105</v>
      </c>
      <c r="D4582">
        <v>1</v>
      </c>
      <c r="E4582" s="1">
        <v>533.99</v>
      </c>
      <c r="F4582" s="1">
        <v>7.0000000000000007E-2</v>
      </c>
      <c r="G4582">
        <v>533.99</v>
      </c>
      <c r="H4582" s="22">
        <f>VLOOKUP(A4582,[1]Orders!$A$2:$B$1616,2,0)</f>
        <v>43211</v>
      </c>
      <c r="J4582" t="s">
        <v>96</v>
      </c>
      <c r="K4582" t="s">
        <v>11</v>
      </c>
    </row>
    <row r="4583" spans="1:11" x14ac:dyDescent="0.3">
      <c r="A4583">
        <v>1568</v>
      </c>
      <c r="B4583">
        <v>3</v>
      </c>
      <c r="C4583">
        <v>301</v>
      </c>
      <c r="D4583">
        <v>1</v>
      </c>
      <c r="E4583" s="1">
        <v>899.99</v>
      </c>
      <c r="F4583" s="1">
        <v>0.1</v>
      </c>
      <c r="G4583">
        <v>899.99</v>
      </c>
      <c r="H4583" s="22">
        <f>VLOOKUP(A4583,[1]Orders!$A$2:$B$1616,2,0)</f>
        <v>43211</v>
      </c>
      <c r="J4583" t="s">
        <v>237</v>
      </c>
      <c r="K4583" t="s">
        <v>11</v>
      </c>
    </row>
    <row r="4584" spans="1:11" x14ac:dyDescent="0.3">
      <c r="A4584">
        <v>1569</v>
      </c>
      <c r="B4584">
        <v>1</v>
      </c>
      <c r="C4584">
        <v>252</v>
      </c>
      <c r="D4584">
        <v>1</v>
      </c>
      <c r="E4584" s="1">
        <v>2999.99</v>
      </c>
      <c r="F4584" s="1">
        <v>0.1</v>
      </c>
      <c r="G4584">
        <v>2999.99</v>
      </c>
      <c r="H4584" s="22">
        <f>VLOOKUP(A4584,[1]Orders!$A$2:$B$1616,2,0)</f>
        <v>43212</v>
      </c>
      <c r="J4584" t="s">
        <v>182</v>
      </c>
      <c r="K4584" t="s">
        <v>18</v>
      </c>
    </row>
    <row r="4585" spans="1:11" x14ac:dyDescent="0.3">
      <c r="A4585">
        <v>1570</v>
      </c>
      <c r="B4585">
        <v>1</v>
      </c>
      <c r="C4585">
        <v>155</v>
      </c>
      <c r="D4585">
        <v>1</v>
      </c>
      <c r="E4585" s="1">
        <v>11999.99</v>
      </c>
      <c r="F4585" s="1">
        <v>7.0000000000000007E-2</v>
      </c>
      <c r="G4585">
        <v>11999.99</v>
      </c>
      <c r="H4585" s="22">
        <f>VLOOKUP(A4585,[1]Orders!$A$2:$B$1616,2,0)</f>
        <v>43212</v>
      </c>
      <c r="J4585" t="s">
        <v>188</v>
      </c>
      <c r="K4585" t="s">
        <v>18</v>
      </c>
    </row>
    <row r="4586" spans="1:11" x14ac:dyDescent="0.3">
      <c r="A4586">
        <v>1571</v>
      </c>
      <c r="B4586">
        <v>1</v>
      </c>
      <c r="C4586">
        <v>312</v>
      </c>
      <c r="D4586">
        <v>2</v>
      </c>
      <c r="E4586" s="1">
        <v>699.99</v>
      </c>
      <c r="F4586" s="1">
        <v>0.1</v>
      </c>
      <c r="G4586">
        <v>1399.98</v>
      </c>
      <c r="H4586" s="22">
        <f>VLOOKUP(A4586,[1]Orders!$A$2:$B$1616,2,0)</f>
        <v>43212</v>
      </c>
      <c r="J4586" t="s">
        <v>245</v>
      </c>
      <c r="K4586" t="s">
        <v>18</v>
      </c>
    </row>
    <row r="4587" spans="1:11" x14ac:dyDescent="0.3">
      <c r="A4587">
        <v>1571</v>
      </c>
      <c r="B4587">
        <v>2</v>
      </c>
      <c r="C4587">
        <v>212</v>
      </c>
      <c r="D4587">
        <v>1</v>
      </c>
      <c r="E4587" s="1">
        <v>559.99</v>
      </c>
      <c r="F4587" s="1">
        <v>7.0000000000000007E-2</v>
      </c>
      <c r="G4587">
        <v>559.99</v>
      </c>
      <c r="H4587" s="22">
        <f>VLOOKUP(A4587,[1]Orders!$A$2:$B$1616,2,0)</f>
        <v>43212</v>
      </c>
      <c r="J4587" t="s">
        <v>262</v>
      </c>
      <c r="K4587" t="s">
        <v>18</v>
      </c>
    </row>
    <row r="4588" spans="1:11" x14ac:dyDescent="0.3">
      <c r="A4588">
        <v>1571</v>
      </c>
      <c r="B4588">
        <v>3</v>
      </c>
      <c r="C4588">
        <v>20</v>
      </c>
      <c r="D4588">
        <v>2</v>
      </c>
      <c r="E4588" s="1">
        <v>599.99</v>
      </c>
      <c r="F4588" s="1">
        <v>0.2</v>
      </c>
      <c r="G4588">
        <v>1199.98</v>
      </c>
      <c r="H4588" s="22">
        <f>VLOOKUP(A4588,[1]Orders!$A$2:$B$1616,2,0)</f>
        <v>43212</v>
      </c>
      <c r="J4588" t="s">
        <v>10</v>
      </c>
      <c r="K4588" t="s">
        <v>18</v>
      </c>
    </row>
    <row r="4589" spans="1:11" x14ac:dyDescent="0.3">
      <c r="A4589">
        <v>1572</v>
      </c>
      <c r="B4589">
        <v>1</v>
      </c>
      <c r="C4589">
        <v>216</v>
      </c>
      <c r="D4589">
        <v>2</v>
      </c>
      <c r="E4589" s="1">
        <v>899.99</v>
      </c>
      <c r="F4589" s="1">
        <v>0.05</v>
      </c>
      <c r="G4589">
        <v>1799.98</v>
      </c>
      <c r="H4589" s="22">
        <f>VLOOKUP(A4589,[1]Orders!$A$2:$B$1616,2,0)</f>
        <v>43212</v>
      </c>
      <c r="J4589" t="s">
        <v>250</v>
      </c>
      <c r="K4589" t="s">
        <v>37</v>
      </c>
    </row>
    <row r="4590" spans="1:11" x14ac:dyDescent="0.3">
      <c r="A4590">
        <v>1572</v>
      </c>
      <c r="B4590">
        <v>2</v>
      </c>
      <c r="C4590">
        <v>198</v>
      </c>
      <c r="D4590">
        <v>1</v>
      </c>
      <c r="E4590" s="1">
        <v>2999.99</v>
      </c>
      <c r="F4590" s="1">
        <v>0.2</v>
      </c>
      <c r="G4590">
        <v>2999.99</v>
      </c>
      <c r="H4590" s="22">
        <f>VLOOKUP(A4590,[1]Orders!$A$2:$B$1616,2,0)</f>
        <v>43212</v>
      </c>
      <c r="J4590" t="s">
        <v>216</v>
      </c>
      <c r="K4590" t="s">
        <v>37</v>
      </c>
    </row>
    <row r="4591" spans="1:11" x14ac:dyDescent="0.3">
      <c r="A4591">
        <v>1572</v>
      </c>
      <c r="B4591">
        <v>3</v>
      </c>
      <c r="C4591">
        <v>115</v>
      </c>
      <c r="D4591">
        <v>1</v>
      </c>
      <c r="E4591" s="1">
        <v>3199.99</v>
      </c>
      <c r="F4591" s="1">
        <v>0.05</v>
      </c>
      <c r="G4591">
        <v>3199.99</v>
      </c>
      <c r="H4591" s="22">
        <f>VLOOKUP(A4591,[1]Orders!$A$2:$B$1616,2,0)</f>
        <v>43212</v>
      </c>
      <c r="J4591" t="s">
        <v>192</v>
      </c>
      <c r="K4591" t="s">
        <v>37</v>
      </c>
    </row>
    <row r="4592" spans="1:11" x14ac:dyDescent="0.3">
      <c r="A4592">
        <v>1572</v>
      </c>
      <c r="B4592">
        <v>4</v>
      </c>
      <c r="C4592">
        <v>304</v>
      </c>
      <c r="D4592">
        <v>2</v>
      </c>
      <c r="E4592" s="1">
        <v>679.99</v>
      </c>
      <c r="F4592" s="1">
        <v>0.2</v>
      </c>
      <c r="G4592">
        <v>1359.98</v>
      </c>
      <c r="H4592" s="22">
        <f>VLOOKUP(A4592,[1]Orders!$A$2:$B$1616,2,0)</f>
        <v>43212</v>
      </c>
      <c r="J4592" t="s">
        <v>146</v>
      </c>
      <c r="K4592" t="s">
        <v>37</v>
      </c>
    </row>
    <row r="4593" spans="1:11" x14ac:dyDescent="0.3">
      <c r="A4593">
        <v>1573</v>
      </c>
      <c r="B4593">
        <v>1</v>
      </c>
      <c r="C4593">
        <v>9</v>
      </c>
      <c r="D4593">
        <v>1</v>
      </c>
      <c r="E4593" s="1">
        <v>2999.99</v>
      </c>
      <c r="F4593" s="1">
        <v>0.05</v>
      </c>
      <c r="G4593">
        <v>2999.99</v>
      </c>
      <c r="H4593" s="22">
        <f>VLOOKUP(A4593,[1]Orders!$A$2:$B$1616,2,0)</f>
        <v>43213</v>
      </c>
      <c r="J4593" t="s">
        <v>26</v>
      </c>
      <c r="K4593" t="s">
        <v>11</v>
      </c>
    </row>
    <row r="4594" spans="1:11" x14ac:dyDescent="0.3">
      <c r="A4594">
        <v>1573</v>
      </c>
      <c r="B4594">
        <v>2</v>
      </c>
      <c r="C4594">
        <v>129</v>
      </c>
      <c r="D4594">
        <v>1</v>
      </c>
      <c r="E4594" s="1">
        <v>919.99</v>
      </c>
      <c r="F4594" s="1">
        <v>7.0000000000000007E-2</v>
      </c>
      <c r="G4594">
        <v>919.99</v>
      </c>
      <c r="H4594" s="22">
        <f>VLOOKUP(A4594,[1]Orders!$A$2:$B$1616,2,0)</f>
        <v>43213</v>
      </c>
      <c r="J4594" t="s">
        <v>129</v>
      </c>
      <c r="K4594" t="s">
        <v>11</v>
      </c>
    </row>
    <row r="4595" spans="1:11" x14ac:dyDescent="0.3">
      <c r="A4595">
        <v>1573</v>
      </c>
      <c r="B4595">
        <v>3</v>
      </c>
      <c r="C4595">
        <v>15</v>
      </c>
      <c r="D4595">
        <v>2</v>
      </c>
      <c r="E4595" s="1">
        <v>529.99</v>
      </c>
      <c r="F4595" s="1">
        <v>0.1</v>
      </c>
      <c r="G4595">
        <v>1059.98</v>
      </c>
      <c r="H4595" s="22">
        <f>VLOOKUP(A4595,[1]Orders!$A$2:$B$1616,2,0)</f>
        <v>43213</v>
      </c>
      <c r="J4595" t="s">
        <v>27</v>
      </c>
      <c r="K4595" t="s">
        <v>11</v>
      </c>
    </row>
    <row r="4596" spans="1:11" x14ac:dyDescent="0.3">
      <c r="A4596">
        <v>1573</v>
      </c>
      <c r="B4596">
        <v>4</v>
      </c>
      <c r="C4596">
        <v>216</v>
      </c>
      <c r="D4596">
        <v>2</v>
      </c>
      <c r="E4596" s="1">
        <v>899.99</v>
      </c>
      <c r="F4596" s="1">
        <v>7.0000000000000007E-2</v>
      </c>
      <c r="G4596">
        <v>1799.98</v>
      </c>
      <c r="H4596" s="22">
        <f>VLOOKUP(A4596,[1]Orders!$A$2:$B$1616,2,0)</f>
        <v>43213</v>
      </c>
      <c r="J4596" t="s">
        <v>250</v>
      </c>
      <c r="K4596" t="s">
        <v>11</v>
      </c>
    </row>
    <row r="4597" spans="1:11" x14ac:dyDescent="0.3">
      <c r="A4597">
        <v>1573</v>
      </c>
      <c r="B4597">
        <v>5</v>
      </c>
      <c r="C4597">
        <v>263</v>
      </c>
      <c r="D4597">
        <v>2</v>
      </c>
      <c r="E4597" s="1">
        <v>89.99</v>
      </c>
      <c r="F4597" s="1">
        <v>0.1</v>
      </c>
      <c r="G4597">
        <v>179.98</v>
      </c>
      <c r="H4597" s="22">
        <f>VLOOKUP(A4597,[1]Orders!$A$2:$B$1616,2,0)</f>
        <v>43213</v>
      </c>
      <c r="J4597" t="s">
        <v>168</v>
      </c>
      <c r="K4597" t="s">
        <v>11</v>
      </c>
    </row>
    <row r="4598" spans="1:11" x14ac:dyDescent="0.3">
      <c r="A4598">
        <v>1574</v>
      </c>
      <c r="B4598">
        <v>1</v>
      </c>
      <c r="C4598">
        <v>127</v>
      </c>
      <c r="D4598">
        <v>1</v>
      </c>
      <c r="E4598" s="1">
        <v>469.99</v>
      </c>
      <c r="F4598" s="1">
        <v>0.1</v>
      </c>
      <c r="G4598">
        <v>469.99</v>
      </c>
      <c r="H4598" s="22">
        <f>VLOOKUP(A4598,[1]Orders!$A$2:$B$1616,2,0)</f>
        <v>43213</v>
      </c>
      <c r="J4598" t="s">
        <v>224</v>
      </c>
      <c r="K4598" t="s">
        <v>11</v>
      </c>
    </row>
    <row r="4599" spans="1:11" x14ac:dyDescent="0.3">
      <c r="A4599">
        <v>1575</v>
      </c>
      <c r="B4599">
        <v>1</v>
      </c>
      <c r="C4599">
        <v>44</v>
      </c>
      <c r="D4599">
        <v>1</v>
      </c>
      <c r="E4599" s="1">
        <v>539.99</v>
      </c>
      <c r="F4599" s="1">
        <v>7.0000000000000007E-2</v>
      </c>
      <c r="G4599">
        <v>539.99</v>
      </c>
      <c r="H4599" s="22">
        <f>VLOOKUP(A4599,[1]Orders!$A$2:$B$1616,2,0)</f>
        <v>43213</v>
      </c>
      <c r="J4599" t="s">
        <v>108</v>
      </c>
      <c r="K4599" t="s">
        <v>11</v>
      </c>
    </row>
    <row r="4600" spans="1:11" x14ac:dyDescent="0.3">
      <c r="A4600">
        <v>1575</v>
      </c>
      <c r="B4600">
        <v>2</v>
      </c>
      <c r="C4600">
        <v>207</v>
      </c>
      <c r="D4600">
        <v>2</v>
      </c>
      <c r="E4600" s="1">
        <v>3999.99</v>
      </c>
      <c r="F4600" s="1">
        <v>0.1</v>
      </c>
      <c r="G4600">
        <v>7999.98</v>
      </c>
      <c r="H4600" s="22">
        <f>VLOOKUP(A4600,[1]Orders!$A$2:$B$1616,2,0)</f>
        <v>43213</v>
      </c>
      <c r="J4600" t="s">
        <v>151</v>
      </c>
      <c r="K4600" t="s">
        <v>11</v>
      </c>
    </row>
    <row r="4601" spans="1:11" x14ac:dyDescent="0.3">
      <c r="A4601">
        <v>1575</v>
      </c>
      <c r="B4601">
        <v>3</v>
      </c>
      <c r="C4601">
        <v>213</v>
      </c>
      <c r="D4601">
        <v>1</v>
      </c>
      <c r="E4601" s="1">
        <v>269.99</v>
      </c>
      <c r="F4601" s="1">
        <v>7.0000000000000007E-2</v>
      </c>
      <c r="G4601">
        <v>269.99</v>
      </c>
      <c r="H4601" s="22">
        <f>VLOOKUP(A4601,[1]Orders!$A$2:$B$1616,2,0)</f>
        <v>43213</v>
      </c>
      <c r="J4601" t="s">
        <v>200</v>
      </c>
      <c r="K4601" t="s">
        <v>11</v>
      </c>
    </row>
    <row r="4602" spans="1:11" x14ac:dyDescent="0.3">
      <c r="A4602">
        <v>1575</v>
      </c>
      <c r="B4602">
        <v>4</v>
      </c>
      <c r="C4602">
        <v>126</v>
      </c>
      <c r="D4602">
        <v>2</v>
      </c>
      <c r="E4602" s="1">
        <v>469.99</v>
      </c>
      <c r="F4602" s="1">
        <v>0.05</v>
      </c>
      <c r="G4602">
        <v>939.98</v>
      </c>
      <c r="H4602" s="22">
        <f>VLOOKUP(A4602,[1]Orders!$A$2:$B$1616,2,0)</f>
        <v>43213</v>
      </c>
      <c r="J4602" t="s">
        <v>251</v>
      </c>
      <c r="K4602" t="s">
        <v>11</v>
      </c>
    </row>
    <row r="4603" spans="1:11" x14ac:dyDescent="0.3">
      <c r="A4603">
        <v>1575</v>
      </c>
      <c r="B4603">
        <v>5</v>
      </c>
      <c r="C4603">
        <v>92</v>
      </c>
      <c r="D4603">
        <v>2</v>
      </c>
      <c r="E4603" s="1">
        <v>209.99</v>
      </c>
      <c r="F4603" s="1">
        <v>0.2</v>
      </c>
      <c r="G4603">
        <v>419.98</v>
      </c>
      <c r="H4603" s="22">
        <f>VLOOKUP(A4603,[1]Orders!$A$2:$B$1616,2,0)</f>
        <v>43213</v>
      </c>
      <c r="J4603" t="s">
        <v>111</v>
      </c>
      <c r="K4603" t="s">
        <v>11</v>
      </c>
    </row>
    <row r="4604" spans="1:11" x14ac:dyDescent="0.3">
      <c r="A4604">
        <v>1576</v>
      </c>
      <c r="B4604">
        <v>1</v>
      </c>
      <c r="C4604">
        <v>69</v>
      </c>
      <c r="D4604">
        <v>1</v>
      </c>
      <c r="E4604" s="1">
        <v>416.99</v>
      </c>
      <c r="F4604" s="1">
        <v>0.05</v>
      </c>
      <c r="G4604">
        <v>416.99</v>
      </c>
      <c r="H4604" s="22">
        <f>VLOOKUP(A4604,[1]Orders!$A$2:$B$1616,2,0)</f>
        <v>43213</v>
      </c>
      <c r="J4604" t="s">
        <v>89</v>
      </c>
      <c r="K4604" t="s">
        <v>18</v>
      </c>
    </row>
    <row r="4605" spans="1:11" x14ac:dyDescent="0.3">
      <c r="A4605">
        <v>1576</v>
      </c>
      <c r="B4605">
        <v>2</v>
      </c>
      <c r="C4605">
        <v>293</v>
      </c>
      <c r="D4605">
        <v>1</v>
      </c>
      <c r="E4605" s="1">
        <v>319.99</v>
      </c>
      <c r="F4605" s="1">
        <v>0.05</v>
      </c>
      <c r="G4605">
        <v>319.99</v>
      </c>
      <c r="H4605" s="22">
        <f>VLOOKUP(A4605,[1]Orders!$A$2:$B$1616,2,0)</f>
        <v>43213</v>
      </c>
      <c r="J4605" t="s">
        <v>279</v>
      </c>
      <c r="K4605" t="s">
        <v>18</v>
      </c>
    </row>
    <row r="4606" spans="1:11" x14ac:dyDescent="0.3">
      <c r="A4606">
        <v>1576</v>
      </c>
      <c r="B4606">
        <v>3</v>
      </c>
      <c r="C4606">
        <v>202</v>
      </c>
      <c r="D4606">
        <v>2</v>
      </c>
      <c r="E4606" s="1">
        <v>3499.99</v>
      </c>
      <c r="F4606" s="1">
        <v>0.05</v>
      </c>
      <c r="G4606">
        <v>6999.98</v>
      </c>
      <c r="H4606" s="22">
        <f>VLOOKUP(A4606,[1]Orders!$A$2:$B$1616,2,0)</f>
        <v>43213</v>
      </c>
      <c r="J4606" t="s">
        <v>283</v>
      </c>
      <c r="K4606" t="s">
        <v>18</v>
      </c>
    </row>
    <row r="4607" spans="1:11" x14ac:dyDescent="0.3">
      <c r="A4607">
        <v>1577</v>
      </c>
      <c r="B4607">
        <v>1</v>
      </c>
      <c r="C4607">
        <v>298</v>
      </c>
      <c r="D4607">
        <v>2</v>
      </c>
      <c r="E4607" s="1">
        <v>279.99</v>
      </c>
      <c r="F4607" s="1">
        <v>0.05</v>
      </c>
      <c r="G4607">
        <v>559.98</v>
      </c>
      <c r="H4607" s="22">
        <f>VLOOKUP(A4607,[1]Orders!$A$2:$B$1616,2,0)</f>
        <v>43213</v>
      </c>
      <c r="J4607" t="s">
        <v>144</v>
      </c>
      <c r="K4607" t="s">
        <v>18</v>
      </c>
    </row>
    <row r="4608" spans="1:11" x14ac:dyDescent="0.3">
      <c r="A4608">
        <v>1577</v>
      </c>
      <c r="B4608">
        <v>2</v>
      </c>
      <c r="C4608">
        <v>111</v>
      </c>
      <c r="D4608">
        <v>2</v>
      </c>
      <c r="E4608" s="1">
        <v>470.99</v>
      </c>
      <c r="F4608" s="1">
        <v>0.1</v>
      </c>
      <c r="G4608">
        <v>941.98</v>
      </c>
      <c r="H4608" s="22">
        <f>VLOOKUP(A4608,[1]Orders!$A$2:$B$1616,2,0)</f>
        <v>43213</v>
      </c>
      <c r="J4608" t="s">
        <v>112</v>
      </c>
      <c r="K4608" t="s">
        <v>18</v>
      </c>
    </row>
    <row r="4609" spans="1:11" x14ac:dyDescent="0.3">
      <c r="A4609">
        <v>1577</v>
      </c>
      <c r="B4609">
        <v>3</v>
      </c>
      <c r="C4609">
        <v>300</v>
      </c>
      <c r="D4609">
        <v>2</v>
      </c>
      <c r="E4609" s="1">
        <v>799.99</v>
      </c>
      <c r="F4609" s="1">
        <v>0.2</v>
      </c>
      <c r="G4609">
        <v>1599.98</v>
      </c>
      <c r="H4609" s="22">
        <f>VLOOKUP(A4609,[1]Orders!$A$2:$B$1616,2,0)</f>
        <v>43213</v>
      </c>
      <c r="J4609" t="s">
        <v>141</v>
      </c>
      <c r="K4609" t="s">
        <v>18</v>
      </c>
    </row>
    <row r="4610" spans="1:11" x14ac:dyDescent="0.3">
      <c r="A4610">
        <v>1577</v>
      </c>
      <c r="B4610">
        <v>4</v>
      </c>
      <c r="C4610">
        <v>131</v>
      </c>
      <c r="D4610">
        <v>2</v>
      </c>
      <c r="E4610" s="1">
        <v>2599</v>
      </c>
      <c r="F4610" s="1">
        <v>7.0000000000000007E-2</v>
      </c>
      <c r="G4610">
        <v>5198</v>
      </c>
      <c r="H4610" s="22">
        <f>VLOOKUP(A4610,[1]Orders!$A$2:$B$1616,2,0)</f>
        <v>43213</v>
      </c>
      <c r="J4610" t="s">
        <v>196</v>
      </c>
      <c r="K4610" t="s">
        <v>18</v>
      </c>
    </row>
    <row r="4611" spans="1:11" x14ac:dyDescent="0.3">
      <c r="A4611">
        <v>1577</v>
      </c>
      <c r="B4611">
        <v>5</v>
      </c>
      <c r="C4611">
        <v>282</v>
      </c>
      <c r="D4611">
        <v>2</v>
      </c>
      <c r="E4611" s="1">
        <v>279.99</v>
      </c>
      <c r="F4611" s="1">
        <v>0.05</v>
      </c>
      <c r="G4611">
        <v>559.98</v>
      </c>
      <c r="H4611" s="22">
        <f>VLOOKUP(A4611,[1]Orders!$A$2:$B$1616,2,0)</f>
        <v>43213</v>
      </c>
      <c r="J4611" t="s">
        <v>137</v>
      </c>
      <c r="K4611" t="s">
        <v>18</v>
      </c>
    </row>
    <row r="4612" spans="1:11" x14ac:dyDescent="0.3">
      <c r="A4612">
        <v>1578</v>
      </c>
      <c r="B4612">
        <v>1</v>
      </c>
      <c r="C4612">
        <v>204</v>
      </c>
      <c r="D4612">
        <v>2</v>
      </c>
      <c r="E4612" s="1">
        <v>3599.99</v>
      </c>
      <c r="F4612" s="1">
        <v>7.0000000000000007E-2</v>
      </c>
      <c r="G4612">
        <v>7199.98</v>
      </c>
      <c r="H4612" s="22">
        <f>VLOOKUP(A4612,[1]Orders!$A$2:$B$1616,2,0)</f>
        <v>43213</v>
      </c>
      <c r="J4612" t="s">
        <v>187</v>
      </c>
      <c r="K4612" t="s">
        <v>18</v>
      </c>
    </row>
    <row r="4613" spans="1:11" x14ac:dyDescent="0.3">
      <c r="A4613">
        <v>1578</v>
      </c>
      <c r="B4613">
        <v>2</v>
      </c>
      <c r="C4613">
        <v>310</v>
      </c>
      <c r="D4613">
        <v>1</v>
      </c>
      <c r="E4613" s="1">
        <v>899.99</v>
      </c>
      <c r="F4613" s="1">
        <v>0.05</v>
      </c>
      <c r="G4613">
        <v>899.99</v>
      </c>
      <c r="H4613" s="22">
        <f>VLOOKUP(A4613,[1]Orders!$A$2:$B$1616,2,0)</f>
        <v>43213</v>
      </c>
      <c r="J4613" t="s">
        <v>221</v>
      </c>
      <c r="K4613" t="s">
        <v>18</v>
      </c>
    </row>
    <row r="4614" spans="1:11" x14ac:dyDescent="0.3">
      <c r="A4614">
        <v>1578</v>
      </c>
      <c r="B4614">
        <v>3</v>
      </c>
      <c r="C4614">
        <v>241</v>
      </c>
      <c r="D4614">
        <v>2</v>
      </c>
      <c r="E4614" s="1">
        <v>749.99</v>
      </c>
      <c r="F4614" s="1">
        <v>0.2</v>
      </c>
      <c r="G4614">
        <v>1499.98</v>
      </c>
      <c r="H4614" s="22">
        <f>VLOOKUP(A4614,[1]Orders!$A$2:$B$1616,2,0)</f>
        <v>43213</v>
      </c>
      <c r="J4614" t="s">
        <v>128</v>
      </c>
      <c r="K4614" t="s">
        <v>18</v>
      </c>
    </row>
    <row r="4615" spans="1:11" x14ac:dyDescent="0.3">
      <c r="A4615">
        <v>1579</v>
      </c>
      <c r="B4615">
        <v>1</v>
      </c>
      <c r="C4615">
        <v>49</v>
      </c>
      <c r="D4615">
        <v>1</v>
      </c>
      <c r="E4615" s="1">
        <v>3499.99</v>
      </c>
      <c r="F4615" s="1">
        <v>0.05</v>
      </c>
      <c r="G4615">
        <v>3499.99</v>
      </c>
      <c r="H4615" s="22">
        <f>VLOOKUP(A4615,[1]Orders!$A$2:$B$1616,2,0)</f>
        <v>43214</v>
      </c>
      <c r="J4615" t="s">
        <v>70</v>
      </c>
      <c r="K4615" t="s">
        <v>11</v>
      </c>
    </row>
    <row r="4616" spans="1:11" x14ac:dyDescent="0.3">
      <c r="A4616">
        <v>1579</v>
      </c>
      <c r="B4616">
        <v>2</v>
      </c>
      <c r="C4616">
        <v>214</v>
      </c>
      <c r="D4616">
        <v>1</v>
      </c>
      <c r="E4616" s="1">
        <v>899.99</v>
      </c>
      <c r="F4616" s="1">
        <v>0.1</v>
      </c>
      <c r="G4616">
        <v>899.99</v>
      </c>
      <c r="H4616" s="22">
        <f>VLOOKUP(A4616,[1]Orders!$A$2:$B$1616,2,0)</f>
        <v>43214</v>
      </c>
      <c r="J4616" t="s">
        <v>211</v>
      </c>
      <c r="K4616" t="s">
        <v>11</v>
      </c>
    </row>
    <row r="4617" spans="1:11" x14ac:dyDescent="0.3">
      <c r="A4617">
        <v>1579</v>
      </c>
      <c r="B4617">
        <v>3</v>
      </c>
      <c r="C4617">
        <v>286</v>
      </c>
      <c r="D4617">
        <v>1</v>
      </c>
      <c r="E4617" s="1">
        <v>279.99</v>
      </c>
      <c r="F4617" s="1">
        <v>7.0000000000000007E-2</v>
      </c>
      <c r="G4617">
        <v>279.99</v>
      </c>
      <c r="H4617" s="22">
        <f>VLOOKUP(A4617,[1]Orders!$A$2:$B$1616,2,0)</f>
        <v>43214</v>
      </c>
      <c r="J4617" t="s">
        <v>255</v>
      </c>
      <c r="K4617" t="s">
        <v>11</v>
      </c>
    </row>
    <row r="4618" spans="1:11" x14ac:dyDescent="0.3">
      <c r="A4618">
        <v>1579</v>
      </c>
      <c r="B4618">
        <v>4</v>
      </c>
      <c r="C4618">
        <v>65</v>
      </c>
      <c r="D4618">
        <v>2</v>
      </c>
      <c r="E4618" s="1">
        <v>346.99</v>
      </c>
      <c r="F4618" s="1">
        <v>0.1</v>
      </c>
      <c r="G4618">
        <v>693.98</v>
      </c>
      <c r="H4618" s="22">
        <f>VLOOKUP(A4618,[1]Orders!$A$2:$B$1616,2,0)</f>
        <v>43214</v>
      </c>
      <c r="J4618" t="s">
        <v>114</v>
      </c>
      <c r="K4618" t="s">
        <v>11</v>
      </c>
    </row>
    <row r="4619" spans="1:11" x14ac:dyDescent="0.3">
      <c r="A4619">
        <v>1580</v>
      </c>
      <c r="B4619">
        <v>1</v>
      </c>
      <c r="C4619">
        <v>119</v>
      </c>
      <c r="D4619">
        <v>2</v>
      </c>
      <c r="E4619" s="1">
        <v>469.99</v>
      </c>
      <c r="F4619" s="1">
        <v>7.0000000000000007E-2</v>
      </c>
      <c r="G4619">
        <v>939.98</v>
      </c>
      <c r="H4619" s="22">
        <f>VLOOKUP(A4619,[1]Orders!$A$2:$B$1616,2,0)</f>
        <v>43214</v>
      </c>
      <c r="J4619" t="s">
        <v>288</v>
      </c>
      <c r="K4619" t="s">
        <v>11</v>
      </c>
    </row>
    <row r="4620" spans="1:11" x14ac:dyDescent="0.3">
      <c r="A4620">
        <v>1580</v>
      </c>
      <c r="B4620">
        <v>2</v>
      </c>
      <c r="C4620">
        <v>86</v>
      </c>
      <c r="D4620">
        <v>2</v>
      </c>
      <c r="E4620" s="1">
        <v>149.99</v>
      </c>
      <c r="F4620" s="1">
        <v>0.2</v>
      </c>
      <c r="G4620">
        <v>299.98</v>
      </c>
      <c r="H4620" s="22">
        <f>VLOOKUP(A4620,[1]Orders!$A$2:$B$1616,2,0)</f>
        <v>43214</v>
      </c>
      <c r="J4620" t="s">
        <v>115</v>
      </c>
      <c r="K4620" t="s">
        <v>11</v>
      </c>
    </row>
    <row r="4621" spans="1:11" x14ac:dyDescent="0.3">
      <c r="A4621">
        <v>1581</v>
      </c>
      <c r="B4621">
        <v>1</v>
      </c>
      <c r="C4621">
        <v>64</v>
      </c>
      <c r="D4621">
        <v>1</v>
      </c>
      <c r="E4621" s="1">
        <v>489.99</v>
      </c>
      <c r="F4621" s="1">
        <v>0.1</v>
      </c>
      <c r="G4621">
        <v>489.99</v>
      </c>
      <c r="H4621" s="22">
        <f>VLOOKUP(A4621,[1]Orders!$A$2:$B$1616,2,0)</f>
        <v>43215</v>
      </c>
      <c r="J4621" t="s">
        <v>51</v>
      </c>
      <c r="K4621" t="s">
        <v>11</v>
      </c>
    </row>
    <row r="4622" spans="1:11" x14ac:dyDescent="0.3">
      <c r="A4622">
        <v>1581</v>
      </c>
      <c r="B4622">
        <v>2</v>
      </c>
      <c r="C4622">
        <v>272</v>
      </c>
      <c r="D4622">
        <v>1</v>
      </c>
      <c r="E4622" s="1">
        <v>289.99</v>
      </c>
      <c r="F4622" s="1">
        <v>0.2</v>
      </c>
      <c r="G4622">
        <v>289.99</v>
      </c>
      <c r="H4622" s="22">
        <f>VLOOKUP(A4622,[1]Orders!$A$2:$B$1616,2,0)</f>
        <v>43215</v>
      </c>
      <c r="J4622" t="s">
        <v>265</v>
      </c>
      <c r="K4622" t="s">
        <v>11</v>
      </c>
    </row>
    <row r="4623" spans="1:11" x14ac:dyDescent="0.3">
      <c r="A4623">
        <v>1582</v>
      </c>
      <c r="B4623">
        <v>1</v>
      </c>
      <c r="C4623">
        <v>75</v>
      </c>
      <c r="D4623">
        <v>1</v>
      </c>
      <c r="E4623" s="1">
        <v>599.99</v>
      </c>
      <c r="F4623" s="1">
        <v>7.0000000000000007E-2</v>
      </c>
      <c r="G4623">
        <v>599.99</v>
      </c>
      <c r="H4623" s="22">
        <f>VLOOKUP(A4623,[1]Orders!$A$2:$B$1616,2,0)</f>
        <v>43215</v>
      </c>
      <c r="J4623" t="s">
        <v>95</v>
      </c>
      <c r="K4623" t="s">
        <v>11</v>
      </c>
    </row>
    <row r="4624" spans="1:11" x14ac:dyDescent="0.3">
      <c r="A4624">
        <v>1582</v>
      </c>
      <c r="B4624">
        <v>2</v>
      </c>
      <c r="C4624">
        <v>133</v>
      </c>
      <c r="D4624">
        <v>2</v>
      </c>
      <c r="E4624" s="1">
        <v>1499.99</v>
      </c>
      <c r="F4624" s="1">
        <v>7.0000000000000007E-2</v>
      </c>
      <c r="G4624">
        <v>2999.98</v>
      </c>
      <c r="H4624" s="22">
        <f>VLOOKUP(A4624,[1]Orders!$A$2:$B$1616,2,0)</f>
        <v>43215</v>
      </c>
      <c r="J4624" t="s">
        <v>176</v>
      </c>
      <c r="K4624" t="s">
        <v>11</v>
      </c>
    </row>
    <row r="4625" spans="1:11" x14ac:dyDescent="0.3">
      <c r="A4625">
        <v>1583</v>
      </c>
      <c r="B4625">
        <v>1</v>
      </c>
      <c r="C4625">
        <v>15</v>
      </c>
      <c r="D4625">
        <v>1</v>
      </c>
      <c r="E4625" s="1">
        <v>529.99</v>
      </c>
      <c r="F4625" s="1">
        <v>0.05</v>
      </c>
      <c r="G4625">
        <v>529.99</v>
      </c>
      <c r="H4625" s="22">
        <f>VLOOKUP(A4625,[1]Orders!$A$2:$B$1616,2,0)</f>
        <v>43215</v>
      </c>
      <c r="J4625" t="s">
        <v>27</v>
      </c>
      <c r="K4625" t="s">
        <v>18</v>
      </c>
    </row>
    <row r="4626" spans="1:11" x14ac:dyDescent="0.3">
      <c r="A4626">
        <v>1583</v>
      </c>
      <c r="B4626">
        <v>2</v>
      </c>
      <c r="C4626">
        <v>265</v>
      </c>
      <c r="D4626">
        <v>2</v>
      </c>
      <c r="E4626" s="1">
        <v>289.99</v>
      </c>
      <c r="F4626" s="1">
        <v>0.2</v>
      </c>
      <c r="G4626">
        <v>579.98</v>
      </c>
      <c r="H4626" s="22">
        <f>VLOOKUP(A4626,[1]Orders!$A$2:$B$1616,2,0)</f>
        <v>43215</v>
      </c>
      <c r="J4626" t="s">
        <v>239</v>
      </c>
      <c r="K4626" t="s">
        <v>18</v>
      </c>
    </row>
    <row r="4627" spans="1:11" x14ac:dyDescent="0.3">
      <c r="A4627">
        <v>1584</v>
      </c>
      <c r="B4627">
        <v>1</v>
      </c>
      <c r="C4627">
        <v>45</v>
      </c>
      <c r="D4627">
        <v>2</v>
      </c>
      <c r="E4627" s="1">
        <v>869.99</v>
      </c>
      <c r="F4627" s="1">
        <v>0.1</v>
      </c>
      <c r="G4627">
        <v>1739.98</v>
      </c>
      <c r="H4627" s="22">
        <f>VLOOKUP(A4627,[1]Orders!$A$2:$B$1616,2,0)</f>
        <v>43216</v>
      </c>
      <c r="J4627" t="s">
        <v>88</v>
      </c>
      <c r="K4627" t="s">
        <v>11</v>
      </c>
    </row>
    <row r="4628" spans="1:11" x14ac:dyDescent="0.3">
      <c r="A4628">
        <v>1584</v>
      </c>
      <c r="B4628">
        <v>2</v>
      </c>
      <c r="C4628">
        <v>216</v>
      </c>
      <c r="D4628">
        <v>2</v>
      </c>
      <c r="E4628" s="1">
        <v>899.99</v>
      </c>
      <c r="F4628" s="1">
        <v>0.1</v>
      </c>
      <c r="G4628">
        <v>1799.98</v>
      </c>
      <c r="H4628" s="22">
        <f>VLOOKUP(A4628,[1]Orders!$A$2:$B$1616,2,0)</f>
        <v>43216</v>
      </c>
      <c r="J4628" t="s">
        <v>250</v>
      </c>
      <c r="K4628" t="s">
        <v>11</v>
      </c>
    </row>
    <row r="4629" spans="1:11" x14ac:dyDescent="0.3">
      <c r="A4629">
        <v>1584</v>
      </c>
      <c r="B4629">
        <v>3</v>
      </c>
      <c r="C4629">
        <v>43</v>
      </c>
      <c r="D4629">
        <v>1</v>
      </c>
      <c r="E4629" s="1">
        <v>5299.99</v>
      </c>
      <c r="F4629" s="1">
        <v>0.2</v>
      </c>
      <c r="G4629">
        <v>5299.99</v>
      </c>
      <c r="H4629" s="22">
        <f>VLOOKUP(A4629,[1]Orders!$A$2:$B$1616,2,0)</f>
        <v>43216</v>
      </c>
      <c r="J4629" t="s">
        <v>62</v>
      </c>
      <c r="K4629" t="s">
        <v>11</v>
      </c>
    </row>
    <row r="4630" spans="1:11" x14ac:dyDescent="0.3">
      <c r="A4630">
        <v>1584</v>
      </c>
      <c r="B4630">
        <v>4</v>
      </c>
      <c r="C4630">
        <v>187</v>
      </c>
      <c r="D4630">
        <v>1</v>
      </c>
      <c r="E4630" s="1">
        <v>2799.99</v>
      </c>
      <c r="F4630" s="1">
        <v>0.1</v>
      </c>
      <c r="G4630">
        <v>2799.99</v>
      </c>
      <c r="H4630" s="22">
        <f>VLOOKUP(A4630,[1]Orders!$A$2:$B$1616,2,0)</f>
        <v>43216</v>
      </c>
      <c r="J4630" t="s">
        <v>252</v>
      </c>
      <c r="K4630" t="s">
        <v>11</v>
      </c>
    </row>
    <row r="4631" spans="1:11" x14ac:dyDescent="0.3">
      <c r="A4631">
        <v>1584</v>
      </c>
      <c r="B4631">
        <v>5</v>
      </c>
      <c r="C4631">
        <v>147</v>
      </c>
      <c r="D4631">
        <v>2</v>
      </c>
      <c r="E4631" s="1">
        <v>1799.99</v>
      </c>
      <c r="F4631" s="1">
        <v>7.0000000000000007E-2</v>
      </c>
      <c r="G4631">
        <v>3599.98</v>
      </c>
      <c r="H4631" s="22">
        <f>VLOOKUP(A4631,[1]Orders!$A$2:$B$1616,2,0)</f>
        <v>43216</v>
      </c>
      <c r="J4631" t="s">
        <v>170</v>
      </c>
      <c r="K4631" t="s">
        <v>11</v>
      </c>
    </row>
    <row r="4632" spans="1:11" x14ac:dyDescent="0.3">
      <c r="A4632">
        <v>1585</v>
      </c>
      <c r="B4632">
        <v>1</v>
      </c>
      <c r="C4632">
        <v>313</v>
      </c>
      <c r="D4632">
        <v>1</v>
      </c>
      <c r="E4632" s="1">
        <v>449.99</v>
      </c>
      <c r="F4632" s="1">
        <v>0.1</v>
      </c>
      <c r="G4632">
        <v>449.99</v>
      </c>
      <c r="H4632" s="22">
        <f>VLOOKUP(A4632,[1]Orders!$A$2:$B$1616,2,0)</f>
        <v>43216</v>
      </c>
      <c r="J4632" t="s">
        <v>181</v>
      </c>
      <c r="K4632" t="s">
        <v>11</v>
      </c>
    </row>
    <row r="4633" spans="1:11" x14ac:dyDescent="0.3">
      <c r="A4633">
        <v>1585</v>
      </c>
      <c r="B4633">
        <v>2</v>
      </c>
      <c r="C4633">
        <v>106</v>
      </c>
      <c r="D4633">
        <v>2</v>
      </c>
      <c r="E4633" s="1">
        <v>449.99</v>
      </c>
      <c r="F4633" s="1">
        <v>0.1</v>
      </c>
      <c r="G4633">
        <v>899.98</v>
      </c>
      <c r="H4633" s="22">
        <f>VLOOKUP(A4633,[1]Orders!$A$2:$B$1616,2,0)</f>
        <v>43216</v>
      </c>
      <c r="J4633" t="s">
        <v>39</v>
      </c>
      <c r="K4633" t="s">
        <v>11</v>
      </c>
    </row>
    <row r="4634" spans="1:11" x14ac:dyDescent="0.3">
      <c r="A4634">
        <v>1585</v>
      </c>
      <c r="B4634">
        <v>3</v>
      </c>
      <c r="C4634">
        <v>207</v>
      </c>
      <c r="D4634">
        <v>2</v>
      </c>
      <c r="E4634" s="1">
        <v>3999.99</v>
      </c>
      <c r="F4634" s="1">
        <v>7.0000000000000007E-2</v>
      </c>
      <c r="G4634">
        <v>7999.98</v>
      </c>
      <c r="H4634" s="22">
        <f>VLOOKUP(A4634,[1]Orders!$A$2:$B$1616,2,0)</f>
        <v>43216</v>
      </c>
      <c r="J4634" t="s">
        <v>151</v>
      </c>
      <c r="K4634" t="s">
        <v>11</v>
      </c>
    </row>
    <row r="4635" spans="1:11" x14ac:dyDescent="0.3">
      <c r="A4635">
        <v>1585</v>
      </c>
      <c r="B4635">
        <v>4</v>
      </c>
      <c r="C4635">
        <v>95</v>
      </c>
      <c r="D4635">
        <v>1</v>
      </c>
      <c r="E4635" s="1">
        <v>299.99</v>
      </c>
      <c r="F4635" s="1">
        <v>0.1</v>
      </c>
      <c r="G4635">
        <v>299.99</v>
      </c>
      <c r="H4635" s="22">
        <f>VLOOKUP(A4635,[1]Orders!$A$2:$B$1616,2,0)</f>
        <v>43216</v>
      </c>
      <c r="J4635" t="s">
        <v>48</v>
      </c>
      <c r="K4635" t="s">
        <v>11</v>
      </c>
    </row>
    <row r="4636" spans="1:11" x14ac:dyDescent="0.3">
      <c r="A4636">
        <v>1585</v>
      </c>
      <c r="B4636">
        <v>5</v>
      </c>
      <c r="C4636">
        <v>191</v>
      </c>
      <c r="D4636">
        <v>1</v>
      </c>
      <c r="E4636" s="1">
        <v>2799.99</v>
      </c>
      <c r="F4636" s="1">
        <v>0.1</v>
      </c>
      <c r="G4636">
        <v>2799.99</v>
      </c>
      <c r="H4636" s="22">
        <f>VLOOKUP(A4636,[1]Orders!$A$2:$B$1616,2,0)</f>
        <v>43216</v>
      </c>
      <c r="J4636" t="s">
        <v>273</v>
      </c>
      <c r="K4636" t="s">
        <v>11</v>
      </c>
    </row>
    <row r="4637" spans="1:11" x14ac:dyDescent="0.3">
      <c r="A4637">
        <v>1586</v>
      </c>
      <c r="B4637">
        <v>1</v>
      </c>
      <c r="C4637">
        <v>22</v>
      </c>
      <c r="D4637">
        <v>2</v>
      </c>
      <c r="E4637" s="1">
        <v>269.99</v>
      </c>
      <c r="F4637" s="1">
        <v>0.1</v>
      </c>
      <c r="G4637">
        <v>539.98</v>
      </c>
      <c r="H4637" s="22">
        <f>VLOOKUP(A4637,[1]Orders!$A$2:$B$1616,2,0)</f>
        <v>43216</v>
      </c>
      <c r="J4637" t="s">
        <v>28</v>
      </c>
      <c r="K4637" t="s">
        <v>11</v>
      </c>
    </row>
    <row r="4638" spans="1:11" x14ac:dyDescent="0.3">
      <c r="A4638">
        <v>1586</v>
      </c>
      <c r="B4638">
        <v>2</v>
      </c>
      <c r="C4638">
        <v>277</v>
      </c>
      <c r="D4638">
        <v>1</v>
      </c>
      <c r="E4638" s="1">
        <v>369.99</v>
      </c>
      <c r="F4638" s="1">
        <v>7.0000000000000007E-2</v>
      </c>
      <c r="G4638">
        <v>369.99</v>
      </c>
      <c r="H4638" s="22">
        <f>VLOOKUP(A4638,[1]Orders!$A$2:$B$1616,2,0)</f>
        <v>43216</v>
      </c>
      <c r="J4638" t="s">
        <v>220</v>
      </c>
      <c r="K4638" t="s">
        <v>11</v>
      </c>
    </row>
    <row r="4639" spans="1:11" x14ac:dyDescent="0.3">
      <c r="A4639">
        <v>1586</v>
      </c>
      <c r="B4639">
        <v>3</v>
      </c>
      <c r="C4639">
        <v>295</v>
      </c>
      <c r="D4639">
        <v>1</v>
      </c>
      <c r="E4639" s="1">
        <v>319.99</v>
      </c>
      <c r="F4639" s="1">
        <v>0.05</v>
      </c>
      <c r="G4639">
        <v>319.99</v>
      </c>
      <c r="H4639" s="22">
        <f>VLOOKUP(A4639,[1]Orders!$A$2:$B$1616,2,0)</f>
        <v>43216</v>
      </c>
      <c r="J4639" t="s">
        <v>219</v>
      </c>
      <c r="K4639" t="s">
        <v>11</v>
      </c>
    </row>
    <row r="4640" spans="1:11" x14ac:dyDescent="0.3">
      <c r="A4640">
        <v>1586</v>
      </c>
      <c r="B4640">
        <v>4</v>
      </c>
      <c r="C4640">
        <v>173</v>
      </c>
      <c r="D4640">
        <v>1</v>
      </c>
      <c r="E4640" s="1">
        <v>3199.99</v>
      </c>
      <c r="F4640" s="1">
        <v>0.2</v>
      </c>
      <c r="G4640">
        <v>3199.99</v>
      </c>
      <c r="H4640" s="22">
        <f>VLOOKUP(A4640,[1]Orders!$A$2:$B$1616,2,0)</f>
        <v>43216</v>
      </c>
      <c r="J4640" t="s">
        <v>261</v>
      </c>
      <c r="K4640" t="s">
        <v>11</v>
      </c>
    </row>
    <row r="4641" spans="1:11" x14ac:dyDescent="0.3">
      <c r="A4641">
        <v>1586</v>
      </c>
      <c r="B4641">
        <v>5</v>
      </c>
      <c r="C4641">
        <v>36</v>
      </c>
      <c r="D4641">
        <v>1</v>
      </c>
      <c r="E4641" s="1">
        <v>832.99</v>
      </c>
      <c r="F4641" s="1">
        <v>0.1</v>
      </c>
      <c r="G4641">
        <v>832.99</v>
      </c>
      <c r="H4641" s="22">
        <f>VLOOKUP(A4641,[1]Orders!$A$2:$B$1616,2,0)</f>
        <v>43216</v>
      </c>
      <c r="J4641" t="s">
        <v>116</v>
      </c>
      <c r="K4641" t="s">
        <v>11</v>
      </c>
    </row>
    <row r="4642" spans="1:11" x14ac:dyDescent="0.3">
      <c r="A4642">
        <v>1587</v>
      </c>
      <c r="B4642">
        <v>1</v>
      </c>
      <c r="C4642">
        <v>104</v>
      </c>
      <c r="D4642">
        <v>1</v>
      </c>
      <c r="E4642" s="1">
        <v>481.99</v>
      </c>
      <c r="F4642" s="1">
        <v>0.1</v>
      </c>
      <c r="G4642">
        <v>481.99</v>
      </c>
      <c r="H4642" s="22">
        <f>VLOOKUP(A4642,[1]Orders!$A$2:$B$1616,2,0)</f>
        <v>43216</v>
      </c>
      <c r="J4642" t="s">
        <v>87</v>
      </c>
      <c r="K4642" t="s">
        <v>11</v>
      </c>
    </row>
    <row r="4643" spans="1:11" x14ac:dyDescent="0.3">
      <c r="A4643">
        <v>1587</v>
      </c>
      <c r="B4643">
        <v>2</v>
      </c>
      <c r="C4643">
        <v>63</v>
      </c>
      <c r="D4643">
        <v>2</v>
      </c>
      <c r="E4643" s="1">
        <v>3499.99</v>
      </c>
      <c r="F4643" s="1">
        <v>0.05</v>
      </c>
      <c r="G4643">
        <v>6999.98</v>
      </c>
      <c r="H4643" s="22">
        <f>VLOOKUP(A4643,[1]Orders!$A$2:$B$1616,2,0)</f>
        <v>43216</v>
      </c>
      <c r="J4643" t="s">
        <v>75</v>
      </c>
      <c r="K4643" t="s">
        <v>11</v>
      </c>
    </row>
    <row r="4644" spans="1:11" x14ac:dyDescent="0.3">
      <c r="A4644">
        <v>1587</v>
      </c>
      <c r="B4644">
        <v>3</v>
      </c>
      <c r="C4644">
        <v>78</v>
      </c>
      <c r="D4644">
        <v>2</v>
      </c>
      <c r="E4644" s="1">
        <v>647.99</v>
      </c>
      <c r="F4644" s="1">
        <v>0.05</v>
      </c>
      <c r="G4644">
        <v>1295.98</v>
      </c>
      <c r="H4644" s="22">
        <f>VLOOKUP(A4644,[1]Orders!$A$2:$B$1616,2,0)</f>
        <v>43216</v>
      </c>
      <c r="J4644" t="s">
        <v>57</v>
      </c>
      <c r="K4644" t="s">
        <v>11</v>
      </c>
    </row>
    <row r="4645" spans="1:11" x14ac:dyDescent="0.3">
      <c r="A4645">
        <v>1587</v>
      </c>
      <c r="B4645">
        <v>4</v>
      </c>
      <c r="C4645">
        <v>300</v>
      </c>
      <c r="D4645">
        <v>2</v>
      </c>
      <c r="E4645" s="1">
        <v>799.99</v>
      </c>
      <c r="F4645" s="1">
        <v>7.0000000000000007E-2</v>
      </c>
      <c r="G4645">
        <v>1599.98</v>
      </c>
      <c r="H4645" s="22">
        <f>VLOOKUP(A4645,[1]Orders!$A$2:$B$1616,2,0)</f>
        <v>43216</v>
      </c>
      <c r="J4645" t="s">
        <v>141</v>
      </c>
      <c r="K4645" t="s">
        <v>11</v>
      </c>
    </row>
    <row r="4646" spans="1:11" x14ac:dyDescent="0.3">
      <c r="A4646">
        <v>1588</v>
      </c>
      <c r="B4646">
        <v>1</v>
      </c>
      <c r="C4646">
        <v>93</v>
      </c>
      <c r="D4646">
        <v>2</v>
      </c>
      <c r="E4646" s="1">
        <v>209.99</v>
      </c>
      <c r="F4646" s="1">
        <v>7.0000000000000007E-2</v>
      </c>
      <c r="G4646">
        <v>419.98</v>
      </c>
      <c r="H4646" s="22">
        <f>VLOOKUP(A4646,[1]Orders!$A$2:$B$1616,2,0)</f>
        <v>43216</v>
      </c>
      <c r="J4646" t="s">
        <v>110</v>
      </c>
      <c r="K4646" t="s">
        <v>18</v>
      </c>
    </row>
    <row r="4647" spans="1:11" x14ac:dyDescent="0.3">
      <c r="A4647">
        <v>1589</v>
      </c>
      <c r="B4647">
        <v>1</v>
      </c>
      <c r="C4647">
        <v>246</v>
      </c>
      <c r="D4647">
        <v>2</v>
      </c>
      <c r="E4647" s="1">
        <v>639.99</v>
      </c>
      <c r="F4647" s="1">
        <v>0.05</v>
      </c>
      <c r="G4647">
        <v>1279.98</v>
      </c>
      <c r="H4647" s="22">
        <f>VLOOKUP(A4647,[1]Orders!$A$2:$B$1616,2,0)</f>
        <v>43217</v>
      </c>
      <c r="J4647" t="s">
        <v>264</v>
      </c>
      <c r="K4647" t="s">
        <v>11</v>
      </c>
    </row>
    <row r="4648" spans="1:11" x14ac:dyDescent="0.3">
      <c r="A4648">
        <v>1589</v>
      </c>
      <c r="B4648">
        <v>2</v>
      </c>
      <c r="C4648">
        <v>260</v>
      </c>
      <c r="D4648">
        <v>1</v>
      </c>
      <c r="E4648" s="1">
        <v>799.99</v>
      </c>
      <c r="F4648" s="1">
        <v>0.2</v>
      </c>
      <c r="G4648">
        <v>799.99</v>
      </c>
      <c r="H4648" s="22">
        <f>VLOOKUP(A4648,[1]Orders!$A$2:$B$1616,2,0)</f>
        <v>43217</v>
      </c>
      <c r="J4648" t="s">
        <v>141</v>
      </c>
      <c r="K4648" t="s">
        <v>11</v>
      </c>
    </row>
    <row r="4649" spans="1:11" x14ac:dyDescent="0.3">
      <c r="A4649">
        <v>1589</v>
      </c>
      <c r="B4649">
        <v>3</v>
      </c>
      <c r="C4649">
        <v>28</v>
      </c>
      <c r="D4649">
        <v>2</v>
      </c>
      <c r="E4649" s="1">
        <v>2499.9899999999998</v>
      </c>
      <c r="F4649" s="1">
        <v>0.1</v>
      </c>
      <c r="G4649">
        <v>4999.9799999999996</v>
      </c>
      <c r="H4649" s="22">
        <f>VLOOKUP(A4649,[1]Orders!$A$2:$B$1616,2,0)</f>
        <v>43217</v>
      </c>
      <c r="J4649" t="s">
        <v>86</v>
      </c>
      <c r="K4649" t="s">
        <v>11</v>
      </c>
    </row>
    <row r="4650" spans="1:11" x14ac:dyDescent="0.3">
      <c r="A4650">
        <v>1590</v>
      </c>
      <c r="B4650">
        <v>1</v>
      </c>
      <c r="C4650">
        <v>175</v>
      </c>
      <c r="D4650">
        <v>2</v>
      </c>
      <c r="E4650" s="1">
        <v>3199.99</v>
      </c>
      <c r="F4650" s="1">
        <v>7.0000000000000007E-2</v>
      </c>
      <c r="G4650">
        <v>6399.98</v>
      </c>
      <c r="H4650" s="22">
        <f>VLOOKUP(A4650,[1]Orders!$A$2:$B$1616,2,0)</f>
        <v>43217</v>
      </c>
      <c r="J4650" t="s">
        <v>155</v>
      </c>
      <c r="K4650" t="s">
        <v>11</v>
      </c>
    </row>
    <row r="4651" spans="1:11" x14ac:dyDescent="0.3">
      <c r="A4651">
        <v>1590</v>
      </c>
      <c r="B4651">
        <v>2</v>
      </c>
      <c r="C4651">
        <v>248</v>
      </c>
      <c r="D4651">
        <v>1</v>
      </c>
      <c r="E4651" s="1">
        <v>599.99</v>
      </c>
      <c r="F4651" s="1">
        <v>0.2</v>
      </c>
      <c r="G4651">
        <v>599.99</v>
      </c>
      <c r="H4651" s="22">
        <f>VLOOKUP(A4651,[1]Orders!$A$2:$B$1616,2,0)</f>
        <v>43217</v>
      </c>
      <c r="J4651" t="s">
        <v>272</v>
      </c>
      <c r="K4651" t="s">
        <v>11</v>
      </c>
    </row>
    <row r="4652" spans="1:11" x14ac:dyDescent="0.3">
      <c r="A4652">
        <v>1590</v>
      </c>
      <c r="B4652">
        <v>3</v>
      </c>
      <c r="C4652">
        <v>23</v>
      </c>
      <c r="D4652">
        <v>1</v>
      </c>
      <c r="E4652" s="1">
        <v>299.99</v>
      </c>
      <c r="F4652" s="1">
        <v>7.0000000000000007E-2</v>
      </c>
      <c r="G4652">
        <v>299.99</v>
      </c>
      <c r="H4652" s="22">
        <f>VLOOKUP(A4652,[1]Orders!$A$2:$B$1616,2,0)</f>
        <v>43217</v>
      </c>
      <c r="J4652" t="s">
        <v>33</v>
      </c>
      <c r="K4652" t="s">
        <v>11</v>
      </c>
    </row>
    <row r="4653" spans="1:11" x14ac:dyDescent="0.3">
      <c r="A4653">
        <v>1591</v>
      </c>
      <c r="B4653">
        <v>1</v>
      </c>
      <c r="C4653">
        <v>286</v>
      </c>
      <c r="D4653">
        <v>2</v>
      </c>
      <c r="E4653" s="1">
        <v>279.99</v>
      </c>
      <c r="F4653" s="1">
        <v>0.2</v>
      </c>
      <c r="G4653">
        <v>559.98</v>
      </c>
      <c r="H4653" s="22">
        <f>VLOOKUP(A4653,[1]Orders!$A$2:$B$1616,2,0)</f>
        <v>43217</v>
      </c>
      <c r="J4653" t="s">
        <v>255</v>
      </c>
      <c r="K4653" t="s">
        <v>11</v>
      </c>
    </row>
    <row r="4654" spans="1:11" x14ac:dyDescent="0.3">
      <c r="A4654">
        <v>1591</v>
      </c>
      <c r="B4654">
        <v>2</v>
      </c>
      <c r="C4654">
        <v>126</v>
      </c>
      <c r="D4654">
        <v>2</v>
      </c>
      <c r="E4654" s="1">
        <v>469.99</v>
      </c>
      <c r="F4654" s="1">
        <v>0.2</v>
      </c>
      <c r="G4654">
        <v>939.98</v>
      </c>
      <c r="H4654" s="22">
        <f>VLOOKUP(A4654,[1]Orders!$A$2:$B$1616,2,0)</f>
        <v>43217</v>
      </c>
      <c r="J4654" t="s">
        <v>251</v>
      </c>
      <c r="K4654" t="s">
        <v>11</v>
      </c>
    </row>
    <row r="4655" spans="1:11" x14ac:dyDescent="0.3">
      <c r="A4655">
        <v>1591</v>
      </c>
      <c r="B4655">
        <v>3</v>
      </c>
      <c r="C4655">
        <v>97</v>
      </c>
      <c r="D4655">
        <v>2</v>
      </c>
      <c r="E4655" s="1">
        <v>349.99</v>
      </c>
      <c r="F4655" s="1">
        <v>7.0000000000000007E-2</v>
      </c>
      <c r="G4655">
        <v>699.98</v>
      </c>
      <c r="H4655" s="22">
        <f>VLOOKUP(A4655,[1]Orders!$A$2:$B$1616,2,0)</f>
        <v>43217</v>
      </c>
      <c r="J4655" t="s">
        <v>55</v>
      </c>
      <c r="K4655" t="s">
        <v>11</v>
      </c>
    </row>
    <row r="4656" spans="1:11" x14ac:dyDescent="0.3">
      <c r="A4656">
        <v>1591</v>
      </c>
      <c r="B4656">
        <v>4</v>
      </c>
      <c r="C4656">
        <v>138</v>
      </c>
      <c r="D4656">
        <v>2</v>
      </c>
      <c r="E4656" s="1">
        <v>2249.9899999999998</v>
      </c>
      <c r="F4656" s="1">
        <v>0.05</v>
      </c>
      <c r="G4656">
        <v>4499.9799999999996</v>
      </c>
      <c r="H4656" s="22">
        <f>VLOOKUP(A4656,[1]Orders!$A$2:$B$1616,2,0)</f>
        <v>43217</v>
      </c>
      <c r="J4656" t="s">
        <v>149</v>
      </c>
      <c r="K4656" t="s">
        <v>11</v>
      </c>
    </row>
    <row r="4657" spans="1:11" x14ac:dyDescent="0.3">
      <c r="A4657">
        <v>1591</v>
      </c>
      <c r="B4657">
        <v>5</v>
      </c>
      <c r="C4657">
        <v>265</v>
      </c>
      <c r="D4657">
        <v>1</v>
      </c>
      <c r="E4657" s="1">
        <v>289.99</v>
      </c>
      <c r="F4657" s="1">
        <v>0.2</v>
      </c>
      <c r="G4657">
        <v>289.99</v>
      </c>
      <c r="H4657" s="22">
        <f>VLOOKUP(A4657,[1]Orders!$A$2:$B$1616,2,0)</f>
        <v>43217</v>
      </c>
      <c r="J4657" t="s">
        <v>239</v>
      </c>
      <c r="K4657" t="s">
        <v>11</v>
      </c>
    </row>
    <row r="4658" spans="1:11" x14ac:dyDescent="0.3">
      <c r="A4658">
        <v>1592</v>
      </c>
      <c r="B4658">
        <v>1</v>
      </c>
      <c r="C4658">
        <v>211</v>
      </c>
      <c r="D4658">
        <v>2</v>
      </c>
      <c r="E4658" s="1">
        <v>1549</v>
      </c>
      <c r="F4658" s="1">
        <v>0.05</v>
      </c>
      <c r="G4658">
        <v>3098</v>
      </c>
      <c r="H4658" s="22">
        <f>VLOOKUP(A4658,[1]Orders!$A$2:$B$1616,2,0)</f>
        <v>43217</v>
      </c>
      <c r="J4658" t="s">
        <v>164</v>
      </c>
      <c r="K4658" t="s">
        <v>18</v>
      </c>
    </row>
    <row r="4659" spans="1:11" x14ac:dyDescent="0.3">
      <c r="A4659">
        <v>1592</v>
      </c>
      <c r="B4659">
        <v>2</v>
      </c>
      <c r="C4659">
        <v>159</v>
      </c>
      <c r="D4659">
        <v>1</v>
      </c>
      <c r="E4659" s="1">
        <v>2299.9899999999998</v>
      </c>
      <c r="F4659" s="1">
        <v>7.0000000000000007E-2</v>
      </c>
      <c r="G4659">
        <v>2299.9899999999998</v>
      </c>
      <c r="H4659" s="22">
        <f>VLOOKUP(A4659,[1]Orders!$A$2:$B$1616,2,0)</f>
        <v>43217</v>
      </c>
      <c r="J4659" t="s">
        <v>174</v>
      </c>
      <c r="K4659" t="s">
        <v>18</v>
      </c>
    </row>
    <row r="4660" spans="1:11" x14ac:dyDescent="0.3">
      <c r="A4660">
        <v>1592</v>
      </c>
      <c r="B4660">
        <v>3</v>
      </c>
      <c r="C4660">
        <v>40</v>
      </c>
      <c r="D4660">
        <v>2</v>
      </c>
      <c r="E4660" s="1">
        <v>4999.99</v>
      </c>
      <c r="F4660" s="1">
        <v>7.0000000000000007E-2</v>
      </c>
      <c r="G4660">
        <v>9999.98</v>
      </c>
      <c r="H4660" s="22">
        <f>VLOOKUP(A4660,[1]Orders!$A$2:$B$1616,2,0)</f>
        <v>43217</v>
      </c>
      <c r="J4660" t="s">
        <v>104</v>
      </c>
      <c r="K4660" t="s">
        <v>18</v>
      </c>
    </row>
    <row r="4661" spans="1:11" x14ac:dyDescent="0.3">
      <c r="A4661">
        <v>1592</v>
      </c>
      <c r="B4661">
        <v>4</v>
      </c>
      <c r="C4661">
        <v>9</v>
      </c>
      <c r="D4661">
        <v>1</v>
      </c>
      <c r="E4661" s="1">
        <v>2999.99</v>
      </c>
      <c r="F4661" s="1">
        <v>0.2</v>
      </c>
      <c r="G4661">
        <v>2999.99</v>
      </c>
      <c r="H4661" s="22">
        <f>VLOOKUP(A4661,[1]Orders!$A$2:$B$1616,2,0)</f>
        <v>43217</v>
      </c>
      <c r="J4661" t="s">
        <v>26</v>
      </c>
      <c r="K4661" t="s">
        <v>18</v>
      </c>
    </row>
    <row r="4662" spans="1:11" x14ac:dyDescent="0.3">
      <c r="A4662">
        <v>1592</v>
      </c>
      <c r="B4662">
        <v>5</v>
      </c>
      <c r="C4662">
        <v>271</v>
      </c>
      <c r="D4662">
        <v>2</v>
      </c>
      <c r="E4662" s="1">
        <v>209.99</v>
      </c>
      <c r="F4662" s="1">
        <v>0.05</v>
      </c>
      <c r="G4662">
        <v>419.98</v>
      </c>
      <c r="H4662" s="22">
        <f>VLOOKUP(A4662,[1]Orders!$A$2:$B$1616,2,0)</f>
        <v>43217</v>
      </c>
      <c r="J4662" t="s">
        <v>259</v>
      </c>
      <c r="K4662" t="s">
        <v>18</v>
      </c>
    </row>
    <row r="4663" spans="1:11" x14ac:dyDescent="0.3">
      <c r="A4663">
        <v>1593</v>
      </c>
      <c r="B4663">
        <v>1</v>
      </c>
      <c r="C4663">
        <v>97</v>
      </c>
      <c r="D4663">
        <v>2</v>
      </c>
      <c r="E4663" s="1">
        <v>349.99</v>
      </c>
      <c r="F4663" s="1">
        <v>0.2</v>
      </c>
      <c r="G4663">
        <v>699.98</v>
      </c>
      <c r="H4663" s="22">
        <f>VLOOKUP(A4663,[1]Orders!$A$2:$B$1616,2,0)</f>
        <v>43217</v>
      </c>
      <c r="J4663" t="s">
        <v>55</v>
      </c>
      <c r="K4663" t="s">
        <v>18</v>
      </c>
    </row>
    <row r="4664" spans="1:11" x14ac:dyDescent="0.3">
      <c r="A4664">
        <v>1593</v>
      </c>
      <c r="B4664">
        <v>2</v>
      </c>
      <c r="C4664">
        <v>34</v>
      </c>
      <c r="D4664">
        <v>1</v>
      </c>
      <c r="E4664" s="1">
        <v>469.99</v>
      </c>
      <c r="F4664" s="1">
        <v>7.0000000000000007E-2</v>
      </c>
      <c r="G4664">
        <v>469.99</v>
      </c>
      <c r="H4664" s="22">
        <f>VLOOKUP(A4664,[1]Orders!$A$2:$B$1616,2,0)</f>
        <v>43217</v>
      </c>
      <c r="J4664" t="s">
        <v>107</v>
      </c>
      <c r="K4664" t="s">
        <v>18</v>
      </c>
    </row>
    <row r="4665" spans="1:11" x14ac:dyDescent="0.3">
      <c r="A4665">
        <v>1593</v>
      </c>
      <c r="B4665">
        <v>3</v>
      </c>
      <c r="C4665">
        <v>190</v>
      </c>
      <c r="D4665">
        <v>2</v>
      </c>
      <c r="E4665" s="1">
        <v>2799.99</v>
      </c>
      <c r="F4665" s="1">
        <v>0.1</v>
      </c>
      <c r="G4665">
        <v>5599.98</v>
      </c>
      <c r="H4665" s="22">
        <f>VLOOKUP(A4665,[1]Orders!$A$2:$B$1616,2,0)</f>
        <v>43217</v>
      </c>
      <c r="J4665" t="s">
        <v>124</v>
      </c>
      <c r="K4665" t="s">
        <v>18</v>
      </c>
    </row>
    <row r="4666" spans="1:11" x14ac:dyDescent="0.3">
      <c r="A4666">
        <v>1593</v>
      </c>
      <c r="B4666">
        <v>4</v>
      </c>
      <c r="C4666">
        <v>107</v>
      </c>
      <c r="D4666">
        <v>1</v>
      </c>
      <c r="E4666" s="1">
        <v>416.99</v>
      </c>
      <c r="F4666" s="1">
        <v>0.05</v>
      </c>
      <c r="G4666">
        <v>416.99</v>
      </c>
      <c r="H4666" s="22">
        <f>VLOOKUP(A4666,[1]Orders!$A$2:$B$1616,2,0)</f>
        <v>43217</v>
      </c>
      <c r="J4666" t="s">
        <v>89</v>
      </c>
      <c r="K4666" t="s">
        <v>18</v>
      </c>
    </row>
    <row r="4667" spans="1:11" x14ac:dyDescent="0.3">
      <c r="A4667">
        <v>1593</v>
      </c>
      <c r="B4667">
        <v>5</v>
      </c>
      <c r="C4667">
        <v>169</v>
      </c>
      <c r="D4667">
        <v>2</v>
      </c>
      <c r="E4667" s="1">
        <v>6499.99</v>
      </c>
      <c r="F4667" s="1">
        <v>7.0000000000000007E-2</v>
      </c>
      <c r="G4667">
        <v>12999.98</v>
      </c>
      <c r="H4667" s="22">
        <f>VLOOKUP(A4667,[1]Orders!$A$2:$B$1616,2,0)</f>
        <v>43217</v>
      </c>
      <c r="J4667" t="s">
        <v>154</v>
      </c>
      <c r="K4667" t="s">
        <v>18</v>
      </c>
    </row>
    <row r="4668" spans="1:11" x14ac:dyDescent="0.3">
      <c r="A4668">
        <v>1594</v>
      </c>
      <c r="B4668">
        <v>1</v>
      </c>
      <c r="C4668">
        <v>79</v>
      </c>
      <c r="D4668">
        <v>2</v>
      </c>
      <c r="E4668" s="1">
        <v>402.99</v>
      </c>
      <c r="F4668" s="1">
        <v>0.1</v>
      </c>
      <c r="G4668">
        <v>805.98</v>
      </c>
      <c r="H4668" s="22">
        <f>VLOOKUP(A4668,[1]Orders!$A$2:$B$1616,2,0)</f>
        <v>43218</v>
      </c>
      <c r="J4668" t="s">
        <v>58</v>
      </c>
      <c r="K4668" t="s">
        <v>18</v>
      </c>
    </row>
    <row r="4669" spans="1:11" x14ac:dyDescent="0.3">
      <c r="A4669">
        <v>1594</v>
      </c>
      <c r="B4669">
        <v>2</v>
      </c>
      <c r="C4669">
        <v>105</v>
      </c>
      <c r="D4669">
        <v>1</v>
      </c>
      <c r="E4669" s="1">
        <v>533.99</v>
      </c>
      <c r="F4669" s="1">
        <v>0.1</v>
      </c>
      <c r="G4669">
        <v>533.99</v>
      </c>
      <c r="H4669" s="22">
        <f>VLOOKUP(A4669,[1]Orders!$A$2:$B$1616,2,0)</f>
        <v>43218</v>
      </c>
      <c r="J4669" t="s">
        <v>96</v>
      </c>
      <c r="K4669" t="s">
        <v>18</v>
      </c>
    </row>
    <row r="4670" spans="1:11" x14ac:dyDescent="0.3">
      <c r="A4670">
        <v>1595</v>
      </c>
      <c r="B4670">
        <v>1</v>
      </c>
      <c r="C4670">
        <v>112</v>
      </c>
      <c r="D4670">
        <v>1</v>
      </c>
      <c r="E4670" s="1">
        <v>379.99</v>
      </c>
      <c r="F4670" s="1">
        <v>0.2</v>
      </c>
      <c r="G4670">
        <v>379.99</v>
      </c>
      <c r="H4670" s="22">
        <f>VLOOKUP(A4670,[1]Orders!$A$2:$B$1616,2,0)</f>
        <v>43218</v>
      </c>
      <c r="J4670" t="s">
        <v>228</v>
      </c>
      <c r="K4670" t="s">
        <v>18</v>
      </c>
    </row>
    <row r="4671" spans="1:11" x14ac:dyDescent="0.3">
      <c r="A4671">
        <v>1596</v>
      </c>
      <c r="B4671">
        <v>1</v>
      </c>
      <c r="C4671">
        <v>91</v>
      </c>
      <c r="D4671">
        <v>1</v>
      </c>
      <c r="E4671" s="1">
        <v>349.99</v>
      </c>
      <c r="F4671" s="1">
        <v>0.05</v>
      </c>
      <c r="G4671">
        <v>349.99</v>
      </c>
      <c r="H4671" s="22">
        <f>VLOOKUP(A4671,[1]Orders!$A$2:$B$1616,2,0)</f>
        <v>43218</v>
      </c>
      <c r="J4671" t="s">
        <v>97</v>
      </c>
      <c r="K4671" t="s">
        <v>37</v>
      </c>
    </row>
    <row r="4672" spans="1:11" x14ac:dyDescent="0.3">
      <c r="A4672">
        <v>1596</v>
      </c>
      <c r="B4672">
        <v>2</v>
      </c>
      <c r="C4672">
        <v>18</v>
      </c>
      <c r="D4672">
        <v>1</v>
      </c>
      <c r="E4672" s="1">
        <v>449</v>
      </c>
      <c r="F4672" s="1">
        <v>0.1</v>
      </c>
      <c r="G4672">
        <v>449</v>
      </c>
      <c r="H4672" s="22">
        <f>VLOOKUP(A4672,[1]Orders!$A$2:$B$1616,2,0)</f>
        <v>43218</v>
      </c>
      <c r="J4672" t="s">
        <v>24</v>
      </c>
      <c r="K4672" t="s">
        <v>37</v>
      </c>
    </row>
    <row r="4673" spans="1:11" x14ac:dyDescent="0.3">
      <c r="A4673">
        <v>1597</v>
      </c>
      <c r="B4673">
        <v>1</v>
      </c>
      <c r="C4673">
        <v>176</v>
      </c>
      <c r="D4673">
        <v>1</v>
      </c>
      <c r="E4673" s="1">
        <v>3199.99</v>
      </c>
      <c r="F4673" s="1">
        <v>7.0000000000000007E-2</v>
      </c>
      <c r="G4673">
        <v>3199.99</v>
      </c>
      <c r="H4673" s="22">
        <f>VLOOKUP(A4673,[1]Orders!$A$2:$B$1616,2,0)</f>
        <v>43218</v>
      </c>
      <c r="J4673" t="s">
        <v>293</v>
      </c>
      <c r="K4673" t="s">
        <v>37</v>
      </c>
    </row>
    <row r="4674" spans="1:11" x14ac:dyDescent="0.3">
      <c r="A4674">
        <v>1597</v>
      </c>
      <c r="B4674">
        <v>2</v>
      </c>
      <c r="C4674">
        <v>59</v>
      </c>
      <c r="D4674">
        <v>1</v>
      </c>
      <c r="E4674" s="1">
        <v>2599.9899999999998</v>
      </c>
      <c r="F4674" s="1">
        <v>7.0000000000000007E-2</v>
      </c>
      <c r="G4674">
        <v>2599.9899999999998</v>
      </c>
      <c r="H4674" s="22">
        <f>VLOOKUP(A4674,[1]Orders!$A$2:$B$1616,2,0)</f>
        <v>43218</v>
      </c>
      <c r="J4674" t="s">
        <v>74</v>
      </c>
      <c r="K4674" t="s">
        <v>37</v>
      </c>
    </row>
    <row r="4675" spans="1:11" x14ac:dyDescent="0.3">
      <c r="A4675">
        <v>1598</v>
      </c>
      <c r="B4675">
        <v>1</v>
      </c>
      <c r="C4675">
        <v>247</v>
      </c>
      <c r="D4675">
        <v>1</v>
      </c>
      <c r="E4675" s="1">
        <v>599.99</v>
      </c>
      <c r="F4675" s="1">
        <v>0.2</v>
      </c>
      <c r="G4675">
        <v>599.99</v>
      </c>
      <c r="H4675" s="22">
        <f>VLOOKUP(A4675,[1]Orders!$A$2:$B$1616,2,0)</f>
        <v>43219</v>
      </c>
      <c r="J4675" t="s">
        <v>131</v>
      </c>
      <c r="K4675" t="s">
        <v>11</v>
      </c>
    </row>
    <row r="4676" spans="1:11" x14ac:dyDescent="0.3">
      <c r="A4676">
        <v>1598</v>
      </c>
      <c r="B4676">
        <v>2</v>
      </c>
      <c r="C4676">
        <v>49</v>
      </c>
      <c r="D4676">
        <v>2</v>
      </c>
      <c r="E4676" s="1">
        <v>3499.99</v>
      </c>
      <c r="F4676" s="1">
        <v>7.0000000000000007E-2</v>
      </c>
      <c r="G4676">
        <v>6999.98</v>
      </c>
      <c r="H4676" s="22">
        <f>VLOOKUP(A4676,[1]Orders!$A$2:$B$1616,2,0)</f>
        <v>43219</v>
      </c>
      <c r="J4676" t="s">
        <v>70</v>
      </c>
      <c r="K4676" t="s">
        <v>11</v>
      </c>
    </row>
    <row r="4677" spans="1:11" x14ac:dyDescent="0.3">
      <c r="A4677">
        <v>1598</v>
      </c>
      <c r="B4677">
        <v>3</v>
      </c>
      <c r="C4677">
        <v>88</v>
      </c>
      <c r="D4677">
        <v>1</v>
      </c>
      <c r="E4677" s="1">
        <v>189.99</v>
      </c>
      <c r="F4677" s="1">
        <v>0.2</v>
      </c>
      <c r="G4677">
        <v>189.99</v>
      </c>
      <c r="H4677" s="22">
        <f>VLOOKUP(A4677,[1]Orders!$A$2:$B$1616,2,0)</f>
        <v>43219</v>
      </c>
      <c r="J4677" t="s">
        <v>64</v>
      </c>
      <c r="K4677" t="s">
        <v>11</v>
      </c>
    </row>
    <row r="4678" spans="1:11" x14ac:dyDescent="0.3">
      <c r="A4678">
        <v>1599</v>
      </c>
      <c r="B4678">
        <v>1</v>
      </c>
      <c r="C4678">
        <v>104</v>
      </c>
      <c r="D4678">
        <v>2</v>
      </c>
      <c r="E4678" s="1">
        <v>481.99</v>
      </c>
      <c r="F4678" s="1">
        <v>0.2</v>
      </c>
      <c r="G4678">
        <v>963.98</v>
      </c>
      <c r="H4678" s="22">
        <f>VLOOKUP(A4678,[1]Orders!$A$2:$B$1616,2,0)</f>
        <v>43219</v>
      </c>
      <c r="J4678" t="s">
        <v>87</v>
      </c>
      <c r="K4678" t="s">
        <v>18</v>
      </c>
    </row>
    <row r="4679" spans="1:11" x14ac:dyDescent="0.3">
      <c r="A4679">
        <v>1600</v>
      </c>
      <c r="B4679">
        <v>1</v>
      </c>
      <c r="C4679">
        <v>146</v>
      </c>
      <c r="D4679">
        <v>1</v>
      </c>
      <c r="E4679" s="1">
        <v>4999.99</v>
      </c>
      <c r="F4679" s="1">
        <v>0.1</v>
      </c>
      <c r="G4679">
        <v>4999.99</v>
      </c>
      <c r="H4679" s="22">
        <f>VLOOKUP(A4679,[1]Orders!$A$2:$B$1616,2,0)</f>
        <v>43219</v>
      </c>
      <c r="J4679" t="s">
        <v>292</v>
      </c>
      <c r="K4679" t="s">
        <v>18</v>
      </c>
    </row>
    <row r="4680" spans="1:11" x14ac:dyDescent="0.3">
      <c r="A4680">
        <v>1600</v>
      </c>
      <c r="B4680">
        <v>2</v>
      </c>
      <c r="C4680">
        <v>295</v>
      </c>
      <c r="D4680">
        <v>1</v>
      </c>
      <c r="E4680" s="1">
        <v>319.99</v>
      </c>
      <c r="F4680" s="1">
        <v>0.05</v>
      </c>
      <c r="G4680">
        <v>319.99</v>
      </c>
      <c r="H4680" s="22">
        <f>VLOOKUP(A4680,[1]Orders!$A$2:$B$1616,2,0)</f>
        <v>43219</v>
      </c>
      <c r="J4680" t="s">
        <v>219</v>
      </c>
      <c r="K4680" t="s">
        <v>18</v>
      </c>
    </row>
    <row r="4681" spans="1:11" x14ac:dyDescent="0.3">
      <c r="A4681">
        <v>1600</v>
      </c>
      <c r="B4681">
        <v>3</v>
      </c>
      <c r="C4681">
        <v>36</v>
      </c>
      <c r="D4681">
        <v>1</v>
      </c>
      <c r="E4681" s="1">
        <v>832.99</v>
      </c>
      <c r="F4681" s="1">
        <v>0.2</v>
      </c>
      <c r="G4681">
        <v>832.99</v>
      </c>
      <c r="H4681" s="22">
        <f>VLOOKUP(A4681,[1]Orders!$A$2:$B$1616,2,0)</f>
        <v>43219</v>
      </c>
      <c r="J4681" t="s">
        <v>116</v>
      </c>
      <c r="K4681" t="s">
        <v>18</v>
      </c>
    </row>
    <row r="4682" spans="1:11" x14ac:dyDescent="0.3">
      <c r="A4682">
        <v>1601</v>
      </c>
      <c r="B4682">
        <v>1</v>
      </c>
      <c r="C4682">
        <v>114</v>
      </c>
      <c r="D4682">
        <v>2</v>
      </c>
      <c r="E4682" s="1">
        <v>579.99</v>
      </c>
      <c r="F4682" s="1">
        <v>0.2</v>
      </c>
      <c r="G4682">
        <v>1159.98</v>
      </c>
      <c r="H4682" s="22">
        <f>VLOOKUP(A4682,[1]Orders!$A$2:$B$1616,2,0)</f>
        <v>43219</v>
      </c>
      <c r="J4682" t="s">
        <v>235</v>
      </c>
      <c r="K4682" t="s">
        <v>37</v>
      </c>
    </row>
    <row r="4683" spans="1:11" x14ac:dyDescent="0.3">
      <c r="A4683">
        <v>1601</v>
      </c>
      <c r="B4683">
        <v>2</v>
      </c>
      <c r="C4683">
        <v>10</v>
      </c>
      <c r="D4683">
        <v>1</v>
      </c>
      <c r="E4683" s="1">
        <v>1549</v>
      </c>
      <c r="F4683" s="1">
        <v>0.2</v>
      </c>
      <c r="G4683">
        <v>1549</v>
      </c>
      <c r="H4683" s="22">
        <f>VLOOKUP(A4683,[1]Orders!$A$2:$B$1616,2,0)</f>
        <v>43219</v>
      </c>
      <c r="J4683" t="s">
        <v>13</v>
      </c>
      <c r="K4683" t="s">
        <v>37</v>
      </c>
    </row>
    <row r="4684" spans="1:11" x14ac:dyDescent="0.3">
      <c r="A4684">
        <v>1601</v>
      </c>
      <c r="B4684">
        <v>3</v>
      </c>
      <c r="C4684">
        <v>220</v>
      </c>
      <c r="D4684">
        <v>2</v>
      </c>
      <c r="E4684" s="1">
        <v>269.99</v>
      </c>
      <c r="F4684" s="1">
        <v>7.0000000000000007E-2</v>
      </c>
      <c r="G4684">
        <v>539.98</v>
      </c>
      <c r="H4684" s="22">
        <f>VLOOKUP(A4684,[1]Orders!$A$2:$B$1616,2,0)</f>
        <v>43219</v>
      </c>
      <c r="J4684" t="s">
        <v>231</v>
      </c>
      <c r="K4684" t="s">
        <v>37</v>
      </c>
    </row>
    <row r="4685" spans="1:11" x14ac:dyDescent="0.3">
      <c r="A4685">
        <v>1601</v>
      </c>
      <c r="B4685">
        <v>4</v>
      </c>
      <c r="C4685">
        <v>7</v>
      </c>
      <c r="D4685">
        <v>2</v>
      </c>
      <c r="E4685" s="1">
        <v>3999.99</v>
      </c>
      <c r="F4685" s="1">
        <v>7.0000000000000007E-2</v>
      </c>
      <c r="G4685">
        <v>7999.98</v>
      </c>
      <c r="H4685" s="22">
        <f>VLOOKUP(A4685,[1]Orders!$A$2:$B$1616,2,0)</f>
        <v>43219</v>
      </c>
      <c r="J4685" t="s">
        <v>29</v>
      </c>
      <c r="K4685" t="s">
        <v>37</v>
      </c>
    </row>
    <row r="4686" spans="1:11" x14ac:dyDescent="0.3">
      <c r="A4686">
        <v>1601</v>
      </c>
      <c r="B4686">
        <v>5</v>
      </c>
      <c r="C4686">
        <v>180</v>
      </c>
      <c r="D4686">
        <v>1</v>
      </c>
      <c r="E4686" s="1">
        <v>919.99</v>
      </c>
      <c r="F4686" s="1">
        <v>0.1</v>
      </c>
      <c r="G4686">
        <v>919.99</v>
      </c>
      <c r="H4686" s="22">
        <f>VLOOKUP(A4686,[1]Orders!$A$2:$B$1616,2,0)</f>
        <v>43219</v>
      </c>
      <c r="J4686" t="s">
        <v>127</v>
      </c>
      <c r="K4686" t="s">
        <v>37</v>
      </c>
    </row>
    <row r="4687" spans="1:11" x14ac:dyDescent="0.3">
      <c r="A4687">
        <v>1602</v>
      </c>
      <c r="B4687">
        <v>1</v>
      </c>
      <c r="C4687">
        <v>71</v>
      </c>
      <c r="D4687">
        <v>2</v>
      </c>
      <c r="E4687" s="1">
        <v>416.99</v>
      </c>
      <c r="F4687" s="1">
        <v>0.05</v>
      </c>
      <c r="G4687">
        <v>833.98</v>
      </c>
      <c r="H4687" s="22">
        <f>VLOOKUP(A4687,[1]Orders!$A$2:$B$1616,2,0)</f>
        <v>43220</v>
      </c>
      <c r="J4687" t="s">
        <v>78</v>
      </c>
      <c r="K4687" t="s">
        <v>18</v>
      </c>
    </row>
    <row r="4688" spans="1:11" x14ac:dyDescent="0.3">
      <c r="A4688">
        <v>1602</v>
      </c>
      <c r="B4688">
        <v>2</v>
      </c>
      <c r="C4688">
        <v>37</v>
      </c>
      <c r="D4688">
        <v>1</v>
      </c>
      <c r="E4688" s="1">
        <v>379.99</v>
      </c>
      <c r="F4688" s="1">
        <v>7.0000000000000007E-2</v>
      </c>
      <c r="G4688">
        <v>379.99</v>
      </c>
      <c r="H4688" s="22">
        <f>VLOOKUP(A4688,[1]Orders!$A$2:$B$1616,2,0)</f>
        <v>43220</v>
      </c>
      <c r="J4688" t="s">
        <v>98</v>
      </c>
      <c r="K4688" t="s">
        <v>18</v>
      </c>
    </row>
    <row r="4689" spans="1:11" x14ac:dyDescent="0.3">
      <c r="A4689">
        <v>1602</v>
      </c>
      <c r="B4689">
        <v>3</v>
      </c>
      <c r="C4689">
        <v>275</v>
      </c>
      <c r="D4689">
        <v>2</v>
      </c>
      <c r="E4689" s="1">
        <v>229.99</v>
      </c>
      <c r="F4689" s="1">
        <v>0.2</v>
      </c>
      <c r="G4689">
        <v>459.98</v>
      </c>
      <c r="H4689" s="22">
        <f>VLOOKUP(A4689,[1]Orders!$A$2:$B$1616,2,0)</f>
        <v>43220</v>
      </c>
      <c r="J4689" t="s">
        <v>227</v>
      </c>
      <c r="K4689" t="s">
        <v>18</v>
      </c>
    </row>
    <row r="4690" spans="1:11" x14ac:dyDescent="0.3">
      <c r="A4690">
        <v>1602</v>
      </c>
      <c r="B4690">
        <v>4</v>
      </c>
      <c r="C4690">
        <v>257</v>
      </c>
      <c r="D4690">
        <v>2</v>
      </c>
      <c r="E4690" s="1">
        <v>899.99</v>
      </c>
      <c r="F4690" s="1">
        <v>0.05</v>
      </c>
      <c r="G4690">
        <v>1799.98</v>
      </c>
      <c r="H4690" s="22">
        <f>VLOOKUP(A4690,[1]Orders!$A$2:$B$1616,2,0)</f>
        <v>43220</v>
      </c>
      <c r="J4690" t="s">
        <v>122</v>
      </c>
      <c r="K4690" t="s">
        <v>18</v>
      </c>
    </row>
    <row r="4691" spans="1:11" x14ac:dyDescent="0.3">
      <c r="A4691">
        <v>1603</v>
      </c>
      <c r="B4691">
        <v>1</v>
      </c>
      <c r="C4691">
        <v>275</v>
      </c>
      <c r="D4691">
        <v>2</v>
      </c>
      <c r="E4691" s="1">
        <v>229.99</v>
      </c>
      <c r="F4691" s="1">
        <v>0.05</v>
      </c>
      <c r="G4691">
        <v>459.98</v>
      </c>
      <c r="H4691" s="22">
        <f>VLOOKUP(A4691,[1]Orders!$A$2:$B$1616,2,0)</f>
        <v>43220</v>
      </c>
      <c r="J4691" t="s">
        <v>227</v>
      </c>
      <c r="K4691" t="s">
        <v>18</v>
      </c>
    </row>
    <row r="4692" spans="1:11" x14ac:dyDescent="0.3">
      <c r="A4692">
        <v>1604</v>
      </c>
      <c r="B4692">
        <v>1</v>
      </c>
      <c r="C4692">
        <v>271</v>
      </c>
      <c r="D4692">
        <v>1</v>
      </c>
      <c r="E4692" s="1">
        <v>209.99</v>
      </c>
      <c r="F4692" s="1">
        <v>0.1</v>
      </c>
      <c r="G4692">
        <v>209.99</v>
      </c>
      <c r="H4692" s="22">
        <f>VLOOKUP(A4692,[1]Orders!$A$2:$B$1616,2,0)</f>
        <v>43268</v>
      </c>
      <c r="J4692" t="s">
        <v>259</v>
      </c>
      <c r="K4692" t="s">
        <v>18</v>
      </c>
    </row>
    <row r="4693" spans="1:11" x14ac:dyDescent="0.3">
      <c r="A4693">
        <v>1605</v>
      </c>
      <c r="B4693">
        <v>1</v>
      </c>
      <c r="C4693">
        <v>72</v>
      </c>
      <c r="D4693">
        <v>1</v>
      </c>
      <c r="E4693" s="1">
        <v>619.99</v>
      </c>
      <c r="F4693" s="1">
        <v>0.1</v>
      </c>
      <c r="G4693">
        <v>619.99</v>
      </c>
      <c r="H4693" s="22">
        <f>VLOOKUP(A4693,[1]Orders!$A$2:$B$1616,2,0)</f>
        <v>43282</v>
      </c>
      <c r="J4693" t="s">
        <v>44</v>
      </c>
      <c r="K4693" t="s">
        <v>37</v>
      </c>
    </row>
    <row r="4694" spans="1:11" x14ac:dyDescent="0.3">
      <c r="A4694">
        <v>1605</v>
      </c>
      <c r="B4694">
        <v>2</v>
      </c>
      <c r="C4694">
        <v>186</v>
      </c>
      <c r="D4694">
        <v>1</v>
      </c>
      <c r="E4694" s="1">
        <v>4499.99</v>
      </c>
      <c r="F4694" s="1">
        <v>0.2</v>
      </c>
      <c r="G4694">
        <v>4499.99</v>
      </c>
      <c r="H4694" s="22">
        <f>VLOOKUP(A4694,[1]Orders!$A$2:$B$1616,2,0)</f>
        <v>43282</v>
      </c>
      <c r="J4694" t="s">
        <v>199</v>
      </c>
      <c r="K4694" t="s">
        <v>37</v>
      </c>
    </row>
    <row r="4695" spans="1:11" x14ac:dyDescent="0.3">
      <c r="A4695">
        <v>1605</v>
      </c>
      <c r="B4695">
        <v>3</v>
      </c>
      <c r="C4695">
        <v>132</v>
      </c>
      <c r="D4695">
        <v>2</v>
      </c>
      <c r="E4695" s="1">
        <v>1499.99</v>
      </c>
      <c r="F4695" s="1">
        <v>0.1</v>
      </c>
      <c r="G4695">
        <v>2999.98</v>
      </c>
      <c r="H4695" s="22">
        <f>VLOOKUP(A4695,[1]Orders!$A$2:$B$1616,2,0)</f>
        <v>43282</v>
      </c>
      <c r="J4695" t="s">
        <v>195</v>
      </c>
      <c r="K4695" t="s">
        <v>37</v>
      </c>
    </row>
    <row r="4696" spans="1:11" x14ac:dyDescent="0.3">
      <c r="A4696">
        <v>1605</v>
      </c>
      <c r="B4696">
        <v>4</v>
      </c>
      <c r="C4696">
        <v>301</v>
      </c>
      <c r="D4696">
        <v>1</v>
      </c>
      <c r="E4696" s="1">
        <v>899.99</v>
      </c>
      <c r="F4696" s="1">
        <v>0.1</v>
      </c>
      <c r="G4696">
        <v>899.99</v>
      </c>
      <c r="H4696" s="22">
        <f>VLOOKUP(A4696,[1]Orders!$A$2:$B$1616,2,0)</f>
        <v>43282</v>
      </c>
      <c r="J4696" t="s">
        <v>237</v>
      </c>
      <c r="K4696" t="s">
        <v>37</v>
      </c>
    </row>
    <row r="4697" spans="1:11" x14ac:dyDescent="0.3">
      <c r="A4697">
        <v>1605</v>
      </c>
      <c r="B4697">
        <v>5</v>
      </c>
      <c r="C4697">
        <v>29</v>
      </c>
      <c r="D4697">
        <v>1</v>
      </c>
      <c r="E4697" s="1">
        <v>999.99</v>
      </c>
      <c r="F4697" s="1">
        <v>7.0000000000000007E-2</v>
      </c>
      <c r="G4697">
        <v>999.99</v>
      </c>
      <c r="H4697" s="22">
        <f>VLOOKUP(A4697,[1]Orders!$A$2:$B$1616,2,0)</f>
        <v>43282</v>
      </c>
      <c r="J4697" t="s">
        <v>71</v>
      </c>
      <c r="K4697" t="s">
        <v>37</v>
      </c>
    </row>
    <row r="4698" spans="1:11" x14ac:dyDescent="0.3">
      <c r="A4698">
        <v>1606</v>
      </c>
      <c r="B4698">
        <v>1</v>
      </c>
      <c r="C4698">
        <v>245</v>
      </c>
      <c r="D4698">
        <v>1</v>
      </c>
      <c r="E4698" s="1">
        <v>659.99</v>
      </c>
      <c r="F4698" s="1">
        <v>0.1</v>
      </c>
      <c r="G4698">
        <v>659.99</v>
      </c>
      <c r="H4698" s="22">
        <f>VLOOKUP(A4698,[1]Orders!$A$2:$B$1616,2,0)</f>
        <v>43291</v>
      </c>
      <c r="J4698" t="s">
        <v>243</v>
      </c>
      <c r="K4698" t="s">
        <v>37</v>
      </c>
    </row>
    <row r="4699" spans="1:11" x14ac:dyDescent="0.3">
      <c r="A4699">
        <v>1606</v>
      </c>
      <c r="B4699">
        <v>2</v>
      </c>
      <c r="C4699">
        <v>271</v>
      </c>
      <c r="D4699">
        <v>1</v>
      </c>
      <c r="E4699" s="1">
        <v>209.99</v>
      </c>
      <c r="F4699" s="1">
        <v>0.1</v>
      </c>
      <c r="G4699">
        <v>209.99</v>
      </c>
      <c r="H4699" s="22">
        <f>VLOOKUP(A4699,[1]Orders!$A$2:$B$1616,2,0)</f>
        <v>43291</v>
      </c>
      <c r="J4699" t="s">
        <v>259</v>
      </c>
      <c r="K4699" t="s">
        <v>37</v>
      </c>
    </row>
    <row r="4700" spans="1:11" x14ac:dyDescent="0.3">
      <c r="A4700">
        <v>1607</v>
      </c>
      <c r="B4700">
        <v>1</v>
      </c>
      <c r="C4700">
        <v>29</v>
      </c>
      <c r="D4700">
        <v>1</v>
      </c>
      <c r="E4700" s="1">
        <v>999.99</v>
      </c>
      <c r="F4700" s="1">
        <v>0.05</v>
      </c>
      <c r="G4700">
        <v>999.99</v>
      </c>
      <c r="H4700" s="22">
        <f>VLOOKUP(A4700,[1]Orders!$A$2:$B$1616,2,0)</f>
        <v>43292</v>
      </c>
      <c r="J4700" t="s">
        <v>71</v>
      </c>
      <c r="K4700" t="s">
        <v>11</v>
      </c>
    </row>
    <row r="4701" spans="1:11" x14ac:dyDescent="0.3">
      <c r="A4701">
        <v>1608</v>
      </c>
      <c r="B4701">
        <v>1</v>
      </c>
      <c r="C4701">
        <v>231</v>
      </c>
      <c r="D4701">
        <v>2</v>
      </c>
      <c r="E4701" s="1">
        <v>529.99</v>
      </c>
      <c r="F4701" s="1">
        <v>0.05</v>
      </c>
      <c r="G4701">
        <v>1059.98</v>
      </c>
      <c r="H4701" s="22">
        <f>VLOOKUP(A4701,[1]Orders!$A$2:$B$1616,2,0)</f>
        <v>43293</v>
      </c>
      <c r="J4701" t="s">
        <v>280</v>
      </c>
      <c r="K4701" t="s">
        <v>11</v>
      </c>
    </row>
    <row r="4702" spans="1:11" x14ac:dyDescent="0.3">
      <c r="A4702">
        <v>1609</v>
      </c>
      <c r="B4702">
        <v>1</v>
      </c>
      <c r="C4702">
        <v>96</v>
      </c>
      <c r="D4702">
        <v>1</v>
      </c>
      <c r="E4702" s="1">
        <v>349.99</v>
      </c>
      <c r="F4702" s="1">
        <v>0.2</v>
      </c>
      <c r="G4702">
        <v>349.99</v>
      </c>
      <c r="H4702" s="22">
        <f>VLOOKUP(A4702,[1]Orders!$A$2:$B$1616,2,0)</f>
        <v>43335</v>
      </c>
      <c r="J4702" t="s">
        <v>91</v>
      </c>
      <c r="K4702" t="s">
        <v>18</v>
      </c>
    </row>
    <row r="4703" spans="1:11" x14ac:dyDescent="0.3">
      <c r="A4703">
        <v>1609</v>
      </c>
      <c r="B4703">
        <v>2</v>
      </c>
      <c r="C4703">
        <v>238</v>
      </c>
      <c r="D4703">
        <v>2</v>
      </c>
      <c r="E4703" s="1">
        <v>749.99</v>
      </c>
      <c r="F4703" s="1">
        <v>0.2</v>
      </c>
      <c r="G4703">
        <v>1499.98</v>
      </c>
      <c r="H4703" s="22">
        <f>VLOOKUP(A4703,[1]Orders!$A$2:$B$1616,2,0)</f>
        <v>43335</v>
      </c>
      <c r="J4703" t="s">
        <v>185</v>
      </c>
      <c r="K4703" t="s">
        <v>18</v>
      </c>
    </row>
    <row r="4704" spans="1:11" x14ac:dyDescent="0.3">
      <c r="A4704">
        <v>1609</v>
      </c>
      <c r="B4704">
        <v>3</v>
      </c>
      <c r="C4704">
        <v>228</v>
      </c>
      <c r="D4704">
        <v>2</v>
      </c>
      <c r="E4704" s="1">
        <v>319.99</v>
      </c>
      <c r="F4704" s="1">
        <v>0.1</v>
      </c>
      <c r="G4704">
        <v>639.98</v>
      </c>
      <c r="H4704" s="22">
        <f>VLOOKUP(A4704,[1]Orders!$A$2:$B$1616,2,0)</f>
        <v>43335</v>
      </c>
      <c r="J4704" t="s">
        <v>130</v>
      </c>
      <c r="K4704" t="s">
        <v>18</v>
      </c>
    </row>
    <row r="4705" spans="1:11" x14ac:dyDescent="0.3">
      <c r="A4705">
        <v>1609</v>
      </c>
      <c r="B4705">
        <v>4</v>
      </c>
      <c r="C4705">
        <v>105</v>
      </c>
      <c r="D4705">
        <v>1</v>
      </c>
      <c r="E4705" s="1">
        <v>533.99</v>
      </c>
      <c r="F4705" s="1">
        <v>0.2</v>
      </c>
      <c r="G4705">
        <v>533.99</v>
      </c>
      <c r="H4705" s="22">
        <f>VLOOKUP(A4705,[1]Orders!$A$2:$B$1616,2,0)</f>
        <v>43335</v>
      </c>
      <c r="J4705" t="s">
        <v>96</v>
      </c>
      <c r="K4705" t="s">
        <v>18</v>
      </c>
    </row>
    <row r="4706" spans="1:11" x14ac:dyDescent="0.3">
      <c r="A4706">
        <v>1610</v>
      </c>
      <c r="B4706">
        <v>1</v>
      </c>
      <c r="C4706">
        <v>36</v>
      </c>
      <c r="D4706">
        <v>1</v>
      </c>
      <c r="E4706" s="1">
        <v>832.99</v>
      </c>
      <c r="F4706" s="1">
        <v>7.0000000000000007E-2</v>
      </c>
      <c r="G4706">
        <v>832.99</v>
      </c>
      <c r="H4706" s="22">
        <f>VLOOKUP(A4706,[1]Orders!$A$2:$B$1616,2,0)</f>
        <v>43337</v>
      </c>
      <c r="J4706" t="s">
        <v>116</v>
      </c>
      <c r="K4706" t="s">
        <v>18</v>
      </c>
    </row>
    <row r="4707" spans="1:11" x14ac:dyDescent="0.3">
      <c r="A4707">
        <v>1610</v>
      </c>
      <c r="B4707">
        <v>2</v>
      </c>
      <c r="C4707">
        <v>173</v>
      </c>
      <c r="D4707">
        <v>2</v>
      </c>
      <c r="E4707" s="1">
        <v>3199.99</v>
      </c>
      <c r="F4707" s="1">
        <v>0.2</v>
      </c>
      <c r="G4707">
        <v>6399.98</v>
      </c>
      <c r="H4707" s="22">
        <f>VLOOKUP(A4707,[1]Orders!$A$2:$B$1616,2,0)</f>
        <v>43337</v>
      </c>
      <c r="J4707" t="s">
        <v>261</v>
      </c>
      <c r="K4707" t="s">
        <v>18</v>
      </c>
    </row>
    <row r="4708" spans="1:11" x14ac:dyDescent="0.3">
      <c r="A4708">
        <v>1611</v>
      </c>
      <c r="B4708">
        <v>1</v>
      </c>
      <c r="C4708">
        <v>191</v>
      </c>
      <c r="D4708">
        <v>1</v>
      </c>
      <c r="E4708" s="1">
        <v>2799.99</v>
      </c>
      <c r="F4708" s="1">
        <v>7.0000000000000007E-2</v>
      </c>
      <c r="G4708">
        <v>2799.99</v>
      </c>
      <c r="H4708" s="22">
        <f>VLOOKUP(A4708,[1]Orders!$A$2:$B$1616,2,0)</f>
        <v>43349</v>
      </c>
      <c r="J4708" t="s">
        <v>273</v>
      </c>
      <c r="K4708" t="s">
        <v>18</v>
      </c>
    </row>
    <row r="4709" spans="1:11" x14ac:dyDescent="0.3">
      <c r="A4709">
        <v>1611</v>
      </c>
      <c r="B4709">
        <v>2</v>
      </c>
      <c r="C4709">
        <v>171</v>
      </c>
      <c r="D4709">
        <v>2</v>
      </c>
      <c r="E4709" s="1">
        <v>3199.99</v>
      </c>
      <c r="F4709" s="1">
        <v>0.1</v>
      </c>
      <c r="G4709">
        <v>6399.98</v>
      </c>
      <c r="H4709" s="22">
        <f>VLOOKUP(A4709,[1]Orders!$A$2:$B$1616,2,0)</f>
        <v>43349</v>
      </c>
      <c r="J4709" t="s">
        <v>217</v>
      </c>
      <c r="K4709" t="s">
        <v>18</v>
      </c>
    </row>
    <row r="4710" spans="1:11" x14ac:dyDescent="0.3">
      <c r="A4710">
        <v>1611</v>
      </c>
      <c r="B4710">
        <v>3</v>
      </c>
      <c r="C4710">
        <v>236</v>
      </c>
      <c r="D4710">
        <v>1</v>
      </c>
      <c r="E4710" s="1">
        <v>749.99</v>
      </c>
      <c r="F4710" s="1">
        <v>0.2</v>
      </c>
      <c r="G4710">
        <v>749.99</v>
      </c>
      <c r="H4710" s="22">
        <f>VLOOKUP(A4710,[1]Orders!$A$2:$B$1616,2,0)</f>
        <v>43349</v>
      </c>
      <c r="J4710" t="s">
        <v>191</v>
      </c>
      <c r="K4710" t="s">
        <v>18</v>
      </c>
    </row>
    <row r="4711" spans="1:11" x14ac:dyDescent="0.3">
      <c r="A4711">
        <v>1612</v>
      </c>
      <c r="B4711">
        <v>1</v>
      </c>
      <c r="C4711">
        <v>242</v>
      </c>
      <c r="D4711">
        <v>1</v>
      </c>
      <c r="E4711" s="1">
        <v>699.99</v>
      </c>
      <c r="F4711" s="1">
        <v>0.1</v>
      </c>
      <c r="G4711">
        <v>699.99</v>
      </c>
      <c r="H4711" s="22">
        <f>VLOOKUP(A4711,[1]Orders!$A$2:$B$1616,2,0)</f>
        <v>43394</v>
      </c>
      <c r="J4711" t="s">
        <v>245</v>
      </c>
      <c r="K4711" t="s">
        <v>11</v>
      </c>
    </row>
    <row r="4712" spans="1:11" x14ac:dyDescent="0.3">
      <c r="A4712">
        <v>1612</v>
      </c>
      <c r="B4712">
        <v>2</v>
      </c>
      <c r="C4712">
        <v>289</v>
      </c>
      <c r="D4712">
        <v>2</v>
      </c>
      <c r="E4712" s="1">
        <v>319.99</v>
      </c>
      <c r="F4712" s="1">
        <v>0.05</v>
      </c>
      <c r="G4712">
        <v>639.98</v>
      </c>
      <c r="H4712" s="22">
        <f>VLOOKUP(A4712,[1]Orders!$A$2:$B$1616,2,0)</f>
        <v>43394</v>
      </c>
      <c r="J4712" t="s">
        <v>294</v>
      </c>
      <c r="K4712" t="s">
        <v>11</v>
      </c>
    </row>
    <row r="4713" spans="1:11" x14ac:dyDescent="0.3">
      <c r="A4713">
        <v>1612</v>
      </c>
      <c r="B4713">
        <v>3</v>
      </c>
      <c r="C4713">
        <v>101</v>
      </c>
      <c r="D4713">
        <v>2</v>
      </c>
      <c r="E4713" s="1">
        <v>339.99</v>
      </c>
      <c r="F4713" s="1">
        <v>0.2</v>
      </c>
      <c r="G4713">
        <v>679.98</v>
      </c>
      <c r="H4713" s="22">
        <f>VLOOKUP(A4713,[1]Orders!$A$2:$B$1616,2,0)</f>
        <v>43394</v>
      </c>
      <c r="J4713" t="s">
        <v>80</v>
      </c>
      <c r="K4713" t="s">
        <v>11</v>
      </c>
    </row>
    <row r="4714" spans="1:11" x14ac:dyDescent="0.3">
      <c r="A4714">
        <v>1612</v>
      </c>
      <c r="B4714">
        <v>4</v>
      </c>
      <c r="C4714">
        <v>293</v>
      </c>
      <c r="D4714">
        <v>2</v>
      </c>
      <c r="E4714" s="1">
        <v>319.99</v>
      </c>
      <c r="F4714" s="1">
        <v>7.0000000000000007E-2</v>
      </c>
      <c r="G4714">
        <v>639.98</v>
      </c>
      <c r="H4714" s="22">
        <f>VLOOKUP(A4714,[1]Orders!$A$2:$B$1616,2,0)</f>
        <v>43394</v>
      </c>
      <c r="J4714" t="s">
        <v>279</v>
      </c>
      <c r="K4714" t="s">
        <v>11</v>
      </c>
    </row>
    <row r="4715" spans="1:11" x14ac:dyDescent="0.3">
      <c r="A4715">
        <v>1612</v>
      </c>
      <c r="B4715">
        <v>5</v>
      </c>
      <c r="C4715">
        <v>60</v>
      </c>
      <c r="D4715">
        <v>1</v>
      </c>
      <c r="E4715" s="1">
        <v>1559.99</v>
      </c>
      <c r="F4715" s="1">
        <v>0.1</v>
      </c>
      <c r="G4715">
        <v>1559.99</v>
      </c>
      <c r="H4715" s="22">
        <f>VLOOKUP(A4715,[1]Orders!$A$2:$B$1616,2,0)</f>
        <v>43394</v>
      </c>
      <c r="J4715" t="s">
        <v>101</v>
      </c>
      <c r="K4715" t="s">
        <v>11</v>
      </c>
    </row>
    <row r="4716" spans="1:11" x14ac:dyDescent="0.3">
      <c r="A4716">
        <v>1613</v>
      </c>
      <c r="B4716">
        <v>1</v>
      </c>
      <c r="C4716">
        <v>153</v>
      </c>
      <c r="D4716">
        <v>1</v>
      </c>
      <c r="E4716" s="1">
        <v>4999.99</v>
      </c>
      <c r="F4716" s="1">
        <v>7.0000000000000007E-2</v>
      </c>
      <c r="G4716">
        <v>4999.99</v>
      </c>
      <c r="H4716" s="22">
        <f>VLOOKUP(A4716,[1]Orders!$A$2:$B$1616,2,0)</f>
        <v>43422</v>
      </c>
      <c r="J4716" t="s">
        <v>153</v>
      </c>
      <c r="K4716" t="s">
        <v>18</v>
      </c>
    </row>
    <row r="4717" spans="1:11" x14ac:dyDescent="0.3">
      <c r="A4717">
        <v>1613</v>
      </c>
      <c r="B4717">
        <v>2</v>
      </c>
      <c r="C4717">
        <v>283</v>
      </c>
      <c r="D4717">
        <v>2</v>
      </c>
      <c r="E4717" s="1">
        <v>319.99</v>
      </c>
      <c r="F4717" s="1">
        <v>0.05</v>
      </c>
      <c r="G4717">
        <v>639.98</v>
      </c>
      <c r="H4717" s="22">
        <f>VLOOKUP(A4717,[1]Orders!$A$2:$B$1616,2,0)</f>
        <v>43422</v>
      </c>
      <c r="J4717" t="s">
        <v>133</v>
      </c>
      <c r="K4717" t="s">
        <v>18</v>
      </c>
    </row>
    <row r="4718" spans="1:11" x14ac:dyDescent="0.3">
      <c r="A4718">
        <v>1614</v>
      </c>
      <c r="B4718">
        <v>1</v>
      </c>
      <c r="C4718">
        <v>124</v>
      </c>
      <c r="D4718">
        <v>1</v>
      </c>
      <c r="E4718" s="1">
        <v>1499</v>
      </c>
      <c r="F4718" s="1">
        <v>7.0000000000000007E-2</v>
      </c>
      <c r="G4718">
        <v>1499</v>
      </c>
      <c r="H4718" s="22">
        <f>VLOOKUP(A4718,[1]Orders!$A$2:$B$1616,2,0)</f>
        <v>43432</v>
      </c>
      <c r="J4718" t="s">
        <v>197</v>
      </c>
      <c r="K4718" t="s">
        <v>37</v>
      </c>
    </row>
    <row r="4719" spans="1:11" x14ac:dyDescent="0.3">
      <c r="A4719">
        <v>1614</v>
      </c>
      <c r="B4719">
        <v>2</v>
      </c>
      <c r="C4719">
        <v>159</v>
      </c>
      <c r="D4719">
        <v>2</v>
      </c>
      <c r="E4719" s="1">
        <v>2299.9899999999998</v>
      </c>
      <c r="F4719" s="1">
        <v>7.0000000000000007E-2</v>
      </c>
      <c r="G4719">
        <v>4599.9799999999996</v>
      </c>
      <c r="H4719" s="22">
        <f>VLOOKUP(A4719,[1]Orders!$A$2:$B$1616,2,0)</f>
        <v>43432</v>
      </c>
      <c r="J4719" t="s">
        <v>174</v>
      </c>
      <c r="K4719" t="s">
        <v>37</v>
      </c>
    </row>
    <row r="4720" spans="1:11" x14ac:dyDescent="0.3">
      <c r="A4720">
        <v>1614</v>
      </c>
      <c r="B4720">
        <v>3</v>
      </c>
      <c r="C4720">
        <v>213</v>
      </c>
      <c r="D4720">
        <v>2</v>
      </c>
      <c r="E4720" s="1">
        <v>269.99</v>
      </c>
      <c r="F4720" s="1">
        <v>0.2</v>
      </c>
      <c r="G4720">
        <v>539.98</v>
      </c>
      <c r="H4720" s="22">
        <f>VLOOKUP(A4720,[1]Orders!$A$2:$B$1616,2,0)</f>
        <v>43432</v>
      </c>
      <c r="J4720" t="s">
        <v>200</v>
      </c>
      <c r="K4720" t="s">
        <v>37</v>
      </c>
    </row>
    <row r="4721" spans="1:11" x14ac:dyDescent="0.3">
      <c r="A4721">
        <v>1615</v>
      </c>
      <c r="B4721">
        <v>1</v>
      </c>
      <c r="C4721">
        <v>197</v>
      </c>
      <c r="D4721">
        <v>2</v>
      </c>
      <c r="E4721" s="1">
        <v>2299.9899999999998</v>
      </c>
      <c r="F4721" s="1">
        <v>0.2</v>
      </c>
      <c r="G4721">
        <v>4599.9799999999996</v>
      </c>
      <c r="H4721" s="22">
        <f>VLOOKUP(A4721,[1]Orders!$A$2:$B$1616,2,0)</f>
        <v>43462</v>
      </c>
      <c r="J4721" t="s">
        <v>247</v>
      </c>
      <c r="K4721" t="s">
        <v>37</v>
      </c>
    </row>
    <row r="4722" spans="1:11" x14ac:dyDescent="0.3">
      <c r="A4722">
        <v>1615</v>
      </c>
      <c r="B4722">
        <v>2</v>
      </c>
      <c r="C4722">
        <v>214</v>
      </c>
      <c r="D4722">
        <v>1</v>
      </c>
      <c r="E4722" s="1">
        <v>899.99</v>
      </c>
      <c r="F4722" s="1">
        <v>7.0000000000000007E-2</v>
      </c>
      <c r="G4722">
        <v>899.99</v>
      </c>
      <c r="H4722" s="22">
        <f>VLOOKUP(A4722,[1]Orders!$A$2:$B$1616,2,0)</f>
        <v>43462</v>
      </c>
      <c r="J4722" t="s">
        <v>211</v>
      </c>
      <c r="K4722" t="s">
        <v>37</v>
      </c>
    </row>
    <row r="4723" spans="1:11" x14ac:dyDescent="0.3">
      <c r="A4723">
        <v>1615</v>
      </c>
      <c r="B4723">
        <v>3</v>
      </c>
      <c r="C4723">
        <v>182</v>
      </c>
      <c r="D4723">
        <v>1</v>
      </c>
      <c r="E4723" s="1">
        <v>2499.9899999999998</v>
      </c>
      <c r="F4723" s="1">
        <v>0.2</v>
      </c>
      <c r="G4723">
        <v>2499.9899999999998</v>
      </c>
      <c r="H4723" s="22">
        <f>VLOOKUP(A4723,[1]Orders!$A$2:$B$1616,2,0)</f>
        <v>43462</v>
      </c>
      <c r="J4723" t="s">
        <v>204</v>
      </c>
      <c r="K4723" t="s">
        <v>37</v>
      </c>
    </row>
  </sheetData>
  <mergeCells count="1">
    <mergeCell ref="P5:R5"/>
  </mergeCells>
  <phoneticPr fontId="23" type="noConversion"/>
  <conditionalFormatting sqref="J1:J1048576">
    <cfRule type="top10" dxfId="0" priority="3" rank="10"/>
    <cfRule type="top10" dxfId="1" priority="2" rank="10"/>
    <cfRule type="top10" dxfId="2" priority="1" rank="10"/>
  </conditionalFormatting>
  <pageMargins left="0.7" right="0.7" top="0.75" bottom="0.75" header="0.3" footer="0.3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6CD37-5E02-4729-951F-E3E906416A4D}">
  <dimension ref="A1:C14"/>
  <sheetViews>
    <sheetView tabSelected="1" workbookViewId="0">
      <selection activeCell="F11" sqref="F11"/>
    </sheetView>
  </sheetViews>
  <sheetFormatPr defaultRowHeight="14.4" x14ac:dyDescent="0.3"/>
  <cols>
    <col min="2" max="2" width="9.44140625" bestFit="1" customWidth="1"/>
    <col min="3" max="3" width="10.33203125" bestFit="1" customWidth="1"/>
  </cols>
  <sheetData>
    <row r="1" spans="1:3" x14ac:dyDescent="0.3">
      <c r="B1" t="s">
        <v>1928</v>
      </c>
      <c r="C1" t="s">
        <v>1929</v>
      </c>
    </row>
    <row r="2" spans="1:3" x14ac:dyDescent="0.3">
      <c r="B2">
        <v>-599.99</v>
      </c>
      <c r="C2" s="22">
        <v>41646</v>
      </c>
    </row>
    <row r="3" spans="1:3" x14ac:dyDescent="0.3">
      <c r="B3">
        <v>599.99</v>
      </c>
      <c r="C3" s="22">
        <v>42043</v>
      </c>
    </row>
    <row r="4" spans="1:3" x14ac:dyDescent="0.3">
      <c r="B4">
        <v>1499.98</v>
      </c>
      <c r="C4" s="22">
        <v>42438</v>
      </c>
    </row>
    <row r="5" spans="1:3" x14ac:dyDescent="0.3">
      <c r="B5">
        <v>-449</v>
      </c>
      <c r="C5" s="22">
        <v>42835</v>
      </c>
    </row>
    <row r="6" spans="1:3" x14ac:dyDescent="0.3">
      <c r="B6">
        <v>7999.98</v>
      </c>
      <c r="C6" s="22">
        <v>43238</v>
      </c>
    </row>
    <row r="7" spans="1:3" x14ac:dyDescent="0.3">
      <c r="B7">
        <v>5799.98</v>
      </c>
      <c r="C7" s="22">
        <v>43631</v>
      </c>
    </row>
    <row r="8" spans="1:3" x14ac:dyDescent="0.3">
      <c r="B8">
        <v>-269.99</v>
      </c>
      <c r="C8" s="22">
        <v>44036</v>
      </c>
    </row>
    <row r="9" spans="1:3" x14ac:dyDescent="0.3">
      <c r="B9">
        <v>1099.98</v>
      </c>
      <c r="C9" s="22">
        <v>44428</v>
      </c>
    </row>
    <row r="10" spans="1:3" x14ac:dyDescent="0.3">
      <c r="B10">
        <v>1799.99</v>
      </c>
      <c r="C10" s="22">
        <v>44832</v>
      </c>
    </row>
    <row r="12" spans="1:3" x14ac:dyDescent="0.3">
      <c r="A12" s="32" t="s">
        <v>1927</v>
      </c>
      <c r="B12" s="33">
        <f>XIRR(B2:B10,C2:C10)</f>
        <v>1.4865080475807191</v>
      </c>
      <c r="C12" s="22"/>
    </row>
    <row r="13" spans="1:3" x14ac:dyDescent="0.3">
      <c r="C13" s="22"/>
    </row>
    <row r="14" spans="1:3" x14ac:dyDescent="0.3">
      <c r="C14" s="2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pivot </vt:lpstr>
      <vt:lpstr>Macro</vt:lpstr>
      <vt:lpstr>order item</vt:lpstr>
      <vt:lpstr>XIRR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Pavithra Dharmalingam</dc:creator>
  <cp:lastModifiedBy>Pavithra Dharmalingam</cp:lastModifiedBy>
  <dcterms:created xsi:type="dcterms:W3CDTF">2024-07-27T11:42:10Z</dcterms:created>
  <dcterms:modified xsi:type="dcterms:W3CDTF">2024-07-30T20:20:34Z</dcterms:modified>
</cp:coreProperties>
</file>